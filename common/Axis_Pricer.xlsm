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trlProps/ctrlProp11.xml" ContentType="application/vnd.ms-excel.controlproperties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rançois Jordan\Desktop\mbaAxis\Valo\common\"/>
    </mc:Choice>
  </mc:AlternateContent>
  <xr:revisionPtr revIDLastSave="0" documentId="8_{85831B11-3FDF-4CB1-AAFF-B85696FDDC8F}" xr6:coauthVersionLast="47" xr6:coauthVersionMax="47" xr10:uidLastSave="{00000000-0000-0000-0000-000000000000}"/>
  <bookViews>
    <workbookView xWindow="-120" yWindow="-120" windowWidth="29040" windowHeight="16440" activeTab="7" xr2:uid="{71AFAE33-16CD-4F47-AB4E-C8D72A89D700}"/>
  </bookViews>
  <sheets>
    <sheet name="Parametres" sheetId="3" r:id="rId1"/>
    <sheet name="Option" sheetId="2" r:id="rId2"/>
    <sheet name="IRS Strip" sheetId="4" r:id="rId3"/>
    <sheet name="Chart1" sheetId="14" state="hidden" r:id="rId4"/>
    <sheet name="CDS Strip" sheetId="6" r:id="rId5"/>
    <sheet name="Fwd Intensity" sheetId="7" r:id="rId6"/>
    <sheet name="CDS" sheetId="8" r:id="rId7"/>
    <sheet name="CDO Bespoke" sheetId="11" r:id="rId8"/>
    <sheet name="FRTB" sheetId="16" r:id="rId9"/>
    <sheet name="CDO2" sheetId="13" r:id="rId10"/>
  </sheets>
  <externalReferences>
    <externalReference r:id="rId11"/>
    <externalReference r:id="rId12"/>
    <externalReference r:id="rId13"/>
  </externalReferences>
  <definedNames>
    <definedName name="_xlnm._FilterDatabase" localSheetId="8" hidden="1">FRTB!$B$24:$K$399</definedName>
    <definedName name="BeSpokeStrike" localSheetId="7">#REF!</definedName>
    <definedName name="BeSpokeStrike">#REF!</definedName>
    <definedName name="CDSRollDate" localSheetId="7">'[1]CDS Strip'!$C$6</definedName>
    <definedName name="CDSRollDate">'CDS Strip'!$C$7</definedName>
    <definedName name="CDXStrike" localSheetId="7">#REF!</definedName>
    <definedName name="CDXStrike">#REF!</definedName>
    <definedName name="CorrelResult" localSheetId="7">#REF!</definedName>
    <definedName name="CorrelResult">#REF!</definedName>
    <definedName name="CorrelStart" localSheetId="7">#REF!</definedName>
    <definedName name="CorrelStart">#REF!</definedName>
    <definedName name="Currency" localSheetId="7">'[1]CDS Strip'!$D$11:$D$310</definedName>
    <definedName name="Currency">'[2]CDS Strip'!$D$11:$D$310</definedName>
    <definedName name="Currency2" localSheetId="7">'CDO Bespoke'!$B$8</definedName>
    <definedName name="Currency2">#REF!</definedName>
    <definedName name="CurrencyName">#REF!</definedName>
    <definedName name="CurvePointsList">Parametres!$D$15:$D$16</definedName>
    <definedName name="Expected_Recovery" localSheetId="7">[1]CDO2!$C$8</definedName>
    <definedName name="Expected_Recovery">#REF!</definedName>
    <definedName name="ExpLossResult" localSheetId="7">#REF!</definedName>
    <definedName name="ExpLossResult">#REF!</definedName>
    <definedName name="ExpLossStart" localSheetId="7">#REF!</definedName>
    <definedName name="ExpLossStart">#REF!</definedName>
    <definedName name="FXSpot">#REF!</definedName>
    <definedName name="iTraxxStrike" localSheetId="7">#REF!</definedName>
    <definedName name="iTraxxStrike">#REF!</definedName>
    <definedName name="kCDXStart" localSheetId="7">#REF!</definedName>
    <definedName name="kCDXStart">#REF!</definedName>
    <definedName name="kiTraxxStart" localSheetId="7">#REF!</definedName>
    <definedName name="kiTraxxStart">#REF!</definedName>
    <definedName name="MappingMethodo" localSheetId="7">#REF!</definedName>
    <definedName name="MappingMethodo">#REF!</definedName>
    <definedName name="NextCDXStrike" localSheetId="7">#REF!</definedName>
    <definedName name="NextCDXStrike">#REF!</definedName>
    <definedName name="optionFlag">Parametres!$B$3:$B$4</definedName>
    <definedName name="optionPosition">Parametres!$D$3:$D$4</definedName>
    <definedName name="Parameter_Date" localSheetId="7">'[1]IRS Strip'!$C$11</definedName>
    <definedName name="Parameter_Date">Parametres!$E$7</definedName>
    <definedName name="PM_Correl" localSheetId="7">#REF!</definedName>
    <definedName name="PM_Correl">#REF!</definedName>
    <definedName name="PM_Current" localSheetId="7">#REF!</definedName>
    <definedName name="PM_Current">#REF!</definedName>
    <definedName name="PM_Error" localSheetId="7">#REF!</definedName>
    <definedName name="PM_Error">#REF!</definedName>
    <definedName name="PM_kCDX" localSheetId="7">#REF!</definedName>
    <definedName name="PM_kCDX">#REF!</definedName>
    <definedName name="PM_kiTraxx" localSheetId="7">#REF!</definedName>
    <definedName name="PM_kiTraxx">#REF!</definedName>
    <definedName name="PM_Next" localSheetId="7">#REF!</definedName>
    <definedName name="PM_Next">#REF!</definedName>
    <definedName name="poids" localSheetId="7">'CDO Bespoke'!$M$17</definedName>
    <definedName name="poids">#REF!</definedName>
    <definedName name="_xlnm.Print_Area" localSheetId="7">'CDO Bespoke'!$A$4:$S$37</definedName>
    <definedName name="ProbaMatchBespokeStrike" localSheetId="7">#REF!</definedName>
    <definedName name="ProbaMatchBespokeStrike">#REF!</definedName>
    <definedName name="ProjectionCalculation" localSheetId="7">#REF!</definedName>
    <definedName name="ProjectionCalculation">#REF!</definedName>
    <definedName name="RatioDifference" localSheetId="7">#REF!</definedName>
    <definedName name="RatioDifference">#REF!</definedName>
    <definedName name="SpreadCurveMaturities" localSheetId="7">'[1]CDS Strip'!$E$9:$M$9</definedName>
    <definedName name="SpreadCurveMaturities">'CDS Strip'!$E$10:$M$10</definedName>
    <definedName name="StrikeStart" localSheetId="7">#REF!</definedName>
    <definedName name="StrikeStart">#REF!</definedName>
    <definedName name="StrippedDefaultProb" localSheetId="7">'[1]CDS Strip'!$N$11:$AE$310</definedName>
    <definedName name="StrippedDefaultProb">'[2]CDS Strip'!$N$11:$AE$310</definedName>
    <definedName name="sumpoi" localSheetId="7">'CDO Bespoke'!$M$17</definedName>
    <definedName name="sumpoi">#REF!</definedName>
    <definedName name="sumpoids" localSheetId="7">'CDO Bespoke'!$N$15</definedName>
    <definedName name="sumpoids">#REF!</definedName>
    <definedName name="SumWeights" localSheetId="7">'CDO Bespoke'!$B$18</definedName>
    <definedName name="SumWeights">#REF!</definedName>
    <definedName name="Swap_Convention">Parametres!$B$7:$B$11</definedName>
    <definedName name="SwapConventions" localSheetId="7">[1]Conventions!$H$16:$H$20</definedName>
    <definedName name="SwapConventions">#REF!</definedName>
    <definedName name="test" localSheetId="7">'CDO Bespoke'!#REF!</definedName>
    <definedName name="test">#REF!</definedName>
    <definedName name="TrueFalse">Parametres!$B$15:$B$16</definedName>
    <definedName name="TrueFalseList" localSheetId="7">[1]Conventions!$H$25:$H$26</definedName>
    <definedName name="TrueFalseList">Parametres!$B$15:$B$16</definedName>
    <definedName name="TrueFalseTab">Parametres!$B$15:$B$16</definedName>
    <definedName name="Underlying">Parametres!$F$3:$F$5</definedName>
  </definedNames>
  <calcPr calcId="191029" calcMode="manual" calcCompleted="0" calcOnSave="0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10" i="11" l="1"/>
  <c r="T15" i="11" a="1"/>
  <c r="T15" i="11"/>
  <c r="U13" i="11"/>
  <c r="Y15" i="11"/>
  <c r="Z15" i="11"/>
  <c r="T16" i="11" a="1"/>
  <c r="T16" i="11"/>
  <c r="Y16" i="11"/>
  <c r="Z16" i="11"/>
  <c r="T17" i="11" a="1"/>
  <c r="T17" i="11"/>
  <c r="Y17" i="11"/>
  <c r="Z17" i="11"/>
  <c r="T18" i="11" a="1"/>
  <c r="T18" i="11"/>
  <c r="Y18" i="11"/>
  <c r="Z18" i="11"/>
  <c r="T19" i="11" a="1"/>
  <c r="T19" i="11"/>
  <c r="Y19" i="11"/>
  <c r="Z19" i="11"/>
  <c r="T20" i="11" a="1"/>
  <c r="T20" i="11"/>
  <c r="Y20" i="11"/>
  <c r="Z20" i="11"/>
  <c r="T21" i="11" a="1"/>
  <c r="T21" i="11"/>
  <c r="Y21" i="11"/>
  <c r="Z21" i="11"/>
  <c r="T22" i="11" a="1"/>
  <c r="T22" i="11"/>
  <c r="Y22" i="11"/>
  <c r="Z22" i="11"/>
  <c r="T23" i="11" a="1"/>
  <c r="T23" i="11"/>
  <c r="Y23" i="11"/>
  <c r="Z23" i="11"/>
  <c r="T24" i="11" a="1"/>
  <c r="T24" i="11"/>
  <c r="Y24" i="11"/>
  <c r="Z24" i="11"/>
  <c r="T25" i="11" a="1"/>
  <c r="T25" i="11"/>
  <c r="Y25" i="11"/>
  <c r="Z25" i="11"/>
  <c r="T26" i="11" a="1"/>
  <c r="T26" i="11"/>
  <c r="Y26" i="11"/>
  <c r="Z26" i="11"/>
  <c r="T27" i="11" a="1"/>
  <c r="T27" i="11"/>
  <c r="Y27" i="11"/>
  <c r="Z27" i="11"/>
  <c r="T28" i="11" a="1"/>
  <c r="T28" i="11"/>
  <c r="Y28" i="11"/>
  <c r="Z28" i="11"/>
  <c r="T29" i="11" a="1"/>
  <c r="T29" i="11"/>
  <c r="Y29" i="11"/>
  <c r="Z29" i="11"/>
  <c r="T30" i="11" a="1"/>
  <c r="T30" i="11"/>
  <c r="Y30" i="11"/>
  <c r="Z30" i="11"/>
  <c r="T31" i="11" a="1"/>
  <c r="T31" i="11"/>
  <c r="Y31" i="11"/>
  <c r="Z31" i="11"/>
  <c r="T32" i="11" a="1"/>
  <c r="T32" i="11"/>
  <c r="Y32" i="11"/>
  <c r="Z32" i="11"/>
  <c r="T33" i="11" a="1"/>
  <c r="T33" i="11"/>
  <c r="Y33" i="11"/>
  <c r="Z33" i="11"/>
  <c r="T34" i="11" a="1"/>
  <c r="T34" i="11"/>
  <c r="Y34" i="11"/>
  <c r="Z34" i="11"/>
  <c r="T35" i="11" a="1"/>
  <c r="T35" i="11"/>
  <c r="Y35" i="11"/>
  <c r="Z35" i="11"/>
  <c r="T36" i="11" a="1"/>
  <c r="T36" i="11"/>
  <c r="Y36" i="11"/>
  <c r="Z36" i="11"/>
  <c r="T37" i="11" a="1"/>
  <c r="T37" i="11"/>
  <c r="Y37" i="11"/>
  <c r="Z37" i="11"/>
  <c r="T38" i="11" a="1"/>
  <c r="T38" i="11"/>
  <c r="Y38" i="11"/>
  <c r="Z38" i="11"/>
  <c r="T39" i="11" a="1"/>
  <c r="T39" i="11"/>
  <c r="Y39" i="11"/>
  <c r="Z39" i="11"/>
  <c r="T40" i="11" a="1"/>
  <c r="T40" i="11"/>
  <c r="Y40" i="11"/>
  <c r="Z40" i="11"/>
  <c r="T41" i="11" a="1"/>
  <c r="T41" i="11"/>
  <c r="Y41" i="11"/>
  <c r="Z41" i="11"/>
  <c r="T42" i="11" a="1"/>
  <c r="T42" i="11"/>
  <c r="Y42" i="11"/>
  <c r="Z42" i="11"/>
  <c r="T43" i="11" a="1"/>
  <c r="T43" i="11"/>
  <c r="Y43" i="11"/>
  <c r="Z43" i="11"/>
  <c r="T44" i="11" a="1"/>
  <c r="T44" i="11"/>
  <c r="Y44" i="11"/>
  <c r="Z44" i="11"/>
  <c r="T45" i="11" a="1"/>
  <c r="T45" i="11"/>
  <c r="Y45" i="11"/>
  <c r="Z45" i="11"/>
  <c r="T46" i="11" a="1"/>
  <c r="T46" i="11"/>
  <c r="Y46" i="11"/>
  <c r="Z46" i="11"/>
  <c r="T47" i="11" a="1"/>
  <c r="T47" i="11"/>
  <c r="Y47" i="11"/>
  <c r="Z47" i="11"/>
  <c r="T48" i="11" a="1"/>
  <c r="T48" i="11"/>
  <c r="Y48" i="11"/>
  <c r="Z48" i="11"/>
  <c r="T49" i="11" a="1"/>
  <c r="T49" i="11"/>
  <c r="Y49" i="11"/>
  <c r="Z49" i="11"/>
  <c r="T50" i="11" a="1"/>
  <c r="T50" i="11"/>
  <c r="Y50" i="11"/>
  <c r="Z50" i="11"/>
  <c r="T51" i="11" a="1"/>
  <c r="T51" i="11"/>
  <c r="Y51" i="11"/>
  <c r="Z51" i="11"/>
  <c r="T52" i="11" a="1"/>
  <c r="T52" i="11"/>
  <c r="Y52" i="11"/>
  <c r="Z52" i="11"/>
  <c r="T53" i="11" a="1"/>
  <c r="T53" i="11"/>
  <c r="Y53" i="11"/>
  <c r="Z53" i="11"/>
  <c r="T54" i="11" a="1"/>
  <c r="T54" i="11"/>
  <c r="Y54" i="11"/>
  <c r="Z54" i="11"/>
  <c r="T55" i="11" a="1"/>
  <c r="T55" i="11"/>
  <c r="Y55" i="11"/>
  <c r="Z55" i="11"/>
  <c r="T56" i="11" a="1"/>
  <c r="T56" i="11"/>
  <c r="Y56" i="11"/>
  <c r="Z56" i="11"/>
  <c r="T57" i="11" a="1"/>
  <c r="T57" i="11"/>
  <c r="Y57" i="11"/>
  <c r="Z57" i="11"/>
  <c r="T58" i="11" a="1"/>
  <c r="T58" i="11"/>
  <c r="Y58" i="11"/>
  <c r="Z58" i="11"/>
  <c r="T59" i="11" a="1"/>
  <c r="T59" i="11"/>
  <c r="Y59" i="11"/>
  <c r="Z59" i="11"/>
  <c r="T60" i="11" a="1"/>
  <c r="T60" i="11"/>
  <c r="Y60" i="11"/>
  <c r="Z60" i="11"/>
  <c r="T61" i="11" a="1"/>
  <c r="T61" i="11"/>
  <c r="Y61" i="11"/>
  <c r="Z61" i="11"/>
  <c r="T62" i="11" a="1"/>
  <c r="T62" i="11"/>
  <c r="Y62" i="11"/>
  <c r="Z62" i="11"/>
  <c r="T63" i="11" a="1"/>
  <c r="T63" i="11"/>
  <c r="Y63" i="11"/>
  <c r="Z63" i="11"/>
  <c r="T64" i="11" a="1"/>
  <c r="T64" i="11"/>
  <c r="Y64" i="11"/>
  <c r="Z64" i="11"/>
  <c r="T65" i="11" a="1"/>
  <c r="T65" i="11"/>
  <c r="Y65" i="11"/>
  <c r="Z65" i="11"/>
  <c r="T66" i="11" a="1"/>
  <c r="T66" i="11"/>
  <c r="Y66" i="11"/>
  <c r="Z66" i="11"/>
  <c r="T67" i="11" a="1"/>
  <c r="T67" i="11"/>
  <c r="Y67" i="11"/>
  <c r="Z67" i="11"/>
  <c r="T68" i="11" a="1"/>
  <c r="T68" i="11"/>
  <c r="Y68" i="11"/>
  <c r="Z68" i="11"/>
  <c r="T69" i="11" a="1"/>
  <c r="T69" i="11"/>
  <c r="Y69" i="11"/>
  <c r="Z69" i="11"/>
  <c r="T70" i="11" a="1"/>
  <c r="T70" i="11"/>
  <c r="Y70" i="11"/>
  <c r="Z70" i="11"/>
  <c r="T71" i="11" a="1"/>
  <c r="T71" i="11"/>
  <c r="Y71" i="11"/>
  <c r="Z71" i="11"/>
  <c r="T72" i="11" a="1"/>
  <c r="T72" i="11"/>
  <c r="Y72" i="11"/>
  <c r="Z72" i="11"/>
  <c r="T73" i="11" a="1"/>
  <c r="T73" i="11"/>
  <c r="Y73" i="11"/>
  <c r="Z73" i="11"/>
  <c r="T74" i="11" a="1"/>
  <c r="T74" i="11"/>
  <c r="Y74" i="11"/>
  <c r="Z74" i="11"/>
  <c r="T75" i="11" a="1"/>
  <c r="T75" i="11"/>
  <c r="Y75" i="11"/>
  <c r="Z75" i="11"/>
  <c r="T76" i="11" a="1"/>
  <c r="T76" i="11"/>
  <c r="Y76" i="11"/>
  <c r="Z76" i="11"/>
  <c r="T77" i="11" a="1"/>
  <c r="T77" i="11"/>
  <c r="Y77" i="11"/>
  <c r="Z77" i="11"/>
  <c r="T78" i="11" a="1"/>
  <c r="T78" i="11"/>
  <c r="Y78" i="11"/>
  <c r="Z78" i="11"/>
  <c r="T79" i="11" a="1"/>
  <c r="T79" i="11"/>
  <c r="Y79" i="11"/>
  <c r="Z79" i="11"/>
  <c r="T80" i="11" a="1"/>
  <c r="T80" i="11"/>
  <c r="Y80" i="11"/>
  <c r="Z80" i="11"/>
  <c r="T81" i="11" a="1"/>
  <c r="T81" i="11"/>
  <c r="Y81" i="11"/>
  <c r="Z81" i="11"/>
  <c r="T82" i="11" a="1"/>
  <c r="T82" i="11"/>
  <c r="Y82" i="11"/>
  <c r="Z82" i="11"/>
  <c r="T83" i="11" a="1"/>
  <c r="T83" i="11"/>
  <c r="Y83" i="11"/>
  <c r="Z83" i="11"/>
  <c r="T84" i="11" a="1"/>
  <c r="T84" i="11"/>
  <c r="Y84" i="11"/>
  <c r="Z84" i="11"/>
  <c r="T85" i="11" a="1"/>
  <c r="T85" i="11"/>
  <c r="Y85" i="11"/>
  <c r="Z85" i="11"/>
  <c r="T86" i="11" a="1"/>
  <c r="T86" i="11"/>
  <c r="Y86" i="11"/>
  <c r="Z86" i="11"/>
  <c r="T87" i="11" a="1"/>
  <c r="T87" i="11"/>
  <c r="Y87" i="11"/>
  <c r="Z87" i="11"/>
  <c r="T88" i="11" a="1"/>
  <c r="T88" i="11"/>
  <c r="Y88" i="11"/>
  <c r="Z88" i="11"/>
  <c r="T89" i="11" a="1"/>
  <c r="T89" i="11"/>
  <c r="Y89" i="11"/>
  <c r="Z89" i="11"/>
  <c r="T90" i="11" a="1"/>
  <c r="T90" i="11"/>
  <c r="Y90" i="11"/>
  <c r="Z90" i="11"/>
  <c r="T91" i="11" a="1"/>
  <c r="T91" i="11"/>
  <c r="Y91" i="11"/>
  <c r="Z91" i="11"/>
  <c r="T92" i="11" a="1"/>
  <c r="T92" i="11"/>
  <c r="Y92" i="11"/>
  <c r="Z92" i="11"/>
  <c r="T93" i="11" a="1"/>
  <c r="T93" i="11"/>
  <c r="Y93" i="11"/>
  <c r="Z93" i="11"/>
  <c r="T94" i="11" a="1"/>
  <c r="T94" i="11"/>
  <c r="Y94" i="11"/>
  <c r="Z94" i="11"/>
  <c r="T95" i="11" a="1"/>
  <c r="T95" i="11"/>
  <c r="Y95" i="11"/>
  <c r="Z95" i="11"/>
  <c r="T96" i="11" a="1"/>
  <c r="T96" i="11"/>
  <c r="Y96" i="11"/>
  <c r="Z96" i="11"/>
  <c r="T97" i="11" a="1"/>
  <c r="T97" i="11"/>
  <c r="Y97" i="11"/>
  <c r="Z97" i="11"/>
  <c r="T98" i="11" a="1"/>
  <c r="T98" i="11"/>
  <c r="Y98" i="11"/>
  <c r="Z98" i="11"/>
  <c r="T99" i="11" a="1"/>
  <c r="T99" i="11"/>
  <c r="Y99" i="11"/>
  <c r="Z99" i="11"/>
  <c r="T100" i="11" a="1"/>
  <c r="T100" i="11"/>
  <c r="Y100" i="11"/>
  <c r="Z100" i="11"/>
  <c r="T101" i="11" a="1"/>
  <c r="T101" i="11"/>
  <c r="Y101" i="11"/>
  <c r="Z101" i="11"/>
  <c r="T102" i="11" a="1"/>
  <c r="T102" i="11"/>
  <c r="Y102" i="11"/>
  <c r="Z102" i="11"/>
  <c r="T103" i="11" a="1"/>
  <c r="T103" i="11"/>
  <c r="Y103" i="11"/>
  <c r="Z103" i="11"/>
  <c r="T104" i="11" a="1"/>
  <c r="T104" i="11"/>
  <c r="Y104" i="11"/>
  <c r="Z104" i="11"/>
  <c r="T105" i="11" a="1"/>
  <c r="T105" i="11"/>
  <c r="Y105" i="11"/>
  <c r="Z105" i="11"/>
  <c r="T106" i="11" a="1"/>
  <c r="T106" i="11"/>
  <c r="Y106" i="11"/>
  <c r="Z106" i="11"/>
  <c r="T107" i="11" a="1"/>
  <c r="T107" i="11"/>
  <c r="Y107" i="11"/>
  <c r="Z107" i="11"/>
  <c r="T108" i="11" a="1"/>
  <c r="T108" i="11"/>
  <c r="Y108" i="11"/>
  <c r="Z108" i="11"/>
  <c r="T109" i="11" a="1"/>
  <c r="T109" i="11"/>
  <c r="Y109" i="11"/>
  <c r="Z109" i="11"/>
  <c r="T110" i="11" a="1"/>
  <c r="T110" i="11"/>
  <c r="Y110" i="11"/>
  <c r="Z110" i="11"/>
  <c r="T111" i="11" a="1"/>
  <c r="T111" i="11"/>
  <c r="Y111" i="11"/>
  <c r="Z111" i="11"/>
  <c r="T112" i="11" a="1"/>
  <c r="T112" i="11"/>
  <c r="Y112" i="11"/>
  <c r="Z112" i="11"/>
  <c r="T113" i="11" a="1"/>
  <c r="T113" i="11"/>
  <c r="Y113" i="11"/>
  <c r="Z113" i="11"/>
  <c r="T114" i="11" a="1"/>
  <c r="T114" i="11"/>
  <c r="Y114" i="11"/>
  <c r="Z114" i="11"/>
  <c r="T115" i="11" a="1"/>
  <c r="T115" i="11"/>
  <c r="Y115" i="11"/>
  <c r="Z115" i="11"/>
  <c r="T116" i="11" a="1"/>
  <c r="T116" i="11"/>
  <c r="Y116" i="11"/>
  <c r="Z116" i="11"/>
  <c r="T117" i="11" a="1"/>
  <c r="T117" i="11"/>
  <c r="Y117" i="11"/>
  <c r="Z117" i="11"/>
  <c r="T118" i="11" a="1"/>
  <c r="T118" i="11"/>
  <c r="Y118" i="11"/>
  <c r="Z118" i="11"/>
  <c r="T119" i="11" a="1"/>
  <c r="T119" i="11"/>
  <c r="Y119" i="11"/>
  <c r="Z119" i="11"/>
  <c r="T120" i="11" a="1"/>
  <c r="T120" i="11"/>
  <c r="Y120" i="11"/>
  <c r="Z120" i="11"/>
  <c r="T121" i="11" a="1"/>
  <c r="T121" i="11"/>
  <c r="Y121" i="11"/>
  <c r="Z121" i="11"/>
  <c r="T122" i="11" a="1"/>
  <c r="T122" i="11"/>
  <c r="Y122" i="11"/>
  <c r="Z122" i="11"/>
  <c r="T123" i="11" a="1"/>
  <c r="T123" i="11"/>
  <c r="Y123" i="11"/>
  <c r="Z123" i="11"/>
  <c r="T124" i="11" a="1"/>
  <c r="T124" i="11"/>
  <c r="Y124" i="11"/>
  <c r="Z124" i="11"/>
  <c r="T125" i="11" a="1"/>
  <c r="T125" i="11"/>
  <c r="Y125" i="11"/>
  <c r="Z125" i="11"/>
  <c r="T126" i="11" a="1"/>
  <c r="T126" i="11"/>
  <c r="Y126" i="11"/>
  <c r="Z126" i="11"/>
  <c r="T127" i="11" a="1"/>
  <c r="T127" i="11"/>
  <c r="Y127" i="11"/>
  <c r="Z127" i="11"/>
  <c r="T128" i="11" a="1"/>
  <c r="T128" i="11"/>
  <c r="Y128" i="11"/>
  <c r="Z128" i="11"/>
  <c r="T129" i="11" a="1"/>
  <c r="T129" i="11"/>
  <c r="Y129" i="11"/>
  <c r="Z129" i="11"/>
  <c r="T130" i="11" a="1"/>
  <c r="T130" i="11"/>
  <c r="Y130" i="11"/>
  <c r="Z130" i="11"/>
  <c r="T131" i="11" a="1"/>
  <c r="T131" i="11"/>
  <c r="Y131" i="11"/>
  <c r="Z131" i="11"/>
  <c r="T132" i="11" a="1"/>
  <c r="T132" i="11"/>
  <c r="Y132" i="11"/>
  <c r="Z132" i="11"/>
  <c r="T133" i="11" a="1"/>
  <c r="T133" i="11"/>
  <c r="Y133" i="11"/>
  <c r="Z133" i="11"/>
  <c r="T134" i="11" a="1"/>
  <c r="T134" i="11"/>
  <c r="Y134" i="11"/>
  <c r="Z134" i="11"/>
  <c r="T135" i="11" a="1"/>
  <c r="T135" i="11"/>
  <c r="Y135" i="11"/>
  <c r="Z135" i="11"/>
  <c r="T136" i="11" a="1"/>
  <c r="T136" i="11"/>
  <c r="Y136" i="11"/>
  <c r="Z136" i="11"/>
  <c r="T137" i="11" a="1"/>
  <c r="T137" i="11"/>
  <c r="Y137" i="11"/>
  <c r="Z137" i="11"/>
  <c r="T138" i="11" a="1"/>
  <c r="T138" i="11"/>
  <c r="Y138" i="11"/>
  <c r="Z138" i="11"/>
  <c r="T139" i="11" a="1"/>
  <c r="T139" i="11"/>
  <c r="Y139" i="11"/>
  <c r="Z139" i="11"/>
  <c r="T140" i="11" a="1"/>
  <c r="T140" i="11"/>
  <c r="Y140" i="11"/>
  <c r="Z140" i="11"/>
  <c r="T141" i="11" a="1"/>
  <c r="T141" i="11"/>
  <c r="Y141" i="11"/>
  <c r="Z141" i="11"/>
  <c r="T142" i="11" a="1"/>
  <c r="T142" i="11"/>
  <c r="Y142" i="11"/>
  <c r="Z142" i="11"/>
  <c r="T143" i="11" a="1"/>
  <c r="T143" i="11"/>
  <c r="Y143" i="11"/>
  <c r="Z143" i="11"/>
  <c r="T144" i="11" a="1"/>
  <c r="T144" i="11"/>
  <c r="Y144" i="11"/>
  <c r="Z144" i="11"/>
  <c r="T145" i="11" a="1"/>
  <c r="T145" i="11"/>
  <c r="Y145" i="11"/>
  <c r="Z145" i="11"/>
  <c r="T146" i="11" a="1"/>
  <c r="T146" i="11"/>
  <c r="Y146" i="11"/>
  <c r="Z146" i="11"/>
  <c r="T147" i="11" a="1"/>
  <c r="T147" i="11"/>
  <c r="Y147" i="11"/>
  <c r="Z147" i="11"/>
  <c r="T148" i="11" a="1"/>
  <c r="T148" i="11"/>
  <c r="Y148" i="11"/>
  <c r="Z148" i="11"/>
  <c r="T149" i="11" a="1"/>
  <c r="T149" i="11"/>
  <c r="Y149" i="11"/>
  <c r="Z149" i="11"/>
  <c r="T150" i="11" a="1"/>
  <c r="T150" i="11"/>
  <c r="Y150" i="11"/>
  <c r="Z150" i="11"/>
  <c r="T151" i="11" a="1"/>
  <c r="T151" i="11"/>
  <c r="Y151" i="11"/>
  <c r="Z151" i="11"/>
  <c r="T152" i="11" a="1"/>
  <c r="T152" i="11"/>
  <c r="Y152" i="11"/>
  <c r="Z152" i="11"/>
  <c r="T153" i="11" a="1"/>
  <c r="T153" i="11"/>
  <c r="Y153" i="11"/>
  <c r="Z153" i="11"/>
  <c r="T154" i="11" a="1"/>
  <c r="T154" i="11"/>
  <c r="Y154" i="11"/>
  <c r="Z154" i="11"/>
  <c r="T155" i="11" a="1"/>
  <c r="T155" i="11"/>
  <c r="Y155" i="11"/>
  <c r="Z155" i="11"/>
  <c r="T156" i="11" a="1"/>
  <c r="T156" i="11"/>
  <c r="Y156" i="11"/>
  <c r="Z156" i="11"/>
  <c r="T157" i="11" a="1"/>
  <c r="T157" i="11"/>
  <c r="Y157" i="11"/>
  <c r="Z157" i="11"/>
  <c r="T158" i="11" a="1"/>
  <c r="T158" i="11"/>
  <c r="Y158" i="11"/>
  <c r="Z158" i="11"/>
  <c r="T159" i="11" a="1"/>
  <c r="T159" i="11"/>
  <c r="Y159" i="11"/>
  <c r="Z159" i="11"/>
  <c r="T160" i="11" a="1"/>
  <c r="T160" i="11"/>
  <c r="Y160" i="11"/>
  <c r="Z160" i="11"/>
  <c r="T161" i="11" a="1"/>
  <c r="T161" i="11"/>
  <c r="Y161" i="11"/>
  <c r="Z161" i="11"/>
  <c r="T162" i="11" a="1"/>
  <c r="T162" i="11"/>
  <c r="Y162" i="11"/>
  <c r="Z162" i="11"/>
  <c r="T163" i="11" a="1"/>
  <c r="T163" i="11"/>
  <c r="Y163" i="11"/>
  <c r="Z163" i="11"/>
  <c r="T164" i="11" a="1"/>
  <c r="T164" i="11"/>
  <c r="Y164" i="11"/>
  <c r="Z164" i="11"/>
  <c r="T165" i="11" a="1"/>
  <c r="T165" i="11"/>
  <c r="Y165" i="11"/>
  <c r="Z165" i="11"/>
  <c r="T166" i="11" a="1"/>
  <c r="T166" i="11"/>
  <c r="Y166" i="11"/>
  <c r="Z166" i="11"/>
  <c r="T167" i="11" a="1"/>
  <c r="T167" i="11"/>
  <c r="Y167" i="11"/>
  <c r="Z167" i="11"/>
  <c r="T168" i="11" a="1"/>
  <c r="T168" i="11"/>
  <c r="Y168" i="11"/>
  <c r="Z168" i="11"/>
  <c r="T169" i="11" a="1"/>
  <c r="T169" i="11"/>
  <c r="Y169" i="11"/>
  <c r="Z169" i="11"/>
  <c r="T170" i="11" a="1"/>
  <c r="T170" i="11"/>
  <c r="Y170" i="11"/>
  <c r="Z170" i="11"/>
  <c r="T171" i="11" a="1"/>
  <c r="T171" i="11"/>
  <c r="Y171" i="11"/>
  <c r="Z171" i="11"/>
  <c r="T172" i="11" a="1"/>
  <c r="T172" i="11"/>
  <c r="Y172" i="11"/>
  <c r="Z172" i="11"/>
  <c r="T173" i="11" a="1"/>
  <c r="T173" i="11"/>
  <c r="Y173" i="11"/>
  <c r="Z173" i="11"/>
  <c r="T174" i="11" a="1"/>
  <c r="T174" i="11"/>
  <c r="Y174" i="11"/>
  <c r="Z174" i="11"/>
  <c r="T175" i="11" a="1"/>
  <c r="T175" i="11"/>
  <c r="Y175" i="11"/>
  <c r="Z175" i="11"/>
  <c r="T176" i="11" a="1"/>
  <c r="T176" i="11"/>
  <c r="Y176" i="11"/>
  <c r="Z176" i="11"/>
  <c r="T177" i="11" a="1"/>
  <c r="T177" i="11"/>
  <c r="Y177" i="11"/>
  <c r="Z177" i="11"/>
  <c r="T178" i="11" a="1"/>
  <c r="T178" i="11"/>
  <c r="Y178" i="11"/>
  <c r="Z178" i="11"/>
  <c r="T179" i="11" a="1"/>
  <c r="T179" i="11"/>
  <c r="Y179" i="11"/>
  <c r="Z179" i="11"/>
  <c r="T180" i="11" a="1"/>
  <c r="T180" i="11"/>
  <c r="Y180" i="11"/>
  <c r="Z180" i="11"/>
  <c r="T181" i="11" a="1"/>
  <c r="T181" i="11"/>
  <c r="Y181" i="11"/>
  <c r="Z181" i="11"/>
  <c r="T182" i="11" a="1"/>
  <c r="T182" i="11"/>
  <c r="Y182" i="11"/>
  <c r="Z182" i="11"/>
  <c r="T183" i="11" a="1"/>
  <c r="T183" i="11"/>
  <c r="Y183" i="11"/>
  <c r="Z183" i="11"/>
  <c r="T184" i="11" a="1"/>
  <c r="T184" i="11"/>
  <c r="Y184" i="11"/>
  <c r="Z184" i="11"/>
  <c r="T185" i="11" a="1"/>
  <c r="T185" i="11"/>
  <c r="Y185" i="11"/>
  <c r="Z185" i="11"/>
  <c r="T186" i="11" a="1"/>
  <c r="T186" i="11"/>
  <c r="Y186" i="11"/>
  <c r="Z186" i="11"/>
  <c r="T187" i="11" a="1"/>
  <c r="T187" i="11"/>
  <c r="Y187" i="11"/>
  <c r="Z187" i="11"/>
  <c r="T188" i="11" a="1"/>
  <c r="T188" i="11"/>
  <c r="Y188" i="11"/>
  <c r="Z188" i="11"/>
  <c r="T189" i="11" a="1"/>
  <c r="T189" i="11"/>
  <c r="Y189" i="11"/>
  <c r="Z189" i="11"/>
  <c r="T190" i="11" a="1"/>
  <c r="T190" i="11"/>
  <c r="Y190" i="11"/>
  <c r="Z190" i="11"/>
  <c r="T191" i="11" a="1"/>
  <c r="T191" i="11"/>
  <c r="Y191" i="11"/>
  <c r="Z191" i="11"/>
  <c r="T192" i="11" a="1"/>
  <c r="T192" i="11"/>
  <c r="Y192" i="11"/>
  <c r="Z192" i="11"/>
  <c r="T193" i="11" a="1"/>
  <c r="T193" i="11"/>
  <c r="Y193" i="11"/>
  <c r="Z193" i="11"/>
  <c r="T194" i="11" a="1"/>
  <c r="T194" i="11"/>
  <c r="Y194" i="11"/>
  <c r="Z194" i="11"/>
  <c r="T195" i="11" a="1"/>
  <c r="T195" i="11"/>
  <c r="Y195" i="11"/>
  <c r="Z195" i="11"/>
  <c r="T196" i="11" a="1"/>
  <c r="T196" i="11"/>
  <c r="Y196" i="11"/>
  <c r="Z196" i="11"/>
  <c r="T197" i="11" a="1"/>
  <c r="T197" i="11"/>
  <c r="Y197" i="11"/>
  <c r="Z197" i="11"/>
  <c r="T198" i="11" a="1"/>
  <c r="T198" i="11"/>
  <c r="Y198" i="11"/>
  <c r="Z198" i="11"/>
  <c r="T199" i="11" a="1"/>
  <c r="T199" i="11"/>
  <c r="Y199" i="11"/>
  <c r="Z199" i="11"/>
  <c r="T200" i="11" a="1"/>
  <c r="T200" i="11"/>
  <c r="Y200" i="11"/>
  <c r="Z200" i="11"/>
  <c r="T201" i="11" a="1"/>
  <c r="T201" i="11"/>
  <c r="Y201" i="11"/>
  <c r="Z201" i="11"/>
  <c r="T202" i="11" a="1"/>
  <c r="T202" i="11"/>
  <c r="Y202" i="11"/>
  <c r="Z202" i="11"/>
  <c r="T203" i="11" a="1"/>
  <c r="T203" i="11"/>
  <c r="Y203" i="11"/>
  <c r="Z203" i="11"/>
  <c r="T204" i="11" a="1"/>
  <c r="T204" i="11"/>
  <c r="Y204" i="11"/>
  <c r="Z204" i="11"/>
  <c r="T205" i="11" a="1"/>
  <c r="T205" i="11"/>
  <c r="Y205" i="11"/>
  <c r="Z205" i="11"/>
  <c r="T206" i="11" a="1"/>
  <c r="T206" i="11"/>
  <c r="Y206" i="11"/>
  <c r="Z206" i="11"/>
  <c r="T207" i="11" a="1"/>
  <c r="T207" i="11"/>
  <c r="Y207" i="11"/>
  <c r="Z207" i="11"/>
  <c r="T208" i="11" a="1"/>
  <c r="T208" i="11"/>
  <c r="Y208" i="11"/>
  <c r="Z208" i="11"/>
  <c r="T209" i="11" a="1"/>
  <c r="T209" i="11"/>
  <c r="Y209" i="11"/>
  <c r="Z209" i="11"/>
  <c r="T210" i="11" a="1"/>
  <c r="T210" i="11"/>
  <c r="Y210" i="11"/>
  <c r="Z210" i="11"/>
  <c r="T211" i="11" a="1"/>
  <c r="T211" i="11"/>
  <c r="Y211" i="11"/>
  <c r="Z211" i="11"/>
  <c r="T212" i="11" a="1"/>
  <c r="T212" i="11"/>
  <c r="Y212" i="11"/>
  <c r="Z212" i="11"/>
  <c r="T213" i="11" a="1"/>
  <c r="T213" i="11"/>
  <c r="Y213" i="11"/>
  <c r="Z213" i="11"/>
  <c r="T214" i="11" a="1"/>
  <c r="T214" i="11"/>
  <c r="Y214" i="11"/>
  <c r="Z214" i="11"/>
  <c r="T215" i="11" a="1"/>
  <c r="T215" i="11"/>
  <c r="Y215" i="11"/>
  <c r="Z215" i="11"/>
  <c r="T216" i="11" a="1"/>
  <c r="T216" i="11"/>
  <c r="Y216" i="11"/>
  <c r="Z216" i="11"/>
  <c r="T217" i="11" a="1"/>
  <c r="T217" i="11"/>
  <c r="Y217" i="11"/>
  <c r="Z217" i="11"/>
  <c r="T218" i="11" a="1"/>
  <c r="T218" i="11"/>
  <c r="Y218" i="11"/>
  <c r="Z218" i="11"/>
  <c r="T219" i="11" a="1"/>
  <c r="T219" i="11"/>
  <c r="Y219" i="11"/>
  <c r="Z219" i="11"/>
  <c r="T220" i="11" a="1"/>
  <c r="T220" i="11"/>
  <c r="Y220" i="11"/>
  <c r="Z220" i="11"/>
  <c r="T221" i="11" a="1"/>
  <c r="T221" i="11"/>
  <c r="Y221" i="11"/>
  <c r="Z221" i="11"/>
  <c r="T222" i="11" a="1"/>
  <c r="T222" i="11"/>
  <c r="Y222" i="11"/>
  <c r="Z222" i="11"/>
  <c r="T223" i="11" a="1"/>
  <c r="T223" i="11"/>
  <c r="Y223" i="11"/>
  <c r="Z223" i="11"/>
  <c r="T224" i="11" a="1"/>
  <c r="T224" i="11"/>
  <c r="Y224" i="11"/>
  <c r="Z224" i="11"/>
  <c r="T225" i="11" a="1"/>
  <c r="T225" i="11"/>
  <c r="Y225" i="11"/>
  <c r="Z225" i="11"/>
  <c r="T226" i="11" a="1"/>
  <c r="T226" i="11"/>
  <c r="Y226" i="11"/>
  <c r="Z226" i="11"/>
  <c r="T227" i="11" a="1"/>
  <c r="T227" i="11"/>
  <c r="Y227" i="11"/>
  <c r="Z227" i="11"/>
  <c r="T228" i="11" a="1"/>
  <c r="T228" i="11"/>
  <c r="Y228" i="11"/>
  <c r="Z228" i="11"/>
  <c r="T229" i="11" a="1"/>
  <c r="T229" i="11"/>
  <c r="Y229" i="11"/>
  <c r="Z229" i="11"/>
  <c r="T230" i="11" a="1"/>
  <c r="T230" i="11"/>
  <c r="Y230" i="11"/>
  <c r="Z230" i="11"/>
  <c r="T231" i="11" a="1"/>
  <c r="T231" i="11"/>
  <c r="Y231" i="11"/>
  <c r="Z231" i="11"/>
  <c r="T232" i="11" a="1"/>
  <c r="T232" i="11"/>
  <c r="Y232" i="11"/>
  <c r="Z232" i="11"/>
  <c r="T233" i="11" a="1"/>
  <c r="T233" i="11"/>
  <c r="Y233" i="11"/>
  <c r="Z233" i="11"/>
  <c r="T234" i="11" a="1"/>
  <c r="T234" i="11"/>
  <c r="Y234" i="11"/>
  <c r="Z234" i="11"/>
  <c r="T235" i="11" a="1"/>
  <c r="T235" i="11"/>
  <c r="Y235" i="11"/>
  <c r="Z235" i="11"/>
  <c r="T236" i="11" a="1"/>
  <c r="T236" i="11"/>
  <c r="Y236" i="11"/>
  <c r="Z236" i="11"/>
  <c r="T237" i="11" a="1"/>
  <c r="T237" i="11"/>
  <c r="Y237" i="11"/>
  <c r="Z237" i="11"/>
  <c r="T238" i="11" a="1"/>
  <c r="T238" i="11"/>
  <c r="Y238" i="11"/>
  <c r="Z238" i="11"/>
  <c r="T239" i="11" a="1"/>
  <c r="T239" i="11"/>
  <c r="Y239" i="11"/>
  <c r="Z239" i="11"/>
  <c r="T240" i="11" a="1"/>
  <c r="T240" i="11"/>
  <c r="Y240" i="11"/>
  <c r="Z240" i="11"/>
  <c r="T241" i="11" a="1"/>
  <c r="T241" i="11"/>
  <c r="Y241" i="11"/>
  <c r="Z241" i="11"/>
  <c r="T242" i="11" a="1"/>
  <c r="T242" i="11"/>
  <c r="Y242" i="11"/>
  <c r="Z242" i="11"/>
  <c r="T243" i="11" a="1"/>
  <c r="T243" i="11"/>
  <c r="Y243" i="11"/>
  <c r="Z243" i="11"/>
  <c r="T244" i="11" a="1"/>
  <c r="T244" i="11"/>
  <c r="Y244" i="11"/>
  <c r="Z244" i="11"/>
  <c r="T245" i="11" a="1"/>
  <c r="T245" i="11"/>
  <c r="Y245" i="11"/>
  <c r="Z245" i="11"/>
  <c r="T246" i="11" a="1"/>
  <c r="T246" i="11"/>
  <c r="Y246" i="11"/>
  <c r="Z246" i="11"/>
  <c r="T247" i="11" a="1"/>
  <c r="T247" i="11"/>
  <c r="Y247" i="11"/>
  <c r="Z247" i="11"/>
  <c r="T248" i="11" a="1"/>
  <c r="T248" i="11"/>
  <c r="Y248" i="11"/>
  <c r="Z248" i="11"/>
  <c r="T249" i="11" a="1"/>
  <c r="T249" i="11"/>
  <c r="Y249" i="11"/>
  <c r="Z249" i="11"/>
  <c r="T250" i="11" a="1"/>
  <c r="T250" i="11"/>
  <c r="Y250" i="11"/>
  <c r="Z250" i="11"/>
  <c r="T251" i="11" a="1"/>
  <c r="T251" i="11"/>
  <c r="Y251" i="11"/>
  <c r="Z251" i="11"/>
  <c r="T252" i="11" a="1"/>
  <c r="T252" i="11"/>
  <c r="Y252" i="11"/>
  <c r="Z252" i="11"/>
  <c r="T253" i="11" a="1"/>
  <c r="T253" i="11"/>
  <c r="Y253" i="11"/>
  <c r="Z253" i="11"/>
  <c r="T254" i="11" a="1"/>
  <c r="T254" i="11"/>
  <c r="Y254" i="11"/>
  <c r="Z254" i="11"/>
  <c r="T255" i="11" a="1"/>
  <c r="T255" i="11"/>
  <c r="Y255" i="11"/>
  <c r="Z255" i="11"/>
  <c r="T256" i="11" a="1"/>
  <c r="T256" i="11"/>
  <c r="Y256" i="11"/>
  <c r="Z256" i="11"/>
  <c r="T257" i="11" a="1"/>
  <c r="T257" i="11"/>
  <c r="Y257" i="11"/>
  <c r="Z257" i="11"/>
  <c r="T258" i="11" a="1"/>
  <c r="T258" i="11"/>
  <c r="Y258" i="11"/>
  <c r="Z258" i="11"/>
  <c r="T259" i="11" a="1"/>
  <c r="T259" i="11"/>
  <c r="Y259" i="11"/>
  <c r="Z259" i="11"/>
  <c r="T260" i="11" a="1"/>
  <c r="T260" i="11"/>
  <c r="Y260" i="11"/>
  <c r="Z260" i="11"/>
  <c r="T261" i="11" a="1"/>
  <c r="T261" i="11"/>
  <c r="Y261" i="11"/>
  <c r="Z261" i="11"/>
  <c r="T262" i="11" a="1"/>
  <c r="T262" i="11"/>
  <c r="Y262" i="11"/>
  <c r="Z262" i="11"/>
  <c r="T263" i="11" a="1"/>
  <c r="T263" i="11"/>
  <c r="Y263" i="11"/>
  <c r="Z263" i="11"/>
  <c r="T264" i="11" a="1"/>
  <c r="T264" i="11"/>
  <c r="Y264" i="11"/>
  <c r="Z264" i="11"/>
  <c r="T265" i="11" a="1"/>
  <c r="T265" i="11"/>
  <c r="Y265" i="11"/>
  <c r="Z265" i="11"/>
  <c r="T266" i="11" a="1"/>
  <c r="T266" i="11"/>
  <c r="Y266" i="11"/>
  <c r="Z266" i="11"/>
  <c r="T267" i="11" a="1"/>
  <c r="T267" i="11"/>
  <c r="Y267" i="11"/>
  <c r="Z267" i="11"/>
  <c r="T268" i="11" a="1"/>
  <c r="T268" i="11"/>
  <c r="Y268" i="11"/>
  <c r="Z268" i="11"/>
  <c r="T269" i="11" a="1"/>
  <c r="T269" i="11"/>
  <c r="Y269" i="11"/>
  <c r="Z269" i="11"/>
  <c r="T270" i="11" a="1"/>
  <c r="T270" i="11"/>
  <c r="Y270" i="11"/>
  <c r="Z270" i="11"/>
  <c r="T271" i="11" a="1"/>
  <c r="T271" i="11"/>
  <c r="Y271" i="11"/>
  <c r="Z271" i="11"/>
  <c r="T272" i="11" a="1"/>
  <c r="T272" i="11"/>
  <c r="Y272" i="11"/>
  <c r="Z272" i="11"/>
  <c r="T273" i="11" a="1"/>
  <c r="T273" i="11"/>
  <c r="Y273" i="11"/>
  <c r="Z273" i="11"/>
  <c r="T274" i="11" a="1"/>
  <c r="T274" i="11"/>
  <c r="Y274" i="11"/>
  <c r="Z274" i="11"/>
  <c r="T275" i="11" a="1"/>
  <c r="T275" i="11"/>
  <c r="Y275" i="11"/>
  <c r="Z275" i="11"/>
  <c r="T276" i="11" a="1"/>
  <c r="T276" i="11"/>
  <c r="Y276" i="11"/>
  <c r="Z276" i="11"/>
  <c r="T277" i="11" a="1"/>
  <c r="T277" i="11"/>
  <c r="Y277" i="11"/>
  <c r="Z277" i="11"/>
  <c r="T278" i="11" a="1"/>
  <c r="T278" i="11"/>
  <c r="Y278" i="11"/>
  <c r="Z278" i="11"/>
  <c r="T279" i="11" a="1"/>
  <c r="T279" i="11"/>
  <c r="Y279" i="11"/>
  <c r="Z279" i="11"/>
  <c r="T280" i="11" a="1"/>
  <c r="T280" i="11"/>
  <c r="Y280" i="11"/>
  <c r="Z280" i="11"/>
  <c r="T281" i="11" a="1"/>
  <c r="T281" i="11"/>
  <c r="Y281" i="11"/>
  <c r="Z281" i="11"/>
  <c r="T282" i="11" a="1"/>
  <c r="T282" i="11"/>
  <c r="Y282" i="11"/>
  <c r="Z282" i="11"/>
  <c r="T283" i="11" a="1"/>
  <c r="T283" i="11"/>
  <c r="Y283" i="11"/>
  <c r="Z283" i="11"/>
  <c r="T284" i="11" a="1"/>
  <c r="T284" i="11"/>
  <c r="Y284" i="11"/>
  <c r="Z284" i="11"/>
  <c r="T285" i="11" a="1"/>
  <c r="T285" i="11"/>
  <c r="Y285" i="11"/>
  <c r="Z285" i="11"/>
  <c r="T286" i="11" a="1"/>
  <c r="T286" i="11"/>
  <c r="Y286" i="11"/>
  <c r="Z286" i="11"/>
  <c r="T287" i="11" a="1"/>
  <c r="T287" i="11"/>
  <c r="Y287" i="11"/>
  <c r="Z287" i="11"/>
  <c r="T288" i="11" a="1"/>
  <c r="T288" i="11"/>
  <c r="Y288" i="11"/>
  <c r="Z288" i="11"/>
  <c r="T289" i="11" a="1"/>
  <c r="T289" i="11"/>
  <c r="Y289" i="11"/>
  <c r="Z289" i="11"/>
  <c r="T290" i="11" a="1"/>
  <c r="T290" i="11"/>
  <c r="Y290" i="11"/>
  <c r="Z290" i="11"/>
  <c r="T291" i="11" a="1"/>
  <c r="T291" i="11"/>
  <c r="Y291" i="11"/>
  <c r="Z291" i="11"/>
  <c r="T292" i="11" a="1"/>
  <c r="T292" i="11"/>
  <c r="Y292" i="11"/>
  <c r="Z292" i="11"/>
  <c r="T293" i="11" a="1"/>
  <c r="T293" i="11"/>
  <c r="Y293" i="11"/>
  <c r="Z293" i="11"/>
  <c r="T294" i="11" a="1"/>
  <c r="T294" i="11"/>
  <c r="Y294" i="11"/>
  <c r="Z294" i="11"/>
  <c r="T295" i="11" a="1"/>
  <c r="T295" i="11"/>
  <c r="Y295" i="11"/>
  <c r="Z295" i="11"/>
  <c r="T296" i="11" a="1"/>
  <c r="T296" i="11"/>
  <c r="Y296" i="11"/>
  <c r="Z296" i="11"/>
  <c r="T297" i="11" a="1"/>
  <c r="T297" i="11"/>
  <c r="Y297" i="11"/>
  <c r="Z297" i="11"/>
  <c r="T298" i="11" a="1"/>
  <c r="T298" i="11"/>
  <c r="Y298" i="11"/>
  <c r="Z298" i="11"/>
  <c r="T299" i="11" a="1"/>
  <c r="T299" i="11"/>
  <c r="Y299" i="11"/>
  <c r="Z299" i="11"/>
  <c r="T300" i="11" a="1"/>
  <c r="T300" i="11"/>
  <c r="Y300" i="11"/>
  <c r="Z300" i="11"/>
  <c r="T301" i="11" a="1"/>
  <c r="T301" i="11"/>
  <c r="Y301" i="11"/>
  <c r="Z301" i="11"/>
  <c r="T302" i="11" a="1"/>
  <c r="T302" i="11"/>
  <c r="Y302" i="11"/>
  <c r="Z302" i="11"/>
  <c r="T303" i="11" a="1"/>
  <c r="T303" i="11"/>
  <c r="Y303" i="11"/>
  <c r="Z303" i="11"/>
  <c r="T304" i="11" a="1"/>
  <c r="T304" i="11"/>
  <c r="Y304" i="11"/>
  <c r="Z304" i="11"/>
  <c r="T305" i="11" a="1"/>
  <c r="T305" i="11"/>
  <c r="Y305" i="11"/>
  <c r="Z305" i="11"/>
  <c r="T306" i="11" a="1"/>
  <c r="T306" i="11"/>
  <c r="Y306" i="11"/>
  <c r="Z306" i="11"/>
  <c r="T307" i="11" a="1"/>
  <c r="T307" i="11"/>
  <c r="Y307" i="11"/>
  <c r="Z307" i="11"/>
  <c r="T308" i="11" a="1"/>
  <c r="T308" i="11"/>
  <c r="Y308" i="11"/>
  <c r="Z308" i="11"/>
  <c r="T309" i="11" a="1"/>
  <c r="T309" i="11"/>
  <c r="Y309" i="11"/>
  <c r="Z309" i="11"/>
  <c r="T310" i="11" a="1"/>
  <c r="T310" i="11"/>
  <c r="Y310" i="11"/>
  <c r="Z310" i="11"/>
  <c r="T311" i="11" a="1"/>
  <c r="T311" i="11"/>
  <c r="Y311" i="11"/>
  <c r="Z311" i="11"/>
  <c r="T312" i="11" a="1"/>
  <c r="T312" i="11"/>
  <c r="Y312" i="11"/>
  <c r="Z312" i="11"/>
  <c r="T313" i="11" a="1"/>
  <c r="T313" i="11"/>
  <c r="Y313" i="11"/>
  <c r="Z313" i="11"/>
  <c r="T314" i="11" a="1"/>
  <c r="T314" i="11"/>
  <c r="Y314" i="11"/>
  <c r="Z314" i="11"/>
  <c r="Z11" i="11"/>
  <c r="AA15" i="11"/>
  <c r="AB15" i="11"/>
  <c r="AC15" i="11"/>
  <c r="AA16" i="11"/>
  <c r="AB16" i="11"/>
  <c r="AC16" i="11"/>
  <c r="AA17" i="11"/>
  <c r="AB17" i="11"/>
  <c r="AC17" i="11"/>
  <c r="AA18" i="11"/>
  <c r="AB18" i="11"/>
  <c r="AC18" i="11"/>
  <c r="AA19" i="11"/>
  <c r="AB19" i="11"/>
  <c r="AC19" i="11"/>
  <c r="AA20" i="11"/>
  <c r="AB20" i="11"/>
  <c r="AC20" i="11"/>
  <c r="AA21" i="11"/>
  <c r="AB21" i="11"/>
  <c r="AC21" i="11"/>
  <c r="AA22" i="11"/>
  <c r="AB22" i="11"/>
  <c r="AC22" i="11"/>
  <c r="AA23" i="11"/>
  <c r="AB23" i="11"/>
  <c r="AC23" i="11"/>
  <c r="AA24" i="11"/>
  <c r="AB24" i="11"/>
  <c r="AC24" i="11"/>
  <c r="AA25" i="11"/>
  <c r="AB25" i="11"/>
  <c r="AC25" i="11"/>
  <c r="AA26" i="11"/>
  <c r="AB26" i="11"/>
  <c r="AC26" i="11"/>
  <c r="AA27" i="11"/>
  <c r="AB27" i="11"/>
  <c r="AC27" i="11"/>
  <c r="AA28" i="11"/>
  <c r="AB28" i="11"/>
  <c r="AC28" i="11"/>
  <c r="AA29" i="11"/>
  <c r="AB29" i="11"/>
  <c r="AC29" i="11"/>
  <c r="AA30" i="11"/>
  <c r="AB30" i="11"/>
  <c r="AC30" i="11"/>
  <c r="AA31" i="11"/>
  <c r="AB31" i="11"/>
  <c r="AC31" i="11"/>
  <c r="AA32" i="11"/>
  <c r="AB32" i="11"/>
  <c r="AC32" i="11"/>
  <c r="AA33" i="11"/>
  <c r="AB33" i="11"/>
  <c r="AC33" i="11"/>
  <c r="AA34" i="11"/>
  <c r="AB34" i="11"/>
  <c r="AC34" i="11"/>
  <c r="AA35" i="11"/>
  <c r="AB35" i="11"/>
  <c r="AC35" i="11"/>
  <c r="AA36" i="11"/>
  <c r="AB36" i="11"/>
  <c r="AC36" i="11"/>
  <c r="AA37" i="11"/>
  <c r="AB37" i="11"/>
  <c r="AC37" i="11"/>
  <c r="AA38" i="11"/>
  <c r="AB38" i="11"/>
  <c r="AC38" i="11"/>
  <c r="AA39" i="11"/>
  <c r="AB39" i="11"/>
  <c r="AC39" i="11"/>
  <c r="AA40" i="11"/>
  <c r="AB40" i="11"/>
  <c r="AC40" i="11"/>
  <c r="AA41" i="11"/>
  <c r="AB41" i="11"/>
  <c r="AC41" i="11"/>
  <c r="AA42" i="11"/>
  <c r="AB42" i="11"/>
  <c r="AC42" i="11"/>
  <c r="AA43" i="11"/>
  <c r="AB43" i="11"/>
  <c r="AC43" i="11"/>
  <c r="AA44" i="11"/>
  <c r="AB44" i="11"/>
  <c r="AC44" i="11"/>
  <c r="AA45" i="11"/>
  <c r="AB45" i="11"/>
  <c r="AC45" i="11"/>
  <c r="AA46" i="11"/>
  <c r="AB46" i="11"/>
  <c r="AC46" i="11"/>
  <c r="AA47" i="11"/>
  <c r="AB47" i="11"/>
  <c r="AC47" i="11"/>
  <c r="AA48" i="11"/>
  <c r="AB48" i="11"/>
  <c r="AC48" i="11"/>
  <c r="AA49" i="11"/>
  <c r="AB49" i="11"/>
  <c r="AC49" i="11"/>
  <c r="AA50" i="11"/>
  <c r="AB50" i="11"/>
  <c r="AC50" i="11"/>
  <c r="AA51" i="11"/>
  <c r="AB51" i="11"/>
  <c r="AC51" i="11"/>
  <c r="AA52" i="11"/>
  <c r="AB52" i="11"/>
  <c r="AC52" i="11"/>
  <c r="AA53" i="11"/>
  <c r="AB53" i="11"/>
  <c r="AC53" i="11"/>
  <c r="AA54" i="11"/>
  <c r="AB54" i="11"/>
  <c r="AC54" i="11"/>
  <c r="AA55" i="11"/>
  <c r="AB55" i="11"/>
  <c r="AC55" i="11"/>
  <c r="AA56" i="11"/>
  <c r="AB56" i="11"/>
  <c r="AC56" i="11"/>
  <c r="AA57" i="11"/>
  <c r="AB57" i="11"/>
  <c r="AC57" i="11"/>
  <c r="AA58" i="11"/>
  <c r="AB58" i="11"/>
  <c r="AC58" i="11"/>
  <c r="AA59" i="11"/>
  <c r="AB59" i="11"/>
  <c r="AC59" i="11"/>
  <c r="AA60" i="11"/>
  <c r="AB60" i="11"/>
  <c r="AC60" i="11"/>
  <c r="AA61" i="11"/>
  <c r="AB61" i="11"/>
  <c r="AC61" i="11"/>
  <c r="AA62" i="11"/>
  <c r="AB62" i="11"/>
  <c r="AC62" i="11"/>
  <c r="AA63" i="11"/>
  <c r="AB63" i="11"/>
  <c r="AC63" i="11"/>
  <c r="AA64" i="11"/>
  <c r="AB64" i="11"/>
  <c r="AC64" i="11"/>
  <c r="AA65" i="11"/>
  <c r="AB65" i="11"/>
  <c r="AC65" i="11"/>
  <c r="AA66" i="11"/>
  <c r="AB66" i="11"/>
  <c r="AC66" i="11"/>
  <c r="AA67" i="11"/>
  <c r="AB67" i="11"/>
  <c r="AC67" i="11"/>
  <c r="AA68" i="11"/>
  <c r="AB68" i="11"/>
  <c r="AC68" i="11"/>
  <c r="AA69" i="11"/>
  <c r="AB69" i="11"/>
  <c r="AC69" i="11"/>
  <c r="AA70" i="11"/>
  <c r="AB70" i="11"/>
  <c r="AC70" i="11"/>
  <c r="AA71" i="11"/>
  <c r="AB71" i="11"/>
  <c r="AC71" i="11"/>
  <c r="AA72" i="11"/>
  <c r="AB72" i="11"/>
  <c r="AC72" i="11"/>
  <c r="AA73" i="11"/>
  <c r="AB73" i="11"/>
  <c r="AC73" i="11"/>
  <c r="AA74" i="11"/>
  <c r="AB74" i="11"/>
  <c r="AC74" i="11"/>
  <c r="AA75" i="11"/>
  <c r="AB75" i="11"/>
  <c r="AC75" i="11"/>
  <c r="AA76" i="11"/>
  <c r="AB76" i="11"/>
  <c r="AC76" i="11"/>
  <c r="AA77" i="11"/>
  <c r="AB77" i="11"/>
  <c r="AC77" i="11"/>
  <c r="AA78" i="11"/>
  <c r="AB78" i="11"/>
  <c r="AC78" i="11"/>
  <c r="AA79" i="11"/>
  <c r="AB79" i="11"/>
  <c r="AC79" i="11"/>
  <c r="AA80" i="11"/>
  <c r="AB80" i="11"/>
  <c r="AC80" i="11"/>
  <c r="AA81" i="11"/>
  <c r="AB81" i="11"/>
  <c r="AC81" i="11"/>
  <c r="AA82" i="11"/>
  <c r="AB82" i="11"/>
  <c r="AC82" i="11"/>
  <c r="AA83" i="11"/>
  <c r="AB83" i="11"/>
  <c r="AC83" i="11"/>
  <c r="AA84" i="11"/>
  <c r="AB84" i="11"/>
  <c r="AC84" i="11"/>
  <c r="AA85" i="11"/>
  <c r="AB85" i="11"/>
  <c r="AC85" i="11"/>
  <c r="AA86" i="11"/>
  <c r="AB86" i="11"/>
  <c r="AC86" i="11"/>
  <c r="AA87" i="11"/>
  <c r="AB87" i="11"/>
  <c r="AC87" i="11"/>
  <c r="AA88" i="11"/>
  <c r="AB88" i="11"/>
  <c r="AC88" i="11"/>
  <c r="AA89" i="11"/>
  <c r="AB89" i="11"/>
  <c r="AC89" i="11"/>
  <c r="AA90" i="11"/>
  <c r="AB90" i="11"/>
  <c r="AC90" i="11"/>
  <c r="AA91" i="11"/>
  <c r="AB91" i="11"/>
  <c r="AC91" i="11"/>
  <c r="AA92" i="11"/>
  <c r="AB92" i="11"/>
  <c r="AC92" i="11"/>
  <c r="AA93" i="11"/>
  <c r="AB93" i="11"/>
  <c r="AC93" i="11"/>
  <c r="AA94" i="11"/>
  <c r="AB94" i="11"/>
  <c r="AC94" i="11"/>
  <c r="AA95" i="11"/>
  <c r="AB95" i="11"/>
  <c r="AC95" i="11"/>
  <c r="AA96" i="11"/>
  <c r="AB96" i="11"/>
  <c r="AC96" i="11"/>
  <c r="AA97" i="11"/>
  <c r="AB97" i="11"/>
  <c r="AC97" i="11"/>
  <c r="AA98" i="11"/>
  <c r="AB98" i="11"/>
  <c r="AC98" i="11"/>
  <c r="AA99" i="11"/>
  <c r="AB99" i="11"/>
  <c r="AC99" i="11"/>
  <c r="AA100" i="11"/>
  <c r="AB100" i="11"/>
  <c r="AC100" i="11"/>
  <c r="AA101" i="11"/>
  <c r="AB101" i="11"/>
  <c r="AC101" i="11"/>
  <c r="AA102" i="11"/>
  <c r="AB102" i="11"/>
  <c r="AC102" i="11"/>
  <c r="AA103" i="11"/>
  <c r="AB103" i="11"/>
  <c r="AC103" i="11"/>
  <c r="AA104" i="11"/>
  <c r="AB104" i="11"/>
  <c r="AC104" i="11"/>
  <c r="AA105" i="11"/>
  <c r="AB105" i="11"/>
  <c r="AC105" i="11"/>
  <c r="AA106" i="11"/>
  <c r="AB106" i="11"/>
  <c r="AC106" i="11"/>
  <c r="AA107" i="11"/>
  <c r="AB107" i="11"/>
  <c r="AC107" i="11"/>
  <c r="AA108" i="11"/>
  <c r="AB108" i="11"/>
  <c r="AC108" i="11"/>
  <c r="AA109" i="11"/>
  <c r="AB109" i="11"/>
  <c r="AC109" i="11"/>
  <c r="AA110" i="11"/>
  <c r="AC110" i="11"/>
  <c r="AA111" i="11"/>
  <c r="AC111" i="11"/>
  <c r="AA112" i="11"/>
  <c r="AC112" i="11"/>
  <c r="AA113" i="11"/>
  <c r="AC113" i="11"/>
  <c r="AA114" i="11"/>
  <c r="AC114" i="11"/>
  <c r="AA115" i="11"/>
  <c r="AC115" i="11"/>
  <c r="AA116" i="11"/>
  <c r="AC116" i="11"/>
  <c r="AA117" i="11"/>
  <c r="AC117" i="11"/>
  <c r="AA118" i="11"/>
  <c r="AC118" i="11"/>
  <c r="AA119" i="11"/>
  <c r="AC119" i="11"/>
  <c r="AA120" i="11"/>
  <c r="AC120" i="11"/>
  <c r="AA121" i="11"/>
  <c r="AC121" i="11"/>
  <c r="AA122" i="11"/>
  <c r="AC122" i="11"/>
  <c r="AA123" i="11"/>
  <c r="AC123" i="11"/>
  <c r="AA124" i="11"/>
  <c r="AC124" i="11"/>
  <c r="AA125" i="11"/>
  <c r="AC125" i="11"/>
  <c r="AA126" i="11"/>
  <c r="AC126" i="11"/>
  <c r="AA127" i="11"/>
  <c r="AC127" i="11"/>
  <c r="AA128" i="11"/>
  <c r="AC128" i="11"/>
  <c r="AA129" i="11"/>
  <c r="AC129" i="11"/>
  <c r="AA130" i="11"/>
  <c r="AC130" i="11"/>
  <c r="AA131" i="11"/>
  <c r="AC131" i="11"/>
  <c r="AA132" i="11"/>
  <c r="AC132" i="11"/>
  <c r="AA133" i="11"/>
  <c r="AC133" i="11"/>
  <c r="AA134" i="11"/>
  <c r="AC134" i="11"/>
  <c r="AA135" i="11"/>
  <c r="AC135" i="11"/>
  <c r="AA136" i="11"/>
  <c r="AC136" i="11"/>
  <c r="AA137" i="11"/>
  <c r="AC137" i="11"/>
  <c r="AA138" i="11"/>
  <c r="AC138" i="11"/>
  <c r="AA139" i="11"/>
  <c r="AC139" i="11"/>
  <c r="AA140" i="11"/>
  <c r="AC140" i="11"/>
  <c r="AA141" i="11"/>
  <c r="AC141" i="11"/>
  <c r="AA142" i="11"/>
  <c r="AC142" i="11"/>
  <c r="AA143" i="11"/>
  <c r="AC143" i="11"/>
  <c r="AA144" i="11"/>
  <c r="AC144" i="11"/>
  <c r="AA145" i="11"/>
  <c r="AC145" i="11"/>
  <c r="AA146" i="11"/>
  <c r="AC146" i="11"/>
  <c r="AA147" i="11"/>
  <c r="AC147" i="11"/>
  <c r="AA148" i="11"/>
  <c r="AC148" i="11"/>
  <c r="AA149" i="11"/>
  <c r="AC149" i="11"/>
  <c r="AA150" i="11"/>
  <c r="AC150" i="11"/>
  <c r="AA151" i="11"/>
  <c r="AC151" i="11"/>
  <c r="AA152" i="11"/>
  <c r="AC152" i="11"/>
  <c r="AA153" i="11"/>
  <c r="AC153" i="11"/>
  <c r="AA154" i="11"/>
  <c r="AC154" i="11"/>
  <c r="AA155" i="11"/>
  <c r="AC155" i="11"/>
  <c r="AA156" i="11"/>
  <c r="AC156" i="11"/>
  <c r="AA157" i="11"/>
  <c r="AC157" i="11"/>
  <c r="AA158" i="11"/>
  <c r="AC158" i="11"/>
  <c r="AA159" i="11"/>
  <c r="AC159" i="11"/>
  <c r="AA160" i="11"/>
  <c r="AC160" i="11"/>
  <c r="AA161" i="11"/>
  <c r="AC161" i="11"/>
  <c r="AA162" i="11"/>
  <c r="AC162" i="11"/>
  <c r="AA163" i="11"/>
  <c r="AC163" i="11"/>
  <c r="AA164" i="11"/>
  <c r="AC164" i="11"/>
  <c r="AA165" i="11"/>
  <c r="AC165" i="11"/>
  <c r="AA166" i="11"/>
  <c r="AC166" i="11"/>
  <c r="AA167" i="11"/>
  <c r="AC167" i="11"/>
  <c r="AA168" i="11"/>
  <c r="AC168" i="11"/>
  <c r="AA169" i="11"/>
  <c r="AC169" i="11"/>
  <c r="AA170" i="11"/>
  <c r="AC170" i="11"/>
  <c r="AA171" i="11"/>
  <c r="AC171" i="11"/>
  <c r="AA172" i="11"/>
  <c r="AC172" i="11"/>
  <c r="AA173" i="11"/>
  <c r="AC173" i="11"/>
  <c r="AA174" i="11"/>
  <c r="AC174" i="11"/>
  <c r="AA175" i="11"/>
  <c r="AC175" i="11"/>
  <c r="AA176" i="11"/>
  <c r="AC176" i="11"/>
  <c r="AA177" i="11"/>
  <c r="AC177" i="11"/>
  <c r="AA178" i="11"/>
  <c r="AC178" i="11"/>
  <c r="AA179" i="11"/>
  <c r="AC179" i="11"/>
  <c r="AA180" i="11"/>
  <c r="AC180" i="11"/>
  <c r="AA181" i="11"/>
  <c r="AC181" i="11"/>
  <c r="AA182" i="11"/>
  <c r="AC182" i="11"/>
  <c r="AA183" i="11"/>
  <c r="AC183" i="11"/>
  <c r="AA184" i="11"/>
  <c r="AC184" i="11"/>
  <c r="AA185" i="11"/>
  <c r="AC185" i="11"/>
  <c r="AA186" i="11"/>
  <c r="AC186" i="11"/>
  <c r="AA187" i="11"/>
  <c r="AC187" i="11"/>
  <c r="AA188" i="11"/>
  <c r="AC188" i="11"/>
  <c r="AA189" i="11"/>
  <c r="AC189" i="11"/>
  <c r="AA190" i="11"/>
  <c r="AC190" i="11"/>
  <c r="AA191" i="11"/>
  <c r="AC191" i="11"/>
  <c r="AA192" i="11"/>
  <c r="AC192" i="11"/>
  <c r="AA193" i="11"/>
  <c r="AC193" i="11"/>
  <c r="AA194" i="11"/>
  <c r="AC194" i="11"/>
  <c r="AA195" i="11"/>
  <c r="AC195" i="11"/>
  <c r="AA196" i="11"/>
  <c r="AC196" i="11"/>
  <c r="AA197" i="11"/>
  <c r="AC197" i="11"/>
  <c r="AA198" i="11"/>
  <c r="AC198" i="11"/>
  <c r="AA199" i="11"/>
  <c r="AC199" i="11"/>
  <c r="AA200" i="11"/>
  <c r="AC200" i="11"/>
  <c r="AA201" i="11"/>
  <c r="AC201" i="11"/>
  <c r="AA202" i="11"/>
  <c r="AC202" i="11"/>
  <c r="AA203" i="11"/>
  <c r="AC203" i="11"/>
  <c r="AA204" i="11"/>
  <c r="AC204" i="11"/>
  <c r="AA205" i="11"/>
  <c r="AC205" i="11"/>
  <c r="AA206" i="11"/>
  <c r="AC206" i="11"/>
  <c r="AA207" i="11"/>
  <c r="AC207" i="11"/>
  <c r="AA208" i="11"/>
  <c r="AC208" i="11"/>
  <c r="AA209" i="11"/>
  <c r="AC209" i="11"/>
  <c r="AA210" i="11"/>
  <c r="AC210" i="11"/>
  <c r="AA211" i="11"/>
  <c r="AC211" i="11"/>
  <c r="AA212" i="11"/>
  <c r="AC212" i="11"/>
  <c r="AA213" i="11"/>
  <c r="AC213" i="11"/>
  <c r="AA214" i="11"/>
  <c r="AC214" i="11"/>
  <c r="AA215" i="11"/>
  <c r="AC215" i="11"/>
  <c r="AA216" i="11"/>
  <c r="AC216" i="11"/>
  <c r="AA217" i="11"/>
  <c r="AC217" i="11"/>
  <c r="AA218" i="11"/>
  <c r="AC218" i="11"/>
  <c r="AA219" i="11"/>
  <c r="AC219" i="11"/>
  <c r="AA220" i="11"/>
  <c r="AC220" i="11"/>
  <c r="AA221" i="11"/>
  <c r="AC221" i="11"/>
  <c r="AA222" i="11"/>
  <c r="AC222" i="11"/>
  <c r="AA223" i="11"/>
  <c r="AC223" i="11"/>
  <c r="AA224" i="11"/>
  <c r="AC224" i="11"/>
  <c r="AA225" i="11"/>
  <c r="AC225" i="11"/>
  <c r="AA226" i="11"/>
  <c r="AC226" i="11"/>
  <c r="AA227" i="11"/>
  <c r="AC227" i="11"/>
  <c r="AA228" i="11"/>
  <c r="AC228" i="11"/>
  <c r="AA229" i="11"/>
  <c r="AC229" i="11"/>
  <c r="AA230" i="11"/>
  <c r="AC230" i="11"/>
  <c r="AA231" i="11"/>
  <c r="AC231" i="11"/>
  <c r="AA232" i="11"/>
  <c r="AC232" i="11"/>
  <c r="AA233" i="11"/>
  <c r="AC233" i="11"/>
  <c r="AA234" i="11"/>
  <c r="AC234" i="11"/>
  <c r="AA235" i="11"/>
  <c r="AC235" i="11"/>
  <c r="AA236" i="11"/>
  <c r="AC236" i="11"/>
  <c r="AA237" i="11"/>
  <c r="AC237" i="11"/>
  <c r="AA238" i="11"/>
  <c r="AC238" i="11"/>
  <c r="AA239" i="11"/>
  <c r="AC239" i="11"/>
  <c r="AA240" i="11"/>
  <c r="AC240" i="11"/>
  <c r="AA241" i="11"/>
  <c r="AC241" i="11"/>
  <c r="AA242" i="11"/>
  <c r="AC242" i="11"/>
  <c r="AA243" i="11"/>
  <c r="AC243" i="11"/>
  <c r="AA244" i="11"/>
  <c r="AC244" i="11"/>
  <c r="AA245" i="11"/>
  <c r="AC245" i="11"/>
  <c r="AA246" i="11"/>
  <c r="AC246" i="11"/>
  <c r="AA247" i="11"/>
  <c r="AC247" i="11"/>
  <c r="AA248" i="11"/>
  <c r="AC248" i="11"/>
  <c r="AA249" i="11"/>
  <c r="AC249" i="11"/>
  <c r="AA250" i="11"/>
  <c r="AC250" i="11"/>
  <c r="AA251" i="11"/>
  <c r="AC251" i="11"/>
  <c r="AA252" i="11"/>
  <c r="AC252" i="11"/>
  <c r="AA253" i="11"/>
  <c r="AC253" i="11"/>
  <c r="AA254" i="11"/>
  <c r="AC254" i="11"/>
  <c r="AA255" i="11"/>
  <c r="AC255" i="11"/>
  <c r="AA256" i="11"/>
  <c r="AC256" i="11"/>
  <c r="AA257" i="11"/>
  <c r="AC257" i="11"/>
  <c r="AA258" i="11"/>
  <c r="AC258" i="11"/>
  <c r="AA259" i="11"/>
  <c r="AC259" i="11"/>
  <c r="AA260" i="11"/>
  <c r="AC260" i="11"/>
  <c r="AA261" i="11"/>
  <c r="AC261" i="11"/>
  <c r="AA262" i="11"/>
  <c r="AC262" i="11"/>
  <c r="AA263" i="11"/>
  <c r="AC263" i="11"/>
  <c r="AA264" i="11"/>
  <c r="AC264" i="11"/>
  <c r="AA265" i="11"/>
  <c r="AC265" i="11"/>
  <c r="AA266" i="11"/>
  <c r="AC266" i="11"/>
  <c r="AA267" i="11"/>
  <c r="AC267" i="11"/>
  <c r="AA268" i="11"/>
  <c r="AC268" i="11"/>
  <c r="AA269" i="11"/>
  <c r="AC269" i="11"/>
  <c r="AA270" i="11"/>
  <c r="AC270" i="11"/>
  <c r="AA271" i="11"/>
  <c r="AC271" i="11"/>
  <c r="AA272" i="11"/>
  <c r="AC272" i="11"/>
  <c r="AA273" i="11"/>
  <c r="AC273" i="11"/>
  <c r="AA274" i="11"/>
  <c r="AC274" i="11"/>
  <c r="AA275" i="11"/>
  <c r="AC275" i="11"/>
  <c r="AA276" i="11"/>
  <c r="AC276" i="11"/>
  <c r="AA277" i="11"/>
  <c r="AC277" i="11"/>
  <c r="AA278" i="11"/>
  <c r="AC278" i="11"/>
  <c r="AA279" i="11"/>
  <c r="AC279" i="11"/>
  <c r="AA280" i="11"/>
  <c r="AC280" i="11"/>
  <c r="AA281" i="11"/>
  <c r="AC281" i="11"/>
  <c r="AA282" i="11"/>
  <c r="AC282" i="11"/>
  <c r="AA283" i="11"/>
  <c r="AC283" i="11"/>
  <c r="AA284" i="11"/>
  <c r="AC284" i="11"/>
  <c r="AA285" i="11"/>
  <c r="AC285" i="11"/>
  <c r="AA286" i="11"/>
  <c r="AC286" i="11"/>
  <c r="AA287" i="11"/>
  <c r="AC287" i="11"/>
  <c r="AA288" i="11"/>
  <c r="AC288" i="11"/>
  <c r="AA289" i="11"/>
  <c r="AC289" i="11"/>
  <c r="AA290" i="11"/>
  <c r="AC290" i="11"/>
  <c r="AA291" i="11"/>
  <c r="AC291" i="11"/>
  <c r="AA292" i="11"/>
  <c r="AC292" i="11"/>
  <c r="AA293" i="11"/>
  <c r="AC293" i="11"/>
  <c r="AA294" i="11"/>
  <c r="AC294" i="11"/>
  <c r="AA295" i="11"/>
  <c r="AC295" i="11"/>
  <c r="AA296" i="11"/>
  <c r="AC296" i="11"/>
  <c r="AA297" i="11"/>
  <c r="AC297" i="11"/>
  <c r="AA298" i="11"/>
  <c r="AC298" i="11"/>
  <c r="AA299" i="11"/>
  <c r="AC299" i="11"/>
  <c r="AA300" i="11"/>
  <c r="AC300" i="11"/>
  <c r="AA301" i="11"/>
  <c r="AC301" i="11"/>
  <c r="AA302" i="11"/>
  <c r="AC302" i="11"/>
  <c r="AA303" i="11"/>
  <c r="AC303" i="11"/>
  <c r="AA304" i="11"/>
  <c r="AC304" i="11"/>
  <c r="AA305" i="11"/>
  <c r="AC305" i="11"/>
  <c r="AA306" i="11"/>
  <c r="AC306" i="11"/>
  <c r="AA307" i="11"/>
  <c r="AC307" i="11"/>
  <c r="AA308" i="11"/>
  <c r="AC308" i="11"/>
  <c r="AA309" i="11"/>
  <c r="AC309" i="11"/>
  <c r="AA310" i="11"/>
  <c r="AC310" i="11"/>
  <c r="AA311" i="11"/>
  <c r="AC311" i="11"/>
  <c r="AA312" i="11"/>
  <c r="AC312" i="11"/>
  <c r="AA313" i="11"/>
  <c r="AC313" i="11"/>
  <c r="AC11" i="11"/>
  <c r="Z12" i="11"/>
  <c r="AC12" i="11"/>
  <c r="Z13" i="11"/>
  <c r="AC13" i="11"/>
  <c r="AB110" i="11"/>
  <c r="AB111" i="11"/>
  <c r="AB112" i="11"/>
  <c r="AB113" i="11"/>
  <c r="AB114" i="11"/>
  <c r="AB115" i="11"/>
  <c r="AB116" i="11"/>
  <c r="AB117" i="11"/>
  <c r="AB118" i="11"/>
  <c r="AB119" i="11"/>
  <c r="AB120" i="11"/>
  <c r="AB121" i="11"/>
  <c r="AB122" i="11"/>
  <c r="AB123" i="11"/>
  <c r="AB124" i="11"/>
  <c r="AB125" i="11"/>
  <c r="AB126" i="11"/>
  <c r="AB127" i="11"/>
  <c r="AB128" i="11"/>
  <c r="AB129" i="11"/>
  <c r="AB130" i="11"/>
  <c r="AB131" i="11"/>
  <c r="AB132" i="11"/>
  <c r="AB133" i="11"/>
  <c r="AB134" i="11"/>
  <c r="AB135" i="11"/>
  <c r="AB136" i="11"/>
  <c r="AB137" i="11"/>
  <c r="AB138" i="11"/>
  <c r="AB139" i="11"/>
  <c r="AB140" i="11"/>
  <c r="AB141" i="11"/>
  <c r="AB142" i="11"/>
  <c r="AB143" i="11"/>
  <c r="AB144" i="11"/>
  <c r="AB145" i="11"/>
  <c r="AB146" i="11"/>
  <c r="AB147" i="11"/>
  <c r="AB148" i="11"/>
  <c r="AB149" i="11"/>
  <c r="AB150" i="11"/>
  <c r="AB151" i="11"/>
  <c r="AB152" i="11"/>
  <c r="AB153" i="11"/>
  <c r="AB154" i="11"/>
  <c r="AB155" i="11"/>
  <c r="AB156" i="11"/>
  <c r="AB157" i="11"/>
  <c r="AB158" i="11"/>
  <c r="AB159" i="11"/>
  <c r="AB160" i="11"/>
  <c r="AB161" i="11"/>
  <c r="AB162" i="11"/>
  <c r="AB163" i="11"/>
  <c r="AB164" i="11"/>
  <c r="AB165" i="11"/>
  <c r="AB166" i="11"/>
  <c r="AB167" i="11"/>
  <c r="AB168" i="11"/>
  <c r="AB169" i="11"/>
  <c r="AB170" i="11"/>
  <c r="AB171" i="11"/>
  <c r="AB172" i="11"/>
  <c r="AB173" i="11"/>
  <c r="AB174" i="11"/>
  <c r="AB175" i="11"/>
  <c r="AB176" i="11"/>
  <c r="AB177" i="11"/>
  <c r="AB178" i="11"/>
  <c r="AB179" i="11"/>
  <c r="AB180" i="11"/>
  <c r="AB181" i="11"/>
  <c r="AB182" i="11"/>
  <c r="AB183" i="11"/>
  <c r="AB184" i="11"/>
  <c r="AB185" i="11"/>
  <c r="AB186" i="11"/>
  <c r="AB187" i="11"/>
  <c r="AB188" i="11"/>
  <c r="AB189" i="11"/>
  <c r="AB190" i="11"/>
  <c r="AB191" i="11"/>
  <c r="AB192" i="11"/>
  <c r="AB193" i="11"/>
  <c r="AB194" i="11"/>
  <c r="AB195" i="11"/>
  <c r="AB196" i="11"/>
  <c r="AB197" i="11"/>
  <c r="AB198" i="11"/>
  <c r="AB199" i="11"/>
  <c r="AB200" i="11"/>
  <c r="AB201" i="11"/>
  <c r="AB202" i="11"/>
  <c r="AB203" i="11"/>
  <c r="AB204" i="11"/>
  <c r="AB205" i="11"/>
  <c r="AB206" i="11"/>
  <c r="AB207" i="11"/>
  <c r="AB208" i="11"/>
  <c r="AB209" i="11"/>
  <c r="AB210" i="11"/>
  <c r="AB211" i="11"/>
  <c r="AB212" i="11"/>
  <c r="AB213" i="11"/>
  <c r="AB214" i="11"/>
  <c r="AB215" i="11"/>
  <c r="AB216" i="11"/>
  <c r="AB217" i="11"/>
  <c r="AB218" i="11"/>
  <c r="AB219" i="11"/>
  <c r="AB220" i="11"/>
  <c r="AB221" i="11"/>
  <c r="AB222" i="11"/>
  <c r="AB223" i="11"/>
  <c r="AB224" i="11"/>
  <c r="AB225" i="11"/>
  <c r="AB226" i="11"/>
  <c r="AB227" i="11"/>
  <c r="AB228" i="11"/>
  <c r="AB229" i="11"/>
  <c r="AB230" i="11"/>
  <c r="AB231" i="11"/>
  <c r="AB232" i="11"/>
  <c r="AB233" i="11"/>
  <c r="AB234" i="11"/>
  <c r="AB235" i="11"/>
  <c r="AB236" i="11"/>
  <c r="AB237" i="11"/>
  <c r="AB238" i="11"/>
  <c r="AB239" i="11"/>
  <c r="AB240" i="11"/>
  <c r="AB241" i="11"/>
  <c r="AB242" i="11"/>
  <c r="AB243" i="11"/>
  <c r="AB244" i="11"/>
  <c r="AB245" i="11"/>
  <c r="AB246" i="11"/>
  <c r="AB247" i="11"/>
  <c r="AB248" i="11"/>
  <c r="AB249" i="11"/>
  <c r="AB250" i="11"/>
  <c r="AB251" i="11"/>
  <c r="AB252" i="11"/>
  <c r="AB253" i="11"/>
  <c r="AB254" i="11"/>
  <c r="AB255" i="11"/>
  <c r="AB256" i="11"/>
  <c r="AB257" i="11"/>
  <c r="AB258" i="11"/>
  <c r="AB259" i="11"/>
  <c r="AB260" i="11"/>
  <c r="AB261" i="11"/>
  <c r="AB262" i="11"/>
  <c r="AB263" i="11"/>
  <c r="AB264" i="11"/>
  <c r="AB265" i="11"/>
  <c r="AB266" i="11"/>
  <c r="AB267" i="11"/>
  <c r="AB268" i="11"/>
  <c r="AB269" i="11"/>
  <c r="AB270" i="11"/>
  <c r="AB271" i="11"/>
  <c r="AB272" i="11"/>
  <c r="AB273" i="11"/>
  <c r="AB274" i="11"/>
  <c r="AB275" i="11"/>
  <c r="AB276" i="11"/>
  <c r="AB277" i="11"/>
  <c r="AB278" i="11"/>
  <c r="AB279" i="11"/>
  <c r="AB280" i="11"/>
  <c r="AB281" i="11"/>
  <c r="AB282" i="11"/>
  <c r="AB283" i="11"/>
  <c r="AB284" i="11"/>
  <c r="AB285" i="11"/>
  <c r="AB286" i="11"/>
  <c r="AB287" i="11"/>
  <c r="AB288" i="11"/>
  <c r="AB289" i="11"/>
  <c r="AB290" i="11"/>
  <c r="AB291" i="11"/>
  <c r="AB292" i="11"/>
  <c r="AB293" i="11"/>
  <c r="AB294" i="11"/>
  <c r="AB295" i="11"/>
  <c r="AB296" i="11"/>
  <c r="AB297" i="11"/>
  <c r="AB298" i="11"/>
  <c r="AB299" i="11"/>
  <c r="AB300" i="11"/>
  <c r="AB301" i="11"/>
  <c r="AB302" i="11"/>
  <c r="AB303" i="11"/>
  <c r="AB304" i="11"/>
  <c r="AB305" i="11"/>
  <c r="AB306" i="11"/>
  <c r="AB307" i="11"/>
  <c r="AB308" i="11"/>
  <c r="AB309" i="11"/>
  <c r="AB310" i="11"/>
  <c r="AB311" i="11"/>
  <c r="AB312" i="11"/>
  <c r="AB313" i="11"/>
  <c r="D5" i="11"/>
  <c r="D7" i="11" a="1"/>
  <c r="D7" i="11"/>
  <c r="D133" i="11"/>
  <c r="D132" i="11"/>
  <c r="D131" i="11"/>
  <c r="D130" i="11"/>
  <c r="C17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I8" i="11" a="1"/>
  <c r="I8" i="11"/>
  <c r="C18" i="11"/>
  <c r="F14" i="4" a="1"/>
  <c r="F14" i="4"/>
  <c r="G14" i="4"/>
  <c r="H14" i="4"/>
  <c r="I14" i="4"/>
  <c r="J14" i="4"/>
  <c r="K14" i="4"/>
  <c r="L14" i="4"/>
  <c r="M14" i="4"/>
  <c r="N14" i="4"/>
  <c r="O14" i="4"/>
  <c r="P14" i="4"/>
  <c r="Q14" i="4"/>
  <c r="F15" i="4" a="1"/>
  <c r="F15" i="4"/>
  <c r="G15" i="4"/>
  <c r="H15" i="4"/>
  <c r="I15" i="4"/>
  <c r="J15" i="4"/>
  <c r="K15" i="4"/>
  <c r="L15" i="4"/>
  <c r="M15" i="4"/>
  <c r="N15" i="4"/>
  <c r="O15" i="4"/>
  <c r="P15" i="4"/>
  <c r="Q15" i="4"/>
  <c r="F16" i="4" a="1"/>
  <c r="F16" i="4"/>
  <c r="G16" i="4"/>
  <c r="H16" i="4"/>
  <c r="I16" i="4"/>
  <c r="J16" i="4"/>
  <c r="K16" i="4"/>
  <c r="L16" i="4"/>
  <c r="M16" i="4"/>
  <c r="N16" i="4"/>
  <c r="O16" i="4"/>
  <c r="P16" i="4"/>
  <c r="Q16" i="4"/>
  <c r="H4" i="4"/>
  <c r="C7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E11" i="6" a="1"/>
  <c r="E11" i="6"/>
  <c r="F11" i="6" a="1"/>
  <c r="F11" i="6"/>
  <c r="G11" i="6" a="1"/>
  <c r="G11" i="6"/>
  <c r="H11" i="6" a="1"/>
  <c r="H11" i="6"/>
  <c r="I11" i="6" a="1"/>
  <c r="I11" i="6"/>
  <c r="J11" i="6" a="1"/>
  <c r="J11" i="6"/>
  <c r="K11" i="6" a="1"/>
  <c r="K11" i="6"/>
  <c r="L11" i="6" a="1"/>
  <c r="L11" i="6"/>
  <c r="M11" i="6" a="1"/>
  <c r="M11" i="6"/>
  <c r="N12" i="6" a="1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N13" i="6" a="1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14" i="6"/>
  <c r="N14" i="6" a="1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15" i="6"/>
  <c r="N15" i="6" a="1"/>
  <c r="N15" i="6"/>
  <c r="A16" i="6"/>
  <c r="N16" i="6" a="1"/>
  <c r="N16" i="6"/>
  <c r="A17" i="6"/>
  <c r="N17" i="6" a="1"/>
  <c r="N17" i="6"/>
  <c r="A18" i="6"/>
  <c r="N18" i="6" a="1"/>
  <c r="N18" i="6"/>
  <c r="A19" i="6"/>
  <c r="N19" i="6" a="1"/>
  <c r="N19" i="6"/>
  <c r="A20" i="6"/>
  <c r="N20" i="6" a="1"/>
  <c r="N20" i="6"/>
  <c r="A21" i="6"/>
  <c r="N21" i="6" a="1"/>
  <c r="N21" i="6"/>
  <c r="A22" i="6"/>
  <c r="N22" i="6" a="1"/>
  <c r="N22" i="6"/>
  <c r="A23" i="6"/>
  <c r="N23" i="6" a="1"/>
  <c r="N23" i="6"/>
  <c r="A24" i="6"/>
  <c r="N24" i="6" a="1"/>
  <c r="N24" i="6"/>
  <c r="A25" i="6"/>
  <c r="N25" i="6" a="1"/>
  <c r="N25" i="6"/>
  <c r="A26" i="6"/>
  <c r="N26" i="6" a="1"/>
  <c r="N26" i="6"/>
  <c r="A27" i="6"/>
  <c r="N27" i="6" a="1"/>
  <c r="N27" i="6"/>
  <c r="A28" i="6"/>
  <c r="N28" i="6" a="1"/>
  <c r="N28" i="6"/>
  <c r="A29" i="6"/>
  <c r="N29" i="6" a="1"/>
  <c r="N29" i="6"/>
  <c r="A30" i="6"/>
  <c r="N30" i="6" a="1"/>
  <c r="N30" i="6"/>
  <c r="A31" i="6"/>
  <c r="N31" i="6" a="1"/>
  <c r="N31" i="6"/>
  <c r="A32" i="6"/>
  <c r="N32" i="6" a="1"/>
  <c r="N32" i="6"/>
  <c r="A33" i="6"/>
  <c r="N33" i="6" a="1"/>
  <c r="N33" i="6"/>
  <c r="A34" i="6"/>
  <c r="N34" i="6" a="1"/>
  <c r="N34" i="6"/>
  <c r="A35" i="6"/>
  <c r="N35" i="6" a="1"/>
  <c r="N35" i="6"/>
  <c r="A36" i="6"/>
  <c r="N36" i="6" a="1"/>
  <c r="N36" i="6"/>
  <c r="A37" i="6"/>
  <c r="N37" i="6" a="1"/>
  <c r="N37" i="6"/>
  <c r="A38" i="6"/>
  <c r="N38" i="6" a="1"/>
  <c r="N38" i="6"/>
  <c r="A39" i="6"/>
  <c r="N39" i="6" a="1"/>
  <c r="N39" i="6"/>
  <c r="A40" i="6"/>
  <c r="N40" i="6" a="1"/>
  <c r="N40" i="6"/>
  <c r="A41" i="6"/>
  <c r="N41" i="6" a="1"/>
  <c r="N41" i="6"/>
  <c r="A42" i="6"/>
  <c r="N42" i="6" a="1"/>
  <c r="N42" i="6"/>
  <c r="A43" i="6"/>
  <c r="N43" i="6" a="1"/>
  <c r="N43" i="6"/>
  <c r="A44" i="6"/>
  <c r="N44" i="6" a="1"/>
  <c r="N44" i="6"/>
  <c r="A45" i="6"/>
  <c r="N45" i="6" a="1"/>
  <c r="N45" i="6"/>
  <c r="A46" i="6"/>
  <c r="N46" i="6" a="1"/>
  <c r="N46" i="6"/>
  <c r="A47" i="6"/>
  <c r="N47" i="6" a="1"/>
  <c r="N47" i="6"/>
  <c r="A48" i="6"/>
  <c r="N48" i="6" a="1"/>
  <c r="N48" i="6"/>
  <c r="A49" i="6"/>
  <c r="N49" i="6" a="1"/>
  <c r="N49" i="6"/>
  <c r="A50" i="6"/>
  <c r="N50" i="6" a="1"/>
  <c r="N50" i="6"/>
  <c r="A51" i="6"/>
  <c r="N51" i="6" a="1"/>
  <c r="N51" i="6"/>
  <c r="A52" i="6"/>
  <c r="N52" i="6" a="1"/>
  <c r="N52" i="6"/>
  <c r="A53" i="6"/>
  <c r="N53" i="6" a="1"/>
  <c r="N53" i="6"/>
  <c r="A54" i="6"/>
  <c r="N54" i="6" a="1"/>
  <c r="N54" i="6"/>
  <c r="A55" i="6"/>
  <c r="N55" i="6" a="1"/>
  <c r="N55" i="6"/>
  <c r="A56" i="6"/>
  <c r="N56" i="6" a="1"/>
  <c r="N56" i="6"/>
  <c r="A57" i="6"/>
  <c r="N57" i="6" a="1"/>
  <c r="N57" i="6"/>
  <c r="A58" i="6"/>
  <c r="N58" i="6" a="1"/>
  <c r="N58" i="6"/>
  <c r="A59" i="6"/>
  <c r="N59" i="6" a="1"/>
  <c r="N59" i="6"/>
  <c r="A60" i="6"/>
  <c r="N60" i="6" a="1"/>
  <c r="N60" i="6"/>
  <c r="A61" i="6"/>
  <c r="N61" i="6" a="1"/>
  <c r="N61" i="6"/>
  <c r="A62" i="6"/>
  <c r="N62" i="6" a="1"/>
  <c r="N62" i="6"/>
  <c r="A63" i="6"/>
  <c r="N63" i="6" a="1"/>
  <c r="N63" i="6"/>
  <c r="A64" i="6"/>
  <c r="N64" i="6" a="1"/>
  <c r="N64" i="6"/>
  <c r="A65" i="6"/>
  <c r="N65" i="6" a="1"/>
  <c r="N65" i="6"/>
  <c r="A66" i="6"/>
  <c r="N66" i="6" a="1"/>
  <c r="N66" i="6"/>
  <c r="A67" i="6"/>
  <c r="N67" i="6" a="1"/>
  <c r="N67" i="6"/>
  <c r="A68" i="6"/>
  <c r="N68" i="6" a="1"/>
  <c r="N68" i="6"/>
  <c r="A69" i="6"/>
  <c r="N69" i="6" a="1"/>
  <c r="N69" i="6"/>
  <c r="A70" i="6"/>
  <c r="N70" i="6" a="1"/>
  <c r="N70" i="6"/>
  <c r="A71" i="6"/>
  <c r="N71" i="6" a="1"/>
  <c r="N71" i="6"/>
  <c r="A72" i="6"/>
  <c r="N72" i="6" a="1"/>
  <c r="N72" i="6"/>
  <c r="A73" i="6"/>
  <c r="N73" i="6" a="1"/>
  <c r="N73" i="6"/>
  <c r="A74" i="6"/>
  <c r="N74" i="6" a="1"/>
  <c r="N74" i="6"/>
  <c r="A75" i="6"/>
  <c r="N75" i="6" a="1"/>
  <c r="N75" i="6"/>
  <c r="A76" i="6"/>
  <c r="N76" i="6" a="1"/>
  <c r="N76" i="6"/>
  <c r="A77" i="6"/>
  <c r="N77" i="6" a="1"/>
  <c r="N77" i="6"/>
  <c r="A78" i="6"/>
  <c r="N78" i="6" a="1"/>
  <c r="N78" i="6"/>
  <c r="A79" i="6"/>
  <c r="N79" i="6" a="1"/>
  <c r="N79" i="6"/>
  <c r="A80" i="6"/>
  <c r="N80" i="6" a="1"/>
  <c r="N80" i="6"/>
  <c r="A81" i="6"/>
  <c r="N81" i="6" a="1"/>
  <c r="N81" i="6"/>
  <c r="A82" i="6"/>
  <c r="N82" i="6" a="1"/>
  <c r="N82" i="6"/>
  <c r="A83" i="6"/>
  <c r="N83" i="6" a="1"/>
  <c r="N83" i="6"/>
  <c r="A84" i="6"/>
  <c r="N84" i="6" a="1"/>
  <c r="N84" i="6"/>
  <c r="A85" i="6"/>
  <c r="N85" i="6" a="1"/>
  <c r="N85" i="6"/>
  <c r="A86" i="6"/>
  <c r="N86" i="6" a="1"/>
  <c r="N86" i="6"/>
  <c r="A87" i="6"/>
  <c r="N87" i="6" a="1"/>
  <c r="N87" i="6"/>
  <c r="A88" i="6"/>
  <c r="N88" i="6" a="1"/>
  <c r="N88" i="6"/>
  <c r="A89" i="6"/>
  <c r="N89" i="6" a="1"/>
  <c r="N89" i="6"/>
  <c r="A90" i="6"/>
  <c r="N90" i="6" a="1"/>
  <c r="N90" i="6"/>
  <c r="A91" i="6"/>
  <c r="N91" i="6" a="1"/>
  <c r="N91" i="6"/>
  <c r="A92" i="6"/>
  <c r="N92" i="6" a="1"/>
  <c r="N92" i="6"/>
  <c r="A93" i="6"/>
  <c r="N93" i="6" a="1"/>
  <c r="N93" i="6"/>
  <c r="A94" i="6"/>
  <c r="N94" i="6" a="1"/>
  <c r="N94" i="6"/>
  <c r="A95" i="6"/>
  <c r="N95" i="6" a="1"/>
  <c r="N95" i="6"/>
  <c r="A96" i="6"/>
  <c r="N96" i="6" a="1"/>
  <c r="N96" i="6"/>
  <c r="A97" i="6"/>
  <c r="N97" i="6" a="1"/>
  <c r="N97" i="6"/>
  <c r="A98" i="6"/>
  <c r="N98" i="6" a="1"/>
  <c r="N98" i="6"/>
  <c r="A99" i="6"/>
  <c r="N99" i="6" a="1"/>
  <c r="N99" i="6"/>
  <c r="A100" i="6"/>
  <c r="N100" i="6" a="1"/>
  <c r="N100" i="6"/>
  <c r="A101" i="6"/>
  <c r="N101" i="6" a="1"/>
  <c r="N101" i="6"/>
  <c r="A102" i="6"/>
  <c r="N102" i="6" a="1"/>
  <c r="N102" i="6"/>
  <c r="A103" i="6"/>
  <c r="N103" i="6" a="1"/>
  <c r="N103" i="6"/>
  <c r="A104" i="6"/>
  <c r="N104" i="6" a="1"/>
  <c r="N104" i="6"/>
  <c r="A105" i="6"/>
  <c r="N105" i="6" a="1"/>
  <c r="N105" i="6"/>
  <c r="A106" i="6"/>
  <c r="N106" i="6" a="1"/>
  <c r="N106" i="6"/>
  <c r="A107" i="6"/>
  <c r="N107" i="6" a="1"/>
  <c r="N107" i="6"/>
  <c r="A108" i="6"/>
  <c r="N108" i="6" a="1"/>
  <c r="N108" i="6"/>
  <c r="A109" i="6"/>
  <c r="N109" i="6" a="1"/>
  <c r="N109" i="6"/>
  <c r="A110" i="6"/>
  <c r="N110" i="6" a="1"/>
  <c r="N110" i="6"/>
  <c r="A111" i="6"/>
  <c r="N111" i="6" a="1"/>
  <c r="N111" i="6"/>
  <c r="A112" i="6"/>
  <c r="N112" i="6" a="1"/>
  <c r="N112" i="6"/>
  <c r="A113" i="6"/>
  <c r="N113" i="6" a="1"/>
  <c r="N113" i="6"/>
  <c r="A114" i="6"/>
  <c r="N114" i="6" a="1"/>
  <c r="N114" i="6"/>
  <c r="A115" i="6"/>
  <c r="N115" i="6" a="1"/>
  <c r="N115" i="6"/>
  <c r="A116" i="6"/>
  <c r="N116" i="6" a="1"/>
  <c r="N116" i="6"/>
  <c r="A117" i="6"/>
  <c r="N117" i="6" a="1"/>
  <c r="N117" i="6"/>
  <c r="A118" i="6"/>
  <c r="N118" i="6" a="1"/>
  <c r="N118" i="6"/>
  <c r="A119" i="6"/>
  <c r="N119" i="6" a="1"/>
  <c r="N119" i="6"/>
  <c r="A120" i="6"/>
  <c r="N120" i="6" a="1"/>
  <c r="N120" i="6"/>
  <c r="A121" i="6"/>
  <c r="N121" i="6" a="1"/>
  <c r="N121" i="6"/>
  <c r="A122" i="6"/>
  <c r="N122" i="6" a="1"/>
  <c r="N122" i="6"/>
  <c r="A123" i="6"/>
  <c r="N123" i="6" a="1"/>
  <c r="N123" i="6"/>
  <c r="A124" i="6"/>
  <c r="N124" i="6" a="1"/>
  <c r="N124" i="6"/>
  <c r="A125" i="6"/>
  <c r="N125" i="6" a="1"/>
  <c r="N125" i="6"/>
  <c r="A126" i="6"/>
  <c r="N126" i="6" a="1"/>
  <c r="N126" i="6"/>
  <c r="A127" i="6"/>
  <c r="N127" i="6" a="1"/>
  <c r="N127" i="6"/>
  <c r="A128" i="6"/>
  <c r="N128" i="6" a="1"/>
  <c r="N128" i="6"/>
  <c r="A129" i="6"/>
  <c r="N129" i="6" a="1"/>
  <c r="N129" i="6"/>
  <c r="A130" i="6"/>
  <c r="N130" i="6" a="1"/>
  <c r="N130" i="6"/>
  <c r="A131" i="6"/>
  <c r="N131" i="6" a="1"/>
  <c r="N131" i="6"/>
  <c r="A132" i="6"/>
  <c r="N132" i="6" a="1"/>
  <c r="N132" i="6"/>
  <c r="A133" i="6"/>
  <c r="N133" i="6" a="1"/>
  <c r="N133" i="6"/>
  <c r="A134" i="6"/>
  <c r="N134" i="6" a="1"/>
  <c r="N134" i="6"/>
  <c r="A135" i="6"/>
  <c r="N135" i="6" a="1"/>
  <c r="N135" i="6"/>
  <c r="A136" i="6"/>
  <c r="N136" i="6" a="1"/>
  <c r="N136" i="6"/>
  <c r="A137" i="6"/>
  <c r="N137" i="6" a="1"/>
  <c r="N137" i="6"/>
  <c r="A138" i="6"/>
  <c r="N138" i="6" a="1"/>
  <c r="N138" i="6"/>
  <c r="A139" i="6"/>
  <c r="N139" i="6" a="1"/>
  <c r="N139" i="6"/>
  <c r="A140" i="6"/>
  <c r="N140" i="6" a="1"/>
  <c r="N140" i="6"/>
  <c r="A141" i="6"/>
  <c r="N141" i="6" a="1"/>
  <c r="N141" i="6"/>
  <c r="A142" i="6"/>
  <c r="N142" i="6" a="1"/>
  <c r="N142" i="6"/>
  <c r="A143" i="6"/>
  <c r="N143" i="6" a="1"/>
  <c r="N143" i="6"/>
  <c r="A144" i="6"/>
  <c r="N144" i="6" a="1"/>
  <c r="N144" i="6"/>
  <c r="A145" i="6"/>
  <c r="N145" i="6" a="1"/>
  <c r="N145" i="6"/>
  <c r="A146" i="6"/>
  <c r="N146" i="6" a="1"/>
  <c r="N146" i="6"/>
  <c r="A147" i="6"/>
  <c r="N147" i="6" a="1"/>
  <c r="N147" i="6"/>
  <c r="A148" i="6"/>
  <c r="N148" i="6" a="1"/>
  <c r="N148" i="6"/>
  <c r="A149" i="6"/>
  <c r="N149" i="6" a="1"/>
  <c r="N149" i="6"/>
  <c r="A150" i="6"/>
  <c r="N150" i="6" a="1"/>
  <c r="N150" i="6"/>
  <c r="A151" i="6"/>
  <c r="N151" i="6" a="1"/>
  <c r="N151" i="6"/>
  <c r="A152" i="6"/>
  <c r="N152" i="6" a="1"/>
  <c r="N152" i="6"/>
  <c r="A153" i="6"/>
  <c r="N153" i="6" a="1"/>
  <c r="N153" i="6"/>
  <c r="A154" i="6"/>
  <c r="N154" i="6" a="1"/>
  <c r="N154" i="6"/>
  <c r="A155" i="6"/>
  <c r="N155" i="6" a="1"/>
  <c r="N155" i="6"/>
  <c r="A156" i="6"/>
  <c r="N156" i="6" a="1"/>
  <c r="N156" i="6"/>
  <c r="A157" i="6"/>
  <c r="N157" i="6" a="1"/>
  <c r="N157" i="6"/>
  <c r="A158" i="6"/>
  <c r="N158" i="6" a="1"/>
  <c r="N158" i="6"/>
  <c r="A159" i="6"/>
  <c r="N159" i="6" a="1"/>
  <c r="N159" i="6"/>
  <c r="A160" i="6"/>
  <c r="N160" i="6" a="1"/>
  <c r="N160" i="6"/>
  <c r="A161" i="6"/>
  <c r="N161" i="6" a="1"/>
  <c r="N161" i="6"/>
  <c r="A162" i="6"/>
  <c r="N162" i="6" a="1"/>
  <c r="N162" i="6"/>
  <c r="A163" i="6"/>
  <c r="N163" i="6" a="1"/>
  <c r="N163" i="6"/>
  <c r="A164" i="6"/>
  <c r="N164" i="6" a="1"/>
  <c r="N164" i="6"/>
  <c r="A165" i="6"/>
  <c r="N165" i="6" a="1"/>
  <c r="N165" i="6"/>
  <c r="A166" i="6"/>
  <c r="N166" i="6" a="1"/>
  <c r="N166" i="6"/>
  <c r="A167" i="6"/>
  <c r="N167" i="6" a="1"/>
  <c r="N167" i="6"/>
  <c r="A168" i="6"/>
  <c r="N168" i="6" a="1"/>
  <c r="N168" i="6"/>
  <c r="A169" i="6"/>
  <c r="N169" i="6" a="1"/>
  <c r="N169" i="6"/>
  <c r="A170" i="6"/>
  <c r="N170" i="6" a="1"/>
  <c r="N170" i="6"/>
  <c r="A171" i="6"/>
  <c r="N171" i="6" a="1"/>
  <c r="N171" i="6"/>
  <c r="A172" i="6"/>
  <c r="N172" i="6" a="1"/>
  <c r="N172" i="6"/>
  <c r="A173" i="6"/>
  <c r="N173" i="6" a="1"/>
  <c r="N173" i="6"/>
  <c r="A174" i="6"/>
  <c r="N174" i="6" a="1"/>
  <c r="N174" i="6"/>
  <c r="A175" i="6"/>
  <c r="N175" i="6" a="1"/>
  <c r="N175" i="6"/>
  <c r="A176" i="6"/>
  <c r="N176" i="6" a="1"/>
  <c r="N176" i="6"/>
  <c r="A177" i="6"/>
  <c r="N177" i="6" a="1"/>
  <c r="N177" i="6"/>
  <c r="A178" i="6"/>
  <c r="N178" i="6" a="1"/>
  <c r="N178" i="6"/>
  <c r="A179" i="6"/>
  <c r="N179" i="6" a="1"/>
  <c r="N179" i="6"/>
  <c r="A180" i="6"/>
  <c r="N180" i="6" a="1"/>
  <c r="N180" i="6"/>
  <c r="A181" i="6"/>
  <c r="N181" i="6" a="1"/>
  <c r="N181" i="6"/>
  <c r="A182" i="6"/>
  <c r="N182" i="6" a="1"/>
  <c r="N182" i="6"/>
  <c r="A183" i="6"/>
  <c r="N183" i="6" a="1"/>
  <c r="N183" i="6"/>
  <c r="A184" i="6"/>
  <c r="N184" i="6" a="1"/>
  <c r="N184" i="6"/>
  <c r="O184" i="6"/>
  <c r="P184" i="6"/>
  <c r="Q184" i="6"/>
  <c r="R184" i="6"/>
  <c r="S184" i="6"/>
  <c r="T184" i="6"/>
  <c r="U184" i="6"/>
  <c r="V184" i="6"/>
  <c r="W184" i="6"/>
  <c r="X184" i="6"/>
  <c r="Y184" i="6"/>
  <c r="Z184" i="6"/>
  <c r="AA184" i="6"/>
  <c r="AB184" i="6"/>
  <c r="AC184" i="6"/>
  <c r="AD184" i="6"/>
  <c r="AE184" i="6"/>
  <c r="A185" i="6"/>
  <c r="N185" i="6" a="1"/>
  <c r="N185" i="6"/>
  <c r="A186" i="6"/>
  <c r="N186" i="6" a="1"/>
  <c r="N186" i="6"/>
  <c r="A187" i="6"/>
  <c r="N187" i="6" a="1"/>
  <c r="N187" i="6"/>
  <c r="A188" i="6"/>
  <c r="N188" i="6" a="1"/>
  <c r="N188" i="6"/>
  <c r="A189" i="6"/>
  <c r="N189" i="6" a="1"/>
  <c r="N189" i="6"/>
  <c r="A190" i="6"/>
  <c r="N190" i="6" a="1"/>
  <c r="N190" i="6"/>
  <c r="A191" i="6"/>
  <c r="N191" i="6" a="1"/>
  <c r="N191" i="6"/>
  <c r="A192" i="6"/>
  <c r="N192" i="6" a="1"/>
  <c r="N192" i="6"/>
  <c r="A193" i="6"/>
  <c r="N193" i="6" a="1"/>
  <c r="N193" i="6"/>
  <c r="A194" i="6"/>
  <c r="N194" i="6" a="1"/>
  <c r="N194" i="6"/>
  <c r="A195" i="6"/>
  <c r="N195" i="6" a="1"/>
  <c r="N195" i="6"/>
  <c r="A196" i="6"/>
  <c r="N196" i="6" a="1"/>
  <c r="N196" i="6"/>
  <c r="A197" i="6"/>
  <c r="N197" i="6" a="1"/>
  <c r="N197" i="6"/>
  <c r="A198" i="6"/>
  <c r="N198" i="6" a="1"/>
  <c r="N198" i="6"/>
  <c r="A199" i="6"/>
  <c r="N199" i="6" a="1"/>
  <c r="N199" i="6"/>
  <c r="A200" i="6"/>
  <c r="N200" i="6" a="1"/>
  <c r="N200" i="6"/>
  <c r="A201" i="6"/>
  <c r="N201" i="6" a="1"/>
  <c r="N201" i="6"/>
  <c r="A202" i="6"/>
  <c r="N202" i="6" a="1"/>
  <c r="N202" i="6"/>
  <c r="A203" i="6"/>
  <c r="N203" i="6" a="1"/>
  <c r="N203" i="6"/>
  <c r="A204" i="6"/>
  <c r="N204" i="6" a="1"/>
  <c r="N204" i="6"/>
  <c r="A205" i="6"/>
  <c r="N205" i="6" a="1"/>
  <c r="N205" i="6"/>
  <c r="A206" i="6"/>
  <c r="N206" i="6" a="1"/>
  <c r="N206" i="6"/>
  <c r="A207" i="6"/>
  <c r="N207" i="6" a="1"/>
  <c r="N207" i="6"/>
  <c r="A208" i="6"/>
  <c r="N208" i="6" a="1"/>
  <c r="N208" i="6"/>
  <c r="A209" i="6"/>
  <c r="N209" i="6" a="1"/>
  <c r="N209" i="6"/>
  <c r="A210" i="6"/>
  <c r="N210" i="6" a="1"/>
  <c r="N210" i="6"/>
  <c r="A211" i="6"/>
  <c r="N211" i="6" a="1"/>
  <c r="N211" i="6"/>
  <c r="A212" i="6"/>
  <c r="N212" i="6" a="1"/>
  <c r="N212" i="6"/>
  <c r="A213" i="6"/>
  <c r="N213" i="6" a="1"/>
  <c r="N213" i="6"/>
  <c r="A214" i="6"/>
  <c r="N214" i="6" a="1"/>
  <c r="N214" i="6"/>
  <c r="A215" i="6"/>
  <c r="N215" i="6" a="1"/>
  <c r="N215" i="6"/>
  <c r="A216" i="6"/>
  <c r="N216" i="6" a="1"/>
  <c r="N216" i="6"/>
  <c r="A217" i="6"/>
  <c r="N217" i="6" a="1"/>
  <c r="N217" i="6"/>
  <c r="A218" i="6"/>
  <c r="N218" i="6" a="1"/>
  <c r="N218" i="6"/>
  <c r="A219" i="6"/>
  <c r="N219" i="6" a="1"/>
  <c r="N219" i="6"/>
  <c r="A220" i="6"/>
  <c r="N220" i="6" a="1"/>
  <c r="N220" i="6"/>
  <c r="A221" i="6"/>
  <c r="N221" i="6" a="1"/>
  <c r="N221" i="6"/>
  <c r="A222" i="6"/>
  <c r="N222" i="6" a="1"/>
  <c r="N222" i="6"/>
  <c r="A223" i="6"/>
  <c r="N223" i="6" a="1"/>
  <c r="N223" i="6"/>
  <c r="A224" i="6"/>
  <c r="N224" i="6" a="1"/>
  <c r="N224" i="6"/>
  <c r="A225" i="6"/>
  <c r="N225" i="6" a="1"/>
  <c r="N225" i="6"/>
  <c r="A226" i="6"/>
  <c r="N226" i="6" a="1"/>
  <c r="N226" i="6"/>
  <c r="A227" i="6"/>
  <c r="N227" i="6" a="1"/>
  <c r="N227" i="6"/>
  <c r="A228" i="6"/>
  <c r="N228" i="6" a="1"/>
  <c r="N228" i="6"/>
  <c r="A229" i="6"/>
  <c r="N229" i="6" a="1"/>
  <c r="N229" i="6"/>
  <c r="A230" i="6"/>
  <c r="N230" i="6" a="1"/>
  <c r="N230" i="6"/>
  <c r="A231" i="6"/>
  <c r="N231" i="6" a="1"/>
  <c r="N231" i="6"/>
  <c r="A232" i="6"/>
  <c r="N232" i="6" a="1"/>
  <c r="N232" i="6"/>
  <c r="A233" i="6"/>
  <c r="N233" i="6" a="1"/>
  <c r="N233" i="6"/>
  <c r="A234" i="6"/>
  <c r="N234" i="6" a="1"/>
  <c r="N234" i="6"/>
  <c r="A235" i="6"/>
  <c r="N235" i="6" a="1"/>
  <c r="N235" i="6"/>
  <c r="A236" i="6"/>
  <c r="N236" i="6" a="1"/>
  <c r="N236" i="6"/>
  <c r="A237" i="6"/>
  <c r="N237" i="6" a="1"/>
  <c r="N237" i="6"/>
  <c r="A238" i="6"/>
  <c r="N238" i="6" a="1"/>
  <c r="N238" i="6"/>
  <c r="A239" i="6"/>
  <c r="N239" i="6" a="1"/>
  <c r="N239" i="6"/>
  <c r="A240" i="6"/>
  <c r="N240" i="6" a="1"/>
  <c r="N240" i="6"/>
  <c r="A241" i="6"/>
  <c r="N241" i="6" a="1"/>
  <c r="N241" i="6"/>
  <c r="A242" i="6"/>
  <c r="N242" i="6" a="1"/>
  <c r="N242" i="6"/>
  <c r="A243" i="6"/>
  <c r="N243" i="6" a="1"/>
  <c r="N243" i="6"/>
  <c r="A244" i="6"/>
  <c r="N244" i="6" a="1"/>
  <c r="N244" i="6"/>
  <c r="A245" i="6"/>
  <c r="N245" i="6" a="1"/>
  <c r="N245" i="6"/>
  <c r="A246" i="6"/>
  <c r="N246" i="6" a="1"/>
  <c r="N246" i="6"/>
  <c r="A247" i="6"/>
  <c r="N247" i="6" a="1"/>
  <c r="N247" i="6"/>
  <c r="A248" i="6"/>
  <c r="N248" i="6" a="1"/>
  <c r="N248" i="6"/>
  <c r="A249" i="6"/>
  <c r="N249" i="6" a="1"/>
  <c r="N249" i="6"/>
  <c r="A250" i="6"/>
  <c r="N250" i="6" a="1"/>
  <c r="N250" i="6"/>
  <c r="A251" i="6"/>
  <c r="N251" i="6" a="1"/>
  <c r="N251" i="6"/>
  <c r="A252" i="6"/>
  <c r="N252" i="6" a="1"/>
  <c r="N252" i="6"/>
  <c r="A253" i="6"/>
  <c r="N253" i="6" a="1"/>
  <c r="N253" i="6"/>
  <c r="A254" i="6"/>
  <c r="N254" i="6" a="1"/>
  <c r="N254" i="6"/>
  <c r="A255" i="6"/>
  <c r="N255" i="6" a="1"/>
  <c r="N255" i="6"/>
  <c r="A256" i="6"/>
  <c r="N256" i="6" a="1"/>
  <c r="N256" i="6"/>
  <c r="A257" i="6"/>
  <c r="N257" i="6" a="1"/>
  <c r="N257" i="6"/>
  <c r="A258" i="6"/>
  <c r="N258" i="6" a="1"/>
  <c r="N258" i="6"/>
  <c r="A259" i="6"/>
  <c r="N259" i="6" a="1"/>
  <c r="N259" i="6"/>
  <c r="A260" i="6"/>
  <c r="N260" i="6" a="1"/>
  <c r="N260" i="6"/>
  <c r="A261" i="6"/>
  <c r="N261" i="6" a="1"/>
  <c r="N261" i="6"/>
  <c r="A262" i="6"/>
  <c r="N262" i="6" a="1"/>
  <c r="N262" i="6"/>
  <c r="A263" i="6"/>
  <c r="N263" i="6" a="1"/>
  <c r="N263" i="6"/>
  <c r="A264" i="6"/>
  <c r="N264" i="6" a="1"/>
  <c r="N264" i="6"/>
  <c r="A265" i="6"/>
  <c r="N265" i="6" a="1"/>
  <c r="N265" i="6"/>
  <c r="A266" i="6"/>
  <c r="N266" i="6" a="1"/>
  <c r="N266" i="6"/>
  <c r="A267" i="6"/>
  <c r="N267" i="6" a="1"/>
  <c r="N267" i="6"/>
  <c r="A268" i="6"/>
  <c r="N268" i="6" a="1"/>
  <c r="N268" i="6"/>
  <c r="A269" i="6"/>
  <c r="N269" i="6" a="1"/>
  <c r="N269" i="6"/>
  <c r="A270" i="6"/>
  <c r="N270" i="6" a="1"/>
  <c r="N270" i="6"/>
  <c r="A271" i="6"/>
  <c r="N271" i="6" a="1"/>
  <c r="N271" i="6"/>
  <c r="A272" i="6"/>
  <c r="N272" i="6" a="1"/>
  <c r="N272" i="6"/>
  <c r="A273" i="6"/>
  <c r="N273" i="6" a="1"/>
  <c r="N273" i="6"/>
  <c r="A274" i="6"/>
  <c r="N274" i="6" a="1"/>
  <c r="N274" i="6"/>
  <c r="A275" i="6"/>
  <c r="N275" i="6" a="1"/>
  <c r="N275" i="6"/>
  <c r="A276" i="6"/>
  <c r="N276" i="6" a="1"/>
  <c r="N276" i="6"/>
  <c r="A277" i="6"/>
  <c r="N277" i="6" a="1"/>
  <c r="N277" i="6"/>
  <c r="A278" i="6"/>
  <c r="N278" i="6" a="1"/>
  <c r="N278" i="6"/>
  <c r="A279" i="6"/>
  <c r="N279" i="6" a="1"/>
  <c r="N279" i="6"/>
  <c r="A280" i="6"/>
  <c r="N280" i="6" a="1"/>
  <c r="N280" i="6"/>
  <c r="A281" i="6"/>
  <c r="N281" i="6" a="1"/>
  <c r="N281" i="6"/>
  <c r="A282" i="6"/>
  <c r="N282" i="6" a="1"/>
  <c r="N282" i="6"/>
  <c r="A283" i="6"/>
  <c r="N283" i="6" a="1"/>
  <c r="N283" i="6"/>
  <c r="A284" i="6"/>
  <c r="N284" i="6" a="1"/>
  <c r="N284" i="6"/>
  <c r="A285" i="6"/>
  <c r="N285" i="6" a="1"/>
  <c r="N285" i="6"/>
  <c r="A286" i="6"/>
  <c r="N286" i="6" a="1"/>
  <c r="N286" i="6"/>
  <c r="A287" i="6"/>
  <c r="N287" i="6" a="1"/>
  <c r="N287" i="6"/>
  <c r="A288" i="6"/>
  <c r="N288" i="6" a="1"/>
  <c r="N288" i="6"/>
  <c r="A289" i="6"/>
  <c r="N289" i="6" a="1"/>
  <c r="N289" i="6"/>
  <c r="A290" i="6"/>
  <c r="N290" i="6" a="1"/>
  <c r="N290" i="6"/>
  <c r="A291" i="6"/>
  <c r="N291" i="6" a="1"/>
  <c r="N291" i="6"/>
  <c r="A292" i="6"/>
  <c r="N292" i="6" a="1"/>
  <c r="N292" i="6"/>
  <c r="A293" i="6"/>
  <c r="N293" i="6" a="1"/>
  <c r="N293" i="6"/>
  <c r="A294" i="6"/>
  <c r="N294" i="6" a="1"/>
  <c r="N294" i="6"/>
  <c r="A295" i="6"/>
  <c r="N295" i="6" a="1"/>
  <c r="N295" i="6"/>
  <c r="A296" i="6"/>
  <c r="N296" i="6" a="1"/>
  <c r="N296" i="6"/>
  <c r="A297" i="6"/>
  <c r="N297" i="6" a="1"/>
  <c r="N297" i="6"/>
  <c r="A298" i="6"/>
  <c r="N298" i="6" a="1"/>
  <c r="N298" i="6"/>
  <c r="A299" i="6"/>
  <c r="N299" i="6" a="1"/>
  <c r="N299" i="6"/>
  <c r="A300" i="6"/>
  <c r="N300" i="6" a="1"/>
  <c r="N300" i="6"/>
  <c r="A301" i="6"/>
  <c r="N301" i="6" a="1"/>
  <c r="N301" i="6"/>
  <c r="A302" i="6"/>
  <c r="N302" i="6" a="1"/>
  <c r="N302" i="6"/>
  <c r="A303" i="6"/>
  <c r="N303" i="6" a="1"/>
  <c r="N303" i="6"/>
  <c r="A304" i="6"/>
  <c r="N304" i="6" a="1"/>
  <c r="N304" i="6"/>
  <c r="A305" i="6"/>
  <c r="N305" i="6" a="1"/>
  <c r="N305" i="6"/>
  <c r="A306" i="6"/>
  <c r="N306" i="6" a="1"/>
  <c r="N306" i="6"/>
  <c r="A307" i="6"/>
  <c r="N307" i="6" a="1"/>
  <c r="N307" i="6"/>
  <c r="A308" i="6"/>
  <c r="N308" i="6" a="1"/>
  <c r="N308" i="6"/>
  <c r="A309" i="6"/>
  <c r="N309" i="6" a="1"/>
  <c r="N309" i="6"/>
  <c r="A310" i="6"/>
  <c r="N310" i="6" a="1"/>
  <c r="N310" i="6"/>
  <c r="A311" i="6"/>
  <c r="N311" i="6" a="1"/>
  <c r="N311" i="6"/>
  <c r="A312" i="6"/>
  <c r="N312" i="6" a="1"/>
  <c r="N312" i="6"/>
  <c r="A313" i="6"/>
  <c r="N313" i="6" a="1"/>
  <c r="N313" i="6"/>
  <c r="A314" i="6"/>
  <c r="N314" i="6" a="1"/>
  <c r="N314" i="6"/>
  <c r="A315" i="6"/>
  <c r="N315" i="6" a="1"/>
  <c r="N315" i="6"/>
  <c r="A316" i="6"/>
  <c r="N316" i="6" a="1"/>
  <c r="N316" i="6"/>
  <c r="A317" i="6"/>
  <c r="N317" i="6" a="1"/>
  <c r="N317" i="6"/>
  <c r="A318" i="6"/>
  <c r="N318" i="6" a="1"/>
  <c r="N318" i="6"/>
  <c r="A319" i="6"/>
  <c r="N319" i="6" a="1"/>
  <c r="N319" i="6"/>
  <c r="A320" i="6"/>
  <c r="N320" i="6" a="1"/>
  <c r="N320" i="6"/>
  <c r="A321" i="6"/>
  <c r="N321" i="6" a="1"/>
  <c r="N321" i="6"/>
  <c r="A322" i="6"/>
  <c r="N322" i="6" a="1"/>
  <c r="N322" i="6"/>
  <c r="A323" i="6"/>
  <c r="N323" i="6" a="1"/>
  <c r="N323" i="6"/>
  <c r="A324" i="6"/>
  <c r="N324" i="6" a="1"/>
  <c r="N324" i="6"/>
  <c r="A325" i="6"/>
  <c r="N325" i="6" a="1"/>
  <c r="N325" i="6"/>
  <c r="A326" i="6"/>
  <c r="N326" i="6" a="1"/>
  <c r="N326" i="6"/>
  <c r="A327" i="6"/>
  <c r="N327" i="6" a="1"/>
  <c r="N327" i="6"/>
  <c r="A328" i="6"/>
  <c r="N328" i="6" a="1"/>
  <c r="N328" i="6"/>
  <c r="A329" i="6"/>
  <c r="N329" i="6" a="1"/>
  <c r="N329" i="6"/>
  <c r="A330" i="6"/>
  <c r="N330" i="6" a="1"/>
  <c r="N330" i="6"/>
  <c r="A331" i="6"/>
  <c r="N331" i="6" a="1"/>
  <c r="N331" i="6"/>
  <c r="A332" i="6"/>
  <c r="N332" i="6" a="1"/>
  <c r="N332" i="6"/>
  <c r="A333" i="6"/>
  <c r="N333" i="6" a="1"/>
  <c r="N333" i="6"/>
  <c r="A334" i="6"/>
  <c r="N334" i="6" a="1"/>
  <c r="N334" i="6"/>
  <c r="A335" i="6"/>
  <c r="N335" i="6" a="1"/>
  <c r="N335" i="6"/>
  <c r="A336" i="6"/>
  <c r="N336" i="6" a="1"/>
  <c r="N336" i="6"/>
  <c r="A337" i="6"/>
  <c r="N337" i="6" a="1"/>
  <c r="N337" i="6"/>
  <c r="A338" i="6"/>
  <c r="N338" i="6" a="1"/>
  <c r="N338" i="6"/>
  <c r="A339" i="6"/>
  <c r="N339" i="6" a="1"/>
  <c r="N339" i="6"/>
  <c r="A340" i="6"/>
  <c r="N340" i="6" a="1"/>
  <c r="N340" i="6"/>
  <c r="A341" i="6"/>
  <c r="N341" i="6" a="1"/>
  <c r="N341" i="6"/>
  <c r="A342" i="6"/>
  <c r="N342" i="6" a="1"/>
  <c r="N342" i="6"/>
  <c r="A343" i="6"/>
  <c r="N343" i="6" a="1"/>
  <c r="N343" i="6"/>
  <c r="A344" i="6"/>
  <c r="N344" i="6" a="1"/>
  <c r="N344" i="6"/>
  <c r="A345" i="6"/>
  <c r="N345" i="6" a="1"/>
  <c r="N345" i="6"/>
  <c r="A346" i="6"/>
  <c r="N346" i="6" a="1"/>
  <c r="N346" i="6"/>
  <c r="A347" i="6"/>
  <c r="N347" i="6" a="1"/>
  <c r="N347" i="6"/>
  <c r="A348" i="6"/>
  <c r="N348" i="6" a="1"/>
  <c r="N348" i="6"/>
  <c r="A349" i="6"/>
  <c r="N349" i="6" a="1"/>
  <c r="N349" i="6"/>
  <c r="A350" i="6"/>
  <c r="N350" i="6" a="1"/>
  <c r="N350" i="6"/>
  <c r="A351" i="6"/>
  <c r="N351" i="6" a="1"/>
  <c r="N351" i="6"/>
  <c r="A352" i="6"/>
  <c r="N352" i="6" a="1"/>
  <c r="N352" i="6"/>
  <c r="A353" i="6"/>
  <c r="N353" i="6" a="1"/>
  <c r="N353" i="6"/>
  <c r="A354" i="6"/>
  <c r="N354" i="6" a="1"/>
  <c r="N354" i="6"/>
  <c r="A355" i="6"/>
  <c r="N355" i="6" a="1"/>
  <c r="N355" i="6"/>
  <c r="A356" i="6"/>
  <c r="N356" i="6" a="1"/>
  <c r="N356" i="6"/>
  <c r="A357" i="6"/>
  <c r="N357" i="6" a="1"/>
  <c r="N357" i="6"/>
  <c r="A358" i="6"/>
  <c r="N358" i="6" a="1"/>
  <c r="N358" i="6"/>
  <c r="A359" i="6"/>
  <c r="N359" i="6" a="1"/>
  <c r="N359" i="6"/>
  <c r="A360" i="6"/>
  <c r="N360" i="6" a="1"/>
  <c r="N360" i="6"/>
  <c r="A361" i="6"/>
  <c r="N361" i="6" a="1"/>
  <c r="N361" i="6"/>
  <c r="N362" i="6" a="1"/>
  <c r="N362" i="6"/>
  <c r="N363" i="6" a="1"/>
  <c r="N363" i="6"/>
  <c r="N364" i="6" a="1"/>
  <c r="N364" i="6"/>
  <c r="N365" i="6" a="1"/>
  <c r="N365" i="6"/>
  <c r="AN365" i="6"/>
  <c r="AR365" i="6"/>
  <c r="AV365" i="6"/>
  <c r="N366" i="6" a="1"/>
  <c r="N366" i="6"/>
  <c r="AN366" i="6"/>
  <c r="AR366" i="6"/>
  <c r="AV366" i="6"/>
  <c r="N367" i="6" a="1"/>
  <c r="N367" i="6"/>
  <c r="AN367" i="6"/>
  <c r="AR367" i="6"/>
  <c r="AV367" i="6"/>
  <c r="N368" i="6" a="1"/>
  <c r="N368" i="6"/>
  <c r="N369" i="6" a="1"/>
  <c r="N369" i="6"/>
  <c r="N370" i="6" a="1"/>
  <c r="N370" i="6"/>
  <c r="N371" i="6" a="1"/>
  <c r="N371" i="6"/>
  <c r="N372" i="6" a="1"/>
  <c r="N372" i="6"/>
  <c r="AL372" i="6"/>
  <c r="AM372" i="6"/>
  <c r="AN372" i="6"/>
  <c r="AP372" i="6"/>
  <c r="AQ372" i="6"/>
  <c r="AR372" i="6"/>
  <c r="AT372" i="6"/>
  <c r="AU372" i="6"/>
  <c r="AV372" i="6"/>
  <c r="N373" i="6" a="1"/>
  <c r="N373" i="6"/>
  <c r="AL373" i="6"/>
  <c r="AM373" i="6"/>
  <c r="AN373" i="6"/>
  <c r="AP373" i="6"/>
  <c r="AQ373" i="6"/>
  <c r="AR373" i="6"/>
  <c r="AT373" i="6"/>
  <c r="AU373" i="6"/>
  <c r="AV373" i="6"/>
  <c r="N374" i="6" a="1"/>
  <c r="N374" i="6"/>
  <c r="AL374" i="6"/>
  <c r="AM374" i="6"/>
  <c r="AN374" i="6"/>
  <c r="AP374" i="6"/>
  <c r="AQ374" i="6"/>
  <c r="AR374" i="6"/>
  <c r="AT374" i="6"/>
  <c r="AU374" i="6"/>
  <c r="AV374" i="6"/>
  <c r="N375" i="6" a="1"/>
  <c r="N375" i="6"/>
  <c r="AL375" i="6"/>
  <c r="AM375" i="6"/>
  <c r="AN375" i="6"/>
  <c r="AP375" i="6"/>
  <c r="AQ375" i="6"/>
  <c r="AR375" i="6"/>
  <c r="AT375" i="6"/>
  <c r="AU375" i="6"/>
  <c r="AV375" i="6"/>
  <c r="N376" i="6" a="1"/>
  <c r="N376" i="6"/>
  <c r="AL376" i="6"/>
  <c r="AM376" i="6"/>
  <c r="AN376" i="6"/>
  <c r="AP376" i="6"/>
  <c r="AQ376" i="6"/>
  <c r="AR376" i="6"/>
  <c r="AT376" i="6"/>
  <c r="AU376" i="6"/>
  <c r="AV376" i="6"/>
  <c r="N377" i="6" a="1"/>
  <c r="N377" i="6"/>
  <c r="AL377" i="6"/>
  <c r="AM377" i="6"/>
  <c r="AN377" i="6"/>
  <c r="AP377" i="6"/>
  <c r="AQ377" i="6"/>
  <c r="AR377" i="6"/>
  <c r="AT377" i="6"/>
  <c r="AU377" i="6"/>
  <c r="AV377" i="6"/>
  <c r="N378" i="6" a="1"/>
  <c r="N378" i="6"/>
  <c r="AL378" i="6"/>
  <c r="AM378" i="6"/>
  <c r="AN378" i="6"/>
  <c r="AP378" i="6"/>
  <c r="AQ378" i="6"/>
  <c r="AR378" i="6"/>
  <c r="AT378" i="6"/>
  <c r="AU378" i="6"/>
  <c r="AV378" i="6"/>
  <c r="N379" i="6" a="1"/>
  <c r="N379" i="6"/>
  <c r="AL379" i="6"/>
  <c r="AM379" i="6"/>
  <c r="AN379" i="6"/>
  <c r="AP379" i="6"/>
  <c r="AQ379" i="6"/>
  <c r="AR379" i="6"/>
  <c r="AT379" i="6"/>
  <c r="AU379" i="6"/>
  <c r="AV379" i="6"/>
  <c r="N380" i="6" a="1"/>
  <c r="N380" i="6"/>
  <c r="AL380" i="6"/>
  <c r="AM380" i="6"/>
  <c r="AN380" i="6"/>
  <c r="AP380" i="6"/>
  <c r="AQ380" i="6"/>
  <c r="AR380" i="6"/>
  <c r="AT380" i="6"/>
  <c r="AU380" i="6"/>
  <c r="AV380" i="6"/>
  <c r="N381" i="6" a="1"/>
  <c r="N381" i="6"/>
  <c r="AL381" i="6"/>
  <c r="AM381" i="6"/>
  <c r="AN381" i="6"/>
  <c r="AP381" i="6"/>
  <c r="AQ381" i="6"/>
  <c r="AR381" i="6"/>
  <c r="AT381" i="6"/>
  <c r="AU381" i="6"/>
  <c r="AV381" i="6"/>
  <c r="N382" i="6" a="1"/>
  <c r="N382" i="6"/>
  <c r="AL382" i="6"/>
  <c r="AM382" i="6"/>
  <c r="AN382" i="6"/>
  <c r="AP382" i="6"/>
  <c r="AQ382" i="6"/>
  <c r="AR382" i="6"/>
  <c r="AT382" i="6"/>
  <c r="AU382" i="6"/>
  <c r="AV382" i="6"/>
  <c r="N383" i="6" a="1"/>
  <c r="N383" i="6"/>
  <c r="AL383" i="6"/>
  <c r="AM383" i="6"/>
  <c r="AN383" i="6"/>
  <c r="AP383" i="6"/>
  <c r="AQ383" i="6"/>
  <c r="AR383" i="6"/>
  <c r="AT383" i="6"/>
  <c r="AU383" i="6"/>
  <c r="AV383" i="6"/>
  <c r="N384" i="6" a="1"/>
  <c r="N384" i="6"/>
  <c r="AL384" i="6"/>
  <c r="AM384" i="6"/>
  <c r="AN384" i="6"/>
  <c r="AP384" i="6"/>
  <c r="AQ384" i="6"/>
  <c r="AR384" i="6"/>
  <c r="AT384" i="6"/>
  <c r="AU384" i="6"/>
  <c r="AV384" i="6"/>
  <c r="N385" i="6" a="1"/>
  <c r="N385" i="6"/>
  <c r="AL385" i="6"/>
  <c r="AM385" i="6"/>
  <c r="AN385" i="6"/>
  <c r="AP385" i="6"/>
  <c r="AQ385" i="6"/>
  <c r="AR385" i="6"/>
  <c r="AT385" i="6"/>
  <c r="AU385" i="6"/>
  <c r="AV385" i="6"/>
  <c r="N386" i="6" a="1"/>
  <c r="N386" i="6"/>
  <c r="AL386" i="6"/>
  <c r="AM386" i="6"/>
  <c r="AN386" i="6"/>
  <c r="AP386" i="6"/>
  <c r="AQ386" i="6"/>
  <c r="AR386" i="6"/>
  <c r="AT386" i="6"/>
  <c r="AU386" i="6"/>
  <c r="AV386" i="6"/>
  <c r="N387" i="6" a="1"/>
  <c r="N387" i="6"/>
  <c r="AL387" i="6"/>
  <c r="AM387" i="6"/>
  <c r="AN387" i="6"/>
  <c r="AP387" i="6"/>
  <c r="AQ387" i="6"/>
  <c r="AR387" i="6"/>
  <c r="AT387" i="6"/>
  <c r="AU387" i="6"/>
  <c r="AV387" i="6"/>
  <c r="N388" i="6" a="1"/>
  <c r="N388" i="6"/>
  <c r="AL388" i="6"/>
  <c r="AM388" i="6"/>
  <c r="AN388" i="6"/>
  <c r="AP388" i="6"/>
  <c r="AQ388" i="6"/>
  <c r="AR388" i="6"/>
  <c r="AT388" i="6"/>
  <c r="AU388" i="6"/>
  <c r="AV388" i="6"/>
  <c r="N389" i="6" a="1"/>
  <c r="N389" i="6"/>
  <c r="AL389" i="6"/>
  <c r="AM389" i="6"/>
  <c r="AN389" i="6"/>
  <c r="AP389" i="6"/>
  <c r="AQ389" i="6"/>
  <c r="AR389" i="6"/>
  <c r="AT389" i="6"/>
  <c r="AU389" i="6"/>
  <c r="AV389" i="6"/>
  <c r="N390" i="6" a="1"/>
  <c r="N390" i="6"/>
  <c r="AL390" i="6"/>
  <c r="AM390" i="6"/>
  <c r="AN390" i="6"/>
  <c r="AP390" i="6"/>
  <c r="AQ390" i="6"/>
  <c r="AR390" i="6"/>
  <c r="AT390" i="6"/>
  <c r="AU390" i="6"/>
  <c r="AV390" i="6"/>
  <c r="N391" i="6" a="1"/>
  <c r="N391" i="6"/>
  <c r="AL391" i="6"/>
  <c r="AM391" i="6"/>
  <c r="AN391" i="6"/>
  <c r="AP391" i="6"/>
  <c r="AQ391" i="6"/>
  <c r="AR391" i="6"/>
  <c r="AT391" i="6"/>
  <c r="AU391" i="6"/>
  <c r="AV391" i="6"/>
  <c r="N392" i="6" a="1"/>
  <c r="N392" i="6"/>
  <c r="AL392" i="6"/>
  <c r="AM392" i="6"/>
  <c r="AN392" i="6"/>
  <c r="AP392" i="6"/>
  <c r="AQ392" i="6"/>
  <c r="AR392" i="6"/>
  <c r="AT392" i="6"/>
  <c r="AU392" i="6"/>
  <c r="AV392" i="6"/>
  <c r="N393" i="6" a="1"/>
  <c r="N393" i="6"/>
  <c r="AL393" i="6"/>
  <c r="AM393" i="6"/>
  <c r="AN393" i="6"/>
  <c r="AP393" i="6"/>
  <c r="AQ393" i="6"/>
  <c r="AR393" i="6"/>
  <c r="AT393" i="6"/>
  <c r="AU393" i="6"/>
  <c r="AV393" i="6"/>
  <c r="N394" i="6" a="1"/>
  <c r="N394" i="6"/>
  <c r="AL394" i="6"/>
  <c r="AM394" i="6"/>
  <c r="AN394" i="6"/>
  <c r="AP394" i="6"/>
  <c r="AQ394" i="6"/>
  <c r="AR394" i="6"/>
  <c r="AT394" i="6"/>
  <c r="AU394" i="6"/>
  <c r="AV394" i="6"/>
  <c r="N395" i="6" a="1"/>
  <c r="N395" i="6"/>
  <c r="AL395" i="6"/>
  <c r="AM395" i="6"/>
  <c r="AN395" i="6"/>
  <c r="AP395" i="6"/>
  <c r="AQ395" i="6"/>
  <c r="AR395" i="6"/>
  <c r="AT395" i="6"/>
  <c r="AU395" i="6"/>
  <c r="AV395" i="6"/>
  <c r="N396" i="6" a="1"/>
  <c r="N396" i="6"/>
  <c r="AL396" i="6"/>
  <c r="AM396" i="6"/>
  <c r="AN396" i="6"/>
  <c r="AP396" i="6"/>
  <c r="AQ396" i="6"/>
  <c r="AR396" i="6"/>
  <c r="AT396" i="6"/>
  <c r="AU396" i="6"/>
  <c r="AV396" i="6"/>
  <c r="N397" i="6" a="1"/>
  <c r="N397" i="6"/>
  <c r="AL397" i="6"/>
  <c r="AM397" i="6"/>
  <c r="AN397" i="6"/>
  <c r="AP397" i="6"/>
  <c r="AQ397" i="6"/>
  <c r="AR397" i="6"/>
  <c r="AT397" i="6"/>
  <c r="AU397" i="6"/>
  <c r="AV397" i="6"/>
  <c r="N398" i="6" a="1"/>
  <c r="N398" i="6"/>
  <c r="AL398" i="6"/>
  <c r="AM398" i="6"/>
  <c r="AN398" i="6"/>
  <c r="AP398" i="6"/>
  <c r="AQ398" i="6"/>
  <c r="AR398" i="6"/>
  <c r="AT398" i="6"/>
  <c r="AU398" i="6"/>
  <c r="AV398" i="6"/>
  <c r="N399" i="6" a="1"/>
  <c r="N399" i="6"/>
  <c r="AL399" i="6"/>
  <c r="AM399" i="6"/>
  <c r="AN399" i="6"/>
  <c r="AP399" i="6"/>
  <c r="AQ399" i="6"/>
  <c r="AR399" i="6"/>
  <c r="AT399" i="6"/>
  <c r="AU399" i="6"/>
  <c r="AV399" i="6"/>
  <c r="N400" i="6" a="1"/>
  <c r="N400" i="6"/>
  <c r="AL400" i="6"/>
  <c r="AM400" i="6"/>
  <c r="AN400" i="6"/>
  <c r="AP400" i="6"/>
  <c r="AQ400" i="6"/>
  <c r="AR400" i="6"/>
  <c r="AT400" i="6"/>
  <c r="AU400" i="6"/>
  <c r="AV400" i="6"/>
  <c r="N401" i="6" a="1"/>
  <c r="N401" i="6"/>
  <c r="AL401" i="6"/>
  <c r="AM401" i="6"/>
  <c r="AN401" i="6"/>
  <c r="AP401" i="6"/>
  <c r="AQ401" i="6"/>
  <c r="AR401" i="6"/>
  <c r="AT401" i="6"/>
  <c r="AU401" i="6"/>
  <c r="AV401" i="6"/>
  <c r="N402" i="6" a="1"/>
  <c r="N402" i="6"/>
  <c r="AL402" i="6"/>
  <c r="AM402" i="6"/>
  <c r="AN402" i="6"/>
  <c r="AP402" i="6"/>
  <c r="AQ402" i="6"/>
  <c r="AR402" i="6"/>
  <c r="AT402" i="6"/>
  <c r="AU402" i="6"/>
  <c r="AV402" i="6"/>
  <c r="N403" i="6" a="1"/>
  <c r="N403" i="6"/>
  <c r="AL403" i="6"/>
  <c r="AM403" i="6"/>
  <c r="AN403" i="6"/>
  <c r="AP403" i="6"/>
  <c r="AQ403" i="6"/>
  <c r="AR403" i="6"/>
  <c r="AT403" i="6"/>
  <c r="AU403" i="6"/>
  <c r="AV403" i="6"/>
  <c r="N404" i="6" a="1"/>
  <c r="N404" i="6"/>
  <c r="AL404" i="6"/>
  <c r="AM404" i="6"/>
  <c r="AN404" i="6"/>
  <c r="AP404" i="6"/>
  <c r="AQ404" i="6"/>
  <c r="AR404" i="6"/>
  <c r="AT404" i="6"/>
  <c r="AU404" i="6"/>
  <c r="AV404" i="6"/>
  <c r="N405" i="6" a="1"/>
  <c r="N405" i="6"/>
  <c r="AL405" i="6"/>
  <c r="AM405" i="6"/>
  <c r="AN405" i="6"/>
  <c r="AP405" i="6"/>
  <c r="AQ405" i="6"/>
  <c r="AR405" i="6"/>
  <c r="AT405" i="6"/>
  <c r="AU405" i="6"/>
  <c r="AV405" i="6"/>
  <c r="N406" i="6" a="1"/>
  <c r="N406" i="6"/>
  <c r="AL406" i="6"/>
  <c r="AM406" i="6"/>
  <c r="AN406" i="6"/>
  <c r="AP406" i="6"/>
  <c r="AQ406" i="6"/>
  <c r="AR406" i="6"/>
  <c r="AT406" i="6"/>
  <c r="AU406" i="6"/>
  <c r="AV406" i="6"/>
  <c r="N407" i="6" a="1"/>
  <c r="N407" i="6"/>
  <c r="AL407" i="6"/>
  <c r="AM407" i="6"/>
  <c r="AN407" i="6"/>
  <c r="AP407" i="6"/>
  <c r="AQ407" i="6"/>
  <c r="AR407" i="6"/>
  <c r="AT407" i="6"/>
  <c r="AU407" i="6"/>
  <c r="AV407" i="6"/>
  <c r="N408" i="6" a="1"/>
  <c r="N408" i="6"/>
  <c r="AL408" i="6"/>
  <c r="AM408" i="6"/>
  <c r="AN408" i="6"/>
  <c r="AP408" i="6"/>
  <c r="AQ408" i="6"/>
  <c r="AR408" i="6"/>
  <c r="AT408" i="6"/>
  <c r="AU408" i="6"/>
  <c r="AV408" i="6"/>
  <c r="N409" i="6" a="1"/>
  <c r="N409" i="6"/>
  <c r="AL409" i="6"/>
  <c r="AM409" i="6"/>
  <c r="AN409" i="6"/>
  <c r="AP409" i="6"/>
  <c r="AQ409" i="6"/>
  <c r="AR409" i="6"/>
  <c r="AT409" i="6"/>
  <c r="AU409" i="6"/>
  <c r="AV409" i="6"/>
  <c r="N410" i="6" a="1"/>
  <c r="N410" i="6"/>
  <c r="AL410" i="6"/>
  <c r="AM410" i="6"/>
  <c r="AN410" i="6"/>
  <c r="AP410" i="6"/>
  <c r="AQ410" i="6"/>
  <c r="AR410" i="6"/>
  <c r="AT410" i="6"/>
  <c r="AU410" i="6"/>
  <c r="AV410" i="6"/>
  <c r="N411" i="6" a="1"/>
  <c r="N411" i="6"/>
  <c r="AL411" i="6"/>
  <c r="AM411" i="6"/>
  <c r="AN411" i="6"/>
  <c r="AP411" i="6"/>
  <c r="AQ411" i="6"/>
  <c r="AR411" i="6"/>
  <c r="AT411" i="6"/>
  <c r="AU411" i="6"/>
  <c r="AV411" i="6"/>
  <c r="N412" i="6" a="1"/>
  <c r="N412" i="6"/>
  <c r="AL412" i="6"/>
  <c r="AM412" i="6"/>
  <c r="AN412" i="6"/>
  <c r="AP412" i="6"/>
  <c r="AQ412" i="6"/>
  <c r="AR412" i="6"/>
  <c r="AT412" i="6"/>
  <c r="AU412" i="6"/>
  <c r="AV412" i="6"/>
  <c r="N413" i="6" a="1"/>
  <c r="N413" i="6"/>
  <c r="AL413" i="6"/>
  <c r="AM413" i="6"/>
  <c r="AN413" i="6"/>
  <c r="AP413" i="6"/>
  <c r="AQ413" i="6"/>
  <c r="AR413" i="6"/>
  <c r="AT413" i="6"/>
  <c r="AU413" i="6"/>
  <c r="AV413" i="6"/>
  <c r="N414" i="6" a="1"/>
  <c r="N414" i="6"/>
  <c r="AL414" i="6"/>
  <c r="AM414" i="6"/>
  <c r="AN414" i="6"/>
  <c r="AP414" i="6"/>
  <c r="AQ414" i="6"/>
  <c r="AR414" i="6"/>
  <c r="AT414" i="6"/>
  <c r="AU414" i="6"/>
  <c r="AV414" i="6"/>
  <c r="N415" i="6" a="1"/>
  <c r="N415" i="6"/>
  <c r="AL415" i="6"/>
  <c r="AM415" i="6"/>
  <c r="AN415" i="6"/>
  <c r="AP415" i="6"/>
  <c r="AQ415" i="6"/>
  <c r="AR415" i="6"/>
  <c r="AT415" i="6"/>
  <c r="AU415" i="6"/>
  <c r="AV415" i="6"/>
  <c r="N416" i="6" a="1"/>
  <c r="N416" i="6"/>
  <c r="AL416" i="6"/>
  <c r="AM416" i="6"/>
  <c r="AN416" i="6"/>
  <c r="AP416" i="6"/>
  <c r="AQ416" i="6"/>
  <c r="AR416" i="6"/>
  <c r="AT416" i="6"/>
  <c r="AU416" i="6"/>
  <c r="AV416" i="6"/>
  <c r="N417" i="6" a="1"/>
  <c r="N417" i="6"/>
  <c r="AL417" i="6"/>
  <c r="AM417" i="6"/>
  <c r="AN417" i="6"/>
  <c r="AP417" i="6"/>
  <c r="AQ417" i="6"/>
  <c r="AR417" i="6"/>
  <c r="AT417" i="6"/>
  <c r="AU417" i="6"/>
  <c r="AV417" i="6"/>
  <c r="N418" i="6" a="1"/>
  <c r="N418" i="6"/>
  <c r="AL418" i="6"/>
  <c r="AM418" i="6"/>
  <c r="AN418" i="6"/>
  <c r="AP418" i="6"/>
  <c r="AQ418" i="6"/>
  <c r="AR418" i="6"/>
  <c r="AT418" i="6"/>
  <c r="AU418" i="6"/>
  <c r="AV418" i="6"/>
  <c r="N419" i="6" a="1"/>
  <c r="N419" i="6"/>
  <c r="AL419" i="6"/>
  <c r="AM419" i="6"/>
  <c r="AN419" i="6"/>
  <c r="AP419" i="6"/>
  <c r="AQ419" i="6"/>
  <c r="AR419" i="6"/>
  <c r="AT419" i="6"/>
  <c r="AU419" i="6"/>
  <c r="AV419" i="6"/>
  <c r="N420" i="6" a="1"/>
  <c r="N420" i="6"/>
  <c r="AL420" i="6"/>
  <c r="AM420" i="6"/>
  <c r="AN420" i="6"/>
  <c r="AP420" i="6"/>
  <c r="AQ420" i="6"/>
  <c r="AR420" i="6"/>
  <c r="AT420" i="6"/>
  <c r="AU420" i="6"/>
  <c r="AV420" i="6"/>
  <c r="N421" i="6" a="1"/>
  <c r="N421" i="6"/>
  <c r="AL421" i="6"/>
  <c r="AM421" i="6"/>
  <c r="AN421" i="6"/>
  <c r="AP421" i="6"/>
  <c r="AQ421" i="6"/>
  <c r="AR421" i="6"/>
  <c r="AT421" i="6"/>
  <c r="AU421" i="6"/>
  <c r="AV421" i="6"/>
  <c r="N422" i="6" a="1"/>
  <c r="N422" i="6"/>
  <c r="AL422" i="6"/>
  <c r="AM422" i="6"/>
  <c r="AN422" i="6"/>
  <c r="AP422" i="6"/>
  <c r="AQ422" i="6"/>
  <c r="AR422" i="6"/>
  <c r="AT422" i="6"/>
  <c r="AU422" i="6"/>
  <c r="AV422" i="6"/>
  <c r="N423" i="6" a="1"/>
  <c r="N423" i="6"/>
  <c r="AL423" i="6"/>
  <c r="AM423" i="6"/>
  <c r="AN423" i="6"/>
  <c r="AP423" i="6"/>
  <c r="AQ423" i="6"/>
  <c r="AR423" i="6"/>
  <c r="AT423" i="6"/>
  <c r="AU423" i="6"/>
  <c r="AV423" i="6"/>
  <c r="N424" i="6" a="1"/>
  <c r="N424" i="6"/>
  <c r="AL424" i="6"/>
  <c r="AM424" i="6"/>
  <c r="AN424" i="6"/>
  <c r="AP424" i="6"/>
  <c r="AQ424" i="6"/>
  <c r="AR424" i="6"/>
  <c r="AT424" i="6"/>
  <c r="AU424" i="6"/>
  <c r="AV424" i="6"/>
  <c r="N425" i="6" a="1"/>
  <c r="N425" i="6"/>
  <c r="AL425" i="6"/>
  <c r="AM425" i="6"/>
  <c r="AN425" i="6"/>
  <c r="AP425" i="6"/>
  <c r="AQ425" i="6"/>
  <c r="AR425" i="6"/>
  <c r="AT425" i="6"/>
  <c r="AU425" i="6"/>
  <c r="AV425" i="6"/>
  <c r="N426" i="6" a="1"/>
  <c r="N426" i="6"/>
  <c r="AL426" i="6"/>
  <c r="AM426" i="6"/>
  <c r="AN426" i="6"/>
  <c r="AP426" i="6"/>
  <c r="AQ426" i="6"/>
  <c r="AR426" i="6"/>
  <c r="AT426" i="6"/>
  <c r="AU426" i="6"/>
  <c r="AV426" i="6"/>
  <c r="N427" i="6" a="1"/>
  <c r="N427" i="6"/>
  <c r="AL427" i="6"/>
  <c r="AM427" i="6"/>
  <c r="AN427" i="6"/>
  <c r="AP427" i="6"/>
  <c r="AQ427" i="6"/>
  <c r="AR427" i="6"/>
  <c r="AT427" i="6"/>
  <c r="AU427" i="6"/>
  <c r="AV427" i="6"/>
  <c r="N428" i="6" a="1"/>
  <c r="N428" i="6"/>
  <c r="AL428" i="6"/>
  <c r="AM428" i="6"/>
  <c r="AN428" i="6"/>
  <c r="AP428" i="6"/>
  <c r="AQ428" i="6"/>
  <c r="AR428" i="6"/>
  <c r="AT428" i="6"/>
  <c r="AU428" i="6"/>
  <c r="AV428" i="6"/>
  <c r="N429" i="6" a="1"/>
  <c r="N429" i="6"/>
  <c r="AL429" i="6"/>
  <c r="AM429" i="6"/>
  <c r="AN429" i="6"/>
  <c r="AP429" i="6"/>
  <c r="AQ429" i="6"/>
  <c r="AR429" i="6"/>
  <c r="AT429" i="6"/>
  <c r="AU429" i="6"/>
  <c r="AV429" i="6"/>
  <c r="N430" i="6" a="1"/>
  <c r="N430" i="6"/>
  <c r="AL430" i="6"/>
  <c r="AM430" i="6"/>
  <c r="AN430" i="6"/>
  <c r="AP430" i="6"/>
  <c r="AQ430" i="6"/>
  <c r="AR430" i="6"/>
  <c r="AT430" i="6"/>
  <c r="AU430" i="6"/>
  <c r="AV430" i="6"/>
  <c r="N431" i="6" a="1"/>
  <c r="N431" i="6"/>
  <c r="AL431" i="6"/>
  <c r="AM431" i="6"/>
  <c r="AN431" i="6"/>
  <c r="AP431" i="6"/>
  <c r="AQ431" i="6"/>
  <c r="AR431" i="6"/>
  <c r="AT431" i="6"/>
  <c r="AU431" i="6"/>
  <c r="AV431" i="6"/>
  <c r="N432" i="6" a="1"/>
  <c r="N432" i="6"/>
  <c r="AL432" i="6"/>
  <c r="AM432" i="6"/>
  <c r="AN432" i="6"/>
  <c r="AP432" i="6"/>
  <c r="AQ432" i="6"/>
  <c r="AR432" i="6"/>
  <c r="AT432" i="6"/>
  <c r="AU432" i="6"/>
  <c r="AV432" i="6"/>
  <c r="N433" i="6" a="1"/>
  <c r="N433" i="6"/>
  <c r="AL433" i="6"/>
  <c r="AM433" i="6"/>
  <c r="AN433" i="6"/>
  <c r="AP433" i="6"/>
  <c r="AQ433" i="6"/>
  <c r="AR433" i="6"/>
  <c r="AT433" i="6"/>
  <c r="AU433" i="6"/>
  <c r="AV433" i="6"/>
  <c r="N434" i="6" a="1"/>
  <c r="N434" i="6"/>
  <c r="AL434" i="6"/>
  <c r="AM434" i="6"/>
  <c r="AN434" i="6"/>
  <c r="AP434" i="6"/>
  <c r="AQ434" i="6"/>
  <c r="AR434" i="6"/>
  <c r="AT434" i="6"/>
  <c r="AU434" i="6"/>
  <c r="AV434" i="6"/>
  <c r="N435" i="6" a="1"/>
  <c r="N435" i="6"/>
  <c r="AL435" i="6"/>
  <c r="AM435" i="6"/>
  <c r="AN435" i="6"/>
  <c r="AP435" i="6"/>
  <c r="AQ435" i="6"/>
  <c r="AR435" i="6"/>
  <c r="AT435" i="6"/>
  <c r="AU435" i="6"/>
  <c r="AV435" i="6"/>
  <c r="N436" i="6" a="1"/>
  <c r="N436" i="6"/>
  <c r="AL436" i="6"/>
  <c r="AM436" i="6"/>
  <c r="AN436" i="6"/>
  <c r="AP436" i="6"/>
  <c r="AQ436" i="6"/>
  <c r="AR436" i="6"/>
  <c r="AT436" i="6"/>
  <c r="AU436" i="6"/>
  <c r="AV436" i="6"/>
  <c r="N437" i="6" a="1"/>
  <c r="N437" i="6"/>
  <c r="AL437" i="6"/>
  <c r="AM437" i="6"/>
  <c r="AN437" i="6"/>
  <c r="AP437" i="6"/>
  <c r="AQ437" i="6"/>
  <c r="AR437" i="6"/>
  <c r="AT437" i="6"/>
  <c r="AU437" i="6"/>
  <c r="AV437" i="6"/>
  <c r="N438" i="6" a="1"/>
  <c r="N438" i="6"/>
  <c r="AL438" i="6"/>
  <c r="AM438" i="6"/>
  <c r="AN438" i="6"/>
  <c r="AP438" i="6"/>
  <c r="AQ438" i="6"/>
  <c r="AR438" i="6"/>
  <c r="AT438" i="6"/>
  <c r="AU438" i="6"/>
  <c r="AV438" i="6"/>
  <c r="N439" i="6" a="1"/>
  <c r="N439" i="6"/>
  <c r="AL439" i="6"/>
  <c r="AM439" i="6"/>
  <c r="AN439" i="6"/>
  <c r="AP439" i="6"/>
  <c r="AQ439" i="6"/>
  <c r="AR439" i="6"/>
  <c r="AT439" i="6"/>
  <c r="AU439" i="6"/>
  <c r="AV439" i="6"/>
  <c r="N440" i="6" a="1"/>
  <c r="N440" i="6"/>
  <c r="AL440" i="6"/>
  <c r="AM440" i="6"/>
  <c r="AN440" i="6"/>
  <c r="AP440" i="6"/>
  <c r="AQ440" i="6"/>
  <c r="AR440" i="6"/>
  <c r="AT440" i="6"/>
  <c r="AU440" i="6"/>
  <c r="AV440" i="6"/>
  <c r="N441" i="6" a="1"/>
  <c r="N441" i="6"/>
  <c r="AL441" i="6"/>
  <c r="AM441" i="6"/>
  <c r="AN441" i="6"/>
  <c r="AP441" i="6"/>
  <c r="AQ441" i="6"/>
  <c r="AR441" i="6"/>
  <c r="AT441" i="6"/>
  <c r="AU441" i="6"/>
  <c r="AV441" i="6"/>
  <c r="N442" i="6" a="1"/>
  <c r="N442" i="6"/>
  <c r="AL442" i="6"/>
  <c r="AM442" i="6"/>
  <c r="AN442" i="6"/>
  <c r="AP442" i="6"/>
  <c r="AQ442" i="6"/>
  <c r="AR442" i="6"/>
  <c r="AT442" i="6"/>
  <c r="AU442" i="6"/>
  <c r="AV442" i="6"/>
  <c r="N443" i="6" a="1"/>
  <c r="N443" i="6"/>
  <c r="AL443" i="6"/>
  <c r="AM443" i="6"/>
  <c r="AN443" i="6"/>
  <c r="AP443" i="6"/>
  <c r="AQ443" i="6"/>
  <c r="AR443" i="6"/>
  <c r="AT443" i="6"/>
  <c r="AU443" i="6"/>
  <c r="AV443" i="6"/>
  <c r="N444" i="6" a="1"/>
  <c r="N444" i="6"/>
  <c r="AL444" i="6"/>
  <c r="AM444" i="6"/>
  <c r="AN444" i="6"/>
  <c r="AP444" i="6"/>
  <c r="AQ444" i="6"/>
  <c r="AR444" i="6"/>
  <c r="AT444" i="6"/>
  <c r="AU444" i="6"/>
  <c r="AV444" i="6"/>
  <c r="N445" i="6" a="1"/>
  <c r="N445" i="6"/>
  <c r="AL445" i="6"/>
  <c r="AM445" i="6"/>
  <c r="AN445" i="6"/>
  <c r="AP445" i="6"/>
  <c r="AQ445" i="6"/>
  <c r="AR445" i="6"/>
  <c r="AT445" i="6"/>
  <c r="AU445" i="6"/>
  <c r="AV445" i="6"/>
  <c r="N446" i="6" a="1"/>
  <c r="N446" i="6"/>
  <c r="AL446" i="6"/>
  <c r="AM446" i="6"/>
  <c r="AN446" i="6"/>
  <c r="AP446" i="6"/>
  <c r="AQ446" i="6"/>
  <c r="AR446" i="6"/>
  <c r="AT446" i="6"/>
  <c r="AU446" i="6"/>
  <c r="AV446" i="6"/>
  <c r="N447" i="6" a="1"/>
  <c r="N447" i="6"/>
  <c r="AL447" i="6"/>
  <c r="AM447" i="6"/>
  <c r="AN447" i="6"/>
  <c r="AP447" i="6"/>
  <c r="AQ447" i="6"/>
  <c r="AR447" i="6"/>
  <c r="AT447" i="6"/>
  <c r="AU447" i="6"/>
  <c r="AV447" i="6"/>
  <c r="N448" i="6" a="1"/>
  <c r="N448" i="6"/>
  <c r="AL448" i="6"/>
  <c r="AM448" i="6"/>
  <c r="AN448" i="6"/>
  <c r="AP448" i="6"/>
  <c r="AQ448" i="6"/>
  <c r="AR448" i="6"/>
  <c r="AT448" i="6"/>
  <c r="AU448" i="6"/>
  <c r="AV448" i="6"/>
  <c r="N449" i="6" a="1"/>
  <c r="N449" i="6"/>
  <c r="AL449" i="6"/>
  <c r="AM449" i="6"/>
  <c r="AN449" i="6"/>
  <c r="AP449" i="6"/>
  <c r="AQ449" i="6"/>
  <c r="AR449" i="6"/>
  <c r="AT449" i="6"/>
  <c r="AU449" i="6"/>
  <c r="AV449" i="6"/>
  <c r="N450" i="6" a="1"/>
  <c r="N450" i="6"/>
  <c r="AL450" i="6"/>
  <c r="AM450" i="6"/>
  <c r="AN450" i="6"/>
  <c r="AP450" i="6"/>
  <c r="AQ450" i="6"/>
  <c r="AR450" i="6"/>
  <c r="AT450" i="6"/>
  <c r="AU450" i="6"/>
  <c r="AV450" i="6"/>
  <c r="N451" i="6" a="1"/>
  <c r="N451" i="6"/>
  <c r="AL451" i="6"/>
  <c r="AM451" i="6"/>
  <c r="AN451" i="6"/>
  <c r="AP451" i="6"/>
  <c r="AQ451" i="6"/>
  <c r="AR451" i="6"/>
  <c r="AT451" i="6"/>
  <c r="AU451" i="6"/>
  <c r="AV451" i="6"/>
  <c r="N452" i="6" a="1"/>
  <c r="N452" i="6"/>
  <c r="AL452" i="6"/>
  <c r="AM452" i="6"/>
  <c r="AN452" i="6"/>
  <c r="AP452" i="6"/>
  <c r="AQ452" i="6"/>
  <c r="AR452" i="6"/>
  <c r="AT452" i="6"/>
  <c r="AU452" i="6"/>
  <c r="AV452" i="6"/>
  <c r="N453" i="6" a="1"/>
  <c r="N453" i="6"/>
  <c r="AL453" i="6"/>
  <c r="AM453" i="6"/>
  <c r="AN453" i="6"/>
  <c r="AP453" i="6"/>
  <c r="AQ453" i="6"/>
  <c r="AR453" i="6"/>
  <c r="AT453" i="6"/>
  <c r="AU453" i="6"/>
  <c r="AV453" i="6"/>
  <c r="N454" i="6" a="1"/>
  <c r="N454" i="6"/>
  <c r="AL454" i="6"/>
  <c r="AM454" i="6"/>
  <c r="AN454" i="6"/>
  <c r="AP454" i="6"/>
  <c r="AQ454" i="6"/>
  <c r="AR454" i="6"/>
  <c r="AT454" i="6"/>
  <c r="AU454" i="6"/>
  <c r="AV454" i="6"/>
  <c r="N455" i="6" a="1"/>
  <c r="N455" i="6"/>
  <c r="AL455" i="6"/>
  <c r="AM455" i="6"/>
  <c r="AN455" i="6"/>
  <c r="AP455" i="6"/>
  <c r="AQ455" i="6"/>
  <c r="AR455" i="6"/>
  <c r="AT455" i="6"/>
  <c r="AU455" i="6"/>
  <c r="AV455" i="6"/>
  <c r="N456" i="6" a="1"/>
  <c r="N456" i="6"/>
  <c r="AL456" i="6"/>
  <c r="AM456" i="6"/>
  <c r="AN456" i="6"/>
  <c r="AP456" i="6"/>
  <c r="AQ456" i="6"/>
  <c r="AR456" i="6"/>
  <c r="AT456" i="6"/>
  <c r="AU456" i="6"/>
  <c r="AV456" i="6"/>
  <c r="AL457" i="6"/>
  <c r="AM457" i="6"/>
  <c r="AN457" i="6"/>
  <c r="AP457" i="6"/>
  <c r="AQ457" i="6"/>
  <c r="AR457" i="6"/>
  <c r="AT457" i="6"/>
  <c r="AU457" i="6"/>
  <c r="AV457" i="6"/>
  <c r="AL458" i="6"/>
  <c r="AM458" i="6"/>
  <c r="AN458" i="6"/>
  <c r="AP458" i="6"/>
  <c r="AQ458" i="6"/>
  <c r="AR458" i="6"/>
  <c r="AT458" i="6"/>
  <c r="AU458" i="6"/>
  <c r="AV458" i="6"/>
  <c r="AL459" i="6"/>
  <c r="AM459" i="6"/>
  <c r="AN459" i="6"/>
  <c r="AP459" i="6"/>
  <c r="AQ459" i="6"/>
  <c r="AR459" i="6"/>
  <c r="AT459" i="6"/>
  <c r="AU459" i="6"/>
  <c r="AV459" i="6"/>
  <c r="AL460" i="6"/>
  <c r="AM460" i="6"/>
  <c r="AN460" i="6"/>
  <c r="AP460" i="6"/>
  <c r="AQ460" i="6"/>
  <c r="AR460" i="6"/>
  <c r="AT460" i="6"/>
  <c r="AU460" i="6"/>
  <c r="AV460" i="6"/>
  <c r="AL461" i="6"/>
  <c r="AM461" i="6"/>
  <c r="AN461" i="6"/>
  <c r="AP461" i="6"/>
  <c r="AQ461" i="6"/>
  <c r="AR461" i="6"/>
  <c r="AT461" i="6"/>
  <c r="AU461" i="6"/>
  <c r="AV461" i="6"/>
  <c r="AL462" i="6"/>
  <c r="AM462" i="6"/>
  <c r="AN462" i="6"/>
  <c r="AP462" i="6"/>
  <c r="AQ462" i="6"/>
  <c r="AR462" i="6"/>
  <c r="AT462" i="6"/>
  <c r="AU462" i="6"/>
  <c r="AV462" i="6"/>
  <c r="AL463" i="6"/>
  <c r="AM463" i="6"/>
  <c r="AN463" i="6"/>
  <c r="AP463" i="6"/>
  <c r="AQ463" i="6"/>
  <c r="AR463" i="6"/>
  <c r="AT463" i="6"/>
  <c r="AU463" i="6"/>
  <c r="AV463" i="6"/>
  <c r="AL464" i="6"/>
  <c r="AM464" i="6"/>
  <c r="AN464" i="6"/>
  <c r="AP464" i="6"/>
  <c r="AQ464" i="6"/>
  <c r="AR464" i="6"/>
  <c r="AT464" i="6"/>
  <c r="AU464" i="6"/>
  <c r="AV464" i="6"/>
  <c r="AL465" i="6"/>
  <c r="AM465" i="6"/>
  <c r="AN465" i="6"/>
  <c r="AP465" i="6"/>
  <c r="AQ465" i="6"/>
  <c r="AR465" i="6"/>
  <c r="AT465" i="6"/>
  <c r="AU465" i="6"/>
  <c r="AV465" i="6"/>
  <c r="AL466" i="6"/>
  <c r="AM466" i="6"/>
  <c r="AN466" i="6"/>
  <c r="AP466" i="6"/>
  <c r="AQ466" i="6"/>
  <c r="AR466" i="6"/>
  <c r="AT466" i="6"/>
  <c r="AU466" i="6"/>
  <c r="AV466" i="6"/>
  <c r="C7" i="4"/>
  <c r="T9" i="16" a="1"/>
  <c r="T9" i="16"/>
  <c r="X14" i="16"/>
  <c r="AA14" i="16"/>
  <c r="V9" i="16"/>
  <c r="AB14" i="16"/>
  <c r="AE14" i="16"/>
  <c r="W9" i="16"/>
  <c r="X15" i="16"/>
  <c r="AA15" i="16"/>
  <c r="V10" i="16"/>
  <c r="AB15" i="16"/>
  <c r="AE15" i="16"/>
  <c r="W10" i="16"/>
  <c r="Y14" i="16"/>
  <c r="Z14" i="16"/>
  <c r="Y15" i="16"/>
  <c r="Z15" i="16"/>
  <c r="X16" i="16"/>
  <c r="Y16" i="16"/>
  <c r="Z16" i="16"/>
  <c r="X17" i="16"/>
  <c r="Y17" i="16"/>
  <c r="Z17" i="16"/>
  <c r="X18" i="16"/>
  <c r="Y18" i="16"/>
  <c r="Z18" i="16"/>
  <c r="X19" i="16"/>
  <c r="Y19" i="16"/>
  <c r="Z19" i="16"/>
  <c r="X20" i="16"/>
  <c r="Y20" i="16"/>
  <c r="Z20" i="16"/>
  <c r="X21" i="16"/>
  <c r="Y21" i="16"/>
  <c r="Z21" i="16"/>
  <c r="X22" i="16"/>
  <c r="Y22" i="16"/>
  <c r="Z22" i="16"/>
  <c r="X23" i="16"/>
  <c r="Y23" i="16"/>
  <c r="Z23" i="16"/>
  <c r="X24" i="16"/>
  <c r="Y24" i="16"/>
  <c r="Z24" i="16"/>
  <c r="X25" i="16"/>
  <c r="Y25" i="16"/>
  <c r="Z25" i="16"/>
  <c r="X26" i="16"/>
  <c r="Y26" i="16"/>
  <c r="Z26" i="16"/>
  <c r="X27" i="16"/>
  <c r="Y27" i="16"/>
  <c r="Z27" i="16"/>
  <c r="X28" i="16"/>
  <c r="Y28" i="16"/>
  <c r="Z28" i="16"/>
  <c r="X29" i="16"/>
  <c r="Y29" i="16"/>
  <c r="Z29" i="16"/>
  <c r="X30" i="16"/>
  <c r="Y30" i="16"/>
  <c r="Z30" i="16"/>
  <c r="X31" i="16"/>
  <c r="Y31" i="16"/>
  <c r="Z31" i="16"/>
  <c r="X32" i="16"/>
  <c r="Y32" i="16"/>
  <c r="Z32" i="16"/>
  <c r="X33" i="16"/>
  <c r="Y33" i="16"/>
  <c r="Z33" i="16"/>
  <c r="X34" i="16"/>
  <c r="Y34" i="16"/>
  <c r="Z34" i="16"/>
  <c r="X35" i="16"/>
  <c r="Y35" i="16"/>
  <c r="Z35" i="16"/>
  <c r="X36" i="16"/>
  <c r="Y36" i="16"/>
  <c r="Z36" i="16"/>
  <c r="X37" i="16"/>
  <c r="Y37" i="16"/>
  <c r="Z37" i="16"/>
  <c r="X38" i="16"/>
  <c r="Y38" i="16"/>
  <c r="Z38" i="16"/>
  <c r="X39" i="16"/>
  <c r="Y39" i="16"/>
  <c r="Z39" i="16"/>
  <c r="X40" i="16"/>
  <c r="Y40" i="16"/>
  <c r="Z40" i="16"/>
  <c r="X41" i="16"/>
  <c r="Y41" i="16"/>
  <c r="Z41" i="16"/>
  <c r="X42" i="16"/>
  <c r="Y42" i="16"/>
  <c r="Z42" i="16"/>
  <c r="X43" i="16"/>
  <c r="Y43" i="16"/>
  <c r="Z43" i="16"/>
  <c r="X44" i="16"/>
  <c r="Y44" i="16"/>
  <c r="Z44" i="16"/>
  <c r="X45" i="16"/>
  <c r="Y45" i="16"/>
  <c r="Z45" i="16"/>
  <c r="X46" i="16"/>
  <c r="Y46" i="16"/>
  <c r="Z46" i="16"/>
  <c r="X47" i="16"/>
  <c r="Y47" i="16"/>
  <c r="Z47" i="16"/>
  <c r="X48" i="16"/>
  <c r="Y48" i="16"/>
  <c r="Z48" i="16"/>
  <c r="X49" i="16"/>
  <c r="Y49" i="16"/>
  <c r="Z49" i="16"/>
  <c r="X50" i="16"/>
  <c r="Y50" i="16"/>
  <c r="Z50" i="16"/>
  <c r="X51" i="16"/>
  <c r="Y51" i="16"/>
  <c r="Z51" i="16"/>
  <c r="X52" i="16"/>
  <c r="Y52" i="16"/>
  <c r="Z52" i="16"/>
  <c r="X53" i="16"/>
  <c r="Y53" i="16"/>
  <c r="Z53" i="16"/>
  <c r="X54" i="16"/>
  <c r="Y54" i="16"/>
  <c r="Z54" i="16"/>
  <c r="X55" i="16"/>
  <c r="Y55" i="16"/>
  <c r="Z55" i="16"/>
  <c r="X56" i="16"/>
  <c r="Y56" i="16"/>
  <c r="Z56" i="16"/>
  <c r="X57" i="16"/>
  <c r="Y57" i="16"/>
  <c r="Z57" i="16"/>
  <c r="X58" i="16"/>
  <c r="Y58" i="16"/>
  <c r="Z58" i="16"/>
  <c r="X59" i="16"/>
  <c r="Y59" i="16"/>
  <c r="Z59" i="16"/>
  <c r="X60" i="16"/>
  <c r="Y60" i="16"/>
  <c r="Z60" i="16"/>
  <c r="X61" i="16"/>
  <c r="Y61" i="16"/>
  <c r="Z61" i="16"/>
  <c r="X62" i="16"/>
  <c r="Y62" i="16"/>
  <c r="Z62" i="16"/>
  <c r="X63" i="16"/>
  <c r="Y63" i="16"/>
  <c r="Z63" i="16"/>
  <c r="X64" i="16"/>
  <c r="Y64" i="16"/>
  <c r="Z64" i="16"/>
  <c r="X65" i="16"/>
  <c r="Y65" i="16"/>
  <c r="Z65" i="16"/>
  <c r="X66" i="16"/>
  <c r="Y66" i="16"/>
  <c r="Z66" i="16"/>
  <c r="X67" i="16"/>
  <c r="Y67" i="16"/>
  <c r="Z67" i="16"/>
  <c r="X68" i="16"/>
  <c r="Y68" i="16"/>
  <c r="Z68" i="16"/>
  <c r="X69" i="16"/>
  <c r="Y69" i="16"/>
  <c r="Z69" i="16"/>
  <c r="X70" i="16"/>
  <c r="Y70" i="16"/>
  <c r="Z70" i="16"/>
  <c r="X71" i="16"/>
  <c r="Y71" i="16"/>
  <c r="Z71" i="16"/>
  <c r="X72" i="16"/>
  <c r="Y72" i="16"/>
  <c r="Z72" i="16"/>
  <c r="X73" i="16"/>
  <c r="Y73" i="16"/>
  <c r="Z73" i="16"/>
  <c r="X74" i="16"/>
  <c r="Y74" i="16"/>
  <c r="Z74" i="16"/>
  <c r="X75" i="16"/>
  <c r="Y75" i="16"/>
  <c r="Z75" i="16"/>
  <c r="X76" i="16"/>
  <c r="Y76" i="16"/>
  <c r="Z76" i="16"/>
  <c r="X77" i="16"/>
  <c r="Y77" i="16"/>
  <c r="Z77" i="16"/>
  <c r="X78" i="16"/>
  <c r="Y78" i="16"/>
  <c r="Z78" i="16"/>
  <c r="X79" i="16"/>
  <c r="Y79" i="16"/>
  <c r="Z79" i="16"/>
  <c r="X80" i="16"/>
  <c r="Y80" i="16"/>
  <c r="Z80" i="16"/>
  <c r="X81" i="16"/>
  <c r="Y81" i="16"/>
  <c r="Z81" i="16"/>
  <c r="X82" i="16"/>
  <c r="Y82" i="16"/>
  <c r="Z82" i="16"/>
  <c r="X83" i="16"/>
  <c r="Y83" i="16"/>
  <c r="Z83" i="16"/>
  <c r="X84" i="16"/>
  <c r="Y84" i="16"/>
  <c r="Z84" i="16"/>
  <c r="X85" i="16"/>
  <c r="Y85" i="16"/>
  <c r="Z85" i="16"/>
  <c r="X86" i="16"/>
  <c r="Y86" i="16"/>
  <c r="Z86" i="16"/>
  <c r="X87" i="16"/>
  <c r="Y87" i="16"/>
  <c r="Z87" i="16"/>
  <c r="X88" i="16"/>
  <c r="Y88" i="16"/>
  <c r="Z88" i="16"/>
  <c r="X89" i="16"/>
  <c r="Y89" i="16"/>
  <c r="Z89" i="16"/>
  <c r="X90" i="16"/>
  <c r="Y90" i="16"/>
  <c r="Z90" i="16"/>
  <c r="X91" i="16"/>
  <c r="Y91" i="16"/>
  <c r="Z91" i="16"/>
  <c r="X92" i="16"/>
  <c r="Y92" i="16"/>
  <c r="Z92" i="16"/>
  <c r="X93" i="16"/>
  <c r="Y93" i="16"/>
  <c r="Z93" i="16"/>
  <c r="X94" i="16"/>
  <c r="Y94" i="16"/>
  <c r="Z94" i="16"/>
  <c r="X95" i="16"/>
  <c r="Y95" i="16"/>
  <c r="Z95" i="16"/>
  <c r="X96" i="16"/>
  <c r="Y96" i="16"/>
  <c r="Z96" i="16"/>
  <c r="X97" i="16"/>
  <c r="Y97" i="16"/>
  <c r="Z97" i="16"/>
  <c r="X98" i="16"/>
  <c r="Y98" i="16"/>
  <c r="Z98" i="16"/>
  <c r="X99" i="16"/>
  <c r="Y99" i="16"/>
  <c r="Z99" i="16"/>
  <c r="X100" i="16"/>
  <c r="Y100" i="16"/>
  <c r="Z100" i="16"/>
  <c r="X101" i="16"/>
  <c r="Y101" i="16"/>
  <c r="Z101" i="16"/>
  <c r="X102" i="16"/>
  <c r="Y102" i="16"/>
  <c r="Z102" i="16"/>
  <c r="X103" i="16"/>
  <c r="Y103" i="16"/>
  <c r="Z103" i="16"/>
  <c r="X104" i="16"/>
  <c r="Y104" i="16"/>
  <c r="Z104" i="16"/>
  <c r="X105" i="16"/>
  <c r="Y105" i="16"/>
  <c r="Z105" i="16"/>
  <c r="X106" i="16"/>
  <c r="Y106" i="16"/>
  <c r="Z106" i="16"/>
  <c r="X107" i="16"/>
  <c r="Y107" i="16"/>
  <c r="Z107" i="16"/>
  <c r="X108" i="16"/>
  <c r="Y108" i="16"/>
  <c r="Z108" i="16"/>
  <c r="X109" i="16"/>
  <c r="Z109" i="16"/>
  <c r="X110" i="16"/>
  <c r="Z110" i="16"/>
  <c r="X111" i="16"/>
  <c r="Z111" i="16"/>
  <c r="X112" i="16"/>
  <c r="Z112" i="16"/>
  <c r="X113" i="16"/>
  <c r="Z113" i="16"/>
  <c r="X114" i="16"/>
  <c r="Z114" i="16"/>
  <c r="X115" i="16"/>
  <c r="Z115" i="16"/>
  <c r="X116" i="16"/>
  <c r="Z116" i="16"/>
  <c r="X117" i="16"/>
  <c r="Z117" i="16"/>
  <c r="X118" i="16"/>
  <c r="Z118" i="16"/>
  <c r="X119" i="16"/>
  <c r="Z119" i="16"/>
  <c r="X120" i="16"/>
  <c r="Z120" i="16"/>
  <c r="X121" i="16"/>
  <c r="Z121" i="16"/>
  <c r="X122" i="16"/>
  <c r="Z122" i="16"/>
  <c r="X123" i="16"/>
  <c r="Z123" i="16"/>
  <c r="X124" i="16"/>
  <c r="Z124" i="16"/>
  <c r="X125" i="16"/>
  <c r="Z125" i="16"/>
  <c r="X126" i="16"/>
  <c r="Z126" i="16"/>
  <c r="X127" i="16"/>
  <c r="Z127" i="16"/>
  <c r="X128" i="16"/>
  <c r="Z128" i="16"/>
  <c r="X129" i="16"/>
  <c r="Z129" i="16"/>
  <c r="X130" i="16"/>
  <c r="Z130" i="16"/>
  <c r="X131" i="16"/>
  <c r="Z131" i="16"/>
  <c r="X132" i="16"/>
  <c r="Z132" i="16"/>
  <c r="X133" i="16"/>
  <c r="Z133" i="16"/>
  <c r="X134" i="16"/>
  <c r="Z134" i="16"/>
  <c r="X135" i="16"/>
  <c r="Z135" i="16"/>
  <c r="X136" i="16"/>
  <c r="Z136" i="16"/>
  <c r="X137" i="16"/>
  <c r="Z137" i="16"/>
  <c r="X138" i="16"/>
  <c r="Z138" i="16"/>
  <c r="X139" i="16"/>
  <c r="Z139" i="16"/>
  <c r="X140" i="16"/>
  <c r="Z140" i="16"/>
  <c r="X141" i="16"/>
  <c r="Z141" i="16"/>
  <c r="X142" i="16"/>
  <c r="Z142" i="16"/>
  <c r="X143" i="16"/>
  <c r="Z143" i="16"/>
  <c r="X144" i="16"/>
  <c r="Z144" i="16"/>
  <c r="X145" i="16"/>
  <c r="Z145" i="16"/>
  <c r="X146" i="16"/>
  <c r="Z146" i="16"/>
  <c r="X147" i="16"/>
  <c r="Z147" i="16"/>
  <c r="X148" i="16"/>
  <c r="Z148" i="16"/>
  <c r="X149" i="16"/>
  <c r="Z149" i="16"/>
  <c r="X150" i="16"/>
  <c r="Z150" i="16"/>
  <c r="X151" i="16"/>
  <c r="Z151" i="16"/>
  <c r="X152" i="16"/>
  <c r="Z152" i="16"/>
  <c r="X153" i="16"/>
  <c r="Z153" i="16"/>
  <c r="X154" i="16"/>
  <c r="Z154" i="16"/>
  <c r="X155" i="16"/>
  <c r="Z155" i="16"/>
  <c r="X156" i="16"/>
  <c r="Z156" i="16"/>
  <c r="X157" i="16"/>
  <c r="Z157" i="16"/>
  <c r="X158" i="16"/>
  <c r="Z158" i="16"/>
  <c r="X159" i="16"/>
  <c r="Z159" i="16"/>
  <c r="X160" i="16"/>
  <c r="Z160" i="16"/>
  <c r="X161" i="16"/>
  <c r="Z161" i="16"/>
  <c r="X162" i="16"/>
  <c r="Z162" i="16"/>
  <c r="X163" i="16"/>
  <c r="Z163" i="16"/>
  <c r="X164" i="16"/>
  <c r="Z164" i="16"/>
  <c r="X165" i="16"/>
  <c r="Z165" i="16"/>
  <c r="X166" i="16"/>
  <c r="Z166" i="16"/>
  <c r="X167" i="16"/>
  <c r="Z167" i="16"/>
  <c r="X168" i="16"/>
  <c r="Z168" i="16"/>
  <c r="X169" i="16"/>
  <c r="Z169" i="16"/>
  <c r="X170" i="16"/>
  <c r="Z170" i="16"/>
  <c r="X171" i="16"/>
  <c r="Z171" i="16"/>
  <c r="X172" i="16"/>
  <c r="Z172" i="16"/>
  <c r="X173" i="16"/>
  <c r="Z173" i="16"/>
  <c r="X174" i="16"/>
  <c r="Z174" i="16"/>
  <c r="X175" i="16"/>
  <c r="Z175" i="16"/>
  <c r="X176" i="16"/>
  <c r="Z176" i="16"/>
  <c r="X177" i="16"/>
  <c r="Z177" i="16"/>
  <c r="X178" i="16"/>
  <c r="Z178" i="16"/>
  <c r="X179" i="16"/>
  <c r="Z179" i="16"/>
  <c r="X180" i="16"/>
  <c r="Z180" i="16"/>
  <c r="X181" i="16"/>
  <c r="Z181" i="16"/>
  <c r="X182" i="16"/>
  <c r="Z182" i="16"/>
  <c r="X183" i="16"/>
  <c r="Z183" i="16"/>
  <c r="X184" i="16"/>
  <c r="Z184" i="16"/>
  <c r="X185" i="16"/>
  <c r="Z185" i="16"/>
  <c r="X186" i="16"/>
  <c r="Z186" i="16"/>
  <c r="X187" i="16"/>
  <c r="Z187" i="16"/>
  <c r="X188" i="16"/>
  <c r="Z188" i="16"/>
  <c r="X189" i="16"/>
  <c r="Z189" i="16"/>
  <c r="X190" i="16"/>
  <c r="Z190" i="16"/>
  <c r="X191" i="16"/>
  <c r="Z191" i="16"/>
  <c r="X192" i="16"/>
  <c r="Z192" i="16"/>
  <c r="X193" i="16"/>
  <c r="Z193" i="16"/>
  <c r="X194" i="16"/>
  <c r="Z194" i="16"/>
  <c r="X195" i="16"/>
  <c r="Z195" i="16"/>
  <c r="X196" i="16"/>
  <c r="Z196" i="16"/>
  <c r="X197" i="16"/>
  <c r="Z197" i="16"/>
  <c r="X198" i="16"/>
  <c r="Z198" i="16"/>
  <c r="X199" i="16"/>
  <c r="Z199" i="16"/>
  <c r="X200" i="16"/>
  <c r="Z200" i="16"/>
  <c r="X201" i="16"/>
  <c r="Z201" i="16"/>
  <c r="X202" i="16"/>
  <c r="Z202" i="16"/>
  <c r="X203" i="16"/>
  <c r="Z203" i="16"/>
  <c r="X204" i="16"/>
  <c r="Z204" i="16"/>
  <c r="X205" i="16"/>
  <c r="Z205" i="16"/>
  <c r="X206" i="16"/>
  <c r="Z206" i="16"/>
  <c r="X207" i="16"/>
  <c r="Z207" i="16"/>
  <c r="X208" i="16"/>
  <c r="Z208" i="16"/>
  <c r="X209" i="16"/>
  <c r="Z209" i="16"/>
  <c r="X210" i="16"/>
  <c r="Z210" i="16"/>
  <c r="X211" i="16"/>
  <c r="Z211" i="16"/>
  <c r="X212" i="16"/>
  <c r="Z212" i="16"/>
  <c r="X213" i="16"/>
  <c r="Z213" i="16"/>
  <c r="X214" i="16"/>
  <c r="Z214" i="16"/>
  <c r="X215" i="16"/>
  <c r="Z215" i="16"/>
  <c r="X216" i="16"/>
  <c r="Z216" i="16"/>
  <c r="X217" i="16"/>
  <c r="Z217" i="16"/>
  <c r="X218" i="16"/>
  <c r="Z218" i="16"/>
  <c r="X219" i="16"/>
  <c r="Z219" i="16"/>
  <c r="X220" i="16"/>
  <c r="Z220" i="16"/>
  <c r="X221" i="16"/>
  <c r="Z221" i="16"/>
  <c r="X222" i="16"/>
  <c r="Z222" i="16"/>
  <c r="X223" i="16"/>
  <c r="Z223" i="16"/>
  <c r="X224" i="16"/>
  <c r="Z224" i="16"/>
  <c r="X225" i="16"/>
  <c r="Z225" i="16"/>
  <c r="X226" i="16"/>
  <c r="Z226" i="16"/>
  <c r="X227" i="16"/>
  <c r="Z227" i="16"/>
  <c r="X228" i="16"/>
  <c r="Z228" i="16"/>
  <c r="X229" i="16"/>
  <c r="Z229" i="16"/>
  <c r="X230" i="16"/>
  <c r="Z230" i="16"/>
  <c r="X231" i="16"/>
  <c r="Z231" i="16"/>
  <c r="X232" i="16"/>
  <c r="Z232" i="16"/>
  <c r="X233" i="16"/>
  <c r="Z233" i="16"/>
  <c r="X234" i="16"/>
  <c r="Z234" i="16"/>
  <c r="X235" i="16"/>
  <c r="Z235" i="16"/>
  <c r="X236" i="16"/>
  <c r="Z236" i="16"/>
  <c r="X237" i="16"/>
  <c r="Z237" i="16"/>
  <c r="X238" i="16"/>
  <c r="Z238" i="16"/>
  <c r="X239" i="16"/>
  <c r="Z239" i="16"/>
  <c r="X240" i="16"/>
  <c r="Z240" i="16"/>
  <c r="X241" i="16"/>
  <c r="Z241" i="16"/>
  <c r="X242" i="16"/>
  <c r="Z242" i="16"/>
  <c r="X243" i="16"/>
  <c r="Z243" i="16"/>
  <c r="X244" i="16"/>
  <c r="Z244" i="16"/>
  <c r="X245" i="16"/>
  <c r="Z245" i="16"/>
  <c r="X246" i="16"/>
  <c r="Z246" i="16"/>
  <c r="X247" i="16"/>
  <c r="Z247" i="16"/>
  <c r="X248" i="16"/>
  <c r="Z248" i="16"/>
  <c r="X249" i="16"/>
  <c r="Z249" i="16"/>
  <c r="X250" i="16"/>
  <c r="Z250" i="16"/>
  <c r="X251" i="16"/>
  <c r="Z251" i="16"/>
  <c r="X252" i="16"/>
  <c r="Z252" i="16"/>
  <c r="X253" i="16"/>
  <c r="Z253" i="16"/>
  <c r="X254" i="16"/>
  <c r="Z254" i="16"/>
  <c r="X255" i="16"/>
  <c r="Z255" i="16"/>
  <c r="X256" i="16"/>
  <c r="Z256" i="16"/>
  <c r="X257" i="16"/>
  <c r="Z257" i="16"/>
  <c r="X258" i="16"/>
  <c r="Z258" i="16"/>
  <c r="X259" i="16"/>
  <c r="Z259" i="16"/>
  <c r="X260" i="16"/>
  <c r="Z260" i="16"/>
  <c r="X261" i="16"/>
  <c r="Z261" i="16"/>
  <c r="X262" i="16"/>
  <c r="Z262" i="16"/>
  <c r="X263" i="16"/>
  <c r="Z263" i="16"/>
  <c r="X264" i="16"/>
  <c r="Z264" i="16"/>
  <c r="X265" i="16"/>
  <c r="Z265" i="16"/>
  <c r="X266" i="16"/>
  <c r="Z266" i="16"/>
  <c r="X267" i="16"/>
  <c r="Z267" i="16"/>
  <c r="X268" i="16"/>
  <c r="Z268" i="16"/>
  <c r="X269" i="16"/>
  <c r="Z269" i="16"/>
  <c r="X270" i="16"/>
  <c r="Z270" i="16"/>
  <c r="X271" i="16"/>
  <c r="Z271" i="16"/>
  <c r="X272" i="16"/>
  <c r="Z272" i="16"/>
  <c r="X273" i="16"/>
  <c r="Z273" i="16"/>
  <c r="X274" i="16"/>
  <c r="Z274" i="16"/>
  <c r="X275" i="16"/>
  <c r="Z275" i="16"/>
  <c r="X276" i="16"/>
  <c r="Z276" i="16"/>
  <c r="X277" i="16"/>
  <c r="Z277" i="16"/>
  <c r="X278" i="16"/>
  <c r="Z278" i="16"/>
  <c r="X279" i="16"/>
  <c r="Z279" i="16"/>
  <c r="X280" i="16"/>
  <c r="Z280" i="16"/>
  <c r="X281" i="16"/>
  <c r="Z281" i="16"/>
  <c r="X282" i="16"/>
  <c r="Z282" i="16"/>
  <c r="X283" i="16"/>
  <c r="Z283" i="16"/>
  <c r="X284" i="16"/>
  <c r="Z284" i="16"/>
  <c r="X285" i="16"/>
  <c r="Z285" i="16"/>
  <c r="X286" i="16"/>
  <c r="Z286" i="16"/>
  <c r="X287" i="16"/>
  <c r="Z287" i="16"/>
  <c r="X288" i="16"/>
  <c r="Z288" i="16"/>
  <c r="X289" i="16"/>
  <c r="Z289" i="16"/>
  <c r="X290" i="16"/>
  <c r="Z290" i="16"/>
  <c r="X291" i="16"/>
  <c r="Z291" i="16"/>
  <c r="X292" i="16"/>
  <c r="Z292" i="16"/>
  <c r="X293" i="16"/>
  <c r="Z293" i="16"/>
  <c r="X294" i="16"/>
  <c r="Z294" i="16"/>
  <c r="X295" i="16"/>
  <c r="Z295" i="16"/>
  <c r="X296" i="16"/>
  <c r="Z296" i="16"/>
  <c r="X297" i="16"/>
  <c r="Z297" i="16"/>
  <c r="X298" i="16"/>
  <c r="Z298" i="16"/>
  <c r="X299" i="16"/>
  <c r="Z299" i="16"/>
  <c r="X300" i="16"/>
  <c r="Z300" i="16"/>
  <c r="X301" i="16"/>
  <c r="Z301" i="16"/>
  <c r="X302" i="16"/>
  <c r="Z302" i="16"/>
  <c r="X303" i="16"/>
  <c r="Z303" i="16"/>
  <c r="X304" i="16"/>
  <c r="Z304" i="16"/>
  <c r="X305" i="16"/>
  <c r="Z305" i="16"/>
  <c r="X306" i="16"/>
  <c r="Z306" i="16"/>
  <c r="X307" i="16"/>
  <c r="Z307" i="16"/>
  <c r="X308" i="16"/>
  <c r="Z308" i="16"/>
  <c r="X309" i="16"/>
  <c r="Z309" i="16"/>
  <c r="X310" i="16"/>
  <c r="Z310" i="16"/>
  <c r="X311" i="16"/>
  <c r="Z311" i="16"/>
  <c r="X312" i="16"/>
  <c r="Z312" i="16"/>
  <c r="X313" i="16"/>
  <c r="Z313" i="16"/>
  <c r="AA16" i="16"/>
  <c r="AA17" i="16"/>
  <c r="AA18" i="16"/>
  <c r="AA19" i="16"/>
  <c r="AA20" i="16"/>
  <c r="AA21" i="16"/>
  <c r="AA22" i="16"/>
  <c r="AA23" i="16"/>
  <c r="AA24" i="16"/>
  <c r="AA25" i="16"/>
  <c r="AA26" i="16"/>
  <c r="AA27" i="16"/>
  <c r="AA28" i="16"/>
  <c r="AA29" i="16"/>
  <c r="AA30" i="16"/>
  <c r="AA31" i="16"/>
  <c r="AA32" i="16"/>
  <c r="AA33" i="16"/>
  <c r="AA34" i="16"/>
  <c r="AA35" i="16"/>
  <c r="AA36" i="16"/>
  <c r="AA37" i="16"/>
  <c r="AA38" i="16"/>
  <c r="AA39" i="16"/>
  <c r="AA40" i="16"/>
  <c r="AA41" i="16"/>
  <c r="AA42" i="16"/>
  <c r="AA43" i="16"/>
  <c r="AA44" i="16"/>
  <c r="AA45" i="16"/>
  <c r="AA46" i="16"/>
  <c r="AA47" i="16"/>
  <c r="AA48" i="16"/>
  <c r="AA49" i="16"/>
  <c r="AA50" i="16"/>
  <c r="AA51" i="16"/>
  <c r="AA52" i="16"/>
  <c r="AA53" i="16"/>
  <c r="AA54" i="16"/>
  <c r="AA55" i="16"/>
  <c r="AA56" i="16"/>
  <c r="AA57" i="16"/>
  <c r="AA58" i="16"/>
  <c r="AA59" i="16"/>
  <c r="AA60" i="16"/>
  <c r="AA61" i="16"/>
  <c r="AA62" i="16"/>
  <c r="AA63" i="16"/>
  <c r="AA64" i="16"/>
  <c r="AA65" i="16"/>
  <c r="AA66" i="16"/>
  <c r="AA67" i="16"/>
  <c r="AA68" i="16"/>
  <c r="AA69" i="16"/>
  <c r="AA70" i="16"/>
  <c r="AA71" i="16"/>
  <c r="AA72" i="16"/>
  <c r="AA73" i="16"/>
  <c r="AA74" i="16"/>
  <c r="AA75" i="16"/>
  <c r="AA76" i="16"/>
  <c r="AA77" i="16"/>
  <c r="AA78" i="16"/>
  <c r="AA79" i="16"/>
  <c r="AA80" i="16"/>
  <c r="AA81" i="16"/>
  <c r="AA82" i="16"/>
  <c r="AA83" i="16"/>
  <c r="AA84" i="16"/>
  <c r="AA85" i="16"/>
  <c r="AA86" i="16"/>
  <c r="AA87" i="16"/>
  <c r="AA88" i="16"/>
  <c r="AA89" i="16"/>
  <c r="AA90" i="16"/>
  <c r="AA91" i="16"/>
  <c r="AA92" i="16"/>
  <c r="AA93" i="16"/>
  <c r="AA94" i="16"/>
  <c r="AA95" i="16"/>
  <c r="AA96" i="16"/>
  <c r="AA97" i="16"/>
  <c r="AA98" i="16"/>
  <c r="AA99" i="16"/>
  <c r="AA100" i="16"/>
  <c r="AA101" i="16"/>
  <c r="AA102" i="16"/>
  <c r="AA103" i="16"/>
  <c r="AA104" i="16"/>
  <c r="AA105" i="16"/>
  <c r="AA106" i="16"/>
  <c r="AA107" i="16"/>
  <c r="AA108" i="16"/>
  <c r="AA109" i="16"/>
  <c r="AA110" i="16"/>
  <c r="AA111" i="16"/>
  <c r="AA112" i="16"/>
  <c r="AA113" i="16"/>
  <c r="AA114" i="16"/>
  <c r="AA115" i="16"/>
  <c r="AA116" i="16"/>
  <c r="AA117" i="16"/>
  <c r="AA118" i="16"/>
  <c r="AA119" i="16"/>
  <c r="AA120" i="16"/>
  <c r="AA121" i="16"/>
  <c r="AA122" i="16"/>
  <c r="AA123" i="16"/>
  <c r="AA124" i="16"/>
  <c r="AA125" i="16"/>
  <c r="AA126" i="16"/>
  <c r="AA127" i="16"/>
  <c r="AA128" i="16"/>
  <c r="AA129" i="16"/>
  <c r="AA130" i="16"/>
  <c r="AA131" i="16"/>
  <c r="AA132" i="16"/>
  <c r="AA133" i="16"/>
  <c r="AA134" i="16"/>
  <c r="AA135" i="16"/>
  <c r="AA136" i="16"/>
  <c r="AA137" i="16"/>
  <c r="AA138" i="16"/>
  <c r="AA139" i="16"/>
  <c r="AA140" i="16"/>
  <c r="AA141" i="16"/>
  <c r="AA142" i="16"/>
  <c r="AA143" i="16"/>
  <c r="AA144" i="16"/>
  <c r="AA145" i="16"/>
  <c r="AA146" i="16"/>
  <c r="AA147" i="16"/>
  <c r="AA148" i="16"/>
  <c r="AA149" i="16"/>
  <c r="AA150" i="16"/>
  <c r="AA151" i="16"/>
  <c r="AA152" i="16"/>
  <c r="AA153" i="16"/>
  <c r="AA154" i="16"/>
  <c r="AA155" i="16"/>
  <c r="AA156" i="16"/>
  <c r="AA157" i="16"/>
  <c r="AA158" i="16"/>
  <c r="AA159" i="16"/>
  <c r="AA160" i="16"/>
  <c r="AA161" i="16"/>
  <c r="AA162" i="16"/>
  <c r="AA163" i="16"/>
  <c r="AA164" i="16"/>
  <c r="AA165" i="16"/>
  <c r="AA166" i="16"/>
  <c r="AA167" i="16"/>
  <c r="AA168" i="16"/>
  <c r="AA169" i="16"/>
  <c r="AA170" i="16"/>
  <c r="AA171" i="16"/>
  <c r="AA172" i="16"/>
  <c r="AA173" i="16"/>
  <c r="AA174" i="16"/>
  <c r="AA175" i="16"/>
  <c r="AA176" i="16"/>
  <c r="AA177" i="16"/>
  <c r="AA178" i="16"/>
  <c r="AA179" i="16"/>
  <c r="AA180" i="16"/>
  <c r="AA181" i="16"/>
  <c r="AA182" i="16"/>
  <c r="AA183" i="16"/>
  <c r="AA184" i="16"/>
  <c r="AA185" i="16"/>
  <c r="AA186" i="16"/>
  <c r="AA187" i="16"/>
  <c r="AA188" i="16"/>
  <c r="AA189" i="16"/>
  <c r="AA190" i="16"/>
  <c r="AA191" i="16"/>
  <c r="AA192" i="16"/>
  <c r="AA193" i="16"/>
  <c r="AA194" i="16"/>
  <c r="AA195" i="16"/>
  <c r="AA196" i="16"/>
  <c r="AA197" i="16"/>
  <c r="AA198" i="16"/>
  <c r="AA199" i="16"/>
  <c r="AA200" i="16"/>
  <c r="AA201" i="16"/>
  <c r="AA202" i="16"/>
  <c r="AA203" i="16"/>
  <c r="AA204" i="16"/>
  <c r="AA205" i="16"/>
  <c r="AA206" i="16"/>
  <c r="AA207" i="16"/>
  <c r="AA208" i="16"/>
  <c r="AA209" i="16"/>
  <c r="AA210" i="16"/>
  <c r="AA211" i="16"/>
  <c r="AA212" i="16"/>
  <c r="AA213" i="16"/>
  <c r="AA214" i="16"/>
  <c r="AA215" i="16"/>
  <c r="AA216" i="16"/>
  <c r="AA217" i="16"/>
  <c r="AA218" i="16"/>
  <c r="AA219" i="16"/>
  <c r="AA220" i="16"/>
  <c r="AA221" i="16"/>
  <c r="AA222" i="16"/>
  <c r="AA223" i="16"/>
  <c r="AA224" i="16"/>
  <c r="AA225" i="16"/>
  <c r="AA226" i="16"/>
  <c r="AA227" i="16"/>
  <c r="AA228" i="16"/>
  <c r="AA229" i="16"/>
  <c r="AA230" i="16"/>
  <c r="AA231" i="16"/>
  <c r="AA232" i="16"/>
  <c r="AA233" i="16"/>
  <c r="AA234" i="16"/>
  <c r="AA235" i="16"/>
  <c r="AA236" i="16"/>
  <c r="AA237" i="16"/>
  <c r="AA238" i="16"/>
  <c r="AA239" i="16"/>
  <c r="AA240" i="16"/>
  <c r="AA241" i="16"/>
  <c r="AA242" i="16"/>
  <c r="AA243" i="16"/>
  <c r="AA244" i="16"/>
  <c r="AA245" i="16"/>
  <c r="AA246" i="16"/>
  <c r="AA247" i="16"/>
  <c r="AA248" i="16"/>
  <c r="AA249" i="16"/>
  <c r="AA250" i="16"/>
  <c r="AA251" i="16"/>
  <c r="AA252" i="16"/>
  <c r="AA253" i="16"/>
  <c r="AA254" i="16"/>
  <c r="AA255" i="16"/>
  <c r="AA256" i="16"/>
  <c r="AA257" i="16"/>
  <c r="AA258" i="16"/>
  <c r="AA259" i="16"/>
  <c r="AA260" i="16"/>
  <c r="AA261" i="16"/>
  <c r="AA262" i="16"/>
  <c r="AA263" i="16"/>
  <c r="AA264" i="16"/>
  <c r="AA265" i="16"/>
  <c r="AA266" i="16"/>
  <c r="AA267" i="16"/>
  <c r="AA268" i="16"/>
  <c r="AA269" i="16"/>
  <c r="AA270" i="16"/>
  <c r="AA271" i="16"/>
  <c r="AA272" i="16"/>
  <c r="AA273" i="16"/>
  <c r="AA274" i="16"/>
  <c r="AA275" i="16"/>
  <c r="AA276" i="16"/>
  <c r="AA277" i="16"/>
  <c r="AA278" i="16"/>
  <c r="AA279" i="16"/>
  <c r="AA280" i="16"/>
  <c r="AA281" i="16"/>
  <c r="AA282" i="16"/>
  <c r="AA283" i="16"/>
  <c r="AA284" i="16"/>
  <c r="AA285" i="16"/>
  <c r="AA286" i="16"/>
  <c r="AA287" i="16"/>
  <c r="AA288" i="16"/>
  <c r="AA289" i="16"/>
  <c r="AA290" i="16"/>
  <c r="AA291" i="16"/>
  <c r="AA292" i="16"/>
  <c r="AA293" i="16"/>
  <c r="AA294" i="16"/>
  <c r="AA295" i="16"/>
  <c r="AA296" i="16"/>
  <c r="AA297" i="16"/>
  <c r="AA298" i="16"/>
  <c r="AA299" i="16"/>
  <c r="AA300" i="16"/>
  <c r="AA301" i="16"/>
  <c r="AA302" i="16"/>
  <c r="AA303" i="16"/>
  <c r="AA304" i="16"/>
  <c r="AA305" i="16"/>
  <c r="AA306" i="16"/>
  <c r="AA307" i="16"/>
  <c r="AA308" i="16"/>
  <c r="AA309" i="16"/>
  <c r="AA310" i="16"/>
  <c r="AA311" i="16"/>
  <c r="AA312" i="16"/>
  <c r="AA313" i="16"/>
  <c r="Y12" i="16"/>
  <c r="V11" i="16"/>
  <c r="V12" i="16"/>
  <c r="V13" i="16"/>
  <c r="V14" i="16"/>
  <c r="V15" i="16"/>
  <c r="V16" i="16"/>
  <c r="V17" i="16"/>
  <c r="V18" i="16"/>
  <c r="V19" i="16"/>
  <c r="V20" i="16"/>
  <c r="V21" i="16"/>
  <c r="V22" i="16"/>
  <c r="V23" i="16"/>
  <c r="V24" i="16"/>
  <c r="V25" i="16"/>
  <c r="V26" i="16"/>
  <c r="V27" i="16"/>
  <c r="V28" i="16"/>
  <c r="V29" i="16"/>
  <c r="V30" i="16"/>
  <c r="V31" i="16"/>
  <c r="V32" i="16"/>
  <c r="V33" i="16"/>
  <c r="V34" i="16"/>
  <c r="V35" i="16"/>
  <c r="V36" i="16"/>
  <c r="V37" i="16"/>
  <c r="V38" i="16"/>
  <c r="V39" i="16"/>
  <c r="V40" i="16"/>
  <c r="V41" i="16"/>
  <c r="V42" i="16"/>
  <c r="V43" i="16"/>
  <c r="V44" i="16"/>
  <c r="V45" i="16"/>
  <c r="V46" i="16"/>
  <c r="V47" i="16"/>
  <c r="V48" i="16"/>
  <c r="V49" i="16"/>
  <c r="V50" i="16"/>
  <c r="V51" i="16"/>
  <c r="V52" i="16"/>
  <c r="V53" i="16"/>
  <c r="V54" i="16"/>
  <c r="V55" i="16"/>
  <c r="V56" i="16"/>
  <c r="V57" i="16"/>
  <c r="V58" i="16"/>
  <c r="V59" i="16"/>
  <c r="V60" i="16"/>
  <c r="V61" i="16"/>
  <c r="V62" i="16"/>
  <c r="V63" i="16"/>
  <c r="V64" i="16"/>
  <c r="V65" i="16"/>
  <c r="V66" i="16"/>
  <c r="V67" i="16"/>
  <c r="V68" i="16"/>
  <c r="V69" i="16"/>
  <c r="V70" i="16"/>
  <c r="V71" i="16"/>
  <c r="V72" i="16"/>
  <c r="V73" i="16"/>
  <c r="V74" i="16"/>
  <c r="V75" i="16"/>
  <c r="V76" i="16"/>
  <c r="V77" i="16"/>
  <c r="V78" i="16"/>
  <c r="V79" i="16"/>
  <c r="V80" i="16"/>
  <c r="V81" i="16"/>
  <c r="V82" i="16"/>
  <c r="V83" i="16"/>
  <c r="V84" i="16"/>
  <c r="V85" i="16"/>
  <c r="V86" i="16"/>
  <c r="V87" i="16"/>
  <c r="V88" i="16"/>
  <c r="V89" i="16"/>
  <c r="V90" i="16"/>
  <c r="V91" i="16"/>
  <c r="V92" i="16"/>
  <c r="V93" i="16"/>
  <c r="V94" i="16"/>
  <c r="V95" i="16"/>
  <c r="V96" i="16"/>
  <c r="V97" i="16"/>
  <c r="V98" i="16"/>
  <c r="V99" i="16"/>
  <c r="V100" i="16"/>
  <c r="V101" i="16"/>
  <c r="V102" i="16"/>
  <c r="V103" i="16"/>
  <c r="V104" i="16"/>
  <c r="V105" i="16"/>
  <c r="V106" i="16"/>
  <c r="V107" i="16"/>
  <c r="V108" i="16"/>
  <c r="V109" i="16"/>
  <c r="V110" i="16"/>
  <c r="V111" i="16"/>
  <c r="V112" i="16"/>
  <c r="V113" i="16"/>
  <c r="V114" i="16"/>
  <c r="V115" i="16"/>
  <c r="V116" i="16"/>
  <c r="V117" i="16"/>
  <c r="V118" i="16"/>
  <c r="V119" i="16"/>
  <c r="V120" i="16"/>
  <c r="V121" i="16"/>
  <c r="V122" i="16"/>
  <c r="V123" i="16"/>
  <c r="V124" i="16"/>
  <c r="V125" i="16"/>
  <c r="V126" i="16"/>
  <c r="V127" i="16"/>
  <c r="V128" i="16"/>
  <c r="V129" i="16"/>
  <c r="V130" i="16"/>
  <c r="V131" i="16"/>
  <c r="V132" i="16"/>
  <c r="V133" i="16"/>
  <c r="Y11" i="16"/>
  <c r="Y10" i="16"/>
  <c r="AC14" i="16"/>
  <c r="AD14" i="16"/>
  <c r="AC15" i="16"/>
  <c r="AD15" i="16"/>
  <c r="AB16" i="16"/>
  <c r="AC16" i="16"/>
  <c r="AD16" i="16"/>
  <c r="AB17" i="16"/>
  <c r="AC17" i="16"/>
  <c r="AD17" i="16"/>
  <c r="AB18" i="16"/>
  <c r="AC18" i="16"/>
  <c r="AD18" i="16"/>
  <c r="AB19" i="16"/>
  <c r="AC19" i="16"/>
  <c r="AD19" i="16"/>
  <c r="AB20" i="16"/>
  <c r="AC20" i="16"/>
  <c r="AD20" i="16"/>
  <c r="AB21" i="16"/>
  <c r="AC21" i="16"/>
  <c r="AD21" i="16"/>
  <c r="AB22" i="16"/>
  <c r="AC22" i="16"/>
  <c r="AD22" i="16"/>
  <c r="AB23" i="16"/>
  <c r="AC23" i="16"/>
  <c r="AD23" i="16"/>
  <c r="AB24" i="16"/>
  <c r="AC24" i="16"/>
  <c r="AD24" i="16"/>
  <c r="AB25" i="16"/>
  <c r="AC25" i="16"/>
  <c r="AD25" i="16"/>
  <c r="AB26" i="16"/>
  <c r="AC26" i="16"/>
  <c r="AD26" i="16"/>
  <c r="AB27" i="16"/>
  <c r="AC27" i="16"/>
  <c r="AD27" i="16"/>
  <c r="AB28" i="16"/>
  <c r="AC28" i="16"/>
  <c r="AD28" i="16"/>
  <c r="AB29" i="16"/>
  <c r="AC29" i="16"/>
  <c r="AD29" i="16"/>
  <c r="AB30" i="16"/>
  <c r="AC30" i="16"/>
  <c r="AD30" i="16"/>
  <c r="AB31" i="16"/>
  <c r="AC31" i="16"/>
  <c r="AD31" i="16"/>
  <c r="AB32" i="16"/>
  <c r="AC32" i="16"/>
  <c r="AD32" i="16"/>
  <c r="AB33" i="16"/>
  <c r="AC33" i="16"/>
  <c r="AD33" i="16"/>
  <c r="AB34" i="16"/>
  <c r="AC34" i="16"/>
  <c r="AD34" i="16"/>
  <c r="AB35" i="16"/>
  <c r="AC35" i="16"/>
  <c r="AD35" i="16"/>
  <c r="AB36" i="16"/>
  <c r="AC36" i="16"/>
  <c r="AD36" i="16"/>
  <c r="AB37" i="16"/>
  <c r="AC37" i="16"/>
  <c r="AD37" i="16"/>
  <c r="AB38" i="16"/>
  <c r="AC38" i="16"/>
  <c r="AD38" i="16"/>
  <c r="AB39" i="16"/>
  <c r="AC39" i="16"/>
  <c r="AD39" i="16"/>
  <c r="AB40" i="16"/>
  <c r="AC40" i="16"/>
  <c r="AD40" i="16"/>
  <c r="AB41" i="16"/>
  <c r="AC41" i="16"/>
  <c r="AD41" i="16"/>
  <c r="AB42" i="16"/>
  <c r="AC42" i="16"/>
  <c r="AD42" i="16"/>
  <c r="AB43" i="16"/>
  <c r="AC43" i="16"/>
  <c r="AD43" i="16"/>
  <c r="AB44" i="16"/>
  <c r="AC44" i="16"/>
  <c r="AD44" i="16"/>
  <c r="AB45" i="16"/>
  <c r="AC45" i="16"/>
  <c r="AD45" i="16"/>
  <c r="AB46" i="16"/>
  <c r="AC46" i="16"/>
  <c r="AD46" i="16"/>
  <c r="AB47" i="16"/>
  <c r="AC47" i="16"/>
  <c r="AD47" i="16"/>
  <c r="AB48" i="16"/>
  <c r="AC48" i="16"/>
  <c r="AD48" i="16"/>
  <c r="AB49" i="16"/>
  <c r="AC49" i="16"/>
  <c r="AD49" i="16"/>
  <c r="AB50" i="16"/>
  <c r="AC50" i="16"/>
  <c r="AD50" i="16"/>
  <c r="AB51" i="16"/>
  <c r="AC51" i="16"/>
  <c r="AD51" i="16"/>
  <c r="AB52" i="16"/>
  <c r="AC52" i="16"/>
  <c r="AD52" i="16"/>
  <c r="AB53" i="16"/>
  <c r="AC53" i="16"/>
  <c r="AD53" i="16"/>
  <c r="AB54" i="16"/>
  <c r="AC54" i="16"/>
  <c r="AD54" i="16"/>
  <c r="AB55" i="16"/>
  <c r="AC55" i="16"/>
  <c r="AD55" i="16"/>
  <c r="AB56" i="16"/>
  <c r="AC56" i="16"/>
  <c r="AD56" i="16"/>
  <c r="AB57" i="16"/>
  <c r="AC57" i="16"/>
  <c r="AD57" i="16"/>
  <c r="AB58" i="16"/>
  <c r="AC58" i="16"/>
  <c r="AD58" i="16"/>
  <c r="AB59" i="16"/>
  <c r="AC59" i="16"/>
  <c r="AD59" i="16"/>
  <c r="AB60" i="16"/>
  <c r="AC60" i="16"/>
  <c r="AD60" i="16"/>
  <c r="AB61" i="16"/>
  <c r="AC61" i="16"/>
  <c r="AD61" i="16"/>
  <c r="AB62" i="16"/>
  <c r="AC62" i="16"/>
  <c r="AD62" i="16"/>
  <c r="AB63" i="16"/>
  <c r="AC63" i="16"/>
  <c r="AD63" i="16"/>
  <c r="AB64" i="16"/>
  <c r="AC64" i="16"/>
  <c r="AD64" i="16"/>
  <c r="AB65" i="16"/>
  <c r="AC65" i="16"/>
  <c r="AD65" i="16"/>
  <c r="AB66" i="16"/>
  <c r="AC66" i="16"/>
  <c r="AD66" i="16"/>
  <c r="AB67" i="16"/>
  <c r="AC67" i="16"/>
  <c r="AD67" i="16"/>
  <c r="AB68" i="16"/>
  <c r="AC68" i="16"/>
  <c r="AD68" i="16"/>
  <c r="AB69" i="16"/>
  <c r="AC69" i="16"/>
  <c r="AD69" i="16"/>
  <c r="AB70" i="16"/>
  <c r="AC70" i="16"/>
  <c r="AD70" i="16"/>
  <c r="AB71" i="16"/>
  <c r="AC71" i="16"/>
  <c r="AD71" i="16"/>
  <c r="AB72" i="16"/>
  <c r="AC72" i="16"/>
  <c r="AD72" i="16"/>
  <c r="AB73" i="16"/>
  <c r="AC73" i="16"/>
  <c r="AD73" i="16"/>
  <c r="AB74" i="16"/>
  <c r="AC74" i="16"/>
  <c r="AD74" i="16"/>
  <c r="AB75" i="16"/>
  <c r="AC75" i="16"/>
  <c r="AD75" i="16"/>
  <c r="AB76" i="16"/>
  <c r="AC76" i="16"/>
  <c r="AD76" i="16"/>
  <c r="AB77" i="16"/>
  <c r="AC77" i="16"/>
  <c r="AD77" i="16"/>
  <c r="AB78" i="16"/>
  <c r="AC78" i="16"/>
  <c r="AD78" i="16"/>
  <c r="AB79" i="16"/>
  <c r="AC79" i="16"/>
  <c r="AD79" i="16"/>
  <c r="AB80" i="16"/>
  <c r="AC80" i="16"/>
  <c r="AD80" i="16"/>
  <c r="AB81" i="16"/>
  <c r="AC81" i="16"/>
  <c r="AD81" i="16"/>
  <c r="AB82" i="16"/>
  <c r="AC82" i="16"/>
  <c r="AD82" i="16"/>
  <c r="AB83" i="16"/>
  <c r="AC83" i="16"/>
  <c r="AD83" i="16"/>
  <c r="AB84" i="16"/>
  <c r="AC84" i="16"/>
  <c r="AD84" i="16"/>
  <c r="AB85" i="16"/>
  <c r="AC85" i="16"/>
  <c r="AD85" i="16"/>
  <c r="AB86" i="16"/>
  <c r="AC86" i="16"/>
  <c r="AD86" i="16"/>
  <c r="AB87" i="16"/>
  <c r="AC87" i="16"/>
  <c r="AD87" i="16"/>
  <c r="AB88" i="16"/>
  <c r="AC88" i="16"/>
  <c r="AD88" i="16"/>
  <c r="AB89" i="16"/>
  <c r="AC89" i="16"/>
  <c r="AD89" i="16"/>
  <c r="AB90" i="16"/>
  <c r="AC90" i="16"/>
  <c r="AD90" i="16"/>
  <c r="AB91" i="16"/>
  <c r="AC91" i="16"/>
  <c r="AD91" i="16"/>
  <c r="AB92" i="16"/>
  <c r="AC92" i="16"/>
  <c r="AD92" i="16"/>
  <c r="AB93" i="16"/>
  <c r="AC93" i="16"/>
  <c r="AD93" i="16"/>
  <c r="AB94" i="16"/>
  <c r="AC94" i="16"/>
  <c r="AD94" i="16"/>
  <c r="AB95" i="16"/>
  <c r="AC95" i="16"/>
  <c r="AD95" i="16"/>
  <c r="AB96" i="16"/>
  <c r="AC96" i="16"/>
  <c r="AD96" i="16"/>
  <c r="AB97" i="16"/>
  <c r="AC97" i="16"/>
  <c r="AD97" i="16"/>
  <c r="AB98" i="16"/>
  <c r="AC98" i="16"/>
  <c r="AD98" i="16"/>
  <c r="AB99" i="16"/>
  <c r="AC99" i="16"/>
  <c r="AD99" i="16"/>
  <c r="AB100" i="16"/>
  <c r="AC100" i="16"/>
  <c r="AD100" i="16"/>
  <c r="AB101" i="16"/>
  <c r="AC101" i="16"/>
  <c r="AD101" i="16"/>
  <c r="AB102" i="16"/>
  <c r="AC102" i="16"/>
  <c r="AD102" i="16"/>
  <c r="AB103" i="16"/>
  <c r="AC103" i="16"/>
  <c r="AD103" i="16"/>
  <c r="AB104" i="16"/>
  <c r="AC104" i="16"/>
  <c r="AD104" i="16"/>
  <c r="AB105" i="16"/>
  <c r="AC105" i="16"/>
  <c r="AD105" i="16"/>
  <c r="AB106" i="16"/>
  <c r="AC106" i="16"/>
  <c r="AD106" i="16"/>
  <c r="AB107" i="16"/>
  <c r="AC107" i="16"/>
  <c r="AD107" i="16"/>
  <c r="AB108" i="16"/>
  <c r="AC108" i="16"/>
  <c r="AD108" i="16"/>
  <c r="AB109" i="16"/>
  <c r="AD109" i="16"/>
  <c r="AB110" i="16"/>
  <c r="AD110" i="16"/>
  <c r="AB111" i="16"/>
  <c r="AD111" i="16"/>
  <c r="AB112" i="16"/>
  <c r="AD112" i="16"/>
  <c r="AB113" i="16"/>
  <c r="AD113" i="16"/>
  <c r="AB114" i="16"/>
  <c r="AD114" i="16"/>
  <c r="AB115" i="16"/>
  <c r="AD115" i="16"/>
  <c r="AB116" i="16"/>
  <c r="AD116" i="16"/>
  <c r="AB117" i="16"/>
  <c r="AD117" i="16"/>
  <c r="AB118" i="16"/>
  <c r="AD118" i="16"/>
  <c r="AB119" i="16"/>
  <c r="AD119" i="16"/>
  <c r="AB120" i="16"/>
  <c r="AD120" i="16"/>
  <c r="AB121" i="16"/>
  <c r="AD121" i="16"/>
  <c r="AB122" i="16"/>
  <c r="AD122" i="16"/>
  <c r="AB123" i="16"/>
  <c r="AD123" i="16"/>
  <c r="AB124" i="16"/>
  <c r="AD124" i="16"/>
  <c r="AB125" i="16"/>
  <c r="AD125" i="16"/>
  <c r="AB126" i="16"/>
  <c r="AD126" i="16"/>
  <c r="AB127" i="16"/>
  <c r="AD127" i="16"/>
  <c r="AB128" i="16"/>
  <c r="AD128" i="16"/>
  <c r="AB129" i="16"/>
  <c r="AD129" i="16"/>
  <c r="AB130" i="16"/>
  <c r="AD130" i="16"/>
  <c r="AB131" i="16"/>
  <c r="AD131" i="16"/>
  <c r="AB132" i="16"/>
  <c r="AD132" i="16"/>
  <c r="AB133" i="16"/>
  <c r="AD133" i="16"/>
  <c r="AB134" i="16"/>
  <c r="AD134" i="16"/>
  <c r="AB135" i="16"/>
  <c r="AD135" i="16"/>
  <c r="AB136" i="16"/>
  <c r="AD136" i="16"/>
  <c r="AB137" i="16"/>
  <c r="AD137" i="16"/>
  <c r="AB138" i="16"/>
  <c r="AD138" i="16"/>
  <c r="AB139" i="16"/>
  <c r="AD139" i="16"/>
  <c r="AB140" i="16"/>
  <c r="AD140" i="16"/>
  <c r="AB141" i="16"/>
  <c r="AD141" i="16"/>
  <c r="AB142" i="16"/>
  <c r="AD142" i="16"/>
  <c r="AB143" i="16"/>
  <c r="AD143" i="16"/>
  <c r="AB144" i="16"/>
  <c r="AD144" i="16"/>
  <c r="AB145" i="16"/>
  <c r="AD145" i="16"/>
  <c r="AB146" i="16"/>
  <c r="AD146" i="16"/>
  <c r="AB147" i="16"/>
  <c r="AD147" i="16"/>
  <c r="AB148" i="16"/>
  <c r="AD148" i="16"/>
  <c r="AB149" i="16"/>
  <c r="AD149" i="16"/>
  <c r="AB150" i="16"/>
  <c r="AD150" i="16"/>
  <c r="AB151" i="16"/>
  <c r="AD151" i="16"/>
  <c r="AB152" i="16"/>
  <c r="AD152" i="16"/>
  <c r="AB153" i="16"/>
  <c r="AD153" i="16"/>
  <c r="AB154" i="16"/>
  <c r="AD154" i="16"/>
  <c r="AB155" i="16"/>
  <c r="AD155" i="16"/>
  <c r="AB156" i="16"/>
  <c r="AD156" i="16"/>
  <c r="AB157" i="16"/>
  <c r="AD157" i="16"/>
  <c r="AB158" i="16"/>
  <c r="AD158" i="16"/>
  <c r="AB159" i="16"/>
  <c r="AD159" i="16"/>
  <c r="AB160" i="16"/>
  <c r="AD160" i="16"/>
  <c r="AB161" i="16"/>
  <c r="AD161" i="16"/>
  <c r="AB162" i="16"/>
  <c r="AD162" i="16"/>
  <c r="AB163" i="16"/>
  <c r="AD163" i="16"/>
  <c r="AB164" i="16"/>
  <c r="AD164" i="16"/>
  <c r="AB165" i="16"/>
  <c r="AD165" i="16"/>
  <c r="AB166" i="16"/>
  <c r="AD166" i="16"/>
  <c r="AB167" i="16"/>
  <c r="AD167" i="16"/>
  <c r="AB168" i="16"/>
  <c r="AD168" i="16"/>
  <c r="AB169" i="16"/>
  <c r="AD169" i="16"/>
  <c r="AB170" i="16"/>
  <c r="AD170" i="16"/>
  <c r="AB171" i="16"/>
  <c r="AD171" i="16"/>
  <c r="AB172" i="16"/>
  <c r="AD172" i="16"/>
  <c r="AB173" i="16"/>
  <c r="AD173" i="16"/>
  <c r="AB174" i="16"/>
  <c r="AD174" i="16"/>
  <c r="AB175" i="16"/>
  <c r="AD175" i="16"/>
  <c r="AB176" i="16"/>
  <c r="AD176" i="16"/>
  <c r="AB177" i="16"/>
  <c r="AD177" i="16"/>
  <c r="AB178" i="16"/>
  <c r="AD178" i="16"/>
  <c r="AB179" i="16"/>
  <c r="AD179" i="16"/>
  <c r="AB180" i="16"/>
  <c r="AD180" i="16"/>
  <c r="AB181" i="16"/>
  <c r="AD181" i="16"/>
  <c r="AB182" i="16"/>
  <c r="AD182" i="16"/>
  <c r="AB183" i="16"/>
  <c r="AD183" i="16"/>
  <c r="AB184" i="16"/>
  <c r="AD184" i="16"/>
  <c r="AB185" i="16"/>
  <c r="AD185" i="16"/>
  <c r="AB186" i="16"/>
  <c r="AD186" i="16"/>
  <c r="AB187" i="16"/>
  <c r="AD187" i="16"/>
  <c r="AB188" i="16"/>
  <c r="AD188" i="16"/>
  <c r="AB189" i="16"/>
  <c r="AD189" i="16"/>
  <c r="AB190" i="16"/>
  <c r="AD190" i="16"/>
  <c r="AB191" i="16"/>
  <c r="AD191" i="16"/>
  <c r="AB192" i="16"/>
  <c r="AD192" i="16"/>
  <c r="AB193" i="16"/>
  <c r="AD193" i="16"/>
  <c r="AB194" i="16"/>
  <c r="AD194" i="16"/>
  <c r="AB195" i="16"/>
  <c r="AD195" i="16"/>
  <c r="AB196" i="16"/>
  <c r="AD196" i="16"/>
  <c r="AB197" i="16"/>
  <c r="AD197" i="16"/>
  <c r="AB198" i="16"/>
  <c r="AD198" i="16"/>
  <c r="AB199" i="16"/>
  <c r="AD199" i="16"/>
  <c r="AB200" i="16"/>
  <c r="AD200" i="16"/>
  <c r="AB201" i="16"/>
  <c r="AD201" i="16"/>
  <c r="AB202" i="16"/>
  <c r="AD202" i="16"/>
  <c r="AB203" i="16"/>
  <c r="AD203" i="16"/>
  <c r="AB204" i="16"/>
  <c r="AD204" i="16"/>
  <c r="AB205" i="16"/>
  <c r="AD205" i="16"/>
  <c r="AB206" i="16"/>
  <c r="AD206" i="16"/>
  <c r="AB207" i="16"/>
  <c r="AD207" i="16"/>
  <c r="AB208" i="16"/>
  <c r="AD208" i="16"/>
  <c r="AB209" i="16"/>
  <c r="AD209" i="16"/>
  <c r="AB210" i="16"/>
  <c r="AD210" i="16"/>
  <c r="AB211" i="16"/>
  <c r="AD211" i="16"/>
  <c r="AB212" i="16"/>
  <c r="AD212" i="16"/>
  <c r="AB213" i="16"/>
  <c r="AD213" i="16"/>
  <c r="AB214" i="16"/>
  <c r="AD214" i="16"/>
  <c r="AB215" i="16"/>
  <c r="AD215" i="16"/>
  <c r="AB216" i="16"/>
  <c r="AD216" i="16"/>
  <c r="AB217" i="16"/>
  <c r="AD217" i="16"/>
  <c r="AB218" i="16"/>
  <c r="AD218" i="16"/>
  <c r="AB219" i="16"/>
  <c r="AD219" i="16"/>
  <c r="AB220" i="16"/>
  <c r="AD220" i="16"/>
  <c r="AB221" i="16"/>
  <c r="AD221" i="16"/>
  <c r="AB222" i="16"/>
  <c r="AD222" i="16"/>
  <c r="AB223" i="16"/>
  <c r="AD223" i="16"/>
  <c r="AB224" i="16"/>
  <c r="AD224" i="16"/>
  <c r="AB225" i="16"/>
  <c r="AD225" i="16"/>
  <c r="AB226" i="16"/>
  <c r="AD226" i="16"/>
  <c r="AB227" i="16"/>
  <c r="AD227" i="16"/>
  <c r="AB228" i="16"/>
  <c r="AD228" i="16"/>
  <c r="AB229" i="16"/>
  <c r="AD229" i="16"/>
  <c r="AB230" i="16"/>
  <c r="AD230" i="16"/>
  <c r="AB231" i="16"/>
  <c r="AD231" i="16"/>
  <c r="AB232" i="16"/>
  <c r="AD232" i="16"/>
  <c r="AB233" i="16"/>
  <c r="AD233" i="16"/>
  <c r="AB234" i="16"/>
  <c r="AD234" i="16"/>
  <c r="AB235" i="16"/>
  <c r="AD235" i="16"/>
  <c r="AB236" i="16"/>
  <c r="AD236" i="16"/>
  <c r="AB237" i="16"/>
  <c r="AD237" i="16"/>
  <c r="AB238" i="16"/>
  <c r="AD238" i="16"/>
  <c r="AB239" i="16"/>
  <c r="AD239" i="16"/>
  <c r="AB240" i="16"/>
  <c r="AD240" i="16"/>
  <c r="AB241" i="16"/>
  <c r="AD241" i="16"/>
  <c r="AB242" i="16"/>
  <c r="AD242" i="16"/>
  <c r="AB243" i="16"/>
  <c r="AD243" i="16"/>
  <c r="AB244" i="16"/>
  <c r="AD244" i="16"/>
  <c r="AB245" i="16"/>
  <c r="AD245" i="16"/>
  <c r="AB246" i="16"/>
  <c r="AD246" i="16"/>
  <c r="AB247" i="16"/>
  <c r="AD247" i="16"/>
  <c r="AB248" i="16"/>
  <c r="AD248" i="16"/>
  <c r="AB249" i="16"/>
  <c r="AD249" i="16"/>
  <c r="AB250" i="16"/>
  <c r="AD250" i="16"/>
  <c r="AB251" i="16"/>
  <c r="AD251" i="16"/>
  <c r="AB252" i="16"/>
  <c r="AD252" i="16"/>
  <c r="AB253" i="16"/>
  <c r="AD253" i="16"/>
  <c r="AB254" i="16"/>
  <c r="AD254" i="16"/>
  <c r="AB255" i="16"/>
  <c r="AD255" i="16"/>
  <c r="AB256" i="16"/>
  <c r="AD256" i="16"/>
  <c r="AB257" i="16"/>
  <c r="AD257" i="16"/>
  <c r="AB258" i="16"/>
  <c r="AD258" i="16"/>
  <c r="AB259" i="16"/>
  <c r="AD259" i="16"/>
  <c r="AB260" i="16"/>
  <c r="AD260" i="16"/>
  <c r="AB261" i="16"/>
  <c r="AD261" i="16"/>
  <c r="AB262" i="16"/>
  <c r="AD262" i="16"/>
  <c r="AB263" i="16"/>
  <c r="AD263" i="16"/>
  <c r="AB264" i="16"/>
  <c r="AD264" i="16"/>
  <c r="AB265" i="16"/>
  <c r="AD265" i="16"/>
  <c r="AB266" i="16"/>
  <c r="AD266" i="16"/>
  <c r="AB267" i="16"/>
  <c r="AD267" i="16"/>
  <c r="AB268" i="16"/>
  <c r="AD268" i="16"/>
  <c r="AB269" i="16"/>
  <c r="AD269" i="16"/>
  <c r="AB270" i="16"/>
  <c r="AD270" i="16"/>
  <c r="AB271" i="16"/>
  <c r="AD271" i="16"/>
  <c r="AB272" i="16"/>
  <c r="AD272" i="16"/>
  <c r="AB273" i="16"/>
  <c r="AD273" i="16"/>
  <c r="AB274" i="16"/>
  <c r="AD274" i="16"/>
  <c r="AB275" i="16"/>
  <c r="AD275" i="16"/>
  <c r="AB276" i="16"/>
  <c r="AD276" i="16"/>
  <c r="AB277" i="16"/>
  <c r="AD277" i="16"/>
  <c r="AB278" i="16"/>
  <c r="AD278" i="16"/>
  <c r="AB279" i="16"/>
  <c r="AD279" i="16"/>
  <c r="AB280" i="16"/>
  <c r="AD280" i="16"/>
  <c r="AB281" i="16"/>
  <c r="AD281" i="16"/>
  <c r="AB282" i="16"/>
  <c r="AD282" i="16"/>
  <c r="AB283" i="16"/>
  <c r="AD283" i="16"/>
  <c r="AB284" i="16"/>
  <c r="AD284" i="16"/>
  <c r="AB285" i="16"/>
  <c r="AD285" i="16"/>
  <c r="AB286" i="16"/>
  <c r="AD286" i="16"/>
  <c r="AB287" i="16"/>
  <c r="AD287" i="16"/>
  <c r="AB288" i="16"/>
  <c r="AD288" i="16"/>
  <c r="AB289" i="16"/>
  <c r="AD289" i="16"/>
  <c r="AB290" i="16"/>
  <c r="AD290" i="16"/>
  <c r="AB291" i="16"/>
  <c r="AD291" i="16"/>
  <c r="AB292" i="16"/>
  <c r="AD292" i="16"/>
  <c r="AB293" i="16"/>
  <c r="AD293" i="16"/>
  <c r="AB294" i="16"/>
  <c r="AD294" i="16"/>
  <c r="AB295" i="16"/>
  <c r="AD295" i="16"/>
  <c r="AB296" i="16"/>
  <c r="AD296" i="16"/>
  <c r="AB297" i="16"/>
  <c r="AD297" i="16"/>
  <c r="AB298" i="16"/>
  <c r="AD298" i="16"/>
  <c r="AB299" i="16"/>
  <c r="AD299" i="16"/>
  <c r="AB300" i="16"/>
  <c r="AD300" i="16"/>
  <c r="AB301" i="16"/>
  <c r="AD301" i="16"/>
  <c r="AB302" i="16"/>
  <c r="AD302" i="16"/>
  <c r="AB303" i="16"/>
  <c r="AD303" i="16"/>
  <c r="AB304" i="16"/>
  <c r="AD304" i="16"/>
  <c r="AB305" i="16"/>
  <c r="AD305" i="16"/>
  <c r="AB306" i="16"/>
  <c r="AD306" i="16"/>
  <c r="AB307" i="16"/>
  <c r="AD307" i="16"/>
  <c r="AB308" i="16"/>
  <c r="AD308" i="16"/>
  <c r="AB309" i="16"/>
  <c r="AD309" i="16"/>
  <c r="AB310" i="16"/>
  <c r="AD310" i="16"/>
  <c r="AB311" i="16"/>
  <c r="AD311" i="16"/>
  <c r="AB312" i="16"/>
  <c r="AD312" i="16"/>
  <c r="AB313" i="16"/>
  <c r="AD313" i="16"/>
  <c r="AE16" i="16"/>
  <c r="AE17" i="16"/>
  <c r="AE18" i="16"/>
  <c r="AE19" i="16"/>
  <c r="AE20" i="16"/>
  <c r="AE21" i="16"/>
  <c r="AE22" i="16"/>
  <c r="AE23" i="16"/>
  <c r="AE24" i="16"/>
  <c r="AE25" i="16"/>
  <c r="AE26" i="16"/>
  <c r="AE27" i="16"/>
  <c r="AE28" i="16"/>
  <c r="AE29" i="16"/>
  <c r="AE30" i="16"/>
  <c r="AE31" i="16"/>
  <c r="AE32" i="16"/>
  <c r="AE33" i="16"/>
  <c r="AE34" i="16"/>
  <c r="AE35" i="16"/>
  <c r="AE36" i="16"/>
  <c r="AE37" i="16"/>
  <c r="AE38" i="16"/>
  <c r="AE39" i="16"/>
  <c r="AE40" i="16"/>
  <c r="AE41" i="16"/>
  <c r="AE42" i="16"/>
  <c r="AE43" i="16"/>
  <c r="AE44" i="16"/>
  <c r="AE45" i="16"/>
  <c r="AE46" i="16"/>
  <c r="AE47" i="16"/>
  <c r="AE48" i="16"/>
  <c r="AE49" i="16"/>
  <c r="AE50" i="16"/>
  <c r="AE51" i="16"/>
  <c r="AE52" i="16"/>
  <c r="AE53" i="16"/>
  <c r="AE54" i="16"/>
  <c r="AE55" i="16"/>
  <c r="AE56" i="16"/>
  <c r="AE57" i="16"/>
  <c r="AE58" i="16"/>
  <c r="AE59" i="16"/>
  <c r="AE60" i="16"/>
  <c r="AE61" i="16"/>
  <c r="AE62" i="16"/>
  <c r="AE63" i="16"/>
  <c r="AE64" i="16"/>
  <c r="AE65" i="16"/>
  <c r="AE66" i="16"/>
  <c r="AE67" i="16"/>
  <c r="AE68" i="16"/>
  <c r="AE69" i="16"/>
  <c r="AE70" i="16"/>
  <c r="AE71" i="16"/>
  <c r="AE72" i="16"/>
  <c r="AE73" i="16"/>
  <c r="AE74" i="16"/>
  <c r="AE75" i="16"/>
  <c r="AE76" i="16"/>
  <c r="AE77" i="16"/>
  <c r="AE78" i="16"/>
  <c r="AE79" i="16"/>
  <c r="AE80" i="16"/>
  <c r="AE81" i="16"/>
  <c r="AE82" i="16"/>
  <c r="AE83" i="16"/>
  <c r="AE84" i="16"/>
  <c r="AE85" i="16"/>
  <c r="AE86" i="16"/>
  <c r="AE87" i="16"/>
  <c r="AE88" i="16"/>
  <c r="AE89" i="16"/>
  <c r="AE90" i="16"/>
  <c r="AE91" i="16"/>
  <c r="AE92" i="16"/>
  <c r="AE93" i="16"/>
  <c r="AE94" i="16"/>
  <c r="AE95" i="16"/>
  <c r="AE96" i="16"/>
  <c r="AE97" i="16"/>
  <c r="AE98" i="16"/>
  <c r="AE99" i="16"/>
  <c r="AE100" i="16"/>
  <c r="AE101" i="16"/>
  <c r="AE102" i="16"/>
  <c r="AE103" i="16"/>
  <c r="AE104" i="16"/>
  <c r="AE105" i="16"/>
  <c r="AE106" i="16"/>
  <c r="AE107" i="16"/>
  <c r="AE108" i="16"/>
  <c r="AE109" i="16"/>
  <c r="AE110" i="16"/>
  <c r="AE111" i="16"/>
  <c r="AE112" i="16"/>
  <c r="AE113" i="16"/>
  <c r="AE114" i="16"/>
  <c r="AE115" i="16"/>
  <c r="AE116" i="16"/>
  <c r="AE117" i="16"/>
  <c r="AE118" i="16"/>
  <c r="AE119" i="16"/>
  <c r="AE120" i="16"/>
  <c r="AE121" i="16"/>
  <c r="AE122" i="16"/>
  <c r="AE123" i="16"/>
  <c r="AE124" i="16"/>
  <c r="AE125" i="16"/>
  <c r="AE126" i="16"/>
  <c r="AE127" i="16"/>
  <c r="AE128" i="16"/>
  <c r="AE129" i="16"/>
  <c r="AE130" i="16"/>
  <c r="AE131" i="16"/>
  <c r="AE132" i="16"/>
  <c r="AE133" i="16"/>
  <c r="AE134" i="16"/>
  <c r="AE135" i="16"/>
  <c r="AE136" i="16"/>
  <c r="AE137" i="16"/>
  <c r="AE138" i="16"/>
  <c r="AE139" i="16"/>
  <c r="AE140" i="16"/>
  <c r="AE141" i="16"/>
  <c r="AE142" i="16"/>
  <c r="AE143" i="16"/>
  <c r="AE144" i="16"/>
  <c r="AE145" i="16"/>
  <c r="AE146" i="16"/>
  <c r="AE147" i="16"/>
  <c r="AE148" i="16"/>
  <c r="AE149" i="16"/>
  <c r="AE150" i="16"/>
  <c r="AE151" i="16"/>
  <c r="AE152" i="16"/>
  <c r="AE153" i="16"/>
  <c r="AE154" i="16"/>
  <c r="AE155" i="16"/>
  <c r="AE156" i="16"/>
  <c r="AE157" i="16"/>
  <c r="AE158" i="16"/>
  <c r="AE159" i="16"/>
  <c r="AE160" i="16"/>
  <c r="AE161" i="16"/>
  <c r="AE162" i="16"/>
  <c r="AE163" i="16"/>
  <c r="AE164" i="16"/>
  <c r="AE165" i="16"/>
  <c r="AE166" i="16"/>
  <c r="AE167" i="16"/>
  <c r="AE168" i="16"/>
  <c r="AE169" i="16"/>
  <c r="AE170" i="16"/>
  <c r="AE171" i="16"/>
  <c r="AE172" i="16"/>
  <c r="AE173" i="16"/>
  <c r="AE174" i="16"/>
  <c r="AE175" i="16"/>
  <c r="AE176" i="16"/>
  <c r="AE177" i="16"/>
  <c r="AE178" i="16"/>
  <c r="AE179" i="16"/>
  <c r="AE180" i="16"/>
  <c r="AE181" i="16"/>
  <c r="AE182" i="16"/>
  <c r="AE183" i="16"/>
  <c r="AE184" i="16"/>
  <c r="AE185" i="16"/>
  <c r="AE186" i="16"/>
  <c r="AE187" i="16"/>
  <c r="AE188" i="16"/>
  <c r="AE189" i="16"/>
  <c r="AE190" i="16"/>
  <c r="AE191" i="16"/>
  <c r="AE192" i="16"/>
  <c r="AE193" i="16"/>
  <c r="AE194" i="16"/>
  <c r="AE195" i="16"/>
  <c r="AE196" i="16"/>
  <c r="AE197" i="16"/>
  <c r="AE198" i="16"/>
  <c r="AE199" i="16"/>
  <c r="AE200" i="16"/>
  <c r="AE201" i="16"/>
  <c r="AE202" i="16"/>
  <c r="AE203" i="16"/>
  <c r="AE204" i="16"/>
  <c r="AE205" i="16"/>
  <c r="AE206" i="16"/>
  <c r="AE207" i="16"/>
  <c r="AE208" i="16"/>
  <c r="AE209" i="16"/>
  <c r="AE210" i="16"/>
  <c r="AE211" i="16"/>
  <c r="AE212" i="16"/>
  <c r="AE213" i="16"/>
  <c r="AE214" i="16"/>
  <c r="AE215" i="16"/>
  <c r="AE216" i="16"/>
  <c r="AE217" i="16"/>
  <c r="AE218" i="16"/>
  <c r="AE219" i="16"/>
  <c r="AE220" i="16"/>
  <c r="AE221" i="16"/>
  <c r="AE222" i="16"/>
  <c r="AE223" i="16"/>
  <c r="AE224" i="16"/>
  <c r="AE225" i="16"/>
  <c r="AE226" i="16"/>
  <c r="AE227" i="16"/>
  <c r="AE228" i="16"/>
  <c r="AE229" i="16"/>
  <c r="AE230" i="16"/>
  <c r="AE231" i="16"/>
  <c r="AE232" i="16"/>
  <c r="AE233" i="16"/>
  <c r="AE234" i="16"/>
  <c r="AE235" i="16"/>
  <c r="AE236" i="16"/>
  <c r="AE237" i="16"/>
  <c r="AE238" i="16"/>
  <c r="AE239" i="16"/>
  <c r="AE240" i="16"/>
  <c r="AE241" i="16"/>
  <c r="AE242" i="16"/>
  <c r="AE243" i="16"/>
  <c r="AE244" i="16"/>
  <c r="AE245" i="16"/>
  <c r="AE246" i="16"/>
  <c r="AE247" i="16"/>
  <c r="AE248" i="16"/>
  <c r="AE249" i="16"/>
  <c r="AE250" i="16"/>
  <c r="AE251" i="16"/>
  <c r="AE252" i="16"/>
  <c r="AE253" i="16"/>
  <c r="AE254" i="16"/>
  <c r="AE255" i="16"/>
  <c r="AE256" i="16"/>
  <c r="AE257" i="16"/>
  <c r="AE258" i="16"/>
  <c r="AE259" i="16"/>
  <c r="AE260" i="16"/>
  <c r="AE261" i="16"/>
  <c r="AE262" i="16"/>
  <c r="AE263" i="16"/>
  <c r="AE264" i="16"/>
  <c r="AE265" i="16"/>
  <c r="AE266" i="16"/>
  <c r="AE267" i="16"/>
  <c r="AE268" i="16"/>
  <c r="AE269" i="16"/>
  <c r="AE270" i="16"/>
  <c r="AE271" i="16"/>
  <c r="AE272" i="16"/>
  <c r="AE273" i="16"/>
  <c r="AE274" i="16"/>
  <c r="AE275" i="16"/>
  <c r="AE276" i="16"/>
  <c r="AE277" i="16"/>
  <c r="AE278" i="16"/>
  <c r="AE279" i="16"/>
  <c r="AE280" i="16"/>
  <c r="AE281" i="16"/>
  <c r="AE282" i="16"/>
  <c r="AE283" i="16"/>
  <c r="AE284" i="16"/>
  <c r="AE285" i="16"/>
  <c r="AE286" i="16"/>
  <c r="AE287" i="16"/>
  <c r="AE288" i="16"/>
  <c r="AE289" i="16"/>
  <c r="AE290" i="16"/>
  <c r="AE291" i="16"/>
  <c r="AE292" i="16"/>
  <c r="AE293" i="16"/>
  <c r="AE294" i="16"/>
  <c r="AE295" i="16"/>
  <c r="AE296" i="16"/>
  <c r="AE297" i="16"/>
  <c r="AE298" i="16"/>
  <c r="AE299" i="16"/>
  <c r="AE300" i="16"/>
  <c r="AE301" i="16"/>
  <c r="AE302" i="16"/>
  <c r="AE303" i="16"/>
  <c r="AE304" i="16"/>
  <c r="AE305" i="16"/>
  <c r="AE306" i="16"/>
  <c r="AE307" i="16"/>
  <c r="AE308" i="16"/>
  <c r="AE309" i="16"/>
  <c r="AE310" i="16"/>
  <c r="AE311" i="16"/>
  <c r="AE312" i="16"/>
  <c r="AE313" i="16"/>
  <c r="AC12" i="16"/>
  <c r="W11" i="16"/>
  <c r="W12" i="16"/>
  <c r="W13" i="16"/>
  <c r="W14" i="16"/>
  <c r="W15" i="16"/>
  <c r="W16" i="16"/>
  <c r="W17" i="16"/>
  <c r="W18" i="16"/>
  <c r="W19" i="16"/>
  <c r="W20" i="16"/>
  <c r="W21" i="16"/>
  <c r="W22" i="16"/>
  <c r="W23" i="16"/>
  <c r="W24" i="16"/>
  <c r="W25" i="16"/>
  <c r="W26" i="16"/>
  <c r="W27" i="16"/>
  <c r="W28" i="16"/>
  <c r="W29" i="16"/>
  <c r="W30" i="16"/>
  <c r="W31" i="16"/>
  <c r="W32" i="16"/>
  <c r="W33" i="16"/>
  <c r="W34" i="16"/>
  <c r="W35" i="16"/>
  <c r="W36" i="16"/>
  <c r="W37" i="16"/>
  <c r="W38" i="16"/>
  <c r="W39" i="16"/>
  <c r="W40" i="16"/>
  <c r="W41" i="16"/>
  <c r="W42" i="16"/>
  <c r="W43" i="16"/>
  <c r="W44" i="16"/>
  <c r="W45" i="16"/>
  <c r="W46" i="16"/>
  <c r="W47" i="16"/>
  <c r="W48" i="16"/>
  <c r="W49" i="16"/>
  <c r="W50" i="16"/>
  <c r="W51" i="16"/>
  <c r="W52" i="16"/>
  <c r="W53" i="16"/>
  <c r="W54" i="16"/>
  <c r="W55" i="16"/>
  <c r="W56" i="16"/>
  <c r="W57" i="16"/>
  <c r="W58" i="16"/>
  <c r="W59" i="16"/>
  <c r="W60" i="16"/>
  <c r="W61" i="16"/>
  <c r="W62" i="16"/>
  <c r="W63" i="16"/>
  <c r="W64" i="16"/>
  <c r="W65" i="16"/>
  <c r="W66" i="16"/>
  <c r="W67" i="16"/>
  <c r="W68" i="16"/>
  <c r="W69" i="16"/>
  <c r="W70" i="16"/>
  <c r="W71" i="16"/>
  <c r="W72" i="16"/>
  <c r="W73" i="16"/>
  <c r="W74" i="16"/>
  <c r="W75" i="16"/>
  <c r="W76" i="16"/>
  <c r="W77" i="16"/>
  <c r="W78" i="16"/>
  <c r="W79" i="16"/>
  <c r="W80" i="16"/>
  <c r="W81" i="16"/>
  <c r="W82" i="16"/>
  <c r="W83" i="16"/>
  <c r="W84" i="16"/>
  <c r="W85" i="16"/>
  <c r="W86" i="16"/>
  <c r="W87" i="16"/>
  <c r="W88" i="16"/>
  <c r="W89" i="16"/>
  <c r="W90" i="16"/>
  <c r="W91" i="16"/>
  <c r="W92" i="16"/>
  <c r="W93" i="16"/>
  <c r="W94" i="16"/>
  <c r="W95" i="16"/>
  <c r="W96" i="16"/>
  <c r="W97" i="16"/>
  <c r="W98" i="16"/>
  <c r="W99" i="16"/>
  <c r="W100" i="16"/>
  <c r="W101" i="16"/>
  <c r="W102" i="16"/>
  <c r="W103" i="16"/>
  <c r="W104" i="16"/>
  <c r="W105" i="16"/>
  <c r="W106" i="16"/>
  <c r="W107" i="16"/>
  <c r="W108" i="16"/>
  <c r="W109" i="16"/>
  <c r="W110" i="16"/>
  <c r="W111" i="16"/>
  <c r="W112" i="16"/>
  <c r="W113" i="16"/>
  <c r="W114" i="16"/>
  <c r="W115" i="16"/>
  <c r="W116" i="16"/>
  <c r="W117" i="16"/>
  <c r="W118" i="16"/>
  <c r="W119" i="16"/>
  <c r="W120" i="16"/>
  <c r="W121" i="16"/>
  <c r="W122" i="16"/>
  <c r="W123" i="16"/>
  <c r="W124" i="16"/>
  <c r="W125" i="16"/>
  <c r="W126" i="16"/>
  <c r="W127" i="16"/>
  <c r="W128" i="16"/>
  <c r="W129" i="16"/>
  <c r="W130" i="16"/>
  <c r="W131" i="16"/>
  <c r="W132" i="16"/>
  <c r="W133" i="16"/>
  <c r="AC11" i="16"/>
  <c r="AC10" i="16"/>
  <c r="Y109" i="16"/>
  <c r="AC109" i="16"/>
  <c r="Y110" i="16"/>
  <c r="AC110" i="16"/>
  <c r="Y111" i="16"/>
  <c r="AC111" i="16"/>
  <c r="Y112" i="16"/>
  <c r="AC112" i="16"/>
  <c r="Y113" i="16"/>
  <c r="AC113" i="16"/>
  <c r="Y114" i="16"/>
  <c r="AC114" i="16"/>
  <c r="Y115" i="16"/>
  <c r="AC115" i="16"/>
  <c r="Y116" i="16"/>
  <c r="AC116" i="16"/>
  <c r="Y117" i="16"/>
  <c r="AC117" i="16"/>
  <c r="Y118" i="16"/>
  <c r="AC118" i="16"/>
  <c r="Y119" i="16"/>
  <c r="AC119" i="16"/>
  <c r="Y120" i="16"/>
  <c r="AC120" i="16"/>
  <c r="Y121" i="16"/>
  <c r="AC121" i="16"/>
  <c r="Y122" i="16"/>
  <c r="AC122" i="16"/>
  <c r="Y123" i="16"/>
  <c r="AC123" i="16"/>
  <c r="Y124" i="16"/>
  <c r="AC124" i="16"/>
  <c r="Y125" i="16"/>
  <c r="AC125" i="16"/>
  <c r="Y126" i="16"/>
  <c r="AC126" i="16"/>
  <c r="Y127" i="16"/>
  <c r="AC127" i="16"/>
  <c r="Y128" i="16"/>
  <c r="AC128" i="16"/>
  <c r="Y129" i="16"/>
  <c r="AC129" i="16"/>
  <c r="Y130" i="16"/>
  <c r="AC130" i="16"/>
  <c r="Y131" i="16"/>
  <c r="AC131" i="16"/>
  <c r="Y132" i="16"/>
  <c r="AC132" i="16"/>
  <c r="Y133" i="16"/>
  <c r="AC133" i="16"/>
  <c r="Y134" i="16"/>
  <c r="AC134" i="16"/>
  <c r="Y135" i="16"/>
  <c r="AC135" i="16"/>
  <c r="Y136" i="16"/>
  <c r="AC136" i="16"/>
  <c r="Y137" i="16"/>
  <c r="AC137" i="16"/>
  <c r="Y138" i="16"/>
  <c r="AC138" i="16"/>
  <c r="Y139" i="16"/>
  <c r="AC139" i="16"/>
  <c r="Y140" i="16"/>
  <c r="AC140" i="16"/>
  <c r="Y141" i="16"/>
  <c r="AC141" i="16"/>
  <c r="Y142" i="16"/>
  <c r="AC142" i="16"/>
  <c r="Y143" i="16"/>
  <c r="AC143" i="16"/>
  <c r="Y144" i="16"/>
  <c r="AC144" i="16"/>
  <c r="Y145" i="16"/>
  <c r="AC145" i="16"/>
  <c r="Y146" i="16"/>
  <c r="AC146" i="16"/>
  <c r="Y147" i="16"/>
  <c r="AC147" i="16"/>
  <c r="Y148" i="16"/>
  <c r="AC148" i="16"/>
  <c r="Y149" i="16"/>
  <c r="AC149" i="16"/>
  <c r="Y150" i="16"/>
  <c r="AC150" i="16"/>
  <c r="Y151" i="16"/>
  <c r="AC151" i="16"/>
  <c r="Y152" i="16"/>
  <c r="AC152" i="16"/>
  <c r="Y153" i="16"/>
  <c r="AC153" i="16"/>
  <c r="Y154" i="16"/>
  <c r="AC154" i="16"/>
  <c r="Y155" i="16"/>
  <c r="AC155" i="16"/>
  <c r="Y156" i="16"/>
  <c r="AC156" i="16"/>
  <c r="Y157" i="16"/>
  <c r="AC157" i="16"/>
  <c r="Y158" i="16"/>
  <c r="AC158" i="16"/>
  <c r="Y159" i="16"/>
  <c r="AC159" i="16"/>
  <c r="Y160" i="16"/>
  <c r="AC160" i="16"/>
  <c r="Y161" i="16"/>
  <c r="AC161" i="16"/>
  <c r="Y162" i="16"/>
  <c r="AC162" i="16"/>
  <c r="Y163" i="16"/>
  <c r="AC163" i="16"/>
  <c r="Y164" i="16"/>
  <c r="AC164" i="16"/>
  <c r="Y165" i="16"/>
  <c r="AC165" i="16"/>
  <c r="Y166" i="16"/>
  <c r="AC166" i="16"/>
  <c r="Y167" i="16"/>
  <c r="AC167" i="16"/>
  <c r="Y168" i="16"/>
  <c r="AC168" i="16"/>
  <c r="Y169" i="16"/>
  <c r="AC169" i="16"/>
  <c r="Y170" i="16"/>
  <c r="AC170" i="16"/>
  <c r="Y171" i="16"/>
  <c r="AC171" i="16"/>
  <c r="Y172" i="16"/>
  <c r="AC172" i="16"/>
  <c r="Y173" i="16"/>
  <c r="AC173" i="16"/>
  <c r="Y174" i="16"/>
  <c r="AC174" i="16"/>
  <c r="Y175" i="16"/>
  <c r="AC175" i="16"/>
  <c r="Y176" i="16"/>
  <c r="AC176" i="16"/>
  <c r="Y177" i="16"/>
  <c r="AC177" i="16"/>
  <c r="Y178" i="16"/>
  <c r="AC178" i="16"/>
  <c r="Y179" i="16"/>
  <c r="AC179" i="16"/>
  <c r="Y180" i="16"/>
  <c r="AC180" i="16"/>
  <c r="Y181" i="16"/>
  <c r="AC181" i="16"/>
  <c r="Y182" i="16"/>
  <c r="AC182" i="16"/>
  <c r="Y183" i="16"/>
  <c r="AC183" i="16"/>
  <c r="Y184" i="16"/>
  <c r="AC184" i="16"/>
  <c r="Y185" i="16"/>
  <c r="AC185" i="16"/>
  <c r="Y186" i="16"/>
  <c r="AC186" i="16"/>
  <c r="Y187" i="16"/>
  <c r="AC187" i="16"/>
  <c r="Y188" i="16"/>
  <c r="AC188" i="16"/>
  <c r="Y189" i="16"/>
  <c r="AC189" i="16"/>
  <c r="Y190" i="16"/>
  <c r="AC190" i="16"/>
  <c r="Y191" i="16"/>
  <c r="AC191" i="16"/>
  <c r="Y192" i="16"/>
  <c r="AC192" i="16"/>
  <c r="Y193" i="16"/>
  <c r="AC193" i="16"/>
  <c r="Y194" i="16"/>
  <c r="AC194" i="16"/>
  <c r="Y195" i="16"/>
  <c r="AC195" i="16"/>
  <c r="Y196" i="16"/>
  <c r="AC196" i="16"/>
  <c r="Y197" i="16"/>
  <c r="AC197" i="16"/>
  <c r="Y198" i="16"/>
  <c r="AC198" i="16"/>
  <c r="Y199" i="16"/>
  <c r="AC199" i="16"/>
  <c r="Y200" i="16"/>
  <c r="AC200" i="16"/>
  <c r="Y201" i="16"/>
  <c r="AC201" i="16"/>
  <c r="Y202" i="16"/>
  <c r="AC202" i="16"/>
  <c r="Y203" i="16"/>
  <c r="AC203" i="16"/>
  <c r="Y204" i="16"/>
  <c r="AC204" i="16"/>
  <c r="Y205" i="16"/>
  <c r="AC205" i="16"/>
  <c r="Y206" i="16"/>
  <c r="AC206" i="16"/>
  <c r="Y207" i="16"/>
  <c r="AC207" i="16"/>
  <c r="Y208" i="16"/>
  <c r="AC208" i="16"/>
  <c r="Y209" i="16"/>
  <c r="AC209" i="16"/>
  <c r="Y210" i="16"/>
  <c r="AC210" i="16"/>
  <c r="Y211" i="16"/>
  <c r="AC211" i="16"/>
  <c r="Y212" i="16"/>
  <c r="AC212" i="16"/>
  <c r="Y213" i="16"/>
  <c r="AC213" i="16"/>
  <c r="Y214" i="16"/>
  <c r="AC214" i="16"/>
  <c r="Y215" i="16"/>
  <c r="AC215" i="16"/>
  <c r="Y216" i="16"/>
  <c r="AC216" i="16"/>
  <c r="Y217" i="16"/>
  <c r="AC217" i="16"/>
  <c r="Y218" i="16"/>
  <c r="AC218" i="16"/>
  <c r="Y219" i="16"/>
  <c r="AC219" i="16"/>
  <c r="Y220" i="16"/>
  <c r="AC220" i="16"/>
  <c r="Y221" i="16"/>
  <c r="AC221" i="16"/>
  <c r="Y222" i="16"/>
  <c r="AC222" i="16"/>
  <c r="Y223" i="16"/>
  <c r="AC223" i="16"/>
  <c r="Y224" i="16"/>
  <c r="AC224" i="16"/>
  <c r="Y225" i="16"/>
  <c r="AC225" i="16"/>
  <c r="Y226" i="16"/>
  <c r="AC226" i="16"/>
  <c r="Y227" i="16"/>
  <c r="AC227" i="16"/>
  <c r="Y228" i="16"/>
  <c r="AC228" i="16"/>
  <c r="Y229" i="16"/>
  <c r="AC229" i="16"/>
  <c r="Y230" i="16"/>
  <c r="AC230" i="16"/>
  <c r="Y231" i="16"/>
  <c r="AC231" i="16"/>
  <c r="Y232" i="16"/>
  <c r="AC232" i="16"/>
  <c r="Y233" i="16"/>
  <c r="AC233" i="16"/>
  <c r="Y234" i="16"/>
  <c r="AC234" i="16"/>
  <c r="Y235" i="16"/>
  <c r="AC235" i="16"/>
  <c r="Y236" i="16"/>
  <c r="AC236" i="16"/>
  <c r="Y237" i="16"/>
  <c r="AC237" i="16"/>
  <c r="Y238" i="16"/>
  <c r="AC238" i="16"/>
  <c r="Y239" i="16"/>
  <c r="AC239" i="16"/>
  <c r="Y240" i="16"/>
  <c r="AC240" i="16"/>
  <c r="Y241" i="16"/>
  <c r="AC241" i="16"/>
  <c r="Y242" i="16"/>
  <c r="AC242" i="16"/>
  <c r="Y243" i="16"/>
  <c r="AC243" i="16"/>
  <c r="Y244" i="16"/>
  <c r="AC244" i="16"/>
  <c r="Y245" i="16"/>
  <c r="AC245" i="16"/>
  <c r="Y246" i="16"/>
  <c r="AC246" i="16"/>
  <c r="Y247" i="16"/>
  <c r="AC247" i="16"/>
  <c r="Y248" i="16"/>
  <c r="AC248" i="16"/>
  <c r="Y249" i="16"/>
  <c r="AC249" i="16"/>
  <c r="Y250" i="16"/>
  <c r="AC250" i="16"/>
  <c r="Y251" i="16"/>
  <c r="AC251" i="16"/>
  <c r="Y252" i="16"/>
  <c r="AC252" i="16"/>
  <c r="Y253" i="16"/>
  <c r="AC253" i="16"/>
  <c r="Y254" i="16"/>
  <c r="AC254" i="16"/>
  <c r="Y255" i="16"/>
  <c r="AC255" i="16"/>
  <c r="Y256" i="16"/>
  <c r="AC256" i="16"/>
  <c r="Y257" i="16"/>
  <c r="AC257" i="16"/>
  <c r="Y258" i="16"/>
  <c r="AC258" i="16"/>
  <c r="Y259" i="16"/>
  <c r="AC259" i="16"/>
  <c r="Y260" i="16"/>
  <c r="AC260" i="16"/>
  <c r="Y261" i="16"/>
  <c r="AC261" i="16"/>
  <c r="Y262" i="16"/>
  <c r="AC262" i="16"/>
  <c r="Y263" i="16"/>
  <c r="AC263" i="16"/>
  <c r="Y264" i="16"/>
  <c r="AC264" i="16"/>
  <c r="Y265" i="16"/>
  <c r="AC265" i="16"/>
  <c r="Y266" i="16"/>
  <c r="AC266" i="16"/>
  <c r="Y267" i="16"/>
  <c r="AC267" i="16"/>
  <c r="Y268" i="16"/>
  <c r="AC268" i="16"/>
  <c r="Y269" i="16"/>
  <c r="AC269" i="16"/>
  <c r="Y270" i="16"/>
  <c r="AC270" i="16"/>
  <c r="Y271" i="16"/>
  <c r="AC271" i="16"/>
  <c r="Y272" i="16"/>
  <c r="AC272" i="16"/>
  <c r="Y273" i="16"/>
  <c r="AC273" i="16"/>
  <c r="Y274" i="16"/>
  <c r="AC274" i="16"/>
  <c r="Y275" i="16"/>
  <c r="AC275" i="16"/>
  <c r="Y276" i="16"/>
  <c r="AC276" i="16"/>
  <c r="Y277" i="16"/>
  <c r="AC277" i="16"/>
  <c r="Y278" i="16"/>
  <c r="AC278" i="16"/>
  <c r="Y279" i="16"/>
  <c r="AC279" i="16"/>
  <c r="Y280" i="16"/>
  <c r="AC280" i="16"/>
  <c r="Y281" i="16"/>
  <c r="AC281" i="16"/>
  <c r="Y282" i="16"/>
  <c r="AC282" i="16"/>
  <c r="Y283" i="16"/>
  <c r="AC283" i="16"/>
  <c r="Y284" i="16"/>
  <c r="AC284" i="16"/>
  <c r="Y285" i="16"/>
  <c r="AC285" i="16"/>
  <c r="Y286" i="16"/>
  <c r="AC286" i="16"/>
  <c r="Y287" i="16"/>
  <c r="AC287" i="16"/>
  <c r="Y288" i="16"/>
  <c r="AC288" i="16"/>
  <c r="Y289" i="16"/>
  <c r="AC289" i="16"/>
  <c r="Y290" i="16"/>
  <c r="AC290" i="16"/>
  <c r="Y291" i="16"/>
  <c r="AC291" i="16"/>
  <c r="Y292" i="16"/>
  <c r="AC292" i="16"/>
  <c r="Y293" i="16"/>
  <c r="AC293" i="16"/>
  <c r="Y294" i="16"/>
  <c r="AC294" i="16"/>
  <c r="Y295" i="16"/>
  <c r="AC295" i="16"/>
  <c r="Y296" i="16"/>
  <c r="AC296" i="16"/>
  <c r="Y297" i="16"/>
  <c r="AC297" i="16"/>
  <c r="Y298" i="16"/>
  <c r="AC298" i="16"/>
  <c r="Y299" i="16"/>
  <c r="AC299" i="16"/>
  <c r="Y300" i="16"/>
  <c r="AC300" i="16"/>
  <c r="Y301" i="16"/>
  <c r="AC301" i="16"/>
  <c r="Y302" i="16"/>
  <c r="AC302" i="16"/>
  <c r="Y303" i="16"/>
  <c r="AC303" i="16"/>
  <c r="Y304" i="16"/>
  <c r="AC304" i="16"/>
  <c r="Y305" i="16"/>
  <c r="AC305" i="16"/>
  <c r="Y306" i="16"/>
  <c r="AC306" i="16"/>
  <c r="Y307" i="16"/>
  <c r="AC307" i="16"/>
  <c r="Y308" i="16"/>
  <c r="AC308" i="16"/>
  <c r="Y309" i="16"/>
  <c r="AC309" i="16"/>
  <c r="Y310" i="16"/>
  <c r="AC310" i="16"/>
  <c r="Y311" i="16"/>
  <c r="AC311" i="16"/>
  <c r="Y312" i="16"/>
  <c r="AC312" i="16"/>
  <c r="Y313" i="16"/>
  <c r="AC313" i="16"/>
  <c r="C3" i="6"/>
  <c r="AE15" i="11"/>
  <c r="AE16" i="11"/>
  <c r="AE17" i="11"/>
  <c r="AE18" i="11"/>
  <c r="AE19" i="11"/>
  <c r="AE20" i="11"/>
  <c r="AE21" i="11"/>
  <c r="AE22" i="11"/>
  <c r="AE23" i="11"/>
  <c r="AE24" i="11"/>
  <c r="AE25" i="11"/>
  <c r="AE26" i="11"/>
  <c r="AE27" i="11"/>
  <c r="AE28" i="11"/>
  <c r="AE29" i="11"/>
  <c r="AE30" i="11"/>
  <c r="AE31" i="11"/>
  <c r="AE32" i="11"/>
  <c r="AE33" i="11"/>
  <c r="AE34" i="11"/>
  <c r="AE35" i="11"/>
  <c r="AE36" i="11"/>
  <c r="AE37" i="11"/>
  <c r="AE38" i="11"/>
  <c r="AE39" i="11"/>
  <c r="AE40" i="11"/>
  <c r="AE41" i="11"/>
  <c r="AE42" i="11"/>
  <c r="AE43" i="11"/>
  <c r="AE44" i="11"/>
  <c r="AE45" i="11"/>
  <c r="AE46" i="11"/>
  <c r="AE47" i="11"/>
  <c r="AE48" i="11"/>
  <c r="AE49" i="11"/>
  <c r="AE50" i="11"/>
  <c r="AE51" i="11"/>
  <c r="AE52" i="11"/>
  <c r="AE53" i="11"/>
  <c r="AE54" i="11"/>
  <c r="AE55" i="11"/>
  <c r="AE56" i="11"/>
  <c r="AE57" i="11"/>
  <c r="AE58" i="11"/>
  <c r="AE59" i="11"/>
  <c r="AE60" i="11"/>
  <c r="AE61" i="11"/>
  <c r="AE62" i="11"/>
  <c r="AE63" i="11"/>
  <c r="AE64" i="11"/>
  <c r="AE65" i="11"/>
  <c r="AE66" i="11"/>
  <c r="AE67" i="11"/>
  <c r="AE68" i="11"/>
  <c r="AE69" i="11"/>
  <c r="AE70" i="11"/>
  <c r="AE71" i="11"/>
  <c r="AE72" i="11"/>
  <c r="AE73" i="11"/>
  <c r="AE74" i="11"/>
  <c r="AE75" i="11"/>
  <c r="AE76" i="11"/>
  <c r="AE77" i="11"/>
  <c r="AE78" i="11"/>
  <c r="AE79" i="11"/>
  <c r="AE80" i="11"/>
  <c r="AE81" i="11"/>
  <c r="AE82" i="11"/>
  <c r="AE83" i="11"/>
  <c r="AE84" i="11"/>
  <c r="AE85" i="11"/>
  <c r="AE86" i="11"/>
  <c r="AE87" i="11"/>
  <c r="AE88" i="11"/>
  <c r="AE89" i="11"/>
  <c r="AE90" i="11"/>
  <c r="AE91" i="11"/>
  <c r="AE92" i="11"/>
  <c r="AE93" i="11"/>
  <c r="AE94" i="11"/>
  <c r="AE95" i="11"/>
  <c r="AE96" i="11"/>
  <c r="AE97" i="11"/>
  <c r="AE98" i="11"/>
  <c r="AE99" i="11"/>
  <c r="AE100" i="11"/>
  <c r="AE101" i="11"/>
  <c r="AE102" i="11"/>
  <c r="AE103" i="11"/>
  <c r="AE104" i="11"/>
  <c r="AE105" i="11"/>
  <c r="AE106" i="11"/>
  <c r="AE107" i="11"/>
  <c r="AE108" i="11"/>
  <c r="AE109" i="11"/>
  <c r="AF15" i="11"/>
  <c r="AR14" i="16" a="1"/>
  <c r="AR14" i="16"/>
  <c r="C18" i="4" a="1"/>
  <c r="C18" i="4"/>
  <c r="AH14" i="16" a="1"/>
  <c r="AH14" i="16"/>
  <c r="F15" i="8" a="1"/>
  <c r="F15" i="8"/>
  <c r="B10" i="7"/>
  <c r="C10" i="7"/>
  <c r="D10" i="7"/>
  <c r="C11" i="7"/>
  <c r="B11" i="7"/>
  <c r="D11" i="7"/>
  <c r="E10" i="7"/>
  <c r="E11" i="7"/>
  <c r="B12" i="7"/>
  <c r="C12" i="7"/>
  <c r="D12" i="7"/>
  <c r="E12" i="7"/>
  <c r="B13" i="7"/>
  <c r="C13" i="7"/>
  <c r="D13" i="7"/>
  <c r="E13" i="7"/>
  <c r="B14" i="7"/>
  <c r="C14" i="7"/>
  <c r="D14" i="7"/>
  <c r="E14" i="7"/>
  <c r="B15" i="7"/>
  <c r="C15" i="7"/>
  <c r="D15" i="7"/>
  <c r="E15" i="7"/>
  <c r="B16" i="7"/>
  <c r="C16" i="7"/>
  <c r="D16" i="7"/>
  <c r="E16" i="7"/>
  <c r="B17" i="7"/>
  <c r="C17" i="7"/>
  <c r="D17" i="7"/>
  <c r="E17" i="7"/>
  <c r="B18" i="7"/>
  <c r="C18" i="7"/>
  <c r="D18" i="7"/>
  <c r="E18" i="7"/>
  <c r="B19" i="7"/>
  <c r="C19" i="7"/>
  <c r="D19" i="7"/>
  <c r="E19" i="7"/>
  <c r="B20" i="7"/>
  <c r="C20" i="7"/>
  <c r="D20" i="7"/>
  <c r="E20" i="7"/>
  <c r="B21" i="7"/>
  <c r="C21" i="7"/>
  <c r="D21" i="7"/>
  <c r="E21" i="7"/>
  <c r="B22" i="7"/>
  <c r="C22" i="7"/>
  <c r="D22" i="7"/>
  <c r="E22" i="7"/>
  <c r="B23" i="7"/>
  <c r="C23" i="7"/>
  <c r="D23" i="7"/>
  <c r="E23" i="7"/>
  <c r="B24" i="7"/>
  <c r="C24" i="7"/>
  <c r="D24" i="7"/>
  <c r="E24" i="7"/>
  <c r="B25" i="7"/>
  <c r="C25" i="7"/>
  <c r="D25" i="7"/>
  <c r="E25" i="7"/>
  <c r="B26" i="7"/>
  <c r="C26" i="7"/>
  <c r="D26" i="7"/>
  <c r="E26" i="7"/>
  <c r="B27" i="7"/>
  <c r="C27" i="7"/>
  <c r="D27" i="7"/>
  <c r="E27" i="7"/>
  <c r="B28" i="7"/>
  <c r="C28" i="7"/>
  <c r="D28" i="7"/>
  <c r="E28" i="7"/>
  <c r="B29" i="7"/>
  <c r="C29" i="7"/>
  <c r="D29" i="7"/>
  <c r="E29" i="7"/>
  <c r="B30" i="7"/>
  <c r="C30" i="7"/>
  <c r="D30" i="7"/>
  <c r="E30" i="7"/>
  <c r="B31" i="7"/>
  <c r="C31" i="7"/>
  <c r="D31" i="7"/>
  <c r="E31" i="7"/>
  <c r="B32" i="7"/>
  <c r="C32" i="7"/>
  <c r="D32" i="7"/>
  <c r="E32" i="7"/>
  <c r="B33" i="7"/>
  <c r="C33" i="7"/>
  <c r="D33" i="7"/>
  <c r="E33" i="7"/>
  <c r="B34" i="7"/>
  <c r="C34" i="7"/>
  <c r="D34" i="7"/>
  <c r="E34" i="7"/>
  <c r="B35" i="7"/>
  <c r="C35" i="7"/>
  <c r="D35" i="7"/>
  <c r="E35" i="7"/>
  <c r="B36" i="7"/>
  <c r="C36" i="7"/>
  <c r="D36" i="7"/>
  <c r="E36" i="7"/>
  <c r="B37" i="7"/>
  <c r="C37" i="7"/>
  <c r="D37" i="7"/>
  <c r="E37" i="7"/>
  <c r="B38" i="7"/>
  <c r="C38" i="7"/>
  <c r="D38" i="7"/>
  <c r="E38" i="7"/>
  <c r="B39" i="7"/>
  <c r="C39" i="7"/>
  <c r="D39" i="7"/>
  <c r="E39" i="7"/>
  <c r="B40" i="7"/>
  <c r="C40" i="7"/>
  <c r="D40" i="7"/>
  <c r="E40" i="7"/>
  <c r="B41" i="7"/>
  <c r="C41" i="7"/>
  <c r="D41" i="7"/>
  <c r="E41" i="7"/>
  <c r="B42" i="7"/>
  <c r="C42" i="7"/>
  <c r="D42" i="7"/>
  <c r="E42" i="7"/>
  <c r="B43" i="7"/>
  <c r="C43" i="7"/>
  <c r="D43" i="7"/>
  <c r="E43" i="7"/>
  <c r="B44" i="7"/>
  <c r="C44" i="7"/>
  <c r="D44" i="7"/>
  <c r="E44" i="7"/>
  <c r="B45" i="7"/>
  <c r="C45" i="7"/>
  <c r="D45" i="7"/>
  <c r="E45" i="7"/>
  <c r="B46" i="7"/>
  <c r="C46" i="7"/>
  <c r="D46" i="7"/>
  <c r="E46" i="7"/>
  <c r="B47" i="7"/>
  <c r="C47" i="7"/>
  <c r="D47" i="7"/>
  <c r="E47" i="7"/>
  <c r="B48" i="7"/>
  <c r="C48" i="7"/>
  <c r="D48" i="7"/>
  <c r="E48" i="7"/>
  <c r="B49" i="7"/>
  <c r="C49" i="7"/>
  <c r="D49" i="7"/>
  <c r="E49" i="7"/>
  <c r="B50" i="7"/>
  <c r="C50" i="7"/>
  <c r="D50" i="7"/>
  <c r="E50" i="7"/>
  <c r="B51" i="7"/>
  <c r="C51" i="7"/>
  <c r="D51" i="7"/>
  <c r="E51" i="7"/>
  <c r="B52" i="7"/>
  <c r="C52" i="7"/>
  <c r="D52" i="7"/>
  <c r="E52" i="7"/>
  <c r="B53" i="7"/>
  <c r="C53" i="7"/>
  <c r="D53" i="7"/>
  <c r="E53" i="7"/>
  <c r="B54" i="7"/>
  <c r="C54" i="7"/>
  <c r="D54" i="7"/>
  <c r="E54" i="7"/>
  <c r="B55" i="7"/>
  <c r="C55" i="7"/>
  <c r="D55" i="7"/>
  <c r="E55" i="7"/>
  <c r="B56" i="7"/>
  <c r="C56" i="7"/>
  <c r="D56" i="7"/>
  <c r="E56" i="7"/>
  <c r="B57" i="7"/>
  <c r="C57" i="7"/>
  <c r="D57" i="7"/>
  <c r="E57" i="7"/>
  <c r="B58" i="7"/>
  <c r="C58" i="7"/>
  <c r="D58" i="7"/>
  <c r="E58" i="7"/>
  <c r="B59" i="7"/>
  <c r="C59" i="7"/>
  <c r="D59" i="7"/>
  <c r="E59" i="7"/>
  <c r="B60" i="7"/>
  <c r="C60" i="7"/>
  <c r="D60" i="7"/>
  <c r="E60" i="7"/>
  <c r="B61" i="7"/>
  <c r="C61" i="7"/>
  <c r="D61" i="7"/>
  <c r="E61" i="7"/>
  <c r="B62" i="7"/>
  <c r="C62" i="7"/>
  <c r="D62" i="7"/>
  <c r="E62" i="7"/>
  <c r="B63" i="7"/>
  <c r="C63" i="7"/>
  <c r="D63" i="7"/>
  <c r="E63" i="7"/>
  <c r="B64" i="7"/>
  <c r="C64" i="7"/>
  <c r="D64" i="7"/>
  <c r="E64" i="7"/>
  <c r="B65" i="7"/>
  <c r="C65" i="7"/>
  <c r="D65" i="7"/>
  <c r="E65" i="7"/>
  <c r="B66" i="7"/>
  <c r="C66" i="7"/>
  <c r="D66" i="7"/>
  <c r="E66" i="7"/>
  <c r="B67" i="7"/>
  <c r="C67" i="7"/>
  <c r="D67" i="7"/>
  <c r="E67" i="7"/>
  <c r="B68" i="7"/>
  <c r="C68" i="7"/>
  <c r="D68" i="7"/>
  <c r="E68" i="7"/>
  <c r="B69" i="7"/>
  <c r="C69" i="7"/>
  <c r="D69" i="7"/>
  <c r="E69" i="7"/>
  <c r="B70" i="7"/>
  <c r="C70" i="7"/>
  <c r="D70" i="7"/>
  <c r="E70" i="7"/>
  <c r="B71" i="7"/>
  <c r="C71" i="7"/>
  <c r="D71" i="7"/>
  <c r="E71" i="7"/>
  <c r="B72" i="7"/>
  <c r="C72" i="7"/>
  <c r="D72" i="7"/>
  <c r="E72" i="7"/>
  <c r="B73" i="7"/>
  <c r="C73" i="7"/>
  <c r="D73" i="7"/>
  <c r="E73" i="7"/>
  <c r="B74" i="7"/>
  <c r="C74" i="7"/>
  <c r="D74" i="7"/>
  <c r="E74" i="7"/>
  <c r="B75" i="7"/>
  <c r="C75" i="7"/>
  <c r="D75" i="7"/>
  <c r="E75" i="7"/>
  <c r="B76" i="7"/>
  <c r="C76" i="7"/>
  <c r="D76" i="7"/>
  <c r="E76" i="7"/>
  <c r="B77" i="7"/>
  <c r="C77" i="7"/>
  <c r="D77" i="7"/>
  <c r="E77" i="7"/>
  <c r="B78" i="7"/>
  <c r="C78" i="7"/>
  <c r="D78" i="7"/>
  <c r="E78" i="7"/>
  <c r="B79" i="7"/>
  <c r="C79" i="7"/>
  <c r="D79" i="7"/>
  <c r="E79" i="7"/>
  <c r="B80" i="7"/>
  <c r="C80" i="7"/>
  <c r="D80" i="7"/>
  <c r="E80" i="7"/>
  <c r="B81" i="7"/>
  <c r="C81" i="7"/>
  <c r="D81" i="7"/>
  <c r="E81" i="7"/>
  <c r="B82" i="7"/>
  <c r="C82" i="7"/>
  <c r="D82" i="7"/>
  <c r="E82" i="7"/>
  <c r="B83" i="7"/>
  <c r="C83" i="7"/>
  <c r="D83" i="7"/>
  <c r="E83" i="7"/>
  <c r="B84" i="7"/>
  <c r="C84" i="7"/>
  <c r="D84" i="7"/>
  <c r="E84" i="7"/>
  <c r="B85" i="7"/>
  <c r="C85" i="7"/>
  <c r="D85" i="7"/>
  <c r="E85" i="7"/>
  <c r="B86" i="7"/>
  <c r="C86" i="7"/>
  <c r="D86" i="7"/>
  <c r="E86" i="7"/>
  <c r="B87" i="7"/>
  <c r="C87" i="7"/>
  <c r="D87" i="7"/>
  <c r="E87" i="7"/>
  <c r="B88" i="7"/>
  <c r="C88" i="7"/>
  <c r="D88" i="7"/>
  <c r="E88" i="7"/>
  <c r="B89" i="7"/>
  <c r="C89" i="7"/>
  <c r="D89" i="7"/>
  <c r="E89" i="7"/>
  <c r="B90" i="7"/>
  <c r="C90" i="7"/>
  <c r="D90" i="7"/>
  <c r="E90" i="7"/>
  <c r="B91" i="7"/>
  <c r="C91" i="7"/>
  <c r="D91" i="7"/>
  <c r="E91" i="7"/>
  <c r="B92" i="7"/>
  <c r="C92" i="7"/>
  <c r="D92" i="7"/>
  <c r="E92" i="7"/>
  <c r="B93" i="7"/>
  <c r="C93" i="7"/>
  <c r="D93" i="7"/>
  <c r="E93" i="7"/>
  <c r="B94" i="7"/>
  <c r="C94" i="7"/>
  <c r="D94" i="7"/>
  <c r="E94" i="7"/>
  <c r="B95" i="7"/>
  <c r="C95" i="7"/>
  <c r="D95" i="7"/>
  <c r="E95" i="7"/>
  <c r="B96" i="7"/>
  <c r="C96" i="7"/>
  <c r="D96" i="7"/>
  <c r="E96" i="7"/>
  <c r="B97" i="7"/>
  <c r="C97" i="7"/>
  <c r="D97" i="7"/>
  <c r="E97" i="7"/>
  <c r="B98" i="7"/>
  <c r="C98" i="7"/>
  <c r="D98" i="7"/>
  <c r="E98" i="7"/>
  <c r="B99" i="7"/>
  <c r="C99" i="7"/>
  <c r="D99" i="7"/>
  <c r="E99" i="7"/>
  <c r="B100" i="7"/>
  <c r="C100" i="7"/>
  <c r="D100" i="7"/>
  <c r="E100" i="7"/>
  <c r="B101" i="7"/>
  <c r="C101" i="7"/>
  <c r="D101" i="7"/>
  <c r="E101" i="7"/>
  <c r="B102" i="7"/>
  <c r="C102" i="7"/>
  <c r="D102" i="7"/>
  <c r="E102" i="7"/>
  <c r="B103" i="7"/>
  <c r="C103" i="7"/>
  <c r="D103" i="7"/>
  <c r="E103" i="7"/>
  <c r="B104" i="7"/>
  <c r="C104" i="7"/>
  <c r="D104" i="7"/>
  <c r="E104" i="7"/>
  <c r="B105" i="7"/>
  <c r="C105" i="7"/>
  <c r="D105" i="7"/>
  <c r="E105" i="7"/>
  <c r="B106" i="7"/>
  <c r="C106" i="7"/>
  <c r="D106" i="7"/>
  <c r="E106" i="7"/>
  <c r="B107" i="7"/>
  <c r="C107" i="7"/>
  <c r="D107" i="7"/>
  <c r="E107" i="7"/>
  <c r="B108" i="7"/>
  <c r="C108" i="7"/>
  <c r="D108" i="7"/>
  <c r="E108" i="7"/>
  <c r="B109" i="7"/>
  <c r="C109" i="7"/>
  <c r="D109" i="7"/>
  <c r="E109" i="7"/>
  <c r="B110" i="7"/>
  <c r="C110" i="7"/>
  <c r="D110" i="7"/>
  <c r="E110" i="7"/>
  <c r="B111" i="7"/>
  <c r="C111" i="7"/>
  <c r="D111" i="7"/>
  <c r="E111" i="7"/>
  <c r="B112" i="7"/>
  <c r="C112" i="7"/>
  <c r="D112" i="7"/>
  <c r="E112" i="7"/>
  <c r="B113" i="7"/>
  <c r="C113" i="7"/>
  <c r="D113" i="7"/>
  <c r="E113" i="7"/>
  <c r="B114" i="7"/>
  <c r="C114" i="7"/>
  <c r="D114" i="7"/>
  <c r="E114" i="7"/>
  <c r="B115" i="7"/>
  <c r="C115" i="7"/>
  <c r="D115" i="7"/>
  <c r="E115" i="7"/>
  <c r="B116" i="7"/>
  <c r="C116" i="7"/>
  <c r="D116" i="7"/>
  <c r="E116" i="7"/>
  <c r="B117" i="7"/>
  <c r="C117" i="7"/>
  <c r="D117" i="7"/>
  <c r="E117" i="7"/>
  <c r="B118" i="7"/>
  <c r="C118" i="7"/>
  <c r="D118" i="7"/>
  <c r="E118" i="7"/>
  <c r="B119" i="7"/>
  <c r="C119" i="7"/>
  <c r="D119" i="7"/>
  <c r="E119" i="7"/>
  <c r="B120" i="7"/>
  <c r="C120" i="7"/>
  <c r="D120" i="7"/>
  <c r="E120" i="7"/>
  <c r="B121" i="7"/>
  <c r="C121" i="7"/>
  <c r="D121" i="7"/>
  <c r="E121" i="7"/>
  <c r="B122" i="7"/>
  <c r="C122" i="7"/>
  <c r="D122" i="7"/>
  <c r="E122" i="7"/>
  <c r="B123" i="7"/>
  <c r="C123" i="7"/>
  <c r="D123" i="7"/>
  <c r="E123" i="7"/>
  <c r="B124" i="7"/>
  <c r="C124" i="7"/>
  <c r="D124" i="7"/>
  <c r="E124" i="7"/>
  <c r="B125" i="7"/>
  <c r="C125" i="7"/>
  <c r="D125" i="7"/>
  <c r="E125" i="7"/>
  <c r="B126" i="7"/>
  <c r="C126" i="7"/>
  <c r="D126" i="7"/>
  <c r="E126" i="7"/>
  <c r="B127" i="7"/>
  <c r="C127" i="7"/>
  <c r="D127" i="7"/>
  <c r="E127" i="7"/>
  <c r="B128" i="7"/>
  <c r="C128" i="7"/>
  <c r="D128" i="7"/>
  <c r="E128" i="7"/>
  <c r="B129" i="7"/>
  <c r="C129" i="7"/>
  <c r="D129" i="7"/>
  <c r="E129" i="7"/>
  <c r="C9" i="8"/>
  <c r="BD18" i="16"/>
  <c r="AG14" i="16"/>
  <c r="BC14" i="16"/>
  <c r="BD14" i="16"/>
  <c r="AG15" i="16"/>
  <c r="BC15" i="16"/>
  <c r="BD15" i="16"/>
  <c r="AG16" i="16"/>
  <c r="BC16" i="16"/>
  <c r="BD16" i="16"/>
  <c r="AG17" i="16"/>
  <c r="BC17" i="16"/>
  <c r="BD17" i="16"/>
  <c r="AG18" i="16"/>
  <c r="BC18" i="16"/>
  <c r="AG19" i="16"/>
  <c r="BC19" i="16"/>
  <c r="BD19" i="16"/>
  <c r="AG20" i="16"/>
  <c r="BC20" i="16"/>
  <c r="BD20" i="16"/>
  <c r="AG21" i="16"/>
  <c r="BC21" i="16"/>
  <c r="BD21" i="16"/>
  <c r="AG22" i="16"/>
  <c r="BC22" i="16"/>
  <c r="BD22" i="16"/>
  <c r="AG23" i="16"/>
  <c r="BC23" i="16"/>
  <c r="BD23" i="16"/>
  <c r="AG24" i="16"/>
  <c r="AG25" i="16"/>
  <c r="AG26" i="16"/>
  <c r="AG27" i="16"/>
  <c r="AG28" i="16"/>
  <c r="AG29" i="16"/>
  <c r="AG30" i="16"/>
  <c r="AG31" i="16"/>
  <c r="AG32" i="16"/>
  <c r="AG33" i="16"/>
  <c r="AG34" i="16"/>
  <c r="AG35" i="16"/>
  <c r="AG36" i="16"/>
  <c r="AG37" i="16"/>
  <c r="AG38" i="16"/>
  <c r="AG39" i="16"/>
  <c r="AG40" i="16"/>
  <c r="AG41" i="16"/>
  <c r="AG42" i="16"/>
  <c r="AG43" i="16"/>
  <c r="AG44" i="16"/>
  <c r="AG45" i="16"/>
  <c r="AG46" i="16"/>
  <c r="AG47" i="16"/>
  <c r="AG48" i="16"/>
  <c r="AG49" i="16"/>
  <c r="AG50" i="16"/>
  <c r="AG51" i="16"/>
  <c r="AG52" i="16"/>
  <c r="AG53" i="16"/>
  <c r="AG54" i="16"/>
  <c r="AG55" i="16"/>
  <c r="AG56" i="16"/>
  <c r="AG57" i="16"/>
  <c r="AG58" i="16"/>
  <c r="AG59" i="16"/>
  <c r="AG60" i="16"/>
  <c r="AG61" i="16"/>
  <c r="AG62" i="16"/>
  <c r="AG63" i="16"/>
  <c r="AG64" i="16"/>
  <c r="AG65" i="16"/>
  <c r="AG66" i="16"/>
  <c r="AG67" i="16"/>
  <c r="AG68" i="16"/>
  <c r="AG69" i="16"/>
  <c r="AG70" i="16"/>
  <c r="AG71" i="16"/>
  <c r="AG72" i="16"/>
  <c r="AG73" i="16"/>
  <c r="AG74" i="16"/>
  <c r="AG75" i="16"/>
  <c r="AG76" i="16"/>
  <c r="AG77" i="16"/>
  <c r="AG78" i="16"/>
  <c r="AG79" i="16"/>
  <c r="AG80" i="16"/>
  <c r="AG81" i="16"/>
  <c r="AG82" i="16"/>
  <c r="AG83" i="16"/>
  <c r="AG84" i="16"/>
  <c r="AG85" i="16"/>
  <c r="AG86" i="16"/>
  <c r="AG87" i="16"/>
  <c r="AG88" i="16"/>
  <c r="AG89" i="16"/>
  <c r="AG90" i="16"/>
  <c r="AG91" i="16"/>
  <c r="AG92" i="16"/>
  <c r="AG93" i="16"/>
  <c r="AG94" i="16"/>
  <c r="AG95" i="16"/>
  <c r="AG96" i="16"/>
  <c r="AG97" i="16"/>
  <c r="AG98" i="16"/>
  <c r="AG99" i="16"/>
  <c r="AG100" i="16"/>
  <c r="AG101" i="16"/>
  <c r="AG102" i="16"/>
  <c r="AG103" i="16"/>
  <c r="AG104" i="16"/>
  <c r="AG105" i="16"/>
  <c r="AG106" i="16"/>
  <c r="AG107" i="16"/>
  <c r="AG108" i="16"/>
  <c r="AG109" i="16"/>
  <c r="AG110" i="16"/>
  <c r="AG111" i="16"/>
  <c r="AG112" i="16"/>
  <c r="AG113" i="16"/>
  <c r="AG114" i="16"/>
  <c r="AG115" i="16"/>
  <c r="AG116" i="16"/>
  <c r="AG117" i="16"/>
  <c r="AG118" i="16"/>
  <c r="AG119" i="16"/>
  <c r="AG120" i="16"/>
  <c r="AG121" i="16"/>
  <c r="AG122" i="16"/>
  <c r="AG123" i="16"/>
  <c r="AG124" i="16"/>
  <c r="AG125" i="16"/>
  <c r="AG126" i="16"/>
  <c r="AG127" i="16"/>
  <c r="AG128" i="16"/>
  <c r="AG129" i="16"/>
  <c r="AG130" i="16"/>
  <c r="AG131" i="16"/>
  <c r="AG132" i="16"/>
  <c r="AG133" i="16"/>
  <c r="AG134" i="16"/>
  <c r="AG135" i="16"/>
  <c r="AG136" i="16"/>
  <c r="AG137" i="16"/>
  <c r="AG138" i="16"/>
  <c r="AG139" i="16"/>
  <c r="AG140" i="16"/>
  <c r="AG141" i="16"/>
  <c r="AG142" i="16"/>
  <c r="AG143" i="16"/>
  <c r="AG144" i="16"/>
  <c r="AG145" i="16"/>
  <c r="AG146" i="16"/>
  <c r="AG147" i="16"/>
  <c r="AG148" i="16"/>
  <c r="AG149" i="16"/>
  <c r="AG150" i="16"/>
  <c r="AG151" i="16"/>
  <c r="AG152" i="16"/>
  <c r="AG153" i="16"/>
  <c r="AG154" i="16"/>
  <c r="AG155" i="16"/>
  <c r="AG156" i="16"/>
  <c r="AG157" i="16"/>
  <c r="AG158" i="16"/>
  <c r="AG159" i="16"/>
  <c r="AG160" i="16"/>
  <c r="AG161" i="16"/>
  <c r="AG162" i="16"/>
  <c r="AG163" i="16"/>
  <c r="AG164" i="16"/>
  <c r="AG165" i="16"/>
  <c r="AG166" i="16"/>
  <c r="AG167" i="16"/>
  <c r="AG168" i="16"/>
  <c r="AG169" i="16"/>
  <c r="AG170" i="16"/>
  <c r="AG171" i="16"/>
  <c r="AG172" i="16"/>
  <c r="AG173" i="16"/>
  <c r="AG174" i="16"/>
  <c r="AG175" i="16"/>
  <c r="AG176" i="16"/>
  <c r="AG177" i="16"/>
  <c r="AG178" i="16"/>
  <c r="AG179" i="16"/>
  <c r="AG180" i="16"/>
  <c r="AG181" i="16"/>
  <c r="AG182" i="16"/>
  <c r="AG183" i="16"/>
  <c r="AG184" i="16"/>
  <c r="AG185" i="16"/>
  <c r="AG186" i="16"/>
  <c r="AG187" i="16"/>
  <c r="AG188" i="16"/>
  <c r="AG189" i="16"/>
  <c r="AG190" i="16"/>
  <c r="AG191" i="16"/>
  <c r="AG192" i="16"/>
  <c r="AG193" i="16"/>
  <c r="AG194" i="16"/>
  <c r="AG195" i="16"/>
  <c r="AG196" i="16"/>
  <c r="AG197" i="16"/>
  <c r="AG198" i="16"/>
  <c r="AG199" i="16"/>
  <c r="AG200" i="16"/>
  <c r="AG201" i="16"/>
  <c r="AG202" i="16"/>
  <c r="AG203" i="16"/>
  <c r="AG204" i="16"/>
  <c r="AG205" i="16"/>
  <c r="AG206" i="16"/>
  <c r="AG207" i="16"/>
  <c r="AG208" i="16"/>
  <c r="AG209" i="16"/>
  <c r="AG210" i="16"/>
  <c r="AG211" i="16"/>
  <c r="AG212" i="16"/>
  <c r="AG213" i="16"/>
  <c r="AG214" i="16"/>
  <c r="AG215" i="16"/>
  <c r="AG216" i="16"/>
  <c r="AG217" i="16"/>
  <c r="AG218" i="16"/>
  <c r="AG219" i="16"/>
  <c r="AG220" i="16"/>
  <c r="AG221" i="16"/>
  <c r="AG222" i="16"/>
  <c r="AG223" i="16"/>
  <c r="AG224" i="16"/>
  <c r="AG225" i="16"/>
  <c r="AG226" i="16"/>
  <c r="AG227" i="16"/>
  <c r="AG228" i="16"/>
  <c r="AG229" i="16"/>
  <c r="AG230" i="16"/>
  <c r="AG231" i="16"/>
  <c r="AG232" i="16"/>
  <c r="AG233" i="16"/>
  <c r="AG234" i="16"/>
  <c r="AG235" i="16"/>
  <c r="AG236" i="16"/>
  <c r="AG237" i="16"/>
  <c r="AG238" i="16"/>
  <c r="AG239" i="16"/>
  <c r="AG240" i="16"/>
  <c r="AG241" i="16"/>
  <c r="AG242" i="16"/>
  <c r="AG243" i="16"/>
  <c r="AG244" i="16"/>
  <c r="AG245" i="16"/>
  <c r="AG246" i="16"/>
  <c r="AG247" i="16"/>
  <c r="AG248" i="16"/>
  <c r="AG249" i="16"/>
  <c r="AG250" i="16"/>
  <c r="AG251" i="16"/>
  <c r="AG252" i="16"/>
  <c r="AG253" i="16"/>
  <c r="AG254" i="16"/>
  <c r="AG255" i="16"/>
  <c r="AG256" i="16"/>
  <c r="AG257" i="16"/>
  <c r="AG258" i="16"/>
  <c r="AG259" i="16"/>
  <c r="AG260" i="16"/>
  <c r="AG261" i="16"/>
  <c r="AG262" i="16"/>
  <c r="AG263" i="16"/>
  <c r="AG264" i="16"/>
  <c r="AG265" i="16"/>
  <c r="AG266" i="16"/>
  <c r="AG267" i="16"/>
  <c r="AG268" i="16"/>
  <c r="AG269" i="16"/>
  <c r="AG270" i="16"/>
  <c r="AG271" i="16"/>
  <c r="AG272" i="16"/>
  <c r="AG273" i="16"/>
  <c r="AG274" i="16"/>
  <c r="AG275" i="16"/>
  <c r="AG276" i="16"/>
  <c r="AG277" i="16"/>
  <c r="AG278" i="16"/>
  <c r="AG279" i="16"/>
  <c r="AG280" i="16"/>
  <c r="AG281" i="16"/>
  <c r="AG282" i="16"/>
  <c r="AG283" i="16"/>
  <c r="AG284" i="16"/>
  <c r="AG285" i="16"/>
  <c r="AG286" i="16"/>
  <c r="AG287" i="16"/>
  <c r="AG288" i="16"/>
  <c r="AG289" i="16"/>
  <c r="AG290" i="16"/>
  <c r="AG291" i="16"/>
  <c r="AG292" i="16"/>
  <c r="AG293" i="16"/>
  <c r="AG294" i="16"/>
  <c r="AG295" i="16"/>
  <c r="AG296" i="16"/>
  <c r="AG297" i="16"/>
  <c r="AG298" i="16"/>
  <c r="AG299" i="16"/>
  <c r="AG300" i="16"/>
  <c r="AG301" i="16"/>
  <c r="AG302" i="16"/>
  <c r="AG303" i="16"/>
  <c r="AG304" i="16"/>
  <c r="AG305" i="16"/>
  <c r="AG306" i="16"/>
  <c r="AG307" i="16"/>
  <c r="AG308" i="16"/>
  <c r="AG309" i="16"/>
  <c r="AG310" i="16"/>
  <c r="AG311" i="16"/>
  <c r="AG312" i="16"/>
  <c r="AG313" i="16"/>
  <c r="F10" i="8"/>
  <c r="F11" i="8" l="1"/>
  <c r="I7" i="7" l="1" a="1"/>
  <c r="I7" i="7" l="1"/>
  <c r="B42" i="13" a="1"/>
  <c r="B42" i="13" s="1"/>
  <c r="D41" i="13" l="1" a="1"/>
  <c r="D41" i="13" s="1"/>
  <c r="B47" i="13" l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F45" i="13"/>
  <c r="G45" i="13" s="1"/>
  <c r="H45" i="13" s="1"/>
  <c r="I45" i="13" s="1"/>
  <c r="J45" i="13" s="1"/>
  <c r="K45" i="13" s="1"/>
  <c r="L45" i="13" s="1"/>
  <c r="M45" i="13" s="1"/>
  <c r="N45" i="13" s="1"/>
  <c r="C39" i="13" a="1"/>
  <c r="H40" i="13" s="1"/>
  <c r="G38" i="13"/>
  <c r="H38" i="13" s="1"/>
  <c r="I38" i="13" s="1"/>
  <c r="J38" i="13" s="1"/>
  <c r="K38" i="13" s="1"/>
  <c r="L38" i="13" s="1"/>
  <c r="M38" i="13" s="1"/>
  <c r="N38" i="13" s="1"/>
  <c r="F38" i="13"/>
  <c r="F26" i="13"/>
  <c r="G26" i="13" s="1"/>
  <c r="H26" i="13" s="1"/>
  <c r="I26" i="13" s="1"/>
  <c r="J26" i="13" s="1"/>
  <c r="K26" i="13" s="1"/>
  <c r="L26" i="13" s="1"/>
  <c r="M26" i="13" s="1"/>
  <c r="N26" i="13" s="1"/>
  <c r="J23" i="13"/>
  <c r="I23" i="13"/>
  <c r="H23" i="13"/>
  <c r="G23" i="13"/>
  <c r="F23" i="13"/>
  <c r="E23" i="13"/>
  <c r="C179" i="13" a="1"/>
  <c r="C184" i="13" a="1"/>
  <c r="C193" i="13" a="1"/>
  <c r="C202" i="13" a="1"/>
  <c r="C211" i="13" a="1"/>
  <c r="C216" i="13" a="1"/>
  <c r="C225" i="13" a="1"/>
  <c r="C234" i="13" a="1"/>
  <c r="C243" i="13" a="1"/>
  <c r="C248" i="13" a="1"/>
  <c r="C257" i="13" a="1"/>
  <c r="C266" i="13" a="1"/>
  <c r="C275" i="13" a="1"/>
  <c r="C280" i="13" a="1"/>
  <c r="C289" i="13" a="1"/>
  <c r="C298" i="13" a="1"/>
  <c r="C307" i="13" a="1"/>
  <c r="C312" i="13" a="1"/>
  <c r="C321" i="13" a="1"/>
  <c r="C330" i="13" a="1"/>
  <c r="C339" i="13" a="1"/>
  <c r="C344" i="13" a="1"/>
  <c r="C180" i="13" a="1"/>
  <c r="C198" i="13" a="1"/>
  <c r="C212" i="13" a="1"/>
  <c r="C221" i="13" a="1"/>
  <c r="C239" i="13" a="1"/>
  <c r="C253" i="13" a="1"/>
  <c r="C271" i="13" a="1"/>
  <c r="C285" i="13" a="1"/>
  <c r="C294" i="13" a="1"/>
  <c r="C308" i="13" a="1"/>
  <c r="C326" i="13" a="1"/>
  <c r="C340" i="13" a="1"/>
  <c r="C217" i="13" a="1"/>
  <c r="C249" i="13" a="1"/>
  <c r="C175" i="13" a="1"/>
  <c r="C189" i="13" a="1"/>
  <c r="C207" i="13" a="1"/>
  <c r="C230" i="13" a="1"/>
  <c r="C244" i="13" a="1"/>
  <c r="C262" i="13" a="1"/>
  <c r="C276" i="13" a="1"/>
  <c r="C303" i="13" a="1"/>
  <c r="C317" i="13" a="1"/>
  <c r="C335" i="13" a="1"/>
  <c r="C240" i="13" a="1"/>
  <c r="C171" i="13" a="1"/>
  <c r="C176" i="13" a="1"/>
  <c r="C185" i="13" a="1"/>
  <c r="C194" i="13" a="1"/>
  <c r="C203" i="13" a="1"/>
  <c r="C208" i="13" a="1"/>
  <c r="C226" i="13" a="1"/>
  <c r="C235" i="13" a="1"/>
  <c r="C172" i="13" a="1"/>
  <c r="C181" i="13" a="1"/>
  <c r="C190" i="13" a="1"/>
  <c r="C199" i="13" a="1"/>
  <c r="C204" i="13" a="1"/>
  <c r="C213" i="13" a="1"/>
  <c r="C222" i="13" a="1"/>
  <c r="C231" i="13" a="1"/>
  <c r="C236" i="13" a="1"/>
  <c r="C245" i="13" a="1"/>
  <c r="C254" i="13" a="1"/>
  <c r="C263" i="13" a="1"/>
  <c r="C268" i="13" a="1"/>
  <c r="C277" i="13" a="1"/>
  <c r="C286" i="13" a="1"/>
  <c r="C295" i="13" a="1"/>
  <c r="C300" i="13" a="1"/>
  <c r="C309" i="13" a="1"/>
  <c r="C318" i="13" a="1"/>
  <c r="C327" i="13" a="1"/>
  <c r="C332" i="13" a="1"/>
  <c r="C341" i="13" a="1"/>
  <c r="C191" i="13" a="1"/>
  <c r="C196" i="13" a="1"/>
  <c r="C205" i="13" a="1"/>
  <c r="C214" i="13" a="1"/>
  <c r="C223" i="13" a="1"/>
  <c r="C228" i="13" a="1"/>
  <c r="C237" i="13" a="1"/>
  <c r="C246" i="13" a="1"/>
  <c r="C255" i="13" a="1"/>
  <c r="C260" i="13" a="1"/>
  <c r="C269" i="13" a="1"/>
  <c r="C278" i="13" a="1"/>
  <c r="C287" i="13" a="1"/>
  <c r="C292" i="13" a="1"/>
  <c r="C301" i="13" a="1"/>
  <c r="C310" i="13" a="1"/>
  <c r="C319" i="13" a="1"/>
  <c r="C324" i="13" a="1"/>
  <c r="C333" i="13" a="1"/>
  <c r="C342" i="13" a="1"/>
  <c r="C177" i="13" a="1"/>
  <c r="C186" i="13" a="1"/>
  <c r="C195" i="13" a="1"/>
  <c r="C200" i="13" a="1"/>
  <c r="C209" i="13" a="1"/>
  <c r="C218" i="13" a="1"/>
  <c r="C227" i="13" a="1"/>
  <c r="C232" i="13" a="1"/>
  <c r="C241" i="13" a="1"/>
  <c r="C250" i="13" a="1"/>
  <c r="C259" i="13" a="1"/>
  <c r="C264" i="13" a="1"/>
  <c r="C273" i="13" a="1"/>
  <c r="C282" i="13" a="1"/>
  <c r="C291" i="13" a="1"/>
  <c r="C296" i="13" a="1"/>
  <c r="C305" i="13" a="1"/>
  <c r="C314" i="13" a="1"/>
  <c r="C323" i="13" a="1"/>
  <c r="C328" i="13" a="1"/>
  <c r="C337" i="13" a="1"/>
  <c r="C173" i="13" a="1"/>
  <c r="C182" i="13" a="1"/>
  <c r="C187" i="13" a="1"/>
  <c r="C224" i="13" a="1"/>
  <c r="C242" i="13" a="1"/>
  <c r="C281" i="13" a="1"/>
  <c r="C293" i="13" a="1"/>
  <c r="C306" i="13" a="1"/>
  <c r="C334" i="13" a="1"/>
  <c r="C178" i="13" a="1"/>
  <c r="C311" i="13" a="1"/>
  <c r="C265" i="13" a="1"/>
  <c r="C338" i="13" a="1"/>
  <c r="C290" i="13" a="1"/>
  <c r="C183" i="13" a="1"/>
  <c r="C267" i="13" a="1"/>
  <c r="C316" i="13" a="1"/>
  <c r="C188" i="13" a="1"/>
  <c r="C206" i="13" a="1"/>
  <c r="C258" i="13" a="1"/>
  <c r="C270" i="13" a="1"/>
  <c r="C283" i="13" a="1"/>
  <c r="C320" i="13" a="1"/>
  <c r="C331" i="13" a="1"/>
  <c r="C343" i="13" a="1"/>
  <c r="C192" i="13" a="1"/>
  <c r="C210" i="13" a="1"/>
  <c r="C272" i="13" a="1"/>
  <c r="C284" i="13" a="1"/>
  <c r="C297" i="13" a="1"/>
  <c r="C345" i="13" a="1"/>
  <c r="C174" i="13" a="1"/>
  <c r="C229" i="13" a="1"/>
  <c r="C247" i="13" a="1"/>
  <c r="C261" i="13" a="1"/>
  <c r="C274" i="13" a="1"/>
  <c r="C322" i="13" a="1"/>
  <c r="C233" i="13" a="1"/>
  <c r="C288" i="13" a="1"/>
  <c r="C299" i="13" a="1"/>
  <c r="C215" i="13" a="1"/>
  <c r="C252" i="13" a="1"/>
  <c r="C325" i="13" a="1"/>
  <c r="C219" i="13" a="1"/>
  <c r="C302" i="13" a="1"/>
  <c r="C220" i="13" a="1"/>
  <c r="C256" i="13" a="1"/>
  <c r="C279" i="13" a="1"/>
  <c r="C304" i="13" a="1"/>
  <c r="C329" i="13" a="1"/>
  <c r="C251" i="13" a="1"/>
  <c r="C336" i="13" a="1"/>
  <c r="C197" i="13" a="1"/>
  <c r="C313" i="13" a="1"/>
  <c r="C201" i="13" a="1"/>
  <c r="C315" i="13" a="1"/>
  <c r="C238" i="13" a="1"/>
  <c r="C139" i="13" a="1"/>
  <c r="C144" i="13" a="1"/>
  <c r="C148" i="13" a="1"/>
  <c r="C48" i="13" a="1"/>
  <c r="C122" i="13" a="1"/>
  <c r="C140" i="13" a="1"/>
  <c r="C91" i="13" a="1"/>
  <c r="C158" i="13" a="1"/>
  <c r="C64" i="13" a="1"/>
  <c r="C109" i="13" a="1"/>
  <c r="C107" i="13" a="1"/>
  <c r="C63" i="13" a="1"/>
  <c r="C169" i="13" a="1"/>
  <c r="C59" i="13" a="1"/>
  <c r="C156" i="13" a="1"/>
  <c r="C108" i="13" a="1"/>
  <c r="C117" i="13" a="1"/>
  <c r="C75" i="13" a="1"/>
  <c r="C96" i="13" a="1"/>
  <c r="C57" i="13" a="1"/>
  <c r="C55" i="13" a="1"/>
  <c r="C149" i="13" a="1"/>
  <c r="C46" i="13" a="1"/>
  <c r="C53" i="13" a="1"/>
  <c r="C94" i="13" a="1"/>
  <c r="C77" i="13" a="1"/>
  <c r="C138" i="13" a="1"/>
  <c r="C142" i="13" a="1"/>
  <c r="C87" i="13" a="1"/>
  <c r="C66" i="13" a="1"/>
  <c r="C119" i="13" a="1"/>
  <c r="C98" i="13" a="1"/>
  <c r="C103" i="13" a="1"/>
  <c r="C153" i="13" a="1"/>
  <c r="C131" i="13" a="1"/>
  <c r="C84" i="13" a="1"/>
  <c r="C88" i="13" a="1"/>
  <c r="C159" i="13" a="1"/>
  <c r="C126" i="13" a="1"/>
  <c r="C166" i="13" a="1"/>
  <c r="C124" i="13" a="1"/>
  <c r="C78" i="13" a="1"/>
  <c r="C60" i="13" a="1"/>
  <c r="C145" i="13" a="1"/>
  <c r="C116" i="13" a="1"/>
  <c r="C67" i="13" a="1"/>
  <c r="C118" i="13" a="1"/>
  <c r="C49" i="13" a="1"/>
  <c r="C136" i="13" a="1"/>
  <c r="C83" i="13" a="1"/>
  <c r="C141" i="13" a="1"/>
  <c r="C101" i="13" a="1"/>
  <c r="C129" i="13" a="1"/>
  <c r="C147" i="13" a="1"/>
  <c r="C155" i="13" a="1"/>
  <c r="C79" i="13" a="1"/>
  <c r="C85" i="13" a="1"/>
  <c r="C110" i="13" a="1"/>
  <c r="C113" i="13" a="1"/>
  <c r="C81" i="13" a="1"/>
  <c r="C52" i="13" a="1"/>
  <c r="C133" i="13" a="1"/>
  <c r="C47" i="13" a="1"/>
  <c r="C73" i="13" a="1"/>
  <c r="C102" i="13" a="1"/>
  <c r="C68" i="13" a="1"/>
  <c r="C114" i="13" a="1"/>
  <c r="C112" i="13" a="1"/>
  <c r="C76" i="13" a="1"/>
  <c r="C89" i="13" a="1"/>
  <c r="C160" i="13" a="1"/>
  <c r="C61" i="13" a="1"/>
  <c r="C111" i="13" a="1"/>
  <c r="C150" i="13" a="1"/>
  <c r="C146" i="13" a="1"/>
  <c r="C120" i="13" a="1"/>
  <c r="C93" i="13" a="1"/>
  <c r="C161" i="13" a="1"/>
  <c r="C170" i="13" a="1"/>
  <c r="C105" i="13" a="1"/>
  <c r="C164" i="13" a="1"/>
  <c r="C162" i="13" a="1"/>
  <c r="C100" i="13" a="1"/>
  <c r="C56" i="13" a="1"/>
  <c r="C115" i="13" a="1"/>
  <c r="C123" i="13" a="1"/>
  <c r="C167" i="13" a="1"/>
  <c r="C58" i="13" a="1"/>
  <c r="C128" i="13" a="1"/>
  <c r="C82" i="13" a="1"/>
  <c r="C69" i="13" a="1"/>
  <c r="C80" i="13" a="1"/>
  <c r="C165" i="13" a="1"/>
  <c r="C92" i="13" a="1"/>
  <c r="C151" i="13" a="1"/>
  <c r="C168" i="13" a="1"/>
  <c r="C62" i="13" a="1"/>
  <c r="C157" i="13" a="1"/>
  <c r="C125" i="13" a="1"/>
  <c r="C134" i="13" a="1"/>
  <c r="C135" i="13" a="1"/>
  <c r="C104" i="13" a="1"/>
  <c r="C71" i="13" a="1"/>
  <c r="C74" i="13" a="1"/>
  <c r="C132" i="13" a="1"/>
  <c r="C65" i="13" a="1"/>
  <c r="C70" i="13" a="1"/>
  <c r="C90" i="13" a="1"/>
  <c r="C99" i="13" a="1"/>
  <c r="C50" i="13" a="1"/>
  <c r="C86" i="13" a="1"/>
  <c r="C106" i="13" a="1"/>
  <c r="C97" i="13" a="1"/>
  <c r="C137" i="13" a="1"/>
  <c r="C154" i="13" a="1"/>
  <c r="C143" i="13" a="1"/>
  <c r="C72" i="13" a="1"/>
  <c r="C127" i="13" a="1"/>
  <c r="C54" i="13" a="1"/>
  <c r="C152" i="13" a="1"/>
  <c r="C51" i="13" a="1"/>
  <c r="C121" i="13" a="1"/>
  <c r="C130" i="13" a="1"/>
  <c r="C95" i="13" a="1"/>
  <c r="C163" i="13" a="1"/>
  <c r="C238" i="13" l="1"/>
  <c r="C110" i="13"/>
  <c r="C315" i="13"/>
  <c r="C201" i="13"/>
  <c r="C89" i="13"/>
  <c r="C313" i="13"/>
  <c r="C197" i="13"/>
  <c r="C336" i="13"/>
  <c r="C251" i="13"/>
  <c r="C62" i="13"/>
  <c r="C329" i="13"/>
  <c r="C304" i="13"/>
  <c r="C279" i="13"/>
  <c r="C256" i="13"/>
  <c r="C220" i="13"/>
  <c r="C165" i="13"/>
  <c r="C302" i="13"/>
  <c r="C219" i="13"/>
  <c r="C128" i="13"/>
  <c r="C67" i="13"/>
  <c r="C325" i="13"/>
  <c r="C252" i="13"/>
  <c r="C215" i="13"/>
  <c r="C124" i="13"/>
  <c r="C299" i="13"/>
  <c r="C288" i="13"/>
  <c r="C233" i="13"/>
  <c r="C160" i="13"/>
  <c r="C83" i="13"/>
  <c r="C322" i="13"/>
  <c r="C274" i="13"/>
  <c r="C261" i="13"/>
  <c r="C247" i="13"/>
  <c r="C229" i="13"/>
  <c r="C174" i="13"/>
  <c r="C156" i="13"/>
  <c r="C119" i="13"/>
  <c r="C345" i="13"/>
  <c r="C297" i="13"/>
  <c r="C284" i="13"/>
  <c r="C272" i="13"/>
  <c r="C210" i="13"/>
  <c r="C192" i="13"/>
  <c r="C155" i="13"/>
  <c r="C137" i="13"/>
  <c r="C99" i="13"/>
  <c r="C78" i="13"/>
  <c r="C57" i="13"/>
  <c r="C343" i="13"/>
  <c r="C331" i="13"/>
  <c r="C320" i="13"/>
  <c r="C283" i="13"/>
  <c r="C270" i="13"/>
  <c r="C258" i="13"/>
  <c r="C206" i="13"/>
  <c r="C188" i="13"/>
  <c r="C151" i="13"/>
  <c r="C133" i="13"/>
  <c r="C316" i="13"/>
  <c r="C267" i="13"/>
  <c r="C183" i="13"/>
  <c r="C290" i="13"/>
  <c r="C146" i="13"/>
  <c r="C338" i="13"/>
  <c r="C265" i="13"/>
  <c r="C142" i="13"/>
  <c r="C311" i="13"/>
  <c r="C178" i="13"/>
  <c r="C123" i="13"/>
  <c r="C105" i="13"/>
  <c r="C334" i="13"/>
  <c r="C306" i="13"/>
  <c r="C293" i="13"/>
  <c r="C281" i="13"/>
  <c r="C242" i="13"/>
  <c r="C224" i="13"/>
  <c r="C187" i="13"/>
  <c r="C169" i="13"/>
  <c r="C114" i="13"/>
  <c r="C94" i="13"/>
  <c r="C73" i="13"/>
  <c r="C51" i="13"/>
  <c r="C182" i="13"/>
  <c r="C173" i="13"/>
  <c r="C164" i="13"/>
  <c r="C159" i="13"/>
  <c r="C150" i="13"/>
  <c r="C141" i="13"/>
  <c r="C132" i="13"/>
  <c r="C127" i="13"/>
  <c r="C118" i="13"/>
  <c r="C109" i="13"/>
  <c r="C337" i="13"/>
  <c r="C328" i="13"/>
  <c r="C323" i="13"/>
  <c r="C314" i="13"/>
  <c r="C305" i="13"/>
  <c r="C296" i="13"/>
  <c r="C291" i="13"/>
  <c r="C282" i="13"/>
  <c r="C273" i="13"/>
  <c r="C264" i="13"/>
  <c r="C259" i="13"/>
  <c r="C250" i="13"/>
  <c r="C241" i="13"/>
  <c r="C232" i="13"/>
  <c r="C227" i="13"/>
  <c r="C218" i="13"/>
  <c r="C209" i="13"/>
  <c r="C200" i="13"/>
  <c r="C195" i="13"/>
  <c r="C186" i="13"/>
  <c r="C177" i="13"/>
  <c r="C168" i="13"/>
  <c r="C163" i="13"/>
  <c r="C154" i="13"/>
  <c r="C145" i="13"/>
  <c r="C136" i="13"/>
  <c r="C131" i="13"/>
  <c r="C122" i="13"/>
  <c r="C113" i="13"/>
  <c r="C103" i="13"/>
  <c r="C98" i="13"/>
  <c r="C93" i="13"/>
  <c r="C87" i="13"/>
  <c r="C82" i="13"/>
  <c r="C77" i="13"/>
  <c r="C71" i="13"/>
  <c r="C66" i="13"/>
  <c r="C61" i="13"/>
  <c r="C55" i="13"/>
  <c r="C50" i="13"/>
  <c r="C342" i="13"/>
  <c r="C333" i="13"/>
  <c r="C324" i="13"/>
  <c r="C319" i="13"/>
  <c r="C310" i="13"/>
  <c r="C301" i="13"/>
  <c r="C292" i="13"/>
  <c r="C287" i="13"/>
  <c r="C278" i="13"/>
  <c r="C269" i="13"/>
  <c r="C260" i="13"/>
  <c r="C255" i="13"/>
  <c r="C246" i="13"/>
  <c r="C237" i="13"/>
  <c r="C228" i="13"/>
  <c r="C223" i="13"/>
  <c r="C214" i="13"/>
  <c r="C205" i="13"/>
  <c r="C196" i="13"/>
  <c r="C191" i="13"/>
  <c r="C46" i="13"/>
  <c r="C341" i="13"/>
  <c r="C332" i="13"/>
  <c r="C327" i="13"/>
  <c r="C318" i="13"/>
  <c r="C309" i="13"/>
  <c r="C300" i="13"/>
  <c r="C295" i="13"/>
  <c r="C286" i="13"/>
  <c r="C277" i="13"/>
  <c r="C268" i="13"/>
  <c r="C263" i="13"/>
  <c r="C254" i="13"/>
  <c r="C245" i="13"/>
  <c r="C236" i="13"/>
  <c r="C231" i="13"/>
  <c r="C222" i="13"/>
  <c r="C213" i="13"/>
  <c r="C204" i="13"/>
  <c r="C199" i="13"/>
  <c r="C190" i="13"/>
  <c r="C181" i="13"/>
  <c r="C172" i="13"/>
  <c r="C167" i="13"/>
  <c r="C158" i="13"/>
  <c r="C149" i="13"/>
  <c r="C140" i="13"/>
  <c r="C135" i="13"/>
  <c r="C126" i="13"/>
  <c r="C117" i="13"/>
  <c r="C108" i="13"/>
  <c r="C235" i="13"/>
  <c r="C226" i="13"/>
  <c r="C208" i="13"/>
  <c r="C203" i="13"/>
  <c r="C194" i="13"/>
  <c r="C185" i="13"/>
  <c r="C176" i="13"/>
  <c r="C171" i="13"/>
  <c r="C162" i="13"/>
  <c r="C153" i="13"/>
  <c r="C144" i="13"/>
  <c r="C139" i="13"/>
  <c r="C130" i="13"/>
  <c r="C121" i="13"/>
  <c r="C112" i="13"/>
  <c r="C107" i="13"/>
  <c r="C102" i="13"/>
  <c r="C97" i="13"/>
  <c r="C91" i="13"/>
  <c r="C86" i="13"/>
  <c r="C81" i="13"/>
  <c r="C75" i="13"/>
  <c r="C70" i="13"/>
  <c r="C65" i="13"/>
  <c r="C59" i="13"/>
  <c r="C54" i="13"/>
  <c r="C49" i="13"/>
  <c r="C240" i="13"/>
  <c r="C335" i="13"/>
  <c r="C317" i="13"/>
  <c r="C303" i="13"/>
  <c r="C276" i="13"/>
  <c r="C262" i="13"/>
  <c r="C244" i="13"/>
  <c r="C230" i="13"/>
  <c r="C207" i="13"/>
  <c r="C189" i="13"/>
  <c r="C175" i="13"/>
  <c r="C157" i="13"/>
  <c r="C143" i="13"/>
  <c r="C116" i="13"/>
  <c r="C111" i="13"/>
  <c r="C249" i="13"/>
  <c r="C217" i="13"/>
  <c r="C340" i="13"/>
  <c r="C326" i="13"/>
  <c r="C308" i="13"/>
  <c r="C294" i="13"/>
  <c r="C285" i="13"/>
  <c r="C271" i="13"/>
  <c r="C253" i="13"/>
  <c r="C239" i="13"/>
  <c r="C221" i="13"/>
  <c r="C212" i="13"/>
  <c r="C198" i="13"/>
  <c r="C180" i="13"/>
  <c r="C166" i="13"/>
  <c r="C148" i="13"/>
  <c r="C134" i="13"/>
  <c r="C125" i="13"/>
  <c r="C344" i="13"/>
  <c r="C339" i="13"/>
  <c r="C330" i="13"/>
  <c r="C321" i="13"/>
  <c r="C312" i="13"/>
  <c r="C307" i="13"/>
  <c r="C298" i="13"/>
  <c r="C289" i="13"/>
  <c r="C280" i="13"/>
  <c r="C275" i="13"/>
  <c r="C266" i="13"/>
  <c r="C257" i="13"/>
  <c r="C248" i="13"/>
  <c r="C243" i="13"/>
  <c r="C234" i="13"/>
  <c r="C225" i="13"/>
  <c r="C216" i="13"/>
  <c r="C211" i="13"/>
  <c r="C202" i="13"/>
  <c r="C193" i="13"/>
  <c r="C184" i="13"/>
  <c r="C179" i="13"/>
  <c r="C170" i="13"/>
  <c r="C161" i="13"/>
  <c r="C152" i="13"/>
  <c r="C147" i="13"/>
  <c r="C138" i="13"/>
  <c r="C129" i="13"/>
  <c r="C120" i="13"/>
  <c r="C115" i="13"/>
  <c r="C106" i="13"/>
  <c r="C101" i="13"/>
  <c r="C95" i="13"/>
  <c r="C90" i="13"/>
  <c r="C85" i="13"/>
  <c r="C79" i="13"/>
  <c r="C74" i="13"/>
  <c r="C69" i="13"/>
  <c r="C63" i="13"/>
  <c r="C58" i="13"/>
  <c r="C53" i="13"/>
  <c r="C47" i="13"/>
  <c r="C104" i="13"/>
  <c r="C100" i="13"/>
  <c r="C96" i="13"/>
  <c r="C92" i="13"/>
  <c r="C88" i="13"/>
  <c r="C84" i="13"/>
  <c r="C80" i="13"/>
  <c r="C76" i="13"/>
  <c r="C72" i="13"/>
  <c r="C68" i="13"/>
  <c r="C64" i="13"/>
  <c r="C60" i="13"/>
  <c r="C56" i="13"/>
  <c r="C52" i="13"/>
  <c r="C48" i="13"/>
  <c r="L40" i="13"/>
  <c r="K39" i="13"/>
  <c r="E39" i="13"/>
  <c r="M39" i="13"/>
  <c r="I40" i="13"/>
  <c r="C39" i="13"/>
  <c r="F39" i="13"/>
  <c r="N39" i="13"/>
  <c r="J40" i="13"/>
  <c r="H39" i="13"/>
  <c r="G39" i="13"/>
  <c r="K40" i="13"/>
  <c r="D40" i="13"/>
  <c r="I39" i="13"/>
  <c r="E40" i="13"/>
  <c r="M40" i="13"/>
  <c r="J39" i="13"/>
  <c r="F40" i="13"/>
  <c r="N40" i="13"/>
  <c r="C40" i="13"/>
  <c r="G40" i="13"/>
  <c r="D39" i="13"/>
  <c r="L39" i="13"/>
  <c r="AA24" i="2" l="1" a="1"/>
  <c r="AA24" i="2" s="1"/>
  <c r="AA25" i="2" a="1"/>
  <c r="AA25" i="2" s="1"/>
  <c r="AA26" i="2" a="1"/>
  <c r="AA26" i="2" s="1"/>
  <c r="AA27" i="2" a="1"/>
  <c r="AA27" i="2" s="1"/>
  <c r="AA22" i="2" a="1"/>
  <c r="AA22" i="2" s="1"/>
  <c r="V9" i="2" a="1"/>
  <c r="V9" i="2" s="1"/>
  <c r="V7" i="2" a="1"/>
  <c r="V7" i="2" s="1"/>
  <c r="M22" i="2" a="1"/>
  <c r="P22" i="2" a="1"/>
  <c r="M26" i="2" a="1"/>
  <c r="G7" i="2" a="1"/>
  <c r="J7" i="2" a="1"/>
  <c r="G9" i="2" a="1"/>
  <c r="M25" i="2" a="1"/>
  <c r="M24" i="2" a="1"/>
  <c r="M27" i="2" a="1"/>
  <c r="M27" i="2" l="1"/>
  <c r="P22" i="2"/>
  <c r="G7" i="2"/>
  <c r="M24" i="2"/>
  <c r="G9" i="2"/>
  <c r="J7" i="2"/>
  <c r="M26" i="2"/>
  <c r="M22" i="2"/>
  <c r="M25" i="2"/>
  <c r="C1" i="6" a="1"/>
  <c r="C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EBL</author>
    <author>AMASCIA</author>
  </authors>
  <commentList>
    <comment ref="C6" authorId="0" shapeId="0" xr:uid="{5AC1226D-ACD6-41FD-B65F-A74478D89A45}">
      <text>
        <r>
          <rPr>
            <b/>
            <sz val="8"/>
            <color indexed="81"/>
            <rFont val="Tahoma"/>
            <family val="2"/>
          </rPr>
          <t>SG:</t>
        </r>
        <r>
          <rPr>
            <sz val="8"/>
            <color indexed="81"/>
            <rFont val="Tahoma"/>
            <family val="2"/>
          </rPr>
          <t xml:space="preserve">
True for quarterly IMM date (20 March, June, Sept and Dec)
False for S/A (20 June or 20 dec)</t>
        </r>
      </text>
    </comment>
    <comment ref="B10" authorId="1" shapeId="0" xr:uid="{434CF6E8-9DBB-4271-8C6C-AC8F1213CC7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  <comment ref="B11" authorId="1" shapeId="0" xr:uid="{A77A6EAE-3B6D-463F-A97C-295298684C5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akhedher070405</author>
    <author>SG - Emmanuel</author>
  </authors>
  <commentList>
    <comment ref="C11" authorId="0" shapeId="0" xr:uid="{3066F1D6-7049-4551-AAFA-1D2CDF383C37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C12" authorId="0" shapeId="0" xr:uid="{4BD8D80D-C16C-44B6-A397-CD2C7CE23F32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5" authorId="1" shapeId="0" xr:uid="{6F924B12-1FA3-43F2-8860-320D67C8E39A}">
      <text>
        <r>
          <rPr>
            <b/>
            <sz val="8"/>
            <color indexed="81"/>
            <rFont val="Tahoma"/>
            <family val="2"/>
          </rPr>
          <t>SG:
Currency of the CDS being priced.
If left blank, CDS will have the same currency as the Issuer</t>
        </r>
      </text>
    </comment>
    <comment ref="C28" authorId="0" shapeId="0" xr:uid="{2A5F2622-E357-4D11-B34F-2A612B0B498F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B32" authorId="2" shapeId="0" xr:uid="{EB429E17-F46E-4F88-ABA3-50B36993D00C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E&amp;P</author>
    <author>f.jordan-stagiaire</author>
    <author>akhedher070405</author>
    <author>Francois Jordan</author>
    <author>TLAUNAY</author>
    <author>SG - Emmanuel</author>
  </authors>
  <commentList>
    <comment ref="I8" authorId="0" shapeId="0" xr:uid="{7D0FAF4D-D2D0-4ACC-872A-F6A9B33270AF}">
      <text>
        <r>
          <rPr>
            <b/>
            <sz val="8"/>
            <color indexed="81"/>
            <rFont val="Tahoma"/>
            <family val="2"/>
          </rPr>
          <t>In currency amount.
Not in percentage of portfolio, neither in % of tranche notional amount.</t>
        </r>
      </text>
    </comment>
    <comment ref="J8" authorId="1" shapeId="0" xr:uid="{C5FFF97F-39D3-4091-A32A-8ECE051A0175}">
      <text>
        <r>
          <rPr>
            <b/>
            <sz val="8"/>
            <color indexed="81"/>
            <rFont val="Tahoma"/>
            <family val="2"/>
          </rPr>
          <t>In % of the tranche</t>
        </r>
      </text>
    </comment>
    <comment ref="C12" authorId="0" shapeId="0" xr:uid="{D6B0B39E-5C80-47AE-B9C2-C00AE840E81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H12" authorId="2" shapeId="0" xr:uid="{C42A125E-C83C-49D4-9433-D569D8C4DF5E}">
      <text>
        <r>
          <rPr>
            <b/>
            <sz val="9"/>
            <color indexed="81"/>
            <rFont val="Tahoma"/>
            <family val="2"/>
          </rPr>
          <t>Change of the NPV when the spread (not the curve) is shocked by 1 bp , in bp</t>
        </r>
      </text>
    </comment>
    <comment ref="I14" authorId="0" shapeId="0" xr:uid="{47C0C90A-8741-4569-88F9-975751A61A85}">
      <text>
        <r>
          <rPr>
            <b/>
            <sz val="8"/>
            <color indexed="81"/>
            <rFont val="Tahoma"/>
            <family val="2"/>
          </rPr>
          <t>Change of NPV of CDO, when spread curve is shifted in parallel.</t>
        </r>
      </text>
    </comment>
    <comment ref="J14" authorId="0" shapeId="0" xr:uid="{8E84CE5B-348E-4F5D-9B49-9FC8D98BEAAB}">
      <text>
        <r>
          <rPr>
            <b/>
            <sz val="8"/>
            <color indexed="81"/>
            <rFont val="Tahoma"/>
            <family val="2"/>
          </rPr>
          <t>Change of NPV of hedging CDS, when spread curve is shifted in parallel.</t>
        </r>
      </text>
    </comment>
    <comment ref="K14" authorId="0" shapeId="0" xr:uid="{C254234E-DD5C-4573-B630-4DD652F1D6AA}">
      <text>
        <r>
          <rPr>
            <b/>
            <sz val="8"/>
            <color indexed="81"/>
            <rFont val="Tahoma"/>
            <family val="2"/>
          </rPr>
          <t>Delta in notional amount of CDS to sell.</t>
        </r>
      </text>
    </comment>
    <comment ref="L14" authorId="0" shapeId="0" xr:uid="{9D8A0D5E-C07E-4686-9504-5A84D244AD7D}">
      <text>
        <r>
          <rPr>
            <b/>
            <sz val="8"/>
            <color indexed="81"/>
            <rFont val="Tahoma"/>
            <family val="2"/>
          </rPr>
          <t>Delta in notional amount and in CDO currency of CDS to sell.</t>
        </r>
      </text>
    </comment>
    <comment ref="M14" authorId="3" shapeId="0" xr:uid="{B426C3B7-BCB8-4DC4-B315-E60FB476DF1C}">
      <text>
        <r>
          <rPr>
            <b/>
            <sz val="8"/>
            <color indexed="81"/>
            <rFont val="Tahoma"/>
            <family val="2"/>
          </rPr>
          <t>Change of NPV of CDO when Beta of each issuer up by 10 % point. (Not relative)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4" authorId="4" shapeId="0" xr:uid="{502065E0-C2F9-43E3-A06F-C3FC369CDA21}">
      <text>
        <r>
          <rPr>
            <b/>
            <sz val="8"/>
            <color indexed="81"/>
            <rFont val="Tahoma"/>
            <family val="2"/>
          </rPr>
          <t>Change of NPV of CDO, when the issuer is in default.</t>
        </r>
      </text>
    </comment>
    <comment ref="P14" authorId="4" shapeId="0" xr:uid="{03ECBD86-1117-48EC-94A1-D6FE33119148}">
      <text>
        <r>
          <rPr>
            <b/>
            <sz val="8"/>
            <color indexed="81"/>
            <rFont val="Tahoma"/>
            <family val="2"/>
          </rPr>
          <t>Change of NPV of hedging CDS, when the issuer is in default.</t>
        </r>
      </text>
    </comment>
    <comment ref="B19" authorId="5" shapeId="0" xr:uid="{96C96C38-78B1-4535-A641-258CF5911870}">
      <text>
        <r>
          <rPr>
            <b/>
            <sz val="8"/>
            <color indexed="81"/>
            <rFont val="Tahoma"/>
            <family val="2"/>
          </rPr>
          <t xml:space="preserve">Attachment Point, i.e. subordination amount.
In amount of currency.
Not in % of portfolio.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0" authorId="5" shapeId="0" xr:uid="{8859BCCD-0458-4717-9D35-CA1234DFB44B}">
      <text>
        <r>
          <rPr>
            <b/>
            <sz val="8"/>
            <color indexed="81"/>
            <rFont val="Tahoma"/>
            <family val="2"/>
          </rPr>
          <t>Detachment Point</t>
        </r>
        <r>
          <rPr>
            <sz val="8"/>
            <color indexed="81"/>
            <rFont val="Tahoma"/>
            <family val="2"/>
          </rPr>
          <t xml:space="preserve">
In amount of currency.
Not in % of the portfolio notional amount.</t>
        </r>
      </text>
    </comment>
    <comment ref="C29" authorId="0" shapeId="0" xr:uid="{ADD8B58B-38CF-4D7F-BEE0-D6DCB09717A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33" authorId="6" shapeId="0" xr:uid="{7695B3EB-C9B3-4AB5-A1B9-3986D9DBF7C5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  <comment ref="B36" authorId="1" shapeId="0" xr:uid="{C19FC2BE-C06E-41F8-8D01-739C14CC8DA4}">
      <text>
        <r>
          <rPr>
            <b/>
            <sz val="8"/>
            <color indexed="81"/>
            <rFont val="Tahoma"/>
            <family val="2"/>
          </rPr>
          <t>Optional - Discretization of the loss amounts</t>
        </r>
      </text>
    </comment>
    <comment ref="E38" authorId="0" shapeId="0" xr:uid="{A76D7334-D41E-4F9C-956E-79AC85DEC06F}">
      <text>
        <r>
          <rPr>
            <b/>
            <sz val="8"/>
            <color indexed="81"/>
            <rFont val="Tahoma"/>
            <family val="2"/>
          </rPr>
          <t>Beta Addon of each issuer with respect to the systemic factor, to be added to the Base beta for low and high strikes.</t>
        </r>
      </text>
    </comment>
    <comment ref="F38" authorId="1" shapeId="0" xr:uid="{4F7E3EE9-087A-4C57-B45B-0C5F82CF1D08}">
      <text>
        <r>
          <rPr>
            <b/>
            <sz val="8"/>
            <color indexed="81"/>
            <rFont val="Tahoma"/>
            <family val="2"/>
          </rPr>
          <t>Optional. Recovery Rate upon default or, is left blank, market recovery rate</t>
        </r>
      </text>
    </comment>
    <comment ref="G38" authorId="1" shapeId="0" xr:uid="{DC82836A-370F-4188-A252-99FBCD97D406}">
      <text>
        <r>
          <rPr>
            <b/>
            <sz val="8"/>
            <color indexed="81"/>
            <rFont val="Tahoma"/>
            <family val="2"/>
          </rPr>
          <t>Standard coupon spread expressed in bps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Francois Jordan</author>
    <author>f.jordan-stagiaire</author>
  </authors>
  <commentList>
    <comment ref="X10" authorId="0" shapeId="0" xr:uid="{C1B94F4B-9B32-406A-9AB4-7102A95B7AB2}">
      <text>
        <r>
          <rPr>
            <b/>
            <sz val="9"/>
            <color indexed="81"/>
            <rFont val="Tahoma"/>
            <family val="2"/>
          </rPr>
          <t>See more details at 22.45</t>
        </r>
      </text>
    </comment>
    <comment ref="X11" authorId="0" shapeId="0" xr:uid="{31251269-29F9-4C95-ADD1-B5FE52E99A48}">
      <text>
        <r>
          <rPr>
            <b/>
            <sz val="9"/>
            <color indexed="81"/>
            <rFont val="Tahoma"/>
            <family val="2"/>
          </rPr>
          <t>See more details at 22.44</t>
        </r>
      </text>
    </comment>
    <comment ref="X12" authorId="0" shapeId="0" xr:uid="{4372E3FA-FD87-4365-8669-7812A5E7F7C5}">
      <text>
        <r>
          <rPr>
            <b/>
            <sz val="9"/>
            <color indexed="81"/>
            <rFont val="Tahoma"/>
            <family val="2"/>
          </rPr>
          <t>For details of the calculation, see 22.23</t>
        </r>
      </text>
    </comment>
    <comment ref="X13" authorId="1" shapeId="0" xr:uid="{7039949A-AF64-4E7C-8CC8-C97D9473197F}">
      <text>
        <r>
          <rPr>
            <b/>
            <sz val="9"/>
            <color indexed="81"/>
            <rFont val="Tahoma"/>
            <family val="2"/>
          </rPr>
          <t>JTD is only the MTM, see 22.27 for more details</t>
        </r>
      </text>
    </comment>
    <comment ref="Y13" authorId="1" shapeId="0" xr:uid="{CCD69AB6-4A97-42FC-BD35-E2073E420A2B}">
      <text>
        <r>
          <rPr>
            <b/>
            <sz val="9"/>
            <color indexed="81"/>
            <rFont val="Tahoma"/>
            <family val="2"/>
          </rPr>
          <t xml:space="preserve">LGD is supposed to be fixed at 75% (see 22.12 FAQ), we're short exposure (seller of protection), notional is negative and P&amp;L is positive (22.13), 22,14 describe the calculation </t>
        </r>
      </text>
    </comment>
    <comment ref="BB13" authorId="1" shapeId="0" xr:uid="{02B2F1D8-1261-43C5-B161-3B5E2CC89C1C}">
      <text>
        <r>
          <rPr>
            <b/>
            <sz val="9"/>
            <color indexed="81"/>
            <rFont val="Tahoma"/>
            <family val="2"/>
          </rPr>
          <t>Delta is computed if conditions are respected (see 21.4)</t>
        </r>
      </text>
    </comment>
    <comment ref="B24" authorId="1" shapeId="0" xr:uid="{AEE6D2F6-A1AB-4337-9291-D0D0865C9A20}">
      <text>
        <r>
          <rPr>
            <b/>
            <sz val="9"/>
            <color indexed="81"/>
            <rFont val="Tahoma"/>
            <family val="2"/>
          </rPr>
          <t>See 21,54 , name and curves are not differentiated</t>
        </r>
      </text>
    </comment>
    <comment ref="E24" authorId="1" shapeId="0" xr:uid="{7282FD5B-7212-4632-99C8-B894CFEB2C25}">
      <text>
        <r>
          <rPr>
            <b/>
            <sz val="9"/>
            <color indexed="81"/>
            <rFont val="Tahoma"/>
            <family val="2"/>
          </rPr>
          <t>S&amp;P or Fitch rating format only. D if Default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</authors>
  <commentList>
    <comment ref="C6" authorId="0" shapeId="0" xr:uid="{5BBE2892-DE2E-43AC-A24E-BF2305CE5028}">
      <text>
        <r>
          <rPr>
            <b/>
            <sz val="8"/>
            <color indexed="81"/>
            <rFont val="Tahoma"/>
            <family val="2"/>
          </rPr>
          <t>Number of Monte Carlo simulations.
2000 to 5000 is sufficient to obtain a reasonably good convergence thanks to the combination of low-discrepancy random generators combined with control variate.</t>
        </r>
      </text>
    </comment>
    <comment ref="B21" authorId="0" shapeId="0" xr:uid="{AAF79560-96AD-4C2F-B98E-8DBAC6A0A4FE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1" authorId="0" shapeId="0" xr:uid="{EA639A1E-6E40-4DF1-BF9F-558597612F2B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B22" authorId="0" shapeId="0" xr:uid="{956AD361-4F24-4C71-9751-853769204D00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2" authorId="0" shapeId="0" xr:uid="{7672CDA1-0BE2-453C-909B-2089BFBF1739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E37" authorId="0" shapeId="0" xr:uid="{20F35853-E7CE-49A9-8469-5FCD92E697A8}">
      <text>
        <r>
          <rPr>
            <b/>
            <sz val="8"/>
            <color indexed="81"/>
            <rFont val="Tahoma"/>
            <family val="2"/>
          </rPr>
          <t>in % of inner tranche</t>
        </r>
      </text>
    </comment>
    <comment ref="D39" authorId="0" shapeId="0" xr:uid="{4B8094FE-4B98-4553-AA89-171253AF745D}">
      <text>
        <r>
          <rPr>
            <b/>
            <sz val="8"/>
            <color indexed="81"/>
            <rFont val="Tahoma"/>
            <family val="2"/>
          </rPr>
          <t>By low discrepancy quasi monte carlo, with Faure algorythm.</t>
        </r>
      </text>
    </comment>
    <comment ref="D40" authorId="0" shapeId="0" xr:uid="{B5EB228A-CD2B-4F9A-A32A-98C9864D34C0}">
      <text>
        <r>
          <rPr>
            <b/>
            <sz val="8"/>
            <color indexed="81"/>
            <rFont val="Tahoma"/>
            <family val="2"/>
          </rPr>
          <t>By variance reduction  on Sum of Inner protections computed analytically from market distributions.
The variance reduction technique works well when the outer tranche is very large.</t>
        </r>
      </text>
    </comment>
    <comment ref="D45" authorId="0" shapeId="0" xr:uid="{039692E1-3876-403B-BC8C-FD47D78AC494}">
      <text>
        <r>
          <rPr>
            <b/>
            <sz val="8"/>
            <color indexed="81"/>
            <rFont val="Tahoma"/>
            <family val="2"/>
          </rPr>
          <t>The base correlation is coming from the smile, but the beta of each issuer can be adjusted by an add-on value.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<sst xmlns="http://schemas.openxmlformats.org/spreadsheetml/2006/main" count="4148" uniqueCount="696">
  <si>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</si>
  <si>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</si>
  <si>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</si>
  <si>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</si>
  <si>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</si>
  <si>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</si>
  <si>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</si>
  <si>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</si>
  <si>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</si>
  <si>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</si>
  <si>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</si>
  <si>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</si>
  <si>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</si>
  <si>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</si>
  <si>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</si>
  <si>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</si>
  <si>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</si>
  <si>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</si>
  <si>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</si>
  <si>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</si>
  <si>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</si>
  <si>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</si>
  <si>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</si>
  <si>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</si>
  <si>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</si>
  <si>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</si>
  <si>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</si>
  <si>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</si>
  <si>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</si>
  <si>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</si>
  <si>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</si>
  <si>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</si>
  <si>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</si>
  <si>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Option Flag</t>
  </si>
  <si>
    <t>Underlying</t>
  </si>
  <si>
    <t xml:space="preserve">option position 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</si>
  <si>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</si>
  <si>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</si>
  <si>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</si>
  <si>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</si>
  <si>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</si>
  <si>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</si>
  <si>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</si>
  <si>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</si>
  <si>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</si>
  <si>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</si>
  <si>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</si>
  <si>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</si>
  <si>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</si>
  <si>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</si>
  <si>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</si>
  <si>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</si>
  <si>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</si>
  <si>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</si>
  <si>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</si>
  <si>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</si>
  <si>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</si>
  <si>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</si>
  <si>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</si>
  <si>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</si>
  <si>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</si>
  <si>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</si>
  <si>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</si>
  <si>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</si>
  <si>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</si>
  <si>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</si>
  <si>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</si>
  <si>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</si>
  <si>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</si>
  <si>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</si>
  <si>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</si>
  <si>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</si>
  <si>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</si>
  <si>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</si>
  <si>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</si>
  <si>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</si>
  <si>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</si>
  <si>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</si>
  <si>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</si>
  <si>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</si>
  <si>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</si>
  <si>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</si>
  <si>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</si>
  <si>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</si>
  <si>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</si>
  <si>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</si>
  <si>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</si>
  <si>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</si>
  <si>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</si>
  <si>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</si>
  <si>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</si>
  <si>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</si>
  <si>
    <t>Black Scholes MD</t>
  </si>
  <si>
    <t>AkzoNobel_MMR.EUR.SU</t>
  </si>
  <si>
    <t>Allianz_MMR.EUR.SU</t>
  </si>
  <si>
    <t>Altadis_MMR.EUR.SU</t>
  </si>
  <si>
    <t>ArcelorFinanceSca_MMR.EUR.SU</t>
  </si>
  <si>
    <t>Auchan_MMR.EUR.SU</t>
  </si>
  <si>
    <t>Aviva_MMR.EUR.SU</t>
  </si>
  <si>
    <t>AXA_MMR.EUR.SU</t>
  </si>
  <si>
    <t>BancoEspiritoSanto_MMR.EUR.SU</t>
  </si>
  <si>
    <t>Barclays_MMR.EUR.SU</t>
  </si>
  <si>
    <t>BASF_MMR.EUR.SU</t>
  </si>
  <si>
    <t>BAT_MMR.EUR.SU</t>
  </si>
  <si>
    <t>Bayer_MMR.EUR.SU</t>
  </si>
  <si>
    <t>BBVA_MMR.EUR.SU</t>
  </si>
  <si>
    <t>BertelsmannAG_MMR.EUR.SU</t>
  </si>
  <si>
    <t>BMW_MMR.EUR.SU</t>
  </si>
  <si>
    <t>BNPParibas_MMR.EUR.SU</t>
  </si>
  <si>
    <t>BritishTelecom_MMR.EUR.SU</t>
  </si>
  <si>
    <t>BSCH_MMR.EUR.SU</t>
  </si>
  <si>
    <t>CadburySchweppes_MMR.EUR.SU</t>
  </si>
  <si>
    <t>Capitalia_MMR.EUR.SU</t>
  </si>
  <si>
    <t>Carrefour_MMR.EUR.SU</t>
  </si>
  <si>
    <t>CasinoGuichard_MMR.EUR.SU</t>
  </si>
  <si>
    <t>Centrica_MMR.EUR.SU</t>
  </si>
  <si>
    <t>Cibasc_MMR.EUR.SU</t>
  </si>
  <si>
    <t>Commerzbank_MMR.EUR.SU</t>
  </si>
  <si>
    <t>Compass_MMR.EUR.SU</t>
  </si>
  <si>
    <t>Continental_MMR.EUR.SU</t>
  </si>
  <si>
    <t>CreditAgricole_MMR.EUR.SU</t>
  </si>
  <si>
    <t>CreditSuisseGroup_MMR.EUR.SU</t>
  </si>
  <si>
    <t>DaimlerChrysler_MMR.EUR.SU</t>
  </si>
  <si>
    <t>Danone_MMR.EUR.SU</t>
  </si>
  <si>
    <t>DeutscheBank_MMR.EUR.SU</t>
  </si>
  <si>
    <t>DeutschePostAG_MMR.EUR.SU</t>
  </si>
  <si>
    <t>DeutscheTelekom_MMR.EUR.SU</t>
  </si>
  <si>
    <t>Diageo_MMR.EUR.SU</t>
  </si>
  <si>
    <t>DixonsGroupPlc_MMR.EUR.SU</t>
  </si>
  <si>
    <t>DSM_MMR.EUR.SU</t>
  </si>
  <si>
    <t>EADS_MMR.EUR.SU</t>
  </si>
  <si>
    <t>EDF_MMR.EUR.SU</t>
  </si>
  <si>
    <t>Edison_MMR.EUR.SU</t>
  </si>
  <si>
    <t>ElectricitedePortugal_MMR.EUR.SU</t>
  </si>
  <si>
    <t>Electrolux_MMR.EUR.SU</t>
  </si>
  <si>
    <t>Endesa_MMR.EUR.SU</t>
  </si>
  <si>
    <t>ENEL_MMR.EUR.SU</t>
  </si>
  <si>
    <t>EnergieBadenWuerttemberg_MMR.EUR.SU</t>
  </si>
  <si>
    <t>Eon_MMR.EUR.SU</t>
  </si>
  <si>
    <t>FortumOyj_MMR.EUR.SU</t>
  </si>
  <si>
    <t>FranceTelecom_MMR.EUR.SU</t>
  </si>
  <si>
    <t>GallaherGroupPlc_MMR.EUR.SU</t>
  </si>
  <si>
    <t>GasNaturalSdgSa_MMR.EUR.SU</t>
  </si>
  <si>
    <t>GazdeFrance_MMR.EUR.SU</t>
  </si>
  <si>
    <t>Generali_MMR.EUR.SU</t>
  </si>
  <si>
    <t>GKN Holdings  Plc_MMR.EUR.SU</t>
  </si>
  <si>
    <t>GlencoreIntAG_MMR.EUR.SU</t>
  </si>
  <si>
    <t>GreatUniversalStores_MMR.EUR.SU</t>
  </si>
  <si>
    <t>HannoverRueck_MMR.EUR.SU</t>
  </si>
  <si>
    <t>Hellenic Telcom_MMR.EUR.SU</t>
  </si>
  <si>
    <t>HenkelKG_MMR.EUR.SU</t>
  </si>
  <si>
    <t>Iberdrola_MMR.EUR.SU</t>
  </si>
  <si>
    <t>ICI_MMR.EUR.SU</t>
  </si>
  <si>
    <t>Intesa_MMR.EUR.SU</t>
  </si>
  <si>
    <t>Kingfisher_MMR.EUR.SU</t>
  </si>
  <si>
    <t>Kpn_MMR.EUR.SU</t>
  </si>
  <si>
    <t>Lafarge_MMR.EUR.SU</t>
  </si>
  <si>
    <t>Linde_MMR.EUR.SU</t>
  </si>
  <si>
    <t>Lufthansa_MMR.EUR.SU</t>
  </si>
  <si>
    <t>LVMH_MMR.EUR.SU</t>
  </si>
  <si>
    <t>MarksandSpencerPLC_MMR.EUR.SU</t>
  </si>
  <si>
    <t>Metro_MMR.EUR.SU</t>
  </si>
  <si>
    <t>Michelin_MMR.EUR.SU</t>
  </si>
  <si>
    <t>MonteDeiPaschi_MMR.EUR.SU</t>
  </si>
  <si>
    <t>MunichRe_MMR.EUR.SU</t>
  </si>
  <si>
    <t>NationalGridTranscoPlc_MMR.EUR.SU</t>
  </si>
  <si>
    <t>NextPlc_MMR.EUR.SU</t>
  </si>
  <si>
    <t>Pearson_MMR.EUR.SU</t>
  </si>
  <si>
    <t>Peugeot_MMR.EUR.SU</t>
  </si>
  <si>
    <t>PhilipsElec_MMR.EUR.SU</t>
  </si>
  <si>
    <t>PinaultPrintemps_MMR.EUR.SU</t>
  </si>
  <si>
    <t>PortugalTelecom_MMR.EUR.SU</t>
  </si>
  <si>
    <t>ReedElsevier_MMR.EUR.SU</t>
  </si>
  <si>
    <t>Renault_MMR.EUR.SU</t>
  </si>
  <si>
    <t>Repsol_MMR.EUR.SU</t>
  </si>
  <si>
    <t>Reuters_MMR.EUR.SU</t>
  </si>
  <si>
    <t>RoyalBankScotland_MMR.EUR.SU</t>
  </si>
  <si>
    <t>Rwe_MMR.EUR.SU</t>
  </si>
  <si>
    <t>SafewayPlc_MMR.EUR.SU</t>
  </si>
  <si>
    <t>SanofiAventis_MMR.EUR.SU</t>
  </si>
  <si>
    <t>Siemens_MMR.EUR.SU</t>
  </si>
  <si>
    <t>SodexhoAlliance_MMR.EUR.SU</t>
  </si>
  <si>
    <t>Solvay_MMR.EUR.SU</t>
  </si>
  <si>
    <t>StGobain_MMR.EUR.SU</t>
  </si>
  <si>
    <t>StMicro_MMR.EUR.SU</t>
  </si>
  <si>
    <t>SuedzuckerAg_MMR.EUR.SU</t>
  </si>
  <si>
    <t>SuezLyonnaise_MMR.EUR.SU</t>
  </si>
  <si>
    <t>SvenskaCellulosaAB_MMR.EUR.SU</t>
  </si>
  <si>
    <t>SWISSRE_MMR.EUR.SU</t>
  </si>
  <si>
    <t>Tate&amp;Lyle_MMR.EUR.SU</t>
  </si>
  <si>
    <t>TelecomItalia_MMR.EUR.SU</t>
  </si>
  <si>
    <t>Telefonica_MMR.EUR.SU</t>
  </si>
  <si>
    <t>TelekomAustria_MMR.EUR.SU</t>
  </si>
  <si>
    <t>Telenor_MMR.EUR.SU</t>
  </si>
  <si>
    <t>Telia_MMR.EUR.SU</t>
  </si>
  <si>
    <t>Tesco_MMR.EUR.SU</t>
  </si>
  <si>
    <t>ThyssenKruppAG_MMR.EUR.SU</t>
  </si>
  <si>
    <t>UBS_MMR.EUR.SU</t>
  </si>
  <si>
    <t>UnicreditoItaliano_MMR.EUR.SU</t>
  </si>
  <si>
    <t>Unilever_MMR.EUR.SU</t>
  </si>
  <si>
    <t>UnionFenosa_MMR.EUR.SU</t>
  </si>
  <si>
    <t>UnitedUtilities_MMR.EUR.SU</t>
  </si>
  <si>
    <t>UpmKymmene_MMR.EUR.SU</t>
  </si>
  <si>
    <t>Valeo_MMR.EUR.SU</t>
  </si>
  <si>
    <t>VattenfallAB_MMR.EUR.SU</t>
  </si>
  <si>
    <t>VeoliaEnvironnement_MMR.EUR.SU</t>
  </si>
  <si>
    <t>Vinci_MMR.EUR.SU</t>
  </si>
  <si>
    <t>Vivendi_MMR.EUR.SU</t>
  </si>
  <si>
    <t>Vodafone_MMR.EUR.SU</t>
  </si>
  <si>
    <t>Volvo_MMR.EUR.SU</t>
  </si>
  <si>
    <t>VW_MMR.EUR.SU</t>
  </si>
  <si>
    <t>WoltersKluwerCVA_MMR.EUR.SU</t>
  </si>
  <si>
    <t>WPPgroup_MMR.EUR.SU</t>
  </si>
  <si>
    <t>ZurichInsurance_MMR.EUR.SU</t>
  </si>
  <si>
    <t>AceLtd_NR.USD.SU</t>
  </si>
  <si>
    <t>Aetna_NR.USD.SU</t>
  </si>
  <si>
    <t>AIG_NR.USD.SU</t>
  </si>
  <si>
    <t>Alcan_NR.USD.SU</t>
  </si>
  <si>
    <t>Alcoa_NR.USD.SU</t>
  </si>
  <si>
    <t>AllstateCorp_NR.USD.SU</t>
  </si>
  <si>
    <t>AmericanElec_NR.USD.SU</t>
  </si>
  <si>
    <t>AmericanExpress_NR.USD.SU</t>
  </si>
  <si>
    <t>Amgen_NR.USD.SU</t>
  </si>
  <si>
    <t>AnadarkoPetroleum_NR.USD.SU</t>
  </si>
  <si>
    <t>AOL_NR.USD.SU</t>
  </si>
  <si>
    <t>ArrowElectronics_NR.USD.SU</t>
  </si>
  <si>
    <t>Autozone_NR.USD.SU</t>
  </si>
  <si>
    <t>BaxterInternational_NR.USD.SU</t>
  </si>
  <si>
    <t>BeloCorp_NR.USD.SU</t>
  </si>
  <si>
    <t>BoeingCapital_NR.USD.SU</t>
  </si>
  <si>
    <t>BristolMyersSquibb_NR.USD.SU</t>
  </si>
  <si>
    <t>BurlingtonNorthSF_NR.USD.SU</t>
  </si>
  <si>
    <t>CampbellSoup_NR.USD.SU</t>
  </si>
  <si>
    <t>CapitalOnebank_NR.USD.SU</t>
  </si>
  <si>
    <t>CardinalHealth_NR.USD.SU</t>
  </si>
  <si>
    <t>Carnival_NR.USD.SU</t>
  </si>
  <si>
    <t>Caterpillar_NR.USD.SU</t>
  </si>
  <si>
    <t>CBSCorp_NR.USD.SU</t>
  </si>
  <si>
    <t>CentexCorp_NR.USD.SU</t>
  </si>
  <si>
    <t>Centurytel_NR.USD.SU</t>
  </si>
  <si>
    <t>ChubbCorp_NR.USD.SU</t>
  </si>
  <si>
    <t>CignaCorp_NR.USD.SU</t>
  </si>
  <si>
    <t>CingularWireless_NR.USD.SU</t>
  </si>
  <si>
    <t>CITgroup_NR.USD.SU</t>
  </si>
  <si>
    <t>ComcastCorp_NR.USD.SU</t>
  </si>
  <si>
    <t>ComputerSciencesCorp_NR.USD.SU</t>
  </si>
  <si>
    <t>ConAgraFoods_NR.USD.SU</t>
  </si>
  <si>
    <t>ConocoPhillips_NR.USD.SU</t>
  </si>
  <si>
    <t>ConstellationEnergyGroup_NR.USD.SU</t>
  </si>
  <si>
    <t>CountrywideHomeLoan_NR.USD.SU</t>
  </si>
  <si>
    <t>CoxCommunications_NR.USD.SU</t>
  </si>
  <si>
    <t>CSXCorp_NR.USD.SU</t>
  </si>
  <si>
    <t>CVSCorp_NR.USD.SU</t>
  </si>
  <si>
    <t>DardenRestaurantsInc_NR.USD.SU</t>
  </si>
  <si>
    <t>Deere_NR.USD.SU</t>
  </si>
  <si>
    <t>DevonEnergyCorp_NR.USD.SU</t>
  </si>
  <si>
    <t>DominionResourcesInc_NR.USD.SU</t>
  </si>
  <si>
    <t>DowChemical_NR.USD.SU</t>
  </si>
  <si>
    <t>DukeEnergy_NR.USD.SU</t>
  </si>
  <si>
    <t>DupontdeNemours_NR.USD.SU</t>
  </si>
  <si>
    <t>EastmanChemical_NR.USD.SU</t>
  </si>
  <si>
    <t>EmbarqCorp_NR.USD.SU</t>
  </si>
  <si>
    <t>FannieMae_NR.USD.SU</t>
  </si>
  <si>
    <t>FedDeptStores_NR.USD.SU</t>
  </si>
  <si>
    <t>FederalHomeLoanMortgageCorp_NR.USD.SU</t>
  </si>
  <si>
    <t>FirstEnergyCorp_NR.USD.SU</t>
  </si>
  <si>
    <t>FortuneBrandsInc_NR.USD.SU</t>
  </si>
  <si>
    <t>GannetCoInc_NR.USD.SU</t>
  </si>
  <si>
    <t>GeneralElectric_NR.USD.SU</t>
  </si>
  <si>
    <t>GeneralMillsInc_NR.USD.SU</t>
  </si>
  <si>
    <t>Goodrich_NR.USD.SU</t>
  </si>
  <si>
    <t>Halliburton_NR.USD.SU</t>
  </si>
  <si>
    <t>HartfordFinServices_NR.USD.SU</t>
  </si>
  <si>
    <t>HewlettPackard_NR.USD.SU</t>
  </si>
  <si>
    <t>HomeDepotInc_NR.USD.SU</t>
  </si>
  <si>
    <t>HoneyWellInt_NR.USD.SU</t>
  </si>
  <si>
    <t>Ibm_NR.USD.SU</t>
  </si>
  <si>
    <t>Ingersoll_NR.USD.SU</t>
  </si>
  <si>
    <t>InteractiveCorp_NR.USD.SU</t>
  </si>
  <si>
    <t>InternationalLeaseFinance_NR.USD.SU</t>
  </si>
  <si>
    <t>InternationalPaper_NR.USD.SU</t>
  </si>
  <si>
    <t>iStarFinancial_NR.USD.SU</t>
  </si>
  <si>
    <t>JCPenney_NR.USD.SU</t>
  </si>
  <si>
    <t>JonesApparelGrp_NR.USD.SU</t>
  </si>
  <si>
    <t>KraftFoodsInc_NR.USD.SU</t>
  </si>
  <si>
    <t>KrogerCo_NR.USD.SU</t>
  </si>
  <si>
    <t>LennarCorp_NR.USD.SU</t>
  </si>
  <si>
    <t>LimitedBrands_NR.USD.SU</t>
  </si>
  <si>
    <t>LizClaiborne_NR.USD.SU</t>
  </si>
  <si>
    <t>LockheedMartin_NR.USD.SU</t>
  </si>
  <si>
    <t>LoewsCorp_NR.USD.SU</t>
  </si>
  <si>
    <t>Marriott_NR.USD.SU</t>
  </si>
  <si>
    <t>Marsh&amp;MclennanCos_NR.USD.SU</t>
  </si>
  <si>
    <t>MBIAInsurance_NR.USD.SU</t>
  </si>
  <si>
    <t>McDonalds_NR.USD.SU</t>
  </si>
  <si>
    <t>McKessonCorp_NR.USD.SU</t>
  </si>
  <si>
    <t>MeadWestvaco_NR.USD.SU</t>
  </si>
  <si>
    <t>MetlifeInc_NR.USD.SU</t>
  </si>
  <si>
    <t>Motorola_NR.USD.SU</t>
  </si>
  <si>
    <t>NationalRuralUtilCoop_NR.USD.SU</t>
  </si>
  <si>
    <t>NewellRubbermaid_NR.USD.SU</t>
  </si>
  <si>
    <t>NewsAmerica_NR.USD.SU</t>
  </si>
  <si>
    <t>Nordstrom Inc_NR.USD.SU</t>
  </si>
  <si>
    <t>NorfolkSouthernCorp_NR.USD.SU</t>
  </si>
  <si>
    <t>NorthropGrummanCorp_NR.USD.SU</t>
  </si>
  <si>
    <t>Omnicom_NR.USD.SU</t>
  </si>
  <si>
    <t>PhilipMorris_NR.USD.SU</t>
  </si>
  <si>
    <t>ProgressEnergyInc_NR.USD.SU</t>
  </si>
  <si>
    <t>PulteHomesInc_NR.USD.SU</t>
  </si>
  <si>
    <t>QuestDiagnosticsInc_NR.USD.SU</t>
  </si>
  <si>
    <t>RadianGroupInc_NR.USD.SU</t>
  </si>
  <si>
    <t>Raytheon_NR.USD.SU</t>
  </si>
  <si>
    <t>RohmandHaas_NR.USD.SU</t>
  </si>
  <si>
    <t>RrDonnelley&amp;SonsCo_NR.USD.SU</t>
  </si>
  <si>
    <t>SafewayInc_NR.USD.SU</t>
  </si>
  <si>
    <t>SaraLee_NR.USD.SU</t>
  </si>
  <si>
    <t>SBCComm_NR.USD.SU</t>
  </si>
  <si>
    <t>SempraEnergy_NR.USD.SU</t>
  </si>
  <si>
    <t>SherwinWilliams_NR.USD.SU</t>
  </si>
  <si>
    <t>SimonPropertyGroupLP_NR.USD.SU</t>
  </si>
  <si>
    <t>SouthwestAirlines_NR.USD.SU</t>
  </si>
  <si>
    <t>SprintCorp_NR.USD.SU</t>
  </si>
  <si>
    <t>Starwood_NR.USD.SU</t>
  </si>
  <si>
    <t>TargetCorp_NR.USD.SU</t>
  </si>
  <si>
    <t>TextronFinancialCorp_NR.USD.SU</t>
  </si>
  <si>
    <t>TollBrothersInc_NR.USD.SU</t>
  </si>
  <si>
    <t>TransoceanSedco_NR.USD.SU</t>
  </si>
  <si>
    <t>UnionPacificCorp_NR.USD.SU</t>
  </si>
  <si>
    <t>UniversalHealthServices_NR.USD.SU</t>
  </si>
  <si>
    <t>Valero_NR.USD.SU</t>
  </si>
  <si>
    <t>VerizonCommunicationsInc_NR.USD.SU</t>
  </si>
  <si>
    <t>WalMart_NR.USD.SU</t>
  </si>
  <si>
    <t>WaltDisney_NR.USD.SU</t>
  </si>
  <si>
    <t>WashingtonMutualInc_NR.USD.SU</t>
  </si>
  <si>
    <t>WellsFargo_NR.USD.SU</t>
  </si>
  <si>
    <t>WeyerhaeuserCo_NR.USD.SU</t>
  </si>
  <si>
    <t>Whirlpool_NR.USD.SU</t>
  </si>
  <si>
    <t>Wyeth_NR.USD.SU</t>
  </si>
  <si>
    <t>XLCapitalLtd_NR.USD.SU</t>
  </si>
  <si>
    <t>TollBrothersInc.USD.SU</t>
  </si>
  <si>
    <t>LimitedBrands.USD.SU</t>
  </si>
  <si>
    <t>BritishAirways_MMR.EUR.SU</t>
  </si>
  <si>
    <t>BAA PLC_MMR.EUR.SU</t>
  </si>
  <si>
    <t>LizClaiborne.USD.SU</t>
  </si>
  <si>
    <t>FortuneBrandsInc.USD.SU</t>
  </si>
  <si>
    <t>CBSCorp.USD.SU</t>
  </si>
  <si>
    <t>CapitalOneFinancial.USD.SU</t>
  </si>
  <si>
    <t>Prologis.USD.SU</t>
  </si>
  <si>
    <t>QantasAirways.USD.SU</t>
  </si>
  <si>
    <t>PetroleosMex.USD.SU</t>
  </si>
  <si>
    <t>WashingtonMutualInc.USD.SB</t>
  </si>
  <si>
    <t>NorthernRock_MMR.EUR.SU</t>
  </si>
  <si>
    <t>IslandsbankiHF_MMR.EUR.SU</t>
  </si>
  <si>
    <t>XLCapitalLtd.USD.SU</t>
  </si>
  <si>
    <t>Carnival.USD.SU</t>
  </si>
  <si>
    <t>ResonaBank.USD.SU</t>
  </si>
  <si>
    <t>ScheringPloughCorp.USD.SU</t>
  </si>
  <si>
    <t>Bouygues_MMR.EUR.SU</t>
  </si>
  <si>
    <t>ABBIntlFinanceLtd_MMR.EUR.SU</t>
  </si>
  <si>
    <t>Scania_MMR.EUR.SU</t>
  </si>
  <si>
    <t>Omnicom.USD.SU</t>
  </si>
  <si>
    <t>CITgroup.USD.SU</t>
  </si>
  <si>
    <t>AngloIrishBankCorp_MMR.EUR.SU</t>
  </si>
  <si>
    <t>Commerzbank_MMR.EUR.SB</t>
  </si>
  <si>
    <t>UnibailHolding_MMR.EUR.SU</t>
  </si>
  <si>
    <t>Nordstrom Inc.USD.SU</t>
  </si>
  <si>
    <t>SBCComm.USD.SU</t>
  </si>
  <si>
    <t>Telstra.USD.SU</t>
  </si>
  <si>
    <t>TCNZFin.USD.SU</t>
  </si>
  <si>
    <t>KraftFoodsInc.USD.SU</t>
  </si>
  <si>
    <t>Cargill.USD.SU</t>
  </si>
  <si>
    <t>AutoStrade_MMR.EUR.SU</t>
  </si>
  <si>
    <t>Caterpillar.USD.SU</t>
  </si>
  <si>
    <t>AngloAmerican_MMR.EUR.SU</t>
  </si>
  <si>
    <t>VerizonCommunicationsInc.USD.SU</t>
  </si>
  <si>
    <t>AirLiquide_MMR.EUR.SU</t>
  </si>
  <si>
    <t>MerrillLynch.USD.SU</t>
  </si>
  <si>
    <t>AlliedIrishBanks_MMR.EUR.SB</t>
  </si>
  <si>
    <t>SuncorpMetway.USD.SU</t>
  </si>
  <si>
    <t>SumitomoBk.USD.SB</t>
  </si>
  <si>
    <t>AXA.EUR.SB</t>
  </si>
  <si>
    <t>Aegon.EUR.SB</t>
  </si>
  <si>
    <t>AmericanExpress.USD.SU</t>
  </si>
  <si>
    <t>LehmanBrosHldg.USD.SB</t>
  </si>
  <si>
    <t>Intelcorp.USD.SU</t>
  </si>
  <si>
    <t>BHPBillitonLtd.USD.SU</t>
  </si>
  <si>
    <t>BristolMyersSquibb.USD.SU</t>
  </si>
  <si>
    <t>GoldmanSachs.USD.SU</t>
  </si>
  <si>
    <t>HouseholdFinance.USD.SU</t>
  </si>
  <si>
    <t>CreditAgricole_MMR.EUR.SB</t>
  </si>
  <si>
    <t>SWISSRE.EUR.SB</t>
  </si>
  <si>
    <t>MunichRe.EUR.SB</t>
  </si>
  <si>
    <t>HannoverRueck.EUR.SB</t>
  </si>
  <si>
    <t>ZurichInsurance.EUR.SB</t>
  </si>
  <si>
    <t>JPMorganChaseCorp.USD.SB</t>
  </si>
  <si>
    <t>InternationalLeaseFinance.USD.SU</t>
  </si>
  <si>
    <t>MorganStanleyDeanWitter.USD.SB</t>
  </si>
  <si>
    <t>NordeaBk_MMR.EUR.SB</t>
  </si>
  <si>
    <t>FederalHomeLoanMortgageCorp.USD.SB</t>
  </si>
  <si>
    <t>FannieMae.USD.SB</t>
  </si>
  <si>
    <t>Medtronic.USD.SU</t>
  </si>
  <si>
    <t>Investor_MMR.EUR.SU</t>
  </si>
  <si>
    <t>Legal&amp;General_MMR.EUR.SU</t>
  </si>
  <si>
    <t>BOA.USD.SB</t>
  </si>
  <si>
    <t>Citigroup.USD.SB</t>
  </si>
  <si>
    <t>Barclays_MMR.EUR.SB</t>
  </si>
  <si>
    <t>BSCH_MMR.EUR.SB</t>
  </si>
  <si>
    <t>UBS_MMR.EUR.SB</t>
  </si>
  <si>
    <t>NatAustralianBk.USD.SB</t>
  </si>
  <si>
    <t>Generali.EUR.SB</t>
  </si>
  <si>
    <t>Allianz.EUR.SB</t>
  </si>
  <si>
    <t>AIG.USD.SU</t>
  </si>
  <si>
    <t>Dexia_MMR.EUR.SU</t>
  </si>
  <si>
    <t>AbbeyNational_MMR.EUR.SU</t>
  </si>
  <si>
    <t>INGBank_MMR.EUR.SB</t>
  </si>
  <si>
    <t>NatexisBank_MMR.EUR.SU</t>
  </si>
  <si>
    <t>BNPParibas_MMR.EUR.SB</t>
  </si>
  <si>
    <t>WellsFargo.USD.SB</t>
  </si>
  <si>
    <t>AmbacAssurance.USD.SU</t>
  </si>
  <si>
    <t>GeneralElectric.USD.SU</t>
  </si>
  <si>
    <t>TrueFalseList</t>
  </si>
  <si>
    <t>Curves Points</t>
  </si>
  <si>
    <t>Curve points</t>
  </si>
  <si>
    <t>Calculate ?</t>
  </si>
  <si>
    <t>IssuerID</t>
  </si>
  <si>
    <t>Name</t>
  </si>
  <si>
    <t>dT</t>
  </si>
  <si>
    <t>Prob Def</t>
  </si>
  <si>
    <t>Lambda</t>
  </si>
  <si>
    <t>ParamDate</t>
  </si>
  <si>
    <t>Option Position</t>
  </si>
  <si>
    <t>Issuer ID or Name</t>
  </si>
  <si>
    <t>Maturity</t>
  </si>
  <si>
    <t>Maturity Date</t>
  </si>
  <si>
    <t>Spread</t>
  </si>
  <si>
    <t>NPV (Dirty)</t>
  </si>
  <si>
    <t>FloatLeg</t>
  </si>
  <si>
    <t>FX Correl</t>
  </si>
  <si>
    <t>FixedLeg</t>
  </si>
  <si>
    <t>FX Vol</t>
  </si>
  <si>
    <t>ATM spread</t>
  </si>
  <si>
    <t>BPV</t>
  </si>
  <si>
    <t>Coupon Period</t>
  </si>
  <si>
    <t>Comp. time</t>
  </si>
  <si>
    <t>Coupon Convention</t>
  </si>
  <si>
    <t>LongFirst</t>
  </si>
  <si>
    <t>Coupon Last Settle</t>
  </si>
  <si>
    <t>IsAmericanFloatLeg</t>
  </si>
  <si>
    <t>IsAmericanFixedLeg</t>
  </si>
  <si>
    <t>With Greeks</t>
  </si>
  <si>
    <t>Hedging CDS</t>
  </si>
  <si>
    <t>Integration Period</t>
  </si>
  <si>
    <t>1m</t>
  </si>
  <si>
    <t xml:space="preserve">Calculation ? </t>
  </si>
  <si>
    <t>Inputs</t>
  </si>
  <si>
    <t>Ouputs</t>
  </si>
  <si>
    <t>CDS</t>
  </si>
  <si>
    <t>Maturity Date (FYI)</t>
  </si>
  <si>
    <t>Cpn period</t>
  </si>
  <si>
    <t>3m</t>
  </si>
  <si>
    <t>No.</t>
  </si>
  <si>
    <t>Cpn convention</t>
  </si>
  <si>
    <t>Cpn last settle</t>
  </si>
  <si>
    <t>Number of Issuers</t>
  </si>
  <si>
    <t>Sum of weights</t>
  </si>
  <si>
    <t>Low Strike</t>
  </si>
  <si>
    <t>High Strike</t>
  </si>
  <si>
    <t>Low Correl</t>
  </si>
  <si>
    <t>High Correl</t>
  </si>
  <si>
    <t>Spread Reference</t>
  </si>
  <si>
    <t>dBeta</t>
  </si>
  <si>
    <t>Def Prob Multiplier</t>
  </si>
  <si>
    <t>Loss Unit</t>
  </si>
  <si>
    <t>Nominal</t>
  </si>
  <si>
    <t>Beta Addon</t>
  </si>
  <si>
    <t>MC Path</t>
  </si>
  <si>
    <t>InterpolateBeta</t>
  </si>
  <si>
    <t>Expected Recovery</t>
  </si>
  <si>
    <t>Number Of Names</t>
  </si>
  <si>
    <t>ShortFirst</t>
  </si>
  <si>
    <t>Outer</t>
  </si>
  <si>
    <t>Inner Tranches</t>
  </si>
  <si>
    <t>Tranche ID</t>
  </si>
  <si>
    <t>high Strike</t>
  </si>
  <si>
    <t>Weight</t>
  </si>
  <si>
    <t>Correlation</t>
  </si>
  <si>
    <t>Inner Correlation Smile</t>
  </si>
  <si>
    <t>CrossSubordination</t>
  </si>
  <si>
    <t>Strike</t>
  </si>
  <si>
    <t>Inner (PV)</t>
  </si>
  <si>
    <t>PV</t>
  </si>
  <si>
    <t>Quasi MonteCarlo</t>
  </si>
  <si>
    <t>Variance Reduction</t>
  </si>
  <si>
    <t>Inner Inclusion</t>
  </si>
  <si>
    <t>Issuer ID</t>
  </si>
  <si>
    <t>Names</t>
  </si>
  <si>
    <t>Notional</t>
  </si>
  <si>
    <t>bpv</t>
  </si>
  <si>
    <t>Total value (%)</t>
  </si>
  <si>
    <t>Delta</t>
  </si>
  <si>
    <t>Total value (cash)</t>
  </si>
  <si>
    <t>NPV (ref)</t>
  </si>
  <si>
    <t>Delta PV</t>
  </si>
  <si>
    <t>Delta Single Name</t>
  </si>
  <si>
    <t>Spread Mult.</t>
  </si>
  <si>
    <t>Delta Value</t>
  </si>
  <si>
    <t>Delta Index</t>
  </si>
  <si>
    <t>Spread Delta</t>
  </si>
  <si>
    <t>Jump-to-Default ?</t>
  </si>
  <si>
    <t>Stochastic Recovery ?</t>
  </si>
  <si>
    <t>Airbus SE</t>
  </si>
  <si>
    <t>Aktiebolaget Volvo</t>
  </si>
  <si>
    <t>Anglo American plc</t>
  </si>
  <si>
    <t>ArcelorMittal</t>
  </si>
  <si>
    <t>ASTRAZENECA PLC</t>
  </si>
  <si>
    <t>BAE SYSTEMS PLC</t>
  </si>
  <si>
    <t>BOUYGUES</t>
  </si>
  <si>
    <t>COMPAGNIE DE SAINT-GOBAIN</t>
  </si>
  <si>
    <t>Continental Aktiengesellschaft</t>
  </si>
  <si>
    <t>GSK PLC</t>
  </si>
  <si>
    <t>L'AIR LIQUIDE SOCIETE ANONYME POUR L'ETUDE ET L'EXPLOITATION DES PROCEDES GEORGES CLAUDE</t>
  </si>
  <si>
    <t>Mercedes-Benz Group AG</t>
  </si>
  <si>
    <t>RENTOKIL INITIAL PLC</t>
  </si>
  <si>
    <t>SANOFI</t>
  </si>
  <si>
    <t>Siemens Aktiengesellschaft</t>
  </si>
  <si>
    <t>Stora Enso Oyj</t>
  </si>
  <si>
    <t>UNIBAIL-RODAMCO-WESTFIELD SE</t>
  </si>
  <si>
    <t>VINCI</t>
  </si>
  <si>
    <t>WENDEL</t>
  </si>
  <si>
    <t>Akzo Nobel N.V.</t>
  </si>
  <si>
    <t>BASF SE</t>
  </si>
  <si>
    <t>Bayer Aktiengesellschaft</t>
  </si>
  <si>
    <t>Bayerische Motoren Werke Aktiengesellschaft</t>
  </si>
  <si>
    <t>Glencore International AG</t>
  </si>
  <si>
    <t>Heidelberg Materials AG</t>
  </si>
  <si>
    <t>Holcim AG</t>
  </si>
  <si>
    <t>LEONARDO SOCIETA' PER AZIONI</t>
  </si>
  <si>
    <t>PostNL N.V.</t>
  </si>
  <si>
    <t>SMURFIT KAPPA ACQUISITIONS UNLIMITED COMPANY</t>
  </si>
  <si>
    <t>Solvay</t>
  </si>
  <si>
    <t>Stellantis N.V.</t>
  </si>
  <si>
    <t>VOLKSWAGEN AKTIENGESELLSCHAFT</t>
  </si>
  <si>
    <t>Aktiebolaget Electrolux</t>
  </si>
  <si>
    <t>Anheuser-Busch InBev</t>
  </si>
  <si>
    <t>BRITISH AMERICAN TOBACCO p.l.c.</t>
  </si>
  <si>
    <t>Carrefour</t>
  </si>
  <si>
    <t>COMPASS GROUP PLC</t>
  </si>
  <si>
    <t>DIAGEO PLC</t>
  </si>
  <si>
    <t>Henkel AG &amp; Co. KGaA</t>
  </si>
  <si>
    <t>Kering</t>
  </si>
  <si>
    <t>Koninklijke Ahold Delhaize N.V.</t>
  </si>
  <si>
    <t>Koninklijke Philips N.V.</t>
  </si>
  <si>
    <t>Louis Dreyfus Company B.V.</t>
  </si>
  <si>
    <t>LVMH MOET HENNESSY LOUIS VUITTON</t>
  </si>
  <si>
    <t>Nestle S.A.</t>
  </si>
  <si>
    <t>NEXT PLC</t>
  </si>
  <si>
    <t>PERNOD RICARD</t>
  </si>
  <si>
    <t>Suedzucker AG</t>
  </si>
  <si>
    <t>TESCO PLC</t>
  </si>
  <si>
    <t>UNILEVER PLC</t>
  </si>
  <si>
    <t>CARLSBERG BREWERIES A/S</t>
  </si>
  <si>
    <t>DANONE</t>
  </si>
  <si>
    <t>Heineken N.V.</t>
  </si>
  <si>
    <t>IMPERIAL BRANDS PLC</t>
  </si>
  <si>
    <t>SODEXO</t>
  </si>
  <si>
    <t>BP P.L.C.</t>
  </si>
  <si>
    <t>Centrica plc</t>
  </si>
  <si>
    <t>Electricite de France</t>
  </si>
  <si>
    <t>ENGIE</t>
  </si>
  <si>
    <t>ENI S.P.A.</t>
  </si>
  <si>
    <t>Fortum Oyj</t>
  </si>
  <si>
    <t>Iberdrola, S.A.</t>
  </si>
  <si>
    <t>NATIONAL GRID PLC</t>
  </si>
  <si>
    <t>NATURGY ENERGY GROUP, S.A.</t>
  </si>
  <si>
    <t>REPSOL, S.A.</t>
  </si>
  <si>
    <t>VEOLIA ENVIRONNEMENT</t>
  </si>
  <si>
    <t>E.ON SE</t>
  </si>
  <si>
    <t>ENEL S.P.A.</t>
  </si>
  <si>
    <t>EQUINOR ASA</t>
  </si>
  <si>
    <t>SHELL PLC</t>
  </si>
  <si>
    <t>TotalEnergies SE</t>
  </si>
  <si>
    <t>Bertelsmann SE &amp; Co. KGaA</t>
  </si>
  <si>
    <t>BRITISH TELECOMMUNICATIONS public limited company</t>
  </si>
  <si>
    <t>Deutsche Telekom AG</t>
  </si>
  <si>
    <t>ITV PLC</t>
  </si>
  <si>
    <t>Orange</t>
  </si>
  <si>
    <t>PEARSON plc</t>
  </si>
  <si>
    <t>SES</t>
  </si>
  <si>
    <t>STMicroelectronics N.V.</t>
  </si>
  <si>
    <t>Telekom Austria Aktiengesellschaft</t>
  </si>
  <si>
    <t>Telia Company AB</t>
  </si>
  <si>
    <t>Vivendi SE</t>
  </si>
  <si>
    <t>VODAFONE GROUP PUBLIC LIMITED COMPANY</t>
  </si>
  <si>
    <t>WPP 2005 LIMITED</t>
  </si>
  <si>
    <t>Koninklijke KPN N.V.</t>
  </si>
  <si>
    <t>PUBLICIS GROUPE SA</t>
  </si>
  <si>
    <t>TELEFONICA, S.A.</t>
  </si>
  <si>
    <t>TELENOR ASA</t>
  </si>
  <si>
    <t>Gross JTD Long</t>
  </si>
  <si>
    <t>Gross JTD short</t>
  </si>
  <si>
    <t>HBR</t>
  </si>
  <si>
    <t>JTD Hedge</t>
  </si>
  <si>
    <t>Delta Hedge</t>
  </si>
  <si>
    <t>DRCb</t>
  </si>
  <si>
    <t>DRC CTP</t>
  </si>
  <si>
    <t>Net JTD Long</t>
  </si>
  <si>
    <t>Net JTD short</t>
  </si>
  <si>
    <t>Offsetable ?</t>
  </si>
  <si>
    <t>30Y</t>
  </si>
  <si>
    <t>CDS Delta CSR</t>
  </si>
  <si>
    <t>1y</t>
  </si>
  <si>
    <t>ALSTOM</t>
  </si>
  <si>
    <t>CNH Industrial N.V</t>
  </si>
  <si>
    <t>DSM B.V</t>
  </si>
  <si>
    <t>LANXESS Aktiengesellschaft</t>
  </si>
  <si>
    <t>ELO</t>
  </si>
  <si>
    <t>EDP - ENERGIAS DE PORTUGAL S.A.</t>
  </si>
  <si>
    <t>SKY LIMITED</t>
  </si>
  <si>
    <t>Itraxx spread initiaux</t>
  </si>
  <si>
    <t>moyenne p 3Y</t>
  </si>
  <si>
    <t>moyenne p 5Y</t>
  </si>
  <si>
    <t>moyenne p 7Y</t>
  </si>
  <si>
    <t>Itraxx spread 6-12%</t>
  </si>
  <si>
    <t>Facteur 3y</t>
  </si>
  <si>
    <t>Facteur 7Y</t>
  </si>
  <si>
    <t>Facteur 5y</t>
  </si>
  <si>
    <t>Itraxx spread Super Senior</t>
  </si>
  <si>
    <t>iTraxx Europe Serie 40</t>
  </si>
  <si>
    <t>Valuation Date</t>
  </si>
  <si>
    <t>Quoted Tranche</t>
  </si>
  <si>
    <t>Tranche Name (Par Spread + 100 bps coupon)</t>
  </si>
  <si>
    <t>Attachment Point</t>
  </si>
  <si>
    <t>Detachment Point</t>
  </si>
  <si>
    <t>Tranche Quote Convention</t>
  </si>
  <si>
    <t>Tranche Coupon</t>
  </si>
  <si>
    <t>Price</t>
  </si>
  <si>
    <t>Index End Date</t>
  </si>
  <si>
    <t>Super Senior</t>
  </si>
  <si>
    <t>6-12%</t>
  </si>
  <si>
    <t>3-6%</t>
  </si>
  <si>
    <t>Up Front%</t>
  </si>
  <si>
    <t>Equity</t>
  </si>
  <si>
    <t xml:space="preserve">Single Name </t>
  </si>
  <si>
    <t>Rating</t>
  </si>
  <si>
    <t>Sector</t>
  </si>
  <si>
    <t>Running Spread</t>
  </si>
  <si>
    <t>Par Spread</t>
  </si>
  <si>
    <t>A</t>
  </si>
  <si>
    <t>Industrials</t>
  </si>
  <si>
    <t>BBB</t>
  </si>
  <si>
    <t>AAA</t>
  </si>
  <si>
    <t>AA</t>
  </si>
  <si>
    <t>Energy</t>
  </si>
  <si>
    <t>Utilities</t>
  </si>
  <si>
    <t>Technology</t>
  </si>
  <si>
    <t>Number</t>
  </si>
  <si>
    <t>Curves</t>
  </si>
  <si>
    <t>Curve Name</t>
  </si>
  <si>
    <t>Type of curve</t>
  </si>
  <si>
    <t>IBOR</t>
  </si>
  <si>
    <t>OIS</t>
  </si>
  <si>
    <t>1-month Term SOFR Swaps</t>
  </si>
  <si>
    <t>6-month EURIBOR Swaps</t>
  </si>
  <si>
    <t>3-month EURIBOR Swaps</t>
  </si>
  <si>
    <t>Itraxx spread 0-3%</t>
  </si>
  <si>
    <t>Facteur 7y</t>
  </si>
  <si>
    <t>Risk Weights</t>
  </si>
  <si>
    <t>RW JTD short</t>
  </si>
  <si>
    <t>RW Delta hedge short</t>
  </si>
  <si>
    <t>Delta Girr</t>
  </si>
  <si>
    <t>CDO Delta CDO</t>
  </si>
  <si>
    <t>Store Curve</t>
  </si>
  <si>
    <t>5y</t>
  </si>
  <si>
    <t>Consumer goods and services</t>
  </si>
  <si>
    <t>Health care</t>
  </si>
  <si>
    <t>Basic materials</t>
  </si>
  <si>
    <t>Financials including government-backed financials</t>
  </si>
  <si>
    <t>Telecommunications</t>
  </si>
  <si>
    <t>List of Sectors</t>
  </si>
  <si>
    <t>Sovereigns including central banks</t>
  </si>
  <si>
    <t>Multilateral development banks</t>
  </si>
  <si>
    <t>Local government</t>
  </si>
  <si>
    <t>Government-backed non-financials</t>
  </si>
  <si>
    <t>Education</t>
  </si>
  <si>
    <t>Public administration</t>
  </si>
  <si>
    <t>Agriculture</t>
  </si>
  <si>
    <t>Manufacturing</t>
  </si>
  <si>
    <t>Mining and quarrying</t>
  </si>
  <si>
    <t>Administrative and support service activities</t>
  </si>
  <si>
    <t>Transportation and storage</t>
  </si>
  <si>
    <t>Professional and technical activities</t>
  </si>
  <si>
    <t>Covered bonds</t>
  </si>
  <si>
    <t>Associated value</t>
  </si>
  <si>
    <t>Other sector</t>
  </si>
  <si>
    <t>Value</t>
  </si>
  <si>
    <t>Ref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</si>
</sst>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-* #,##0.00_-;\-* #,##0.00_-;_-* &quot;-&quot;??_-;_-@_-"/>
    <numFmt numFmtId="164" formatCode="0.000"/>
    <numFmt numFmtId="165" formatCode="0.000%"/>
    <numFmt numFmtId="166" formatCode="[$-409]d\-mmm\-yy;@"/>
    <numFmt numFmtId="167" formatCode="0.0000%"/>
    <numFmt numFmtId="168" formatCode="0.00000000"/>
    <numFmt numFmtId="169" formatCode="h:mm:ss;@"/>
    <numFmt numFmtId="170" formatCode="0.000000000%"/>
    <numFmt numFmtId="171" formatCode="0.0000000000%"/>
    <numFmt numFmtId="172" formatCode="[$-409]dd\-mmm\-yy;@"/>
    <numFmt numFmtId="173" formatCode="yyyy\-mm\-dd;@"/>
    <numFmt numFmtId="174" formatCode="0.0000000000000000"/>
    <numFmt numFmtId="175" formatCode="0.0%"/>
    <numFmt numFmtId="176" formatCode="[$-F400]h:mm:ss\ AM/PM"/>
    <numFmt numFmtId="177" formatCode="0.0000"/>
    <numFmt numFmtId="178" formatCode="0.00000"/>
    <numFmt numFmtId="179" formatCode="0.000000000000000"/>
    <numFmt numFmtId="180" formatCode="0.000000"/>
    <numFmt numFmtId="181" formatCode="[$-F800]dddd\,\ mmmm\ dd\,\ yyyy"/>
    <numFmt numFmtId="182" formatCode="0.00000000000"/>
    <numFmt numFmtId="183" formatCode="0.00000%"/>
  </numFmts>
  <fonts count="4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8"/>
      <color indexed="9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 Light"/>
      <family val="2"/>
      <scheme val="maj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b/>
      <sz val="12"/>
      <name val="Arial"/>
      <family val="2"/>
    </font>
    <font>
      <sz val="28"/>
      <color theme="1"/>
      <name val="Calibri"/>
      <family val="2"/>
      <scheme val="minor"/>
    </font>
    <font>
      <sz val="8"/>
      <color indexed="57"/>
      <name val="Arial"/>
      <family val="2"/>
    </font>
    <font>
      <sz val="10"/>
      <name val="Tahoma"/>
      <family val="2"/>
    </font>
    <font>
      <b/>
      <sz val="18"/>
      <color indexed="9"/>
      <name val="Georgia"/>
      <family val="1"/>
    </font>
    <font>
      <b/>
      <sz val="12"/>
      <color indexed="10"/>
      <name val="LucidaSans"/>
    </font>
    <font>
      <b/>
      <sz val="8"/>
      <color indexed="17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indexed="12"/>
      <name val="Arial"/>
      <family val="2"/>
    </font>
    <font>
      <sz val="8"/>
      <color rgb="FF339966"/>
      <name val="Arial"/>
      <family val="2"/>
    </font>
    <font>
      <sz val="8"/>
      <color theme="0"/>
      <name val="Arial"/>
      <family val="2"/>
    </font>
    <font>
      <b/>
      <sz val="9"/>
      <color indexed="81"/>
      <name val="Tahoma"/>
      <family val="2"/>
    </font>
    <font>
      <sz val="8"/>
      <color rgb="FF0000FF"/>
      <name val="Arial"/>
      <family val="2"/>
    </font>
    <font>
      <sz val="8"/>
      <color rgb="FF008000"/>
      <name val="Arial"/>
      <family val="2"/>
    </font>
    <font>
      <sz val="11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E6640A"/>
        <bgColor indexed="64"/>
      </patternFill>
    </fill>
    <fill>
      <patternFill patternType="solid">
        <fgColor rgb="FFE66E0A"/>
        <bgColor indexed="64"/>
      </patternFill>
    </fill>
  </fills>
  <borders count="5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9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  <xf numFmtId="9" fontId="3" fillId="0" borderId="0" applyFont="0" applyFill="0" applyBorder="0" applyAlignment="0" applyProtection="0"/>
    <xf numFmtId="0" fontId="41" fillId="0" borderId="0" applyNumberFormat="0" applyFill="0" applyBorder="0" applyAlignment="0" applyProtection="0"/>
    <xf numFmtId="43" fontId="2" fillId="0" borderId="0" applyFont="0" applyFill="0" applyBorder="0" applyAlignment="0" applyProtection="0"/>
  </cellStyleXfs>
  <cellXfs count="659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0" borderId="0" xfId="0" applyFont="1"/>
    <xf numFmtId="164" fontId="8" fillId="3" borderId="6" xfId="0" applyNumberFormat="1" applyFont="1" applyFill="1" applyBorder="1" applyAlignment="1">
      <alignment horizontal="center"/>
    </xf>
    <xf numFmtId="9" fontId="9" fillId="0" borderId="2" xfId="1" applyFont="1" applyBorder="1" applyAlignment="1">
      <alignment horizontal="center"/>
    </xf>
    <xf numFmtId="0" fontId="7" fillId="0" borderId="0" xfId="0" applyFont="1" applyAlignment="1">
      <alignment horizontal="center"/>
    </xf>
    <xf numFmtId="9" fontId="10" fillId="0" borderId="12" xfId="2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9" fontId="10" fillId="0" borderId="12" xfId="1" applyFont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0" borderId="10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0" fontId="7" fillId="0" borderId="13" xfId="0" applyFont="1" applyBorder="1"/>
    <xf numFmtId="0" fontId="7" fillId="0" borderId="7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9" fontId="13" fillId="0" borderId="9" xfId="1" applyFont="1" applyBorder="1" applyAlignment="1">
      <alignment horizontal="center"/>
    </xf>
    <xf numFmtId="9" fontId="14" fillId="0" borderId="8" xfId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9" fontId="13" fillId="0" borderId="10" xfId="1" applyFont="1" applyBorder="1" applyAlignment="1">
      <alignment horizontal="center"/>
    </xf>
    <xf numFmtId="9" fontId="14" fillId="0" borderId="2" xfId="1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9" fontId="13" fillId="0" borderId="11" xfId="1" applyFont="1" applyBorder="1" applyAlignment="1">
      <alignment horizontal="center"/>
    </xf>
    <xf numFmtId="9" fontId="14" fillId="0" borderId="4" xfId="1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9" fontId="9" fillId="0" borderId="8" xfId="1" applyFont="1" applyBorder="1" applyAlignment="1">
      <alignment horizontal="center"/>
    </xf>
    <xf numFmtId="9" fontId="9" fillId="0" borderId="4" xfId="1" applyFont="1" applyBorder="1" applyAlignment="1">
      <alignment horizontal="center"/>
    </xf>
    <xf numFmtId="9" fontId="10" fillId="0" borderId="8" xfId="1" applyFont="1" applyBorder="1" applyAlignment="1">
      <alignment horizontal="center"/>
    </xf>
    <xf numFmtId="9" fontId="10" fillId="0" borderId="2" xfId="1" applyFont="1" applyBorder="1" applyAlignment="1">
      <alignment horizontal="center"/>
    </xf>
    <xf numFmtId="9" fontId="10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9" fillId="0" borderId="10" xfId="1" applyFont="1" applyBorder="1" applyAlignment="1">
      <alignment horizontal="center"/>
    </xf>
    <xf numFmtId="0" fontId="9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9" fillId="0" borderId="2" xfId="1" applyNumberFormat="1" applyFont="1" applyBorder="1" applyAlignment="1">
      <alignment horizontal="center"/>
    </xf>
    <xf numFmtId="14" fontId="9" fillId="0" borderId="10" xfId="0" applyNumberFormat="1" applyFont="1" applyBorder="1" applyAlignment="1">
      <alignment horizontal="center"/>
    </xf>
    <xf numFmtId="14" fontId="9" fillId="0" borderId="11" xfId="0" applyNumberFormat="1" applyFont="1" applyBorder="1" applyAlignment="1">
      <alignment horizontal="center"/>
    </xf>
    <xf numFmtId="14" fontId="9" fillId="0" borderId="10" xfId="1" applyNumberFormat="1" applyFont="1" applyBorder="1" applyAlignment="1">
      <alignment horizontal="center"/>
    </xf>
    <xf numFmtId="164" fontId="8" fillId="3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7" fillId="0" borderId="21" xfId="0" applyFont="1" applyBorder="1"/>
    <xf numFmtId="0" fontId="7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15" fontId="18" fillId="2" borderId="12" xfId="0" applyNumberFormat="1" applyFont="1" applyFill="1" applyBorder="1"/>
    <xf numFmtId="0" fontId="21" fillId="0" borderId="15" xfId="0" applyFont="1" applyBorder="1" applyAlignment="1">
      <alignment horizontal="center"/>
    </xf>
    <xf numFmtId="0" fontId="21" fillId="0" borderId="16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2" fillId="0" borderId="7" xfId="0" applyFont="1" applyBorder="1" applyAlignment="1">
      <alignment horizontal="center"/>
    </xf>
    <xf numFmtId="0" fontId="22" fillId="0" borderId="23" xfId="0" applyFont="1" applyBorder="1"/>
    <xf numFmtId="0" fontId="22" fillId="0" borderId="8" xfId="0" applyFont="1" applyBorder="1" applyAlignment="1">
      <alignment horizontal="center"/>
    </xf>
    <xf numFmtId="10" fontId="22" fillId="0" borderId="24" xfId="3" applyNumberFormat="1" applyFont="1" applyBorder="1" applyAlignment="1">
      <alignment horizontal="center"/>
    </xf>
    <xf numFmtId="10" fontId="22" fillId="0" borderId="25" xfId="3" applyNumberFormat="1" applyFont="1" applyBorder="1" applyAlignment="1">
      <alignment horizontal="center"/>
    </xf>
    <xf numFmtId="10" fontId="22" fillId="0" borderId="8" xfId="3" applyNumberFormat="1" applyFont="1" applyBorder="1" applyAlignment="1">
      <alignment horizontal="center"/>
    </xf>
    <xf numFmtId="0" fontId="22" fillId="0" borderId="1" xfId="0" applyFont="1" applyBorder="1" applyAlignment="1">
      <alignment horizontal="center"/>
    </xf>
    <xf numFmtId="0" fontId="22" fillId="0" borderId="0" xfId="0" applyFont="1"/>
    <xf numFmtId="0" fontId="22" fillId="0" borderId="2" xfId="0" applyFont="1" applyBorder="1" applyAlignment="1">
      <alignment horizontal="center"/>
    </xf>
    <xf numFmtId="10" fontId="22" fillId="0" borderId="26" xfId="3" applyNumberFormat="1" applyFont="1" applyBorder="1" applyAlignment="1">
      <alignment horizontal="center"/>
    </xf>
    <xf numFmtId="10" fontId="22" fillId="0" borderId="27" xfId="3" applyNumberFormat="1" applyFont="1" applyBorder="1" applyAlignment="1">
      <alignment horizontal="center"/>
    </xf>
    <xf numFmtId="10" fontId="22" fillId="0" borderId="2" xfId="3" applyNumberFormat="1" applyFont="1" applyBorder="1" applyAlignment="1">
      <alignment horizontal="center"/>
    </xf>
    <xf numFmtId="0" fontId="22" fillId="0" borderId="3" xfId="0" applyFont="1" applyBorder="1" applyAlignment="1">
      <alignment horizontal="center"/>
    </xf>
    <xf numFmtId="0" fontId="22" fillId="0" borderId="28" xfId="0" applyFont="1" applyBorder="1"/>
    <xf numFmtId="0" fontId="22" fillId="0" borderId="4" xfId="0" applyFont="1" applyBorder="1" applyAlignment="1">
      <alignment horizontal="center"/>
    </xf>
    <xf numFmtId="10" fontId="22" fillId="0" borderId="18" xfId="3" applyNumberFormat="1" applyFont="1" applyBorder="1" applyAlignment="1">
      <alignment horizontal="center"/>
    </xf>
    <xf numFmtId="10" fontId="22" fillId="0" borderId="19" xfId="3" applyNumberFormat="1" applyFont="1" applyBorder="1" applyAlignment="1">
      <alignment horizontal="center"/>
    </xf>
    <xf numFmtId="10" fontId="22" fillId="0" borderId="4" xfId="3" applyNumberFormat="1" applyFont="1" applyBorder="1" applyAlignment="1">
      <alignment horizontal="center"/>
    </xf>
    <xf numFmtId="0" fontId="20" fillId="0" borderId="0" xfId="0" applyFont="1"/>
    <xf numFmtId="0" fontId="23" fillId="0" borderId="7" xfId="0" applyFont="1" applyBorder="1" applyAlignment="1">
      <alignment horizontal="center"/>
    </xf>
    <xf numFmtId="0" fontId="20" fillId="0" borderId="23" xfId="0" applyFont="1" applyBorder="1"/>
    <xf numFmtId="10" fontId="24" fillId="0" borderId="25" xfId="3" applyNumberFormat="1" applyFont="1" applyBorder="1" applyAlignment="1">
      <alignment horizontal="center"/>
    </xf>
    <xf numFmtId="10" fontId="24" fillId="0" borderId="29" xfId="3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0" fillId="0" borderId="0" xfId="0" applyFont="1" applyAlignment="1">
      <alignment horizontal="center"/>
    </xf>
    <xf numFmtId="10" fontId="24" fillId="0" borderId="27" xfId="3" applyNumberFormat="1" applyFont="1" applyBorder="1" applyAlignment="1">
      <alignment horizontal="center"/>
    </xf>
    <xf numFmtId="10" fontId="24" fillId="0" borderId="30" xfId="3" applyNumberFormat="1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0" fillId="0" borderId="28" xfId="0" applyFont="1" applyBorder="1"/>
    <xf numFmtId="10" fontId="24" fillId="0" borderId="19" xfId="3" applyNumberFormat="1" applyFont="1" applyBorder="1" applyAlignment="1">
      <alignment horizontal="center"/>
    </xf>
    <xf numFmtId="10" fontId="24" fillId="0" borderId="20" xfId="3" applyNumberFormat="1" applyFont="1" applyBorder="1" applyAlignment="1">
      <alignment horizontal="center"/>
    </xf>
    <xf numFmtId="15" fontId="18" fillId="2" borderId="5" xfId="0" applyNumberFormat="1" applyFont="1" applyFill="1" applyBorder="1"/>
    <xf numFmtId="15" fontId="20" fillId="0" borderId="0" xfId="0" applyNumberFormat="1" applyFont="1" applyAlignment="1">
      <alignment horizontal="center"/>
    </xf>
    <xf numFmtId="0" fontId="20" fillId="0" borderId="7" xfId="0" applyFont="1" applyBorder="1" applyAlignment="1">
      <alignment horizontal="center"/>
    </xf>
    <xf numFmtId="9" fontId="22" fillId="0" borderId="8" xfId="0" applyNumberFormat="1" applyFont="1" applyBorder="1" applyAlignment="1">
      <alignment horizontal="center"/>
    </xf>
    <xf numFmtId="0" fontId="20" fillId="0" borderId="1" xfId="0" applyFont="1" applyBorder="1" applyAlignment="1">
      <alignment horizontal="center"/>
    </xf>
    <xf numFmtId="9" fontId="22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0" borderId="9" xfId="2" applyFont="1" applyBorder="1" applyAlignment="1">
      <alignment horizontal="center"/>
    </xf>
    <xf numFmtId="0" fontId="0" fillId="0" borderId="14" xfId="0" applyBorder="1"/>
    <xf numFmtId="0" fontId="0" fillId="0" borderId="6" xfId="0" applyBorder="1"/>
    <xf numFmtId="15" fontId="26" fillId="3" borderId="14" xfId="0" applyNumberFormat="1" applyFont="1" applyFill="1" applyBorder="1" applyAlignment="1">
      <alignment horizontal="center"/>
    </xf>
    <xf numFmtId="0" fontId="7" fillId="3" borderId="9" xfId="2" applyFont="1" applyFill="1" applyBorder="1" applyAlignment="1">
      <alignment horizontal="left"/>
    </xf>
    <xf numFmtId="0" fontId="7" fillId="3" borderId="10" xfId="2" applyFont="1" applyFill="1" applyBorder="1" applyAlignment="1">
      <alignment horizontal="left"/>
    </xf>
    <xf numFmtId="0" fontId="7" fillId="3" borderId="10" xfId="0" applyFont="1" applyFill="1" applyBorder="1"/>
    <xf numFmtId="0" fontId="7" fillId="3" borderId="1" xfId="0" applyFont="1" applyFill="1" applyBorder="1"/>
    <xf numFmtId="0" fontId="7" fillId="3" borderId="3" xfId="0" applyFont="1" applyFill="1" applyBorder="1"/>
    <xf numFmtId="0" fontId="26" fillId="3" borderId="12" xfId="0" applyFont="1" applyFill="1" applyBorder="1"/>
    <xf numFmtId="0" fontId="27" fillId="3" borderId="5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7" fillId="3" borderId="5" xfId="0" applyFont="1" applyFill="1" applyBorder="1"/>
    <xf numFmtId="0" fontId="7" fillId="3" borderId="12" xfId="2" applyFont="1" applyFill="1" applyBorder="1" applyAlignment="1">
      <alignment horizontal="left"/>
    </xf>
    <xf numFmtId="0" fontId="7" fillId="3" borderId="12" xfId="0" applyFont="1" applyFill="1" applyBorder="1"/>
    <xf numFmtId="0" fontId="7" fillId="3" borderId="9" xfId="0" applyFont="1" applyFill="1" applyBorder="1"/>
    <xf numFmtId="0" fontId="7" fillId="3" borderId="11" xfId="0" applyFont="1" applyFill="1" applyBorder="1"/>
    <xf numFmtId="0" fontId="28" fillId="3" borderId="5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10" fontId="24" fillId="0" borderId="31" xfId="3" applyNumberFormat="1" applyFont="1" applyBorder="1" applyAlignment="1">
      <alignment horizontal="center"/>
    </xf>
    <xf numFmtId="10" fontId="24" fillId="0" borderId="32" xfId="3" applyNumberFormat="1" applyFont="1" applyBorder="1" applyAlignment="1">
      <alignment horizontal="center"/>
    </xf>
    <xf numFmtId="10" fontId="24" fillId="0" borderId="33" xfId="3" applyNumberFormat="1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0" fontId="20" fillId="0" borderId="2" xfId="0" applyFont="1" applyBorder="1" applyAlignment="1">
      <alignment horizontal="center"/>
    </xf>
    <xf numFmtId="0" fontId="20" fillId="0" borderId="4" xfId="0" applyFont="1" applyBorder="1" applyAlignment="1">
      <alignment horizontal="center"/>
    </xf>
    <xf numFmtId="0" fontId="26" fillId="3" borderId="23" xfId="0" applyFont="1" applyFill="1" applyBorder="1" applyAlignment="1">
      <alignment horizontal="center" vertical="center" wrapText="1"/>
    </xf>
    <xf numFmtId="0" fontId="26" fillId="3" borderId="12" xfId="0" applyFont="1" applyFill="1" applyBorder="1" applyAlignment="1">
      <alignment horizontal="center" vertical="center" wrapText="1"/>
    </xf>
    <xf numFmtId="0" fontId="26" fillId="3" borderId="12" xfId="0" applyFont="1" applyFill="1" applyBorder="1" applyAlignment="1">
      <alignment horizontal="center" vertical="center"/>
    </xf>
    <xf numFmtId="10" fontId="22" fillId="0" borderId="7" xfId="1" applyNumberFormat="1" applyFont="1" applyBorder="1" applyAlignment="1">
      <alignment horizontal="center"/>
    </xf>
    <xf numFmtId="10" fontId="22" fillId="0" borderId="23" xfId="1" applyNumberFormat="1" applyFont="1" applyBorder="1" applyAlignment="1">
      <alignment horizontal="center"/>
    </xf>
    <xf numFmtId="10" fontId="24" fillId="0" borderId="7" xfId="1" applyNumberFormat="1" applyFont="1" applyBorder="1"/>
    <xf numFmtId="10" fontId="24" fillId="0" borderId="23" xfId="1" applyNumberFormat="1" applyFont="1" applyBorder="1"/>
    <xf numFmtId="10" fontId="24" fillId="0" borderId="8" xfId="1" applyNumberFormat="1" applyFont="1" applyBorder="1"/>
    <xf numFmtId="10" fontId="20" fillId="0" borderId="0" xfId="0" applyNumberFormat="1" applyFont="1"/>
    <xf numFmtId="10" fontId="22" fillId="0" borderId="1" xfId="1" applyNumberFormat="1" applyFont="1" applyBorder="1" applyAlignment="1">
      <alignment horizontal="center"/>
    </xf>
    <xf numFmtId="10" fontId="24" fillId="0" borderId="1" xfId="1" applyNumberFormat="1" applyFont="1" applyBorder="1"/>
    <xf numFmtId="10" fontId="24" fillId="0" borderId="2" xfId="1" applyNumberFormat="1" applyFont="1" applyBorder="1"/>
    <xf numFmtId="14" fontId="20" fillId="0" borderId="0" xfId="0" applyNumberFormat="1" applyFont="1"/>
    <xf numFmtId="0" fontId="19" fillId="0" borderId="6" xfId="0" applyFont="1" applyBorder="1" applyAlignment="1">
      <alignment horizontal="center"/>
    </xf>
    <xf numFmtId="15" fontId="31" fillId="0" borderId="10" xfId="0" applyNumberFormat="1" applyFont="1" applyBorder="1"/>
    <xf numFmtId="0" fontId="31" fillId="0" borderId="10" xfId="0" applyFont="1" applyBorder="1"/>
    <xf numFmtId="0" fontId="31" fillId="0" borderId="11" xfId="0" applyFont="1" applyBorder="1"/>
    <xf numFmtId="0" fontId="19" fillId="0" borderId="12" xfId="0" applyFont="1" applyBorder="1" applyAlignment="1">
      <alignment horizontal="center"/>
    </xf>
    <xf numFmtId="0" fontId="26" fillId="3" borderId="7" xfId="0" applyFont="1" applyFill="1" applyBorder="1"/>
    <xf numFmtId="0" fontId="26" fillId="3" borderId="3" xfId="0" applyFont="1" applyFill="1" applyBorder="1"/>
    <xf numFmtId="0" fontId="27" fillId="3" borderId="8" xfId="0" applyFont="1" applyFill="1" applyBorder="1"/>
    <xf numFmtId="0" fontId="27" fillId="3" borderId="9" xfId="0" applyFont="1" applyFill="1" applyBorder="1"/>
    <xf numFmtId="0" fontId="25" fillId="3" borderId="1" xfId="0" applyFont="1" applyFill="1" applyBorder="1" applyAlignment="1">
      <alignment horizontal="center"/>
    </xf>
    <xf numFmtId="0" fontId="25" fillId="3" borderId="0" xfId="0" applyFont="1" applyFill="1" applyAlignment="1">
      <alignment horizontal="center"/>
    </xf>
    <xf numFmtId="15" fontId="32" fillId="3" borderId="5" xfId="0" applyNumberFormat="1" applyFont="1" applyFill="1" applyBorder="1" applyAlignment="1">
      <alignment horizontal="center"/>
    </xf>
    <xf numFmtId="0" fontId="25" fillId="3" borderId="2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10" fontId="22" fillId="0" borderId="0" xfId="1" applyNumberFormat="1" applyFont="1" applyBorder="1" applyAlignment="1">
      <alignment horizontal="center"/>
    </xf>
    <xf numFmtId="10" fontId="24" fillId="0" borderId="0" xfId="1" applyNumberFormat="1" applyFont="1" applyBorder="1"/>
    <xf numFmtId="167" fontId="0" fillId="0" borderId="0" xfId="1" applyNumberFormat="1" applyFont="1"/>
    <xf numFmtId="10" fontId="0" fillId="0" borderId="0" xfId="1" applyNumberFormat="1" applyFont="1"/>
    <xf numFmtId="0" fontId="11" fillId="3" borderId="12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165" fontId="24" fillId="0" borderId="0" xfId="1" applyNumberFormat="1" applyFont="1" applyBorder="1" applyAlignment="1">
      <alignment horizontal="center"/>
    </xf>
    <xf numFmtId="168" fontId="0" fillId="0" borderId="0" xfId="0" applyNumberFormat="1"/>
    <xf numFmtId="0" fontId="20" fillId="3" borderId="14" xfId="0" applyFont="1" applyFill="1" applyBorder="1" applyAlignment="1">
      <alignment horizontal="center"/>
    </xf>
    <xf numFmtId="0" fontId="20" fillId="3" borderId="6" xfId="0" applyFont="1" applyFill="1" applyBorder="1" applyAlignment="1">
      <alignment horizontal="center"/>
    </xf>
    <xf numFmtId="166" fontId="20" fillId="3" borderId="12" xfId="0" applyNumberFormat="1" applyFont="1" applyFill="1" applyBorder="1" applyAlignment="1">
      <alignment horizontal="center"/>
    </xf>
    <xf numFmtId="14" fontId="20" fillId="3" borderId="12" xfId="0" applyNumberFormat="1" applyFont="1" applyFill="1" applyBorder="1" applyAlignment="1">
      <alignment horizontal="center"/>
    </xf>
    <xf numFmtId="0" fontId="20" fillId="3" borderId="12" xfId="0" applyFont="1" applyFill="1" applyBorder="1" applyAlignment="1">
      <alignment horizontal="center"/>
    </xf>
    <xf numFmtId="14" fontId="0" fillId="0" borderId="0" xfId="0" applyNumberFormat="1"/>
    <xf numFmtId="165" fontId="24" fillId="0" borderId="23" xfId="1" applyNumberFormat="1" applyFont="1" applyBorder="1" applyAlignment="1">
      <alignment horizontal="center"/>
    </xf>
    <xf numFmtId="10" fontId="23" fillId="0" borderId="2" xfId="1" applyNumberFormat="1" applyFont="1" applyBorder="1" applyAlignment="1">
      <alignment horizontal="center"/>
    </xf>
    <xf numFmtId="165" fontId="24" fillId="0" borderId="28" xfId="1" applyNumberFormat="1" applyFont="1" applyBorder="1" applyAlignment="1">
      <alignment horizontal="center"/>
    </xf>
    <xf numFmtId="0" fontId="21" fillId="3" borderId="12" xfId="0" applyFont="1" applyFill="1" applyBorder="1"/>
    <xf numFmtId="0" fontId="21" fillId="3" borderId="34" xfId="0" applyFont="1" applyFill="1" applyBorder="1" applyAlignment="1">
      <alignment horizontal="center"/>
    </xf>
    <xf numFmtId="0" fontId="21" fillId="3" borderId="35" xfId="0" applyFont="1" applyFill="1" applyBorder="1" applyAlignment="1">
      <alignment horizontal="center"/>
    </xf>
    <xf numFmtId="14" fontId="33" fillId="0" borderId="9" xfId="0" applyNumberFormat="1" applyFont="1" applyBorder="1" applyAlignment="1">
      <alignment horizontal="center"/>
    </xf>
    <xf numFmtId="14" fontId="33" fillId="0" borderId="10" xfId="0" applyNumberFormat="1" applyFont="1" applyBorder="1" applyAlignment="1">
      <alignment horizontal="center"/>
    </xf>
    <xf numFmtId="14" fontId="33" fillId="0" borderId="11" xfId="0" applyNumberFormat="1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7" fillId="3" borderId="10" xfId="0" applyFont="1" applyFill="1" applyBorder="1" applyAlignment="1">
      <alignment horizontal="center" wrapText="1"/>
    </xf>
    <xf numFmtId="0" fontId="27" fillId="3" borderId="11" xfId="0" applyFont="1" applyFill="1" applyBorder="1" applyAlignment="1">
      <alignment horizontal="center" wrapText="1"/>
    </xf>
    <xf numFmtId="0" fontId="33" fillId="3" borderId="11" xfId="0" applyFont="1" applyFill="1" applyBorder="1" applyAlignment="1">
      <alignment horizontal="center" wrapText="1"/>
    </xf>
    <xf numFmtId="0" fontId="27" fillId="3" borderId="11" xfId="0" applyFont="1" applyFill="1" applyBorder="1"/>
    <xf numFmtId="0" fontId="27" fillId="3" borderId="2" xfId="0" applyFont="1" applyFill="1" applyBorder="1" applyAlignment="1">
      <alignment horizontal="center" wrapText="1"/>
    </xf>
    <xf numFmtId="0" fontId="27" fillId="3" borderId="10" xfId="0" applyFont="1" applyFill="1" applyBorder="1"/>
    <xf numFmtId="0" fontId="20" fillId="3" borderId="5" xfId="0" applyFont="1" applyFill="1" applyBorder="1" applyAlignment="1">
      <alignment horizontal="center"/>
    </xf>
    <xf numFmtId="15" fontId="22" fillId="0" borderId="2" xfId="0" applyNumberFormat="1" applyFont="1" applyBorder="1" applyAlignment="1">
      <alignment horizontal="center"/>
    </xf>
    <xf numFmtId="165" fontId="22" fillId="0" borderId="2" xfId="0" applyNumberFormat="1" applyFont="1" applyBorder="1" applyAlignment="1">
      <alignment horizontal="center"/>
    </xf>
    <xf numFmtId="9" fontId="22" fillId="0" borderId="4" xfId="1" applyFont="1" applyBorder="1" applyAlignment="1">
      <alignment horizontal="center"/>
    </xf>
    <xf numFmtId="0" fontId="22" fillId="0" borderId="8" xfId="0" applyFont="1" applyBorder="1"/>
    <xf numFmtId="0" fontId="22" fillId="0" borderId="4" xfId="0" applyFont="1" applyBorder="1"/>
    <xf numFmtId="0" fontId="20" fillId="0" borderId="0" xfId="0" applyFont="1" applyAlignment="1">
      <alignment horizontal="left"/>
    </xf>
    <xf numFmtId="0" fontId="22" fillId="0" borderId="10" xfId="0" applyFont="1" applyBorder="1"/>
    <xf numFmtId="0" fontId="22" fillId="0" borderId="11" xfId="0" applyFont="1" applyBorder="1"/>
    <xf numFmtId="0" fontId="20" fillId="3" borderId="0" xfId="0" applyFont="1" applyFill="1"/>
    <xf numFmtId="0" fontId="21" fillId="3" borderId="0" xfId="0" applyFont="1" applyFill="1"/>
    <xf numFmtId="0" fontId="20" fillId="3" borderId="0" xfId="0" applyFont="1" applyFill="1" applyAlignment="1">
      <alignment horizontal="center"/>
    </xf>
    <xf numFmtId="0" fontId="21" fillId="3" borderId="1" xfId="0" applyFont="1" applyFill="1" applyBorder="1"/>
    <xf numFmtId="0" fontId="21" fillId="3" borderId="3" xfId="0" applyFont="1" applyFill="1" applyBorder="1"/>
    <xf numFmtId="0" fontId="21" fillId="3" borderId="9" xfId="0" applyFont="1" applyFill="1" applyBorder="1"/>
    <xf numFmtId="0" fontId="21" fillId="3" borderId="10" xfId="0" applyFont="1" applyFill="1" applyBorder="1"/>
    <xf numFmtId="0" fontId="21" fillId="3" borderId="11" xfId="0" applyFont="1" applyFill="1" applyBorder="1"/>
    <xf numFmtId="0" fontId="21" fillId="3" borderId="9" xfId="0" applyFont="1" applyFill="1" applyBorder="1" applyAlignment="1">
      <alignment horizontal="left"/>
    </xf>
    <xf numFmtId="0" fontId="22" fillId="0" borderId="9" xfId="0" applyFont="1" applyBorder="1"/>
    <xf numFmtId="15" fontId="23" fillId="0" borderId="9" xfId="0" applyNumberFormat="1" applyFont="1" applyBorder="1" applyAlignment="1">
      <alignment horizontal="center"/>
    </xf>
    <xf numFmtId="169" fontId="23" fillId="4" borderId="11" xfId="1" applyNumberFormat="1" applyFont="1" applyFill="1" applyBorder="1" applyAlignment="1">
      <alignment horizontal="center"/>
    </xf>
    <xf numFmtId="2" fontId="23" fillId="0" borderId="7" xfId="0" applyNumberFormat="1" applyFont="1" applyBorder="1" applyAlignment="1">
      <alignment horizontal="center"/>
    </xf>
    <xf numFmtId="10" fontId="23" fillId="0" borderId="8" xfId="1" applyNumberFormat="1" applyFont="1" applyBorder="1" applyAlignment="1">
      <alignment horizontal="center"/>
    </xf>
    <xf numFmtId="2" fontId="23" fillId="0" borderId="1" xfId="0" applyNumberFormat="1" applyFont="1" applyBorder="1" applyAlignment="1">
      <alignment horizontal="center"/>
    </xf>
    <xf numFmtId="2" fontId="23" fillId="0" borderId="3" xfId="0" applyNumberFormat="1" applyFont="1" applyBorder="1" applyAlignment="1">
      <alignment horizontal="center"/>
    </xf>
    <xf numFmtId="10" fontId="23" fillId="0" borderId="4" xfId="1" applyNumberFormat="1" applyFont="1" applyBorder="1" applyAlignment="1">
      <alignment horizontal="center"/>
    </xf>
    <xf numFmtId="15" fontId="20" fillId="5" borderId="12" xfId="0" applyNumberFormat="1" applyFont="1" applyFill="1" applyBorder="1" applyAlignment="1">
      <alignment horizontal="center"/>
    </xf>
    <xf numFmtId="0" fontId="22" fillId="0" borderId="8" xfId="0" quotePrefix="1" applyFont="1" applyBorder="1" applyAlignment="1">
      <alignment horizontal="center"/>
    </xf>
    <xf numFmtId="165" fontId="24" fillId="0" borderId="23" xfId="1" applyNumberFormat="1" applyFont="1" applyBorder="1"/>
    <xf numFmtId="171" fontId="20" fillId="0" borderId="0" xfId="0" applyNumberFormat="1" applyFont="1"/>
    <xf numFmtId="10" fontId="22" fillId="0" borderId="9" xfId="0" applyNumberFormat="1" applyFont="1" applyBorder="1" applyAlignment="1">
      <alignment horizontal="center"/>
    </xf>
    <xf numFmtId="0" fontId="21" fillId="6" borderId="9" xfId="0" applyFont="1" applyFill="1" applyBorder="1" applyAlignment="1">
      <alignment horizontal="left"/>
    </xf>
    <xf numFmtId="0" fontId="21" fillId="6" borderId="10" xfId="0" applyFont="1" applyFill="1" applyBorder="1" applyAlignment="1">
      <alignment horizontal="left"/>
    </xf>
    <xf numFmtId="0" fontId="21" fillId="6" borderId="12" xfId="0" applyFont="1" applyFill="1" applyBorder="1" applyAlignment="1">
      <alignment horizontal="center"/>
    </xf>
    <xf numFmtId="0" fontId="21" fillId="6" borderId="11" xfId="0" applyFont="1" applyFill="1" applyBorder="1" applyAlignment="1">
      <alignment horizontal="center"/>
    </xf>
    <xf numFmtId="0" fontId="20" fillId="0" borderId="0" xfId="2" applyFont="1" applyAlignment="1"/>
    <xf numFmtId="0" fontId="20" fillId="0" borderId="0" xfId="2" applyFont="1" applyAlignment="1">
      <alignment horizontal="center"/>
    </xf>
    <xf numFmtId="15" fontId="22" fillId="4" borderId="8" xfId="2" applyNumberFormat="1" applyFont="1" applyFill="1" applyBorder="1" applyAlignment="1">
      <alignment horizontal="center"/>
    </xf>
    <xf numFmtId="172" fontId="23" fillId="0" borderId="2" xfId="2" applyNumberFormat="1" applyFont="1" applyBorder="1" applyAlignment="1">
      <alignment horizontal="center"/>
    </xf>
    <xf numFmtId="0" fontId="22" fillId="4" borderId="2" xfId="2" applyFont="1" applyFill="1" applyBorder="1" applyAlignment="1">
      <alignment horizontal="center"/>
    </xf>
    <xf numFmtId="9" fontId="22" fillId="4" borderId="2" xfId="2" applyNumberFormat="1" applyFont="1" applyFill="1" applyBorder="1" applyAlignment="1">
      <alignment horizontal="center"/>
    </xf>
    <xf numFmtId="9" fontId="22" fillId="4" borderId="4" xfId="5" applyFont="1" applyFill="1" applyBorder="1" applyAlignment="1">
      <alignment horizontal="center"/>
    </xf>
    <xf numFmtId="165" fontId="22" fillId="4" borderId="8" xfId="2" applyNumberFormat="1" applyFont="1" applyFill="1" applyBorder="1" applyAlignment="1">
      <alignment horizontal="center"/>
    </xf>
    <xf numFmtId="0" fontId="22" fillId="4" borderId="8" xfId="2" applyFont="1" applyFill="1" applyBorder="1" applyAlignment="1">
      <alignment horizontal="center"/>
    </xf>
    <xf numFmtId="1" fontId="23" fillId="4" borderId="2" xfId="2" applyNumberFormat="1" applyFont="1" applyFill="1" applyBorder="1" applyAlignment="1">
      <alignment horizontal="center"/>
    </xf>
    <xf numFmtId="0" fontId="20" fillId="0" borderId="0" xfId="2" applyFont="1" applyAlignment="1">
      <alignment horizontal="left"/>
    </xf>
    <xf numFmtId="2" fontId="22" fillId="4" borderId="2" xfId="2" applyNumberFormat="1" applyFont="1" applyFill="1" applyBorder="1" applyAlignment="1">
      <alignment horizontal="center"/>
    </xf>
    <xf numFmtId="10" fontId="23" fillId="0" borderId="0" xfId="5" applyNumberFormat="1" applyFont="1" applyAlignment="1">
      <alignment horizontal="left"/>
    </xf>
    <xf numFmtId="0" fontId="22" fillId="0" borderId="0" xfId="2" applyFont="1" applyAlignment="1">
      <alignment horizontal="center"/>
    </xf>
    <xf numFmtId="10" fontId="22" fillId="0" borderId="0" xfId="2" applyNumberFormat="1" applyFont="1" applyAlignment="1">
      <alignment horizontal="center"/>
    </xf>
    <xf numFmtId="10" fontId="22" fillId="4" borderId="4" xfId="2" applyNumberFormat="1" applyFont="1" applyFill="1" applyBorder="1" applyAlignment="1">
      <alignment horizontal="center"/>
    </xf>
    <xf numFmtId="0" fontId="20" fillId="0" borderId="0" xfId="2" applyFont="1" applyAlignment="1">
      <alignment horizontal="right"/>
    </xf>
    <xf numFmtId="15" fontId="20" fillId="2" borderId="6" xfId="2" applyNumberFormat="1" applyFont="1" applyFill="1" applyBorder="1" applyAlignment="1">
      <alignment horizontal="center"/>
    </xf>
    <xf numFmtId="10" fontId="22" fillId="4" borderId="2" xfId="2" applyNumberFormat="1" applyFont="1" applyFill="1" applyBorder="1" applyAlignment="1">
      <alignment horizontal="center"/>
    </xf>
    <xf numFmtId="0" fontId="22" fillId="0" borderId="8" xfId="2" applyFont="1" applyBorder="1" applyAlignment="1">
      <alignment horizontal="center"/>
    </xf>
    <xf numFmtId="167" fontId="36" fillId="0" borderId="0" xfId="2" applyNumberFormat="1" applyFont="1" applyAlignment="1">
      <alignment horizontal="center"/>
    </xf>
    <xf numFmtId="10" fontId="22" fillId="4" borderId="2" xfId="5" applyNumberFormat="1" applyFont="1" applyFill="1" applyBorder="1" applyAlignment="1">
      <alignment horizontal="center"/>
    </xf>
    <xf numFmtId="0" fontId="22" fillId="0" borderId="11" xfId="2" applyFont="1" applyBorder="1" applyAlignment="1">
      <alignment horizontal="center"/>
    </xf>
    <xf numFmtId="0" fontId="18" fillId="2" borderId="6" xfId="2" applyFont="1" applyFill="1" applyBorder="1" applyAlignment="1">
      <alignment horizontal="center"/>
    </xf>
    <xf numFmtId="4" fontId="22" fillId="4" borderId="9" xfId="2" applyNumberFormat="1" applyFont="1" applyFill="1" applyBorder="1" applyAlignment="1">
      <alignment horizontal="center"/>
    </xf>
    <xf numFmtId="4" fontId="22" fillId="4" borderId="10" xfId="2" applyNumberFormat="1" applyFont="1" applyFill="1" applyBorder="1" applyAlignment="1">
      <alignment horizontal="left"/>
    </xf>
    <xf numFmtId="4" fontId="22" fillId="4" borderId="10" xfId="2" applyNumberFormat="1" applyFont="1" applyFill="1" applyBorder="1" applyAlignment="1">
      <alignment horizontal="center"/>
    </xf>
    <xf numFmtId="0" fontId="18" fillId="4" borderId="8" xfId="0" applyFont="1" applyFill="1" applyBorder="1" applyAlignment="1">
      <alignment horizontal="center"/>
    </xf>
    <xf numFmtId="0" fontId="18" fillId="4" borderId="2" xfId="0" applyFont="1" applyFill="1" applyBorder="1" applyAlignment="1">
      <alignment horizontal="center"/>
    </xf>
    <xf numFmtId="0" fontId="18" fillId="2" borderId="0" xfId="0" applyFont="1" applyFill="1" applyAlignment="1">
      <alignment horizontal="center"/>
    </xf>
    <xf numFmtId="0" fontId="18" fillId="2" borderId="2" xfId="0" applyFont="1" applyFill="1" applyBorder="1" applyAlignment="1">
      <alignment horizontal="center"/>
    </xf>
    <xf numFmtId="0" fontId="25" fillId="4" borderId="23" xfId="5" quotePrefix="1" applyNumberFormat="1" applyFont="1" applyFill="1" applyBorder="1" applyAlignment="1">
      <alignment horizontal="center"/>
    </xf>
    <xf numFmtId="0" fontId="25" fillId="4" borderId="0" xfId="5" quotePrefix="1" applyNumberFormat="1" applyFont="1" applyFill="1" applyAlignment="1">
      <alignment horizontal="center"/>
    </xf>
    <xf numFmtId="0" fontId="25" fillId="4" borderId="0" xfId="0" quotePrefix="1" applyFont="1" applyFill="1" applyAlignment="1">
      <alignment horizontal="center"/>
    </xf>
    <xf numFmtId="0" fontId="25" fillId="4" borderId="0" xfId="5" applyNumberFormat="1" applyFont="1" applyFill="1" applyAlignment="1">
      <alignment horizontal="center"/>
    </xf>
    <xf numFmtId="0" fontId="24" fillId="0" borderId="28" xfId="5" applyNumberFormat="1" applyFont="1" applyBorder="1" applyAlignment="1">
      <alignment horizontal="center"/>
    </xf>
    <xf numFmtId="0" fontId="24" fillId="0" borderId="4" xfId="5" applyNumberFormat="1" applyFont="1" applyBorder="1" applyAlignment="1">
      <alignment horizontal="center"/>
    </xf>
    <xf numFmtId="173" fontId="0" fillId="0" borderId="0" xfId="0" applyNumberFormat="1"/>
    <xf numFmtId="9" fontId="24" fillId="4" borderId="0" xfId="1" applyFont="1" applyFill="1" applyAlignment="1">
      <alignment horizontal="center"/>
    </xf>
    <xf numFmtId="0" fontId="0" fillId="0" borderId="0" xfId="0" quotePrefix="1"/>
    <xf numFmtId="0" fontId="21" fillId="0" borderId="5" xfId="2" applyFont="1" applyBorder="1" applyAlignment="1"/>
    <xf numFmtId="0" fontId="21" fillId="0" borderId="9" xfId="2" applyFont="1" applyBorder="1" applyAlignment="1"/>
    <xf numFmtId="0" fontId="21" fillId="0" borderId="10" xfId="2" applyFont="1" applyBorder="1" applyAlignment="1"/>
    <xf numFmtId="0" fontId="21" fillId="0" borderId="11" xfId="2" applyFont="1" applyBorder="1" applyAlignment="1"/>
    <xf numFmtId="0" fontId="21" fillId="0" borderId="9" xfId="2" applyFont="1" applyBorder="1" applyAlignment="1">
      <alignment horizontal="left"/>
    </xf>
    <xf numFmtId="0" fontId="21" fillId="0" borderId="5" xfId="2" applyFont="1" applyBorder="1" applyAlignment="1">
      <alignment horizontal="center"/>
    </xf>
    <xf numFmtId="0" fontId="21" fillId="0" borderId="9" xfId="2" applyFont="1" applyBorder="1" applyAlignment="1">
      <alignment horizontal="center"/>
    </xf>
    <xf numFmtId="0" fontId="21" fillId="0" borderId="10" xfId="2" applyFont="1" applyBorder="1" applyAlignment="1">
      <alignment horizontal="center"/>
    </xf>
    <xf numFmtId="174" fontId="20" fillId="0" borderId="0" xfId="1" applyNumberFormat="1" applyFont="1"/>
    <xf numFmtId="0" fontId="37" fillId="2" borderId="0" xfId="0" applyFont="1" applyFill="1"/>
    <xf numFmtId="0" fontId="38" fillId="2" borderId="0" xfId="0" applyFont="1" applyFill="1" applyAlignment="1">
      <alignment horizontal="left" vertical="center" indent="1"/>
    </xf>
    <xf numFmtId="0" fontId="39" fillId="2" borderId="0" xfId="0" applyFont="1" applyFill="1" applyAlignment="1">
      <alignment horizontal="left" indent="1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0" fontId="18" fillId="2" borderId="9" xfId="0" applyFont="1" applyFill="1" applyBorder="1"/>
    <xf numFmtId="14" fontId="22" fillId="4" borderId="9" xfId="0" applyNumberFormat="1" applyFont="1" applyFill="1" applyBorder="1" applyAlignment="1">
      <alignment horizontal="center"/>
    </xf>
    <xf numFmtId="0" fontId="18" fillId="2" borderId="10" xfId="0" applyFont="1" applyFill="1" applyBorder="1"/>
    <xf numFmtId="3" fontId="22" fillId="4" borderId="10" xfId="0" applyNumberFormat="1" applyFont="1" applyFill="1" applyBorder="1" applyAlignment="1">
      <alignment horizontal="center"/>
    </xf>
    <xf numFmtId="0" fontId="18" fillId="2" borderId="11" xfId="0" applyFont="1" applyFill="1" applyBorder="1"/>
    <xf numFmtId="0" fontId="22" fillId="4" borderId="10" xfId="0" applyFont="1" applyFill="1" applyBorder="1" applyAlignment="1">
      <alignment horizontal="center"/>
    </xf>
    <xf numFmtId="0" fontId="19" fillId="4" borderId="0" xfId="0" applyFont="1" applyFill="1" applyAlignment="1">
      <alignment horizontal="center"/>
    </xf>
    <xf numFmtId="9" fontId="22" fillId="4" borderId="10" xfId="0" applyNumberFormat="1" applyFont="1" applyFill="1" applyBorder="1" applyAlignment="1">
      <alignment horizontal="center"/>
    </xf>
    <xf numFmtId="0" fontId="18" fillId="4" borderId="0" xfId="0" applyFont="1" applyFill="1"/>
    <xf numFmtId="0" fontId="22" fillId="4" borderId="4" xfId="0" applyFont="1" applyFill="1" applyBorder="1" applyAlignment="1">
      <alignment horizontal="center"/>
    </xf>
    <xf numFmtId="0" fontId="21" fillId="4" borderId="0" xfId="0" applyFont="1" applyFill="1"/>
    <xf numFmtId="9" fontId="19" fillId="4" borderId="0" xfId="0" applyNumberFormat="1" applyFont="1" applyFill="1" applyAlignment="1">
      <alignment horizontal="center"/>
    </xf>
    <xf numFmtId="0" fontId="18" fillId="2" borderId="7" xfId="0" applyFont="1" applyFill="1" applyBorder="1"/>
    <xf numFmtId="0" fontId="22" fillId="4" borderId="8" xfId="0" applyFont="1" applyFill="1" applyBorder="1" applyAlignment="1">
      <alignment horizontal="center"/>
    </xf>
    <xf numFmtId="0" fontId="18" fillId="2" borderId="1" xfId="0" applyFont="1" applyFill="1" applyBorder="1"/>
    <xf numFmtId="9" fontId="22" fillId="4" borderId="2" xfId="0" applyNumberFormat="1" applyFont="1" applyFill="1" applyBorder="1" applyAlignment="1">
      <alignment horizontal="center"/>
    </xf>
    <xf numFmtId="0" fontId="18" fillId="2" borderId="3" xfId="0" applyFont="1" applyFill="1" applyBorder="1"/>
    <xf numFmtId="0" fontId="21" fillId="4" borderId="0" xfId="0" applyFont="1" applyFill="1" applyAlignment="1">
      <alignment horizontal="left"/>
    </xf>
    <xf numFmtId="0" fontId="21" fillId="0" borderId="0" xfId="0" applyFont="1"/>
    <xf numFmtId="9" fontId="19" fillId="0" borderId="0" xfId="0" applyNumberFormat="1" applyFont="1" applyAlignment="1">
      <alignment horizontal="center"/>
    </xf>
    <xf numFmtId="9" fontId="22" fillId="4" borderId="9" xfId="0" applyNumberFormat="1" applyFont="1" applyFill="1" applyBorder="1" applyAlignment="1">
      <alignment horizontal="center"/>
    </xf>
    <xf numFmtId="0" fontId="22" fillId="4" borderId="2" xfId="0" applyFont="1" applyFill="1" applyBorder="1" applyAlignment="1">
      <alignment horizontal="center"/>
    </xf>
    <xf numFmtId="15" fontId="22" fillId="4" borderId="4" xfId="0" applyNumberFormat="1" applyFont="1" applyFill="1" applyBorder="1" applyAlignment="1">
      <alignment horizontal="center"/>
    </xf>
    <xf numFmtId="0" fontId="22" fillId="4" borderId="0" xfId="0" applyFont="1" applyFill="1" applyAlignment="1">
      <alignment horizontal="center"/>
    </xf>
    <xf numFmtId="0" fontId="25" fillId="2" borderId="23" xfId="0" applyFont="1" applyFill="1" applyBorder="1"/>
    <xf numFmtId="0" fontId="25" fillId="2" borderId="42" xfId="0" applyFont="1" applyFill="1" applyBorder="1" applyAlignment="1">
      <alignment horizontal="center"/>
    </xf>
    <xf numFmtId="0" fontId="18" fillId="2" borderId="8" xfId="0" applyFont="1" applyFill="1" applyBorder="1" applyAlignment="1">
      <alignment horizontal="center"/>
    </xf>
    <xf numFmtId="0" fontId="18" fillId="4" borderId="5" xfId="0" applyFont="1" applyFill="1" applyBorder="1"/>
    <xf numFmtId="0" fontId="25" fillId="4" borderId="6" xfId="0" applyFont="1" applyFill="1" applyBorder="1"/>
    <xf numFmtId="0" fontId="18" fillId="2" borderId="7" xfId="0" applyFont="1" applyFill="1" applyBorder="1" applyAlignment="1">
      <alignment horizontal="center"/>
    </xf>
    <xf numFmtId="0" fontId="20" fillId="4" borderId="23" xfId="0" applyFont="1" applyFill="1" applyBorder="1" applyAlignment="1">
      <alignment horizontal="center"/>
    </xf>
    <xf numFmtId="0" fontId="20" fillId="4" borderId="25" xfId="0" applyFont="1" applyFill="1" applyBorder="1" applyAlignment="1">
      <alignment horizontal="center"/>
    </xf>
    <xf numFmtId="0" fontId="20" fillId="4" borderId="43" xfId="0" applyFont="1" applyFill="1" applyBorder="1" applyAlignment="1">
      <alignment horizontal="center"/>
    </xf>
    <xf numFmtId="0" fontId="20" fillId="4" borderId="29" xfId="0" applyFont="1" applyFill="1" applyBorder="1" applyAlignment="1">
      <alignment horizontal="center"/>
    </xf>
    <xf numFmtId="9" fontId="22" fillId="4" borderId="8" xfId="0" applyNumberFormat="1" applyFont="1" applyFill="1" applyBorder="1" applyAlignment="1">
      <alignment horizontal="center"/>
    </xf>
    <xf numFmtId="9" fontId="18" fillId="2" borderId="1" xfId="0" applyNumberFormat="1" applyFont="1" applyFill="1" applyBorder="1" applyAlignment="1">
      <alignment horizontal="center"/>
    </xf>
    <xf numFmtId="10" fontId="22" fillId="4" borderId="7" xfId="0" applyNumberFormat="1" applyFont="1" applyFill="1" applyBorder="1" applyAlignment="1">
      <alignment horizontal="center"/>
    </xf>
    <xf numFmtId="10" fontId="22" fillId="4" borderId="43" xfId="0" applyNumberFormat="1" applyFont="1" applyFill="1" applyBorder="1" applyAlignment="1">
      <alignment horizontal="center"/>
    </xf>
    <xf numFmtId="9" fontId="22" fillId="4" borderId="43" xfId="0" applyNumberFormat="1" applyFont="1" applyFill="1" applyBorder="1" applyAlignment="1">
      <alignment horizontal="center"/>
    </xf>
    <xf numFmtId="9" fontId="22" fillId="4" borderId="25" xfId="0" applyNumberFormat="1" applyFont="1" applyFill="1" applyBorder="1" applyAlignment="1">
      <alignment horizontal="center"/>
    </xf>
    <xf numFmtId="9" fontId="22" fillId="4" borderId="29" xfId="0" applyNumberFormat="1" applyFont="1" applyFill="1" applyBorder="1" applyAlignment="1">
      <alignment horizontal="center"/>
    </xf>
    <xf numFmtId="9" fontId="22" fillId="4" borderId="4" xfId="0" applyNumberFormat="1" applyFont="1" applyFill="1" applyBorder="1" applyAlignment="1">
      <alignment horizontal="center"/>
    </xf>
    <xf numFmtId="10" fontId="22" fillId="4" borderId="3" xfId="0" applyNumberFormat="1" applyFont="1" applyFill="1" applyBorder="1" applyAlignment="1">
      <alignment horizontal="center"/>
    </xf>
    <xf numFmtId="10" fontId="22" fillId="4" borderId="44" xfId="0" applyNumberFormat="1" applyFont="1" applyFill="1" applyBorder="1" applyAlignment="1">
      <alignment horizontal="center"/>
    </xf>
    <xf numFmtId="9" fontId="22" fillId="4" borderId="44" xfId="0" applyNumberFormat="1" applyFont="1" applyFill="1" applyBorder="1" applyAlignment="1">
      <alignment horizontal="center"/>
    </xf>
    <xf numFmtId="9" fontId="22" fillId="4" borderId="19" xfId="0" applyNumberFormat="1" applyFont="1" applyFill="1" applyBorder="1" applyAlignment="1">
      <alignment horizontal="center"/>
    </xf>
    <xf numFmtId="9" fontId="22" fillId="4" borderId="20" xfId="0" applyNumberFormat="1" applyFont="1" applyFill="1" applyBorder="1" applyAlignment="1">
      <alignment horizontal="center"/>
    </xf>
    <xf numFmtId="165" fontId="20" fillId="4" borderId="0" xfId="5" applyNumberFormat="1" applyFont="1" applyFill="1"/>
    <xf numFmtId="0" fontId="18" fillId="4" borderId="1" xfId="0" applyFont="1" applyFill="1" applyBorder="1"/>
    <xf numFmtId="0" fontId="25" fillId="4" borderId="0" xfId="0" applyFont="1" applyFill="1"/>
    <xf numFmtId="9" fontId="18" fillId="2" borderId="3" xfId="0" applyNumberFormat="1" applyFont="1" applyFill="1" applyBorder="1" applyAlignment="1">
      <alignment horizontal="center"/>
    </xf>
    <xf numFmtId="10" fontId="22" fillId="4" borderId="28" xfId="0" applyNumberFormat="1" applyFont="1" applyFill="1" applyBorder="1" applyAlignment="1">
      <alignment horizontal="center"/>
    </xf>
    <xf numFmtId="0" fontId="20" fillId="0" borderId="3" xfId="0" applyFont="1" applyBorder="1" applyAlignment="1">
      <alignment horizontal="center"/>
    </xf>
    <xf numFmtId="0" fontId="20" fillId="0" borderId="28" xfId="0" applyFont="1" applyBorder="1" applyAlignment="1">
      <alignment horizontal="left"/>
    </xf>
    <xf numFmtId="0" fontId="20" fillId="0" borderId="28" xfId="0" applyFont="1" applyBorder="1" applyAlignment="1">
      <alignment horizontal="center"/>
    </xf>
    <xf numFmtId="10" fontId="22" fillId="4" borderId="9" xfId="0" applyNumberFormat="1" applyFont="1" applyFill="1" applyBorder="1" applyAlignment="1">
      <alignment horizontal="center"/>
    </xf>
    <xf numFmtId="0" fontId="25" fillId="2" borderId="5" xfId="0" applyFont="1" applyFill="1" applyBorder="1" applyAlignment="1">
      <alignment horizontal="center"/>
    </xf>
    <xf numFmtId="0" fontId="22" fillId="4" borderId="11" xfId="0" applyFont="1" applyFill="1" applyBorder="1"/>
    <xf numFmtId="0" fontId="21" fillId="0" borderId="5" xfId="0" applyFont="1" applyBorder="1" applyAlignment="1">
      <alignment horizontal="center"/>
    </xf>
    <xf numFmtId="0" fontId="21" fillId="0" borderId="14" xfId="0" applyFont="1" applyBorder="1" applyAlignment="1">
      <alignment horizontal="center"/>
    </xf>
    <xf numFmtId="0" fontId="21" fillId="0" borderId="45" xfId="0" applyFont="1" applyBorder="1" applyAlignment="1">
      <alignment horizontal="center"/>
    </xf>
    <xf numFmtId="0" fontId="21" fillId="0" borderId="17" xfId="0" applyFont="1" applyBorder="1" applyAlignment="1">
      <alignment horizontal="center"/>
    </xf>
    <xf numFmtId="175" fontId="22" fillId="4" borderId="9" xfId="0" applyNumberFormat="1" applyFont="1" applyFill="1" applyBorder="1" applyAlignment="1">
      <alignment horizontal="center"/>
    </xf>
    <xf numFmtId="175" fontId="22" fillId="4" borderId="0" xfId="0" applyNumberFormat="1" applyFont="1" applyFill="1" applyAlignment="1">
      <alignment horizontal="center"/>
    </xf>
    <xf numFmtId="175" fontId="22" fillId="4" borderId="43" xfId="0" applyNumberFormat="1" applyFont="1" applyFill="1" applyBorder="1" applyAlignment="1">
      <alignment horizontal="center"/>
    </xf>
    <xf numFmtId="175" fontId="22" fillId="4" borderId="25" xfId="0" applyNumberFormat="1" applyFont="1" applyFill="1" applyBorder="1" applyAlignment="1">
      <alignment horizontal="center"/>
    </xf>
    <xf numFmtId="175" fontId="22" fillId="4" borderId="31" xfId="0" applyNumberFormat="1" applyFont="1" applyFill="1" applyBorder="1" applyAlignment="1">
      <alignment horizontal="center"/>
    </xf>
    <xf numFmtId="9" fontId="22" fillId="4" borderId="0" xfId="0" applyNumberFormat="1" applyFont="1" applyFill="1" applyAlignment="1">
      <alignment horizontal="center"/>
    </xf>
    <xf numFmtId="175" fontId="22" fillId="4" borderId="10" xfId="0" applyNumberFormat="1" applyFont="1" applyFill="1" applyBorder="1" applyAlignment="1">
      <alignment horizontal="center"/>
    </xf>
    <xf numFmtId="175" fontId="22" fillId="4" borderId="21" xfId="0" applyNumberFormat="1" applyFont="1" applyFill="1" applyBorder="1" applyAlignment="1">
      <alignment horizontal="center"/>
    </xf>
    <xf numFmtId="175" fontId="22" fillId="4" borderId="27" xfId="0" applyNumberFormat="1" applyFont="1" applyFill="1" applyBorder="1" applyAlignment="1">
      <alignment horizontal="center"/>
    </xf>
    <xf numFmtId="175" fontId="22" fillId="4" borderId="32" xfId="0" applyNumberFormat="1" applyFont="1" applyFill="1" applyBorder="1" applyAlignment="1">
      <alignment horizontal="center"/>
    </xf>
    <xf numFmtId="10" fontId="22" fillId="4" borderId="32" xfId="0" applyNumberFormat="1" applyFont="1" applyFill="1" applyBorder="1" applyAlignment="1">
      <alignment horizontal="center"/>
    </xf>
    <xf numFmtId="0" fontId="18" fillId="4" borderId="3" xfId="0" applyFont="1" applyFill="1" applyBorder="1"/>
    <xf numFmtId="0" fontId="20" fillId="4" borderId="28" xfId="0" applyFont="1" applyFill="1" applyBorder="1"/>
    <xf numFmtId="175" fontId="22" fillId="4" borderId="11" xfId="0" applyNumberFormat="1" applyFont="1" applyFill="1" applyBorder="1" applyAlignment="1">
      <alignment horizontal="center"/>
    </xf>
    <xf numFmtId="175" fontId="22" fillId="4" borderId="28" xfId="0" applyNumberFormat="1" applyFont="1" applyFill="1" applyBorder="1" applyAlignment="1">
      <alignment horizontal="center"/>
    </xf>
    <xf numFmtId="175" fontId="22" fillId="4" borderId="44" xfId="0" applyNumberFormat="1" applyFont="1" applyFill="1" applyBorder="1" applyAlignment="1">
      <alignment horizontal="center"/>
    </xf>
    <xf numFmtId="175" fontId="22" fillId="4" borderId="19" xfId="0" applyNumberFormat="1" applyFont="1" applyFill="1" applyBorder="1" applyAlignment="1">
      <alignment horizontal="center"/>
    </xf>
    <xf numFmtId="175" fontId="22" fillId="4" borderId="33" xfId="0" applyNumberFormat="1" applyFont="1" applyFill="1" applyBorder="1" applyAlignment="1">
      <alignment horizontal="center"/>
    </xf>
    <xf numFmtId="9" fontId="22" fillId="4" borderId="28" xfId="0" applyNumberFormat="1" applyFont="1" applyFill="1" applyBorder="1" applyAlignment="1">
      <alignment horizontal="center"/>
    </xf>
    <xf numFmtId="0" fontId="21" fillId="4" borderId="12" xfId="0" applyFont="1" applyFill="1" applyBorder="1"/>
    <xf numFmtId="0" fontId="22" fillId="4" borderId="6" xfId="0" applyFont="1" applyFill="1" applyBorder="1"/>
    <xf numFmtId="0" fontId="21" fillId="4" borderId="0" xfId="0" applyFont="1" applyFill="1" applyAlignment="1">
      <alignment horizontal="center"/>
    </xf>
    <xf numFmtId="0" fontId="18" fillId="2" borderId="5" xfId="0" applyFont="1" applyFill="1" applyBorder="1" applyAlignment="1">
      <alignment horizontal="center"/>
    </xf>
    <xf numFmtId="0" fontId="18" fillId="2" borderId="12" xfId="0" applyFont="1" applyFill="1" applyBorder="1" applyAlignment="1">
      <alignment horizontal="center"/>
    </xf>
    <xf numFmtId="0" fontId="20" fillId="4" borderId="2" xfId="0" applyFont="1" applyFill="1" applyBorder="1" applyAlignment="1">
      <alignment horizontal="center"/>
    </xf>
    <xf numFmtId="10" fontId="24" fillId="0" borderId="36" xfId="5" applyNumberFormat="1" applyFont="1" applyBorder="1" applyAlignment="1">
      <alignment horizontal="center"/>
    </xf>
    <xf numFmtId="165" fontId="24" fillId="4" borderId="34" xfId="5" applyNumberFormat="1" applyFont="1" applyFill="1" applyBorder="1" applyAlignment="1">
      <alignment horizontal="center"/>
    </xf>
    <xf numFmtId="10" fontId="24" fillId="4" borderId="37" xfId="5" applyNumberFormat="1" applyFont="1" applyFill="1" applyBorder="1" applyAlignment="1">
      <alignment horizontal="center"/>
    </xf>
    <xf numFmtId="10" fontId="24" fillId="4" borderId="38" xfId="5" applyNumberFormat="1" applyFont="1" applyFill="1" applyBorder="1" applyAlignment="1">
      <alignment horizontal="center"/>
    </xf>
    <xf numFmtId="10" fontId="24" fillId="0" borderId="39" xfId="5" applyNumberFormat="1" applyFont="1" applyBorder="1" applyAlignment="1">
      <alignment horizontal="center"/>
    </xf>
    <xf numFmtId="165" fontId="40" fillId="4" borderId="35" xfId="5" applyNumberFormat="1" applyFont="1" applyFill="1" applyBorder="1" applyAlignment="1">
      <alignment horizontal="center"/>
    </xf>
    <xf numFmtId="10" fontId="24" fillId="4" borderId="40" xfId="5" applyNumberFormat="1" applyFont="1" applyFill="1" applyBorder="1" applyAlignment="1">
      <alignment horizontal="center"/>
    </xf>
    <xf numFmtId="10" fontId="24" fillId="4" borderId="41" xfId="5" applyNumberFormat="1" applyFont="1" applyFill="1" applyBorder="1" applyAlignment="1">
      <alignment horizontal="center"/>
    </xf>
    <xf numFmtId="10" fontId="24" fillId="4" borderId="0" xfId="5" applyNumberFormat="1" applyFont="1" applyFill="1" applyAlignment="1">
      <alignment horizontal="center"/>
    </xf>
    <xf numFmtId="165" fontId="24" fillId="4" borderId="0" xfId="5" applyNumberFormat="1" applyFont="1" applyFill="1" applyAlignment="1">
      <alignment horizontal="center"/>
    </xf>
    <xf numFmtId="176" fontId="24" fillId="4" borderId="0" xfId="5" applyNumberFormat="1" applyFont="1" applyFill="1" applyAlignment="1">
      <alignment horizontal="center"/>
    </xf>
    <xf numFmtId="175" fontId="19" fillId="4" borderId="0" xfId="0" applyNumberFormat="1" applyFont="1" applyFill="1" applyAlignment="1">
      <alignment horizontal="center"/>
    </xf>
    <xf numFmtId="0" fontId="25" fillId="4" borderId="0" xfId="0" applyFont="1" applyFill="1" applyAlignment="1">
      <alignment horizontal="center"/>
    </xf>
    <xf numFmtId="0" fontId="20" fillId="4" borderId="45" xfId="0" applyFont="1" applyFill="1" applyBorder="1" applyAlignment="1">
      <alignment horizontal="center"/>
    </xf>
    <xf numFmtId="0" fontId="20" fillId="4" borderId="14" xfId="0" applyFont="1" applyFill="1" applyBorder="1" applyAlignment="1">
      <alignment horizontal="center"/>
    </xf>
    <xf numFmtId="0" fontId="20" fillId="4" borderId="6" xfId="0" applyFont="1" applyFill="1" applyBorder="1" applyAlignment="1">
      <alignment horizontal="center"/>
    </xf>
    <xf numFmtId="0" fontId="18" fillId="2" borderId="1" xfId="0" applyFont="1" applyFill="1" applyBorder="1" applyAlignment="1">
      <alignment horizontal="center"/>
    </xf>
    <xf numFmtId="0" fontId="22" fillId="4" borderId="21" xfId="0" applyFont="1" applyFill="1" applyBorder="1" applyAlignment="1">
      <alignment horizontal="center"/>
    </xf>
    <xf numFmtId="0" fontId="22" fillId="4" borderId="32" xfId="0" applyFont="1" applyFill="1" applyBorder="1" applyAlignment="1">
      <alignment horizontal="center"/>
    </xf>
    <xf numFmtId="0" fontId="18" fillId="2" borderId="3" xfId="0" applyFont="1" applyFill="1" applyBorder="1" applyAlignment="1">
      <alignment horizontal="center"/>
    </xf>
    <xf numFmtId="175" fontId="22" fillId="4" borderId="46" xfId="0" applyNumberFormat="1" applyFont="1" applyFill="1" applyBorder="1" applyAlignment="1">
      <alignment horizontal="center"/>
    </xf>
    <xf numFmtId="0" fontId="22" fillId="4" borderId="22" xfId="0" applyFont="1" applyFill="1" applyBorder="1" applyAlignment="1">
      <alignment horizontal="center"/>
    </xf>
    <xf numFmtId="0" fontId="22" fillId="4" borderId="13" xfId="0" applyFont="1" applyFill="1" applyBorder="1" applyAlignment="1">
      <alignment horizontal="center"/>
    </xf>
    <xf numFmtId="0" fontId="22" fillId="4" borderId="46" xfId="0" applyFont="1" applyFill="1" applyBorder="1" applyAlignment="1">
      <alignment horizontal="center"/>
    </xf>
    <xf numFmtId="0" fontId="41" fillId="4" borderId="10" xfId="6" applyFill="1" applyBorder="1" applyAlignment="1">
      <alignment horizontal="left"/>
    </xf>
    <xf numFmtId="169" fontId="23" fillId="4" borderId="0" xfId="1" applyNumberFormat="1" applyFont="1" applyFill="1" applyBorder="1" applyAlignment="1">
      <alignment horizontal="center"/>
    </xf>
    <xf numFmtId="0" fontId="0" fillId="0" borderId="0" xfId="0" applyAlignment="1">
      <alignment horizontal="left" indent="1"/>
    </xf>
    <xf numFmtId="2" fontId="0" fillId="0" borderId="0" xfId="0" applyNumberFormat="1" applyAlignment="1">
      <alignment horizontal="left" indent="1"/>
    </xf>
    <xf numFmtId="164" fontId="36" fillId="4" borderId="23" xfId="0" applyNumberFormat="1" applyFont="1" applyFill="1" applyBorder="1" applyAlignment="1">
      <alignment horizontal="center"/>
    </xf>
    <xf numFmtId="164" fontId="36" fillId="4" borderId="0" xfId="0" quotePrefix="1" applyNumberFormat="1" applyFont="1" applyFill="1" applyAlignment="1">
      <alignment horizontal="center"/>
    </xf>
    <xf numFmtId="165" fontId="36" fillId="4" borderId="0" xfId="0" applyNumberFormat="1" applyFont="1" applyFill="1" applyAlignment="1">
      <alignment horizontal="center"/>
    </xf>
    <xf numFmtId="164" fontId="36" fillId="4" borderId="0" xfId="0" applyNumberFormat="1" applyFont="1" applyFill="1" applyAlignment="1">
      <alignment horizontal="center"/>
    </xf>
    <xf numFmtId="165" fontId="36" fillId="4" borderId="0" xfId="5" applyNumberFormat="1" applyFont="1" applyFill="1" applyAlignment="1">
      <alignment horizontal="center"/>
    </xf>
    <xf numFmtId="177" fontId="36" fillId="4" borderId="0" xfId="0" applyNumberFormat="1" applyFont="1" applyFill="1" applyAlignment="1">
      <alignment horizontal="center"/>
    </xf>
    <xf numFmtId="169" fontId="36" fillId="4" borderId="0" xfId="5" applyNumberFormat="1" applyFont="1" applyFill="1" applyAlignment="1">
      <alignment horizontal="center"/>
    </xf>
    <xf numFmtId="0" fontId="25" fillId="2" borderId="0" xfId="0" applyFont="1" applyFill="1" applyAlignment="1">
      <alignment horizontal="center"/>
    </xf>
    <xf numFmtId="177" fontId="25" fillId="2" borderId="0" xfId="0" applyNumberFormat="1" applyFont="1" applyFill="1" applyAlignment="1">
      <alignment horizontal="center"/>
    </xf>
    <xf numFmtId="166" fontId="25" fillId="4" borderId="23" xfId="0" applyNumberFormat="1" applyFont="1" applyFill="1" applyBorder="1"/>
    <xf numFmtId="0" fontId="25" fillId="4" borderId="23" xfId="0" applyFont="1" applyFill="1" applyBorder="1"/>
    <xf numFmtId="177" fontId="25" fillId="4" borderId="0" xfId="0" applyNumberFormat="1" applyFont="1" applyFill="1"/>
    <xf numFmtId="177" fontId="36" fillId="4" borderId="0" xfId="0" applyNumberFormat="1" applyFont="1" applyFill="1" applyAlignment="1">
      <alignment horizontal="right"/>
    </xf>
    <xf numFmtId="2" fontId="36" fillId="4" borderId="0" xfId="0" applyNumberFormat="1" applyFont="1" applyFill="1" applyAlignment="1">
      <alignment horizontal="center"/>
    </xf>
    <xf numFmtId="178" fontId="36" fillId="4" borderId="0" xfId="0" applyNumberFormat="1" applyFont="1" applyFill="1" applyAlignment="1">
      <alignment horizontal="center"/>
    </xf>
    <xf numFmtId="177" fontId="36" fillId="4" borderId="28" xfId="0" applyNumberFormat="1" applyFont="1" applyFill="1" applyBorder="1" applyAlignment="1">
      <alignment horizontal="center"/>
    </xf>
    <xf numFmtId="178" fontId="36" fillId="4" borderId="28" xfId="0" applyNumberFormat="1" applyFont="1" applyFill="1" applyBorder="1" applyAlignment="1">
      <alignment horizontal="center"/>
    </xf>
    <xf numFmtId="178" fontId="36" fillId="4" borderId="4" xfId="0" applyNumberFormat="1" applyFont="1" applyFill="1" applyBorder="1" applyAlignment="1">
      <alignment horizontal="center"/>
    </xf>
    <xf numFmtId="165" fontId="42" fillId="0" borderId="2" xfId="0" applyNumberFormat="1" applyFont="1" applyBorder="1"/>
    <xf numFmtId="2" fontId="22" fillId="4" borderId="4" xfId="0" applyNumberFormat="1" applyFont="1" applyFill="1" applyBorder="1" applyAlignment="1">
      <alignment horizontal="center"/>
    </xf>
    <xf numFmtId="178" fontId="20" fillId="0" borderId="0" xfId="0" applyNumberFormat="1" applyFont="1"/>
    <xf numFmtId="178" fontId="23" fillId="0" borderId="4" xfId="0" applyNumberFormat="1" applyFont="1" applyBorder="1"/>
    <xf numFmtId="178" fontId="23" fillId="0" borderId="2" xfId="0" applyNumberFormat="1" applyFont="1" applyBorder="1"/>
    <xf numFmtId="165" fontId="24" fillId="0" borderId="1" xfId="5" applyNumberFormat="1" applyFont="1" applyBorder="1" applyAlignment="1">
      <alignment horizontal="center"/>
    </xf>
    <xf numFmtId="165" fontId="24" fillId="0" borderId="0" xfId="5" applyNumberFormat="1" applyFont="1" applyAlignment="1">
      <alignment horizontal="center"/>
    </xf>
    <xf numFmtId="167" fontId="24" fillId="0" borderId="0" xfId="5" applyNumberFormat="1" applyFont="1" applyAlignment="1">
      <alignment horizontal="center"/>
    </xf>
    <xf numFmtId="164" fontId="24" fillId="0" borderId="0" xfId="0" applyNumberFormat="1" applyFont="1" applyAlignment="1">
      <alignment horizontal="center"/>
    </xf>
    <xf numFmtId="10" fontId="23" fillId="0" borderId="1" xfId="5" applyNumberFormat="1" applyFont="1" applyBorder="1"/>
    <xf numFmtId="165" fontId="23" fillId="0" borderId="2" xfId="5" applyNumberFormat="1" applyFont="1" applyBorder="1"/>
    <xf numFmtId="165" fontId="22" fillId="0" borderId="0" xfId="5" applyNumberFormat="1" applyFont="1"/>
    <xf numFmtId="165" fontId="24" fillId="0" borderId="28" xfId="5" applyNumberFormat="1" applyFont="1" applyBorder="1" applyAlignment="1">
      <alignment horizontal="center"/>
    </xf>
    <xf numFmtId="167" fontId="24" fillId="0" borderId="28" xfId="5" applyNumberFormat="1" applyFont="1" applyBorder="1" applyAlignment="1">
      <alignment horizontal="center"/>
    </xf>
    <xf numFmtId="164" fontId="24" fillId="0" borderId="28" xfId="0" applyNumberFormat="1" applyFont="1" applyBorder="1" applyAlignment="1">
      <alignment horizontal="center"/>
    </xf>
    <xf numFmtId="10" fontId="19" fillId="0" borderId="8" xfId="0" applyNumberFormat="1" applyFont="1" applyBorder="1"/>
    <xf numFmtId="165" fontId="23" fillId="0" borderId="2" xfId="0" applyNumberFormat="1" applyFont="1" applyBorder="1"/>
    <xf numFmtId="179" fontId="20" fillId="0" borderId="0" xfId="0" applyNumberFormat="1" applyFont="1"/>
    <xf numFmtId="1" fontId="22" fillId="4" borderId="2" xfId="2" applyNumberFormat="1" applyFont="1" applyFill="1" applyBorder="1" applyAlignment="1">
      <alignment horizontal="center"/>
    </xf>
    <xf numFmtId="0" fontId="21" fillId="0" borderId="3" xfId="2" applyFont="1" applyBorder="1" applyAlignment="1"/>
    <xf numFmtId="0" fontId="22" fillId="0" borderId="11" xfId="0" applyFont="1" applyBorder="1" applyAlignment="1">
      <alignment horizontal="center"/>
    </xf>
    <xf numFmtId="0" fontId="22" fillId="0" borderId="9" xfId="0" applyFont="1" applyBorder="1" applyAlignment="1">
      <alignment horizontal="center"/>
    </xf>
    <xf numFmtId="0" fontId="21" fillId="0" borderId="11" xfId="2" applyFont="1" applyBorder="1" applyAlignment="1">
      <alignment horizontal="center"/>
    </xf>
    <xf numFmtId="0" fontId="20" fillId="0" borderId="11" xfId="2" applyFont="1" applyBorder="1" applyAlignment="1">
      <alignment horizontal="center"/>
    </xf>
    <xf numFmtId="0" fontId="21" fillId="0" borderId="12" xfId="2" applyFont="1" applyBorder="1" applyAlignment="1"/>
    <xf numFmtId="178" fontId="43" fillId="4" borderId="2" xfId="0" applyNumberFormat="1" applyFont="1" applyFill="1" applyBorder="1" applyAlignment="1">
      <alignment horizontal="center"/>
    </xf>
    <xf numFmtId="0" fontId="43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11" fontId="22" fillId="0" borderId="4" xfId="0" applyNumberFormat="1" applyFont="1" applyBorder="1" applyAlignment="1">
      <alignment horizontal="center"/>
    </xf>
    <xf numFmtId="10" fontId="20" fillId="0" borderId="0" xfId="0" applyNumberFormat="1" applyFont="1" applyAlignment="1">
      <alignment horizontal="center"/>
    </xf>
    <xf numFmtId="0" fontId="25" fillId="4" borderId="8" xfId="0" applyFont="1" applyFill="1" applyBorder="1"/>
    <xf numFmtId="0" fontId="25" fillId="4" borderId="2" xfId="0" applyFont="1" applyFill="1" applyBorder="1"/>
    <xf numFmtId="0" fontId="25" fillId="2" borderId="2" xfId="0" applyFont="1" applyFill="1" applyBorder="1" applyAlignment="1">
      <alignment horizontal="center"/>
    </xf>
    <xf numFmtId="178" fontId="36" fillId="4" borderId="2" xfId="0" applyNumberFormat="1" applyFont="1" applyFill="1" applyBorder="1" applyAlignment="1">
      <alignment horizontal="center"/>
    </xf>
    <xf numFmtId="177" fontId="36" fillId="4" borderId="2" xfId="0" applyNumberFormat="1" applyFont="1" applyFill="1" applyBorder="1" applyAlignment="1">
      <alignment horizontal="center"/>
    </xf>
    <xf numFmtId="165" fontId="43" fillId="0" borderId="10" xfId="5" applyNumberFormat="1" applyFont="1" applyBorder="1" applyAlignment="1">
      <alignment horizontal="center"/>
    </xf>
    <xf numFmtId="0" fontId="43" fillId="4" borderId="0" xfId="0" applyFont="1" applyFill="1" applyAlignment="1">
      <alignment horizontal="center"/>
    </xf>
    <xf numFmtId="0" fontId="43" fillId="4" borderId="0" xfId="0" applyFont="1" applyFill="1" applyAlignment="1">
      <alignment horizontal="right"/>
    </xf>
    <xf numFmtId="2" fontId="24" fillId="4" borderId="0" xfId="1" quotePrefix="1" applyNumberFormat="1" applyFont="1" applyFill="1" applyAlignment="1">
      <alignment horizontal="center"/>
    </xf>
    <xf numFmtId="0" fontId="44" fillId="4" borderId="23" xfId="5" quotePrefix="1" applyNumberFormat="1" applyFont="1" applyFill="1" applyBorder="1" applyAlignment="1">
      <alignment horizontal="center"/>
    </xf>
    <xf numFmtId="0" fontId="44" fillId="4" borderId="0" xfId="5" quotePrefix="1" applyNumberFormat="1" applyFont="1" applyFill="1" applyAlignment="1">
      <alignment horizontal="center"/>
    </xf>
    <xf numFmtId="0" fontId="44" fillId="4" borderId="0" xfId="0" quotePrefix="1" applyFont="1" applyFill="1" applyAlignment="1">
      <alignment horizontal="center"/>
    </xf>
    <xf numFmtId="0" fontId="44" fillId="4" borderId="0" xfId="5" applyNumberFormat="1" applyFont="1" applyFill="1" applyAlignment="1">
      <alignment horizontal="center"/>
    </xf>
    <xf numFmtId="167" fontId="24" fillId="0" borderId="1" xfId="5" applyNumberFormat="1" applyFont="1" applyBorder="1" applyAlignment="1">
      <alignment horizontal="center"/>
    </xf>
    <xf numFmtId="170" fontId="33" fillId="0" borderId="0" xfId="1" applyNumberFormat="1" applyFont="1"/>
    <xf numFmtId="170" fontId="33" fillId="0" borderId="0" xfId="0" applyNumberFormat="1" applyFont="1"/>
    <xf numFmtId="0" fontId="33" fillId="0" borderId="0" xfId="0" applyFont="1"/>
    <xf numFmtId="1" fontId="20" fillId="0" borderId="0" xfId="0" applyNumberFormat="1" applyFont="1"/>
    <xf numFmtId="10" fontId="33" fillId="0" borderId="0" xfId="0" applyNumberFormat="1" applyFont="1" applyAlignment="1">
      <alignment horizontal="right"/>
    </xf>
    <xf numFmtId="10" fontId="33" fillId="0" borderId="0" xfId="0" applyNumberFormat="1" applyFont="1"/>
    <xf numFmtId="180" fontId="24" fillId="0" borderId="28" xfId="5" applyNumberFormat="1" applyFont="1" applyBorder="1" applyAlignment="1">
      <alignment horizontal="center"/>
    </xf>
    <xf numFmtId="15" fontId="32" fillId="3" borderId="12" xfId="0" applyNumberFormat="1" applyFont="1" applyFill="1" applyBorder="1" applyAlignment="1">
      <alignment horizontal="center"/>
    </xf>
    <xf numFmtId="178" fontId="24" fillId="4" borderId="0" xfId="1" quotePrefix="1" applyNumberFormat="1" applyFont="1" applyFill="1" applyAlignment="1">
      <alignment horizontal="center"/>
    </xf>
    <xf numFmtId="181" fontId="0" fillId="0" borderId="0" xfId="0" applyNumberFormat="1"/>
    <xf numFmtId="181" fontId="22" fillId="5" borderId="4" xfId="0" applyNumberFormat="1" applyFont="1" applyFill="1" applyBorder="1" applyAlignment="1">
      <alignment horizontal="center"/>
    </xf>
    <xf numFmtId="0" fontId="25" fillId="2" borderId="7" xfId="0" applyFont="1" applyFill="1" applyBorder="1" applyAlignment="1">
      <alignment horizontal="center"/>
    </xf>
    <xf numFmtId="177" fontId="24" fillId="4" borderId="23" xfId="1" quotePrefix="1" applyNumberFormat="1" applyFont="1" applyFill="1" applyBorder="1" applyAlignment="1">
      <alignment horizontal="center"/>
    </xf>
    <xf numFmtId="0" fontId="25" fillId="2" borderId="7" xfId="0" applyFont="1" applyFill="1" applyBorder="1"/>
    <xf numFmtId="0" fontId="25" fillId="2" borderId="1" xfId="0" applyFont="1" applyFill="1" applyBorder="1"/>
    <xf numFmtId="177" fontId="0" fillId="0" borderId="0" xfId="0" applyNumberFormat="1"/>
    <xf numFmtId="0" fontId="25" fillId="2" borderId="5" xfId="0" applyFont="1" applyFill="1" applyBorder="1"/>
    <xf numFmtId="0" fontId="23" fillId="0" borderId="0" xfId="2" applyFont="1" applyAlignment="1">
      <alignment horizontal="center"/>
    </xf>
    <xf numFmtId="182" fontId="20" fillId="0" borderId="0" xfId="2" applyNumberFormat="1" applyFont="1" applyAlignment="1">
      <alignment horizontal="center"/>
    </xf>
    <xf numFmtId="0" fontId="33" fillId="0" borderId="9" xfId="2" applyFont="1" applyBorder="1" applyAlignment="1">
      <alignment horizontal="left"/>
    </xf>
    <xf numFmtId="0" fontId="20" fillId="7" borderId="0" xfId="2" applyFont="1" applyFill="1" applyAlignment="1"/>
    <xf numFmtId="178" fontId="20" fillId="7" borderId="0" xfId="2" applyNumberFormat="1" applyFont="1" applyFill="1" applyAlignment="1"/>
    <xf numFmtId="0" fontId="25" fillId="2" borderId="12" xfId="0" applyFont="1" applyFill="1" applyBorder="1" applyAlignment="1">
      <alignment horizontal="center"/>
    </xf>
    <xf numFmtId="0" fontId="25" fillId="2" borderId="9" xfId="0" applyFont="1" applyFill="1" applyBorder="1" applyAlignment="1">
      <alignment horizontal="center"/>
    </xf>
    <xf numFmtId="0" fontId="25" fillId="2" borderId="12" xfId="0" applyFont="1" applyFill="1" applyBorder="1"/>
    <xf numFmtId="0" fontId="37" fillId="8" borderId="0" xfId="0" applyFont="1" applyFill="1"/>
    <xf numFmtId="0" fontId="0" fillId="8" borderId="0" xfId="0" applyFill="1"/>
    <xf numFmtId="0" fontId="38" fillId="8" borderId="0" xfId="0" applyFont="1" applyFill="1" applyAlignment="1">
      <alignment horizontal="left" vertical="center" indent="1"/>
    </xf>
    <xf numFmtId="0" fontId="39" fillId="8" borderId="0" xfId="0" applyFont="1" applyFill="1" applyAlignment="1">
      <alignment horizontal="left" indent="1"/>
    </xf>
    <xf numFmtId="0" fontId="20" fillId="4" borderId="10" xfId="0" applyFont="1" applyFill="1" applyBorder="1"/>
    <xf numFmtId="0" fontId="25" fillId="2" borderId="14" xfId="0" applyFont="1" applyFill="1" applyBorder="1"/>
    <xf numFmtId="0" fontId="20" fillId="4" borderId="9" xfId="0" applyFont="1" applyFill="1" applyBorder="1"/>
    <xf numFmtId="177" fontId="46" fillId="4" borderId="1" xfId="0" applyNumberFormat="1" applyFont="1" applyFill="1" applyBorder="1"/>
    <xf numFmtId="177" fontId="46" fillId="4" borderId="0" xfId="0" applyNumberFormat="1" applyFont="1" applyFill="1"/>
    <xf numFmtId="177" fontId="46" fillId="4" borderId="7" xfId="0" applyNumberFormat="1" applyFont="1" applyFill="1" applyBorder="1"/>
    <xf numFmtId="177" fontId="46" fillId="4" borderId="23" xfId="0" applyNumberFormat="1" applyFont="1" applyFill="1" applyBorder="1"/>
    <xf numFmtId="177" fontId="46" fillId="4" borderId="8" xfId="0" applyNumberFormat="1" applyFont="1" applyFill="1" applyBorder="1"/>
    <xf numFmtId="177" fontId="46" fillId="4" borderId="2" xfId="0" applyNumberFormat="1" applyFont="1" applyFill="1" applyBorder="1"/>
    <xf numFmtId="177" fontId="46" fillId="4" borderId="3" xfId="0" applyNumberFormat="1" applyFont="1" applyFill="1" applyBorder="1"/>
    <xf numFmtId="177" fontId="46" fillId="4" borderId="28" xfId="0" applyNumberFormat="1" applyFont="1" applyFill="1" applyBorder="1"/>
    <xf numFmtId="177" fontId="46" fillId="4" borderId="4" xfId="0" applyNumberFormat="1" applyFont="1" applyFill="1" applyBorder="1"/>
    <xf numFmtId="177" fontId="46" fillId="4" borderId="10" xfId="0" applyNumberFormat="1" applyFont="1" applyFill="1" applyBorder="1"/>
    <xf numFmtId="0" fontId="33" fillId="4" borderId="10" xfId="0" applyFont="1" applyFill="1" applyBorder="1" applyAlignment="1">
      <alignment horizontal="left"/>
    </xf>
    <xf numFmtId="0" fontId="33" fillId="4" borderId="11" xfId="0" applyFont="1" applyFill="1" applyBorder="1" applyAlignment="1">
      <alignment horizontal="left"/>
    </xf>
    <xf numFmtId="177" fontId="47" fillId="4" borderId="1" xfId="0" applyNumberFormat="1" applyFont="1" applyFill="1" applyBorder="1"/>
    <xf numFmtId="177" fontId="47" fillId="4" borderId="2" xfId="0" applyNumberFormat="1" applyFont="1" applyFill="1" applyBorder="1"/>
    <xf numFmtId="177" fontId="47" fillId="4" borderId="3" xfId="0" applyNumberFormat="1" applyFont="1" applyFill="1" applyBorder="1"/>
    <xf numFmtId="177" fontId="47" fillId="4" borderId="28" xfId="0" applyNumberFormat="1" applyFont="1" applyFill="1" applyBorder="1"/>
    <xf numFmtId="177" fontId="47" fillId="4" borderId="4" xfId="0" applyNumberFormat="1" applyFont="1" applyFill="1" applyBorder="1"/>
    <xf numFmtId="0" fontId="25" fillId="2" borderId="14" xfId="0" applyFont="1" applyFill="1" applyBorder="1" applyAlignment="1">
      <alignment horizontal="center"/>
    </xf>
    <xf numFmtId="174" fontId="0" fillId="0" borderId="0" xfId="0" applyNumberFormat="1"/>
    <xf numFmtId="177" fontId="47" fillId="4" borderId="7" xfId="0" applyNumberFormat="1" applyFont="1" applyFill="1" applyBorder="1"/>
    <xf numFmtId="177" fontId="47" fillId="4" borderId="23" xfId="0" applyNumberFormat="1" applyFont="1" applyFill="1" applyBorder="1"/>
    <xf numFmtId="177" fontId="47" fillId="4" borderId="8" xfId="0" applyNumberFormat="1" applyFont="1" applyFill="1" applyBorder="1"/>
    <xf numFmtId="167" fontId="47" fillId="4" borderId="1" xfId="0" applyNumberFormat="1" applyFont="1" applyFill="1" applyBorder="1"/>
    <xf numFmtId="167" fontId="47" fillId="4" borderId="3" xfId="0" applyNumberFormat="1" applyFont="1" applyFill="1" applyBorder="1"/>
    <xf numFmtId="167" fontId="47" fillId="4" borderId="28" xfId="0" applyNumberFormat="1" applyFont="1" applyFill="1" applyBorder="1"/>
    <xf numFmtId="9" fontId="22" fillId="0" borderId="4" xfId="0" applyNumberFormat="1" applyFont="1" applyBorder="1" applyAlignment="1">
      <alignment horizontal="center"/>
    </xf>
    <xf numFmtId="10" fontId="22" fillId="0" borderId="3" xfId="1" applyNumberFormat="1" applyFont="1" applyBorder="1" applyAlignment="1">
      <alignment horizontal="center"/>
    </xf>
    <xf numFmtId="10" fontId="22" fillId="0" borderId="28" xfId="1" applyNumberFormat="1" applyFont="1" applyBorder="1" applyAlignment="1">
      <alignment horizontal="center"/>
    </xf>
    <xf numFmtId="10" fontId="24" fillId="0" borderId="3" xfId="1" applyNumberFormat="1" applyFont="1" applyBorder="1"/>
    <xf numFmtId="10" fontId="24" fillId="0" borderId="28" xfId="1" applyNumberFormat="1" applyFont="1" applyBorder="1"/>
    <xf numFmtId="10" fontId="24" fillId="0" borderId="4" xfId="1" applyNumberFormat="1" applyFont="1" applyBorder="1"/>
    <xf numFmtId="178" fontId="20" fillId="0" borderId="0" xfId="2" applyNumberFormat="1" applyFont="1" applyAlignment="1">
      <alignment horizontal="center"/>
    </xf>
    <xf numFmtId="10" fontId="20" fillId="0" borderId="0" xfId="0" applyNumberFormat="1" applyFont="1" applyAlignment="1">
      <alignment horizontal="right"/>
    </xf>
    <xf numFmtId="0" fontId="33" fillId="4" borderId="1" xfId="0" applyFont="1" applyFill="1" applyBorder="1"/>
    <xf numFmtId="0" fontId="33" fillId="4" borderId="0" xfId="0" applyFont="1" applyFill="1"/>
    <xf numFmtId="0" fontId="33" fillId="4" borderId="2" xfId="0" applyFont="1" applyFill="1" applyBorder="1"/>
    <xf numFmtId="0" fontId="33" fillId="4" borderId="3" xfId="0" applyFont="1" applyFill="1" applyBorder="1"/>
    <xf numFmtId="0" fontId="33" fillId="4" borderId="28" xfId="0" applyFont="1" applyFill="1" applyBorder="1"/>
    <xf numFmtId="0" fontId="33" fillId="4" borderId="4" xfId="0" applyFont="1" applyFill="1" applyBorder="1"/>
    <xf numFmtId="14" fontId="33" fillId="4" borderId="2" xfId="0" applyNumberFormat="1" applyFont="1" applyFill="1" applyBorder="1"/>
    <xf numFmtId="14" fontId="33" fillId="4" borderId="4" xfId="0" applyNumberFormat="1" applyFont="1" applyFill="1" applyBorder="1"/>
    <xf numFmtId="10" fontId="33" fillId="4" borderId="0" xfId="0" applyNumberFormat="1" applyFont="1" applyFill="1"/>
    <xf numFmtId="10" fontId="33" fillId="4" borderId="28" xfId="0" applyNumberFormat="1" applyFont="1" applyFill="1" applyBorder="1"/>
    <xf numFmtId="9" fontId="33" fillId="4" borderId="0" xfId="0" applyNumberFormat="1" applyFont="1" applyFill="1"/>
    <xf numFmtId="9" fontId="33" fillId="4" borderId="28" xfId="0" applyNumberFormat="1" applyFont="1" applyFill="1" applyBorder="1"/>
    <xf numFmtId="0" fontId="33" fillId="4" borderId="7" xfId="0" applyFont="1" applyFill="1" applyBorder="1"/>
    <xf numFmtId="0" fontId="33" fillId="4" borderId="23" xfId="0" applyFont="1" applyFill="1" applyBorder="1"/>
    <xf numFmtId="10" fontId="33" fillId="4" borderId="23" xfId="0" applyNumberFormat="1" applyFont="1" applyFill="1" applyBorder="1"/>
    <xf numFmtId="9" fontId="33" fillId="4" borderId="23" xfId="0" applyNumberFormat="1" applyFont="1" applyFill="1" applyBorder="1"/>
    <xf numFmtId="0" fontId="33" fillId="4" borderId="8" xfId="0" applyFont="1" applyFill="1" applyBorder="1"/>
    <xf numFmtId="0" fontId="33" fillId="4" borderId="47" xfId="0" applyFont="1" applyFill="1" applyBorder="1"/>
    <xf numFmtId="0" fontId="33" fillId="4" borderId="13" xfId="0" applyFont="1" applyFill="1" applyBorder="1"/>
    <xf numFmtId="10" fontId="33" fillId="4" borderId="13" xfId="0" applyNumberFormat="1" applyFont="1" applyFill="1" applyBorder="1"/>
    <xf numFmtId="9" fontId="33" fillId="4" borderId="13" xfId="0" applyNumberFormat="1" applyFont="1" applyFill="1" applyBorder="1"/>
    <xf numFmtId="0" fontId="33" fillId="4" borderId="48" xfId="0" applyFont="1" applyFill="1" applyBorder="1"/>
    <xf numFmtId="0" fontId="33" fillId="4" borderId="49" xfId="0" applyFont="1" applyFill="1" applyBorder="1"/>
    <xf numFmtId="0" fontId="33" fillId="4" borderId="50" xfId="0" applyFont="1" applyFill="1" applyBorder="1"/>
    <xf numFmtId="10" fontId="33" fillId="4" borderId="50" xfId="0" applyNumberFormat="1" applyFont="1" applyFill="1" applyBorder="1"/>
    <xf numFmtId="9" fontId="33" fillId="4" borderId="50" xfId="0" applyNumberFormat="1" applyFont="1" applyFill="1" applyBorder="1"/>
    <xf numFmtId="0" fontId="33" fillId="4" borderId="51" xfId="0" applyFont="1" applyFill="1" applyBorder="1"/>
    <xf numFmtId="14" fontId="33" fillId="4" borderId="8" xfId="0" applyNumberFormat="1" applyFont="1" applyFill="1" applyBorder="1"/>
    <xf numFmtId="14" fontId="33" fillId="4" borderId="48" xfId="0" applyNumberFormat="1" applyFont="1" applyFill="1" applyBorder="1"/>
    <xf numFmtId="14" fontId="33" fillId="4" borderId="51" xfId="0" applyNumberFormat="1" applyFont="1" applyFill="1" applyBorder="1"/>
    <xf numFmtId="167" fontId="20" fillId="4" borderId="0" xfId="0" applyNumberFormat="1" applyFont="1" applyFill="1"/>
    <xf numFmtId="10" fontId="0" fillId="0" borderId="0" xfId="0" applyNumberFormat="1"/>
    <xf numFmtId="0" fontId="22" fillId="0" borderId="23" xfId="0" applyFont="1" applyBorder="1" applyAlignment="1">
      <alignment horizontal="center"/>
    </xf>
    <xf numFmtId="0" fontId="22" fillId="0" borderId="0" xfId="0" applyFont="1" applyAlignment="1">
      <alignment horizontal="center"/>
    </xf>
    <xf numFmtId="0" fontId="20" fillId="0" borderId="5" xfId="0" applyFont="1" applyBorder="1"/>
    <xf numFmtId="0" fontId="26" fillId="3" borderId="11" xfId="0" applyFont="1" applyFill="1" applyBorder="1" applyAlignment="1">
      <alignment horizontal="center" vertical="center" wrapText="1"/>
    </xf>
    <xf numFmtId="0" fontId="26" fillId="3" borderId="6" xfId="0" applyFont="1" applyFill="1" applyBorder="1" applyAlignment="1">
      <alignment horizontal="center" vertical="center" wrapText="1"/>
    </xf>
    <xf numFmtId="0" fontId="22" fillId="0" borderId="28" xfId="0" applyFont="1" applyBorder="1" applyAlignment="1">
      <alignment horizontal="center"/>
    </xf>
    <xf numFmtId="165" fontId="24" fillId="0" borderId="24" xfId="3" applyNumberFormat="1" applyFont="1" applyBorder="1" applyAlignment="1">
      <alignment horizontal="center"/>
    </xf>
    <xf numFmtId="165" fontId="24" fillId="0" borderId="31" xfId="3" applyNumberFormat="1" applyFont="1" applyBorder="1" applyAlignment="1">
      <alignment horizontal="center"/>
    </xf>
    <xf numFmtId="165" fontId="24" fillId="0" borderId="29" xfId="3" applyNumberFormat="1" applyFont="1" applyBorder="1" applyAlignment="1">
      <alignment horizontal="center"/>
    </xf>
    <xf numFmtId="165" fontId="24" fillId="0" borderId="26" xfId="3" applyNumberFormat="1" applyFont="1" applyBorder="1" applyAlignment="1">
      <alignment horizontal="center"/>
    </xf>
    <xf numFmtId="165" fontId="24" fillId="0" borderId="32" xfId="3" applyNumberFormat="1" applyFont="1" applyBorder="1" applyAlignment="1">
      <alignment horizontal="center"/>
    </xf>
    <xf numFmtId="165" fontId="24" fillId="0" borderId="30" xfId="3" applyNumberFormat="1" applyFont="1" applyBorder="1" applyAlignment="1">
      <alignment horizontal="center"/>
    </xf>
    <xf numFmtId="165" fontId="24" fillId="0" borderId="18" xfId="3" applyNumberFormat="1" applyFont="1" applyBorder="1" applyAlignment="1">
      <alignment horizontal="center"/>
    </xf>
    <xf numFmtId="165" fontId="24" fillId="0" borderId="33" xfId="3" applyNumberFormat="1" applyFont="1" applyBorder="1" applyAlignment="1">
      <alignment horizontal="center"/>
    </xf>
    <xf numFmtId="165" fontId="24" fillId="0" borderId="20" xfId="3" applyNumberFormat="1" applyFont="1" applyBorder="1" applyAlignment="1">
      <alignment horizontal="center"/>
    </xf>
    <xf numFmtId="14" fontId="22" fillId="4" borderId="4" xfId="2" applyNumberFormat="1" applyFont="1" applyFill="1" applyBorder="1" applyAlignment="1">
      <alignment horizontal="center"/>
    </xf>
    <xf numFmtId="177" fontId="20" fillId="4" borderId="0" xfId="0" applyNumberFormat="1" applyFont="1" applyFill="1"/>
    <xf numFmtId="9" fontId="20" fillId="4" borderId="0" xfId="1" applyFont="1" applyFill="1"/>
    <xf numFmtId="183" fontId="0" fillId="0" borderId="0" xfId="7" applyNumberFormat="1" applyFont="1"/>
    <xf numFmtId="164" fontId="20" fillId="0" borderId="0" xfId="2" applyNumberFormat="1" applyFont="1" applyAlignment="1">
      <alignment horizontal="center"/>
    </xf>
    <xf numFmtId="183" fontId="20" fillId="0" borderId="0" xfId="2" applyNumberFormat="1" applyFont="1" applyAlignment="1">
      <alignment horizontal="center"/>
    </xf>
    <xf numFmtId="167" fontId="20" fillId="0" borderId="0" xfId="2" applyNumberFormat="1" applyFont="1" applyAlignment="1">
      <alignment horizontal="center"/>
    </xf>
    <xf numFmtId="167" fontId="20" fillId="0" borderId="0" xfId="1" applyNumberFormat="1" applyFont="1" applyAlignment="1">
      <alignment horizontal="center"/>
    </xf>
    <xf numFmtId="2" fontId="33" fillId="4" borderId="8" xfId="0" applyNumberFormat="1" applyFont="1" applyFill="1" applyBorder="1"/>
    <xf numFmtId="2" fontId="33" fillId="4" borderId="2" xfId="0" applyNumberFormat="1" applyFont="1" applyFill="1" applyBorder="1"/>
    <xf numFmtId="2" fontId="33" fillId="4" borderId="4" xfId="0" applyNumberFormat="1" applyFont="1" applyFill="1" applyBorder="1"/>
    <xf numFmtId="10" fontId="33" fillId="4" borderId="9" xfId="0" applyNumberFormat="1" applyFont="1" applyFill="1" applyBorder="1"/>
    <xf numFmtId="10" fontId="33" fillId="4" borderId="10" xfId="0" applyNumberFormat="1" applyFont="1" applyFill="1" applyBorder="1"/>
    <xf numFmtId="10" fontId="33" fillId="4" borderId="11" xfId="0" applyNumberFormat="1" applyFont="1" applyFill="1" applyBorder="1"/>
    <xf numFmtId="2" fontId="20" fillId="4" borderId="0" xfId="0" applyNumberFormat="1" applyFont="1" applyFill="1"/>
    <xf numFmtId="167" fontId="44" fillId="4" borderId="0" xfId="0" applyNumberFormat="1" applyFont="1" applyFill="1"/>
    <xf numFmtId="167" fontId="47" fillId="4" borderId="0" xfId="0" applyNumberFormat="1" applyFont="1" applyFill="1"/>
    <xf numFmtId="0" fontId="25" fillId="2" borderId="6" xfId="0" applyFont="1" applyFill="1" applyBorder="1"/>
    <xf numFmtId="167" fontId="44" fillId="4" borderId="2" xfId="0" applyNumberFormat="1" applyFont="1" applyFill="1" applyBorder="1"/>
    <xf numFmtId="2" fontId="47" fillId="4" borderId="2" xfId="0" applyNumberFormat="1" applyFont="1" applyFill="1" applyBorder="1"/>
    <xf numFmtId="167" fontId="44" fillId="4" borderId="28" xfId="0" applyNumberFormat="1" applyFont="1" applyFill="1" applyBorder="1"/>
    <xf numFmtId="177" fontId="47" fillId="4" borderId="0" xfId="0" applyNumberFormat="1" applyFont="1" applyFill="1"/>
    <xf numFmtId="167" fontId="20" fillId="4" borderId="28" xfId="0" applyNumberFormat="1" applyFont="1" applyFill="1" applyBorder="1"/>
    <xf numFmtId="10" fontId="46" fillId="4" borderId="10" xfId="0" applyNumberFormat="1" applyFont="1" applyFill="1" applyBorder="1"/>
    <xf numFmtId="10" fontId="46" fillId="4" borderId="9" xfId="0" applyNumberFormat="1" applyFont="1" applyFill="1" applyBorder="1"/>
    <xf numFmtId="10" fontId="46" fillId="4" borderId="11" xfId="0" applyNumberFormat="1" applyFont="1" applyFill="1" applyBorder="1"/>
    <xf numFmtId="1" fontId="46" fillId="4" borderId="9" xfId="0" applyNumberFormat="1" applyFont="1" applyFill="1" applyBorder="1"/>
    <xf numFmtId="1" fontId="46" fillId="4" borderId="10" xfId="0" applyNumberFormat="1" applyFont="1" applyFill="1" applyBorder="1"/>
    <xf numFmtId="1" fontId="46" fillId="4" borderId="11" xfId="0" applyNumberFormat="1" applyFont="1" applyFill="1" applyBorder="1"/>
    <xf numFmtId="1" fontId="33" fillId="4" borderId="23" xfId="0" applyNumberFormat="1" applyFont="1" applyFill="1" applyBorder="1"/>
    <xf numFmtId="1" fontId="33" fillId="4" borderId="0" xfId="0" applyNumberFormat="1" applyFont="1" applyFill="1"/>
    <xf numFmtId="1" fontId="33" fillId="4" borderId="13" xfId="0" applyNumberFormat="1" applyFont="1" applyFill="1" applyBorder="1"/>
    <xf numFmtId="10" fontId="46" fillId="4" borderId="53" xfId="0" applyNumberFormat="1" applyFont="1" applyFill="1" applyBorder="1"/>
    <xf numFmtId="1" fontId="46" fillId="4" borderId="53" xfId="0" applyNumberFormat="1" applyFont="1" applyFill="1" applyBorder="1"/>
    <xf numFmtId="10" fontId="46" fillId="4" borderId="54" xfId="0" applyNumberFormat="1" applyFont="1" applyFill="1" applyBorder="1"/>
    <xf numFmtId="1" fontId="46" fillId="4" borderId="54" xfId="0" applyNumberFormat="1" applyFont="1" applyFill="1" applyBorder="1"/>
    <xf numFmtId="10" fontId="46" fillId="4" borderId="52" xfId="0" applyNumberFormat="1" applyFont="1" applyFill="1" applyBorder="1"/>
    <xf numFmtId="1" fontId="46" fillId="4" borderId="52" xfId="0" applyNumberFormat="1" applyFont="1" applyFill="1" applyBorder="1"/>
    <xf numFmtId="1" fontId="33" fillId="4" borderId="50" xfId="0" applyNumberFormat="1" applyFont="1" applyFill="1" applyBorder="1"/>
    <xf numFmtId="1" fontId="33" fillId="4" borderId="28" xfId="0" applyNumberFormat="1" applyFont="1" applyFill="1" applyBorder="1"/>
    <xf numFmtId="180" fontId="47" fillId="4" borderId="0" xfId="0" applyNumberFormat="1" applyFont="1" applyFill="1"/>
    <xf numFmtId="10" fontId="33" fillId="4" borderId="0" xfId="1" applyNumberFormat="1" applyFont="1" applyFill="1"/>
    <xf numFmtId="14" fontId="31" fillId="0" borderId="12" xfId="0" applyNumberFormat="1" applyFont="1" applyBorder="1"/>
    <xf numFmtId="10" fontId="20" fillId="4" borderId="0" xfId="0" applyNumberFormat="1" applyFont="1" applyFill="1"/>
    <xf numFmtId="10" fontId="33" fillId="4" borderId="8" xfId="0" applyNumberFormat="1" applyFont="1" applyFill="1" applyBorder="1"/>
    <xf numFmtId="10" fontId="33" fillId="4" borderId="2" xfId="0" applyNumberFormat="1" applyFont="1" applyFill="1" applyBorder="1"/>
    <xf numFmtId="10" fontId="33" fillId="4" borderId="48" xfId="0" applyNumberFormat="1" applyFont="1" applyFill="1" applyBorder="1"/>
    <xf numFmtId="10" fontId="33" fillId="4" borderId="51" xfId="0" applyNumberFormat="1" applyFont="1" applyFill="1" applyBorder="1"/>
    <xf numFmtId="10" fontId="33" fillId="4" borderId="4" xfId="0" applyNumberFormat="1" applyFont="1" applyFill="1" applyBorder="1"/>
    <xf numFmtId="167" fontId="36" fillId="4" borderId="23" xfId="0" applyNumberFormat="1" applyFont="1" applyFill="1" applyBorder="1" applyAlignment="1">
      <alignment horizontal="center"/>
    </xf>
    <xf numFmtId="167" fontId="36" fillId="4" borderId="0" xfId="5" applyNumberFormat="1" applyFont="1" applyFill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6" fillId="3" borderId="5" xfId="0" applyFont="1" applyFill="1" applyBorder="1" applyAlignment="1">
      <alignment horizontal="center"/>
    </xf>
    <xf numFmtId="0" fontId="26" fillId="3" borderId="14" xfId="0" applyFont="1" applyFill="1" applyBorder="1" applyAlignment="1">
      <alignment horizontal="center"/>
    </xf>
    <xf numFmtId="0" fontId="26" fillId="3" borderId="6" xfId="0" applyFont="1" applyFill="1" applyBorder="1" applyAlignment="1">
      <alignment horizontal="center"/>
    </xf>
    <xf numFmtId="0" fontId="26" fillId="3" borderId="7" xfId="0" applyFont="1" applyFill="1" applyBorder="1" applyAlignment="1">
      <alignment horizontal="center"/>
    </xf>
    <xf numFmtId="0" fontId="26" fillId="3" borderId="23" xfId="0" applyFont="1" applyFill="1" applyBorder="1" applyAlignment="1">
      <alignment horizontal="center"/>
    </xf>
    <xf numFmtId="0" fontId="26" fillId="3" borderId="8" xfId="0" applyFont="1" applyFill="1" applyBorder="1" applyAlignment="1">
      <alignment horizontal="center"/>
    </xf>
    <xf numFmtId="0" fontId="21" fillId="3" borderId="5" xfId="0" applyFont="1" applyFill="1" applyBorder="1" applyAlignment="1">
      <alignment horizontal="center"/>
    </xf>
    <xf numFmtId="0" fontId="21" fillId="3" borderId="14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0" fontId="19" fillId="0" borderId="7" xfId="0" applyFont="1" applyBorder="1" applyAlignment="1">
      <alignment horizontal="center"/>
    </xf>
    <xf numFmtId="0" fontId="19" fillId="0" borderId="8" xfId="0" applyFont="1" applyBorder="1" applyAlignment="1">
      <alignment horizontal="center"/>
    </xf>
    <xf numFmtId="15" fontId="19" fillId="4" borderId="3" xfId="0" applyNumberFormat="1" applyFont="1" applyFill="1" applyBorder="1" applyAlignment="1">
      <alignment horizontal="center"/>
    </xf>
    <xf numFmtId="15" fontId="19" fillId="4" borderId="4" xfId="0" applyNumberFormat="1" applyFont="1" applyFill="1" applyBorder="1" applyAlignment="1">
      <alignment horizontal="center"/>
    </xf>
    <xf numFmtId="0" fontId="19" fillId="0" borderId="36" xfId="0" applyFont="1" applyBorder="1" applyAlignment="1">
      <alignment horizontal="center"/>
    </xf>
    <xf numFmtId="0" fontId="19" fillId="0" borderId="37" xfId="0" applyFont="1" applyBorder="1" applyAlignment="1">
      <alignment horizontal="center"/>
    </xf>
    <xf numFmtId="0" fontId="19" fillId="0" borderId="38" xfId="0" applyFont="1" applyBorder="1" applyAlignment="1">
      <alignment horizontal="center"/>
    </xf>
    <xf numFmtId="0" fontId="23" fillId="0" borderId="39" xfId="0" applyFont="1" applyBorder="1" applyAlignment="1">
      <alignment horizontal="center"/>
    </xf>
    <xf numFmtId="0" fontId="23" fillId="0" borderId="40" xfId="0" applyFont="1" applyBorder="1" applyAlignment="1">
      <alignment horizontal="center"/>
    </xf>
    <xf numFmtId="0" fontId="23" fillId="0" borderId="41" xfId="0" applyFont="1" applyBorder="1" applyAlignment="1">
      <alignment horizontal="center"/>
    </xf>
    <xf numFmtId="0" fontId="34" fillId="0" borderId="5" xfId="0" applyFont="1" applyBorder="1" applyAlignment="1">
      <alignment horizontal="center"/>
    </xf>
    <xf numFmtId="0" fontId="34" fillId="0" borderId="6" xfId="0" applyFont="1" applyBorder="1" applyAlignment="1">
      <alignment horizontal="center"/>
    </xf>
    <xf numFmtId="0" fontId="35" fillId="0" borderId="7" xfId="0" applyFont="1" applyBorder="1" applyAlignment="1">
      <alignment horizontal="center" vertical="center"/>
    </xf>
    <xf numFmtId="0" fontId="35" fillId="0" borderId="23" xfId="0" applyFont="1" applyBorder="1" applyAlignment="1">
      <alignment horizontal="center" vertical="center"/>
    </xf>
    <xf numFmtId="0" fontId="35" fillId="0" borderId="8" xfId="0" applyFont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5" fillId="0" borderId="2" xfId="0" applyFont="1" applyBorder="1" applyAlignment="1">
      <alignment horizontal="center" vertical="center"/>
    </xf>
    <xf numFmtId="0" fontId="35" fillId="0" borderId="3" xfId="0" applyFont="1" applyBorder="1" applyAlignment="1">
      <alignment horizontal="center" vertical="center"/>
    </xf>
    <xf numFmtId="0" fontId="35" fillId="0" borderId="28" xfId="0" applyFont="1" applyBorder="1" applyAlignment="1">
      <alignment horizontal="center" vertical="center"/>
    </xf>
    <xf numFmtId="0" fontId="35" fillId="0" borderId="4" xfId="0" applyFont="1" applyBorder="1" applyAlignment="1">
      <alignment horizontal="center" vertical="center"/>
    </xf>
    <xf numFmtId="0" fontId="18" fillId="2" borderId="5" xfId="0" applyFont="1" applyFill="1" applyBorder="1" applyAlignment="1">
      <alignment horizontal="center"/>
    </xf>
    <xf numFmtId="0" fontId="18" fillId="2" borderId="6" xfId="0" applyFont="1" applyFill="1" applyBorder="1" applyAlignment="1">
      <alignment horizontal="center"/>
    </xf>
    <xf numFmtId="0" fontId="18" fillId="2" borderId="14" xfId="0" applyFont="1" applyFill="1" applyBorder="1" applyAlignment="1">
      <alignment horizontal="center"/>
    </xf>
    <xf numFmtId="0" fontId="20" fillId="4" borderId="0" xfId="0" applyFont="1" applyFill="1"/>
    <xf numFmtId="0" fontId="18" fillId="2" borderId="23" xfId="0" applyFont="1" applyFill="1" applyBorder="1" applyAlignment="1">
      <alignment horizontal="center"/>
    </xf>
    <xf numFmtId="0" fontId="18" fillId="2" borderId="8" xfId="0" applyFont="1" applyFill="1" applyBorder="1" applyAlignment="1">
      <alignment horizontal="center"/>
    </xf>
  </cellXfs>
  <cellStyles count="8">
    <cellStyle name="Comma" xfId="7" builtinId="3"/>
    <cellStyle name="Hyperlink" xfId="6" builtinId="8"/>
    <cellStyle name="Normal" xfId="0" builtinId="0"/>
    <cellStyle name="Normal 2" xfId="2" xr:uid="{43EB118B-06AD-4387-B81B-417ECB34FEB0}"/>
    <cellStyle name="Normal 3" xfId="4" xr:uid="{E238EBB5-48B8-4FED-9264-711ACF85AE28}"/>
    <cellStyle name="Percent" xfId="1" builtinId="5"/>
    <cellStyle name="Pourcentage 2" xfId="3" xr:uid="{F7D3DB99-EE94-4E9D-955A-FA3CDEDC7187}"/>
    <cellStyle name="Pourcentage 3" xfId="5" xr:uid="{EA01CF52-6D51-473C-AE6C-2549AA0659B6}"/>
  </cellStyles>
  <dxfs count="2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</dxfs>
  <tableStyles count="0" defaultTableStyle="TableStyleMedium2" defaultPivotStyle="PivotStyleLight16"/>
  <colors>
    <mruColors>
      <color rgb="FF0000FF"/>
      <color rgb="FFE66E0A"/>
      <color rgb="FFE6640A"/>
      <color rgb="FF008000"/>
      <color rgb="FF33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externalLink" Target="externalLinks/externalLink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6.xml"/><Relationship Id="rId12" Type="http://schemas.openxmlformats.org/officeDocument/2006/relationships/externalLink" Target="externalLinks/externalLink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4.xml"/><Relationship Id="rId15" Type="http://schemas.openxmlformats.org/officeDocument/2006/relationships/styles" Target="styles.xml"/><Relationship Id="rId23" Type="http://schemas.microsoft.com/office/2006/relationships/vbaProject" Target="vbaProject.bin"/><Relationship Id="rId10" Type="http://schemas.openxmlformats.org/officeDocument/2006/relationships/worksheet" Target="worksheets/sheet9.xml"/><Relationship Id="rId19" Type="http://schemas.openxmlformats.org/officeDocument/2006/relationships/customXml" Target="../customXml/item1.xml"/><Relationship Id="rId4" Type="http://schemas.openxmlformats.org/officeDocument/2006/relationships/chartsheet" Target="chartsheets/sheet1.xml"/><Relationship Id="rId9" Type="http://schemas.openxmlformats.org/officeDocument/2006/relationships/worksheet" Target="worksheets/sheet8.xml"/><Relationship Id="rId14" Type="http://schemas.openxmlformats.org/officeDocument/2006/relationships/theme" Target="theme/theme1.xml"/><Relationship Id="rId22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'CDS Strip'!$AH$11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'CDS Strip'!$AG$12:$AG$106</c:f>
              <c:numCache>
                <c:formatCode>0.000000000%</c:formatCode>
                <c:ptCount val="95"/>
              </c:numCache>
            </c:numRef>
          </c:cat>
          <c:val>
            <c:numRef>
              <c:f>'CDS Strip'!$AH$12:$AH$106</c:f>
              <c:numCache>
                <c:formatCode>0.00%</c:formatCode>
                <c:ptCount val="95"/>
              </c:numCache>
            </c:numRef>
          </c:val>
          <c:extLst>
            <c:ext xmlns:c16="http://schemas.microsoft.com/office/drawing/2014/chart" uri="{C3380CC4-5D6E-409C-BE32-E72D297353CC}">
              <c16:uniqueId val="{00000000-947B-4857-BC85-66E6A3916D15}"/>
            </c:ext>
          </c:extLst>
        </c:ser>
        <c:ser>
          <c:idx val="1"/>
          <c:order val="1"/>
          <c:tx>
            <c:strRef>
              <c:f>'CDS Strip'!$AI$11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'CDS Strip'!$AG$12:$AG$106</c:f>
              <c:numCache>
                <c:formatCode>0.000000000%</c:formatCode>
                <c:ptCount val="95"/>
              </c:numCache>
            </c:numRef>
          </c:cat>
          <c:val>
            <c:numRef>
              <c:f>'CDS Strip'!$AI$12:$AI$106</c:f>
              <c:numCache>
                <c:formatCode>0</c:formatCode>
                <c:ptCount val="95"/>
              </c:numCache>
            </c:numRef>
          </c:val>
          <c:extLst>
            <c:ext xmlns:c16="http://schemas.microsoft.com/office/drawing/2014/chart" uri="{C3380CC4-5D6E-409C-BE32-E72D297353CC}">
              <c16:uniqueId val="{00000001-947B-4857-BC85-66E6A3916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3489712"/>
        <c:axId val="403487792"/>
      </c:barChart>
      <c:catAx>
        <c:axId val="403489712"/>
        <c:scaling>
          <c:orientation val="minMax"/>
        </c:scaling>
        <c:delete val="0"/>
        <c:axPos val="b"/>
        <c:numFmt formatCode="0.00000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3487792"/>
        <c:crosses val="autoZero"/>
        <c:auto val="1"/>
        <c:lblAlgn val="ctr"/>
        <c:lblOffset val="100"/>
        <c:noMultiLvlLbl val="0"/>
      </c:catAx>
      <c:valAx>
        <c:axId val="40348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3489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Forward</a:t>
            </a:r>
            <a:r>
              <a:rPr lang="fr-FR"/>
              <a:t> </a:t>
            </a:r>
            <a:r>
              <a:rPr lang="fr-FR">
                <a:solidFill>
                  <a:schemeClr val="tx1"/>
                </a:solidFill>
              </a:rPr>
              <a:t>Default Intensity 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9322937218131875E-2"/>
          <c:y val="0.13076158728881929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'Fwd Intensity'!$E$10:$E$129</c:f>
              <c:numCache>
                <c:formatCode>0.00%</c:formatCode>
                <c:ptCount val="120"/>
                <c:pt idx="0">
                  <c:v>2.2317897620828526E-3</c:v>
                </c:pt>
                <c:pt idx="1">
                  <c:v>2.2317897620836372E-3</c:v>
                </c:pt>
                <c:pt idx="2">
                  <c:v>2.2317897620821071E-3</c:v>
                </c:pt>
                <c:pt idx="3">
                  <c:v>2.2317897620836367E-3</c:v>
                </c:pt>
                <c:pt idx="4">
                  <c:v>2.2317897620818448E-3</c:v>
                </c:pt>
                <c:pt idx="5">
                  <c:v>2.2317897620823318E-3</c:v>
                </c:pt>
                <c:pt idx="6">
                  <c:v>4.6278516355851094E-3</c:v>
                </c:pt>
                <c:pt idx="7">
                  <c:v>4.6278516355857157E-3</c:v>
                </c:pt>
                <c:pt idx="8">
                  <c:v>4.6278516355857157E-3</c:v>
                </c:pt>
                <c:pt idx="9">
                  <c:v>4.6278516355837641E-3</c:v>
                </c:pt>
                <c:pt idx="10">
                  <c:v>4.6278516355857157E-3</c:v>
                </c:pt>
                <c:pt idx="11">
                  <c:v>4.6278516355851155E-3</c:v>
                </c:pt>
                <c:pt idx="12">
                  <c:v>5.4794484254279017E-3</c:v>
                </c:pt>
                <c:pt idx="13">
                  <c:v>5.4794484254265937E-3</c:v>
                </c:pt>
                <c:pt idx="14">
                  <c:v>5.4794484254293745E-3</c:v>
                </c:pt>
                <c:pt idx="15">
                  <c:v>5.4794484254279017E-3</c:v>
                </c:pt>
                <c:pt idx="16">
                  <c:v>5.479448425428495E-3</c:v>
                </c:pt>
                <c:pt idx="17">
                  <c:v>5.4794484254279017E-3</c:v>
                </c:pt>
                <c:pt idx="18">
                  <c:v>5.4794484254284802E-3</c:v>
                </c:pt>
                <c:pt idx="19">
                  <c:v>5.4794484254279017E-3</c:v>
                </c:pt>
                <c:pt idx="20">
                  <c:v>5.4794484254292097E-3</c:v>
                </c:pt>
                <c:pt idx="21">
                  <c:v>5.4794484254257923E-3</c:v>
                </c:pt>
                <c:pt idx="22">
                  <c:v>5.4794484254292097E-3</c:v>
                </c:pt>
                <c:pt idx="23">
                  <c:v>5.4794484254271142E-3</c:v>
                </c:pt>
                <c:pt idx="24">
                  <c:v>7.9256316334030165E-3</c:v>
                </c:pt>
                <c:pt idx="25">
                  <c:v>7.9256316334030165E-3</c:v>
                </c:pt>
                <c:pt idx="26">
                  <c:v>7.9256316334033339E-3</c:v>
                </c:pt>
                <c:pt idx="27">
                  <c:v>7.9256316334030165E-3</c:v>
                </c:pt>
                <c:pt idx="28">
                  <c:v>7.9256316334045864E-3</c:v>
                </c:pt>
                <c:pt idx="29">
                  <c:v>7.9256316334017102E-3</c:v>
                </c:pt>
                <c:pt idx="30">
                  <c:v>7.9256316334032784E-3</c:v>
                </c:pt>
                <c:pt idx="31">
                  <c:v>7.9256316334043262E-3</c:v>
                </c:pt>
                <c:pt idx="32">
                  <c:v>7.9256316334017102E-3</c:v>
                </c:pt>
                <c:pt idx="33">
                  <c:v>7.9256316334046298E-3</c:v>
                </c:pt>
                <c:pt idx="34">
                  <c:v>7.9256316334017102E-3</c:v>
                </c:pt>
                <c:pt idx="35">
                  <c:v>7.9256316334032351E-3</c:v>
                </c:pt>
                <c:pt idx="36">
                  <c:v>8.8698077983905051E-3</c:v>
                </c:pt>
                <c:pt idx="37">
                  <c:v>8.8698077983905051E-3</c:v>
                </c:pt>
                <c:pt idx="38">
                  <c:v>8.8698077983906769E-3</c:v>
                </c:pt>
                <c:pt idx="39">
                  <c:v>8.8698077983918131E-3</c:v>
                </c:pt>
                <c:pt idx="40">
                  <c:v>8.8698077983896065E-3</c:v>
                </c:pt>
                <c:pt idx="41">
                  <c:v>8.8698077983905051E-3</c:v>
                </c:pt>
                <c:pt idx="42">
                  <c:v>8.8698077983910065E-3</c:v>
                </c:pt>
                <c:pt idx="43">
                  <c:v>8.8698077983905051E-3</c:v>
                </c:pt>
                <c:pt idx="44">
                  <c:v>8.8698077983918131E-3</c:v>
                </c:pt>
                <c:pt idx="45">
                  <c:v>8.8698077983910065E-3</c:v>
                </c:pt>
                <c:pt idx="46">
                  <c:v>8.8698077983905051E-3</c:v>
                </c:pt>
                <c:pt idx="47">
                  <c:v>8.8698077983896065E-3</c:v>
                </c:pt>
                <c:pt idx="48">
                  <c:v>8.8698077983918582E-3</c:v>
                </c:pt>
                <c:pt idx="49">
                  <c:v>8.8698077983904583E-3</c:v>
                </c:pt>
                <c:pt idx="50">
                  <c:v>8.8698077983900211E-3</c:v>
                </c:pt>
                <c:pt idx="51">
                  <c:v>8.8698077983918582E-3</c:v>
                </c:pt>
                <c:pt idx="52">
                  <c:v>8.8698077983896065E-3</c:v>
                </c:pt>
                <c:pt idx="53">
                  <c:v>8.869807798390552E-3</c:v>
                </c:pt>
                <c:pt idx="54">
                  <c:v>8.8698077983909579E-3</c:v>
                </c:pt>
                <c:pt idx="55">
                  <c:v>8.869807798389244E-3</c:v>
                </c:pt>
                <c:pt idx="56">
                  <c:v>8.8698077983917663E-3</c:v>
                </c:pt>
                <c:pt idx="57">
                  <c:v>8.869807798389702E-3</c:v>
                </c:pt>
                <c:pt idx="58">
                  <c:v>8.8698077983904583E-3</c:v>
                </c:pt>
                <c:pt idx="59">
                  <c:v>8.8698077983923092E-3</c:v>
                </c:pt>
                <c:pt idx="60">
                  <c:v>9.4323754306655499E-3</c:v>
                </c:pt>
                <c:pt idx="61">
                  <c:v>9.4323754306628333E-3</c:v>
                </c:pt>
                <c:pt idx="62">
                  <c:v>9.4323754306659419E-3</c:v>
                </c:pt>
                <c:pt idx="63">
                  <c:v>9.4323754306655499E-3</c:v>
                </c:pt>
                <c:pt idx="64">
                  <c:v>9.4323754306629842E-3</c:v>
                </c:pt>
                <c:pt idx="65">
                  <c:v>9.4323754306655499E-3</c:v>
                </c:pt>
                <c:pt idx="66">
                  <c:v>9.4323754306643356E-3</c:v>
                </c:pt>
                <c:pt idx="67">
                  <c:v>9.4323754306642402E-3</c:v>
                </c:pt>
                <c:pt idx="68">
                  <c:v>9.4323754306641413E-3</c:v>
                </c:pt>
                <c:pt idx="69">
                  <c:v>9.4323754306657893E-3</c:v>
                </c:pt>
                <c:pt idx="70">
                  <c:v>9.4323754306641413E-3</c:v>
                </c:pt>
                <c:pt idx="71">
                  <c:v>9.4323754306643356E-3</c:v>
                </c:pt>
                <c:pt idx="72">
                  <c:v>9.4323754306655499E-3</c:v>
                </c:pt>
                <c:pt idx="73">
                  <c:v>9.432375430665451E-3</c:v>
                </c:pt>
                <c:pt idx="74">
                  <c:v>9.4323754306644934E-3</c:v>
                </c:pt>
                <c:pt idx="75">
                  <c:v>9.4323754306655499E-3</c:v>
                </c:pt>
                <c:pt idx="76">
                  <c:v>9.4323754306643356E-3</c:v>
                </c:pt>
                <c:pt idx="77">
                  <c:v>9.4323754306642402E-3</c:v>
                </c:pt>
                <c:pt idx="78">
                  <c:v>9.4323754306643356E-3</c:v>
                </c:pt>
                <c:pt idx="79">
                  <c:v>9.4323754306655499E-3</c:v>
                </c:pt>
                <c:pt idx="80">
                  <c:v>9.432375430665451E-3</c:v>
                </c:pt>
                <c:pt idx="81">
                  <c:v>9.4323754306644379E-3</c:v>
                </c:pt>
                <c:pt idx="82">
                  <c:v>9.4323754306641413E-3</c:v>
                </c:pt>
                <c:pt idx="83">
                  <c:v>9.4323754306656887E-3</c:v>
                </c:pt>
                <c:pt idx="84">
                  <c:v>1.014399374438388E-2</c:v>
                </c:pt>
                <c:pt idx="85">
                  <c:v>1.0143993744383774E-2</c:v>
                </c:pt>
                <c:pt idx="86">
                  <c:v>1.014399374438329E-2</c:v>
                </c:pt>
                <c:pt idx="87">
                  <c:v>1.0143993744382573E-2</c:v>
                </c:pt>
                <c:pt idx="88">
                  <c:v>1.01439937443839E-2</c:v>
                </c:pt>
                <c:pt idx="89">
                  <c:v>1.014399374438388E-2</c:v>
                </c:pt>
                <c:pt idx="90">
                  <c:v>1.0143993744382549E-2</c:v>
                </c:pt>
                <c:pt idx="91">
                  <c:v>1.014399374438388E-2</c:v>
                </c:pt>
                <c:pt idx="92">
                  <c:v>1.0143993744383774E-2</c:v>
                </c:pt>
                <c:pt idx="93">
                  <c:v>1.014399374438401E-2</c:v>
                </c:pt>
                <c:pt idx="94">
                  <c:v>1.0143993744382468E-2</c:v>
                </c:pt>
                <c:pt idx="95">
                  <c:v>1.014399374438401E-2</c:v>
                </c:pt>
                <c:pt idx="96">
                  <c:v>1.0143993744385084E-2</c:v>
                </c:pt>
                <c:pt idx="97">
                  <c:v>1.0143993744382468E-2</c:v>
                </c:pt>
                <c:pt idx="98">
                  <c:v>1.0143993744383661E-2</c:v>
                </c:pt>
                <c:pt idx="99">
                  <c:v>1.0143993744382679E-2</c:v>
                </c:pt>
                <c:pt idx="100">
                  <c:v>1.0143993744385143E-2</c:v>
                </c:pt>
                <c:pt idx="101">
                  <c:v>1.0143993744383774E-2</c:v>
                </c:pt>
                <c:pt idx="102">
                  <c:v>1.0143993744382658E-2</c:v>
                </c:pt>
                <c:pt idx="103">
                  <c:v>1.0143993744383774E-2</c:v>
                </c:pt>
                <c:pt idx="104">
                  <c:v>1.0143993744383987E-2</c:v>
                </c:pt>
                <c:pt idx="105">
                  <c:v>1.0143993744383791E-2</c:v>
                </c:pt>
                <c:pt idx="106">
                  <c:v>1.0143993744383987E-2</c:v>
                </c:pt>
                <c:pt idx="107">
                  <c:v>1.014399374438244E-2</c:v>
                </c:pt>
                <c:pt idx="108">
                  <c:v>1.0143993744383774E-2</c:v>
                </c:pt>
                <c:pt idx="109">
                  <c:v>1.0143993744383987E-2</c:v>
                </c:pt>
                <c:pt idx="110">
                  <c:v>1.0143993744381723E-2</c:v>
                </c:pt>
                <c:pt idx="111">
                  <c:v>1.0143993744383987E-2</c:v>
                </c:pt>
                <c:pt idx="112">
                  <c:v>1.0143993744383791E-2</c:v>
                </c:pt>
                <c:pt idx="113">
                  <c:v>1.0143993744383774E-2</c:v>
                </c:pt>
                <c:pt idx="114">
                  <c:v>1.0143993744382658E-2</c:v>
                </c:pt>
                <c:pt idx="115">
                  <c:v>1.0143993744385084E-2</c:v>
                </c:pt>
                <c:pt idx="116">
                  <c:v>1.0143993744383987E-2</c:v>
                </c:pt>
                <c:pt idx="117">
                  <c:v>1.0143993744383791E-2</c:v>
                </c:pt>
                <c:pt idx="118">
                  <c:v>1.0143993744383987E-2</c:v>
                </c:pt>
                <c:pt idx="119">
                  <c:v>1.0143993744383791E-2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F-4713-8FE2-053A5B70C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Default</a:t>
            </a:r>
            <a:r>
              <a:rPr lang="fr-FR" baseline="0">
                <a:solidFill>
                  <a:schemeClr val="tx1"/>
                </a:solidFill>
              </a:rPr>
              <a:t> Probability, </a:t>
            </a:r>
            <a:r>
              <a:rPr lang="fr-FR">
                <a:solidFill>
                  <a:schemeClr val="tx1"/>
                </a:solidFill>
              </a:rPr>
              <a:t>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4411764705882E-2"/>
          <c:y val="0.13376623376623376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'Fwd Intensity'!$D$10:$D$129</c:f>
              <c:numCache>
                <c:formatCode>0.000%</c:formatCode>
                <c:ptCount val="120"/>
                <c:pt idx="0">
                  <c:v>3.0567789593183292E-4</c:v>
                </c:pt>
                <c:pt idx="1">
                  <c:v>4.9515126453880676E-4</c:v>
                </c:pt>
                <c:pt idx="2">
                  <c:v>6.7236803411530044E-4</c:v>
                </c:pt>
                <c:pt idx="3">
                  <c:v>8.617719034621496E-4</c:v>
                </c:pt>
                <c:pt idx="4">
                  <c:v>1.0450317908606843E-3</c:v>
                </c:pt>
                <c:pt idx="5">
                  <c:v>1.2343650287596208E-3</c:v>
                </c:pt>
                <c:pt idx="6">
                  <c:v>1.6141946362211446E-3</c:v>
                </c:pt>
                <c:pt idx="7">
                  <c:v>2.0065334797150225E-3</c:v>
                </c:pt>
                <c:pt idx="8">
                  <c:v>2.3987181445664918E-3</c:v>
                </c:pt>
                <c:pt idx="9">
                  <c:v>2.778104949661242E-3</c:v>
                </c:pt>
                <c:pt idx="10">
                  <c:v>3.1699864076195627E-3</c:v>
                </c:pt>
                <c:pt idx="11">
                  <c:v>3.5490799001379747E-3</c:v>
                </c:pt>
                <c:pt idx="12">
                  <c:v>4.0126981613827217E-3</c:v>
                </c:pt>
                <c:pt idx="13">
                  <c:v>4.4761007151722376E-3</c:v>
                </c:pt>
                <c:pt idx="14">
                  <c:v>4.8944725388531118E-3</c:v>
                </c:pt>
                <c:pt idx="15">
                  <c:v>5.3574648298836403E-3</c:v>
                </c:pt>
                <c:pt idx="16">
                  <c:v>5.8053167797690319E-3</c:v>
                </c:pt>
                <c:pt idx="17">
                  <c:v>6.2678852827185993E-3</c:v>
                </c:pt>
                <c:pt idx="18">
                  <c:v>6.7153273028447424E-3</c:v>
                </c:pt>
                <c:pt idx="19">
                  <c:v>7.177472405616836E-3</c:v>
                </c:pt>
                <c:pt idx="20">
                  <c:v>7.6394024863496446E-3</c:v>
                </c:pt>
                <c:pt idx="21">
                  <c:v>8.0862269613453108E-3</c:v>
                </c:pt>
                <c:pt idx="22">
                  <c:v>8.547734226263981E-3</c:v>
                </c:pt>
                <c:pt idx="23">
                  <c:v>8.9941497119730984E-3</c:v>
                </c:pt>
                <c:pt idx="24">
                  <c:v>9.6610067969516988E-3</c:v>
                </c:pt>
                <c:pt idx="25">
                  <c:v>1.0327415147574515E-2</c:v>
                </c:pt>
                <c:pt idx="26">
                  <c:v>1.0928946921911598E-2</c:v>
                </c:pt>
                <c:pt idx="27">
                  <c:v>1.1594502063791645E-2</c:v>
                </c:pt>
                <c:pt idx="28">
                  <c:v>1.2238161261158398E-2</c:v>
                </c:pt>
                <c:pt idx="29">
                  <c:v>1.2902835420491532E-2</c:v>
                </c:pt>
                <c:pt idx="30">
                  <c:v>1.3545642618552178E-2</c:v>
                </c:pt>
                <c:pt idx="31">
                  <c:v>1.4209436961478361E-2</c:v>
                </c:pt>
                <c:pt idx="32">
                  <c:v>1.4872784630996283E-2</c:v>
                </c:pt>
                <c:pt idx="33">
                  <c:v>1.5514308979123204E-2</c:v>
                </c:pt>
                <c:pt idx="34">
                  <c:v>1.6176778588083085E-2</c:v>
                </c:pt>
                <c:pt idx="35">
                  <c:v>1.681745376276278E-2</c:v>
                </c:pt>
                <c:pt idx="36">
                  <c:v>1.7557831968843751E-2</c:v>
                </c:pt>
                <c:pt idx="37">
                  <c:v>1.8297652638696982E-2</c:v>
                </c:pt>
                <c:pt idx="38">
                  <c:v>1.896539889480775E-2</c:v>
                </c:pt>
                <c:pt idx="39">
                  <c:v>1.9704159606996452E-2</c:v>
                </c:pt>
                <c:pt idx="40">
                  <c:v>2.0418559635167588E-2</c:v>
                </c:pt>
                <c:pt idx="41">
                  <c:v>2.1156226055613292E-2</c:v>
                </c:pt>
                <c:pt idx="42">
                  <c:v>2.1869567876385165E-2</c:v>
                </c:pt>
                <c:pt idx="43">
                  <c:v>2.2606141626011267E-2</c:v>
                </c:pt>
                <c:pt idx="44">
                  <c:v>2.3342160704326931E-2</c:v>
                </c:pt>
                <c:pt idx="45">
                  <c:v>2.4053909504185844E-2</c:v>
                </c:pt>
                <c:pt idx="46">
                  <c:v>2.4788838351812781E-2</c:v>
                </c:pt>
                <c:pt idx="47">
                  <c:v>2.5499532871413044E-2</c:v>
                </c:pt>
                <c:pt idx="48">
                  <c:v>2.6233373103259239E-2</c:v>
                </c:pt>
                <c:pt idx="49">
                  <c:v>2.6966660722249736E-2</c:v>
                </c:pt>
                <c:pt idx="50">
                  <c:v>2.7652139546962662E-2</c:v>
                </c:pt>
                <c:pt idx="51">
                  <c:v>2.8384358774576235E-2</c:v>
                </c:pt>
                <c:pt idx="52">
                  <c:v>2.9092433024064723E-2</c:v>
                </c:pt>
                <c:pt idx="53">
                  <c:v>2.982356764953098E-2</c:v>
                </c:pt>
                <c:pt idx="54">
                  <c:v>3.0530593061700806E-2</c:v>
                </c:pt>
                <c:pt idx="55">
                  <c:v>3.1260644691590178E-2</c:v>
                </c:pt>
                <c:pt idx="56">
                  <c:v>3.1990146561602373E-2</c:v>
                </c:pt>
                <c:pt idx="57">
                  <c:v>3.269559305853853E-2</c:v>
                </c:pt>
                <c:pt idx="58">
                  <c:v>3.3424014351498221E-2</c:v>
                </c:pt>
                <c:pt idx="59">
                  <c:v>3.4128415903482923E-2</c:v>
                </c:pt>
                <c:pt idx="60">
                  <c:v>3.4901871436811782E-2</c:v>
                </c:pt>
                <c:pt idx="61">
                  <c:v>3.5674707598505662E-2</c:v>
                </c:pt>
                <c:pt idx="62">
                  <c:v>3.6372221213338829E-2</c:v>
                </c:pt>
                <c:pt idx="63">
                  <c:v>3.7143879940900515E-2</c:v>
                </c:pt>
                <c:pt idx="64">
                  <c:v>3.789005809206536E-2</c:v>
                </c:pt>
                <c:pt idx="65">
                  <c:v>3.8660501358532828E-2</c:v>
                </c:pt>
                <c:pt idx="66">
                  <c:v>3.9405504183767093E-2</c:v>
                </c:pt>
                <c:pt idx="67">
                  <c:v>4.0174733903646676E-2</c:v>
                </c:pt>
                <c:pt idx="68">
                  <c:v>4.0943347635859717E-2</c:v>
                </c:pt>
                <c:pt idx="69">
                  <c:v>4.1686581339021589E-2</c:v>
                </c:pt>
                <c:pt idx="70">
                  <c:v>4.2453984406397138E-2</c:v>
                </c:pt>
                <c:pt idx="71">
                  <c:v>4.3196047421510064E-2</c:v>
                </c:pt>
                <c:pt idx="72">
                  <c:v>4.396224173099994E-2</c:v>
                </c:pt>
                <c:pt idx="73">
                  <c:v>4.4727822483534574E-2</c:v>
                </c:pt>
                <c:pt idx="74">
                  <c:v>4.5418787819546447E-2</c:v>
                </c:pt>
                <c:pt idx="75">
                  <c:v>4.6183202191735884E-2</c:v>
                </c:pt>
                <c:pt idx="76">
                  <c:v>4.692237519994702E-2</c:v>
                </c:pt>
                <c:pt idx="77">
                  <c:v>4.7685585521827445E-2</c:v>
                </c:pt>
                <c:pt idx="78">
                  <c:v>4.8423594238103163E-2</c:v>
                </c:pt>
                <c:pt idx="79">
                  <c:v>4.918560240620784E-2</c:v>
                </c:pt>
                <c:pt idx="80">
                  <c:v>4.9947000369556682E-2</c:v>
                </c:pt>
                <c:pt idx="81">
                  <c:v>5.0683256572331192E-2</c:v>
                </c:pt>
                <c:pt idx="82">
                  <c:v>5.1443455236600433E-2</c:v>
                </c:pt>
                <c:pt idx="83">
                  <c:v>5.2178551741780876E-2</c:v>
                </c:pt>
                <c:pt idx="84">
                  <c:v>5.2994790598993258E-2</c:v>
                </c:pt>
                <c:pt idx="85">
                  <c:v>5.3810326532808817E-2</c:v>
                </c:pt>
                <c:pt idx="86">
                  <c:v>5.4546335960193759E-2</c:v>
                </c:pt>
                <c:pt idx="87">
                  <c:v>5.5360535744025663E-2</c:v>
                </c:pt>
                <c:pt idx="88">
                  <c:v>5.6147803407761376E-2</c:v>
                </c:pt>
                <c:pt idx="89">
                  <c:v>5.6960624050024333E-2</c:v>
                </c:pt>
                <c:pt idx="90">
                  <c:v>5.7746558191469011E-2</c:v>
                </c:pt>
                <c:pt idx="91">
                  <c:v>5.8558002028237688E-2</c:v>
                </c:pt>
                <c:pt idx="92">
                  <c:v>5.9368747070954742E-2</c:v>
                </c:pt>
                <c:pt idx="93">
                  <c:v>6.0152674269585482E-2</c:v>
                </c:pt>
                <c:pt idx="94">
                  <c:v>6.0962046022586036E-2</c:v>
                </c:pt>
                <c:pt idx="95">
                  <c:v>6.1744645357210692E-2</c:v>
                </c:pt>
                <c:pt idx="96">
                  <c:v>6.2552646146657342E-2</c:v>
                </c:pt>
                <c:pt idx="97">
                  <c:v>6.3359951107113899E-2</c:v>
                </c:pt>
                <c:pt idx="98">
                  <c:v>6.4114542468565183E-2</c:v>
                </c:pt>
                <c:pt idx="99">
                  <c:v>6.4920502365063526E-2</c:v>
                </c:pt>
                <c:pt idx="100">
                  <c:v>6.5699802700657783E-2</c:v>
                </c:pt>
                <c:pt idx="101">
                  <c:v>6.6504397412814109E-2</c:v>
                </c:pt>
                <c:pt idx="102">
                  <c:v>6.7282377721666786E-2</c:v>
                </c:pt>
                <c:pt idx="103">
                  <c:v>6.8085609561914118E-2</c:v>
                </c:pt>
                <c:pt idx="104">
                  <c:v>6.8888149680064847E-2</c:v>
                </c:pt>
                <c:pt idx="105">
                  <c:v>6.9664143356822139E-2</c:v>
                </c:pt>
                <c:pt idx="106">
                  <c:v>7.0465324083261338E-2</c:v>
                </c:pt>
                <c:pt idx="107">
                  <c:v>7.1240003334298696E-2</c:v>
                </c:pt>
                <c:pt idx="108">
                  <c:v>7.2039826971647458E-2</c:v>
                </c:pt>
                <c:pt idx="109">
                  <c:v>7.2838961821954151E-2</c:v>
                </c:pt>
                <c:pt idx="110">
                  <c:v>7.3560169507832174E-2</c:v>
                </c:pt>
                <c:pt idx="111">
                  <c:v>7.4357995079206041E-2</c:v>
                </c:pt>
                <c:pt idx="112">
                  <c:v>7.5129430157078403E-2</c:v>
                </c:pt>
                <c:pt idx="113">
                  <c:v>7.5925904322529325E-2</c:v>
                </c:pt>
                <c:pt idx="114">
                  <c:v>7.6696032696316419E-2</c:v>
                </c:pt>
                <c:pt idx="115">
                  <c:v>7.7491157744938866E-2</c:v>
                </c:pt>
                <c:pt idx="116">
                  <c:v>7.8285598052819982E-2</c:v>
                </c:pt>
                <c:pt idx="117">
                  <c:v>7.9053759845027161E-2</c:v>
                </c:pt>
                <c:pt idx="118">
                  <c:v>7.9846854481152474E-2</c:v>
                </c:pt>
                <c:pt idx="119">
                  <c:v>8.0613715113766693E-2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D0-4A4E-8A4E-B91C05117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BBA3753-841D-490E-A1B5-E939560D9887}">
  <sheetPr codeName="Chart1"/>
  <sheetViews>
    <sheetView zoomScale="124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10</xdr:row>
          <xdr:rowOff>76200</xdr:rowOff>
        </xdr:from>
        <xdr:to>
          <xdr:col>10</xdr:col>
          <xdr:colOff>485775</xdr:colOff>
          <xdr:row>12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3</xdr:row>
          <xdr:rowOff>19050</xdr:rowOff>
        </xdr:from>
        <xdr:to>
          <xdr:col>5</xdr:col>
          <xdr:colOff>28575</xdr:colOff>
          <xdr:row>5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IRS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2238" cy="608371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4</xdr:row>
          <xdr:rowOff>180975</xdr:rowOff>
        </xdr:from>
        <xdr:to>
          <xdr:col>5</xdr:col>
          <xdr:colOff>752475</xdr:colOff>
          <xdr:row>6</xdr:row>
          <xdr:rowOff>161925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CDS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514350</xdr:colOff>
          <xdr:row>362</xdr:row>
          <xdr:rowOff>123825</xdr:rowOff>
        </xdr:from>
        <xdr:to>
          <xdr:col>45</xdr:col>
          <xdr:colOff>295275</xdr:colOff>
          <xdr:row>364</xdr:row>
          <xdr:rowOff>85725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5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197620</xdr:colOff>
      <xdr:row>8</xdr:row>
      <xdr:rowOff>8852</xdr:rowOff>
    </xdr:from>
    <xdr:to>
      <xdr:col>13</xdr:col>
      <xdr:colOff>197619</xdr:colOff>
      <xdr:row>30</xdr:row>
      <xdr:rowOff>144126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4</xdr:row>
          <xdr:rowOff>161925</xdr:rowOff>
        </xdr:from>
        <xdr:to>
          <xdr:col>5</xdr:col>
          <xdr:colOff>0</xdr:colOff>
          <xdr:row>6</xdr:row>
          <xdr:rowOff>171450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Intensity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400917</xdr:colOff>
      <xdr:row>8</xdr:row>
      <xdr:rowOff>16068</xdr:rowOff>
    </xdr:from>
    <xdr:to>
      <xdr:col>21</xdr:col>
      <xdr:colOff>400916</xdr:colOff>
      <xdr:row>30</xdr:row>
      <xdr:rowOff>154517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11</xdr:row>
          <xdr:rowOff>66675</xdr:rowOff>
        </xdr:from>
        <xdr:to>
          <xdr:col>6</xdr:col>
          <xdr:colOff>9525</xdr:colOff>
          <xdr:row>13</xdr:row>
          <xdr:rowOff>104775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7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638175</xdr:colOff>
          <xdr:row>5</xdr:row>
          <xdr:rowOff>104775</xdr:rowOff>
        </xdr:from>
        <xdr:to>
          <xdr:col>9</xdr:col>
          <xdr:colOff>723900</xdr:colOff>
          <xdr:row>6</xdr:row>
          <xdr:rowOff>180975</xdr:rowOff>
        </xdr:to>
        <xdr:sp macro="" textlink="">
          <xdr:nvSpPr>
            <xdr:cNvPr id="11292" name="Button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6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10</xdr:row>
          <xdr:rowOff>114300</xdr:rowOff>
        </xdr:from>
        <xdr:to>
          <xdr:col>6</xdr:col>
          <xdr:colOff>209550</xdr:colOff>
          <xdr:row>11</xdr:row>
          <xdr:rowOff>190500</xdr:rowOff>
        </xdr:to>
        <xdr:sp macro="" textlink="">
          <xdr:nvSpPr>
            <xdr:cNvPr id="11294" name="Button 30" hidden="1">
              <a:extLst>
                <a:ext uri="{63B3BB69-23CF-44E3-9099-C40C66FF867C}">
                  <a14:compatExt spid="_x0000_s11294"/>
                </a:ext>
                <a:ext uri="{FF2B5EF4-FFF2-40B4-BE49-F238E27FC236}">
                  <a16:creationId xmlns:a16="http://schemas.microsoft.com/office/drawing/2014/main" id="{00000000-0008-0000-0600-00001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 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12</xdr:row>
          <xdr:rowOff>152400</xdr:rowOff>
        </xdr:from>
        <xdr:to>
          <xdr:col>6</xdr:col>
          <xdr:colOff>209550</xdr:colOff>
          <xdr:row>14</xdr:row>
          <xdr:rowOff>19050</xdr:rowOff>
        </xdr:to>
        <xdr:sp macro="" textlink="">
          <xdr:nvSpPr>
            <xdr:cNvPr id="11295" name="Button 31" hidden="1">
              <a:extLst>
                <a:ext uri="{63B3BB69-23CF-44E3-9099-C40C66FF867C}">
                  <a14:compatExt spid="_x0000_s11295"/>
                </a:ext>
                <a:ext uri="{FF2B5EF4-FFF2-40B4-BE49-F238E27FC236}">
                  <a16:creationId xmlns:a16="http://schemas.microsoft.com/office/drawing/2014/main" id="{00000000-0008-0000-0600-00001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836332</xdr:colOff>
      <xdr:row>0</xdr:row>
      <xdr:rowOff>38653</xdr:rowOff>
    </xdr:from>
    <xdr:to>
      <xdr:col>19</xdr:col>
      <xdr:colOff>358423</xdr:colOff>
      <xdr:row>6</xdr:row>
      <xdr:rowOff>72732</xdr:rowOff>
    </xdr:to>
    <xdr:pic>
      <xdr:nvPicPr>
        <xdr:cNvPr id="2" name="Picture 1" descr="A picture containing drawing&#10;&#10;Description automatically generated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97875" y="38653"/>
          <a:ext cx="3110394" cy="11293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381000</xdr:colOff>
          <xdr:row>9</xdr:row>
          <xdr:rowOff>85725</xdr:rowOff>
        </xdr:from>
        <xdr:to>
          <xdr:col>22</xdr:col>
          <xdr:colOff>123825</xdr:colOff>
          <xdr:row>10</xdr:row>
          <xdr:rowOff>114300</xdr:rowOff>
        </xdr:to>
        <xdr:sp macro="" textlink="">
          <xdr:nvSpPr>
            <xdr:cNvPr id="11329" name="Button 65" hidden="1">
              <a:extLst>
                <a:ext uri="{63B3BB69-23CF-44E3-9099-C40C66FF867C}">
                  <a14:compatExt spid="_x0000_s11329"/>
                </a:ext>
                <a:ext uri="{FF2B5EF4-FFF2-40B4-BE49-F238E27FC236}">
                  <a16:creationId xmlns:a16="http://schemas.microsoft.com/office/drawing/2014/main" id="{00000000-0008-0000-0600-00004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65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1534353</xdr:colOff>
      <xdr:row>0</xdr:row>
      <xdr:rowOff>229842</xdr:rowOff>
    </xdr:from>
    <xdr:to>
      <xdr:col>17</xdr:col>
      <xdr:colOff>327577</xdr:colOff>
      <xdr:row>1</xdr:row>
      <xdr:rowOff>533815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2859570" y="229842"/>
          <a:ext cx="9038811" cy="6766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7200" b="1" i="0" u="none" strike="noStrike" baseline="30000">
              <a:solidFill>
                <a:schemeClr val="bg1"/>
              </a:solidFill>
              <a:latin typeface="Arial"/>
              <a:cs typeface="Arial"/>
            </a:rPr>
            <a:t>FRTB</a:t>
          </a:r>
        </a:p>
      </xdr:txBody>
    </xdr:sp>
    <xdr:clientData/>
  </xdr:twoCellAnchor>
  <xdr:twoCellAnchor editAs="oneCell">
    <xdr:from>
      <xdr:col>1</xdr:col>
      <xdr:colOff>198782</xdr:colOff>
      <xdr:row>0</xdr:row>
      <xdr:rowOff>190499</xdr:rowOff>
    </xdr:from>
    <xdr:to>
      <xdr:col>5</xdr:col>
      <xdr:colOff>97797</xdr:colOff>
      <xdr:row>2</xdr:row>
      <xdr:rowOff>262645</xdr:rowOff>
    </xdr:to>
    <xdr:pic>
      <xdr:nvPicPr>
        <xdr:cNvPr id="5" name="Picture 4" descr="A picture containing drawing&#10;&#10;Description automatically generated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9282" y="190499"/>
          <a:ext cx="3099288" cy="113107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323850</xdr:colOff>
          <xdr:row>4</xdr:row>
          <xdr:rowOff>66675</xdr:rowOff>
        </xdr:from>
        <xdr:to>
          <xdr:col>21</xdr:col>
          <xdr:colOff>247650</xdr:colOff>
          <xdr:row>6</xdr:row>
          <xdr:rowOff>9525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8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17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1</xdr:row>
      <xdr:rowOff>47625</xdr:rowOff>
    </xdr:from>
    <xdr:to>
      <xdr:col>14</xdr:col>
      <xdr:colOff>161925</xdr:colOff>
      <xdr:row>2</xdr:row>
      <xdr:rowOff>28575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>
          <a:spLocks noChangeArrowheads="1"/>
        </xdr:cNvSpPr>
      </xdr:nvSpPr>
      <xdr:spPr bwMode="auto">
        <a:xfrm>
          <a:off x="1533525" y="415925"/>
          <a:ext cx="9537700" cy="67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2800" b="1" i="0" u="none" strike="noStrike" baseline="0">
              <a:solidFill>
                <a:srgbClr val="FF0000"/>
              </a:solidFill>
              <a:latin typeface="Arial"/>
              <a:cs typeface="Arial"/>
            </a:rPr>
            <a:t>European CDO</a:t>
          </a:r>
          <a:r>
            <a:rPr lang="fr-FR" sz="2800" b="1" i="0" u="none" strike="noStrike" baseline="30000">
              <a:solidFill>
                <a:srgbClr val="FF0000"/>
              </a:solidFill>
              <a:latin typeface="Arial"/>
              <a:cs typeface="Arial"/>
            </a:rPr>
            <a:t>2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AppData\Local\Microsoft\Windows\INetCache\Content.Outlook\E6ISMNHN\OpenCredit%20Release%202007-11-01.xlsm" TargetMode="External"/><Relationship Id="rId1" Type="http://schemas.openxmlformats.org/officeDocument/2006/relationships/externalLinkPath" Target="https://axisalternatives1-my.sharepoint.com/Users/l.baduet/AppData/Local/Microsoft/Windows/INetCache/Content.Outlook/E6ISMNHN/OpenCredit%20Release%202007-11-0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https://axisalternatives1-my.sharepoint.com/personal/f_jordan-stagiaire_axisalternatives_com/Documents/Bureau/github%20environnement/Valo/common/cas%203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OneDrive%20-%20AXIS%20ALTERNATIVES\Bureau\Valo_Add_In.xlam" TargetMode="External"/><Relationship Id="rId1" Type="http://schemas.openxmlformats.org/officeDocument/2006/relationships/externalLinkPath" Target="https://axisalternatives1-my.sharepoint.com/Users/l.baduet/OneDrive%20-%20AXIS%20ALTERNATIVES/Bureau/Valo_Add_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CDO Bespoke"/>
      <sheetName val="Sheet1"/>
      <sheetName val="Forward Intensity"/>
      <sheetName val="Sheet3"/>
    </sheetNames>
    <sheetDataSet>
      <sheetData sheetId="0" refreshError="1">
        <row r="16">
          <cell r="H16" t="str">
            <v>US (NASD) 30/360</v>
          </cell>
        </row>
        <row r="17">
          <cell r="H17" t="str">
            <v>Actual/Actual</v>
          </cell>
        </row>
        <row r="18">
          <cell r="H18" t="str">
            <v>Actual/360</v>
          </cell>
        </row>
        <row r="19">
          <cell r="H19" t="str">
            <v>Actual/365</v>
          </cell>
        </row>
        <row r="20">
          <cell r="H20" t="str">
            <v>European 30/360</v>
          </cell>
        </row>
        <row r="25">
          <cell r="H25" t="b">
            <v>1</v>
          </cell>
        </row>
        <row r="26">
          <cell r="H26" t="b">
            <v>0</v>
          </cell>
        </row>
      </sheetData>
      <sheetData sheetId="1" refreshError="1">
        <row r="11">
          <cell r="C11">
            <v>43563</v>
          </cell>
        </row>
      </sheetData>
      <sheetData sheetId="2" refreshError="1">
        <row r="6">
          <cell r="C6">
            <v>43636</v>
          </cell>
        </row>
        <row r="9">
          <cell r="E9" t="str">
            <v>3M</v>
          </cell>
          <cell r="F9" t="str">
            <v>6M</v>
          </cell>
          <cell r="G9" t="str">
            <v>1Y</v>
          </cell>
          <cell r="H9" t="str">
            <v>2Y</v>
          </cell>
          <cell r="I9" t="str">
            <v>3Y</v>
          </cell>
          <cell r="J9" t="str">
            <v>4Y</v>
          </cell>
          <cell r="K9" t="str">
            <v>5Y</v>
          </cell>
          <cell r="L9" t="str">
            <v>7Y</v>
          </cell>
          <cell r="M9" t="str">
            <v>10Y</v>
          </cell>
        </row>
        <row r="11">
          <cell r="D11" t="str">
            <v>EUR</v>
          </cell>
          <cell r="N11" t="str">
            <v/>
          </cell>
          <cell r="O11">
            <v>1.5639376191282084E-3</v>
          </cell>
          <cell r="P11">
            <v>4.0526021023299386E-3</v>
          </cell>
          <cell r="Q11">
            <v>9.6425643792422688E-3</v>
          </cell>
          <cell r="R11">
            <v>1.7106947461375754E-2</v>
          </cell>
          <cell r="S11" t="str">
            <v/>
          </cell>
          <cell r="T11">
            <v>3.5238278398387113E-2</v>
          </cell>
          <cell r="U11">
            <v>5.3394585163264452E-2</v>
          </cell>
          <cell r="V11">
            <v>8.1990955061536974E-2</v>
          </cell>
          <cell r="W11" t="str">
            <v/>
          </cell>
          <cell r="X11">
            <v>1.6814212966349551E-3</v>
          </cell>
          <cell r="Y11">
            <v>4.2536485665237711E-3</v>
          </cell>
          <cell r="Z11">
            <v>1.01232231964129E-2</v>
          </cell>
          <cell r="AA11">
            <v>1.7955422425637746E-2</v>
          </cell>
          <cell r="AB11" t="str">
            <v/>
          </cell>
          <cell r="AC11">
            <v>3.6974393997123989E-2</v>
          </cell>
          <cell r="AD11">
            <v>5.6000406759761256E-2</v>
          </cell>
          <cell r="AE11">
            <v>8.5938335356395723E-2</v>
          </cell>
        </row>
        <row r="12">
          <cell r="D12" t="str">
            <v>EUR</v>
          </cell>
          <cell r="N12" t="str">
            <v/>
          </cell>
          <cell r="O12">
            <v>9.4100633706173387E-4</v>
          </cell>
          <cell r="P12">
            <v>2.228284751959464E-3</v>
          </cell>
          <cell r="Q12">
            <v>5.9639435030418575E-3</v>
          </cell>
          <cell r="R12">
            <v>1.2569096459324469E-2</v>
          </cell>
          <cell r="S12" t="str">
            <v/>
          </cell>
          <cell r="T12">
            <v>3.2230673549960009E-2</v>
          </cell>
          <cell r="U12">
            <v>5.3132562507917758E-2</v>
          </cell>
          <cell r="V12">
            <v>9.3172742526791419E-2</v>
          </cell>
          <cell r="W12" t="str">
            <v/>
          </cell>
          <cell r="X12">
            <v>1.0585674487949559E-3</v>
          </cell>
          <cell r="Y12">
            <v>2.4296489701292057E-3</v>
          </cell>
          <cell r="Z12">
            <v>6.3315368536315253E-3</v>
          </cell>
          <cell r="AA12">
            <v>1.3185108428036885E-2</v>
          </cell>
          <cell r="AB12" t="str">
            <v/>
          </cell>
          <cell r="AC12">
            <v>3.3817903070479827E-2</v>
          </cell>
          <cell r="AD12">
            <v>5.5722730143630494E-2</v>
          </cell>
          <cell r="AE12">
            <v>9.7660002994953365E-2</v>
          </cell>
        </row>
        <row r="13">
          <cell r="D13" t="str">
            <v>EUR</v>
          </cell>
          <cell r="N13" t="str">
            <v/>
          </cell>
          <cell r="O13">
            <v>7.0583742388907744E-4</v>
          </cell>
          <cell r="P13">
            <v>2.0304567700080156E-3</v>
          </cell>
          <cell r="Q13">
            <v>6.7391246623260681E-3</v>
          </cell>
          <cell r="R13">
            <v>1.4794385971696467E-2</v>
          </cell>
          <cell r="S13" t="str">
            <v/>
          </cell>
          <cell r="T13">
            <v>3.5716665736367115E-2</v>
          </cell>
          <cell r="U13">
            <v>6.3208699467098395E-2</v>
          </cell>
          <cell r="V13">
            <v>0.10820435355782332</v>
          </cell>
          <cell r="W13" t="str">
            <v/>
          </cell>
          <cell r="X13">
            <v>8.2342719960870614E-4</v>
          </cell>
          <cell r="Y13">
            <v>2.2318745001562723E-3</v>
          </cell>
          <cell r="Z13">
            <v>7.1065788038230382E-3</v>
          </cell>
          <cell r="AA13">
            <v>1.5522087675874041E-2</v>
          </cell>
          <cell r="AB13" t="str">
            <v/>
          </cell>
          <cell r="AC13">
            <v>3.747079792266006E-2</v>
          </cell>
          <cell r="AD13">
            <v>6.6286832132582907E-2</v>
          </cell>
          <cell r="AE13">
            <v>0.11337775693919061</v>
          </cell>
        </row>
        <row r="14">
          <cell r="D14" t="str">
            <v>EUR</v>
          </cell>
          <cell r="N14" t="str">
            <v/>
          </cell>
          <cell r="O14">
            <v>1.4816858337847183E-3</v>
          </cell>
          <cell r="P14">
            <v>3.584320117853701E-3</v>
          </cell>
          <cell r="Q14">
            <v>8.9177451639731453E-3</v>
          </cell>
          <cell r="R14">
            <v>1.5766880570418973E-2</v>
          </cell>
          <cell r="S14" t="str">
            <v/>
          </cell>
          <cell r="T14">
            <v>3.3586872644830734E-2</v>
          </cell>
          <cell r="U14">
            <v>5.1907613002356467E-2</v>
          </cell>
          <cell r="V14">
            <v>7.8707926653956539E-2</v>
          </cell>
          <cell r="W14" t="str">
            <v/>
          </cell>
          <cell r="X14">
            <v>1.5991798639143351E-3</v>
          </cell>
          <cell r="Y14">
            <v>3.7854391165837997E-3</v>
          </cell>
          <cell r="Z14">
            <v>9.3604601351430228E-3</v>
          </cell>
          <cell r="AA14">
            <v>1.6548053443376842E-2</v>
          </cell>
          <cell r="AB14" t="str">
            <v/>
          </cell>
          <cell r="AC14">
            <v>3.5241256859172898E-2</v>
          </cell>
          <cell r="AD14">
            <v>5.4442658950080602E-2</v>
          </cell>
          <cell r="AE14">
            <v>8.2500837596500398E-2</v>
          </cell>
        </row>
        <row r="15">
          <cell r="D15" t="str">
            <v>EUR</v>
          </cell>
          <cell r="N15" t="str">
            <v/>
          </cell>
          <cell r="O15">
            <v>5.8823230557913941E-4</v>
          </cell>
          <cell r="P15">
            <v>1.2136782726757112E-3</v>
          </cell>
          <cell r="Q15">
            <v>4.1211426005131058E-3</v>
          </cell>
          <cell r="R15">
            <v>8.2069072352251027E-3</v>
          </cell>
          <cell r="S15" t="str">
            <v/>
          </cell>
          <cell r="T15">
            <v>2.2552212957030027E-2</v>
          </cell>
          <cell r="U15">
            <v>4.0079475431500367E-2</v>
          </cell>
          <cell r="V15">
            <v>6.9331311406127027E-2</v>
          </cell>
          <cell r="W15" t="str">
            <v/>
          </cell>
          <cell r="X15">
            <v>7.0583630213449933E-4</v>
          </cell>
          <cell r="Y15">
            <v>1.4152199353631989E-3</v>
          </cell>
          <cell r="Z15">
            <v>4.4894063052328681E-3</v>
          </cell>
          <cell r="AA15">
            <v>8.7404860384591165E-3</v>
          </cell>
          <cell r="AB15" t="str">
            <v/>
          </cell>
          <cell r="AC15">
            <v>2.3643156502229257E-2</v>
          </cell>
          <cell r="AD15">
            <v>4.2029725773224502E-2</v>
          </cell>
          <cell r="AE15">
            <v>7.2652699708143031E-2</v>
          </cell>
        </row>
        <row r="16">
          <cell r="D16" t="str">
            <v>EUR</v>
          </cell>
          <cell r="N16" t="str">
            <v/>
          </cell>
          <cell r="O16">
            <v>1.4464330047678775E-3</v>
          </cell>
          <cell r="P16">
            <v>3.2167770518466421E-3</v>
          </cell>
          <cell r="Q16">
            <v>8.2204718764988804E-3</v>
          </cell>
          <cell r="R16">
            <v>1.3627494922296757E-2</v>
          </cell>
          <cell r="S16" t="str">
            <v/>
          </cell>
          <cell r="T16">
            <v>2.8276663938974655E-2</v>
          </cell>
          <cell r="U16">
            <v>4.4355381780164627E-2</v>
          </cell>
          <cell r="V16">
            <v>7.1021389579442928E-2</v>
          </cell>
          <cell r="W16" t="str">
            <v/>
          </cell>
          <cell r="X16">
            <v>1.5639314599198428E-3</v>
          </cell>
          <cell r="Y16">
            <v>3.4179499387164691E-3</v>
          </cell>
          <cell r="Z16">
            <v>8.6272212858831132E-3</v>
          </cell>
          <cell r="AA16">
            <v>1.4302159638263756E-2</v>
          </cell>
          <cell r="AB16" t="str">
            <v/>
          </cell>
          <cell r="AC16">
            <v>2.9670788475398835E-2</v>
          </cell>
          <cell r="AD16">
            <v>4.6527841207411491E-2</v>
          </cell>
          <cell r="AE16">
            <v>7.4459119526914863E-2</v>
          </cell>
        </row>
        <row r="17">
          <cell r="D17" t="str">
            <v>EUR</v>
          </cell>
          <cell r="N17" t="str">
            <v/>
          </cell>
          <cell r="O17">
            <v>5.8823230557913941E-4</v>
          </cell>
          <cell r="P17">
            <v>2.8534032246134711E-3</v>
          </cell>
          <cell r="Q17">
            <v>8.9609786632356414E-3</v>
          </cell>
          <cell r="R17">
            <v>1.913181641022077E-2</v>
          </cell>
          <cell r="S17" t="str">
            <v/>
          </cell>
          <cell r="T17">
            <v>5.0892347632382151E-2</v>
          </cell>
          <cell r="U17">
            <v>8.5872930875140252E-2</v>
          </cell>
          <cell r="V17">
            <v>0.14629965793337629</v>
          </cell>
          <cell r="W17" t="str">
            <v/>
          </cell>
          <cell r="X17">
            <v>7.0583630213449933E-4</v>
          </cell>
          <cell r="Y17">
            <v>3.054722216919048E-3</v>
          </cell>
          <cell r="Z17">
            <v>9.4041172430280318E-3</v>
          </cell>
          <cell r="AA17">
            <v>2.0077120180788555E-2</v>
          </cell>
          <cell r="AB17" t="str">
            <v/>
          </cell>
          <cell r="AC17">
            <v>5.3386940922055093E-2</v>
          </cell>
          <cell r="AD17">
            <v>9.002312433188997E-2</v>
          </cell>
          <cell r="AE17">
            <v>0.1531888203487205</v>
          </cell>
        </row>
        <row r="18">
          <cell r="D18" t="str">
            <v>EUR</v>
          </cell>
          <cell r="N18" t="str">
            <v/>
          </cell>
          <cell r="O18">
            <v>1.5286876794723403E-3</v>
          </cell>
          <cell r="P18">
            <v>2.8248725841196753E-3</v>
          </cell>
          <cell r="Q18">
            <v>9.716967170259605E-3</v>
          </cell>
          <cell r="R18">
            <v>1.7928999263620793E-2</v>
          </cell>
          <cell r="S18" t="str">
            <v/>
          </cell>
          <cell r="T18">
            <v>4.6425505213876894E-2</v>
          </cell>
          <cell r="U18">
            <v>8.1249338887171341E-2</v>
          </cell>
          <cell r="V18">
            <v>0.13627854725386113</v>
          </cell>
          <cell r="W18" t="str">
            <v/>
          </cell>
          <cell r="X18">
            <v>1.6461757985832826E-3</v>
          </cell>
          <cell r="Y18">
            <v>3.0260890010609387E-3</v>
          </cell>
          <cell r="Z18">
            <v>1.0196975522922869E-2</v>
          </cell>
          <cell r="AA18">
            <v>1.8816304446065746E-2</v>
          </cell>
          <cell r="AB18" t="str">
            <v/>
          </cell>
          <cell r="AC18">
            <v>4.8703171261545442E-2</v>
          </cell>
          <cell r="AD18">
            <v>8.5185820310333171E-2</v>
          </cell>
          <cell r="AE18">
            <v>0.14271820541571145</v>
          </cell>
        </row>
        <row r="19">
          <cell r="D19" t="str">
            <v>EUR</v>
          </cell>
          <cell r="N19" t="str">
            <v/>
          </cell>
          <cell r="O19">
            <v>3.5298073341860636E-4</v>
          </cell>
          <cell r="P19">
            <v>1.2208539223919068E-3</v>
          </cell>
          <cell r="Q19">
            <v>4.123935497890252E-3</v>
          </cell>
          <cell r="R19">
            <v>8.7783663323022232E-3</v>
          </cell>
          <cell r="S19" t="str">
            <v/>
          </cell>
          <cell r="T19">
            <v>2.0604178510189142E-2</v>
          </cell>
          <cell r="U19">
            <v>3.4865337027082943E-2</v>
          </cell>
          <cell r="V19">
            <v>6.6344521035236248E-2</v>
          </cell>
          <cell r="W19" t="str">
            <v/>
          </cell>
          <cell r="X19">
            <v>4.7061295331773945E-4</v>
          </cell>
          <cell r="Y19">
            <v>1.4224213278153375E-3</v>
          </cell>
          <cell r="Z19">
            <v>4.4922097838737685E-3</v>
          </cell>
          <cell r="AA19">
            <v>9.3117786043441786E-3</v>
          </cell>
          <cell r="AB19" t="str">
            <v/>
          </cell>
          <cell r="AC19">
            <v>2.1603671283013548E-2</v>
          </cell>
          <cell r="AD19">
            <v>3.6562116279202028E-2</v>
          </cell>
          <cell r="AE19">
            <v>6.9557274202168395E-2</v>
          </cell>
        </row>
        <row r="20">
          <cell r="D20" t="str">
            <v>EUR</v>
          </cell>
          <cell r="N20" t="str">
            <v/>
          </cell>
          <cell r="O20">
            <v>1.3994273063662188E-3</v>
          </cell>
          <cell r="P20">
            <v>2.8904321844521741E-3</v>
          </cell>
          <cell r="Q20">
            <v>7.100026329779574E-3</v>
          </cell>
          <cell r="R20">
            <v>1.2579891298190815E-2</v>
          </cell>
          <cell r="S20" t="str">
            <v/>
          </cell>
          <cell r="T20">
            <v>2.7507090377209331E-2</v>
          </cell>
          <cell r="U20">
            <v>4.3000298665031411E-2</v>
          </cell>
          <cell r="V20">
            <v>6.7535031634661569E-2</v>
          </cell>
          <cell r="W20" t="str">
            <v/>
          </cell>
          <cell r="X20">
            <v>1.5169316504912711E-3</v>
          </cell>
          <cell r="Y20">
            <v>3.0916544221913922E-3</v>
          </cell>
          <cell r="Z20">
            <v>7.4671868450216783E-3</v>
          </cell>
          <cell r="AA20">
            <v>1.3201270400565512E-2</v>
          </cell>
          <cell r="AB20" t="str">
            <v/>
          </cell>
          <cell r="AC20">
            <v>2.886253388555382E-2</v>
          </cell>
          <cell r="AD20">
            <v>4.5106457123454402E-2</v>
          </cell>
          <cell r="AE20">
            <v>7.0807276637600558E-2</v>
          </cell>
        </row>
        <row r="21">
          <cell r="D21" t="str">
            <v>EUR</v>
          </cell>
          <cell r="N21" t="str">
            <v/>
          </cell>
          <cell r="O21">
            <v>1.4699350283743362E-3</v>
          </cell>
          <cell r="P21">
            <v>3.2979810442269608E-3</v>
          </cell>
          <cell r="Q21">
            <v>8.4052696578684749E-3</v>
          </cell>
          <cell r="R21">
            <v>1.4288968594326379E-2</v>
          </cell>
          <cell r="S21" t="str">
            <v/>
          </cell>
          <cell r="T21">
            <v>3.0062671725761825E-2</v>
          </cell>
          <cell r="U21">
            <v>4.7018942404155273E-2</v>
          </cell>
          <cell r="V21">
            <v>7.4245797311850215E-2</v>
          </cell>
          <cell r="W21" t="str">
            <v/>
          </cell>
          <cell r="X21">
            <v>1.5874305343255291E-3</v>
          </cell>
          <cell r="Y21">
            <v>3.4991402731774368E-3</v>
          </cell>
          <cell r="Z21">
            <v>8.8214671580415516E-3</v>
          </cell>
          <cell r="AA21">
            <v>1.4996531294378279E-2</v>
          </cell>
          <cell r="AB21" t="str">
            <v/>
          </cell>
          <cell r="AC21">
            <v>3.154425554045992E-2</v>
          </cell>
          <cell r="AD21">
            <v>4.9319658217518825E-2</v>
          </cell>
          <cell r="AE21">
            <v>7.7833938035195671E-2</v>
          </cell>
        </row>
        <row r="22">
          <cell r="D22" t="str">
            <v>EUR</v>
          </cell>
          <cell r="N22" t="str">
            <v/>
          </cell>
          <cell r="O22">
            <v>1.2348900220263692E-3</v>
          </cell>
          <cell r="P22">
            <v>4.1647156251154449E-3</v>
          </cell>
          <cell r="Q22">
            <v>1.1587819939738453E-2</v>
          </cell>
          <cell r="R22">
            <v>1.9976629544339097E-2</v>
          </cell>
          <cell r="S22" t="str">
            <v/>
          </cell>
          <cell r="T22">
            <v>3.9518814591197882E-2</v>
          </cell>
          <cell r="U22">
            <v>6.1186619650882568E-2</v>
          </cell>
          <cell r="V22">
            <v>9.4450703671174807E-2</v>
          </cell>
          <cell r="W22" t="str">
            <v/>
          </cell>
          <cell r="X22">
            <v>1.3524148790723389E-3</v>
          </cell>
          <cell r="Y22">
            <v>4.3708973359244396E-3</v>
          </cell>
          <cell r="Z22">
            <v>1.2163766129696496E-2</v>
          </cell>
          <cell r="AA22">
            <v>2.0965888930840282E-2</v>
          </cell>
          <cell r="AB22" t="str">
            <v/>
          </cell>
          <cell r="AC22">
            <v>4.1462313974853005E-2</v>
          </cell>
          <cell r="AD22">
            <v>6.4162866914371564E-2</v>
          </cell>
          <cell r="AE22">
            <v>9.8974370952264246E-2</v>
          </cell>
        </row>
        <row r="23">
          <cell r="D23" t="str">
            <v>EUR</v>
          </cell>
          <cell r="N23" t="str">
            <v/>
          </cell>
          <cell r="O23">
            <v>1.8106525310161992E-3</v>
          </cell>
          <cell r="P23">
            <v>4.7815604474717999E-3</v>
          </cell>
          <cell r="Q23">
            <v>1.1412182151562811E-2</v>
          </cell>
          <cell r="R23">
            <v>1.8204651365238966E-2</v>
          </cell>
          <cell r="S23" t="str">
            <v/>
          </cell>
          <cell r="T23">
            <v>3.5037006539825111E-2</v>
          </cell>
          <cell r="U23">
            <v>5.3185763377253448E-2</v>
          </cell>
          <cell r="V23">
            <v>8.5780686786718796E-2</v>
          </cell>
          <cell r="W23" t="str">
            <v/>
          </cell>
          <cell r="X23">
            <v>1.9281049158355046E-3</v>
          </cell>
          <cell r="Y23">
            <v>5.0192835649431888E-3</v>
          </cell>
          <cell r="Z23">
            <v>1.1980148097215371E-2</v>
          </cell>
          <cell r="AA23">
            <v>1.9106754928880809E-2</v>
          </cell>
          <cell r="AB23" t="str">
            <v/>
          </cell>
          <cell r="AC23">
            <v>3.6761329381372887E-2</v>
          </cell>
          <cell r="AD23">
            <v>5.5779879489309847E-2</v>
          </cell>
          <cell r="AE23">
            <v>8.9908481498503057E-2</v>
          </cell>
        </row>
        <row r="24">
          <cell r="D24" t="str">
            <v>EUR</v>
          </cell>
          <cell r="N24" t="str">
            <v/>
          </cell>
          <cell r="O24">
            <v>5.8823230557913941E-4</v>
          </cell>
          <cell r="P24">
            <v>1.2136782726757112E-3</v>
          </cell>
          <cell r="Q24">
            <v>2.9787866515398331E-3</v>
          </cell>
          <cell r="R24">
            <v>6.5743902366108831E-3</v>
          </cell>
          <cell r="S24" t="str">
            <v/>
          </cell>
          <cell r="T24">
            <v>1.7099793757952231E-2</v>
          </cell>
          <cell r="U24">
            <v>3.0093908530758218E-2</v>
          </cell>
          <cell r="V24">
            <v>5.5745983365923735E-2</v>
          </cell>
          <cell r="W24" t="str">
            <v/>
          </cell>
          <cell r="X24">
            <v>7.0583630213449933E-4</v>
          </cell>
          <cell r="Y24">
            <v>1.4152199353631989E-3</v>
          </cell>
          <cell r="Z24">
            <v>3.3473306858188279E-3</v>
          </cell>
          <cell r="AA24">
            <v>7.1087339174695785E-3</v>
          </cell>
          <cell r="AB24" t="str">
            <v/>
          </cell>
          <cell r="AC24">
            <v>1.7960614747763559E-2</v>
          </cell>
          <cell r="AD24">
            <v>3.1543851545928758E-2</v>
          </cell>
          <cell r="AE24">
            <v>5.8435258801426415E-2</v>
          </cell>
        </row>
        <row r="25">
          <cell r="D25" t="str">
            <v>EUR</v>
          </cell>
          <cell r="N25" t="str">
            <v/>
          </cell>
          <cell r="O25">
            <v>3.5298073341860636E-4</v>
          </cell>
          <cell r="P25">
            <v>1.8360018497242114E-3</v>
          </cell>
          <cell r="Q25">
            <v>5.6064173684181595E-3</v>
          </cell>
          <cell r="R25">
            <v>1.0928916837393277E-2</v>
          </cell>
          <cell r="S25" t="str">
            <v/>
          </cell>
          <cell r="T25">
            <v>2.9680474419323755E-2</v>
          </cell>
          <cell r="U25">
            <v>5.0983411548791824E-2</v>
          </cell>
          <cell r="V25">
            <v>9.2141321886150429E-2</v>
          </cell>
          <cell r="W25" t="str">
            <v/>
          </cell>
          <cell r="X25">
            <v>4.7061295331773945E-4</v>
          </cell>
          <cell r="Y25">
            <v>2.0374857662349699E-3</v>
          </cell>
          <cell r="Z25">
            <v>5.97420595109599E-3</v>
          </cell>
          <cell r="AA25">
            <v>1.1461242476734745E-2</v>
          </cell>
          <cell r="AB25" t="str">
            <v/>
          </cell>
          <cell r="AC25">
            <v>3.1140559457224604E-2</v>
          </cell>
          <cell r="AD25">
            <v>5.3472871373774988E-2</v>
          </cell>
          <cell r="AE25">
            <v>9.6586242828172519E-2</v>
          </cell>
        </row>
        <row r="26">
          <cell r="D26" t="str">
            <v>EUR</v>
          </cell>
          <cell r="N26" t="str">
            <v/>
          </cell>
          <cell r="O26">
            <v>7.0583742388907744E-4</v>
          </cell>
          <cell r="P26">
            <v>1.2108584765612163E-3</v>
          </cell>
          <cell r="Q26">
            <v>4.11804756661871E-3</v>
          </cell>
          <cell r="R26">
            <v>8.2030992906927391E-3</v>
          </cell>
          <cell r="S26" t="str">
            <v/>
          </cell>
          <cell r="T26">
            <v>2.2547246710555524E-2</v>
          </cell>
          <cell r="U26">
            <v>4.141510604943377E-2</v>
          </cell>
          <cell r="V26">
            <v>7.7092987261884183E-2</v>
          </cell>
          <cell r="W26" t="str">
            <v/>
          </cell>
          <cell r="X26">
            <v>8.2342719960870614E-4</v>
          </cell>
          <cell r="Y26">
            <v>1.4123961831609133E-3</v>
          </cell>
          <cell r="Z26">
            <v>4.4863062361032435E-3</v>
          </cell>
          <cell r="AA26">
            <v>8.7366692247563549E-3</v>
          </cell>
          <cell r="AB26" t="str">
            <v/>
          </cell>
          <cell r="AC26">
            <v>2.3637946445606905E-2</v>
          </cell>
          <cell r="AD26">
            <v>4.3431782888732506E-2</v>
          </cell>
          <cell r="AE26">
            <v>8.0810321048824463E-2</v>
          </cell>
        </row>
        <row r="27">
          <cell r="D27" t="str">
            <v>EUR</v>
          </cell>
          <cell r="N27" t="str">
            <v/>
          </cell>
          <cell r="O27">
            <v>1.3289146304011901E-3</v>
          </cell>
          <cell r="P27">
            <v>3.7117946786874301E-3</v>
          </cell>
          <cell r="Q27">
            <v>9.7813037289248284E-3</v>
          </cell>
          <cell r="R27">
            <v>1.5659634790897936E-2</v>
          </cell>
          <cell r="S27" t="str">
            <v/>
          </cell>
          <cell r="T27">
            <v>2.8921429757158279E-2</v>
          </cell>
          <cell r="U27">
            <v>4.4288282950943891E-2</v>
          </cell>
          <cell r="V27">
            <v>7.059013058699759E-2</v>
          </cell>
          <cell r="W27" t="str">
            <v/>
          </cell>
          <cell r="X27">
            <v>1.4464277844392637E-3</v>
          </cell>
          <cell r="Y27">
            <v>3.9129136768183415E-3</v>
          </cell>
          <cell r="Z27">
            <v>1.0267690092424786E-2</v>
          </cell>
          <cell r="AA27">
            <v>1.6435033578250935E-2</v>
          </cell>
          <cell r="AB27" t="str">
            <v/>
          </cell>
          <cell r="AC27">
            <v>3.0346242695156733E-2</v>
          </cell>
          <cell r="AD27">
            <v>4.6456510935826034E-2</v>
          </cell>
          <cell r="AE27">
            <v>7.400777798710656E-2</v>
          </cell>
        </row>
        <row r="28">
          <cell r="D28" t="str">
            <v>EUR</v>
          </cell>
          <cell r="N28" t="str">
            <v/>
          </cell>
          <cell r="O28">
            <v>8.2342876691621214E-4</v>
          </cell>
          <cell r="P28">
            <v>1.6167208634250141E-3</v>
          </cell>
          <cell r="Q28">
            <v>5.2377459952359651E-3</v>
          </cell>
          <cell r="R28">
            <v>1.0381058673023635E-2</v>
          </cell>
          <cell r="S28" t="str">
            <v/>
          </cell>
          <cell r="T28">
            <v>2.7880014926948249E-2</v>
          </cell>
          <cell r="U28">
            <v>4.8590011486137064E-2</v>
          </cell>
          <cell r="V28">
            <v>9.4878748097881771E-2</v>
          </cell>
          <cell r="W28" t="str">
            <v/>
          </cell>
          <cell r="X28">
            <v>9.4100424795140469E-4</v>
          </cell>
          <cell r="Y28">
            <v>1.8181813004158887E-3</v>
          </cell>
          <cell r="Z28">
            <v>5.6056443391415689E-3</v>
          </cell>
          <cell r="AA28">
            <v>1.0913625366104962E-2</v>
          </cell>
          <cell r="AB28" t="str">
            <v/>
          </cell>
          <cell r="AC28">
            <v>2.9245871021287173E-2</v>
          </cell>
          <cell r="AD28">
            <v>5.096220272549945E-2</v>
          </cell>
          <cell r="AE28">
            <v>9.9454515226909512E-2</v>
          </cell>
        </row>
        <row r="29">
          <cell r="D29" t="str">
            <v>EUR</v>
          </cell>
          <cell r="N29" t="str">
            <v/>
          </cell>
          <cell r="O29">
            <v>5.8823230557913941E-4</v>
          </cell>
          <cell r="P29">
            <v>1.6239484894734479E-3</v>
          </cell>
          <cell r="Q29">
            <v>4.4791277113699346E-3</v>
          </cell>
          <cell r="R29">
            <v>8.7367484251980043E-3</v>
          </cell>
          <cell r="S29" t="str">
            <v/>
          </cell>
          <cell r="T29">
            <v>2.3401570611768396E-2</v>
          </cell>
          <cell r="U29">
            <v>3.9864059245481198E-2</v>
          </cell>
          <cell r="V29">
            <v>6.3140467760286034E-2</v>
          </cell>
          <cell r="W29" t="str">
            <v/>
          </cell>
          <cell r="X29">
            <v>7.0583630213449933E-4</v>
          </cell>
          <cell r="Y29">
            <v>1.8254344543299217E-3</v>
          </cell>
          <cell r="Z29">
            <v>4.8472226288700515E-3</v>
          </cell>
          <cell r="AA29">
            <v>9.2700260187572603E-3</v>
          </cell>
          <cell r="AB29" t="str">
            <v/>
          </cell>
          <cell r="AC29">
            <v>2.4539497451869008E-2</v>
          </cell>
          <cell r="AD29">
            <v>4.1805444290906935E-2</v>
          </cell>
          <cell r="AE29">
            <v>6.6192567349111053E-2</v>
          </cell>
        </row>
        <row r="30">
          <cell r="D30" t="str">
            <v>EUR</v>
          </cell>
          <cell r="N30" t="str">
            <v/>
          </cell>
          <cell r="O30">
            <v>7.5287561400072534E-4</v>
          </cell>
          <cell r="P30">
            <v>2.3979495799548722E-3</v>
          </cell>
          <cell r="Q30">
            <v>6.1792416835568797E-3</v>
          </cell>
          <cell r="R30">
            <v>1.1483718003105214E-2</v>
          </cell>
          <cell r="S30" t="str">
            <v/>
          </cell>
          <cell r="T30">
            <v>2.6743660297700478E-2</v>
          </cell>
          <cell r="U30">
            <v>4.4503998390133637E-2</v>
          </cell>
          <cell r="V30">
            <v>6.5473048748914242E-2</v>
          </cell>
          <cell r="W30" t="str">
            <v/>
          </cell>
          <cell r="X30">
            <v>8.7045968073762303E-4</v>
          </cell>
          <cell r="Y30">
            <v>2.5993125419682128E-3</v>
          </cell>
          <cell r="Z30">
            <v>6.5467583805853824E-3</v>
          </cell>
          <cell r="AA30">
            <v>1.2046579316037143E-2</v>
          </cell>
          <cell r="AB30" t="str">
            <v/>
          </cell>
          <cell r="AC30">
            <v>2.8062011137155118E-2</v>
          </cell>
          <cell r="AD30">
            <v>4.6680649048028267E-2</v>
          </cell>
          <cell r="AE30">
            <v>6.8646856036845727E-2</v>
          </cell>
        </row>
        <row r="31">
          <cell r="D31" t="str">
            <v>EUR</v>
          </cell>
          <cell r="N31" t="str">
            <v/>
          </cell>
          <cell r="O31">
            <v>1.2936564344949719E-3</v>
          </cell>
          <cell r="P31">
            <v>3.2419657329573193E-3</v>
          </cell>
          <cell r="Q31">
            <v>7.7990145600658201E-3</v>
          </cell>
          <cell r="R31">
            <v>1.634972251787592E-2</v>
          </cell>
          <cell r="S31" t="str">
            <v/>
          </cell>
          <cell r="T31">
            <v>3.4468063630986756E-2</v>
          </cell>
          <cell r="U31">
            <v>5.6397405620010277E-2</v>
          </cell>
          <cell r="V31">
            <v>9.9424300658692122E-2</v>
          </cell>
          <cell r="W31" t="str">
            <v/>
          </cell>
          <cell r="X31">
            <v>1.4111739830211523E-3</v>
          </cell>
          <cell r="Y31">
            <v>3.4431523976948819E-3</v>
          </cell>
          <cell r="Z31">
            <v>8.1849938817835088E-3</v>
          </cell>
          <cell r="AA31">
            <v>1.7158853032845478E-2</v>
          </cell>
          <cell r="AB31" t="str">
            <v/>
          </cell>
          <cell r="AC31">
            <v>3.6163813269820322E-2</v>
          </cell>
          <cell r="AD31">
            <v>5.9149639719770941E-2</v>
          </cell>
          <cell r="AE31">
            <v>0.10419566547303949</v>
          </cell>
        </row>
        <row r="32">
          <cell r="D32" t="str">
            <v>EUR</v>
          </cell>
          <cell r="N32" t="str">
            <v/>
          </cell>
          <cell r="O32">
            <v>9.1749192474521735E-4</v>
          </cell>
          <cell r="P32">
            <v>2.7822713845637725E-3</v>
          </cell>
          <cell r="Q32">
            <v>8.5922517872727422E-3</v>
          </cell>
          <cell r="R32">
            <v>1.4650445511066201E-2</v>
          </cell>
          <cell r="S32" t="str">
            <v/>
          </cell>
          <cell r="T32">
            <v>2.9125003200833333E-2</v>
          </cell>
          <cell r="U32">
            <v>4.513761559546825E-2</v>
          </cell>
          <cell r="V32">
            <v>6.8678595273497955E-2</v>
          </cell>
          <cell r="W32" t="str">
            <v/>
          </cell>
          <cell r="X32">
            <v>1.0350559163603279E-3</v>
          </cell>
          <cell r="Y32">
            <v>2.9835632932604383E-3</v>
          </cell>
          <cell r="Z32">
            <v>9.0162165190794674E-3</v>
          </cell>
          <cell r="AA32">
            <v>1.53743952308113E-2</v>
          </cell>
          <cell r="AB32" t="str">
            <v/>
          </cell>
          <cell r="AC32">
            <v>3.055892619833378E-2</v>
          </cell>
          <cell r="AD32">
            <v>4.7345920722389523E-2</v>
          </cell>
          <cell r="AE32">
            <v>7.1999271772797635E-2</v>
          </cell>
        </row>
        <row r="33">
          <cell r="D33" t="str">
            <v>EUR</v>
          </cell>
          <cell r="N33" t="str">
            <v/>
          </cell>
          <cell r="O33">
            <v>5.8823230557913941E-4</v>
          </cell>
          <cell r="P33">
            <v>1.8289988054900341E-3</v>
          </cell>
          <cell r="Q33">
            <v>5.9905821050399988E-3</v>
          </cell>
          <cell r="R33">
            <v>1.3157466858802369E-2</v>
          </cell>
          <cell r="S33" t="str">
            <v/>
          </cell>
          <cell r="T33">
            <v>3.2185792733684382E-2</v>
          </cell>
          <cell r="U33">
            <v>5.7168049843522084E-2</v>
          </cell>
          <cell r="V33">
            <v>0.1021163662568072</v>
          </cell>
          <cell r="W33" t="str">
            <v/>
          </cell>
          <cell r="X33">
            <v>7.0583630213449933E-4</v>
          </cell>
          <cell r="Y33">
            <v>2.0304569294128383E-3</v>
          </cell>
          <cell r="Z33">
            <v>6.3582656908192092E-3</v>
          </cell>
          <cell r="AA33">
            <v>1.3801554021832474E-2</v>
          </cell>
          <cell r="AB33" t="str">
            <v/>
          </cell>
          <cell r="AC33">
            <v>3.3788054278094837E-2</v>
          </cell>
          <cell r="AD33">
            <v>5.9954007789057018E-2</v>
          </cell>
          <cell r="AE33">
            <v>0.10702222659933647</v>
          </cell>
        </row>
        <row r="34">
          <cell r="D34" t="str">
            <v>EUR</v>
          </cell>
          <cell r="N34" t="str">
            <v/>
          </cell>
          <cell r="O34">
            <v>1.3524194061996786E-3</v>
          </cell>
          <cell r="P34">
            <v>3.6701481797429825E-3</v>
          </cell>
          <cell r="Q34">
            <v>1.0432744395999949E-2</v>
          </cell>
          <cell r="R34">
            <v>1.8995315771529242E-2</v>
          </cell>
          <cell r="S34" t="str">
            <v/>
          </cell>
          <cell r="T34">
            <v>4.0620578708481236E-2</v>
          </cell>
          <cell r="U34">
            <v>6.3201332464938309E-2</v>
          </cell>
          <cell r="V34">
            <v>9.7145057233841925E-2</v>
          </cell>
          <cell r="W34" t="str">
            <v/>
          </cell>
          <cell r="X34">
            <v>1.469929626734201E-3</v>
          </cell>
          <cell r="Y34">
            <v>3.8712697541007923E-3</v>
          </cell>
          <cell r="Z34">
            <v>1.0951161564709655E-2</v>
          </cell>
          <cell r="AA34">
            <v>1.9935790208543525E-2</v>
          </cell>
          <cell r="AB34" t="str">
            <v/>
          </cell>
          <cell r="AC34">
            <v>4.2617000633239588E-2</v>
          </cell>
          <cell r="AD34">
            <v>6.6273770411026556E-2</v>
          </cell>
          <cell r="AE34">
            <v>0.10178972388410457</v>
          </cell>
        </row>
        <row r="35">
          <cell r="D35" t="str">
            <v>EUR</v>
          </cell>
          <cell r="N35" t="str">
            <v/>
          </cell>
          <cell r="O35">
            <v>5.8823230557913941E-4</v>
          </cell>
          <cell r="P35">
            <v>1.4188416515668045E-3</v>
          </cell>
          <cell r="Q35">
            <v>4.1104573390305932E-3</v>
          </cell>
          <cell r="R35">
            <v>8.7650818374521711E-3</v>
          </cell>
          <cell r="S35" t="str">
            <v/>
          </cell>
          <cell r="T35">
            <v>2.0583078376538055E-2</v>
          </cell>
          <cell r="U35">
            <v>3.6205653292685658E-2</v>
          </cell>
          <cell r="V35">
            <v>6.6038478227618991E-2</v>
          </cell>
          <cell r="W35" t="str">
            <v/>
          </cell>
          <cell r="X35">
            <v>7.0583630213449933E-4</v>
          </cell>
          <cell r="Y35">
            <v>1.6203554628971828E-3</v>
          </cell>
          <cell r="Z35">
            <v>4.4786833056158493E-3</v>
          </cell>
          <cell r="AA35">
            <v>9.2984532235906858E-3</v>
          </cell>
          <cell r="AB35" t="str">
            <v/>
          </cell>
          <cell r="AC35">
            <v>2.1582662708471312E-2</v>
          </cell>
          <cell r="AD35">
            <v>3.7968843122891727E-2</v>
          </cell>
          <cell r="AE35">
            <v>6.9234528803700846E-2</v>
          </cell>
        </row>
        <row r="36">
          <cell r="D36" t="str">
            <v>EUR</v>
          </cell>
          <cell r="N36" t="str">
            <v/>
          </cell>
          <cell r="O36">
            <v>1.0585701367545886E-3</v>
          </cell>
          <cell r="P36">
            <v>4.4765011050097447E-3</v>
          </cell>
          <cell r="Q36">
            <v>1.2293398507305597E-2</v>
          </cell>
          <cell r="R36">
            <v>2.4455150137394521E-2</v>
          </cell>
          <cell r="S36" t="str">
            <v/>
          </cell>
          <cell r="T36">
            <v>6.0180594554914202E-2</v>
          </cell>
          <cell r="U36">
            <v>0.10220030686087744</v>
          </cell>
          <cell r="V36">
            <v>0.17136069655264063</v>
          </cell>
          <cell r="W36" t="str">
            <v/>
          </cell>
          <cell r="X36">
            <v>1.1761168038567638E-3</v>
          </cell>
          <cell r="Y36">
            <v>4.6979849531030293E-3</v>
          </cell>
          <cell r="Z36">
            <v>1.2904160972644907E-2</v>
          </cell>
          <cell r="AA36">
            <v>2.5666103114801886E-2</v>
          </cell>
          <cell r="AB36" t="str">
            <v/>
          </cell>
          <cell r="AC36">
            <v>6.3123621570422617E-2</v>
          </cell>
          <cell r="AD36">
            <v>0.10710800724958536</v>
          </cell>
          <cell r="AE36">
            <v>0.17933942469367448</v>
          </cell>
        </row>
        <row r="37">
          <cell r="D37" t="str">
            <v>EUR</v>
          </cell>
          <cell r="N37" t="str">
            <v/>
          </cell>
          <cell r="O37">
            <v>5.8823230557913941E-4</v>
          </cell>
          <cell r="P37">
            <v>1.2136782726757112E-3</v>
          </cell>
          <cell r="Q37">
            <v>4.5015416184586154E-3</v>
          </cell>
          <cell r="R37">
            <v>8.7493051440935554E-3</v>
          </cell>
          <cell r="S37" t="str">
            <v/>
          </cell>
          <cell r="T37">
            <v>2.0610088901978907E-2</v>
          </cell>
          <cell r="U37">
            <v>3.3473665368464078E-2</v>
          </cell>
          <cell r="V37">
            <v>5.8604457265159837E-2</v>
          </cell>
          <cell r="W37" t="str">
            <v/>
          </cell>
          <cell r="X37">
            <v>7.0583630213449933E-4</v>
          </cell>
          <cell r="Y37">
            <v>1.4152199353631989E-3</v>
          </cell>
          <cell r="Z37">
            <v>4.8697119408149803E-3</v>
          </cell>
          <cell r="AA37">
            <v>9.282629509412943E-3</v>
          </cell>
          <cell r="AB37" t="str">
            <v/>
          </cell>
          <cell r="AC37">
            <v>2.1608500916757478E-2</v>
          </cell>
          <cell r="AD37">
            <v>3.5103491726639513E-2</v>
          </cell>
          <cell r="AE37">
            <v>6.1441391875898477E-2</v>
          </cell>
        </row>
        <row r="38">
          <cell r="D38" t="str">
            <v>EUR</v>
          </cell>
          <cell r="N38" t="str">
            <v/>
          </cell>
          <cell r="O38">
            <v>1.1761201684514777E-3</v>
          </cell>
          <cell r="P38">
            <v>2.6309721823427612E-3</v>
          </cell>
          <cell r="Q38">
            <v>8.5998532326374555E-3</v>
          </cell>
          <cell r="R38">
            <v>1.8589098221264533E-2</v>
          </cell>
          <cell r="S38" t="str">
            <v/>
          </cell>
          <cell r="T38">
            <v>4.5404190741026529E-2</v>
          </cell>
          <cell r="U38">
            <v>8.0084933348924525E-2</v>
          </cell>
          <cell r="V38">
            <v>0.13055492676188907</v>
          </cell>
          <cell r="W38" t="str">
            <v/>
          </cell>
          <cell r="X38">
            <v>1.293652314683702E-3</v>
          </cell>
          <cell r="Y38">
            <v>2.8322549756158999E-3</v>
          </cell>
          <cell r="Z38">
            <v>9.0236456786928487E-3</v>
          </cell>
          <cell r="AA38">
            <v>1.9496922671881634E-2</v>
          </cell>
          <cell r="AB38" t="str">
            <v/>
          </cell>
          <cell r="AC38">
            <v>4.7629144305646687E-2</v>
          </cell>
          <cell r="AD38">
            <v>8.3966955003944244E-2</v>
          </cell>
          <cell r="AE38">
            <v>0.1367307172362584</v>
          </cell>
        </row>
        <row r="39">
          <cell r="D39" t="str">
            <v>EUR</v>
          </cell>
          <cell r="N39" t="str">
            <v/>
          </cell>
          <cell r="O39">
            <v>2.24519315793692E-3</v>
          </cell>
          <cell r="P39">
            <v>4.3997388513687952E-3</v>
          </cell>
          <cell r="Q39">
            <v>1.0799433008717219E-2</v>
          </cell>
          <cell r="R39">
            <v>1.8805201182836684E-2</v>
          </cell>
          <cell r="S39" t="str">
            <v/>
          </cell>
          <cell r="T39">
            <v>3.7784926967585175E-2</v>
          </cell>
          <cell r="U39">
            <v>5.7500501725248121E-2</v>
          </cell>
          <cell r="V39">
            <v>8.6612653123948613E-2</v>
          </cell>
          <cell r="W39" t="str">
            <v/>
          </cell>
          <cell r="X39">
            <v>2.3625895332998192E-3</v>
          </cell>
          <cell r="Y39">
            <v>4.6190814530473467E-3</v>
          </cell>
          <cell r="Z39">
            <v>1.1336810562699529E-2</v>
          </cell>
          <cell r="AA39">
            <v>1.9737725748657287E-2</v>
          </cell>
          <cell r="AB39" t="str">
            <v/>
          </cell>
          <cell r="AC39">
            <v>3.9643747002788943E-2</v>
          </cell>
          <cell r="AD39">
            <v>6.0301949004120226E-2</v>
          </cell>
          <cell r="AE39">
            <v>9.0769823544266548E-2</v>
          </cell>
        </row>
        <row r="40">
          <cell r="D40" t="str">
            <v>EUR</v>
          </cell>
          <cell r="N40" t="str">
            <v/>
          </cell>
          <cell r="O40">
            <v>4.7061340958476361E-4</v>
          </cell>
          <cell r="P40">
            <v>1.4224212190881991E-3</v>
          </cell>
          <cell r="Q40">
            <v>4.4922095327908362E-3</v>
          </cell>
          <cell r="R40">
            <v>1.0439784850016953E-2</v>
          </cell>
          <cell r="S40" t="str">
            <v/>
          </cell>
          <cell r="T40">
            <v>2.5083489617726329E-2</v>
          </cell>
          <cell r="U40">
            <v>4.494226673872781E-2</v>
          </cell>
          <cell r="V40">
            <v>7.7751351024654802E-2</v>
          </cell>
          <cell r="W40" t="str">
            <v/>
          </cell>
          <cell r="X40">
            <v>5.8823155392451199E-4</v>
          </cell>
          <cell r="Y40">
            <v>1.6239482287041529E-3</v>
          </cell>
          <cell r="Z40">
            <v>4.8603470128968373E-3</v>
          </cell>
          <cell r="AA40">
            <v>1.0972542465652046E-2</v>
          </cell>
          <cell r="AB40" t="str">
            <v/>
          </cell>
          <cell r="AC40">
            <v>2.6313505829569817E-2</v>
          </cell>
          <cell r="AD40">
            <v>4.7138589260877994E-2</v>
          </cell>
          <cell r="AE40">
            <v>8.1513011542288849E-2</v>
          </cell>
        </row>
        <row r="41">
          <cell r="D41" t="str">
            <v>EUR</v>
          </cell>
          <cell r="N41" t="str">
            <v/>
          </cell>
          <cell r="O41">
            <v>1.0585701367545886E-3</v>
          </cell>
          <cell r="P41">
            <v>3.6584369447157927E-3</v>
          </cell>
          <cell r="Q41">
            <v>1.3094076279633882E-2</v>
          </cell>
          <cell r="R41">
            <v>2.2199900427662067E-2</v>
          </cell>
          <cell r="S41" t="str">
            <v/>
          </cell>
          <cell r="T41">
            <v>5.2274792970804174E-2</v>
          </cell>
          <cell r="U41">
            <v>8.7760447334585434E-2</v>
          </cell>
          <cell r="V41">
            <v>0.14517359591962664</v>
          </cell>
          <cell r="W41" t="str">
            <v/>
          </cell>
          <cell r="X41">
            <v>1.1761168038567638E-3</v>
          </cell>
          <cell r="Y41">
            <v>3.8595942604000566E-3</v>
          </cell>
          <cell r="Z41">
            <v>1.3744736474248453E-2</v>
          </cell>
          <cell r="AA41">
            <v>2.3295666824855177E-2</v>
          </cell>
          <cell r="AB41" t="str">
            <v/>
          </cell>
          <cell r="AC41">
            <v>5.4836285664417894E-2</v>
          </cell>
          <cell r="AD41">
            <v>9.1995584631936245E-2</v>
          </cell>
          <cell r="AE41">
            <v>0.15200214712283455</v>
          </cell>
        </row>
        <row r="42">
          <cell r="D42" t="str">
            <v>EUR</v>
          </cell>
          <cell r="N42" t="str">
            <v/>
          </cell>
          <cell r="O42">
            <v>3.8827198331981005E-4</v>
          </cell>
          <cell r="P42">
            <v>1.8554589371482244E-3</v>
          </cell>
          <cell r="Q42">
            <v>6.1401003298200418E-3</v>
          </cell>
          <cell r="R42">
            <v>1.1913415806219296E-2</v>
          </cell>
          <cell r="S42" t="str">
            <v/>
          </cell>
          <cell r="T42">
            <v>2.6743204782313956E-2</v>
          </cell>
          <cell r="U42">
            <v>4.2487965361904245E-2</v>
          </cell>
          <cell r="V42">
            <v>6.5887616025787077E-2</v>
          </cell>
          <cell r="W42" t="str">
            <v/>
          </cell>
          <cell r="X42">
            <v>5.058999881245585E-4</v>
          </cell>
          <cell r="Y42">
            <v>2.0569365819519403E-3</v>
          </cell>
          <cell r="Z42">
            <v>6.5077522351598693E-3</v>
          </cell>
          <cell r="AA42">
            <v>1.2496016087531592E-2</v>
          </cell>
          <cell r="AB42" t="str">
            <v/>
          </cell>
          <cell r="AC42">
            <v>2.8058432170045666E-2</v>
          </cell>
          <cell r="AD42">
            <v>4.4564381867312819E-2</v>
          </cell>
          <cell r="AE42">
            <v>6.9080336738494341E-2</v>
          </cell>
        </row>
        <row r="43">
          <cell r="D43" t="str">
            <v>EUR</v>
          </cell>
          <cell r="N43" t="str">
            <v/>
          </cell>
          <cell r="O43">
            <v>9.7627692276858191E-4</v>
          </cell>
          <cell r="P43">
            <v>3.5789943257183987E-3</v>
          </cell>
          <cell r="Q43">
            <v>1.0546563968439338E-2</v>
          </cell>
          <cell r="R43">
            <v>1.9059025660346673E-2</v>
          </cell>
          <cell r="S43" t="str">
            <v/>
          </cell>
          <cell r="T43">
            <v>4.2482145724178855E-2</v>
          </cell>
          <cell r="U43">
            <v>6.4295218840913604E-2</v>
          </cell>
          <cell r="V43">
            <v>9.68386449330364E-2</v>
          </cell>
          <cell r="W43" t="str">
            <v/>
          </cell>
          <cell r="X43">
            <v>1.0938337090613537E-3</v>
          </cell>
          <cell r="Y43">
            <v>3.7801711243370395E-3</v>
          </cell>
          <cell r="Z43">
            <v>1.1071112895901014E-2</v>
          </cell>
          <cell r="AA43">
            <v>2.0002084143024401E-2</v>
          </cell>
          <cell r="AB43" t="str">
            <v/>
          </cell>
          <cell r="AC43">
            <v>4.4568937220610394E-2</v>
          </cell>
          <cell r="AD43">
            <v>6.7418645628377627E-2</v>
          </cell>
          <cell r="AE43">
            <v>0.10146690562273109</v>
          </cell>
        </row>
        <row r="44">
          <cell r="D44" t="str">
            <v>EUR</v>
          </cell>
          <cell r="N44" t="str">
            <v/>
          </cell>
          <cell r="O44">
            <v>1.4111789373691952E-3</v>
          </cell>
          <cell r="P44">
            <v>2.8285845959358236E-3</v>
          </cell>
          <cell r="Q44">
            <v>6.6851811094795766E-3</v>
          </cell>
          <cell r="R44">
            <v>1.2492661922517967E-2</v>
          </cell>
          <cell r="S44" t="str">
            <v/>
          </cell>
          <cell r="T44">
            <v>2.3771729443184397E-2</v>
          </cell>
          <cell r="U44">
            <v>4.0692473817563135E-2</v>
          </cell>
          <cell r="V44">
            <v>7.218324771076523E-2</v>
          </cell>
          <cell r="W44" t="str">
            <v/>
          </cell>
          <cell r="X44">
            <v>1.5286818104438549E-3</v>
          </cell>
          <cell r="Y44">
            <v>3.029814015234944E-3</v>
          </cell>
          <cell r="Z44">
            <v>7.052454994905144E-3</v>
          </cell>
          <cell r="AA44">
            <v>1.310846542031463E-2</v>
          </cell>
          <cell r="AB44" t="str">
            <v/>
          </cell>
          <cell r="AC44">
            <v>2.4943165614515372E-2</v>
          </cell>
          <cell r="AD44">
            <v>4.2688005970319187E-2</v>
          </cell>
          <cell r="AE44">
            <v>7.5685274844176975E-2</v>
          </cell>
        </row>
        <row r="45">
          <cell r="D45" t="str">
            <v>EUR</v>
          </cell>
          <cell r="N45" t="str">
            <v/>
          </cell>
          <cell r="O45">
            <v>4.7061340958476361E-4</v>
          </cell>
          <cell r="P45">
            <v>1.8325206103344538E-3</v>
          </cell>
          <cell r="Q45">
            <v>5.2267332050037751E-3</v>
          </cell>
          <cell r="R45">
            <v>9.819022376512887E-3</v>
          </cell>
          <cell r="S45" t="str">
            <v/>
          </cell>
          <cell r="T45">
            <v>2.4191060911671003E-2</v>
          </cell>
          <cell r="U45">
            <v>4.2354420733060838E-2</v>
          </cell>
          <cell r="V45">
            <v>7.2430216599879804E-2</v>
          </cell>
          <cell r="W45" t="str">
            <v/>
          </cell>
          <cell r="X45">
            <v>5.8823155392451199E-4</v>
          </cell>
          <cell r="Y45">
            <v>2.0339921687133611E-3</v>
          </cell>
          <cell r="Z45">
            <v>5.594609537902473E-3</v>
          </cell>
          <cell r="AA45">
            <v>1.0351777232896042E-2</v>
          </cell>
          <cell r="AB45" t="str">
            <v/>
          </cell>
          <cell r="AC45">
            <v>2.5375058048162979E-2</v>
          </cell>
          <cell r="AD45">
            <v>4.4422119677380745E-2</v>
          </cell>
          <cell r="AE45">
            <v>7.5935265006450758E-2</v>
          </cell>
        </row>
        <row r="46">
          <cell r="D46" t="str">
            <v>EUR</v>
          </cell>
          <cell r="N46" t="str">
            <v/>
          </cell>
          <cell r="O46">
            <v>2.1747398951207364E-3</v>
          </cell>
          <cell r="P46">
            <v>4.1767989776523295E-3</v>
          </cell>
          <cell r="Q46">
            <v>1.0433735662038979E-2</v>
          </cell>
          <cell r="R46">
            <v>1.7600298522391422E-2</v>
          </cell>
          <cell r="S46" t="str">
            <v/>
          </cell>
          <cell r="T46">
            <v>3.6086366698584671E-2</v>
          </cell>
          <cell r="U46">
            <v>5.5840719444435472E-2</v>
          </cell>
          <cell r="V46">
            <v>8.5312814576500973E-2</v>
          </cell>
          <cell r="W46" t="str">
            <v/>
          </cell>
          <cell r="X46">
            <v>2.2921454301566557E-3</v>
          </cell>
          <cell r="Y46">
            <v>4.3849240758833119E-3</v>
          </cell>
          <cell r="Z46">
            <v>1.0952913528134101E-2</v>
          </cell>
          <cell r="AA46">
            <v>1.8473118099054386E-2</v>
          </cell>
          <cell r="AB46" t="str">
            <v/>
          </cell>
          <cell r="AC46">
            <v>3.7862120060957682E-2</v>
          </cell>
          <cell r="AD46">
            <v>5.858634593618739E-2</v>
          </cell>
          <cell r="AE46">
            <v>8.9408608581944216E-2</v>
          </cell>
        </row>
        <row r="47">
          <cell r="D47" t="str">
            <v>EUR</v>
          </cell>
          <cell r="N47" t="str">
            <v/>
          </cell>
          <cell r="O47">
            <v>5.8823230557913941E-4</v>
          </cell>
          <cell r="P47">
            <v>1.4188416515668045E-3</v>
          </cell>
          <cell r="Q47">
            <v>4.1104573390305932E-3</v>
          </cell>
          <cell r="R47">
            <v>8.2004739960540585E-3</v>
          </cell>
          <cell r="S47" t="str">
            <v/>
          </cell>
          <cell r="T47">
            <v>2.1604803722366839E-2</v>
          </cell>
          <cell r="U47">
            <v>3.8829384378924914E-2</v>
          </cell>
          <cell r="V47">
            <v>7.1603135987629019E-2</v>
          </cell>
          <cell r="W47" t="str">
            <v/>
          </cell>
          <cell r="X47">
            <v>7.0583630213449933E-4</v>
          </cell>
          <cell r="Y47">
            <v>1.6203554628971828E-3</v>
          </cell>
          <cell r="Z47">
            <v>4.4786833056158493E-3</v>
          </cell>
          <cell r="AA47">
            <v>8.734029213848804E-3</v>
          </cell>
          <cell r="AB47" t="str">
            <v/>
          </cell>
          <cell r="AC47">
            <v>2.2650270344072854E-2</v>
          </cell>
          <cell r="AD47">
            <v>4.0719683763051573E-2</v>
          </cell>
          <cell r="AE47">
            <v>7.5062850058797315E-2</v>
          </cell>
        </row>
        <row r="48">
          <cell r="D48" t="str">
            <v>EUR</v>
          </cell>
          <cell r="N48" t="str">
            <v/>
          </cell>
          <cell r="O48">
            <v>1.2936564344949719E-3</v>
          </cell>
          <cell r="P48">
            <v>3.2419657329573193E-3</v>
          </cell>
          <cell r="Q48">
            <v>7.4177263808794525E-3</v>
          </cell>
          <cell r="R48">
            <v>1.5245045550931202E-2</v>
          </cell>
          <cell r="S48" t="str">
            <v/>
          </cell>
          <cell r="T48">
            <v>3.460989176827034E-2</v>
          </cell>
          <cell r="U48">
            <v>5.6479424568010583E-2</v>
          </cell>
          <cell r="V48">
            <v>9.7636050186695522E-2</v>
          </cell>
          <cell r="W48" t="str">
            <v/>
          </cell>
          <cell r="X48">
            <v>1.4111739830211523E-3</v>
          </cell>
          <cell r="Y48">
            <v>3.4431523976948819E-3</v>
          </cell>
          <cell r="Z48">
            <v>7.78474444864663E-3</v>
          </cell>
          <cell r="AA48">
            <v>1.5999449974483659E-2</v>
          </cell>
          <cell r="AB48" t="str">
            <v/>
          </cell>
          <cell r="AC48">
            <v>3.6313585072826782E-2</v>
          </cell>
          <cell r="AD48">
            <v>5.9235632755419543E-2</v>
          </cell>
          <cell r="AE48">
            <v>0.10232384305766984</v>
          </cell>
        </row>
        <row r="49">
          <cell r="D49" t="str">
            <v>EUR</v>
          </cell>
          <cell r="N49" t="str">
            <v/>
          </cell>
          <cell r="O49">
            <v>8.2342876691621214E-4</v>
          </cell>
          <cell r="P49">
            <v>1.8218285837172665E-3</v>
          </cell>
          <cell r="Q49">
            <v>4.8467731924392021E-3</v>
          </cell>
          <cell r="R49">
            <v>9.8315375064832455E-3</v>
          </cell>
          <cell r="S49" t="str">
            <v/>
          </cell>
          <cell r="T49">
            <v>2.6064599916965747E-2</v>
          </cell>
          <cell r="U49">
            <v>4.481346221736604E-2</v>
          </cell>
          <cell r="V49">
            <v>7.783749086492886E-2</v>
          </cell>
          <cell r="W49" t="str">
            <v/>
          </cell>
          <cell r="X49">
            <v>9.4100424795140469E-4</v>
          </cell>
          <cell r="Y49">
            <v>2.0232613221308204E-3</v>
          </cell>
          <cell r="Z49">
            <v>5.2147267725027868E-3</v>
          </cell>
          <cell r="AA49">
            <v>1.0364335105939815E-2</v>
          </cell>
          <cell r="AB49" t="str">
            <v/>
          </cell>
          <cell r="AC49">
            <v>2.7341362892103649E-2</v>
          </cell>
          <cell r="AD49">
            <v>4.6998045361279273E-2</v>
          </cell>
          <cell r="AE49">
            <v>8.1600106941085659E-2</v>
          </cell>
        </row>
        <row r="50">
          <cell r="D50" t="str">
            <v>EUR</v>
          </cell>
          <cell r="N50" t="str">
            <v/>
          </cell>
          <cell r="O50">
            <v>1.4111789373691952E-3</v>
          </cell>
          <cell r="P50">
            <v>4.8751696354448759E-3</v>
          </cell>
          <cell r="Q50">
            <v>1.4159192050532177E-2</v>
          </cell>
          <cell r="R50">
            <v>2.9356492083043917E-2</v>
          </cell>
          <cell r="S50" t="str">
            <v/>
          </cell>
          <cell r="T50">
            <v>7.0486266261249764E-2</v>
          </cell>
          <cell r="U50">
            <v>0.11574984066228156</v>
          </cell>
          <cell r="V50">
            <v>0.18722311104196221</v>
          </cell>
          <cell r="W50" t="str">
            <v/>
          </cell>
          <cell r="X50">
            <v>1.5286818104438549E-3</v>
          </cell>
          <cell r="Y50">
            <v>5.1169906939083631E-3</v>
          </cell>
          <cell r="Z50">
            <v>1.4862625066904611E-2</v>
          </cell>
          <cell r="AA50">
            <v>3.0808082413036564E-2</v>
          </cell>
          <cell r="AB50" t="str">
            <v/>
          </cell>
          <cell r="AC50">
            <v>7.391889374715388E-2</v>
          </cell>
          <cell r="AD50">
            <v>0.12127151391863378</v>
          </cell>
          <cell r="AE50">
            <v>0.19585018701143997</v>
          </cell>
        </row>
        <row r="51">
          <cell r="D51" t="str">
            <v>EUR</v>
          </cell>
          <cell r="N51" t="str">
            <v/>
          </cell>
          <cell r="O51">
            <v>7.0583742388907744E-4</v>
          </cell>
          <cell r="P51">
            <v>1.4152198693172524E-3</v>
          </cell>
          <cell r="Q51">
            <v>4.4894063326089695E-3</v>
          </cell>
          <cell r="R51">
            <v>9.8706094274730871E-3</v>
          </cell>
          <cell r="S51" t="str">
            <v/>
          </cell>
          <cell r="T51">
            <v>2.5154733686432174E-2</v>
          </cell>
          <cell r="U51">
            <v>4.3635267708081793E-2</v>
          </cell>
          <cell r="V51">
            <v>7.815301965448318E-2</v>
          </cell>
          <cell r="W51" t="str">
            <v/>
          </cell>
          <cell r="X51">
            <v>8.2342719960870614E-4</v>
          </cell>
          <cell r="Y51">
            <v>1.6167209125957926E-3</v>
          </cell>
          <cell r="Z51">
            <v>4.8575339699230557E-3</v>
          </cell>
          <cell r="AA51">
            <v>1.040353298454888E-2</v>
          </cell>
          <cell r="AB51" t="str">
            <v/>
          </cell>
          <cell r="AC51">
            <v>2.638577341576942E-2</v>
          </cell>
          <cell r="AD51">
            <v>4.5762685136851777E-2</v>
          </cell>
          <cell r="AE51">
            <v>8.192964486089882E-2</v>
          </cell>
        </row>
        <row r="52">
          <cell r="D52" t="str">
            <v>EUR</v>
          </cell>
          <cell r="N52" t="str">
            <v/>
          </cell>
          <cell r="O52">
            <v>8.2342876691621214E-4</v>
          </cell>
          <cell r="P52">
            <v>1.6167208634250141E-3</v>
          </cell>
          <cell r="Q52">
            <v>4.0965300833587515E-3</v>
          </cell>
          <cell r="R52">
            <v>9.3158294452674317E-3</v>
          </cell>
          <cell r="S52" t="str">
            <v/>
          </cell>
          <cell r="T52">
            <v>2.5190071933670177E-2</v>
          </cell>
          <cell r="U52">
            <v>4.5031603338221982E-2</v>
          </cell>
          <cell r="V52">
            <v>7.9926118650817668E-2</v>
          </cell>
          <cell r="W52" t="str">
            <v/>
          </cell>
          <cell r="X52">
            <v>9.4100424795140469E-4</v>
          </cell>
          <cell r="Y52">
            <v>1.8181813004158887E-3</v>
          </cell>
          <cell r="Z52">
            <v>4.4647082467120791E-3</v>
          </cell>
          <cell r="AA52">
            <v>9.8489754735843205E-3</v>
          </cell>
          <cell r="AB52" t="str">
            <v/>
          </cell>
          <cell r="AC52">
            <v>2.6422570908529952E-2</v>
          </cell>
          <cell r="AD52">
            <v>4.7225801021429481E-2</v>
          </cell>
          <cell r="AE52">
            <v>8.3785826679433018E-2</v>
          </cell>
        </row>
        <row r="53">
          <cell r="D53" t="str">
            <v>EUR</v>
          </cell>
          <cell r="N53" t="str">
            <v/>
          </cell>
          <cell r="O53">
            <v>4.7061340958476361E-4</v>
          </cell>
          <cell r="P53">
            <v>1.2172867430008116E-3</v>
          </cell>
          <cell r="Q53">
            <v>3.7420953470101992E-3</v>
          </cell>
          <cell r="R53">
            <v>7.6666318397365929E-3</v>
          </cell>
          <cell r="S53" t="str">
            <v/>
          </cell>
          <cell r="T53">
            <v>1.8863608454825598E-2</v>
          </cell>
          <cell r="U53">
            <v>2.9745692718493699E-2</v>
          </cell>
          <cell r="V53">
            <v>5.152202074451917E-2</v>
          </cell>
          <cell r="W53" t="str">
            <v/>
          </cell>
          <cell r="X53">
            <v>5.8823155392451199E-4</v>
          </cell>
          <cell r="Y53">
            <v>1.4188414855879072E-3</v>
          </cell>
          <cell r="Z53">
            <v>4.1104575327085557E-3</v>
          </cell>
          <cell r="AA53">
            <v>8.200474057898588E-3</v>
          </cell>
          <cell r="AB53" t="str">
            <v/>
          </cell>
          <cell r="AC53">
            <v>1.9770115486853368E-2</v>
          </cell>
          <cell r="AD53">
            <v>3.1188945862053896E-2</v>
          </cell>
          <cell r="AE53">
            <v>5.4012015127105295E-2</v>
          </cell>
        </row>
        <row r="54">
          <cell r="D54" t="str">
            <v>EUR</v>
          </cell>
          <cell r="N54" t="str">
            <v/>
          </cell>
          <cell r="O54">
            <v>7.0583742388907744E-4</v>
          </cell>
          <cell r="P54">
            <v>2.2354227158818407E-3</v>
          </cell>
          <cell r="Q54">
            <v>6.7252789095330057E-3</v>
          </cell>
          <cell r="R54">
            <v>1.3659796889292863E-2</v>
          </cell>
          <cell r="S54" t="str">
            <v/>
          </cell>
          <cell r="T54">
            <v>3.0235807558503525E-2</v>
          </cell>
          <cell r="U54">
            <v>5.1933406855471542E-2</v>
          </cell>
          <cell r="V54">
            <v>8.73379290601769E-2</v>
          </cell>
          <cell r="W54" t="str">
            <v/>
          </cell>
          <cell r="X54">
            <v>8.2342719960870614E-4</v>
          </cell>
          <cell r="Y54">
            <v>2.4368126847228444E-3</v>
          </cell>
          <cell r="Z54">
            <v>7.0926962245758673E-3</v>
          </cell>
          <cell r="AA54">
            <v>1.433157124992368E-2</v>
          </cell>
          <cell r="AB54" t="str">
            <v/>
          </cell>
          <cell r="AC54">
            <v>3.1722452718901062E-2</v>
          </cell>
          <cell r="AD54">
            <v>5.447001703983545E-2</v>
          </cell>
          <cell r="AE54">
            <v>9.1544392539487318E-2</v>
          </cell>
        </row>
        <row r="55">
          <cell r="D55" t="str">
            <v>EUR</v>
          </cell>
          <cell r="N55" t="str">
            <v/>
          </cell>
          <cell r="O55">
            <v>7.0583742388907744E-4</v>
          </cell>
          <cell r="P55">
            <v>2.8499817577419817E-3</v>
          </cell>
          <cell r="Q55">
            <v>7.8189240868918874E-3</v>
          </cell>
          <cell r="R55">
            <v>1.4696787477016304E-2</v>
          </cell>
          <cell r="S55" t="str">
            <v/>
          </cell>
          <cell r="T55">
            <v>3.1921393842674117E-2</v>
          </cell>
          <cell r="U55">
            <v>5.4223994977966594E-2</v>
          </cell>
          <cell r="V55">
            <v>9.048941558431467E-2</v>
          </cell>
          <cell r="W55" t="str">
            <v/>
          </cell>
          <cell r="X55">
            <v>8.2342719960870614E-4</v>
          </cell>
          <cell r="Y55">
            <v>3.0512884736265677E-3</v>
          </cell>
          <cell r="Z55">
            <v>8.2050573545081606E-3</v>
          </cell>
          <cell r="AA55">
            <v>1.5422839962618951E-2</v>
          </cell>
          <cell r="AB55" t="str">
            <v/>
          </cell>
          <cell r="AC55">
            <v>3.3492019189597655E-2</v>
          </cell>
          <cell r="AD55">
            <v>5.6872126519064481E-2</v>
          </cell>
          <cell r="AE55">
            <v>9.48413665611193E-2</v>
          </cell>
        </row>
        <row r="56">
          <cell r="D56" t="str">
            <v>EUR</v>
          </cell>
          <cell r="N56" t="str">
            <v/>
          </cell>
          <cell r="O56">
            <v>5.8823230557913941E-4</v>
          </cell>
          <cell r="P56">
            <v>1.6239484894734479E-3</v>
          </cell>
          <cell r="Q56">
            <v>5.2413729864030367E-3</v>
          </cell>
          <cell r="R56">
            <v>1.2079900237925822E-2</v>
          </cell>
          <cell r="S56" t="str">
            <v/>
          </cell>
          <cell r="T56">
            <v>3.1402817312322528E-2</v>
          </cell>
          <cell r="U56">
            <v>5.3377747925267838E-2</v>
          </cell>
          <cell r="V56">
            <v>9.329321101929744E-2</v>
          </cell>
          <cell r="W56" t="str">
            <v/>
          </cell>
          <cell r="X56">
            <v>7.0583630213449933E-4</v>
          </cell>
          <cell r="Y56">
            <v>1.8254344543299217E-3</v>
          </cell>
          <cell r="Z56">
            <v>5.6092809464522997E-3</v>
          </cell>
          <cell r="AA56">
            <v>1.2668247651419384E-2</v>
          </cell>
          <cell r="AB56" t="str">
            <v/>
          </cell>
          <cell r="AC56">
            <v>3.2949487310384606E-2</v>
          </cell>
          <cell r="AD56">
            <v>5.5978945786590351E-2</v>
          </cell>
          <cell r="AE56">
            <v>9.7780722169312217E-2</v>
          </cell>
        </row>
        <row r="57">
          <cell r="D57" t="str">
            <v>EUR</v>
          </cell>
          <cell r="N57" t="str">
            <v/>
          </cell>
          <cell r="O57">
            <v>1.4111789373691952E-3</v>
          </cell>
          <cell r="P57">
            <v>3.4431525528769713E-3</v>
          </cell>
          <cell r="Q57">
            <v>1.0449032536976599E-2</v>
          </cell>
          <cell r="R57">
            <v>1.8999814037624074E-2</v>
          </cell>
          <cell r="S57" t="str">
            <v/>
          </cell>
          <cell r="T57">
            <v>3.9709005219032423E-2</v>
          </cell>
          <cell r="U57">
            <v>6.3346468853093585E-2</v>
          </cell>
          <cell r="V57">
            <v>0.10707149788298254</v>
          </cell>
          <cell r="W57" t="str">
            <v/>
          </cell>
          <cell r="X57">
            <v>1.5286818104438549E-3</v>
          </cell>
          <cell r="Y57">
            <v>3.6442988133077447E-3</v>
          </cell>
          <cell r="Z57">
            <v>1.0967183165382255E-2</v>
          </cell>
          <cell r="AA57">
            <v>1.9940099735572203E-2</v>
          </cell>
          <cell r="AB57" t="str">
            <v/>
          </cell>
          <cell r="AC57">
            <v>4.1659749120524281E-2</v>
          </cell>
          <cell r="AD57">
            <v>6.6427452002481679E-2</v>
          </cell>
          <cell r="AE57">
            <v>0.11218628176922074</v>
          </cell>
        </row>
        <row r="58">
          <cell r="D58" t="str">
            <v>EUR</v>
          </cell>
          <cell r="N58" t="str">
            <v/>
          </cell>
          <cell r="O58">
            <v>9.4100633706173387E-4</v>
          </cell>
          <cell r="P58">
            <v>2.6381622423573559E-3</v>
          </cell>
          <cell r="Q58">
            <v>8.6023536257356925E-3</v>
          </cell>
          <cell r="R58">
            <v>1.5780676454810294E-2</v>
          </cell>
          <cell r="S58" t="str">
            <v/>
          </cell>
          <cell r="T58">
            <v>3.3671733100789525E-2</v>
          </cell>
          <cell r="U58">
            <v>5.5216876932850933E-2</v>
          </cell>
          <cell r="V58">
            <v>9.5998167845032678E-2</v>
          </cell>
          <cell r="W58" t="str">
            <v/>
          </cell>
          <cell r="X58">
            <v>1.0585674487949559E-3</v>
          </cell>
          <cell r="Y58">
            <v>2.8394709859616007E-3</v>
          </cell>
          <cell r="Z58">
            <v>9.0262781767683764E-3</v>
          </cell>
          <cell r="AA58">
            <v>1.6560570740987712E-2</v>
          </cell>
          <cell r="AB58" t="str">
            <v/>
          </cell>
          <cell r="AC58">
            <v>3.5327621603871706E-2</v>
          </cell>
          <cell r="AD58">
            <v>5.7911278843384317E-2</v>
          </cell>
          <cell r="AE58">
            <v>0.10060775128713106</v>
          </cell>
        </row>
        <row r="59">
          <cell r="D59" t="str">
            <v>EUR</v>
          </cell>
          <cell r="N59" t="str">
            <v/>
          </cell>
          <cell r="O59">
            <v>7.0583742388907744E-4</v>
          </cell>
          <cell r="P59">
            <v>1.8254343260272199E-3</v>
          </cell>
          <cell r="Q59">
            <v>4.8472226218999603E-3</v>
          </cell>
          <cell r="R59">
            <v>9.270025871779386E-3</v>
          </cell>
          <cell r="S59" t="str">
            <v/>
          </cell>
          <cell r="T59">
            <v>1.9550479393187881E-2</v>
          </cell>
          <cell r="U59">
            <v>3.2164656108149225E-2</v>
          </cell>
          <cell r="V59">
            <v>5.6711247902592077E-2</v>
          </cell>
          <cell r="W59" t="str">
            <v/>
          </cell>
          <cell r="X59">
            <v>8.2342719960870614E-4</v>
          </cell>
          <cell r="Y59">
            <v>2.0268798220722806E-3</v>
          </cell>
          <cell r="Z59">
            <v>5.2151817618720786E-3</v>
          </cell>
          <cell r="AA59">
            <v>9.8030166328254564E-3</v>
          </cell>
          <cell r="AB59" t="str">
            <v/>
          </cell>
          <cell r="AC59">
            <v>2.0503026419437687E-2</v>
          </cell>
          <cell r="AD59">
            <v>3.373401002880716E-2</v>
          </cell>
          <cell r="AE59">
            <v>5.9464803306415348E-2</v>
          </cell>
        </row>
        <row r="60">
          <cell r="D60" t="str">
            <v>EUR</v>
          </cell>
          <cell r="N60" t="str">
            <v/>
          </cell>
          <cell r="O60">
            <v>9.4100633706173387E-4</v>
          </cell>
          <cell r="P60">
            <v>2.228284751959464E-3</v>
          </cell>
          <cell r="Q60">
            <v>5.9639435030418575E-3</v>
          </cell>
          <cell r="R60">
            <v>9.7498149812619284E-3</v>
          </cell>
          <cell r="S60" t="str">
            <v/>
          </cell>
          <cell r="T60">
            <v>2.1334232226911998E-2</v>
          </cell>
          <cell r="U60">
            <v>3.4514796901735978E-2</v>
          </cell>
          <cell r="V60">
            <v>6.2125556807420712E-2</v>
          </cell>
          <cell r="W60" t="str">
            <v/>
          </cell>
          <cell r="X60">
            <v>1.0585674487949559E-3</v>
          </cell>
          <cell r="Y60">
            <v>2.4296489701292057E-3</v>
          </cell>
          <cell r="Z60">
            <v>6.3315368536315253E-3</v>
          </cell>
          <cell r="AA60">
            <v>1.0282345523237368E-2</v>
          </cell>
          <cell r="AB60" t="str">
            <v/>
          </cell>
          <cell r="AC60">
            <v>2.2377821202693049E-2</v>
          </cell>
          <cell r="AD60">
            <v>3.6203377100475942E-2</v>
          </cell>
          <cell r="AE60">
            <v>6.5141992451992925E-2</v>
          </cell>
        </row>
        <row r="61">
          <cell r="D61" t="str">
            <v>EUR</v>
          </cell>
          <cell r="N61" t="str">
            <v/>
          </cell>
          <cell r="O61">
            <v>5.8823230557913941E-4</v>
          </cell>
          <cell r="P61">
            <v>1.2136782726757112E-3</v>
          </cell>
          <cell r="Q61">
            <v>4.5015416184586154E-3</v>
          </cell>
          <cell r="R61">
            <v>9.3150653491943514E-3</v>
          </cell>
          <cell r="S61" t="str">
            <v/>
          </cell>
          <cell r="T61">
            <v>2.4301372183932468E-2</v>
          </cell>
          <cell r="U61">
            <v>4.1078942906148885E-2</v>
          </cell>
          <cell r="V61">
            <v>7.0855611624579318E-2</v>
          </cell>
          <cell r="W61" t="str">
            <v/>
          </cell>
          <cell r="X61">
            <v>7.0583630213449933E-4</v>
          </cell>
          <cell r="Y61">
            <v>1.4152199353631989E-3</v>
          </cell>
          <cell r="Z61">
            <v>4.8697119408149803E-3</v>
          </cell>
          <cell r="AA61">
            <v>9.8482054684705389E-3</v>
          </cell>
          <cell r="AB61" t="str">
            <v/>
          </cell>
          <cell r="AC61">
            <v>2.548451280691999E-2</v>
          </cell>
          <cell r="AD61">
            <v>4.310384446891169E-2</v>
          </cell>
          <cell r="AE61">
            <v>7.4275241872123532E-2</v>
          </cell>
        </row>
        <row r="62">
          <cell r="D62" t="str">
            <v>EUR</v>
          </cell>
          <cell r="N62" t="str">
            <v/>
          </cell>
          <cell r="O62">
            <v>1.1761201684514777E-3</v>
          </cell>
          <cell r="P62">
            <v>2.4260042269160786E-3</v>
          </cell>
          <cell r="Q62">
            <v>5.5695943130954495E-3</v>
          </cell>
          <cell r="R62">
            <v>1.2011194061628094E-2</v>
          </cell>
          <cell r="S62" t="str">
            <v/>
          </cell>
          <cell r="T62">
            <v>2.6673185979083414E-2</v>
          </cell>
          <cell r="U62">
            <v>4.4468661456919745E-2</v>
          </cell>
          <cell r="V62">
            <v>8.1374336642258016E-2</v>
          </cell>
          <cell r="W62" t="str">
            <v/>
          </cell>
          <cell r="X62">
            <v>1.293652314683702E-3</v>
          </cell>
          <cell r="Y62">
            <v>2.6273148019655412E-3</v>
          </cell>
          <cell r="Z62">
            <v>5.9372332042343379E-3</v>
          </cell>
          <cell r="AA62">
            <v>1.2599238733387086E-2</v>
          </cell>
          <cell r="AB62" t="str">
            <v/>
          </cell>
          <cell r="AC62">
            <v>2.7987243201566869E-2</v>
          </cell>
          <cell r="AD62">
            <v>4.6646287665605857E-2</v>
          </cell>
          <cell r="AE62">
            <v>8.5317762074716197E-2</v>
          </cell>
        </row>
        <row r="63">
          <cell r="D63" t="str">
            <v>EUR</v>
          </cell>
          <cell r="N63" t="str">
            <v/>
          </cell>
          <cell r="O63">
            <v>3.5298073341860636E-4</v>
          </cell>
          <cell r="P63">
            <v>1.0156915748593676E-3</v>
          </cell>
          <cell r="Q63">
            <v>3.7546895494418031E-3</v>
          </cell>
          <cell r="R63">
            <v>8.2418200402932795E-3</v>
          </cell>
          <cell r="S63" t="str">
            <v/>
          </cell>
          <cell r="T63">
            <v>2.0692560978524455E-2</v>
          </cell>
          <cell r="U63">
            <v>3.6283275248537472E-2</v>
          </cell>
          <cell r="V63">
            <v>6.0108974833144924E-2</v>
          </cell>
          <cell r="W63" t="str">
            <v/>
          </cell>
          <cell r="X63">
            <v>4.7061295331773945E-4</v>
          </cell>
          <cell r="Y63">
            <v>1.2172868200731601E-3</v>
          </cell>
          <cell r="Z63">
            <v>4.1230943948105114E-3</v>
          </cell>
          <cell r="AA63">
            <v>8.7755102330853152E-3</v>
          </cell>
          <cell r="AB63" t="str">
            <v/>
          </cell>
          <cell r="AC63">
            <v>2.1692045117180259E-2</v>
          </cell>
          <cell r="AD63">
            <v>3.8047039913793324E-2</v>
          </cell>
          <cell r="AE63">
            <v>6.3010247852536283E-2</v>
          </cell>
        </row>
        <row r="64">
          <cell r="D64" t="str">
            <v>EUR</v>
          </cell>
          <cell r="N64" t="str">
            <v/>
          </cell>
          <cell r="O64">
            <v>3.5298073341860636E-4</v>
          </cell>
          <cell r="P64">
            <v>1.0156915748593676E-3</v>
          </cell>
          <cell r="Q64">
            <v>3.7546895494418031E-3</v>
          </cell>
          <cell r="R64">
            <v>7.1108393671827086E-3</v>
          </cell>
          <cell r="S64" t="str">
            <v/>
          </cell>
          <cell r="T64">
            <v>1.8000305488940938E-2</v>
          </cell>
          <cell r="U64">
            <v>2.9900609008937651E-2</v>
          </cell>
          <cell r="V64">
            <v>5.1661148408771229E-2</v>
          </cell>
          <cell r="W64" t="str">
            <v/>
          </cell>
          <cell r="X64">
            <v>4.7061295331773945E-4</v>
          </cell>
          <cell r="Y64">
            <v>1.2172868200731601E-3</v>
          </cell>
          <cell r="Z64">
            <v>4.1230943948105114E-3</v>
          </cell>
          <cell r="AA64">
            <v>7.6448978183254468E-3</v>
          </cell>
          <cell r="AB64" t="str">
            <v/>
          </cell>
          <cell r="AC64">
            <v>1.8860487512877833E-2</v>
          </cell>
          <cell r="AD64">
            <v>3.1351759975824289E-2</v>
          </cell>
          <cell r="AE64">
            <v>5.4151657906849282E-2</v>
          </cell>
        </row>
        <row r="65">
          <cell r="D65" t="str">
            <v>EUR</v>
          </cell>
          <cell r="N65" t="str">
            <v/>
          </cell>
          <cell r="O65">
            <v>2.3533427473454438E-4</v>
          </cell>
          <cell r="P65">
            <v>1.0192455533220013E-3</v>
          </cell>
          <cell r="Q65">
            <v>4.1368320388789348E-3</v>
          </cell>
          <cell r="R65">
            <v>7.6576576755230663E-3</v>
          </cell>
          <cell r="S65" t="str">
            <v/>
          </cell>
          <cell r="T65">
            <v>1.8872250426433812E-2</v>
          </cell>
          <cell r="U65">
            <v>3.1113140078738777E-2</v>
          </cell>
          <cell r="V65">
            <v>5.3312882132831363E-2</v>
          </cell>
          <cell r="W65" t="str">
            <v/>
          </cell>
          <cell r="X65">
            <v>3.5298049865262193E-4</v>
          </cell>
          <cell r="Y65">
            <v>1.2208537424306387E-3</v>
          </cell>
          <cell r="Z65">
            <v>4.505148542573445E-3</v>
          </cell>
          <cell r="AA65">
            <v>8.1914702055539967E-3</v>
          </cell>
          <cell r="AB65" t="str">
            <v/>
          </cell>
          <cell r="AC65">
            <v>1.9778519110842052E-2</v>
          </cell>
          <cell r="AD65">
            <v>3.2622943720843733E-2</v>
          </cell>
          <cell r="AE65">
            <v>5.5886614136365864E-2</v>
          </cell>
        </row>
        <row r="66">
          <cell r="D66" t="str">
            <v>EUR</v>
          </cell>
          <cell r="N66" t="str">
            <v/>
          </cell>
          <cell r="O66">
            <v>1.011546269175656E-3</v>
          </cell>
          <cell r="P66">
            <v>2.6360227155570737E-3</v>
          </cell>
          <cell r="Q66">
            <v>7.3842534800772075E-3</v>
          </cell>
          <cell r="R66">
            <v>1.3091347912023932E-2</v>
          </cell>
          <cell r="S66" t="str">
            <v/>
          </cell>
          <cell r="T66">
            <v>2.7467992000804853E-2</v>
          </cell>
          <cell r="U66">
            <v>4.3389600809497608E-2</v>
          </cell>
          <cell r="V66">
            <v>6.9394842129471335E-2</v>
          </cell>
          <cell r="W66" t="str">
            <v/>
          </cell>
          <cell r="X66">
            <v>1.1290987232305261E-3</v>
          </cell>
          <cell r="Y66">
            <v>2.8373238780706744E-3</v>
          </cell>
          <cell r="Z66">
            <v>7.7514143176310446E-3</v>
          </cell>
          <cell r="AA66">
            <v>1.3737945995514145E-2</v>
          </cell>
          <cell r="AB66" t="str">
            <v/>
          </cell>
          <cell r="AC66">
            <v>2.8820204672314276E-2</v>
          </cell>
          <cell r="AD66">
            <v>4.5514846990678981E-2</v>
          </cell>
          <cell r="AE66">
            <v>7.2754156297768491E-2</v>
          </cell>
        </row>
        <row r="67">
          <cell r="D67" t="str">
            <v>EUR</v>
          </cell>
          <cell r="N67" t="str">
            <v/>
          </cell>
          <cell r="O67">
            <v>1.1761201684514777E-3</v>
          </cell>
          <cell r="P67">
            <v>3.6549648898838161E-3</v>
          </cell>
          <cell r="Q67">
            <v>9.2862209204216395E-3</v>
          </cell>
          <cell r="R67">
            <v>2.0175588405137224E-2</v>
          </cell>
          <cell r="S67" t="str">
            <v/>
          </cell>
          <cell r="T67">
            <v>4.8811886223631196E-2</v>
          </cell>
          <cell r="U67">
            <v>8.4662764950106606E-2</v>
          </cell>
          <cell r="V67">
            <v>0.14244869822792405</v>
          </cell>
          <cell r="W67" t="str">
            <v/>
          </cell>
          <cell r="X67">
            <v>1.293652314683702E-3</v>
          </cell>
          <cell r="Y67">
            <v>3.8561088492904405E-3</v>
          </cell>
          <cell r="Z67">
            <v>9.7481378643363703E-3</v>
          </cell>
          <cell r="AA67">
            <v>2.1174767480599321E-2</v>
          </cell>
          <cell r="AB67" t="str">
            <v/>
          </cell>
          <cell r="AC67">
            <v>5.1206820477145421E-2</v>
          </cell>
          <cell r="AD67">
            <v>8.8758817845373872E-2</v>
          </cell>
          <cell r="AE67">
            <v>0.14916482619332194</v>
          </cell>
        </row>
        <row r="68">
          <cell r="D68" t="str">
            <v>EUR</v>
          </cell>
          <cell r="N68" t="str">
            <v/>
          </cell>
          <cell r="O68">
            <v>1.9985850884319811E-3</v>
          </cell>
          <cell r="P68">
            <v>4.243815408205065E-3</v>
          </cell>
          <cell r="Q68">
            <v>1.0773655634979007E-2</v>
          </cell>
          <cell r="R68">
            <v>2.3975489858646615E-2</v>
          </cell>
          <cell r="S68" t="str">
            <v/>
          </cell>
          <cell r="T68">
            <v>5.2868392480975746E-2</v>
          </cell>
          <cell r="U68">
            <v>9.1535160493357526E-2</v>
          </cell>
          <cell r="V68">
            <v>0.15713213304724372</v>
          </cell>
          <cell r="W68" t="str">
            <v/>
          </cell>
          <cell r="X68">
            <v>2.1160133915253398E-3</v>
          </cell>
          <cell r="Y68">
            <v>4.4550195324684072E-3</v>
          </cell>
          <cell r="Z68">
            <v>1.1309783001861695E-2</v>
          </cell>
          <cell r="AA68">
            <v>2.5163474871359615E-2</v>
          </cell>
          <cell r="AB68" t="str">
            <v/>
          </cell>
          <cell r="AC68">
            <v>5.5457078766282364E-2</v>
          </cell>
          <cell r="AD68">
            <v>9.5950599888214305E-2</v>
          </cell>
          <cell r="AE68">
            <v>0.16449679358151215</v>
          </cell>
        </row>
        <row r="69">
          <cell r="D69" t="str">
            <v>EUR</v>
          </cell>
          <cell r="N69" t="str">
            <v/>
          </cell>
          <cell r="O69">
            <v>4.7061340958476361E-4</v>
          </cell>
          <cell r="P69">
            <v>1.8325206103344538E-3</v>
          </cell>
          <cell r="Q69">
            <v>5.6084819271284836E-3</v>
          </cell>
          <cell r="R69">
            <v>1.2053045200797974E-2</v>
          </cell>
          <cell r="S69" t="str">
            <v/>
          </cell>
          <cell r="T69">
            <v>3.1396275814939312E-2</v>
          </cell>
          <cell r="U69">
            <v>5.6046100490466544E-2</v>
          </cell>
          <cell r="V69">
            <v>9.8664696641655336E-2</v>
          </cell>
          <cell r="W69" t="str">
            <v/>
          </cell>
          <cell r="X69">
            <v>5.8823155392451199E-4</v>
          </cell>
          <cell r="Y69">
            <v>2.0339921687133611E-3</v>
          </cell>
          <cell r="Z69">
            <v>5.9762646726673196E-3</v>
          </cell>
          <cell r="AA69">
            <v>1.2641262658800834E-2</v>
          </cell>
          <cell r="AB69" t="str">
            <v/>
          </cell>
          <cell r="AC69">
            <v>3.2942535822128027E-2</v>
          </cell>
          <cell r="AD69">
            <v>5.8779341346733682E-2</v>
          </cell>
          <cell r="AE69">
            <v>0.10341092697828502</v>
          </cell>
        </row>
        <row r="70">
          <cell r="D70" t="str">
            <v>EUR</v>
          </cell>
          <cell r="N70" t="str">
            <v/>
          </cell>
          <cell r="O70">
            <v>1.3524194061996786E-3</v>
          </cell>
          <cell r="P70">
            <v>2.9123909407012816E-3</v>
          </cell>
          <cell r="Q70">
            <v>7.4794592183067277E-3</v>
          </cell>
          <cell r="R70">
            <v>1.2783606998079788E-2</v>
          </cell>
          <cell r="S70" t="str">
            <v/>
          </cell>
          <cell r="T70">
            <v>2.6542288286854787E-2</v>
          </cell>
          <cell r="U70">
            <v>4.2017104510385539E-2</v>
          </cell>
          <cell r="V70">
            <v>6.7743701308214166E-2</v>
          </cell>
          <cell r="W70" t="str">
            <v/>
          </cell>
          <cell r="X70">
            <v>1.469929626734201E-3</v>
          </cell>
          <cell r="Y70">
            <v>3.1136154283487594E-3</v>
          </cell>
          <cell r="Z70">
            <v>7.8484259818007995E-3</v>
          </cell>
          <cell r="AA70">
            <v>1.3416055068409816E-2</v>
          </cell>
          <cell r="AB70" t="str">
            <v/>
          </cell>
          <cell r="AC70">
            <v>2.7850727312433654E-2</v>
          </cell>
          <cell r="AD70">
            <v>4.4077096749100764E-2</v>
          </cell>
          <cell r="AE70">
            <v>7.1026915747499531E-2</v>
          </cell>
        </row>
        <row r="71">
          <cell r="D71" t="str">
            <v>EUR</v>
          </cell>
          <cell r="N71" t="str">
            <v/>
          </cell>
          <cell r="O71">
            <v>8.2342876691621214E-4</v>
          </cell>
          <cell r="P71">
            <v>2.4368126355408526E-3</v>
          </cell>
          <cell r="Q71">
            <v>8.9961545331354031E-3</v>
          </cell>
          <cell r="R71">
            <v>1.7456049033307108E-2</v>
          </cell>
          <cell r="S71" t="str">
            <v/>
          </cell>
          <cell r="T71">
            <v>4.1851333141611713E-2</v>
          </cell>
          <cell r="U71">
            <v>6.8687749954220334E-2</v>
          </cell>
          <cell r="V71">
            <v>0.12388921721830937</v>
          </cell>
          <cell r="W71" t="str">
            <v/>
          </cell>
          <cell r="X71">
            <v>9.4100424795140469E-4</v>
          </cell>
          <cell r="Y71">
            <v>2.6381623096690676E-3</v>
          </cell>
          <cell r="Z71">
            <v>9.4389879557645884E-3</v>
          </cell>
          <cell r="AA71">
            <v>1.8318493105628275E-2</v>
          </cell>
          <cell r="AB71" t="str">
            <v/>
          </cell>
          <cell r="AC71">
            <v>4.3906959499948273E-2</v>
          </cell>
          <cell r="AD71">
            <v>7.2023610295936513E-2</v>
          </cell>
          <cell r="AE71">
            <v>0.12978219397929081</v>
          </cell>
        </row>
        <row r="72">
          <cell r="D72" t="str">
            <v>EUR</v>
          </cell>
          <cell r="N72" t="str">
            <v/>
          </cell>
          <cell r="O72">
            <v>4.7061340958476361E-4</v>
          </cell>
          <cell r="P72">
            <v>1.2172867430008116E-3</v>
          </cell>
          <cell r="Q72">
            <v>4.1230943714871682E-3</v>
          </cell>
          <cell r="R72">
            <v>7.6448978760804698E-3</v>
          </cell>
          <cell r="S72" t="str">
            <v/>
          </cell>
          <cell r="T72">
            <v>2.169402549227939E-2</v>
          </cell>
          <cell r="U72">
            <v>4.0237841810820796E-2</v>
          </cell>
          <cell r="V72">
            <v>7.3468674844032189E-2</v>
          </cell>
          <cell r="W72" t="str">
            <v/>
          </cell>
          <cell r="X72">
            <v>5.8823155392451199E-4</v>
          </cell>
          <cell r="Y72">
            <v>1.4188414855879072E-3</v>
          </cell>
          <cell r="Z72">
            <v>4.4913630143923466E-3</v>
          </cell>
          <cell r="AA72">
            <v>8.1786694198114906E-3</v>
          </cell>
          <cell r="AB72" t="str">
            <v/>
          </cell>
          <cell r="AC72">
            <v>2.2739973537908464E-2</v>
          </cell>
          <cell r="AD72">
            <v>4.2194775941482576E-2</v>
          </cell>
          <cell r="AE72">
            <v>7.7008829312246174E-2</v>
          </cell>
        </row>
        <row r="73">
          <cell r="D73" t="str">
            <v>EUR</v>
          </cell>
          <cell r="N73" t="str">
            <v/>
          </cell>
          <cell r="O73">
            <v>7.0583742388907744E-4</v>
          </cell>
          <cell r="P73">
            <v>2.2354227158818407E-3</v>
          </cell>
          <cell r="Q73">
            <v>7.4874308387082866E-3</v>
          </cell>
          <cell r="R73">
            <v>1.4179726753817068E-2</v>
          </cell>
          <cell r="S73" t="str">
            <v/>
          </cell>
          <cell r="T73">
            <v>3.0175745489502304E-2</v>
          </cell>
          <cell r="U73">
            <v>5.052594761649587E-2</v>
          </cell>
          <cell r="V73">
            <v>8.5576100341500205E-2</v>
          </cell>
          <cell r="W73" t="str">
            <v/>
          </cell>
          <cell r="X73">
            <v>8.2342719960870614E-4</v>
          </cell>
          <cell r="Y73">
            <v>2.4368126847228444E-3</v>
          </cell>
          <cell r="Z73">
            <v>7.8546612157210927E-3</v>
          </cell>
          <cell r="AA73">
            <v>1.4879613044648021E-2</v>
          </cell>
          <cell r="AB73" t="str">
            <v/>
          </cell>
          <cell r="AC73">
            <v>3.1658211957758531E-2</v>
          </cell>
          <cell r="AD73">
            <v>5.2995090014304247E-2</v>
          </cell>
          <cell r="AE73">
            <v>8.9694097582031396E-2</v>
          </cell>
        </row>
        <row r="74">
          <cell r="D74" t="str">
            <v>EUR</v>
          </cell>
          <cell r="N74" t="str">
            <v/>
          </cell>
          <cell r="O74">
            <v>2.3533427473454438E-4</v>
          </cell>
          <cell r="P74">
            <v>6.0880878601543564E-4</v>
          </cell>
          <cell r="Q74">
            <v>2.2535957106949445E-3</v>
          </cell>
          <cell r="R74">
            <v>4.9497085014804654E-3</v>
          </cell>
          <cell r="S74" t="str">
            <v/>
          </cell>
          <cell r="T74">
            <v>1.169418927974053E-2</v>
          </cell>
          <cell r="U74">
            <v>2.27876409794876E-2</v>
          </cell>
          <cell r="V74">
            <v>4.5602730802482339E-2</v>
          </cell>
          <cell r="W74" t="str">
            <v/>
          </cell>
          <cell r="X74">
            <v>3.5298049865262193E-4</v>
          </cell>
          <cell r="Y74">
            <v>8.1047262140243603E-4</v>
          </cell>
          <cell r="Z74">
            <v>2.6224552520615063E-3</v>
          </cell>
          <cell r="AA74">
            <v>5.4848436196131001E-3</v>
          </cell>
          <cell r="AB74" t="str">
            <v/>
          </cell>
          <cell r="AC74">
            <v>1.2558819112284292E-2</v>
          </cell>
          <cell r="AD74">
            <v>2.3973719885177269E-2</v>
          </cell>
          <cell r="AE74">
            <v>4.7763358098112274E-2</v>
          </cell>
        </row>
        <row r="75">
          <cell r="D75" t="str">
            <v>EUR</v>
          </cell>
          <cell r="N75" t="str">
            <v/>
          </cell>
          <cell r="O75">
            <v>1.0820812444618522E-3</v>
          </cell>
          <cell r="P75">
            <v>2.8182704002565062E-3</v>
          </cell>
          <cell r="Q75">
            <v>7.7525981806861877E-3</v>
          </cell>
          <cell r="R75">
            <v>1.3511780179939592E-2</v>
          </cell>
          <cell r="S75" t="str">
            <v/>
          </cell>
          <cell r="T75">
            <v>2.6463989866959858E-2</v>
          </cell>
          <cell r="U75">
            <v>4.0894456564315007E-2</v>
          </cell>
          <cell r="V75">
            <v>6.384842901299348E-2</v>
          </cell>
          <cell r="W75" t="str">
            <v/>
          </cell>
          <cell r="X75">
            <v>1.1996250135098974E-3</v>
          </cell>
          <cell r="Y75">
            <v>3.0195382967451723E-3</v>
          </cell>
          <cell r="Z75">
            <v>8.1348610438796154E-3</v>
          </cell>
          <cell r="AA75">
            <v>1.4179734077533812E-2</v>
          </cell>
          <cell r="AB75" t="str">
            <v/>
          </cell>
          <cell r="AC75">
            <v>2.7766699840809816E-2</v>
          </cell>
          <cell r="AD75">
            <v>4.2898510654502453E-2</v>
          </cell>
          <cell r="AE75">
            <v>6.6943033579338174E-2</v>
          </cell>
        </row>
        <row r="76">
          <cell r="D76" t="str">
            <v>EUR</v>
          </cell>
          <cell r="N76" t="str">
            <v/>
          </cell>
          <cell r="O76">
            <v>2.8203763221921196E-3</v>
          </cell>
          <cell r="P76">
            <v>6.4672863553858484E-3</v>
          </cell>
          <cell r="Q76">
            <v>1.820033754496142E-2</v>
          </cell>
          <cell r="R76">
            <v>3.625356409624314E-2</v>
          </cell>
          <cell r="S76" t="str">
            <v/>
          </cell>
          <cell r="T76">
            <v>9.0306506476492188E-2</v>
          </cell>
          <cell r="U76">
            <v>0.14648354385462536</v>
          </cell>
          <cell r="V76">
            <v>0.23239109804790081</v>
          </cell>
          <cell r="W76" t="str">
            <v/>
          </cell>
          <cell r="X76">
            <v>2.9611634611057536E-3</v>
          </cell>
          <cell r="Y76">
            <v>6.7896642832134813E-3</v>
          </cell>
          <cell r="Z76">
            <v>1.9103711287292269E-2</v>
          </cell>
          <cell r="AA76">
            <v>3.8041524396111859E-2</v>
          </cell>
          <cell r="AB76" t="str">
            <v/>
          </cell>
          <cell r="AC76">
            <v>9.46731896887133E-2</v>
          </cell>
          <cell r="AD76">
            <v>0.15338082600433323</v>
          </cell>
          <cell r="AE76">
            <v>0.24285398614868314</v>
          </cell>
        </row>
        <row r="77">
          <cell r="D77" t="str">
            <v>EUR</v>
          </cell>
          <cell r="N77" t="str">
            <v/>
          </cell>
          <cell r="O77">
            <v>7.0583742388907744E-4</v>
          </cell>
          <cell r="P77">
            <v>2.2354227158818407E-3</v>
          </cell>
          <cell r="Q77">
            <v>7.868215801130507E-3</v>
          </cell>
          <cell r="R77">
            <v>1.5283868490628572E-2</v>
          </cell>
          <cell r="S77" t="str">
            <v/>
          </cell>
          <cell r="T77">
            <v>3.5639288119184154E-2</v>
          </cell>
          <cell r="U77">
            <v>5.9077659818916661E-2</v>
          </cell>
          <cell r="V77">
            <v>0.10708959610386959</v>
          </cell>
          <cell r="W77" t="str">
            <v/>
          </cell>
          <cell r="X77">
            <v>8.2342719960870614E-4</v>
          </cell>
          <cell r="Y77">
            <v>2.4368126847228444E-3</v>
          </cell>
          <cell r="Z77">
            <v>8.2543822422438407E-3</v>
          </cell>
          <cell r="AA77">
            <v>1.6038462293124667E-2</v>
          </cell>
          <cell r="AB77" t="str">
            <v/>
          </cell>
          <cell r="AC77">
            <v>3.7390740577953441E-2</v>
          </cell>
          <cell r="AD77">
            <v>6.1957780435557996E-2</v>
          </cell>
          <cell r="AE77">
            <v>0.1122159710732088</v>
          </cell>
        </row>
        <row r="78">
          <cell r="D78" t="str">
            <v>EUR</v>
          </cell>
          <cell r="N78" t="str">
            <v/>
          </cell>
          <cell r="O78">
            <v>1.1761201684514777E-3</v>
          </cell>
          <cell r="P78">
            <v>2.8358836412837318E-3</v>
          </cell>
          <cell r="Q78">
            <v>8.2081269908855781E-3</v>
          </cell>
          <cell r="R78">
            <v>1.8039317982199599E-2</v>
          </cell>
          <cell r="S78" t="str">
            <v/>
          </cell>
          <cell r="T78">
            <v>4.5464499825555116E-2</v>
          </cell>
          <cell r="U78">
            <v>7.7467459181736031E-2</v>
          </cell>
          <cell r="V78">
            <v>0.13123739226878028</v>
          </cell>
          <cell r="W78" t="str">
            <v/>
          </cell>
          <cell r="X78">
            <v>1.293652314683702E-3</v>
          </cell>
          <cell r="Y78">
            <v>3.0371386578909032E-3</v>
          </cell>
          <cell r="Z78">
            <v>8.6130666090672436E-3</v>
          </cell>
          <cell r="AA78">
            <v>1.8931354050590099E-2</v>
          </cell>
          <cell r="AB78" t="str">
            <v/>
          </cell>
          <cell r="AC78">
            <v>4.7695261667875299E-2</v>
          </cell>
          <cell r="AD78">
            <v>8.1223722923831732E-2</v>
          </cell>
          <cell r="AE78">
            <v>0.13745160742665696</v>
          </cell>
        </row>
        <row r="79">
          <cell r="D79" t="str">
            <v>EUR</v>
          </cell>
          <cell r="N79" t="str">
            <v/>
          </cell>
          <cell r="O79">
            <v>5.8823230557913941E-4</v>
          </cell>
          <cell r="P79">
            <v>1.0092775173019541E-3</v>
          </cell>
          <cell r="Q79">
            <v>3.7496532589399445E-3</v>
          </cell>
          <cell r="R79">
            <v>9.9306999908209681E-3</v>
          </cell>
          <cell r="S79" t="str">
            <v/>
          </cell>
          <cell r="T79">
            <v>2.4241958937759822E-2</v>
          </cell>
          <cell r="U79">
            <v>4.3815457748399789E-2</v>
          </cell>
          <cell r="V79">
            <v>8.0166351659363255E-2</v>
          </cell>
          <cell r="W79" t="str">
            <v/>
          </cell>
          <cell r="X79">
            <v>7.0583630213449933E-4</v>
          </cell>
          <cell r="Y79">
            <v>1.2108565538985205E-3</v>
          </cell>
          <cell r="Z79">
            <v>4.1180478663638276E-3</v>
          </cell>
          <cell r="AA79">
            <v>1.0463819986548217E-2</v>
          </cell>
          <cell r="AB79" t="str">
            <v/>
          </cell>
          <cell r="AC79">
            <v>2.5426055836184958E-2</v>
          </cell>
          <cell r="AD79">
            <v>4.5929541855125766E-2</v>
          </cell>
          <cell r="AE79">
            <v>8.4046916247105141E-2</v>
          </cell>
        </row>
        <row r="80">
          <cell r="D80" t="str">
            <v>EUR</v>
          </cell>
          <cell r="N80" t="str">
            <v/>
          </cell>
          <cell r="O80">
            <v>1.1761201684514777E-3</v>
          </cell>
          <cell r="P80">
            <v>2.0167767433040273E-3</v>
          </cell>
          <cell r="Q80">
            <v>6.7285536945660418E-3</v>
          </cell>
          <cell r="R80">
            <v>1.5909365922130103E-2</v>
          </cell>
          <cell r="S80" t="str">
            <v/>
          </cell>
          <cell r="T80">
            <v>3.837063245813821E-2</v>
          </cell>
          <cell r="U80">
            <v>6.6752839338821812E-2</v>
          </cell>
          <cell r="V80">
            <v>0.12083847921268964</v>
          </cell>
          <cell r="W80" t="str">
            <v/>
          </cell>
          <cell r="X80">
            <v>1.293652314683702E-3</v>
          </cell>
          <cell r="Y80">
            <v>2.218147906744905E-3</v>
          </cell>
          <cell r="Z80">
            <v>7.0959884309272914E-3</v>
          </cell>
          <cell r="AA80">
            <v>1.6693160281737729E-2</v>
          </cell>
          <cell r="AB80" t="str">
            <v/>
          </cell>
          <cell r="AC80">
            <v>4.0253687723516118E-2</v>
          </cell>
          <cell r="AD80">
            <v>6.9998527482515338E-2</v>
          </cell>
          <cell r="AE80">
            <v>0.12659601963241784</v>
          </cell>
        </row>
        <row r="81">
          <cell r="D81" t="str">
            <v>EUR</v>
          </cell>
          <cell r="N81" t="str">
            <v/>
          </cell>
          <cell r="O81">
            <v>4.7061340958476361E-4</v>
          </cell>
          <cell r="P81">
            <v>1.8325206103344538E-3</v>
          </cell>
          <cell r="Q81">
            <v>4.8447899781817183E-3</v>
          </cell>
          <cell r="R81">
            <v>9.8377686288169119E-3</v>
          </cell>
          <cell r="S81" t="str">
            <v/>
          </cell>
          <cell r="T81">
            <v>2.5110655994270648E-2</v>
          </cell>
          <cell r="U81">
            <v>4.3606181880270323E-2</v>
          </cell>
          <cell r="V81">
            <v>7.6116803908849007E-2</v>
          </cell>
          <cell r="W81" t="str">
            <v/>
          </cell>
          <cell r="X81">
            <v>5.8823155392451199E-4</v>
          </cell>
          <cell r="Y81">
            <v>2.0339921687133611E-3</v>
          </cell>
          <cell r="Z81">
            <v>5.2127599325659801E-3</v>
          </cell>
          <cell r="AA81">
            <v>1.0370595101421021E-2</v>
          </cell>
          <cell r="AB81" t="str">
            <v/>
          </cell>
          <cell r="AC81">
            <v>2.6342738939741484E-2</v>
          </cell>
          <cell r="AD81">
            <v>4.5733462746676001E-2</v>
          </cell>
          <cell r="AE81">
            <v>7.9798266717160504E-2</v>
          </cell>
        </row>
        <row r="82">
          <cell r="D82" t="str">
            <v>EUR</v>
          </cell>
          <cell r="N82" t="str">
            <v/>
          </cell>
          <cell r="O82">
            <v>7.0583742388907744E-4</v>
          </cell>
          <cell r="P82">
            <v>2.6451851910358481E-3</v>
          </cell>
          <cell r="Q82">
            <v>7.0736086334732828E-3</v>
          </cell>
          <cell r="R82">
            <v>1.3620720997893576E-2</v>
          </cell>
          <cell r="S82" t="str">
            <v/>
          </cell>
          <cell r="T82">
            <v>3.5811645964870853E-2</v>
          </cell>
          <cell r="U82">
            <v>6.3228171963070623E-2</v>
          </cell>
          <cell r="V82">
            <v>0.108371091223745</v>
          </cell>
          <cell r="W82" t="str">
            <v/>
          </cell>
          <cell r="X82">
            <v>8.2342719960870614E-4</v>
          </cell>
          <cell r="Y82">
            <v>2.8465196519359415E-3</v>
          </cell>
          <cell r="Z82">
            <v>7.4408601377257133E-3</v>
          </cell>
          <cell r="AA82">
            <v>1.4292139475147847E-2</v>
          </cell>
          <cell r="AB82" t="str">
            <v/>
          </cell>
          <cell r="AC82">
            <v>3.7573531854821041E-2</v>
          </cell>
          <cell r="AD82">
            <v>6.6309499155964069E-2</v>
          </cell>
          <cell r="AE82">
            <v>0.11355665095604373</v>
          </cell>
        </row>
        <row r="83">
          <cell r="D83" t="str">
            <v>EUR</v>
          </cell>
          <cell r="N83" t="str">
            <v/>
          </cell>
          <cell r="O83">
            <v>3.5298073341860636E-4</v>
          </cell>
          <cell r="P83">
            <v>1.8360018497242114E-3</v>
          </cell>
          <cell r="Q83">
            <v>5.6064173684181595E-3</v>
          </cell>
          <cell r="R83">
            <v>1.205480582923979E-2</v>
          </cell>
          <cell r="S83" t="str">
            <v/>
          </cell>
          <cell r="T83">
            <v>2.7661360228453558E-2</v>
          </cell>
          <cell r="U83">
            <v>4.9812017871672998E-2</v>
          </cell>
          <cell r="V83">
            <v>9.0238094955672588E-2</v>
          </cell>
          <cell r="W83" t="str">
            <v/>
          </cell>
          <cell r="X83">
            <v>4.7061295331773945E-4</v>
          </cell>
          <cell r="Y83">
            <v>2.0374857662349699E-3</v>
          </cell>
          <cell r="Z83">
            <v>5.97420595109599E-3</v>
          </cell>
          <cell r="AA83">
            <v>1.2642999176146974E-2</v>
          </cell>
          <cell r="AB83" t="str">
            <v/>
          </cell>
          <cell r="AC83">
            <v>2.9021812914784118E-2</v>
          </cell>
          <cell r="AD83">
            <v>5.2245360546262498E-2</v>
          </cell>
          <cell r="AE83">
            <v>9.4592936433431252E-2</v>
          </cell>
        </row>
        <row r="84">
          <cell r="D84" t="str">
            <v>EUR</v>
          </cell>
          <cell r="N84" t="str">
            <v/>
          </cell>
          <cell r="O84">
            <v>1.1761201684514777E-3</v>
          </cell>
          <cell r="P84">
            <v>2.2209797554582078E-3</v>
          </cell>
          <cell r="Q84">
            <v>7.1003186264176898E-3</v>
          </cell>
          <cell r="R84">
            <v>1.362322140890182E-2</v>
          </cell>
          <cell r="S84" t="str">
            <v/>
          </cell>
          <cell r="T84">
            <v>3.5856457877294634E-2</v>
          </cell>
          <cell r="U84">
            <v>6.1910779619233192E-2</v>
          </cell>
          <cell r="V84">
            <v>9.6857602315229552E-2</v>
          </cell>
          <cell r="W84" t="str">
            <v/>
          </cell>
          <cell r="X84">
            <v>1.293652314683702E-3</v>
          </cell>
          <cell r="Y84">
            <v>2.4223181174968245E-3</v>
          </cell>
          <cell r="Z84">
            <v>7.467622014547981E-3</v>
          </cell>
          <cell r="AA84">
            <v>1.429540143503838E-2</v>
          </cell>
          <cell r="AB84" t="str">
            <v/>
          </cell>
          <cell r="AC84">
            <v>3.7618799942238268E-2</v>
          </cell>
          <cell r="AD84">
            <v>6.4928538800085978E-2</v>
          </cell>
          <cell r="AE84">
            <v>0.10149681567323776</v>
          </cell>
        </row>
        <row r="85">
          <cell r="D85" t="str">
            <v>EUR</v>
          </cell>
          <cell r="N85" t="str">
            <v/>
          </cell>
          <cell r="O85">
            <v>2.0690507228052768E-3</v>
          </cell>
          <cell r="P85">
            <v>4.2211179019083778E-3</v>
          </cell>
          <cell r="Q85">
            <v>1.0129061683736729E-2</v>
          </cell>
          <cell r="R85">
            <v>1.6722044119525492E-2</v>
          </cell>
          <cell r="S85" t="str">
            <v/>
          </cell>
          <cell r="T85">
            <v>3.2475642137572924E-2</v>
          </cell>
          <cell r="U85">
            <v>4.9042138669325941E-2</v>
          </cell>
          <cell r="V85">
            <v>7.515315470635453E-2</v>
          </cell>
          <cell r="W85" t="str">
            <v/>
          </cell>
          <cell r="X85">
            <v>2.1864699410448774E-3</v>
          </cell>
          <cell r="Y85">
            <v>4.4312945147685356E-3</v>
          </cell>
          <cell r="Z85">
            <v>1.0633172425266291E-2</v>
          </cell>
          <cell r="AA85">
            <v>1.7551435366953139E-2</v>
          </cell>
          <cell r="AB85" t="str">
            <v/>
          </cell>
          <cell r="AC85">
            <v>3.4075798578479977E-2</v>
          </cell>
          <cell r="AD85">
            <v>5.1439185772273577E-2</v>
          </cell>
          <cell r="AE85">
            <v>7.8780619478540759E-2</v>
          </cell>
        </row>
        <row r="86">
          <cell r="D86" t="str">
            <v>EUR</v>
          </cell>
          <cell r="N86" t="str">
            <v/>
          </cell>
          <cell r="O86">
            <v>1.3641715876676619E-3</v>
          </cell>
          <cell r="P86">
            <v>3.0554457045692818E-3</v>
          </cell>
          <cell r="Q86">
            <v>7.5463703753376743E-3</v>
          </cell>
          <cell r="R86">
            <v>1.2886959970809353E-2</v>
          </cell>
          <cell r="S86" t="str">
            <v/>
          </cell>
          <cell r="T86">
            <v>2.558257584859791E-2</v>
          </cell>
          <cell r="U86">
            <v>4.0235956995704258E-2</v>
          </cell>
          <cell r="V86">
            <v>6.4107590481533139E-2</v>
          </cell>
          <cell r="W86" t="str">
            <v/>
          </cell>
          <cell r="X86">
            <v>1.4816803402574186E-3</v>
          </cell>
          <cell r="Y86">
            <v>3.2566497717982923E-3</v>
          </cell>
          <cell r="Z86">
            <v>7.9190987001090951E-3</v>
          </cell>
          <cell r="AA86">
            <v>1.3524669705709647E-2</v>
          </cell>
          <cell r="AB86" t="str">
            <v/>
          </cell>
          <cell r="AC86">
            <v>2.684321845298665E-2</v>
          </cell>
          <cell r="AD86">
            <v>4.2209565328419019E-2</v>
          </cell>
          <cell r="AE86">
            <v>6.7217587342212282E-2</v>
          </cell>
        </row>
        <row r="87">
          <cell r="D87" t="str">
            <v>EUR</v>
          </cell>
          <cell r="N87" t="str">
            <v/>
          </cell>
          <cell r="O87">
            <v>8.2342876691621214E-4</v>
          </cell>
          <cell r="P87">
            <v>2.0268797729209309E-3</v>
          </cell>
          <cell r="Q87">
            <v>5.97705299138096E-3</v>
          </cell>
          <cell r="R87">
            <v>1.1452960400101131E-2</v>
          </cell>
          <cell r="S87" t="str">
            <v/>
          </cell>
          <cell r="T87">
            <v>2.9593365949801997E-2</v>
          </cell>
          <cell r="U87">
            <v>4.956213666167919E-2</v>
          </cell>
          <cell r="V87">
            <v>8.4361803361274967E-2</v>
          </cell>
          <cell r="W87" t="str">
            <v/>
          </cell>
          <cell r="X87">
            <v>9.4100424795140469E-4</v>
          </cell>
          <cell r="Y87">
            <v>2.2282848186230275E-3</v>
          </cell>
          <cell r="Z87">
            <v>6.3446888383446032E-3</v>
          </cell>
          <cell r="AA87">
            <v>1.2013170037099008E-2</v>
          </cell>
          <cell r="AB87" t="str">
            <v/>
          </cell>
          <cell r="AC87">
            <v>3.1048718441633705E-2</v>
          </cell>
          <cell r="AD87">
            <v>5.1983642152434895E-2</v>
          </cell>
          <cell r="AE87">
            <v>8.8434557942412173E-2</v>
          </cell>
        </row>
        <row r="88">
          <cell r="D88" t="str">
            <v>EUR</v>
          </cell>
          <cell r="N88" t="str">
            <v/>
          </cell>
          <cell r="O88">
            <v>1.9985850884319811E-3</v>
          </cell>
          <cell r="P88">
            <v>3.6294939646501767E-3</v>
          </cell>
          <cell r="Q88">
            <v>1.0047294904644732E-2</v>
          </cell>
          <cell r="R88">
            <v>2.123703174553393E-2</v>
          </cell>
          <cell r="S88" t="str">
            <v/>
          </cell>
          <cell r="T88">
            <v>5.3301964251863398E-2</v>
          </cell>
          <cell r="U88">
            <v>8.7833501762284882E-2</v>
          </cell>
          <cell r="V88">
            <v>0.14905922407659877</v>
          </cell>
          <cell r="W88" t="str">
            <v/>
          </cell>
          <cell r="X88">
            <v>2.1160133915253398E-3</v>
          </cell>
          <cell r="Y88">
            <v>3.8305481639375749E-3</v>
          </cell>
          <cell r="Z88">
            <v>1.0546023633094759E-2</v>
          </cell>
          <cell r="AA88">
            <v>2.2301040121397331E-2</v>
          </cell>
          <cell r="AB88" t="str">
            <v/>
          </cell>
          <cell r="AC88">
            <v>5.5910845235296214E-2</v>
          </cell>
          <cell r="AD88">
            <v>9.2073244227543372E-2</v>
          </cell>
          <cell r="AE88">
            <v>0.15606375752188861</v>
          </cell>
        </row>
        <row r="89">
          <cell r="D89" t="str">
            <v>EUR</v>
          </cell>
          <cell r="N89" t="str">
            <v/>
          </cell>
          <cell r="O89">
            <v>4.7061340958476361E-4</v>
          </cell>
          <cell r="P89">
            <v>1.4224212190881991E-3</v>
          </cell>
          <cell r="Q89">
            <v>5.6349865097781171E-3</v>
          </cell>
          <cell r="R89">
            <v>1.2069312303711666E-2</v>
          </cell>
          <cell r="S89" t="str">
            <v/>
          </cell>
          <cell r="T89">
            <v>3.0510857920124645E-2</v>
          </cell>
          <cell r="U89">
            <v>5.2141550840897777E-2</v>
          </cell>
          <cell r="V89">
            <v>9.7651174000317198E-2</v>
          </cell>
          <cell r="W89" t="str">
            <v/>
          </cell>
          <cell r="X89">
            <v>5.8823155392451199E-4</v>
          </cell>
          <cell r="Y89">
            <v>1.6239482287041529E-3</v>
          </cell>
          <cell r="Z89">
            <v>6.0028436650338968E-3</v>
          </cell>
          <cell r="AA89">
            <v>1.2657742114997039E-2</v>
          </cell>
          <cell r="AB89" t="str">
            <v/>
          </cell>
          <cell r="AC89">
            <v>3.2009743716882366E-2</v>
          </cell>
          <cell r="AD89">
            <v>5.4683302602570594E-2</v>
          </cell>
          <cell r="AE89">
            <v>0.10235302726200746</v>
          </cell>
        </row>
        <row r="90">
          <cell r="D90" t="str">
            <v>EUR</v>
          </cell>
          <cell r="N90" t="str">
            <v/>
          </cell>
          <cell r="O90">
            <v>1.2936564344949719E-3</v>
          </cell>
          <cell r="P90">
            <v>2.2181549650379662E-3</v>
          </cell>
          <cell r="Q90">
            <v>5.9579779752720885E-3</v>
          </cell>
          <cell r="R90">
            <v>1.2561450087907322E-2</v>
          </cell>
          <cell r="S90" t="str">
            <v/>
          </cell>
          <cell r="T90">
            <v>3.318045080738552E-2</v>
          </cell>
          <cell r="U90">
            <v>5.3009593169728975E-2</v>
          </cell>
          <cell r="V90">
            <v>9.5164718684715432E-2</v>
          </cell>
          <cell r="W90" t="str">
            <v/>
          </cell>
          <cell r="X90">
            <v>1.4111739830211523E-3</v>
          </cell>
          <cell r="Y90">
            <v>2.4194841805483813E-3</v>
          </cell>
          <cell r="Z90">
            <v>6.325556754443018E-3</v>
          </cell>
          <cell r="AA90">
            <v>1.3177583749595878E-2</v>
          </cell>
          <cell r="AB90" t="str">
            <v/>
          </cell>
          <cell r="AC90">
            <v>3.4813306584796311E-2</v>
          </cell>
          <cell r="AD90">
            <v>5.5595829026690025E-2</v>
          </cell>
          <cell r="AE90">
            <v>9.9745852995137607E-2</v>
          </cell>
        </row>
        <row r="91">
          <cell r="D91" t="str">
            <v>EUR</v>
          </cell>
          <cell r="N91" t="str">
            <v/>
          </cell>
          <cell r="O91">
            <v>7.0583742388907744E-4</v>
          </cell>
          <cell r="P91">
            <v>1.4152198693172524E-3</v>
          </cell>
          <cell r="Q91">
            <v>4.4894063326089695E-3</v>
          </cell>
          <cell r="R91">
            <v>9.3057444619324414E-3</v>
          </cell>
          <cell r="S91" t="str">
            <v/>
          </cell>
          <cell r="T91">
            <v>2.4288505993311449E-2</v>
          </cell>
          <cell r="U91">
            <v>4.3791047641592362E-2</v>
          </cell>
          <cell r="V91">
            <v>8.2273002004070839E-2</v>
          </cell>
          <cell r="W91" t="str">
            <v/>
          </cell>
          <cell r="X91">
            <v>8.2342719960870614E-4</v>
          </cell>
          <cell r="Y91">
            <v>1.6167209125957926E-3</v>
          </cell>
          <cell r="Z91">
            <v>4.8575339699230557E-3</v>
          </cell>
          <cell r="AA91">
            <v>9.8388519972031352E-3</v>
          </cell>
          <cell r="AB91" t="str">
            <v/>
          </cell>
          <cell r="AC91">
            <v>2.547227160060439E-2</v>
          </cell>
          <cell r="AD91">
            <v>4.5925656666833237E-2</v>
          </cell>
          <cell r="AE91">
            <v>8.6244612762986117E-2</v>
          </cell>
        </row>
        <row r="92">
          <cell r="D92" t="str">
            <v>EUR</v>
          </cell>
          <cell r="N92" t="str">
            <v/>
          </cell>
          <cell r="O92">
            <v>1.0585701367545886E-3</v>
          </cell>
          <cell r="P92">
            <v>4.8851952355756234E-3</v>
          </cell>
          <cell r="Q92">
            <v>1.3027989424154063E-2</v>
          </cell>
          <cell r="R92">
            <v>2.4392505965141198E-2</v>
          </cell>
          <cell r="S92" t="str">
            <v/>
          </cell>
          <cell r="T92">
            <v>6.0134079819668007E-2</v>
          </cell>
          <cell r="U92">
            <v>9.9514044731724982E-2</v>
          </cell>
          <cell r="V92">
            <v>0.168183216535016</v>
          </cell>
          <cell r="W92" t="str">
            <v/>
          </cell>
          <cell r="X92">
            <v>1.1761168038567638E-3</v>
          </cell>
          <cell r="Y92">
            <v>5.1270379504751995E-3</v>
          </cell>
          <cell r="Z92">
            <v>1.3675068430423098E-2</v>
          </cell>
          <cell r="AA92">
            <v>2.5599884133007733E-2</v>
          </cell>
          <cell r="AB92" t="str">
            <v/>
          </cell>
          <cell r="AC92">
            <v>6.3077214383202795E-2</v>
          </cell>
          <cell r="AD92">
            <v>0.10429384325743696</v>
          </cell>
          <cell r="AE92">
            <v>0.17602481628221045</v>
          </cell>
        </row>
        <row r="93">
          <cell r="D93" t="str">
            <v>EUR</v>
          </cell>
          <cell r="N93" t="str">
            <v/>
          </cell>
          <cell r="O93">
            <v>8.2342876691621214E-4</v>
          </cell>
          <cell r="P93">
            <v>2.0268797729209309E-3</v>
          </cell>
          <cell r="Q93">
            <v>7.4984733809777548E-3</v>
          </cell>
          <cell r="R93">
            <v>1.7000270700021858E-2</v>
          </cell>
          <cell r="S93" t="str">
            <v/>
          </cell>
          <cell r="T93">
            <v>4.2879846988283954E-2</v>
          </cell>
          <cell r="U93">
            <v>7.268951072684704E-2</v>
          </cell>
          <cell r="V93">
            <v>0.12690029283017068</v>
          </cell>
          <cell r="W93" t="str">
            <v/>
          </cell>
          <cell r="X93">
            <v>9.4100424795140469E-4</v>
          </cell>
          <cell r="Y93">
            <v>2.2282848186230275E-3</v>
          </cell>
          <cell r="Z93">
            <v>7.8657359293518025E-3</v>
          </cell>
          <cell r="AA93">
            <v>1.783969476687508E-2</v>
          </cell>
          <cell r="AB93" t="str">
            <v/>
          </cell>
          <cell r="AC93">
            <v>4.4976979302184916E-2</v>
          </cell>
          <cell r="AD93">
            <v>7.6219677460711233E-2</v>
          </cell>
          <cell r="AE93">
            <v>0.13292563745209041</v>
          </cell>
        </row>
        <row r="94">
          <cell r="D94" t="str">
            <v>EUR</v>
          </cell>
          <cell r="N94" t="str">
            <v/>
          </cell>
          <cell r="O94">
            <v>5.8823230557913941E-4</v>
          </cell>
          <cell r="P94">
            <v>1.2136782726757112E-3</v>
          </cell>
          <cell r="Q94">
            <v>5.2617609228132745E-3</v>
          </cell>
          <cell r="R94">
            <v>1.0397843760764136E-2</v>
          </cell>
          <cell r="S94" t="str">
            <v/>
          </cell>
          <cell r="T94">
            <v>2.6993550401426036E-2</v>
          </cell>
          <cell r="U94">
            <v>4.7386589094374543E-2</v>
          </cell>
          <cell r="V94">
            <v>8.9245353410433492E-2</v>
          </cell>
          <cell r="W94" t="str">
            <v/>
          </cell>
          <cell r="X94">
            <v>7.0583630213449933E-4</v>
          </cell>
          <cell r="Y94">
            <v>1.4152199353631989E-3</v>
          </cell>
          <cell r="Z94">
            <v>5.62974456943377E-3</v>
          </cell>
          <cell r="AA94">
            <v>1.0930476221019725E-2</v>
          </cell>
          <cell r="AB94" t="str">
            <v/>
          </cell>
          <cell r="AC94">
            <v>2.8316261862172731E-2</v>
          </cell>
          <cell r="AD94">
            <v>4.9699393145533621E-2</v>
          </cell>
          <cell r="AE94">
            <v>9.3551381458354288E-2</v>
          </cell>
        </row>
        <row r="95">
          <cell r="D95" t="str">
            <v>EUR</v>
          </cell>
          <cell r="N95" t="str">
            <v/>
          </cell>
          <cell r="O95">
            <v>1.0585701367545886E-3</v>
          </cell>
          <cell r="P95">
            <v>1.8153579930627606E-3</v>
          </cell>
          <cell r="Q95">
            <v>6.7401227082872772E-3</v>
          </cell>
          <cell r="R95">
            <v>1.2528807306661505E-2</v>
          </cell>
          <cell r="S95" t="str">
            <v/>
          </cell>
          <cell r="T95">
            <v>3.3232200468662487E-2</v>
          </cell>
          <cell r="U95">
            <v>5.3000134000670052E-2</v>
          </cell>
          <cell r="V95">
            <v>9.3286820490321887E-2</v>
          </cell>
          <cell r="W95" t="str">
            <v/>
          </cell>
          <cell r="X95">
            <v>1.1761168038567638E-3</v>
          </cell>
          <cell r="Y95">
            <v>2.016770978406135E-3</v>
          </cell>
          <cell r="Z95">
            <v>7.1076003742251981E-3</v>
          </cell>
          <cell r="AA95">
            <v>1.3145230968133137E-2</v>
          </cell>
          <cell r="AB95" t="str">
            <v/>
          </cell>
          <cell r="AC95">
            <v>3.4865172733012151E-2</v>
          </cell>
          <cell r="AD95">
            <v>5.558633102691346E-2</v>
          </cell>
          <cell r="AE95">
            <v>9.7773276186208347E-2</v>
          </cell>
        </row>
        <row r="96">
          <cell r="D96" t="str">
            <v>EUR</v>
          </cell>
          <cell r="N96" t="str">
            <v/>
          </cell>
          <cell r="O96">
            <v>8.2342876691621214E-4</v>
          </cell>
          <cell r="P96">
            <v>3.4606568338814148E-3</v>
          </cell>
          <cell r="Q96">
            <v>1.0078644592176E-2</v>
          </cell>
          <cell r="R96">
            <v>1.9037352896351001E-2</v>
          </cell>
          <cell r="S96" t="str">
            <v/>
          </cell>
          <cell r="T96">
            <v>4.247791035973647E-2</v>
          </cell>
          <cell r="U96">
            <v>6.9673509902647424E-2</v>
          </cell>
          <cell r="V96">
            <v>0.11727397906890991</v>
          </cell>
          <cell r="W96" t="str">
            <v/>
          </cell>
          <cell r="X96">
            <v>9.4100424795140469E-4</v>
          </cell>
          <cell r="Y96">
            <v>3.6618681667324182E-3</v>
          </cell>
          <cell r="Z96">
            <v>1.0577815251505251E-2</v>
          </cell>
          <cell r="AA96">
            <v>1.9979402211943276E-2</v>
          </cell>
          <cell r="AB96" t="str">
            <v/>
          </cell>
          <cell r="AC96">
            <v>4.4564739726809299E-2</v>
          </cell>
          <cell r="AD96">
            <v>7.3056522789913703E-2</v>
          </cell>
          <cell r="AE96">
            <v>0.12285540702287101</v>
          </cell>
        </row>
        <row r="97">
          <cell r="D97" t="str">
            <v>EUR</v>
          </cell>
          <cell r="N97" t="str">
            <v/>
          </cell>
          <cell r="O97">
            <v>3.5298073341860636E-4</v>
          </cell>
          <cell r="P97">
            <v>1.0156915748593676E-3</v>
          </cell>
          <cell r="Q97">
            <v>3.373597070148171E-3</v>
          </cell>
          <cell r="R97">
            <v>7.132502399384677E-3</v>
          </cell>
          <cell r="S97" t="str">
            <v/>
          </cell>
          <cell r="T97">
            <v>1.8945925804614627E-2</v>
          </cell>
          <cell r="U97">
            <v>3.3892675729570776E-2</v>
          </cell>
          <cell r="V97">
            <v>6.0889340903988898E-2</v>
          </cell>
          <cell r="W97" t="str">
            <v/>
          </cell>
          <cell r="X97">
            <v>4.7061295331773945E-4</v>
          </cell>
          <cell r="Y97">
            <v>1.2172868200731601E-3</v>
          </cell>
          <cell r="Z97">
            <v>3.7420954075987334E-3</v>
          </cell>
          <cell r="AA97">
            <v>7.6666318262728073E-3</v>
          </cell>
          <cell r="AB97" t="str">
            <v/>
          </cell>
          <cell r="AC97">
            <v>1.9852644152935417E-2</v>
          </cell>
          <cell r="AD97">
            <v>3.5537007756944461E-2</v>
          </cell>
          <cell r="AE97">
            <v>6.3827684797867157E-2</v>
          </cell>
        </row>
        <row r="98">
          <cell r="D98" t="str">
            <v>EUR</v>
          </cell>
          <cell r="N98" t="str">
            <v/>
          </cell>
          <cell r="O98">
            <v>1.9398599456070809E-3</v>
          </cell>
          <cell r="P98">
            <v>5.1252391843702449E-3</v>
          </cell>
          <cell r="Q98">
            <v>1.1976426184707401E-2</v>
          </cell>
          <cell r="R98">
            <v>1.9051182530354982E-2</v>
          </cell>
          <cell r="S98" t="str">
            <v/>
          </cell>
          <cell r="T98">
            <v>3.6759319660346845E-2</v>
          </cell>
          <cell r="U98">
            <v>5.5509451609813354E-2</v>
          </cell>
          <cell r="V98">
            <v>8.4988354920911946E-2</v>
          </cell>
          <cell r="W98" t="str">
            <v/>
          </cell>
          <cell r="X98">
            <v>2.0572957967218697E-3</v>
          </cell>
          <cell r="Y98">
            <v>5.3802615121524289E-3</v>
          </cell>
          <cell r="Z98">
            <v>1.2571813740434146E-2</v>
          </cell>
          <cell r="AA98">
            <v>1.9995057265573823E-2</v>
          </cell>
          <cell r="AB98" t="str">
            <v/>
          </cell>
          <cell r="AC98">
            <v>3.8567227778797508E-2</v>
          </cell>
          <cell r="AD98">
            <v>5.8213833079576949E-2</v>
          </cell>
          <cell r="AE98">
            <v>8.9070639899303194E-2</v>
          </cell>
        </row>
        <row r="99">
          <cell r="D99" t="str">
            <v>EUR</v>
          </cell>
          <cell r="N99" t="str">
            <v/>
          </cell>
          <cell r="O99">
            <v>4.7061340958476361E-4</v>
          </cell>
          <cell r="P99">
            <v>1.4224212190881991E-3</v>
          </cell>
          <cell r="Q99">
            <v>4.4922095327908362E-3</v>
          </cell>
          <cell r="R99">
            <v>7.6168264407817654E-3</v>
          </cell>
          <cell r="S99" t="str">
            <v/>
          </cell>
          <cell r="T99">
            <v>1.8858402310388045E-2</v>
          </cell>
          <cell r="U99">
            <v>3.1071190418961336E-2</v>
          </cell>
          <cell r="V99">
            <v>5.329383332293125E-2</v>
          </cell>
          <cell r="W99" t="str">
            <v/>
          </cell>
          <cell r="X99">
            <v>5.8823155392451199E-4</v>
          </cell>
          <cell r="Y99">
            <v>1.6239482287041529E-3</v>
          </cell>
          <cell r="Z99">
            <v>4.8603470128968373E-3</v>
          </cell>
          <cell r="AA99">
            <v>8.1505038788247663E-3</v>
          </cell>
          <cell r="AB99" t="str">
            <v/>
          </cell>
          <cell r="AC99">
            <v>1.9764841150333501E-2</v>
          </cell>
          <cell r="AD99">
            <v>3.2580823881962373E-2</v>
          </cell>
          <cell r="AE99">
            <v>5.5867490680912346E-2</v>
          </cell>
        </row>
        <row r="100">
          <cell r="D100" t="str">
            <v>EUR</v>
          </cell>
          <cell r="N100" t="str">
            <v/>
          </cell>
          <cell r="O100">
            <v>7.0583742388907744E-4</v>
          </cell>
          <cell r="P100">
            <v>3.0547219040794049E-3</v>
          </cell>
          <cell r="Q100">
            <v>8.584178125501607E-3</v>
          </cell>
          <cell r="R100">
            <v>1.8573458922412134E-2</v>
          </cell>
          <cell r="S100" t="str">
            <v/>
          </cell>
          <cell r="T100">
            <v>4.7230775134812997E-2</v>
          </cell>
          <cell r="U100">
            <v>8.1138801510036607E-2</v>
          </cell>
          <cell r="V100">
            <v>0.14184205690704177</v>
          </cell>
          <cell r="W100" t="str">
            <v/>
          </cell>
          <cell r="X100">
            <v>8.2342719960870614E-4</v>
          </cell>
          <cell r="Y100">
            <v>3.2560008761441939E-3</v>
          </cell>
          <cell r="Z100">
            <v>9.0079443166394269E-3</v>
          </cell>
          <cell r="AA100">
            <v>1.9491676272471059E-2</v>
          </cell>
          <cell r="AB100" t="str">
            <v/>
          </cell>
          <cell r="AC100">
            <v>4.9548187637270313E-2</v>
          </cell>
          <cell r="AD100">
            <v>8.5068366038181908E-2</v>
          </cell>
          <cell r="AE100">
            <v>0.14854174099407547</v>
          </cell>
        </row>
        <row r="101">
          <cell r="D101" t="str">
            <v>EUR</v>
          </cell>
          <cell r="N101" t="str">
            <v/>
          </cell>
          <cell r="O101">
            <v>4.7061340958476361E-4</v>
          </cell>
          <cell r="P101">
            <v>1.0120957209085457E-3</v>
          </cell>
          <cell r="Q101">
            <v>3.3720572714528441E-3</v>
          </cell>
          <cell r="R101">
            <v>6.5638006302503049E-3</v>
          </cell>
          <cell r="S101" t="str">
            <v/>
          </cell>
          <cell r="T101">
            <v>1.8065292848925885E-2</v>
          </cell>
          <cell r="U101">
            <v>3.1329992159820463E-2</v>
          </cell>
          <cell r="V101">
            <v>5.9559803579402493E-2</v>
          </cell>
          <cell r="W101" t="str">
            <v/>
          </cell>
          <cell r="X101">
            <v>5.8823155392451199E-4</v>
          </cell>
          <cell r="Y101">
            <v>1.2136782015391701E-3</v>
          </cell>
          <cell r="Z101">
            <v>3.7405505500123226E-3</v>
          </cell>
          <cell r="AA101">
            <v>7.098105425095369E-3</v>
          </cell>
          <cell r="AB101" t="str">
            <v/>
          </cell>
          <cell r="AC101">
            <v>1.8925669939722112E-2</v>
          </cell>
          <cell r="AD101">
            <v>3.282561553722696E-2</v>
          </cell>
          <cell r="AE101">
            <v>6.2434578138544472E-2</v>
          </cell>
        </row>
        <row r="102">
          <cell r="D102" t="str">
            <v>EUR</v>
          </cell>
          <cell r="N102" t="str">
            <v/>
          </cell>
          <cell r="O102">
            <v>5.8823230557913941E-4</v>
          </cell>
          <cell r="P102">
            <v>1.0092775173019541E-3</v>
          </cell>
          <cell r="Q102">
            <v>3.3693718486148549E-3</v>
          </cell>
          <cell r="R102">
            <v>7.1261788833826278E-3</v>
          </cell>
          <cell r="S102" t="str">
            <v/>
          </cell>
          <cell r="T102">
            <v>1.8005211470009108E-2</v>
          </cell>
          <cell r="U102">
            <v>3.1289000191555782E-2</v>
          </cell>
          <cell r="V102">
            <v>4.9320831911941032E-2</v>
          </cell>
          <cell r="W102" t="str">
            <v/>
          </cell>
          <cell r="X102">
            <v>7.0583630213449933E-4</v>
          </cell>
          <cell r="Y102">
            <v>1.2108565538985205E-3</v>
          </cell>
          <cell r="Z102">
            <v>3.7378598219922621E-3</v>
          </cell>
          <cell r="AA102">
            <v>7.6602906247977831E-3</v>
          </cell>
          <cell r="AB102" t="str">
            <v/>
          </cell>
          <cell r="AC102">
            <v>1.88653764929817E-2</v>
          </cell>
          <cell r="AD102">
            <v>3.2806158826913401E-2</v>
          </cell>
          <cell r="AE102">
            <v>5.169322574693902E-2</v>
          </cell>
        </row>
        <row r="103">
          <cell r="D103" t="str">
            <v>EUR</v>
          </cell>
          <cell r="N103" t="str">
            <v/>
          </cell>
          <cell r="O103">
            <v>3.5298073341860636E-4</v>
          </cell>
          <cell r="P103">
            <v>2.2458180625392066E-3</v>
          </cell>
          <cell r="Q103">
            <v>5.592581996368029E-3</v>
          </cell>
          <cell r="R103">
            <v>1.0905510826810683E-2</v>
          </cell>
          <cell r="S103" t="str">
            <v/>
          </cell>
          <cell r="T103">
            <v>2.5893506291545187E-2</v>
          </cell>
          <cell r="U103">
            <v>4.4708803939628838E-2</v>
          </cell>
          <cell r="V103">
            <v>7.9601058296869365E-2</v>
          </cell>
          <cell r="W103" t="str">
            <v/>
          </cell>
          <cell r="X103">
            <v>4.7061295331773945E-4</v>
          </cell>
          <cell r="Y103">
            <v>2.447246344793208E-3</v>
          </cell>
          <cell r="Z103">
            <v>5.9602926243533805E-3</v>
          </cell>
          <cell r="AA103">
            <v>1.1437790769815992E-2</v>
          </cell>
          <cell r="AB103" t="str">
            <v/>
          </cell>
          <cell r="AC103">
            <v>2.7169253601022847E-2</v>
          </cell>
          <cell r="AD103">
            <v>4.6896871888982061E-2</v>
          </cell>
          <cell r="AE103">
            <v>8.346059978808118E-2</v>
          </cell>
        </row>
        <row r="104">
          <cell r="D104" t="str">
            <v>EUR</v>
          </cell>
          <cell r="N104" t="str">
            <v/>
          </cell>
          <cell r="O104">
            <v>3.5298073341860636E-4</v>
          </cell>
          <cell r="P104">
            <v>1.0156915748593676E-3</v>
          </cell>
          <cell r="Q104">
            <v>3.373597070148171E-3</v>
          </cell>
          <cell r="R104">
            <v>7.132502399384677E-3</v>
          </cell>
          <cell r="S104" t="str">
            <v/>
          </cell>
          <cell r="T104">
            <v>1.8945925804614627E-2</v>
          </cell>
          <cell r="U104">
            <v>3.3892675729570776E-2</v>
          </cell>
          <cell r="V104">
            <v>6.0889340903988898E-2</v>
          </cell>
          <cell r="W104" t="str">
            <v/>
          </cell>
          <cell r="X104">
            <v>4.7061295331773945E-4</v>
          </cell>
          <cell r="Y104">
            <v>1.2172868200731601E-3</v>
          </cell>
          <cell r="Z104">
            <v>3.7420954075987334E-3</v>
          </cell>
          <cell r="AA104">
            <v>7.6666318262728073E-3</v>
          </cell>
          <cell r="AB104" t="str">
            <v/>
          </cell>
          <cell r="AC104">
            <v>1.9852644152935417E-2</v>
          </cell>
          <cell r="AD104">
            <v>3.5537007756944461E-2</v>
          </cell>
          <cell r="AE104">
            <v>6.3827684797867157E-2</v>
          </cell>
        </row>
        <row r="105">
          <cell r="D105" t="str">
            <v>EUR</v>
          </cell>
          <cell r="N105" t="str">
            <v/>
          </cell>
          <cell r="O105">
            <v>1.0585701367545886E-3</v>
          </cell>
          <cell r="P105">
            <v>1.8153579930627606E-3</v>
          </cell>
          <cell r="Q105">
            <v>6.7401227082872772E-3</v>
          </cell>
          <cell r="R105">
            <v>1.4225903945556784E-2</v>
          </cell>
          <cell r="S105" t="str">
            <v/>
          </cell>
          <cell r="T105">
            <v>3.8615309005143539E-2</v>
          </cell>
          <cell r="U105">
            <v>6.6889563470720614E-2</v>
          </cell>
          <cell r="V105">
            <v>0.11136683099144618</v>
          </cell>
          <cell r="W105" t="str">
            <v/>
          </cell>
          <cell r="X105">
            <v>1.1761168038567638E-3</v>
          </cell>
          <cell r="Y105">
            <v>2.016770978406135E-3</v>
          </cell>
          <cell r="Z105">
            <v>7.1076003742251981E-3</v>
          </cell>
          <cell r="AA105">
            <v>1.4926322619330135E-2</v>
          </cell>
          <cell r="AB105" t="str">
            <v/>
          </cell>
          <cell r="AC105">
            <v>4.0511133070740724E-2</v>
          </cell>
          <cell r="AD105">
            <v>7.0143508468543003E-2</v>
          </cell>
          <cell r="AE105">
            <v>0.11667971314697645</v>
          </cell>
        </row>
        <row r="106">
          <cell r="D106" t="str">
            <v>EUR</v>
          </cell>
          <cell r="N106" t="str">
            <v/>
          </cell>
          <cell r="O106">
            <v>3.5298073341860636E-4</v>
          </cell>
          <cell r="P106">
            <v>1.0156915748593676E-3</v>
          </cell>
          <cell r="Q106">
            <v>4.5162941892838981E-3</v>
          </cell>
          <cell r="R106">
            <v>8.7619064501087696E-3</v>
          </cell>
          <cell r="S106" t="str">
            <v/>
          </cell>
          <cell r="T106">
            <v>2.3456858573985939E-2</v>
          </cell>
          <cell r="U106">
            <v>4.2626801601451048E-2</v>
          </cell>
          <cell r="V106">
            <v>7.8733190609869941E-2</v>
          </cell>
          <cell r="W106" t="str">
            <v/>
          </cell>
          <cell r="X106">
            <v>4.7061295331773945E-4</v>
          </cell>
          <cell r="Y106">
            <v>1.2172868200731601E-3</v>
          </cell>
          <cell r="Z106">
            <v>4.8845121411535963E-3</v>
          </cell>
          <cell r="AA106">
            <v>9.2952713529557141E-3</v>
          </cell>
          <cell r="AB106" t="str">
            <v/>
          </cell>
          <cell r="AC106">
            <v>2.4595201697532043E-2</v>
          </cell>
          <cell r="AD106">
            <v>4.4702830396828763E-2</v>
          </cell>
          <cell r="AE106">
            <v>8.2530346042216651E-2</v>
          </cell>
        </row>
        <row r="107">
          <cell r="D107" t="str">
            <v>EUR</v>
          </cell>
          <cell r="N107" t="str">
            <v/>
          </cell>
          <cell r="O107">
            <v>8.2342876691621214E-4</v>
          </cell>
          <cell r="P107">
            <v>2.2318744509897126E-3</v>
          </cell>
          <cell r="Q107">
            <v>7.4871506912410624E-3</v>
          </cell>
          <cell r="R107">
            <v>1.5866667630694997E-2</v>
          </cell>
          <cell r="S107" t="str">
            <v/>
          </cell>
          <cell r="T107">
            <v>4.3951601095804205E-2</v>
          </cell>
          <cell r="U107">
            <v>7.3961842840870373E-2</v>
          </cell>
          <cell r="V107">
            <v>0.12484421789835021</v>
          </cell>
          <cell r="W107" t="str">
            <v/>
          </cell>
          <cell r="X107">
            <v>9.4100424795140469E-4</v>
          </cell>
          <cell r="Y107">
            <v>2.4332518078210574E-3</v>
          </cell>
          <cell r="Z107">
            <v>7.8543757142207626E-3</v>
          </cell>
          <cell r="AA107">
            <v>1.6650145409727091E-2</v>
          </cell>
          <cell r="AB107" t="str">
            <v/>
          </cell>
          <cell r="AC107">
            <v>4.6109588257717271E-2</v>
          </cell>
          <cell r="AD107">
            <v>7.7551596029075909E-2</v>
          </cell>
          <cell r="AE107">
            <v>0.13076994963843402</v>
          </cell>
        </row>
        <row r="108">
          <cell r="D108" t="str">
            <v>EUR</v>
          </cell>
          <cell r="N108" t="str">
            <v/>
          </cell>
          <cell r="O108">
            <v>4.7061340958476361E-4</v>
          </cell>
          <cell r="P108">
            <v>1.8325206103344538E-3</v>
          </cell>
          <cell r="Q108">
            <v>5.2267332050037751E-3</v>
          </cell>
          <cell r="R108">
            <v>9.2550798794751588E-3</v>
          </cell>
          <cell r="S108" t="str">
            <v/>
          </cell>
          <cell r="T108">
            <v>2.2381632505259486E-2</v>
          </cell>
          <cell r="U108">
            <v>3.5864247207541777E-2</v>
          </cell>
          <cell r="V108">
            <v>5.9898378843788458E-2</v>
          </cell>
          <cell r="W108" t="str">
            <v/>
          </cell>
          <cell r="X108">
            <v>5.8823155392451199E-4</v>
          </cell>
          <cell r="Y108">
            <v>2.0339921687133611E-3</v>
          </cell>
          <cell r="Z108">
            <v>5.594609537902473E-3</v>
          </cell>
          <cell r="AA108">
            <v>9.7880184419169014E-3</v>
          </cell>
          <cell r="AB108" t="str">
            <v/>
          </cell>
          <cell r="AC108">
            <v>2.3472566029238973E-2</v>
          </cell>
          <cell r="AD108">
            <v>3.7614251189173165E-2</v>
          </cell>
          <cell r="AE108">
            <v>6.2801051728235802E-2</v>
          </cell>
        </row>
        <row r="109">
          <cell r="D109" t="str">
            <v>EUR</v>
          </cell>
          <cell r="N109" t="str">
            <v/>
          </cell>
          <cell r="O109">
            <v>9.4100633706173387E-4</v>
          </cell>
          <cell r="P109">
            <v>1.6138987049141296E-3</v>
          </cell>
          <cell r="Q109">
            <v>6.3725085588677288E-3</v>
          </cell>
          <cell r="R109">
            <v>1.2563288836881514E-2</v>
          </cell>
          <cell r="S109" t="str">
            <v/>
          </cell>
          <cell r="T109">
            <v>3.7919184516906124E-2</v>
          </cell>
          <cell r="U109">
            <v>6.5823428654855909E-2</v>
          </cell>
          <cell r="V109">
            <v>0.11399398215304823</v>
          </cell>
          <cell r="W109" t="str">
            <v/>
          </cell>
          <cell r="X109">
            <v>1.0585674487949559E-3</v>
          </cell>
          <cell r="Y109">
            <v>1.815353387123575E-3</v>
          </cell>
          <cell r="Z109">
            <v>6.740122166288165E-3</v>
          </cell>
          <cell r="AA109">
            <v>1.3179782938892881E-2</v>
          </cell>
          <cell r="AB109" t="str">
            <v/>
          </cell>
          <cell r="AC109">
            <v>3.9781962180993502E-2</v>
          </cell>
          <cell r="AD109">
            <v>6.9026611373250613E-2</v>
          </cell>
          <cell r="AE109">
            <v>0.11943761053451563</v>
          </cell>
        </row>
        <row r="110">
          <cell r="D110" t="str">
            <v>EUR</v>
          </cell>
          <cell r="N110" t="str">
            <v/>
          </cell>
          <cell r="O110">
            <v>1.8811313652714601E-3</v>
          </cell>
          <cell r="P110">
            <v>3.8380588661446335E-3</v>
          </cell>
          <cell r="Q110">
            <v>8.9008870316632516E-3</v>
          </cell>
          <cell r="R110">
            <v>1.4565223773973068E-2</v>
          </cell>
          <cell r="S110" t="str">
            <v/>
          </cell>
          <cell r="T110">
            <v>2.9045783144187154E-2</v>
          </cell>
          <cell r="U110">
            <v>4.4371852656723165E-2</v>
          </cell>
          <cell r="V110">
            <v>7.0742326751350282E-2</v>
          </cell>
          <cell r="W110" t="str">
            <v/>
          </cell>
          <cell r="X110">
            <v>1.9985747439534851E-3</v>
          </cell>
          <cell r="Y110">
            <v>4.0390981183110464E-3</v>
          </cell>
          <cell r="Z110">
            <v>9.3433911108494749E-3</v>
          </cell>
          <cell r="AA110">
            <v>1.5287678548561834E-2</v>
          </cell>
          <cell r="AB110" t="str">
            <v/>
          </cell>
          <cell r="AC110">
            <v>3.0478694461554934E-2</v>
          </cell>
          <cell r="AD110">
            <v>4.6545155446763964E-2</v>
          </cell>
          <cell r="AE110">
            <v>7.4168572972566849E-2</v>
          </cell>
        </row>
        <row r="111">
          <cell r="D111" t="str">
            <v>EUR</v>
          </cell>
          <cell r="N111" t="str">
            <v/>
          </cell>
          <cell r="O111">
            <v>8.2342876691621214E-4</v>
          </cell>
          <cell r="P111">
            <v>2.8465196034316298E-3</v>
          </cell>
          <cell r="Q111">
            <v>9.3484363887806898E-3</v>
          </cell>
          <cell r="R111">
            <v>1.9669585554483171E-2</v>
          </cell>
          <cell r="S111" t="str">
            <v/>
          </cell>
          <cell r="T111">
            <v>4.9886581084836013E-2</v>
          </cell>
          <cell r="U111">
            <v>8.5935569257326039E-2</v>
          </cell>
          <cell r="V111">
            <v>0.1481621210676104</v>
          </cell>
          <cell r="W111" t="str">
            <v/>
          </cell>
          <cell r="X111">
            <v>9.4100424795140469E-4</v>
          </cell>
          <cell r="Y111">
            <v>3.0478139257948955E-3</v>
          </cell>
          <cell r="Z111">
            <v>9.8103109106891795E-3</v>
          </cell>
          <cell r="AA111">
            <v>2.0641800500786123E-2</v>
          </cell>
          <cell r="AB111" t="str">
            <v/>
          </cell>
          <cell r="AC111">
            <v>5.2329943320532868E-2</v>
          </cell>
          <cell r="AD111">
            <v>9.0090081406438705E-2</v>
          </cell>
          <cell r="AE111">
            <v>0.15513687167434842</v>
          </cell>
        </row>
        <row r="112">
          <cell r="D112" t="str">
            <v>EUR</v>
          </cell>
          <cell r="N112" t="str">
            <v/>
          </cell>
          <cell r="O112">
            <v>1.4111789373691952E-3</v>
          </cell>
          <cell r="P112">
            <v>3.4431525528769713E-3</v>
          </cell>
          <cell r="Q112">
            <v>1.1587964981512711E-2</v>
          </cell>
          <cell r="R112">
            <v>2.2298842022660414E-2</v>
          </cell>
          <cell r="S112" t="str">
            <v/>
          </cell>
          <cell r="T112">
            <v>4.4851991336675612E-2</v>
          </cell>
          <cell r="U112">
            <v>7.4277711923350642E-2</v>
          </cell>
          <cell r="V112">
            <v>0.13306972199037626</v>
          </cell>
          <cell r="W112" t="str">
            <v/>
          </cell>
          <cell r="X112">
            <v>1.5286818104438549E-3</v>
          </cell>
          <cell r="Y112">
            <v>3.6442988133077447E-3</v>
          </cell>
          <cell r="Z112">
            <v>1.2162479452711317E-2</v>
          </cell>
          <cell r="AA112">
            <v>2.340176713111497E-2</v>
          </cell>
          <cell r="AB112" t="str">
            <v/>
          </cell>
          <cell r="AC112">
            <v>4.7050350733778945E-2</v>
          </cell>
          <cell r="AD112">
            <v>7.7897750766785179E-2</v>
          </cell>
          <cell r="AE112">
            <v>0.13936646820738163</v>
          </cell>
        </row>
        <row r="113">
          <cell r="D113" t="str">
            <v>EUR</v>
          </cell>
          <cell r="N113" t="str">
            <v/>
          </cell>
          <cell r="O113">
            <v>2.116025062917859E-3</v>
          </cell>
          <cell r="P113">
            <v>4.2400963005428949E-3</v>
          </cell>
          <cell r="Q113">
            <v>8.4931684784033123E-3</v>
          </cell>
          <cell r="R113">
            <v>1.4563474051236924E-2</v>
          </cell>
          <cell r="S113" t="str">
            <v/>
          </cell>
          <cell r="T113">
            <v>3.3674379780990749E-2</v>
          </cell>
          <cell r="U113">
            <v>5.6524584838238745E-2</v>
          </cell>
          <cell r="V113">
            <v>9.9713548962372722E-2</v>
          </cell>
          <cell r="W113" t="str">
            <v/>
          </cell>
          <cell r="X113">
            <v>2.2334382080247961E-3</v>
          </cell>
          <cell r="Y113">
            <v>4.4512890237272673E-3</v>
          </cell>
          <cell r="Z113">
            <v>8.9160025821544142E-3</v>
          </cell>
          <cell r="AA113">
            <v>1.528657293319613E-2</v>
          </cell>
          <cell r="AB113" t="str">
            <v/>
          </cell>
          <cell r="AC113">
            <v>3.5335812508259568E-2</v>
          </cell>
          <cell r="AD113">
            <v>5.9286318130780891E-2</v>
          </cell>
          <cell r="AE113">
            <v>0.10450551783057715</v>
          </cell>
        </row>
        <row r="114">
          <cell r="D114" t="str">
            <v>EUR</v>
          </cell>
          <cell r="N114" t="str">
            <v/>
          </cell>
          <cell r="O114">
            <v>7.0583742388907744E-4</v>
          </cell>
          <cell r="P114">
            <v>1.6203553656132241E-3</v>
          </cell>
          <cell r="Q114">
            <v>5.240114054658962E-3</v>
          </cell>
          <cell r="R114">
            <v>1.0384717920422615E-2</v>
          </cell>
          <cell r="S114" t="str">
            <v/>
          </cell>
          <cell r="T114">
            <v>2.6949983360335716E-2</v>
          </cell>
          <cell r="U114">
            <v>4.6014236064543468E-2</v>
          </cell>
          <cell r="V114">
            <v>8.7488509716368235E-2</v>
          </cell>
          <cell r="W114" t="str">
            <v/>
          </cell>
          <cell r="X114">
            <v>8.2342719960870614E-4</v>
          </cell>
          <cell r="Y114">
            <v>1.821828632852851E-3</v>
          </cell>
          <cell r="Z114">
            <v>5.6080169511395495E-3</v>
          </cell>
          <cell r="AA114">
            <v>1.0917293122402971E-2</v>
          </cell>
          <cell r="AB114" t="str">
            <v/>
          </cell>
          <cell r="AC114">
            <v>2.8270822292461473E-2</v>
          </cell>
          <cell r="AD114">
            <v>4.826109666875289E-2</v>
          </cell>
          <cell r="AE114">
            <v>9.1714854377564659E-2</v>
          </cell>
        </row>
        <row r="115">
          <cell r="D115" t="str">
            <v>EUR</v>
          </cell>
          <cell r="N115" t="str">
            <v/>
          </cell>
          <cell r="O115">
            <v>1.0585701367545886E-3</v>
          </cell>
          <cell r="P115">
            <v>2.0196007985324727E-3</v>
          </cell>
          <cell r="Q115">
            <v>6.7328788018000685E-3</v>
          </cell>
          <cell r="R115">
            <v>1.139493581320894E-2</v>
          </cell>
          <cell r="S115" t="str">
            <v/>
          </cell>
          <cell r="T115">
            <v>2.9614531503692199E-2</v>
          </cell>
          <cell r="U115">
            <v>5.0870925720800764E-2</v>
          </cell>
          <cell r="V115">
            <v>9.2117256047173024E-2</v>
          </cell>
          <cell r="W115" t="str">
            <v/>
          </cell>
          <cell r="X115">
            <v>1.1761168038567638E-3</v>
          </cell>
          <cell r="Y115">
            <v>2.2209798623785693E-3</v>
          </cell>
          <cell r="Z115">
            <v>7.1003184774716122E-3</v>
          </cell>
          <cell r="AA115">
            <v>1.1955094510662789E-2</v>
          </cell>
          <cell r="AB115" t="str">
            <v/>
          </cell>
          <cell r="AC115">
            <v>3.1071276442571905E-2</v>
          </cell>
          <cell r="AD115">
            <v>5.3357874119617899E-2</v>
          </cell>
          <cell r="AE115">
            <v>9.6556269125790073E-2</v>
          </cell>
        </row>
        <row r="116">
          <cell r="D116" t="str">
            <v>EUR</v>
          </cell>
          <cell r="N116" t="str">
            <v/>
          </cell>
          <cell r="O116">
            <v>5.8823230557913941E-4</v>
          </cell>
          <cell r="P116">
            <v>1.4188416515668045E-3</v>
          </cell>
          <cell r="Q116">
            <v>4.4913629325150639E-3</v>
          </cell>
          <cell r="R116">
            <v>9.8734462293066372E-3</v>
          </cell>
          <cell r="S116" t="str">
            <v/>
          </cell>
          <cell r="T116">
            <v>2.6092330030474176E-2</v>
          </cell>
          <cell r="U116">
            <v>4.3504361468853392E-2</v>
          </cell>
          <cell r="V116">
            <v>8.4164102154035803E-2</v>
          </cell>
          <cell r="W116" t="str">
            <v/>
          </cell>
          <cell r="X116">
            <v>7.0583630213449933E-4</v>
          </cell>
          <cell r="Y116">
            <v>1.6203554628971828E-3</v>
          </cell>
          <cell r="Z116">
            <v>4.8594953973825072E-3</v>
          </cell>
          <cell r="AA116">
            <v>1.0406378538608041E-2</v>
          </cell>
          <cell r="AB116" t="str">
            <v/>
          </cell>
          <cell r="AC116">
            <v>2.7369808295400699E-2</v>
          </cell>
          <cell r="AD116">
            <v>4.5622656813135265E-2</v>
          </cell>
          <cell r="AE116">
            <v>8.8232578511087456E-2</v>
          </cell>
        </row>
        <row r="117">
          <cell r="D117" t="str">
            <v>EUR</v>
          </cell>
          <cell r="N117" t="str">
            <v/>
          </cell>
          <cell r="O117">
            <v>2.3533427473454438E-4</v>
          </cell>
          <cell r="P117">
            <v>1.0192455533220013E-3</v>
          </cell>
          <cell r="Q117">
            <v>3.7555256192154385E-3</v>
          </cell>
          <cell r="R117">
            <v>8.2446671693005014E-3</v>
          </cell>
          <cell r="S117" t="str">
            <v/>
          </cell>
          <cell r="T117">
            <v>2.0689361400891393E-2</v>
          </cell>
          <cell r="U117">
            <v>3.4927685869413971E-2</v>
          </cell>
          <cell r="V117">
            <v>6.2408479207001766E-2</v>
          </cell>
          <cell r="W117" t="str">
            <v/>
          </cell>
          <cell r="X117">
            <v>3.5298049865262193E-4</v>
          </cell>
          <cell r="Y117">
            <v>1.2208537424306387E-3</v>
          </cell>
          <cell r="Z117">
            <v>4.1239356948976624E-3</v>
          </cell>
          <cell r="AA117">
            <v>8.7783664169903686E-3</v>
          </cell>
          <cell r="AB117" t="str">
            <v/>
          </cell>
          <cell r="AC117">
            <v>2.1689001218092585E-2</v>
          </cell>
          <cell r="AD117">
            <v>3.6624726966610455E-2</v>
          </cell>
          <cell r="AE117">
            <v>6.5426908323910737E-2</v>
          </cell>
        </row>
        <row r="118">
          <cell r="D118" t="str">
            <v>EUR</v>
          </cell>
          <cell r="N118" t="str">
            <v/>
          </cell>
          <cell r="O118">
            <v>7.0583742388907744E-4</v>
          </cell>
          <cell r="P118">
            <v>1.8254343260272199E-3</v>
          </cell>
          <cell r="Q118">
            <v>6.3705647759617623E-3</v>
          </cell>
          <cell r="R118">
            <v>1.3133013698367391E-2</v>
          </cell>
          <cell r="S118" t="str">
            <v/>
          </cell>
          <cell r="T118">
            <v>3.4080447442536244E-2</v>
          </cell>
          <cell r="U118">
            <v>6.0917000235163887E-2</v>
          </cell>
          <cell r="V118">
            <v>0.11312916820515884</v>
          </cell>
          <cell r="W118" t="str">
            <v/>
          </cell>
          <cell r="X118">
            <v>8.2342719960870614E-4</v>
          </cell>
          <cell r="Y118">
            <v>2.0268798220722806E-3</v>
          </cell>
          <cell r="Z118">
            <v>6.7381499081161644E-3</v>
          </cell>
          <cell r="AA118">
            <v>1.3777229889441411E-2</v>
          </cell>
          <cell r="AB118" t="str">
            <v/>
          </cell>
          <cell r="AC118">
            <v>3.5755359794659158E-2</v>
          </cell>
          <cell r="AD118">
            <v>6.3885202363445082E-2</v>
          </cell>
          <cell r="AE118">
            <v>0.11854541866504631</v>
          </cell>
        </row>
        <row r="119">
          <cell r="D119" t="str">
            <v>EUR</v>
          </cell>
          <cell r="N119" t="str">
            <v/>
          </cell>
          <cell r="O119">
            <v>1.3406670871113358E-3</v>
          </cell>
          <cell r="P119">
            <v>3.3224455523571672E-3</v>
          </cell>
          <cell r="Q119">
            <v>8.7838682572192184E-3</v>
          </cell>
          <cell r="R119">
            <v>1.5845646047529027E-2</v>
          </cell>
          <cell r="S119" t="str">
            <v/>
          </cell>
          <cell r="T119">
            <v>3.5469261019733023E-2</v>
          </cell>
          <cell r="U119">
            <v>5.356387753935743E-2</v>
          </cell>
          <cell r="V119">
            <v>8.0293095495867828E-2</v>
          </cell>
          <cell r="W119" t="str">
            <v/>
          </cell>
          <cell r="X119">
            <v>1.4581787747859343E-3</v>
          </cell>
          <cell r="Y119">
            <v>3.5236159899748598E-3</v>
          </cell>
          <cell r="Z119">
            <v>9.2190453920866222E-3</v>
          </cell>
          <cell r="AA119">
            <v>1.6630137608647289E-2</v>
          </cell>
          <cell r="AB119" t="str">
            <v/>
          </cell>
          <cell r="AC119">
            <v>3.7214915505261903E-2</v>
          </cell>
          <cell r="AD119">
            <v>5.6177506891201823E-2</v>
          </cell>
          <cell r="AE119">
            <v>8.415757833909121E-2</v>
          </cell>
        </row>
        <row r="120">
          <cell r="D120" t="str">
            <v>EUR</v>
          </cell>
          <cell r="N120" t="str">
            <v/>
          </cell>
          <cell r="O120">
            <v>1.3524194061996786E-3</v>
          </cell>
          <cell r="P120">
            <v>3.6701481797429825E-3</v>
          </cell>
          <cell r="Q120">
            <v>1.0432744395999949E-2</v>
          </cell>
          <cell r="R120">
            <v>1.8995315771529242E-2</v>
          </cell>
          <cell r="S120" t="str">
            <v/>
          </cell>
          <cell r="T120">
            <v>4.0620578708481236E-2</v>
          </cell>
          <cell r="U120">
            <v>6.3201332464938309E-2</v>
          </cell>
          <cell r="V120">
            <v>9.7145057233841925E-2</v>
          </cell>
          <cell r="W120" t="str">
            <v/>
          </cell>
          <cell r="X120">
            <v>1.469929626734201E-3</v>
          </cell>
          <cell r="Y120">
            <v>3.8712697541007923E-3</v>
          </cell>
          <cell r="Z120">
            <v>1.0951161564709655E-2</v>
          </cell>
          <cell r="AA120">
            <v>1.9935790208543525E-2</v>
          </cell>
          <cell r="AB120" t="str">
            <v/>
          </cell>
          <cell r="AC120">
            <v>4.2617000633239588E-2</v>
          </cell>
          <cell r="AD120">
            <v>6.6273770411026556E-2</v>
          </cell>
          <cell r="AE120">
            <v>0.10178972388410457</v>
          </cell>
        </row>
        <row r="121">
          <cell r="D121" t="str">
            <v>EUR</v>
          </cell>
          <cell r="N121" t="str">
            <v/>
          </cell>
          <cell r="O121">
            <v>3.5298073341860636E-4</v>
          </cell>
          <cell r="P121">
            <v>6.0599386093529439E-4</v>
          </cell>
          <cell r="Q121">
            <v>2.6319870233595388E-3</v>
          </cell>
          <cell r="R121">
            <v>5.4906936531087247E-3</v>
          </cell>
          <cell r="S121" t="str">
            <v/>
          </cell>
          <cell r="T121">
            <v>1.5399163583588615E-2</v>
          </cell>
          <cell r="U121">
            <v>2.7713907214462097E-2</v>
          </cell>
          <cell r="V121">
            <v>5.0502649602034877E-2</v>
          </cell>
          <cell r="W121" t="str">
            <v/>
          </cell>
          <cell r="X121">
            <v>4.7061295331773945E-4</v>
          </cell>
          <cell r="Y121">
            <v>8.0765519981518263E-4</v>
          </cell>
          <cell r="Z121">
            <v>3.0007474895722419E-3</v>
          </cell>
          <cell r="AA121">
            <v>6.0255645128544089E-3</v>
          </cell>
          <cell r="AB121" t="str">
            <v/>
          </cell>
          <cell r="AC121">
            <v>1.6261562713842381E-2</v>
          </cell>
          <cell r="AD121">
            <v>2.9031635284855639E-2</v>
          </cell>
          <cell r="AE121">
            <v>5.2925820173771232E-2</v>
          </cell>
        </row>
        <row r="122">
          <cell r="D122" t="str">
            <v>EUR</v>
          </cell>
          <cell r="N122" t="str">
            <v/>
          </cell>
          <cell r="O122">
            <v>8.2342876691621214E-4</v>
          </cell>
          <cell r="P122">
            <v>2.4368126355408526E-3</v>
          </cell>
          <cell r="Q122">
            <v>7.0926963340878224E-3</v>
          </cell>
          <cell r="R122">
            <v>1.4190919267916935E-2</v>
          </cell>
          <cell r="S122" t="str">
            <v/>
          </cell>
          <cell r="T122">
            <v>3.3883362063104272E-2</v>
          </cell>
          <cell r="U122">
            <v>5.675366974699092E-2</v>
          </cell>
          <cell r="V122">
            <v>9.5950122414247052E-2</v>
          </cell>
          <cell r="W122" t="str">
            <v/>
          </cell>
          <cell r="X122">
            <v>9.4100424795140469E-4</v>
          </cell>
          <cell r="Y122">
            <v>2.6381623096690676E-3</v>
          </cell>
          <cell r="Z122">
            <v>7.4599781392162834E-3</v>
          </cell>
          <cell r="AA122">
            <v>1.4890480221281477E-2</v>
          </cell>
          <cell r="AB122" t="str">
            <v/>
          </cell>
          <cell r="AC122">
            <v>3.5547776118726615E-2</v>
          </cell>
          <cell r="AD122">
            <v>5.9522917396869324E-2</v>
          </cell>
          <cell r="AE122">
            <v>0.10055665830178284</v>
          </cell>
        </row>
        <row r="123">
          <cell r="D123" t="str">
            <v>EUR</v>
          </cell>
          <cell r="N123" t="str">
            <v/>
          </cell>
          <cell r="O123">
            <v>7.0583742388907744E-4</v>
          </cell>
          <cell r="P123">
            <v>1.6203553656132241E-3</v>
          </cell>
          <cell r="Q123">
            <v>5.240114054658962E-3</v>
          </cell>
          <cell r="R123">
            <v>1.0949384192589395E-2</v>
          </cell>
          <cell r="S123" t="str">
            <v/>
          </cell>
          <cell r="T123">
            <v>2.7821234762287705E-2</v>
          </cell>
          <cell r="U123">
            <v>4.8549559034487655E-2</v>
          </cell>
          <cell r="V123">
            <v>8.2778874179221029E-2</v>
          </cell>
          <cell r="W123" t="str">
            <v/>
          </cell>
          <cell r="X123">
            <v>8.2342719960870614E-4</v>
          </cell>
          <cell r="Y123">
            <v>1.821828632852851E-3</v>
          </cell>
          <cell r="Z123">
            <v>5.6080169511395495E-3</v>
          </cell>
          <cell r="AA123">
            <v>1.1481775460040033E-2</v>
          </cell>
          <cell r="AB123" t="str">
            <v/>
          </cell>
          <cell r="AC123">
            <v>2.9189604156688032E-2</v>
          </cell>
          <cell r="AD123">
            <v>5.0918787607948102E-2</v>
          </cell>
          <cell r="AE123">
            <v>8.6778785736504327E-2</v>
          </cell>
        </row>
        <row r="124">
          <cell r="D124" t="str">
            <v>EUR</v>
          </cell>
          <cell r="N124" t="str">
            <v/>
          </cell>
          <cell r="O124">
            <v>2.4682625182449458E-3</v>
          </cell>
          <cell r="P124">
            <v>4.2297102132068387E-3</v>
          </cell>
          <cell r="Q124">
            <v>1.417889403322603E-2</v>
          </cell>
          <cell r="R124">
            <v>3.8852825170581529E-2</v>
          </cell>
          <cell r="S124" t="str">
            <v/>
          </cell>
          <cell r="T124">
            <v>8.3755459579684999E-2</v>
          </cell>
          <cell r="U124">
            <v>0.1374009716508966</v>
          </cell>
          <cell r="V124">
            <v>0.21617817612923018</v>
          </cell>
          <cell r="W124" t="str">
            <v/>
          </cell>
          <cell r="X124">
            <v>2.5914984913087968E-3</v>
          </cell>
          <cell r="Y124">
            <v>4.4406581676131873E-3</v>
          </cell>
          <cell r="Z124">
            <v>1.4884157825194699E-2</v>
          </cell>
          <cell r="AA124">
            <v>4.0772122949615297E-2</v>
          </cell>
          <cell r="AB124" t="str">
            <v/>
          </cell>
          <cell r="AC124">
            <v>8.7806768311458283E-2</v>
          </cell>
          <cell r="AD124">
            <v>0.14389505553359849</v>
          </cell>
          <cell r="AE124">
            <v>0.22596750273959076</v>
          </cell>
        </row>
        <row r="125">
          <cell r="D125" t="str">
            <v>EUR</v>
          </cell>
          <cell r="N125" t="str">
            <v/>
          </cell>
          <cell r="O125">
            <v>1.6461826632304666E-3</v>
          </cell>
          <cell r="P125">
            <v>3.435859550890874E-3</v>
          </cell>
          <cell r="Q125">
            <v>1.1960630707458786E-2</v>
          </cell>
          <cell r="R125">
            <v>2.3949834797393987E-2</v>
          </cell>
          <cell r="S125" t="str">
            <v/>
          </cell>
          <cell r="T125">
            <v>5.6653162010776636E-2</v>
          </cell>
          <cell r="U125">
            <v>9.7578341311126526E-2</v>
          </cell>
          <cell r="V125">
            <v>0.15761152701849823</v>
          </cell>
          <cell r="W125" t="str">
            <v/>
          </cell>
          <cell r="X125">
            <v>1.7636559491273074E-3</v>
          </cell>
          <cell r="Y125">
            <v>3.6369797177154828E-3</v>
          </cell>
          <cell r="Z125">
            <v>1.2553398718471165E-2</v>
          </cell>
          <cell r="AA125">
            <v>2.5134560783563242E-2</v>
          </cell>
          <cell r="AB125" t="str">
            <v/>
          </cell>
          <cell r="AC125">
            <v>5.9423774586556455E-2</v>
          </cell>
          <cell r="AD125">
            <v>0.10227391879090586</v>
          </cell>
          <cell r="AE125">
            <v>0.16497468108268898</v>
          </cell>
        </row>
        <row r="126">
          <cell r="D126" t="str">
            <v>EUR</v>
          </cell>
          <cell r="N126" t="str">
            <v/>
          </cell>
          <cell r="O126">
            <v>3.5298073341860636E-4</v>
          </cell>
          <cell r="P126">
            <v>1.2208539223919068E-3</v>
          </cell>
          <cell r="Q126">
            <v>4.123935497890252E-3</v>
          </cell>
          <cell r="R126">
            <v>7.648423164965501E-3</v>
          </cell>
          <cell r="S126" t="str">
            <v/>
          </cell>
          <cell r="T126">
            <v>1.9801682225534245E-2</v>
          </cell>
          <cell r="U126">
            <v>3.2339928564466103E-2</v>
          </cell>
          <cell r="V126">
            <v>5.5023660883515735E-2</v>
          </cell>
          <cell r="W126" t="str">
            <v/>
          </cell>
          <cell r="X126">
            <v>4.7061295331773945E-4</v>
          </cell>
          <cell r="Y126">
            <v>1.4224213278153375E-3</v>
          </cell>
          <cell r="Z126">
            <v>4.4922097838737685E-3</v>
          </cell>
          <cell r="AA126">
            <v>8.1822034376266561E-3</v>
          </cell>
          <cell r="AB126" t="str">
            <v/>
          </cell>
          <cell r="AC126">
            <v>2.0754258109140111E-2</v>
          </cell>
          <cell r="AD126">
            <v>3.3910112555006866E-2</v>
          </cell>
          <cell r="AE126">
            <v>5.7680219282712053E-2</v>
          </cell>
        </row>
        <row r="127">
          <cell r="D127" t="str">
            <v>EUR</v>
          </cell>
          <cell r="N127" t="str">
            <v/>
          </cell>
          <cell r="O127">
            <v>5.8823230557913941E-4</v>
          </cell>
          <cell r="P127">
            <v>2.238929948600088E-3</v>
          </cell>
          <cell r="Q127">
            <v>7.105217439385636E-3</v>
          </cell>
          <cell r="R127">
            <v>1.3641800002347826E-2</v>
          </cell>
          <cell r="S127" t="str">
            <v/>
          </cell>
          <cell r="T127">
            <v>3.3981164227445571E-2</v>
          </cell>
          <cell r="U127">
            <v>5.6806706246515737E-2</v>
          </cell>
          <cell r="V127">
            <v>9.8071106659522012E-2</v>
          </cell>
          <cell r="W127" t="str">
            <v/>
          </cell>
          <cell r="X127">
            <v>7.0583630213449933E-4</v>
          </cell>
          <cell r="Y127">
            <v>2.4403324045400021E-3</v>
          </cell>
          <cell r="Z127">
            <v>7.4725469509047127E-3</v>
          </cell>
          <cell r="AA127">
            <v>1.4313606564944403E-2</v>
          </cell>
          <cell r="AB127" t="str">
            <v/>
          </cell>
          <cell r="AC127">
            <v>3.5652093094143411E-2</v>
          </cell>
          <cell r="AD127">
            <v>5.957784302676139E-2</v>
          </cell>
          <cell r="AE127">
            <v>0.10277854509873774</v>
          </cell>
        </row>
        <row r="128">
          <cell r="D128" t="str">
            <v>EUR</v>
          </cell>
          <cell r="N128" t="str">
            <v/>
          </cell>
          <cell r="O128">
            <v>1.1761201684514777E-3</v>
          </cell>
          <cell r="P128">
            <v>3.2455371452223547E-3</v>
          </cell>
          <cell r="Q128">
            <v>8.9405072195574142E-3</v>
          </cell>
          <cell r="R128">
            <v>1.6856351470665221E-2</v>
          </cell>
          <cell r="S128" t="str">
            <v/>
          </cell>
          <cell r="T128">
            <v>4.6505047419776013E-2</v>
          </cell>
          <cell r="U128">
            <v>7.7358311781463907E-2</v>
          </cell>
          <cell r="V128">
            <v>0.12363881047229486</v>
          </cell>
          <cell r="W128" t="str">
            <v/>
          </cell>
          <cell r="X128">
            <v>1.293652314683702E-3</v>
          </cell>
          <cell r="Y128">
            <v>3.4467366220021223E-3</v>
          </cell>
          <cell r="Z128">
            <v>9.3833389957745927E-3</v>
          </cell>
          <cell r="AA128">
            <v>1.7690540757743789E-2</v>
          </cell>
          <cell r="AB128" t="str">
            <v/>
          </cell>
          <cell r="AC128">
            <v>4.878935088683789E-2</v>
          </cell>
          <cell r="AD128">
            <v>8.1109189293386619E-2</v>
          </cell>
          <cell r="AE128">
            <v>0.12950190662062955</v>
          </cell>
        </row>
        <row r="129">
          <cell r="D129" t="str">
            <v>EUR</v>
          </cell>
          <cell r="N129" t="str">
            <v/>
          </cell>
          <cell r="O129">
            <v>8.2342876691621214E-4</v>
          </cell>
          <cell r="P129">
            <v>2.0268797729209309E-3</v>
          </cell>
          <cell r="Q129">
            <v>6.3576981734468907E-3</v>
          </cell>
          <cell r="R129">
            <v>1.3122910386147879E-2</v>
          </cell>
          <cell r="S129" t="str">
            <v/>
          </cell>
          <cell r="T129">
            <v>3.406457849150446E-2</v>
          </cell>
          <cell r="U129">
            <v>5.9558796559453508E-2</v>
          </cell>
          <cell r="V129">
            <v>0.10546871267091851</v>
          </cell>
          <cell r="W129" t="str">
            <v/>
          </cell>
          <cell r="X129">
            <v>9.4100424795140469E-4</v>
          </cell>
          <cell r="Y129">
            <v>2.2282848186230275E-3</v>
          </cell>
          <cell r="Z129">
            <v>6.7252406506083107E-3</v>
          </cell>
          <cell r="AA129">
            <v>1.3766994293333279E-2</v>
          </cell>
          <cell r="AB129" t="str">
            <v/>
          </cell>
          <cell r="AC129">
            <v>3.5739324453170296E-2</v>
          </cell>
          <cell r="AD129">
            <v>6.2461122885851039E-2</v>
          </cell>
          <cell r="AE129">
            <v>0.11055008279062928</v>
          </cell>
        </row>
        <row r="130">
          <cell r="D130" t="str">
            <v>EUR</v>
          </cell>
          <cell r="N130" t="str">
            <v/>
          </cell>
          <cell r="O130">
            <v>1.2936564344949719E-3</v>
          </cell>
          <cell r="P130">
            <v>3.0371385243767035E-3</v>
          </cell>
          <cell r="Q130">
            <v>7.0523081357990458E-3</v>
          </cell>
          <cell r="R130">
            <v>1.4152379480836363E-2</v>
          </cell>
          <cell r="S130" t="str">
            <v/>
          </cell>
          <cell r="T130">
            <v>3.3836434234451929E-2</v>
          </cell>
          <cell r="U130">
            <v>5.8057670574571452E-2</v>
          </cell>
          <cell r="V130">
            <v>9.953756197822039E-2</v>
          </cell>
          <cell r="W130" t="str">
            <v/>
          </cell>
          <cell r="X130">
            <v>1.4111739830211523E-3</v>
          </cell>
          <cell r="Y130">
            <v>3.2383529486319507E-3</v>
          </cell>
          <cell r="Z130">
            <v>7.4194568097494251E-3</v>
          </cell>
          <cell r="AA130">
            <v>1.4851488418520242E-2</v>
          </cell>
          <cell r="AB130" t="str">
            <v/>
          </cell>
          <cell r="AC130">
            <v>3.5502549369802572E-2</v>
          </cell>
          <cell r="AD130">
            <v>6.0891743334757109E-2</v>
          </cell>
          <cell r="AE130">
            <v>0.10431506579013672</v>
          </cell>
        </row>
        <row r="131">
          <cell r="D131" t="str">
            <v>EUR</v>
          </cell>
          <cell r="N131" t="str">
            <v/>
          </cell>
          <cell r="O131">
            <v>9.4100633706173387E-4</v>
          </cell>
          <cell r="P131">
            <v>2.0232612561962293E-3</v>
          </cell>
          <cell r="Q131">
            <v>7.1159203209344435E-3</v>
          </cell>
          <cell r="R131">
            <v>1.3070807781553895E-2</v>
          </cell>
          <cell r="S131" t="str">
            <v/>
          </cell>
          <cell r="T131">
            <v>3.4079363455269962E-2</v>
          </cell>
          <cell r="U131">
            <v>5.5502030521142998E-2</v>
          </cell>
          <cell r="V131">
            <v>9.4553893679440892E-2</v>
          </cell>
          <cell r="W131" t="str">
            <v/>
          </cell>
          <cell r="X131">
            <v>1.0585674487949559E-3</v>
          </cell>
          <cell r="Y131">
            <v>2.2246532190236534E-3</v>
          </cell>
          <cell r="Z131">
            <v>7.483271245583456E-3</v>
          </cell>
          <cell r="AA131">
            <v>1.3715095125287124E-2</v>
          </cell>
          <cell r="AB131" t="str">
            <v/>
          </cell>
          <cell r="AC131">
            <v>3.5754115520358454E-2</v>
          </cell>
          <cell r="AD131">
            <v>5.8209914058552803E-2</v>
          </cell>
          <cell r="AE131">
            <v>9.909506455409367E-2</v>
          </cell>
        </row>
        <row r="132">
          <cell r="D132" t="str">
            <v>EUR</v>
          </cell>
          <cell r="N132" t="str">
            <v/>
          </cell>
          <cell r="O132">
            <v>8.2342876691621214E-4</v>
          </cell>
          <cell r="P132">
            <v>1.6167208634250141E-3</v>
          </cell>
          <cell r="Q132">
            <v>4.8575337401989271E-3</v>
          </cell>
          <cell r="R132">
            <v>9.273777812558559E-3</v>
          </cell>
          <cell r="S132" t="str">
            <v/>
          </cell>
          <cell r="T132">
            <v>2.4265834130403174E-2</v>
          </cell>
          <cell r="U132">
            <v>3.8352434172192806E-2</v>
          </cell>
          <cell r="V132">
            <v>6.9400357679895275E-2</v>
          </cell>
          <cell r="W132" t="str">
            <v/>
          </cell>
          <cell r="X132">
            <v>9.4100424795140469E-4</v>
          </cell>
          <cell r="Y132">
            <v>1.8181813004158887E-3</v>
          </cell>
          <cell r="Z132">
            <v>5.2255253273290059E-3</v>
          </cell>
          <cell r="AA132">
            <v>9.8067826997725316E-3</v>
          </cell>
          <cell r="AB132" t="str">
            <v/>
          </cell>
          <cell r="AC132">
            <v>2.5448407006464779E-2</v>
          </cell>
          <cell r="AD132">
            <v>4.0222457671734158E-2</v>
          </cell>
          <cell r="AE132">
            <v>7.2759135688670762E-2</v>
          </cell>
        </row>
        <row r="133">
          <cell r="D133" t="str">
            <v>EUR</v>
          </cell>
          <cell r="N133" t="str">
            <v/>
          </cell>
          <cell r="O133">
            <v>3.5298073341860636E-4</v>
          </cell>
          <cell r="P133">
            <v>1.2208539223919068E-3</v>
          </cell>
          <cell r="Q133">
            <v>4.886167594088775E-3</v>
          </cell>
          <cell r="R133">
            <v>9.8648452119589614E-3</v>
          </cell>
          <cell r="S133" t="str">
            <v/>
          </cell>
          <cell r="T133">
            <v>2.6108792573296902E-2</v>
          </cell>
          <cell r="U133">
            <v>4.3514280364233993E-2</v>
          </cell>
          <cell r="V133">
            <v>8.0203730790926686E-2</v>
          </cell>
          <cell r="W133" t="str">
            <v/>
          </cell>
          <cell r="X133">
            <v>4.7061295331773945E-4</v>
          </cell>
          <cell r="Y133">
            <v>1.4224213278153375E-3</v>
          </cell>
          <cell r="Z133">
            <v>5.2542545514108197E-3</v>
          </cell>
          <cell r="AA133">
            <v>1.0397747849486771E-2</v>
          </cell>
          <cell r="AB133" t="str">
            <v/>
          </cell>
          <cell r="AC133">
            <v>2.7383553898836954E-2</v>
          </cell>
          <cell r="AD133">
            <v>4.5636104376191033E-2</v>
          </cell>
          <cell r="AE133">
            <v>8.407879708433974E-2</v>
          </cell>
        </row>
        <row r="134">
          <cell r="D134" t="str">
            <v>EUR</v>
          </cell>
          <cell r="N134" t="str">
            <v/>
          </cell>
          <cell r="O134">
            <v>7.0583742388907744E-4</v>
          </cell>
          <cell r="P134">
            <v>1.8254343260272199E-3</v>
          </cell>
          <cell r="Q134">
            <v>6.750916565127496E-3</v>
          </cell>
          <cell r="R134">
            <v>1.3673906778123412E-2</v>
          </cell>
          <cell r="S134" t="str">
            <v/>
          </cell>
          <cell r="T134">
            <v>3.4940642929513155E-2</v>
          </cell>
          <cell r="U134">
            <v>5.9402592939701626E-2</v>
          </cell>
          <cell r="V134">
            <v>0.11136303056779184</v>
          </cell>
          <cell r="W134" t="str">
            <v/>
          </cell>
          <cell r="X134">
            <v>8.2342719960870614E-4</v>
          </cell>
          <cell r="Y134">
            <v>2.0268798220722806E-3</v>
          </cell>
          <cell r="Z134">
            <v>7.1184082708035668E-3</v>
          </cell>
          <cell r="AA134">
            <v>1.434614498467135E-2</v>
          </cell>
          <cell r="AB134" t="str">
            <v/>
          </cell>
          <cell r="AC134">
            <v>3.6658208823718508E-2</v>
          </cell>
          <cell r="AD134">
            <v>6.2297330489652802E-2</v>
          </cell>
          <cell r="AE134">
            <v>0.11669553352754247</v>
          </cell>
        </row>
        <row r="135">
          <cell r="D135" t="str">
            <v>EUR</v>
          </cell>
          <cell r="N135" t="str">
            <v/>
          </cell>
          <cell r="O135">
            <v>1.3876755377493222E-3</v>
          </cell>
          <cell r="P135">
            <v>3.0956898864663573E-3</v>
          </cell>
          <cell r="Q135">
            <v>7.6959023535093651E-3</v>
          </cell>
          <cell r="R135">
            <v>1.349573977561902E-2</v>
          </cell>
          <cell r="S135" t="str">
            <v/>
          </cell>
          <cell r="T135">
            <v>2.8311378813561827E-2</v>
          </cell>
          <cell r="U135">
            <v>4.4272216177437818E-2</v>
          </cell>
          <cell r="V135">
            <v>6.9045019391116735E-2</v>
          </cell>
          <cell r="W135" t="str">
            <v/>
          </cell>
          <cell r="X135">
            <v>1.5051813521484991E-3</v>
          </cell>
          <cell r="Y135">
            <v>3.2968857258888207E-3</v>
          </cell>
          <cell r="Z135">
            <v>8.0761933437346611E-3</v>
          </cell>
          <cell r="AA135">
            <v>1.4163694764106283E-2</v>
          </cell>
          <cell r="AB135" t="str">
            <v/>
          </cell>
          <cell r="AC135">
            <v>2.9706065265419856E-2</v>
          </cell>
          <cell r="AD135">
            <v>4.6440997125220762E-2</v>
          </cell>
          <cell r="AE135">
            <v>7.2387312861410313E-2</v>
          </cell>
        </row>
        <row r="136">
          <cell r="D136" t="str">
            <v>USD</v>
          </cell>
          <cell r="N136" t="str">
            <v/>
          </cell>
          <cell r="O136" t="str">
            <v/>
          </cell>
          <cell r="P136">
            <v>1.4417852808435994E-3</v>
          </cell>
          <cell r="Q136" t="str">
            <v/>
          </cell>
          <cell r="R136">
            <v>9.9443383060753288E-3</v>
          </cell>
          <cell r="S136" t="str">
            <v/>
          </cell>
          <cell r="T136">
            <v>2.4715784739627544E-2</v>
          </cell>
          <cell r="U136">
            <v>3.8105676173523895E-2</v>
          </cell>
          <cell r="V136">
            <v>6.4269597008724588E-2</v>
          </cell>
          <cell r="W136" t="str">
            <v/>
          </cell>
          <cell r="X136" t="str">
            <v/>
          </cell>
          <cell r="Y136">
            <v>1.6432576046871983E-3</v>
          </cell>
          <cell r="Z136" t="str">
            <v/>
          </cell>
          <cell r="AA136">
            <v>1.0477141156735481E-2</v>
          </cell>
          <cell r="AB136" t="str">
            <v/>
          </cell>
          <cell r="AC136">
            <v>2.592661557973075E-2</v>
          </cell>
          <cell r="AD136">
            <v>3.9960162254173537E-2</v>
          </cell>
          <cell r="AE136">
            <v>6.7387286779377775E-2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2.8654126701049831E-3</v>
          </cell>
          <cell r="Q137" t="str">
            <v/>
          </cell>
          <cell r="R137">
            <v>1.438374924461483E-2</v>
          </cell>
          <cell r="S137" t="str">
            <v/>
          </cell>
          <cell r="T137">
            <v>3.4446281882520746E-2</v>
          </cell>
          <cell r="U137">
            <v>5.9194485720789114E-2</v>
          </cell>
          <cell r="V137">
            <v>9.973004380247974E-2</v>
          </cell>
          <cell r="W137" t="str">
            <v/>
          </cell>
          <cell r="X137" t="str">
            <v/>
          </cell>
          <cell r="Y137">
            <v>3.0665691911095916E-3</v>
          </cell>
          <cell r="Z137" t="str">
            <v/>
          </cell>
          <cell r="AA137">
            <v>1.5091980139947614E-2</v>
          </cell>
          <cell r="AB137" t="str">
            <v/>
          </cell>
          <cell r="AC137">
            <v>3.6143197232566204E-2</v>
          </cell>
          <cell r="AD137">
            <v>6.2080374660919646E-2</v>
          </cell>
          <cell r="AE137">
            <v>0.10451907605604105</v>
          </cell>
        </row>
        <row r="138">
          <cell r="D138" t="str">
            <v>USD</v>
          </cell>
          <cell r="N138" t="str">
            <v>IRS Curve missing</v>
          </cell>
          <cell r="O138" t="str">
            <v>IRS Curve missing</v>
          </cell>
          <cell r="P138" t="str">
            <v>IRS Curve missing</v>
          </cell>
          <cell r="Q138" t="str">
            <v>IRS Curve missing</v>
          </cell>
          <cell r="R138" t="str">
            <v>IRS Curve missing</v>
          </cell>
          <cell r="S138" t="str">
            <v>IRS Curve missing</v>
          </cell>
          <cell r="T138" t="str">
            <v>IRS Curve missing</v>
          </cell>
          <cell r="U138" t="str">
            <v>IRS Curve missing</v>
          </cell>
          <cell r="V138" t="str">
            <v>IRS Curve missing</v>
          </cell>
          <cell r="W138" t="str">
            <v>IRS Curve missing</v>
          </cell>
          <cell r="X138" t="str">
            <v>IRS Curve missing</v>
          </cell>
          <cell r="Y138" t="str">
            <v>IRS Curve missing</v>
          </cell>
          <cell r="Z138" t="str">
            <v>IRS Curve missing</v>
          </cell>
          <cell r="AA138" t="str">
            <v>IRS Curve missing</v>
          </cell>
          <cell r="AB138" t="str">
            <v>IRS Curve missing</v>
          </cell>
          <cell r="AC138" t="str">
            <v>IRS Curve missing</v>
          </cell>
          <cell r="AD138" t="str">
            <v>IRS Curve missing</v>
          </cell>
          <cell r="AE138" t="str">
            <v>IRS Curve missing</v>
          </cell>
        </row>
        <row r="139">
          <cell r="D139" t="str">
            <v>USD</v>
          </cell>
          <cell r="N139" t="str">
            <v>IRS Curve missing</v>
          </cell>
          <cell r="O139" t="str">
            <v>IRS Curve missing</v>
          </cell>
          <cell r="P139" t="str">
            <v>IRS Curve missing</v>
          </cell>
          <cell r="Q139" t="str">
            <v>IRS Curve missing</v>
          </cell>
          <cell r="R139" t="str">
            <v>IRS Curve missing</v>
          </cell>
          <cell r="S139" t="str">
            <v>IRS Curve missing</v>
          </cell>
          <cell r="T139" t="str">
            <v>IRS Curve missing</v>
          </cell>
          <cell r="U139" t="str">
            <v>IRS Curve missing</v>
          </cell>
          <cell r="V139" t="str">
            <v>IRS Curve missing</v>
          </cell>
          <cell r="W139" t="str">
            <v>IRS Curve missing</v>
          </cell>
          <cell r="X139" t="str">
            <v>IRS Curve missing</v>
          </cell>
          <cell r="Y139" t="str">
            <v>IRS Curve missing</v>
          </cell>
          <cell r="Z139" t="str">
            <v>IRS Curve missing</v>
          </cell>
          <cell r="AA139" t="str">
            <v>IRS Curve missing</v>
          </cell>
          <cell r="AB139" t="str">
            <v>IRS Curve missing</v>
          </cell>
          <cell r="AC139" t="str">
            <v>IRS Curve missing</v>
          </cell>
          <cell r="AD139" t="str">
            <v>IRS Curve missing</v>
          </cell>
          <cell r="AE139" t="str">
            <v>IRS Curve missing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1.9011098925197922E-3</v>
          </cell>
          <cell r="Q140" t="str">
            <v/>
          </cell>
          <cell r="R140">
            <v>1.4837469975772732E-2</v>
          </cell>
          <cell r="S140" t="str">
            <v/>
          </cell>
          <cell r="T140">
            <v>3.4922048968180075E-2</v>
          </cell>
          <cell r="U140">
            <v>5.7263319262240264E-2</v>
          </cell>
          <cell r="V140">
            <v>0.10030600428353376</v>
          </cell>
          <cell r="W140" t="str">
            <v/>
          </cell>
          <cell r="X140" t="str">
            <v/>
          </cell>
          <cell r="Y140">
            <v>2.1024825237333511E-3</v>
          </cell>
          <cell r="Z140" t="str">
            <v/>
          </cell>
          <cell r="AA140">
            <v>1.5562929231549338E-2</v>
          </cell>
          <cell r="AB140" t="str">
            <v/>
          </cell>
          <cell r="AC140">
            <v>3.6638264389218134E-2</v>
          </cell>
          <cell r="AD140">
            <v>6.0051897279190802E-2</v>
          </cell>
          <cell r="AE140">
            <v>0.10512080458311834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2.430684816614237E-3</v>
          </cell>
          <cell r="Q141" t="str">
            <v/>
          </cell>
          <cell r="R141">
            <v>1.041827335199097E-2</v>
          </cell>
          <cell r="S141" t="str">
            <v/>
          </cell>
          <cell r="T141">
            <v>2.1381977196019197E-2</v>
          </cell>
          <cell r="U141">
            <v>3.2929078008642088E-2</v>
          </cell>
          <cell r="V141">
            <v>5.6904200036376751E-2</v>
          </cell>
          <cell r="W141" t="str">
            <v/>
          </cell>
          <cell r="X141" t="str">
            <v/>
          </cell>
          <cell r="Y141">
            <v>2.6319399267051846E-3</v>
          </cell>
          <cell r="Z141" t="str">
            <v/>
          </cell>
          <cell r="AA141">
            <v>1.0950493464163991E-2</v>
          </cell>
          <cell r="AB141" t="str">
            <v/>
          </cell>
          <cell r="AC141">
            <v>2.2434150185474899E-2</v>
          </cell>
          <cell r="AD141">
            <v>3.4541458411541326E-2</v>
          </cell>
          <cell r="AE141">
            <v>5.9674098220997562E-2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2.374317460802633E-3</v>
          </cell>
          <cell r="Q142" t="str">
            <v/>
          </cell>
          <cell r="R142">
            <v>1.2555011758394463E-2</v>
          </cell>
          <cell r="S142" t="str">
            <v/>
          </cell>
          <cell r="T142">
            <v>3.0207092995187423E-2</v>
          </cell>
          <cell r="U142">
            <v>5.4399078685967384E-2</v>
          </cell>
          <cell r="V142">
            <v>9.4412042189432333E-2</v>
          </cell>
          <cell r="W142" t="str">
            <v/>
          </cell>
          <cell r="X142" t="str">
            <v/>
          </cell>
          <cell r="Y142">
            <v>2.5755852132772761E-3</v>
          </cell>
          <cell r="Z142" t="str">
            <v/>
          </cell>
          <cell r="AA142">
            <v>1.3169983167942378E-2</v>
          </cell>
          <cell r="AB142" t="str">
            <v/>
          </cell>
          <cell r="AC142">
            <v>3.1696159998372941E-2</v>
          </cell>
          <cell r="AD142">
            <v>5.7056137250050543E-2</v>
          </cell>
          <cell r="AE142">
            <v>9.8959467263074918E-2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2.3984752853675184E-3</v>
          </cell>
          <cell r="Q143" t="str">
            <v/>
          </cell>
          <cell r="R143">
            <v>1.3251772070081991E-2</v>
          </cell>
          <cell r="S143" t="str">
            <v/>
          </cell>
          <cell r="T143">
            <v>3.1459253800616982E-2</v>
          </cell>
          <cell r="U143">
            <v>4.4668331614529766E-2</v>
          </cell>
          <cell r="V143">
            <v>6.621900576173545E-2</v>
          </cell>
          <cell r="W143" t="str">
            <v/>
          </cell>
          <cell r="X143" t="str">
            <v/>
          </cell>
          <cell r="Y143">
            <v>2.5997376235268321E-3</v>
          </cell>
          <cell r="Z143" t="str">
            <v/>
          </cell>
          <cell r="AA143">
            <v>1.3901400113600526E-2</v>
          </cell>
          <cell r="AB143" t="str">
            <v/>
          </cell>
          <cell r="AC143">
            <v>3.3009802689089929E-2</v>
          </cell>
          <cell r="AD143">
            <v>4.6848296501434183E-2</v>
          </cell>
          <cell r="AE143">
            <v>6.942711697105286E-2</v>
          </cell>
        </row>
        <row r="144">
          <cell r="D144" t="str">
            <v>USD</v>
          </cell>
          <cell r="N144" t="str">
            <v>IRS Curve missing</v>
          </cell>
          <cell r="O144" t="str">
            <v>IRS Curve missing</v>
          </cell>
          <cell r="P144" t="str">
            <v>IRS Curve missing</v>
          </cell>
          <cell r="Q144" t="str">
            <v>IRS Curve missing</v>
          </cell>
          <cell r="R144" t="str">
            <v>IRS Curve missing</v>
          </cell>
          <cell r="S144" t="str">
            <v>IRS Curve missing</v>
          </cell>
          <cell r="T144" t="str">
            <v>IRS Curve missing</v>
          </cell>
          <cell r="U144" t="str">
            <v>IRS Curve missing</v>
          </cell>
          <cell r="V144" t="str">
            <v>IRS Curve missing</v>
          </cell>
          <cell r="W144" t="str">
            <v>IRS Curve missing</v>
          </cell>
          <cell r="X144" t="str">
            <v>IRS Curve missing</v>
          </cell>
          <cell r="Y144" t="str">
            <v>IRS Curve missing</v>
          </cell>
          <cell r="Z144" t="str">
            <v>IRS Curve missing</v>
          </cell>
          <cell r="AA144" t="str">
            <v>IRS Curve missing</v>
          </cell>
          <cell r="AB144" t="str">
            <v>IRS Curve missing</v>
          </cell>
          <cell r="AC144" t="str">
            <v>IRS Curve missing</v>
          </cell>
          <cell r="AD144" t="str">
            <v>IRS Curve missing</v>
          </cell>
          <cell r="AE144" t="str">
            <v>IRS Curve missing</v>
          </cell>
        </row>
        <row r="145">
          <cell r="D145" t="str">
            <v>USD</v>
          </cell>
          <cell r="N145" t="str">
            <v>IRS Curve missing</v>
          </cell>
          <cell r="O145" t="str">
            <v>IRS Curve missing</v>
          </cell>
          <cell r="P145" t="str">
            <v>IRS Curve missing</v>
          </cell>
          <cell r="Q145" t="str">
            <v>IRS Curve missing</v>
          </cell>
          <cell r="R145" t="str">
            <v>IRS Curve missing</v>
          </cell>
          <cell r="S145" t="str">
            <v>IRS Curve missing</v>
          </cell>
          <cell r="T145" t="str">
            <v>IRS Curve missing</v>
          </cell>
          <cell r="U145" t="str">
            <v>IRS Curve missing</v>
          </cell>
          <cell r="V145" t="str">
            <v>IRS Curve missing</v>
          </cell>
          <cell r="W145" t="str">
            <v>IRS Curve missing</v>
          </cell>
          <cell r="X145" t="str">
            <v>IRS Curve missing</v>
          </cell>
          <cell r="Y145" t="str">
            <v>IRS Curve missing</v>
          </cell>
          <cell r="Z145" t="str">
            <v>IRS Curve missing</v>
          </cell>
          <cell r="AA145" t="str">
            <v>IRS Curve missing</v>
          </cell>
          <cell r="AB145" t="str">
            <v>IRS Curve missing</v>
          </cell>
          <cell r="AC145" t="str">
            <v>IRS Curve missing</v>
          </cell>
          <cell r="AD145" t="str">
            <v>IRS Curve missing</v>
          </cell>
          <cell r="AE145" t="str">
            <v>IRS Curve missing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2.0924333443231857E-3</v>
          </cell>
          <cell r="Q146" t="str">
            <v/>
          </cell>
          <cell r="R146">
            <v>1.5619054007528055E-2</v>
          </cell>
          <cell r="S146" t="str">
            <v/>
          </cell>
          <cell r="T146">
            <v>3.8883234490645124E-2</v>
          </cell>
          <cell r="U146">
            <v>6.7711426327713653E-2</v>
          </cell>
          <cell r="V146">
            <v>0.12753596709427517</v>
          </cell>
          <cell r="W146" t="str">
            <v/>
          </cell>
          <cell r="X146" t="str">
            <v/>
          </cell>
          <cell r="Y146">
            <v>2.2937638403187632E-3</v>
          </cell>
          <cell r="Z146" t="str">
            <v/>
          </cell>
          <cell r="AA146">
            <v>1.638423892606955E-2</v>
          </cell>
          <cell r="AB146" t="str">
            <v/>
          </cell>
          <cell r="AC146">
            <v>4.0793606575475372E-2</v>
          </cell>
          <cell r="AD146">
            <v>7.1002270298137549E-2</v>
          </cell>
          <cell r="AE146">
            <v>0.13361184567159745</v>
          </cell>
        </row>
        <row r="147">
          <cell r="D147" t="str">
            <v>USD</v>
          </cell>
          <cell r="N147" t="str">
            <v>IRS Curve missing</v>
          </cell>
          <cell r="O147" t="str">
            <v>IRS Curve missing</v>
          </cell>
          <cell r="P147" t="str">
            <v>IRS Curve missing</v>
          </cell>
          <cell r="Q147" t="str">
            <v>IRS Curve missing</v>
          </cell>
          <cell r="R147" t="str">
            <v>IRS Curve missing</v>
          </cell>
          <cell r="S147" t="str">
            <v>IRS Curve missing</v>
          </cell>
          <cell r="T147" t="str">
            <v>IRS Curve missing</v>
          </cell>
          <cell r="U147" t="str">
            <v>IRS Curve missing</v>
          </cell>
          <cell r="V147" t="str">
            <v>IRS Curve missing</v>
          </cell>
          <cell r="W147" t="str">
            <v>IRS Curve missing</v>
          </cell>
          <cell r="X147" t="str">
            <v>IRS Curve missing</v>
          </cell>
          <cell r="Y147" t="str">
            <v>IRS Curve missing</v>
          </cell>
          <cell r="Z147" t="str">
            <v>IRS Curve missing</v>
          </cell>
          <cell r="AA147" t="str">
            <v>IRS Curve missing</v>
          </cell>
          <cell r="AB147" t="str">
            <v>IRS Curve missing</v>
          </cell>
          <cell r="AC147" t="str">
            <v>IRS Curve missing</v>
          </cell>
          <cell r="AD147" t="str">
            <v>IRS Curve missing</v>
          </cell>
          <cell r="AE147" t="str">
            <v>IRS Curve missing</v>
          </cell>
        </row>
        <row r="148">
          <cell r="D148" t="str">
            <v>USD</v>
          </cell>
          <cell r="N148" t="str">
            <v>IRS Curve missing</v>
          </cell>
          <cell r="O148" t="str">
            <v>IRS Curve missing</v>
          </cell>
          <cell r="P148" t="str">
            <v>IRS Curve missing</v>
          </cell>
          <cell r="Q148" t="str">
            <v>IRS Curve missing</v>
          </cell>
          <cell r="R148" t="str">
            <v>IRS Curve missing</v>
          </cell>
          <cell r="S148" t="str">
            <v>IRS Curve missing</v>
          </cell>
          <cell r="T148" t="str">
            <v>IRS Curve missing</v>
          </cell>
          <cell r="U148" t="str">
            <v>IRS Curve missing</v>
          </cell>
          <cell r="V148" t="str">
            <v>IRS Curve missing</v>
          </cell>
          <cell r="W148" t="str">
            <v>IRS Curve missing</v>
          </cell>
          <cell r="X148" t="str">
            <v>IRS Curve missing</v>
          </cell>
          <cell r="Y148" t="str">
            <v>IRS Curve missing</v>
          </cell>
          <cell r="Z148" t="str">
            <v>IRS Curve missing</v>
          </cell>
          <cell r="AA148" t="str">
            <v>IRS Curve missing</v>
          </cell>
          <cell r="AB148" t="str">
            <v>IRS Curve missing</v>
          </cell>
          <cell r="AC148" t="str">
            <v>IRS Curve missing</v>
          </cell>
          <cell r="AD148" t="str">
            <v>IRS Curve missing</v>
          </cell>
          <cell r="AE148" t="str">
            <v>IRS Curve missing</v>
          </cell>
        </row>
        <row r="149">
          <cell r="D149" t="str">
            <v>USD</v>
          </cell>
          <cell r="N149" t="str">
            <v>IRS Curve missing</v>
          </cell>
          <cell r="O149" t="str">
            <v>IRS Curve missing</v>
          </cell>
          <cell r="P149" t="str">
            <v>IRS Curve missing</v>
          </cell>
          <cell r="Q149" t="str">
            <v>IRS Curve missing</v>
          </cell>
          <cell r="R149" t="str">
            <v>IRS Curve missing</v>
          </cell>
          <cell r="S149" t="str">
            <v>IRS Curve missing</v>
          </cell>
          <cell r="T149" t="str">
            <v>IRS Curve missing</v>
          </cell>
          <cell r="U149" t="str">
            <v>IRS Curve missing</v>
          </cell>
          <cell r="V149" t="str">
            <v>IRS Curve missing</v>
          </cell>
          <cell r="W149" t="str">
            <v>IRS Curve missing</v>
          </cell>
          <cell r="X149" t="str">
            <v>IRS Curve missing</v>
          </cell>
          <cell r="Y149" t="str">
            <v>IRS Curve missing</v>
          </cell>
          <cell r="Z149" t="str">
            <v>IRS Curve missing</v>
          </cell>
          <cell r="AA149" t="str">
            <v>IRS Curve missing</v>
          </cell>
          <cell r="AB149" t="str">
            <v>IRS Curve missing</v>
          </cell>
          <cell r="AC149" t="str">
            <v>IRS Curve missing</v>
          </cell>
          <cell r="AD149" t="str">
            <v>IRS Curve missing</v>
          </cell>
          <cell r="AE149" t="str">
            <v>IRS Curve missing</v>
          </cell>
        </row>
        <row r="150">
          <cell r="D150" t="str">
            <v>USD</v>
          </cell>
          <cell r="N150" t="str">
            <v>IRS Curve missing</v>
          </cell>
          <cell r="O150" t="str">
            <v>IRS Curve missing</v>
          </cell>
          <cell r="P150" t="str">
            <v>IRS Curve missing</v>
          </cell>
          <cell r="Q150" t="str">
            <v>IRS Curve missing</v>
          </cell>
          <cell r="R150" t="str">
            <v>IRS Curve missing</v>
          </cell>
          <cell r="S150" t="str">
            <v>IRS Curve missing</v>
          </cell>
          <cell r="T150" t="str">
            <v>IRS Curve missing</v>
          </cell>
          <cell r="U150" t="str">
            <v>IRS Curve missing</v>
          </cell>
          <cell r="V150" t="str">
            <v>IRS Curve missing</v>
          </cell>
          <cell r="W150" t="str">
            <v>IRS Curve missing</v>
          </cell>
          <cell r="X150" t="str">
            <v>IRS Curve missing</v>
          </cell>
          <cell r="Y150" t="str">
            <v>IRS Curve missing</v>
          </cell>
          <cell r="Z150" t="str">
            <v>IRS Curve missing</v>
          </cell>
          <cell r="AA150" t="str">
            <v>IRS Curve missing</v>
          </cell>
          <cell r="AB150" t="str">
            <v>IRS Curve missing</v>
          </cell>
          <cell r="AC150" t="str">
            <v>IRS Curve missing</v>
          </cell>
          <cell r="AD150" t="str">
            <v>IRS Curve missing</v>
          </cell>
          <cell r="AE150" t="str">
            <v>IRS Curve missing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1.0709494977400036E-3</v>
          </cell>
          <cell r="Q151" t="str">
            <v/>
          </cell>
          <cell r="R151">
            <v>3.6582486596276054E-3</v>
          </cell>
          <cell r="S151" t="str">
            <v/>
          </cell>
          <cell r="T151">
            <v>1.0493052839478323E-2</v>
          </cell>
          <cell r="U151">
            <v>1.8932211628110096E-2</v>
          </cell>
          <cell r="V151">
            <v>3.6347374118500531E-2</v>
          </cell>
          <cell r="W151" t="str">
            <v/>
          </cell>
          <cell r="X151" t="str">
            <v/>
          </cell>
          <cell r="Y151">
            <v>1.2725008256738723E-3</v>
          </cell>
          <cell r="Z151" t="str">
            <v/>
          </cell>
          <cell r="AA151">
            <v>4.1936126670124585E-3</v>
          </cell>
          <cell r="AB151" t="str">
            <v/>
          </cell>
          <cell r="AC151">
            <v>1.1358370444644383E-2</v>
          </cell>
          <cell r="AD151">
            <v>2.0121076273872163E-2</v>
          </cell>
          <cell r="AE151">
            <v>3.800731368296395E-2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9.6612333957823981E-4</v>
          </cell>
          <cell r="Q152" t="str">
            <v/>
          </cell>
          <cell r="R152">
            <v>6.8346387205835413E-3</v>
          </cell>
          <cell r="S152" t="str">
            <v/>
          </cell>
          <cell r="T152">
            <v>1.8795633157873026E-2</v>
          </cell>
          <cell r="U152">
            <v>3.2478808737708365E-2</v>
          </cell>
          <cell r="V152">
            <v>5.5319510681466344E-2</v>
          </cell>
          <cell r="W152" t="str">
            <v/>
          </cell>
          <cell r="X152" t="str">
            <v/>
          </cell>
          <cell r="Y152">
            <v>1.1676967638273306E-3</v>
          </cell>
          <cell r="Z152" t="str">
            <v/>
          </cell>
          <cell r="AA152">
            <v>7.3688282379235082E-3</v>
          </cell>
          <cell r="AB152" t="str">
            <v/>
          </cell>
          <cell r="AC152">
            <v>1.9690735172208651E-2</v>
          </cell>
          <cell r="AD152">
            <v>3.4050588472420928E-2</v>
          </cell>
          <cell r="AE152">
            <v>5.7985375154159358E-2</v>
          </cell>
        </row>
        <row r="153">
          <cell r="D153" t="str">
            <v>USD</v>
          </cell>
          <cell r="N153" t="str">
            <v>IRS Curve missing</v>
          </cell>
          <cell r="O153" t="str">
            <v>IRS Curve missing</v>
          </cell>
          <cell r="P153" t="str">
            <v>IRS Curve missing</v>
          </cell>
          <cell r="Q153" t="str">
            <v>IRS Curve missing</v>
          </cell>
          <cell r="R153" t="str">
            <v>IRS Curve missing</v>
          </cell>
          <cell r="S153" t="str">
            <v>IRS Curve missing</v>
          </cell>
          <cell r="T153" t="str">
            <v>IRS Curve missing</v>
          </cell>
          <cell r="U153" t="str">
            <v>IRS Curve missing</v>
          </cell>
          <cell r="V153" t="str">
            <v>IRS Curve missing</v>
          </cell>
          <cell r="W153" t="str">
            <v>IRS Curve missing</v>
          </cell>
          <cell r="X153" t="str">
            <v>IRS Curve missing</v>
          </cell>
          <cell r="Y153" t="str">
            <v>IRS Curve missing</v>
          </cell>
          <cell r="Z153" t="str">
            <v>IRS Curve missing</v>
          </cell>
          <cell r="AA153" t="str">
            <v>IRS Curve missing</v>
          </cell>
          <cell r="AB153" t="str">
            <v>IRS Curve missing</v>
          </cell>
          <cell r="AC153" t="str">
            <v>IRS Curve missing</v>
          </cell>
          <cell r="AD153" t="str">
            <v>IRS Curve missing</v>
          </cell>
          <cell r="AE153" t="str">
            <v>IRS Curve missing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8.2499398109781019E-4</v>
          </cell>
          <cell r="Q154" t="str">
            <v/>
          </cell>
          <cell r="R154">
            <v>6.9932488214158317E-3</v>
          </cell>
          <cell r="S154" t="str">
            <v/>
          </cell>
          <cell r="T154">
            <v>1.6944047880950386E-2</v>
          </cell>
          <cell r="U154">
            <v>3.433313528067794E-2</v>
          </cell>
          <cell r="V154">
            <v>5.9494167035703316E-2</v>
          </cell>
          <cell r="W154" t="str">
            <v/>
          </cell>
          <cell r="X154" t="str">
            <v/>
          </cell>
          <cell r="Y154">
            <v>1.0265969912727213E-3</v>
          </cell>
          <cell r="Z154" t="str">
            <v/>
          </cell>
          <cell r="AA154">
            <v>7.5274346476272846E-3</v>
          </cell>
          <cell r="AB154" t="str">
            <v/>
          </cell>
          <cell r="AC154">
            <v>1.780450675401235E-2</v>
          </cell>
          <cell r="AD154">
            <v>3.5987715751378935E-2</v>
          </cell>
          <cell r="AE154">
            <v>6.2359287676621022E-2</v>
          </cell>
        </row>
        <row r="155">
          <cell r="D155" t="str">
            <v>USD</v>
          </cell>
          <cell r="N155" t="str">
            <v>IRS Curve missing</v>
          </cell>
          <cell r="O155" t="str">
            <v>IRS Curve missing</v>
          </cell>
          <cell r="P155" t="str">
            <v>IRS Curve missing</v>
          </cell>
          <cell r="Q155" t="str">
            <v>IRS Curve missing</v>
          </cell>
          <cell r="R155" t="str">
            <v>IRS Curve missing</v>
          </cell>
          <cell r="S155" t="str">
            <v>IRS Curve missing</v>
          </cell>
          <cell r="T155" t="str">
            <v>IRS Curve missing</v>
          </cell>
          <cell r="U155" t="str">
            <v>IRS Curve missing</v>
          </cell>
          <cell r="V155" t="str">
            <v>IRS Curve missing</v>
          </cell>
          <cell r="W155" t="str">
            <v>IRS Curve missing</v>
          </cell>
          <cell r="X155" t="str">
            <v>IRS Curve missing</v>
          </cell>
          <cell r="Y155" t="str">
            <v>IRS Curve missing</v>
          </cell>
          <cell r="Z155" t="str">
            <v>IRS Curve missing</v>
          </cell>
          <cell r="AA155" t="str">
            <v>IRS Curve missing</v>
          </cell>
          <cell r="AB155" t="str">
            <v>IRS Curve missing</v>
          </cell>
          <cell r="AC155" t="str">
            <v>IRS Curve missing</v>
          </cell>
          <cell r="AD155" t="str">
            <v>IRS Curve missing</v>
          </cell>
          <cell r="AE155" t="str">
            <v>IRS Curve missing</v>
          </cell>
        </row>
        <row r="156">
          <cell r="D156" t="str">
            <v>USD</v>
          </cell>
          <cell r="N156" t="str">
            <v>IRS Curve missing</v>
          </cell>
          <cell r="O156" t="str">
            <v>IRS Curve missing</v>
          </cell>
          <cell r="P156" t="str">
            <v>IRS Curve missing</v>
          </cell>
          <cell r="Q156" t="str">
            <v>IRS Curve missing</v>
          </cell>
          <cell r="R156" t="str">
            <v>IRS Curve missing</v>
          </cell>
          <cell r="S156" t="str">
            <v>IRS Curve missing</v>
          </cell>
          <cell r="T156" t="str">
            <v>IRS Curve missing</v>
          </cell>
          <cell r="U156" t="str">
            <v>IRS Curve missing</v>
          </cell>
          <cell r="V156" t="str">
            <v>IRS Curve missing</v>
          </cell>
          <cell r="W156" t="str">
            <v>IRS Curve missing</v>
          </cell>
          <cell r="X156" t="str">
            <v>IRS Curve missing</v>
          </cell>
          <cell r="Y156" t="str">
            <v>IRS Curve missing</v>
          </cell>
          <cell r="Z156" t="str">
            <v>IRS Curve missing</v>
          </cell>
          <cell r="AA156" t="str">
            <v>IRS Curve missing</v>
          </cell>
          <cell r="AB156" t="str">
            <v>IRS Curve missing</v>
          </cell>
          <cell r="AC156" t="str">
            <v>IRS Curve missing</v>
          </cell>
          <cell r="AD156" t="str">
            <v>IRS Curve missing</v>
          </cell>
          <cell r="AE156" t="str">
            <v>IRS Curve missing</v>
          </cell>
        </row>
        <row r="157">
          <cell r="D157" t="str">
            <v>USD</v>
          </cell>
          <cell r="N157" t="str">
            <v>IRS Curve missing</v>
          </cell>
          <cell r="O157" t="str">
            <v>IRS Curve missing</v>
          </cell>
          <cell r="P157" t="str">
            <v>IRS Curve missing</v>
          </cell>
          <cell r="Q157" t="str">
            <v>IRS Curve missing</v>
          </cell>
          <cell r="R157" t="str">
            <v>IRS Curve missing</v>
          </cell>
          <cell r="S157" t="str">
            <v>IRS Curve missing</v>
          </cell>
          <cell r="T157" t="str">
            <v>IRS Curve missing</v>
          </cell>
          <cell r="U157" t="str">
            <v>IRS Curve missing</v>
          </cell>
          <cell r="V157" t="str">
            <v>IRS Curve missing</v>
          </cell>
          <cell r="W157" t="str">
            <v>IRS Curve missing</v>
          </cell>
          <cell r="X157" t="str">
            <v>IRS Curve missing</v>
          </cell>
          <cell r="Y157" t="str">
            <v>IRS Curve missing</v>
          </cell>
          <cell r="Z157" t="str">
            <v>IRS Curve missing</v>
          </cell>
          <cell r="AA157" t="str">
            <v>IRS Curve missing</v>
          </cell>
          <cell r="AB157" t="str">
            <v>IRS Curve missing</v>
          </cell>
          <cell r="AC157" t="str">
            <v>IRS Curve missing</v>
          </cell>
          <cell r="AD157" t="str">
            <v>IRS Curve missing</v>
          </cell>
          <cell r="AE157" t="str">
            <v>IRS Curve missing</v>
          </cell>
        </row>
        <row r="158">
          <cell r="D158" t="str">
            <v>USD</v>
          </cell>
          <cell r="N158" t="str">
            <v>IRS Curve missing</v>
          </cell>
          <cell r="O158" t="str">
            <v>IRS Curve missing</v>
          </cell>
          <cell r="P158" t="str">
            <v>IRS Curve missing</v>
          </cell>
          <cell r="Q158" t="str">
            <v>IRS Curve missing</v>
          </cell>
          <cell r="R158" t="str">
            <v>IRS Curve missing</v>
          </cell>
          <cell r="S158" t="str">
            <v>IRS Curve missing</v>
          </cell>
          <cell r="T158" t="str">
            <v>IRS Curve missing</v>
          </cell>
          <cell r="U158" t="str">
            <v>IRS Curve missing</v>
          </cell>
          <cell r="V158" t="str">
            <v>IRS Curve missing</v>
          </cell>
          <cell r="W158" t="str">
            <v>IRS Curve missing</v>
          </cell>
          <cell r="X158" t="str">
            <v>IRS Curve missing</v>
          </cell>
          <cell r="Y158" t="str">
            <v>IRS Curve missing</v>
          </cell>
          <cell r="Z158" t="str">
            <v>IRS Curve missing</v>
          </cell>
          <cell r="AA158" t="str">
            <v>IRS Curve missing</v>
          </cell>
          <cell r="AB158" t="str">
            <v>IRS Curve missing</v>
          </cell>
          <cell r="AC158" t="str">
            <v>IRS Curve missing</v>
          </cell>
          <cell r="AD158" t="str">
            <v>IRS Curve missing</v>
          </cell>
          <cell r="AE158" t="str">
            <v>IRS Curve missing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2.4951007882807463E-3</v>
          </cell>
          <cell r="Q159" t="str">
            <v/>
          </cell>
          <cell r="R159">
            <v>2.2248777242270035E-2</v>
          </cell>
          <cell r="S159" t="str">
            <v/>
          </cell>
          <cell r="T159">
            <v>5.0522353628274952E-2</v>
          </cell>
          <cell r="U159">
            <v>9.180703620137376E-2</v>
          </cell>
          <cell r="V159">
            <v>0.16226863908604106</v>
          </cell>
          <cell r="W159" t="str">
            <v/>
          </cell>
          <cell r="X159" t="str">
            <v/>
          </cell>
          <cell r="Y159">
            <v>2.6963414115018791E-3</v>
          </cell>
          <cell r="Z159" t="str">
            <v/>
          </cell>
          <cell r="AA159">
            <v>2.3343728942719411E-2</v>
          </cell>
          <cell r="AB159" t="str">
            <v/>
          </cell>
          <cell r="AC159">
            <v>5.2995026447220872E-2</v>
          </cell>
          <cell r="AD159">
            <v>9.6235237121206629E-2</v>
          </cell>
          <cell r="AE159">
            <v>0.16987878765756992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6.7120682086468486E-2</v>
          </cell>
          <cell r="Q160" t="str">
            <v/>
          </cell>
          <cell r="R160">
            <v>0.1664817975797438</v>
          </cell>
          <cell r="S160" t="str">
            <v/>
          </cell>
          <cell r="T160">
            <v>0.2252387106924274</v>
          </cell>
          <cell r="U160">
            <v>0.2786820615167509</v>
          </cell>
          <cell r="V160">
            <v>0.35827815920548711</v>
          </cell>
          <cell r="W160" t="str">
            <v/>
          </cell>
          <cell r="X160" t="str">
            <v/>
          </cell>
          <cell r="Y160">
            <v>7.0355777407017261E-2</v>
          </cell>
          <cell r="Z160" t="str">
            <v/>
          </cell>
          <cell r="AA160">
            <v>0.17402942482743455</v>
          </cell>
          <cell r="AB160" t="str">
            <v/>
          </cell>
          <cell r="AC160">
            <v>0.23489069449327926</v>
          </cell>
          <cell r="AD160">
            <v>0.29009261559678245</v>
          </cell>
          <cell r="AE160">
            <v>0.37195900689341244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2.1830475583241027E-3</v>
          </cell>
          <cell r="Q161" t="str">
            <v/>
          </cell>
          <cell r="R161">
            <v>1.6711702164048825E-2</v>
          </cell>
          <cell r="S161" t="str">
            <v/>
          </cell>
          <cell r="T161">
            <v>4.3671281240727056E-2</v>
          </cell>
          <cell r="U161">
            <v>8.1007624028897274E-2</v>
          </cell>
          <cell r="V161">
            <v>0.15241216925824352</v>
          </cell>
          <cell r="W161" t="str">
            <v/>
          </cell>
          <cell r="X161" t="str">
            <v/>
          </cell>
          <cell r="Y161">
            <v>2.3843579715424612E-3</v>
          </cell>
          <cell r="Z161" t="str">
            <v/>
          </cell>
          <cell r="AA161">
            <v>1.7531438974737079E-2</v>
          </cell>
          <cell r="AB161" t="str">
            <v/>
          </cell>
          <cell r="AC161">
            <v>4.5817797123247517E-2</v>
          </cell>
          <cell r="AD161">
            <v>8.493396857508706E-2</v>
          </cell>
          <cell r="AE161">
            <v>0.15962171597286179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2.211236984336451E-3</v>
          </cell>
          <cell r="Q162" t="str">
            <v/>
          </cell>
          <cell r="R162">
            <v>8.9233108558210983E-3</v>
          </cell>
          <cell r="S162" t="str">
            <v/>
          </cell>
          <cell r="T162">
            <v>2.1612912256365857E-2</v>
          </cell>
          <cell r="U162">
            <v>3.2910604311973235E-2</v>
          </cell>
          <cell r="V162">
            <v>5.8665063799728356E-2</v>
          </cell>
          <cell r="W162" t="str">
            <v/>
          </cell>
          <cell r="X162" t="str">
            <v/>
          </cell>
          <cell r="Y162">
            <v>2.4125411332461821E-3</v>
          </cell>
          <cell r="Z162" t="str">
            <v/>
          </cell>
          <cell r="AA162">
            <v>9.4561926847041011E-3</v>
          </cell>
          <cell r="AB162" t="str">
            <v/>
          </cell>
          <cell r="AC162">
            <v>2.2664902110341889E-2</v>
          </cell>
          <cell r="AD162">
            <v>3.4515304044457351E-2</v>
          </cell>
          <cell r="AE162">
            <v>6.1510006900054703E-2</v>
          </cell>
        </row>
        <row r="163">
          <cell r="D163" t="str">
            <v>USD</v>
          </cell>
          <cell r="N163" t="str">
            <v>IRS Curve missing</v>
          </cell>
          <cell r="O163" t="str">
            <v>IRS Curve missing</v>
          </cell>
          <cell r="P163" t="str">
            <v>IRS Curve missing</v>
          </cell>
          <cell r="Q163" t="str">
            <v>IRS Curve missing</v>
          </cell>
          <cell r="R163" t="str">
            <v>IRS Curve missing</v>
          </cell>
          <cell r="S163" t="str">
            <v>IRS Curve missing</v>
          </cell>
          <cell r="T163" t="str">
            <v>IRS Curve missing</v>
          </cell>
          <cell r="U163" t="str">
            <v>IRS Curve missing</v>
          </cell>
          <cell r="V163" t="str">
            <v>IRS Curve missing</v>
          </cell>
          <cell r="W163" t="str">
            <v>IRS Curve missing</v>
          </cell>
          <cell r="X163" t="str">
            <v>IRS Curve missing</v>
          </cell>
          <cell r="Y163" t="str">
            <v>IRS Curve missing</v>
          </cell>
          <cell r="Z163" t="str">
            <v>IRS Curve missing</v>
          </cell>
          <cell r="AA163" t="str">
            <v>IRS Curve missing</v>
          </cell>
          <cell r="AB163" t="str">
            <v>IRS Curve missing</v>
          </cell>
          <cell r="AC163" t="str">
            <v>IRS Curve missing</v>
          </cell>
          <cell r="AD163" t="str">
            <v>IRS Curve missing</v>
          </cell>
          <cell r="AE163" t="str">
            <v>IRS Curve missing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1.0709494977400036E-3</v>
          </cell>
          <cell r="Q164" t="str">
            <v/>
          </cell>
          <cell r="R164">
            <v>7.9497911526319465E-3</v>
          </cell>
          <cell r="S164" t="str">
            <v/>
          </cell>
          <cell r="T164">
            <v>1.9080763486208685E-2</v>
          </cell>
          <cell r="U164">
            <v>3.5315292517827612E-2</v>
          </cell>
          <cell r="V164">
            <v>7.2437306825421155E-2</v>
          </cell>
          <cell r="W164" t="str">
            <v/>
          </cell>
          <cell r="X164" t="str">
            <v/>
          </cell>
          <cell r="Y164">
            <v>1.2725008256738723E-3</v>
          </cell>
          <cell r="Z164" t="str">
            <v/>
          </cell>
          <cell r="AA164">
            <v>8.483509958719937E-3</v>
          </cell>
          <cell r="AB164" t="str">
            <v/>
          </cell>
          <cell r="AC164">
            <v>1.9998148620848255E-2</v>
          </cell>
          <cell r="AD164">
            <v>3.702883421870351E-2</v>
          </cell>
          <cell r="AE164">
            <v>7.5936332879266932E-2</v>
          </cell>
        </row>
        <row r="165">
          <cell r="D165" t="str">
            <v>USD</v>
          </cell>
          <cell r="N165" t="str">
            <v>IRS Curve missing</v>
          </cell>
          <cell r="O165" t="str">
            <v>IRS Curve missing</v>
          </cell>
          <cell r="P165" t="str">
            <v>IRS Curve missing</v>
          </cell>
          <cell r="Q165" t="str">
            <v>IRS Curve missing</v>
          </cell>
          <cell r="R165" t="str">
            <v>IRS Curve missing</v>
          </cell>
          <cell r="S165" t="str">
            <v>IRS Curve missing</v>
          </cell>
          <cell r="T165" t="str">
            <v>IRS Curve missing</v>
          </cell>
          <cell r="U165" t="str">
            <v>IRS Curve missing</v>
          </cell>
          <cell r="V165" t="str">
            <v>IRS Curve missing</v>
          </cell>
          <cell r="W165" t="str">
            <v>IRS Curve missing</v>
          </cell>
          <cell r="X165" t="str">
            <v>IRS Curve missing</v>
          </cell>
          <cell r="Y165" t="str">
            <v>IRS Curve missing</v>
          </cell>
          <cell r="Z165" t="str">
            <v>IRS Curve missing</v>
          </cell>
          <cell r="AA165" t="str">
            <v>IRS Curve missing</v>
          </cell>
          <cell r="AB165" t="str">
            <v>IRS Curve missing</v>
          </cell>
          <cell r="AC165" t="str">
            <v>IRS Curve missing</v>
          </cell>
          <cell r="AD165" t="str">
            <v>IRS Curve missing</v>
          </cell>
          <cell r="AE165" t="str">
            <v>IRS Curve missing</v>
          </cell>
        </row>
        <row r="166">
          <cell r="D166" t="str">
            <v>USD</v>
          </cell>
          <cell r="N166" t="str">
            <v>IRS Curve missing</v>
          </cell>
          <cell r="O166" t="str">
            <v>IRS Curve missing</v>
          </cell>
          <cell r="P166" t="str">
            <v>IRS Curve missing</v>
          </cell>
          <cell r="Q166" t="str">
            <v>IRS Curve missing</v>
          </cell>
          <cell r="R166" t="str">
            <v>IRS Curve missing</v>
          </cell>
          <cell r="S166" t="str">
            <v>IRS Curve missing</v>
          </cell>
          <cell r="T166" t="str">
            <v>IRS Curve missing</v>
          </cell>
          <cell r="U166" t="str">
            <v>IRS Curve missing</v>
          </cell>
          <cell r="V166" t="str">
            <v>IRS Curve missing</v>
          </cell>
          <cell r="W166" t="str">
            <v>IRS Curve missing</v>
          </cell>
          <cell r="X166" t="str">
            <v>IRS Curve missing</v>
          </cell>
          <cell r="Y166" t="str">
            <v>IRS Curve missing</v>
          </cell>
          <cell r="Z166" t="str">
            <v>IRS Curve missing</v>
          </cell>
          <cell r="AA166" t="str">
            <v>IRS Curve missing</v>
          </cell>
          <cell r="AB166" t="str">
            <v>IRS Curve missing</v>
          </cell>
          <cell r="AC166" t="str">
            <v>IRS Curve missing</v>
          </cell>
          <cell r="AD166" t="str">
            <v>IRS Curve missing</v>
          </cell>
          <cell r="AE166" t="str">
            <v>IRS Curve missing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1.3813322372171477E-3</v>
          </cell>
          <cell r="Q167" t="str">
            <v/>
          </cell>
          <cell r="R167">
            <v>1.2483334977525962E-2</v>
          </cell>
          <cell r="S167" t="str">
            <v/>
          </cell>
          <cell r="T167">
            <v>3.0760654881714422E-2</v>
          </cell>
          <cell r="U167">
            <v>6.1726299327182765E-2</v>
          </cell>
          <cell r="V167">
            <v>0.11430015873781108</v>
          </cell>
          <cell r="W167" t="str">
            <v/>
          </cell>
          <cell r="X167" t="str">
            <v/>
          </cell>
          <cell r="Y167">
            <v>1.5828175297013525E-3</v>
          </cell>
          <cell r="Z167" t="str">
            <v/>
          </cell>
          <cell r="AA167">
            <v>1.3089357711353777E-2</v>
          </cell>
          <cell r="AB167" t="str">
            <v/>
          </cell>
          <cell r="AC167">
            <v>3.2272753978837887E-2</v>
          </cell>
          <cell r="AD167">
            <v>6.4734339755960879E-2</v>
          </cell>
          <cell r="AE167">
            <v>0.11977998532266154</v>
          </cell>
        </row>
        <row r="168">
          <cell r="D168" t="str">
            <v>USD</v>
          </cell>
          <cell r="N168" t="str">
            <v>IRS Curve missing</v>
          </cell>
          <cell r="O168" t="str">
            <v>IRS Curve missing</v>
          </cell>
          <cell r="P168" t="str">
            <v>IRS Curve missing</v>
          </cell>
          <cell r="Q168" t="str">
            <v>IRS Curve missing</v>
          </cell>
          <cell r="R168" t="str">
            <v>IRS Curve missing</v>
          </cell>
          <cell r="S168" t="str">
            <v>IRS Curve missing</v>
          </cell>
          <cell r="T168" t="str">
            <v>IRS Curve missing</v>
          </cell>
          <cell r="U168" t="str">
            <v>IRS Curve missing</v>
          </cell>
          <cell r="V168" t="str">
            <v>IRS Curve missing</v>
          </cell>
          <cell r="W168" t="str">
            <v>IRS Curve missing</v>
          </cell>
          <cell r="X168" t="str">
            <v>IRS Curve missing</v>
          </cell>
          <cell r="Y168" t="str">
            <v>IRS Curve missing</v>
          </cell>
          <cell r="Z168" t="str">
            <v>IRS Curve missing</v>
          </cell>
          <cell r="AA168" t="str">
            <v>IRS Curve missing</v>
          </cell>
          <cell r="AB168" t="str">
            <v>IRS Curve missing</v>
          </cell>
          <cell r="AC168" t="str">
            <v>IRS Curve missing</v>
          </cell>
          <cell r="AD168" t="str">
            <v>IRS Curve missing</v>
          </cell>
          <cell r="AE168" t="str">
            <v>IRS Curve missing</v>
          </cell>
        </row>
        <row r="169">
          <cell r="D169" t="str">
            <v>USD</v>
          </cell>
          <cell r="N169" t="str">
            <v>IRS Curve missing</v>
          </cell>
          <cell r="O169" t="str">
            <v>IRS Curve missing</v>
          </cell>
          <cell r="P169" t="str">
            <v>IRS Curve missing</v>
          </cell>
          <cell r="Q169" t="str">
            <v>IRS Curve missing</v>
          </cell>
          <cell r="R169" t="str">
            <v>IRS Curve missing</v>
          </cell>
          <cell r="S169" t="str">
            <v>IRS Curve missing</v>
          </cell>
          <cell r="T169" t="str">
            <v>IRS Curve missing</v>
          </cell>
          <cell r="U169" t="str">
            <v>IRS Curve missing</v>
          </cell>
          <cell r="V169" t="str">
            <v>IRS Curve missing</v>
          </cell>
          <cell r="W169" t="str">
            <v>IRS Curve missing</v>
          </cell>
          <cell r="X169" t="str">
            <v>IRS Curve missing</v>
          </cell>
          <cell r="Y169" t="str">
            <v>IRS Curve missing</v>
          </cell>
          <cell r="Z169" t="str">
            <v>IRS Curve missing</v>
          </cell>
          <cell r="AA169" t="str">
            <v>IRS Curve missing</v>
          </cell>
          <cell r="AB169" t="str">
            <v>IRS Curve missing</v>
          </cell>
          <cell r="AC169" t="str">
            <v>IRS Curve missing</v>
          </cell>
          <cell r="AD169" t="str">
            <v>IRS Curve missing</v>
          </cell>
          <cell r="AE169" t="str">
            <v>IRS Curve missing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1.965559746215928E-3</v>
          </cell>
          <cell r="Q170" t="str">
            <v/>
          </cell>
          <cell r="R170">
            <v>1.699306267742362E-2</v>
          </cell>
          <cell r="S170" t="str">
            <v/>
          </cell>
          <cell r="T170">
            <v>4.3669542787211246E-2</v>
          </cell>
          <cell r="U170">
            <v>7.4599881230603571E-2</v>
          </cell>
          <cell r="V170">
            <v>0.12284073313515353</v>
          </cell>
          <cell r="W170" t="str">
            <v/>
          </cell>
          <cell r="X170" t="str">
            <v/>
          </cell>
          <cell r="Y170">
            <v>2.1669182240416918E-3</v>
          </cell>
          <cell r="Z170" t="str">
            <v/>
          </cell>
          <cell r="AA170">
            <v>1.7825536097109462E-2</v>
          </cell>
          <cell r="AB170" t="str">
            <v/>
          </cell>
          <cell r="AC170">
            <v>4.581250743515386E-2</v>
          </cell>
          <cell r="AD170">
            <v>7.8231303423523357E-2</v>
          </cell>
          <cell r="AE170">
            <v>0.12867683101507355</v>
          </cell>
        </row>
        <row r="171">
          <cell r="D171" t="str">
            <v>USD</v>
          </cell>
          <cell r="N171" t="str">
            <v>IRS Curve missing</v>
          </cell>
          <cell r="O171" t="str">
            <v>IRS Curve missing</v>
          </cell>
          <cell r="P171" t="str">
            <v>IRS Curve missing</v>
          </cell>
          <cell r="Q171" t="str">
            <v>IRS Curve missing</v>
          </cell>
          <cell r="R171" t="str">
            <v>IRS Curve missing</v>
          </cell>
          <cell r="S171" t="str">
            <v>IRS Curve missing</v>
          </cell>
          <cell r="T171" t="str">
            <v>IRS Curve missing</v>
          </cell>
          <cell r="U171" t="str">
            <v>IRS Curve missing</v>
          </cell>
          <cell r="V171" t="str">
            <v>IRS Curve missing</v>
          </cell>
          <cell r="W171" t="str">
            <v>IRS Curve missing</v>
          </cell>
          <cell r="X171" t="str">
            <v>IRS Curve missing</v>
          </cell>
          <cell r="Y171" t="str">
            <v>IRS Curve missing</v>
          </cell>
          <cell r="Z171" t="str">
            <v>IRS Curve missing</v>
          </cell>
          <cell r="AA171" t="str">
            <v>IRS Curve missing</v>
          </cell>
          <cell r="AB171" t="str">
            <v>IRS Curve missing</v>
          </cell>
          <cell r="AC171" t="str">
            <v>IRS Curve missing</v>
          </cell>
          <cell r="AD171" t="str">
            <v>IRS Curve missing</v>
          </cell>
          <cell r="AE171" t="str">
            <v>IRS Curve missing</v>
          </cell>
        </row>
        <row r="172">
          <cell r="D172" t="str">
            <v>USD</v>
          </cell>
          <cell r="N172" t="str">
            <v>IRS Curve missing</v>
          </cell>
          <cell r="O172" t="str">
            <v>IRS Curve missing</v>
          </cell>
          <cell r="P172" t="str">
            <v>IRS Curve missing</v>
          </cell>
          <cell r="Q172" t="str">
            <v>IRS Curve missing</v>
          </cell>
          <cell r="R172" t="str">
            <v>IRS Curve missing</v>
          </cell>
          <cell r="S172" t="str">
            <v>IRS Curve missing</v>
          </cell>
          <cell r="T172" t="str">
            <v>IRS Curve missing</v>
          </cell>
          <cell r="U172" t="str">
            <v>IRS Curve missing</v>
          </cell>
          <cell r="V172" t="str">
            <v>IRS Curve missing</v>
          </cell>
          <cell r="W172" t="str">
            <v>IRS Curve missing</v>
          </cell>
          <cell r="X172" t="str">
            <v>IRS Curve missing</v>
          </cell>
          <cell r="Y172" t="str">
            <v>IRS Curve missing</v>
          </cell>
          <cell r="Z172" t="str">
            <v>IRS Curve missing</v>
          </cell>
          <cell r="AA172" t="str">
            <v>IRS Curve missing</v>
          </cell>
          <cell r="AB172" t="str">
            <v>IRS Curve missing</v>
          </cell>
          <cell r="AC172" t="str">
            <v>IRS Curve missing</v>
          </cell>
          <cell r="AD172" t="str">
            <v>IRS Curve missing</v>
          </cell>
          <cell r="AE172" t="str">
            <v>IRS Curve missing</v>
          </cell>
        </row>
        <row r="173">
          <cell r="D173" t="str">
            <v>USD</v>
          </cell>
          <cell r="N173" t="str">
            <v>IRS Curve missing</v>
          </cell>
          <cell r="O173" t="str">
            <v>IRS Curve missing</v>
          </cell>
          <cell r="P173" t="str">
            <v>IRS Curve missing</v>
          </cell>
          <cell r="Q173" t="str">
            <v>IRS Curve missing</v>
          </cell>
          <cell r="R173" t="str">
            <v>IRS Curve missing</v>
          </cell>
          <cell r="S173" t="str">
            <v>IRS Curve missing</v>
          </cell>
          <cell r="T173" t="str">
            <v>IRS Curve missing</v>
          </cell>
          <cell r="U173" t="str">
            <v>IRS Curve missing</v>
          </cell>
          <cell r="V173" t="str">
            <v>IRS Curve missing</v>
          </cell>
          <cell r="W173" t="str">
            <v>IRS Curve missing</v>
          </cell>
          <cell r="X173" t="str">
            <v>IRS Curve missing</v>
          </cell>
          <cell r="Y173" t="str">
            <v>IRS Curve missing</v>
          </cell>
          <cell r="Z173" t="str">
            <v>IRS Curve missing</v>
          </cell>
          <cell r="AA173" t="str">
            <v>IRS Curve missing</v>
          </cell>
          <cell r="AB173" t="str">
            <v>IRS Curve missing</v>
          </cell>
          <cell r="AC173" t="str">
            <v>IRS Curve missing</v>
          </cell>
          <cell r="AD173" t="str">
            <v>IRS Curve missing</v>
          </cell>
          <cell r="AE173" t="str">
            <v>IRS Curve missing</v>
          </cell>
        </row>
        <row r="174">
          <cell r="D174" t="str">
            <v>USD</v>
          </cell>
          <cell r="N174" t="str">
            <v>IRS Curve missing</v>
          </cell>
          <cell r="O174" t="str">
            <v>IRS Curve missing</v>
          </cell>
          <cell r="P174" t="str">
            <v>IRS Curve missing</v>
          </cell>
          <cell r="Q174" t="str">
            <v>IRS Curve missing</v>
          </cell>
          <cell r="R174" t="str">
            <v>IRS Curve missing</v>
          </cell>
          <cell r="S174" t="str">
            <v>IRS Curve missing</v>
          </cell>
          <cell r="T174" t="str">
            <v>IRS Curve missing</v>
          </cell>
          <cell r="U174" t="str">
            <v>IRS Curve missing</v>
          </cell>
          <cell r="V174" t="str">
            <v>IRS Curve missing</v>
          </cell>
          <cell r="W174" t="str">
            <v>IRS Curve missing</v>
          </cell>
          <cell r="X174" t="str">
            <v>IRS Curve missing</v>
          </cell>
          <cell r="Y174" t="str">
            <v>IRS Curve missing</v>
          </cell>
          <cell r="Z174" t="str">
            <v>IRS Curve missing</v>
          </cell>
          <cell r="AA174" t="str">
            <v>IRS Curve missing</v>
          </cell>
          <cell r="AB174" t="str">
            <v>IRS Curve missing</v>
          </cell>
          <cell r="AC174" t="str">
            <v>IRS Curve missing</v>
          </cell>
          <cell r="AD174" t="str">
            <v>IRS Curve missing</v>
          </cell>
          <cell r="AE174" t="str">
            <v>IRS Curve missing</v>
          </cell>
        </row>
        <row r="175">
          <cell r="D175" t="str">
            <v>USD</v>
          </cell>
          <cell r="N175" t="str">
            <v>IRS Curve missing</v>
          </cell>
          <cell r="O175" t="str">
            <v>IRS Curve missing</v>
          </cell>
          <cell r="P175" t="str">
            <v>IRS Curve missing</v>
          </cell>
          <cell r="Q175" t="str">
            <v>IRS Curve missing</v>
          </cell>
          <cell r="R175" t="str">
            <v>IRS Curve missing</v>
          </cell>
          <cell r="S175" t="str">
            <v>IRS Curve missing</v>
          </cell>
          <cell r="T175" t="str">
            <v>IRS Curve missing</v>
          </cell>
          <cell r="U175" t="str">
            <v>IRS Curve missing</v>
          </cell>
          <cell r="V175" t="str">
            <v>IRS Curve missing</v>
          </cell>
          <cell r="W175" t="str">
            <v>IRS Curve missing</v>
          </cell>
          <cell r="X175" t="str">
            <v>IRS Curve missing</v>
          </cell>
          <cell r="Y175" t="str">
            <v>IRS Curve missing</v>
          </cell>
          <cell r="Z175" t="str">
            <v>IRS Curve missing</v>
          </cell>
          <cell r="AA175" t="str">
            <v>IRS Curve missing</v>
          </cell>
          <cell r="AB175" t="str">
            <v>IRS Curve missing</v>
          </cell>
          <cell r="AC175" t="str">
            <v>IRS Curve missing</v>
          </cell>
          <cell r="AD175" t="str">
            <v>IRS Curve missing</v>
          </cell>
          <cell r="AE175" t="str">
            <v>IRS Curve missing</v>
          </cell>
        </row>
        <row r="176">
          <cell r="D176" t="str">
            <v>USD</v>
          </cell>
          <cell r="N176" t="str">
            <v>IRS Curve missing</v>
          </cell>
          <cell r="O176" t="str">
            <v>IRS Curve missing</v>
          </cell>
          <cell r="P176" t="str">
            <v>IRS Curve missing</v>
          </cell>
          <cell r="Q176" t="str">
            <v>IRS Curve missing</v>
          </cell>
          <cell r="R176" t="str">
            <v>IRS Curve missing</v>
          </cell>
          <cell r="S176" t="str">
            <v>IRS Curve missing</v>
          </cell>
          <cell r="T176" t="str">
            <v>IRS Curve missing</v>
          </cell>
          <cell r="U176" t="str">
            <v>IRS Curve missing</v>
          </cell>
          <cell r="V176" t="str">
            <v>IRS Curve missing</v>
          </cell>
          <cell r="W176" t="str">
            <v>IRS Curve missing</v>
          </cell>
          <cell r="X176" t="str">
            <v>IRS Curve missing</v>
          </cell>
          <cell r="Y176" t="str">
            <v>IRS Curve missing</v>
          </cell>
          <cell r="Z176" t="str">
            <v>IRS Curve missing</v>
          </cell>
          <cell r="AA176" t="str">
            <v>IRS Curve missing</v>
          </cell>
          <cell r="AB176" t="str">
            <v>IRS Curve missing</v>
          </cell>
          <cell r="AC176" t="str">
            <v>IRS Curve missing</v>
          </cell>
          <cell r="AD176" t="str">
            <v>IRS Curve missing</v>
          </cell>
          <cell r="AE176" t="str">
            <v>IRS Curve missing</v>
          </cell>
        </row>
        <row r="177">
          <cell r="D177" t="str">
            <v>USD</v>
          </cell>
          <cell r="N177" t="str">
            <v>IRS Curve missing</v>
          </cell>
          <cell r="O177" t="str">
            <v>IRS Curve missing</v>
          </cell>
          <cell r="P177" t="str">
            <v>IRS Curve missing</v>
          </cell>
          <cell r="Q177" t="str">
            <v>IRS Curve missing</v>
          </cell>
          <cell r="R177" t="str">
            <v>IRS Curve missing</v>
          </cell>
          <cell r="S177" t="str">
            <v>IRS Curve missing</v>
          </cell>
          <cell r="T177" t="str">
            <v>IRS Curve missing</v>
          </cell>
          <cell r="U177" t="str">
            <v>IRS Curve missing</v>
          </cell>
          <cell r="V177" t="str">
            <v>IRS Curve missing</v>
          </cell>
          <cell r="W177" t="str">
            <v>IRS Curve missing</v>
          </cell>
          <cell r="X177" t="str">
            <v>IRS Curve missing</v>
          </cell>
          <cell r="Y177" t="str">
            <v>IRS Curve missing</v>
          </cell>
          <cell r="Z177" t="str">
            <v>IRS Curve missing</v>
          </cell>
          <cell r="AA177" t="str">
            <v>IRS Curve missing</v>
          </cell>
          <cell r="AB177" t="str">
            <v>IRS Curve missing</v>
          </cell>
          <cell r="AC177" t="str">
            <v>IRS Curve missing</v>
          </cell>
          <cell r="AD177" t="str">
            <v>IRS Curve missing</v>
          </cell>
          <cell r="AE177" t="str">
            <v>IRS Curve missing</v>
          </cell>
        </row>
        <row r="178">
          <cell r="D178" t="str">
            <v>USD</v>
          </cell>
          <cell r="N178" t="str">
            <v>IRS Curve missing</v>
          </cell>
          <cell r="O178" t="str">
            <v>IRS Curve missing</v>
          </cell>
          <cell r="P178" t="str">
            <v>IRS Curve missing</v>
          </cell>
          <cell r="Q178" t="str">
            <v>IRS Curve missing</v>
          </cell>
          <cell r="R178" t="str">
            <v>IRS Curve missing</v>
          </cell>
          <cell r="S178" t="str">
            <v>IRS Curve missing</v>
          </cell>
          <cell r="T178" t="str">
            <v>IRS Curve missing</v>
          </cell>
          <cell r="U178" t="str">
            <v>IRS Curve missing</v>
          </cell>
          <cell r="V178" t="str">
            <v>IRS Curve missing</v>
          </cell>
          <cell r="W178" t="str">
            <v>IRS Curve missing</v>
          </cell>
          <cell r="X178" t="str">
            <v>IRS Curve missing</v>
          </cell>
          <cell r="Y178" t="str">
            <v>IRS Curve missing</v>
          </cell>
          <cell r="Z178" t="str">
            <v>IRS Curve missing</v>
          </cell>
          <cell r="AA178" t="str">
            <v>IRS Curve missing</v>
          </cell>
          <cell r="AB178" t="str">
            <v>IRS Curve missing</v>
          </cell>
          <cell r="AC178" t="str">
            <v>IRS Curve missing</v>
          </cell>
          <cell r="AD178" t="str">
            <v>IRS Curve missing</v>
          </cell>
          <cell r="AE178" t="str">
            <v>IRS Curve missing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7.3627398125475363E-4</v>
          </cell>
          <cell r="Q179" t="str">
            <v/>
          </cell>
          <cell r="R179">
            <v>1.3193201599616344E-2</v>
          </cell>
          <cell r="S179" t="str">
            <v/>
          </cell>
          <cell r="T179">
            <v>2.7072953274400846E-2</v>
          </cell>
          <cell r="U179">
            <v>4.8800730185148744E-2</v>
          </cell>
          <cell r="V179">
            <v>8.7336815382760724E-2</v>
          </cell>
          <cell r="W179" t="str">
            <v/>
          </cell>
          <cell r="X179" t="str">
            <v/>
          </cell>
          <cell r="Y179">
            <v>9.3789549536638095E-4</v>
          </cell>
          <cell r="Z179" t="str">
            <v/>
          </cell>
          <cell r="AA179">
            <v>1.3830898358970445E-2</v>
          </cell>
          <cell r="AB179" t="str">
            <v/>
          </cell>
          <cell r="AC179">
            <v>2.8401081471731149E-2</v>
          </cell>
          <cell r="AD179">
            <v>5.1178474407987062E-2</v>
          </cell>
          <cell r="AE179">
            <v>9.155491241175584E-2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2.7627855202966289E-3</v>
          </cell>
          <cell r="Q180" t="str">
            <v/>
          </cell>
          <cell r="R180">
            <v>1.0487976419550238E-2</v>
          </cell>
          <cell r="S180" t="str">
            <v/>
          </cell>
          <cell r="T180">
            <v>2.9988952446872275E-2</v>
          </cell>
          <cell r="U180">
            <v>5.5506999910999499E-2</v>
          </cell>
          <cell r="V180">
            <v>9.4205911523607799E-2</v>
          </cell>
          <cell r="W180" t="str">
            <v/>
          </cell>
          <cell r="X180" t="str">
            <v/>
          </cell>
          <cell r="Y180">
            <v>2.9639654898850898E-3</v>
          </cell>
          <cell r="Z180" t="str">
            <v/>
          </cell>
          <cell r="AA180">
            <v>1.1020035113406546E-2</v>
          </cell>
          <cell r="AB180" t="str">
            <v/>
          </cell>
          <cell r="AC180">
            <v>3.1487143887045321E-2</v>
          </cell>
          <cell r="AD180">
            <v>5.8216382655377874E-2</v>
          </cell>
          <cell r="AE180">
            <v>9.8738718100872314E-2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8.8951271176029856E-4</v>
          </cell>
          <cell r="Q181" t="str">
            <v/>
          </cell>
          <cell r="R181">
            <v>7.9679697596870547E-3</v>
          </cell>
          <cell r="S181" t="str">
            <v/>
          </cell>
          <cell r="T181">
            <v>1.8193537585517561E-2</v>
          </cell>
          <cell r="U181">
            <v>3.4801979313501152E-2</v>
          </cell>
          <cell r="V181">
            <v>6.5608321691602023E-2</v>
          </cell>
          <cell r="W181" t="str">
            <v/>
          </cell>
          <cell r="X181" t="str">
            <v/>
          </cell>
          <cell r="Y181">
            <v>1.0911022195048137E-3</v>
          </cell>
          <cell r="Z181" t="str">
            <v/>
          </cell>
          <cell r="AA181">
            <v>8.5017555228126263E-3</v>
          </cell>
          <cell r="AB181" t="str">
            <v/>
          </cell>
          <cell r="AC181">
            <v>1.9065679490067766E-2</v>
          </cell>
          <cell r="AD181">
            <v>3.6491086555231256E-2</v>
          </cell>
          <cell r="AE181">
            <v>6.8778402421956319E-2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1.5445471303380254E-3</v>
          </cell>
          <cell r="Q182" t="str">
            <v/>
          </cell>
          <cell r="R182">
            <v>1.3780729139747261E-2</v>
          </cell>
          <cell r="S182" t="str">
            <v/>
          </cell>
          <cell r="T182">
            <v>2.8743298544407492E-2</v>
          </cell>
          <cell r="U182">
            <v>5.2938335165781947E-2</v>
          </cell>
          <cell r="V182">
            <v>9.0754808376618534E-2</v>
          </cell>
          <cell r="W182" t="str">
            <v/>
          </cell>
          <cell r="X182" t="str">
            <v/>
          </cell>
          <cell r="Y182">
            <v>1.7459973284162933E-3</v>
          </cell>
          <cell r="Z182" t="str">
            <v/>
          </cell>
          <cell r="AA182">
            <v>1.4451922136720863E-2</v>
          </cell>
          <cell r="AB182" t="str">
            <v/>
          </cell>
          <cell r="AC182">
            <v>3.0155619793825195E-2</v>
          </cell>
          <cell r="AD182">
            <v>5.5520030841742507E-2</v>
          </cell>
          <cell r="AE182">
            <v>9.5128424158073543E-2</v>
          </cell>
        </row>
        <row r="183">
          <cell r="D183" t="str">
            <v>USD</v>
          </cell>
          <cell r="N183" t="str">
            <v>IRS Curve missing</v>
          </cell>
          <cell r="O183" t="str">
            <v>IRS Curve missing</v>
          </cell>
          <cell r="P183" t="str">
            <v>IRS Curve missing</v>
          </cell>
          <cell r="Q183" t="str">
            <v>IRS Curve missing</v>
          </cell>
          <cell r="R183" t="str">
            <v>IRS Curve missing</v>
          </cell>
          <cell r="S183" t="str">
            <v>IRS Curve missing</v>
          </cell>
          <cell r="T183" t="str">
            <v>IRS Curve missing</v>
          </cell>
          <cell r="U183" t="str">
            <v>IRS Curve missing</v>
          </cell>
          <cell r="V183" t="str">
            <v>IRS Curve missing</v>
          </cell>
          <cell r="W183" t="str">
            <v>IRS Curve missing</v>
          </cell>
          <cell r="X183" t="str">
            <v>IRS Curve missing</v>
          </cell>
          <cell r="Y183" t="str">
            <v>IRS Curve missing</v>
          </cell>
          <cell r="Z183" t="str">
            <v>IRS Curve missing</v>
          </cell>
          <cell r="AA183" t="str">
            <v>IRS Curve missing</v>
          </cell>
          <cell r="AB183" t="str">
            <v>IRS Curve missing</v>
          </cell>
          <cell r="AC183" t="str">
            <v>IRS Curve missing</v>
          </cell>
          <cell r="AD183" t="str">
            <v>IRS Curve missing</v>
          </cell>
          <cell r="AE183" t="str">
            <v>IRS Curve missing</v>
          </cell>
        </row>
        <row r="184">
          <cell r="D184" t="str">
            <v>USD</v>
          </cell>
          <cell r="N184" t="str">
            <v/>
          </cell>
          <cell r="O184">
            <v>6.5879470752538971E-4</v>
          </cell>
          <cell r="P184">
            <v>1.4166691516551699E-3</v>
          </cell>
          <cell r="Q184">
            <v>4.1857029131547874E-3</v>
          </cell>
          <cell r="R184">
            <v>8.4226756769574251E-3</v>
          </cell>
          <cell r="S184" t="str">
            <v/>
          </cell>
          <cell r="T184">
            <v>2.1343626692695628E-2</v>
          </cell>
          <cell r="U184">
            <v>3.2832726558384207E-2</v>
          </cell>
          <cell r="V184">
            <v>5.4414423389753774E-2</v>
          </cell>
          <cell r="W184" t="str">
            <v/>
          </cell>
          <cell r="X184">
            <v>7.7638976550165051E-4</v>
          </cell>
          <cell r="Y184">
            <v>1.6181743616614508E-3</v>
          </cell>
          <cell r="Z184">
            <v>4.5538868475430982E-3</v>
          </cell>
          <cell r="AA184">
            <v>8.9560283859606571E-3</v>
          </cell>
          <cell r="AB184" t="str">
            <v/>
          </cell>
          <cell r="AC184">
            <v>2.2376001459280093E-2</v>
          </cell>
          <cell r="AD184">
            <v>3.4428137581027252E-2</v>
          </cell>
          <cell r="AE184">
            <v>5.7046172130904904E-2</v>
          </cell>
        </row>
        <row r="185">
          <cell r="D185" t="str">
            <v>USD</v>
          </cell>
          <cell r="N185" t="str">
            <v>IRS Curve missing</v>
          </cell>
          <cell r="O185" t="str">
            <v>IRS Curve missing</v>
          </cell>
          <cell r="P185" t="str">
            <v>IRS Curve missing</v>
          </cell>
          <cell r="Q185" t="str">
            <v>IRS Curve missing</v>
          </cell>
          <cell r="R185" t="str">
            <v>IRS Curve missing</v>
          </cell>
          <cell r="S185" t="str">
            <v>IRS Curve missing</v>
          </cell>
          <cell r="T185" t="str">
            <v>IRS Curve missing</v>
          </cell>
          <cell r="U185" t="str">
            <v>IRS Curve missing</v>
          </cell>
          <cell r="V185" t="str">
            <v>IRS Curve missing</v>
          </cell>
          <cell r="W185" t="str">
            <v>IRS Curve missing</v>
          </cell>
          <cell r="X185" t="str">
            <v>IRS Curve missing</v>
          </cell>
          <cell r="Y185" t="str">
            <v>IRS Curve missing</v>
          </cell>
          <cell r="Z185" t="str">
            <v>IRS Curve missing</v>
          </cell>
          <cell r="AA185" t="str">
            <v>IRS Curve missing</v>
          </cell>
          <cell r="AB185" t="str">
            <v>IRS Curve missing</v>
          </cell>
          <cell r="AC185" t="str">
            <v>IRS Curve missing</v>
          </cell>
          <cell r="AD185" t="str">
            <v>IRS Curve missing</v>
          </cell>
          <cell r="AE185" t="str">
            <v>IRS Curve missing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2.1327073348914594E-3</v>
          </cell>
          <cell r="Q186" t="str">
            <v/>
          </cell>
          <cell r="R186">
            <v>1.0643103308262791E-2</v>
          </cell>
          <cell r="S186" t="str">
            <v/>
          </cell>
          <cell r="T186">
            <v>2.3198430020153094E-2</v>
          </cell>
          <cell r="U186">
            <v>3.3875334973316296E-2</v>
          </cell>
          <cell r="V186">
            <v>5.5712618263337732E-2</v>
          </cell>
          <cell r="W186" t="str">
            <v/>
          </cell>
          <cell r="X186" t="str">
            <v/>
          </cell>
          <cell r="Y186">
            <v>2.3340289150790561E-3</v>
          </cell>
          <cell r="Z186" t="str">
            <v/>
          </cell>
          <cell r="AA186">
            <v>1.1175358115757095E-2</v>
          </cell>
          <cell r="AB186" t="str">
            <v/>
          </cell>
          <cell r="AC186">
            <v>2.434126844988227E-2</v>
          </cell>
          <cell r="AD186">
            <v>3.5530602719762494E-2</v>
          </cell>
          <cell r="AE186">
            <v>5.8427716106593253E-2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2.430684816614237E-3</v>
          </cell>
          <cell r="Q187" t="str">
            <v/>
          </cell>
          <cell r="R187">
            <v>1.6615226807230599E-2</v>
          </cell>
          <cell r="S187" t="str">
            <v/>
          </cell>
          <cell r="T187">
            <v>4.3220189377393359E-2</v>
          </cell>
          <cell r="U187">
            <v>7.1851304473422029E-2</v>
          </cell>
          <cell r="V187">
            <v>0.11841835453791949</v>
          </cell>
          <cell r="W187" t="str">
            <v/>
          </cell>
          <cell r="X187" t="str">
            <v/>
          </cell>
          <cell r="Y187">
            <v>2.6319399267051846E-3</v>
          </cell>
          <cell r="Z187" t="str">
            <v/>
          </cell>
          <cell r="AA187">
            <v>1.7431534900161805E-2</v>
          </cell>
          <cell r="AB187" t="str">
            <v/>
          </cell>
          <cell r="AC187">
            <v>4.5344718987314958E-2</v>
          </cell>
          <cell r="AD187">
            <v>7.53323767403411E-2</v>
          </cell>
          <cell r="AE187">
            <v>0.12405597312595396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5.3313514715268573E-3</v>
          </cell>
          <cell r="Q188" t="str">
            <v/>
          </cell>
          <cell r="R188">
            <v>2.6327169853889498E-2</v>
          </cell>
          <cell r="S188" t="str">
            <v/>
          </cell>
          <cell r="T188">
            <v>6.4436076090808592E-2</v>
          </cell>
          <cell r="U188">
            <v>0.10177890355996277</v>
          </cell>
          <cell r="V188">
            <v>0.16022064352841314</v>
          </cell>
          <cell r="W188" t="str">
            <v/>
          </cell>
          <cell r="X188" t="str">
            <v/>
          </cell>
          <cell r="Y188">
            <v>5.5970276673805719E-3</v>
          </cell>
          <cell r="Z188" t="str">
            <v/>
          </cell>
          <cell r="AA188">
            <v>2.7630064209828165E-2</v>
          </cell>
          <cell r="AB188" t="str">
            <v/>
          </cell>
          <cell r="AC188">
            <v>6.7580758819195563E-2</v>
          </cell>
          <cell r="AD188">
            <v>0.1066574315020713</v>
          </cell>
          <cell r="AE188">
            <v>0.16767996400410723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2.923764619232605E-3</v>
          </cell>
          <cell r="Q189" t="str">
            <v/>
          </cell>
          <cell r="R189">
            <v>2.4062834617871287E-2</v>
          </cell>
          <cell r="S189" t="str">
            <v/>
          </cell>
          <cell r="T189">
            <v>6.0541426886821403E-2</v>
          </cell>
          <cell r="U189">
            <v>9.9561942229041689E-2</v>
          </cell>
          <cell r="V189">
            <v>0.17049567522731723</v>
          </cell>
          <cell r="W189" t="str">
            <v/>
          </cell>
          <cell r="X189" t="str">
            <v/>
          </cell>
          <cell r="Y189">
            <v>3.1249077593297203E-3</v>
          </cell>
          <cell r="Z189" t="str">
            <v/>
          </cell>
          <cell r="AA189">
            <v>2.5249559682413714E-2</v>
          </cell>
          <cell r="AB189" t="str">
            <v/>
          </cell>
          <cell r="AC189">
            <v>6.3499696592622557E-2</v>
          </cell>
          <cell r="AD189">
            <v>0.10434181286035993</v>
          </cell>
          <cell r="AE189">
            <v>0.17844571544246179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3.4025252788481009E-3</v>
          </cell>
          <cell r="Q190" t="str">
            <v/>
          </cell>
          <cell r="R190">
            <v>1.4377482180427337E-2</v>
          </cell>
          <cell r="S190" t="str">
            <v/>
          </cell>
          <cell r="T190">
            <v>2.8937433165076687E-2</v>
          </cell>
          <cell r="U190">
            <v>4.0184109670431623E-2</v>
          </cell>
          <cell r="V190">
            <v>5.9223638692127323E-2</v>
          </cell>
          <cell r="W190" t="str">
            <v/>
          </cell>
          <cell r="X190" t="str">
            <v/>
          </cell>
          <cell r="Y190">
            <v>3.6035572916115477E-3</v>
          </cell>
          <cell r="Z190" t="str">
            <v/>
          </cell>
          <cell r="AA190">
            <v>1.5088048793085673E-2</v>
          </cell>
          <cell r="AB190" t="str">
            <v/>
          </cell>
          <cell r="AC190">
            <v>3.0364631708454493E-2</v>
          </cell>
          <cell r="AD190">
            <v>4.215086301928006E-2</v>
          </cell>
          <cell r="AE190">
            <v>6.2099971779362884E-2</v>
          </cell>
        </row>
        <row r="191">
          <cell r="D191" t="str">
            <v>USD</v>
          </cell>
          <cell r="N191" t="str">
            <v>IRS Curve missing</v>
          </cell>
          <cell r="O191" t="str">
            <v>IRS Curve missing</v>
          </cell>
          <cell r="P191" t="str">
            <v>IRS Curve missing</v>
          </cell>
          <cell r="Q191" t="str">
            <v>IRS Curve missing</v>
          </cell>
          <cell r="R191" t="str">
            <v>IRS Curve missing</v>
          </cell>
          <cell r="S191" t="str">
            <v>IRS Curve missing</v>
          </cell>
          <cell r="T191" t="str">
            <v>IRS Curve missing</v>
          </cell>
          <cell r="U191" t="str">
            <v>IRS Curve missing</v>
          </cell>
          <cell r="V191" t="str">
            <v>IRS Curve missing</v>
          </cell>
          <cell r="W191" t="str">
            <v>IRS Curve missing</v>
          </cell>
          <cell r="X191" t="str">
            <v>IRS Curve missing</v>
          </cell>
          <cell r="Y191" t="str">
            <v>IRS Curve missing</v>
          </cell>
          <cell r="Z191" t="str">
            <v>IRS Curve missing</v>
          </cell>
          <cell r="AA191" t="str">
            <v>IRS Curve missing</v>
          </cell>
          <cell r="AB191" t="str">
            <v>IRS Curve missing</v>
          </cell>
          <cell r="AC191" t="str">
            <v>IRS Curve missing</v>
          </cell>
          <cell r="AD191" t="str">
            <v>IRS Curve missing</v>
          </cell>
          <cell r="AE191" t="str">
            <v>IRS Curve missing</v>
          </cell>
        </row>
        <row r="192">
          <cell r="D192" t="str">
            <v>USD</v>
          </cell>
          <cell r="N192" t="str">
            <v>IRS Curve missing</v>
          </cell>
          <cell r="O192" t="str">
            <v>IRS Curve missing</v>
          </cell>
          <cell r="P192" t="str">
            <v>IRS Curve missing</v>
          </cell>
          <cell r="Q192" t="str">
            <v>IRS Curve missing</v>
          </cell>
          <cell r="R192" t="str">
            <v>IRS Curve missing</v>
          </cell>
          <cell r="S192" t="str">
            <v>IRS Curve missing</v>
          </cell>
          <cell r="T192" t="str">
            <v>IRS Curve missing</v>
          </cell>
          <cell r="U192" t="str">
            <v>IRS Curve missing</v>
          </cell>
          <cell r="V192" t="str">
            <v>IRS Curve missing</v>
          </cell>
          <cell r="W192" t="str">
            <v>IRS Curve missing</v>
          </cell>
          <cell r="X192" t="str">
            <v>IRS Curve missing</v>
          </cell>
          <cell r="Y192" t="str">
            <v>IRS Curve missing</v>
          </cell>
          <cell r="Z192" t="str">
            <v>IRS Curve missing</v>
          </cell>
          <cell r="AA192" t="str">
            <v>IRS Curve missing</v>
          </cell>
          <cell r="AB192" t="str">
            <v>IRS Curve missing</v>
          </cell>
          <cell r="AC192" t="str">
            <v>IRS Curve missing</v>
          </cell>
          <cell r="AD192" t="str">
            <v>IRS Curve missing</v>
          </cell>
          <cell r="AE192" t="str">
            <v>IRS Curve missing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9.6612333957823981E-4</v>
          </cell>
          <cell r="Q193" t="str">
            <v/>
          </cell>
          <cell r="R193">
            <v>7.8772075165041144E-3</v>
          </cell>
          <cell r="S193" t="str">
            <v/>
          </cell>
          <cell r="T193">
            <v>1.8640104853173134E-2</v>
          </cell>
          <cell r="U193">
            <v>3.4938070559253576E-2</v>
          </cell>
          <cell r="V193">
            <v>6.4282623289265373E-2</v>
          </cell>
          <cell r="W193" t="str">
            <v/>
          </cell>
          <cell r="X193" t="str">
            <v/>
          </cell>
          <cell r="Y193">
            <v>1.1676967638273306E-3</v>
          </cell>
          <cell r="Z193" t="str">
            <v/>
          </cell>
          <cell r="AA193">
            <v>8.4109971381526316E-3</v>
          </cell>
          <cell r="AB193" t="str">
            <v/>
          </cell>
          <cell r="AC193">
            <v>1.9534969335792685E-2</v>
          </cell>
          <cell r="AD193">
            <v>3.6631991740183167E-2</v>
          </cell>
          <cell r="AE193">
            <v>6.7387789480011007E-2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1.7238515274753397E-3</v>
          </cell>
          <cell r="Q194" t="str">
            <v/>
          </cell>
          <cell r="R194">
            <v>1.0065344779827901E-2</v>
          </cell>
          <cell r="S194" t="str">
            <v/>
          </cell>
          <cell r="T194">
            <v>2.6054380004187583E-2</v>
          </cell>
          <cell r="U194">
            <v>3.8938375490016552E-2</v>
          </cell>
          <cell r="V194">
            <v>6.7270227101430491E-2</v>
          </cell>
          <cell r="W194" t="str">
            <v/>
          </cell>
          <cell r="X194" t="str">
            <v/>
          </cell>
          <cell r="Y194">
            <v>1.9252628746349032E-3</v>
          </cell>
          <cell r="Z194" t="str">
            <v/>
          </cell>
          <cell r="AA194">
            <v>1.0597986849731678E-2</v>
          </cell>
          <cell r="AB194" t="str">
            <v/>
          </cell>
          <cell r="AC194">
            <v>2.7331894000117041E-2</v>
          </cell>
          <cell r="AD194">
            <v>4.0837248913671242E-2</v>
          </cell>
          <cell r="AE194">
            <v>7.0532702315207585E-2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8.3709155775113508E-4</v>
          </cell>
          <cell r="Q195" t="str">
            <v/>
          </cell>
          <cell r="R195">
            <v>8.7915772767681588E-3</v>
          </cell>
          <cell r="S195" t="str">
            <v/>
          </cell>
          <cell r="T195">
            <v>1.8541158140313097E-2</v>
          </cell>
          <cell r="U195">
            <v>3.4673938054318287E-2</v>
          </cell>
          <cell r="V195">
            <v>6.3434375175391078E-2</v>
          </cell>
          <cell r="W195" t="str">
            <v/>
          </cell>
          <cell r="X195" t="str">
            <v/>
          </cell>
          <cell r="Y195">
            <v>1.0386920390824672E-3</v>
          </cell>
          <cell r="Z195" t="str">
            <v/>
          </cell>
          <cell r="AA195">
            <v>9.3250706913460268E-3</v>
          </cell>
          <cell r="AB195" t="str">
            <v/>
          </cell>
          <cell r="AC195">
            <v>1.9435507171679745E-2</v>
          </cell>
          <cell r="AD195">
            <v>3.6359250553433475E-2</v>
          </cell>
          <cell r="AE195">
            <v>6.6506003006661318E-2</v>
          </cell>
        </row>
        <row r="196">
          <cell r="D196" t="str">
            <v>USD</v>
          </cell>
          <cell r="N196" t="str">
            <v>IRS Curve missing</v>
          </cell>
          <cell r="O196" t="str">
            <v>IRS Curve missing</v>
          </cell>
          <cell r="P196" t="str">
            <v>IRS Curve missing</v>
          </cell>
          <cell r="Q196" t="str">
            <v>IRS Curve missing</v>
          </cell>
          <cell r="R196" t="str">
            <v>IRS Curve missing</v>
          </cell>
          <cell r="S196" t="str">
            <v>IRS Curve missing</v>
          </cell>
          <cell r="T196" t="str">
            <v>IRS Curve missing</v>
          </cell>
          <cell r="U196" t="str">
            <v>IRS Curve missing</v>
          </cell>
          <cell r="V196" t="str">
            <v>IRS Curve missing</v>
          </cell>
          <cell r="W196" t="str">
            <v>IRS Curve missing</v>
          </cell>
          <cell r="X196" t="str">
            <v>IRS Curve missing</v>
          </cell>
          <cell r="Y196" t="str">
            <v>IRS Curve missing</v>
          </cell>
          <cell r="Z196" t="str">
            <v>IRS Curve missing</v>
          </cell>
          <cell r="AA196" t="str">
            <v>IRS Curve missing</v>
          </cell>
          <cell r="AB196" t="str">
            <v>IRS Curve missing</v>
          </cell>
          <cell r="AC196" t="str">
            <v>IRS Curve missing</v>
          </cell>
          <cell r="AD196" t="str">
            <v>IRS Curve missing</v>
          </cell>
          <cell r="AE196" t="str">
            <v>IRS Curve missing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9.882990132455971E-4</v>
          </cell>
          <cell r="Q197" t="str">
            <v/>
          </cell>
          <cell r="R197">
            <v>8.4898391056841271E-3</v>
          </cell>
          <cell r="S197" t="str">
            <v/>
          </cell>
          <cell r="T197">
            <v>1.902496981127777E-2</v>
          </cell>
          <cell r="U197">
            <v>3.5290156629826708E-2</v>
          </cell>
          <cell r="V197">
            <v>6.6326234086783065E-2</v>
          </cell>
          <cell r="W197" t="str">
            <v/>
          </cell>
          <cell r="X197" t="str">
            <v/>
          </cell>
          <cell r="Y197">
            <v>1.1898677717000483E-3</v>
          </cell>
          <cell r="Z197" t="str">
            <v/>
          </cell>
          <cell r="AA197">
            <v>9.0233844138579711E-3</v>
          </cell>
          <cell r="AB197" t="str">
            <v/>
          </cell>
          <cell r="AC197">
            <v>1.9941887484487886E-2</v>
          </cell>
          <cell r="AD197">
            <v>3.7005178709440978E-2</v>
          </cell>
          <cell r="AE197">
            <v>6.9534928220692516E-2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1.6432692302187357E-3</v>
          </cell>
          <cell r="Q198" t="str">
            <v/>
          </cell>
          <cell r="R198">
            <v>8.5784897869075616E-3</v>
          </cell>
          <cell r="S198" t="str">
            <v/>
          </cell>
          <cell r="T198">
            <v>1.7570658602433786E-2</v>
          </cell>
          <cell r="U198">
            <v>3.2480566703167457E-2</v>
          </cell>
          <cell r="V198">
            <v>5.931319175586125E-2</v>
          </cell>
          <cell r="W198" t="str">
            <v/>
          </cell>
          <cell r="X198" t="str">
            <v/>
          </cell>
          <cell r="Y198">
            <v>1.8446980763300314E-3</v>
          </cell>
          <cell r="Z198" t="str">
            <v/>
          </cell>
          <cell r="AA198">
            <v>9.1117346600193549E-3</v>
          </cell>
          <cell r="AB198" t="str">
            <v/>
          </cell>
          <cell r="AC198">
            <v>1.8429864101366822E-2</v>
          </cell>
          <cell r="AD198">
            <v>3.4060539756877284E-2</v>
          </cell>
          <cell r="AE198">
            <v>6.218708910342563E-2</v>
          </cell>
        </row>
        <row r="199">
          <cell r="D199" t="str">
            <v>USD</v>
          </cell>
          <cell r="N199" t="str">
            <v>IRS Curve missing</v>
          </cell>
          <cell r="O199" t="str">
            <v>IRS Curve missing</v>
          </cell>
          <cell r="P199" t="str">
            <v>IRS Curve missing</v>
          </cell>
          <cell r="Q199" t="str">
            <v>IRS Curve missing</v>
          </cell>
          <cell r="R199" t="str">
            <v>IRS Curve missing</v>
          </cell>
          <cell r="S199" t="str">
            <v>IRS Curve missing</v>
          </cell>
          <cell r="T199" t="str">
            <v>IRS Curve missing</v>
          </cell>
          <cell r="U199" t="str">
            <v>IRS Curve missing</v>
          </cell>
          <cell r="V199" t="str">
            <v>IRS Curve missing</v>
          </cell>
          <cell r="W199" t="str">
            <v>IRS Curve missing</v>
          </cell>
          <cell r="X199" t="str">
            <v>IRS Curve missing</v>
          </cell>
          <cell r="Y199" t="str">
            <v>IRS Curve missing</v>
          </cell>
          <cell r="Z199" t="str">
            <v>IRS Curve missing</v>
          </cell>
          <cell r="AA199" t="str">
            <v>IRS Curve missing</v>
          </cell>
          <cell r="AB199" t="str">
            <v>IRS Curve missing</v>
          </cell>
          <cell r="AC199" t="str">
            <v>IRS Curve missing</v>
          </cell>
          <cell r="AD199" t="str">
            <v>IRS Curve missing</v>
          </cell>
          <cell r="AE199" t="str">
            <v>IRS Curve missing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5.3413877648088581E-3</v>
          </cell>
          <cell r="Q200" t="str">
            <v/>
          </cell>
          <cell r="R200">
            <v>3.7456560948923801E-2</v>
          </cell>
          <cell r="S200" t="str">
            <v/>
          </cell>
          <cell r="T200">
            <v>9.3301245252862985E-2</v>
          </cell>
          <cell r="U200">
            <v>0.14607908466267239</v>
          </cell>
          <cell r="V200">
            <v>0.24929657870328081</v>
          </cell>
          <cell r="W200" t="str">
            <v/>
          </cell>
          <cell r="X200" t="str">
            <v/>
          </cell>
          <cell r="Y200">
            <v>5.6075623838572897E-3</v>
          </cell>
          <cell r="Z200" t="str">
            <v/>
          </cell>
          <cell r="AA200">
            <v>3.9305362373480812E-2</v>
          </cell>
          <cell r="AB200" t="str">
            <v/>
          </cell>
          <cell r="AC200">
            <v>9.7810116458190266E-2</v>
          </cell>
          <cell r="AD200">
            <v>0.15295146107795099</v>
          </cell>
          <cell r="AE200">
            <v>0.26050182598231264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3.4025252788481009E-3</v>
          </cell>
          <cell r="Q201" t="str">
            <v/>
          </cell>
          <cell r="R201">
            <v>1.7062664485745116E-2</v>
          </cell>
          <cell r="S201" t="str">
            <v/>
          </cell>
          <cell r="T201">
            <v>3.6285451300672733E-2</v>
          </cell>
          <cell r="U201">
            <v>5.4629172843093654E-2</v>
          </cell>
          <cell r="V201">
            <v>8.1540639566513362E-2</v>
          </cell>
          <cell r="W201" t="str">
            <v/>
          </cell>
          <cell r="X201" t="str">
            <v/>
          </cell>
          <cell r="Y201">
            <v>3.6035572916115477E-3</v>
          </cell>
          <cell r="Z201" t="str">
            <v/>
          </cell>
          <cell r="AA201">
            <v>1.7906374854483542E-2</v>
          </cell>
          <cell r="AB201" t="str">
            <v/>
          </cell>
          <cell r="AC201">
            <v>3.807089206851777E-2</v>
          </cell>
          <cell r="AD201">
            <v>5.7292313040517739E-2</v>
          </cell>
          <cell r="AE201">
            <v>8.5463535543588653E-2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2.9257766950425701E-3</v>
          </cell>
          <cell r="Q202" t="str">
            <v/>
          </cell>
          <cell r="R202">
            <v>1.0292908951280877E-2</v>
          </cell>
          <cell r="S202" t="str">
            <v/>
          </cell>
          <cell r="T202">
            <v>3.457897997813919E-2</v>
          </cell>
          <cell r="U202">
            <v>6.6302213890194861E-2</v>
          </cell>
          <cell r="V202">
            <v>0.11514261260781788</v>
          </cell>
          <cell r="W202" t="str">
            <v/>
          </cell>
          <cell r="X202" t="str">
            <v/>
          </cell>
          <cell r="Y202">
            <v>3.1269193731213729E-3</v>
          </cell>
          <cell r="Z202" t="str">
            <v/>
          </cell>
          <cell r="AA202">
            <v>1.0824976586735091E-2</v>
          </cell>
          <cell r="AB202" t="str">
            <v/>
          </cell>
          <cell r="AC202">
            <v>3.6281517397945828E-2</v>
          </cell>
          <cell r="AD202">
            <v>6.9535487332799462E-2</v>
          </cell>
          <cell r="AE202">
            <v>0.12064950778168082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9.1172505497045142E-2</v>
          </cell>
          <cell r="Q203" t="str">
            <v/>
          </cell>
          <cell r="R203">
            <v>0.19383716201387924</v>
          </cell>
          <cell r="S203" t="str">
            <v/>
          </cell>
          <cell r="T203">
            <v>0.24748158197229297</v>
          </cell>
          <cell r="U203">
            <v>0.2943500753840318</v>
          </cell>
          <cell r="V203">
            <v>0.34571857870185985</v>
          </cell>
          <cell r="W203" t="str">
            <v/>
          </cell>
          <cell r="X203" t="str">
            <v/>
          </cell>
          <cell r="Y203">
            <v>9.5506201215288078E-2</v>
          </cell>
          <cell r="Z203" t="str">
            <v/>
          </cell>
          <cell r="AA203">
            <v>0.20236967198648859</v>
          </cell>
          <cell r="AB203" t="str">
            <v/>
          </cell>
          <cell r="AC203">
            <v>0.25775544655461047</v>
          </cell>
          <cell r="AD203">
            <v>0.30601129566811425</v>
          </cell>
          <cell r="AE203">
            <v>0.35855179497385559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5.6705226632512984E-3</v>
          </cell>
          <cell r="Q204" t="str">
            <v/>
          </cell>
          <cell r="R204">
            <v>2.9222237258932582E-2</v>
          </cell>
          <cell r="S204" t="str">
            <v/>
          </cell>
          <cell r="T204">
            <v>7.8412264301117807E-2</v>
          </cell>
          <cell r="U204">
            <v>0.12766410739467204</v>
          </cell>
          <cell r="V204">
            <v>0.21580775235099692</v>
          </cell>
          <cell r="W204" t="str">
            <v/>
          </cell>
          <cell r="X204" t="str">
            <v/>
          </cell>
          <cell r="Y204">
            <v>5.9530391770094004E-3</v>
          </cell>
          <cell r="Z204" t="str">
            <v/>
          </cell>
          <cell r="AA204">
            <v>3.0667035203781445E-2</v>
          </cell>
          <cell r="AB204" t="str">
            <v/>
          </cell>
          <cell r="AC204">
            <v>8.2225387576896902E-2</v>
          </cell>
          <cell r="AD204">
            <v>0.13373007962590289</v>
          </cell>
          <cell r="AE204">
            <v>0.22566560406723257</v>
          </cell>
        </row>
        <row r="205">
          <cell r="D205" t="str">
            <v>USD</v>
          </cell>
          <cell r="N205" t="str">
            <v>IRS Curve missing</v>
          </cell>
          <cell r="O205" t="str">
            <v>IRS Curve missing</v>
          </cell>
          <cell r="P205" t="str">
            <v>IRS Curve missing</v>
          </cell>
          <cell r="Q205" t="str">
            <v>IRS Curve missing</v>
          </cell>
          <cell r="R205" t="str">
            <v>IRS Curve missing</v>
          </cell>
          <cell r="S205" t="str">
            <v>IRS Curve missing</v>
          </cell>
          <cell r="T205" t="str">
            <v>IRS Curve missing</v>
          </cell>
          <cell r="U205" t="str">
            <v>IRS Curve missing</v>
          </cell>
          <cell r="V205" t="str">
            <v>IRS Curve missing</v>
          </cell>
          <cell r="W205" t="str">
            <v>IRS Curve missing</v>
          </cell>
          <cell r="X205" t="str">
            <v>IRS Curve missing</v>
          </cell>
          <cell r="Y205" t="str">
            <v>IRS Curve missing</v>
          </cell>
          <cell r="Z205" t="str">
            <v>IRS Curve missing</v>
          </cell>
          <cell r="AA205" t="str">
            <v>IRS Curve missing</v>
          </cell>
          <cell r="AB205" t="str">
            <v>IRS Curve missing</v>
          </cell>
          <cell r="AC205" t="str">
            <v>IRS Curve missing</v>
          </cell>
          <cell r="AD205" t="str">
            <v>IRS Curve missing</v>
          </cell>
          <cell r="AE205" t="str">
            <v>IRS Curve missing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9.4999527037498144E-4</v>
          </cell>
          <cell r="Q206" t="str">
            <v/>
          </cell>
          <cell r="R206">
            <v>1.0392854739641577E-2</v>
          </cell>
          <cell r="S206" t="str">
            <v/>
          </cell>
          <cell r="T206">
            <v>2.2878371616929738E-2</v>
          </cell>
          <cell r="U206">
            <v>4.317006674533308E-2</v>
          </cell>
          <cell r="V206">
            <v>7.8780778784644845E-2</v>
          </cell>
          <cell r="W206" t="str">
            <v/>
          </cell>
          <cell r="X206" t="str">
            <v/>
          </cell>
          <cell r="Y206">
            <v>1.1515720850577837E-3</v>
          </cell>
          <cell r="Z206" t="str">
            <v/>
          </cell>
          <cell r="AA206">
            <v>1.0925688496963182E-2</v>
          </cell>
          <cell r="AB206" t="str">
            <v/>
          </cell>
          <cell r="AC206">
            <v>2.399752299300939E-2</v>
          </cell>
          <cell r="AD206">
            <v>4.5275805785746193E-2</v>
          </cell>
          <cell r="AE206">
            <v>8.2595670754915251E-2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2.2615732825216339E-3</v>
          </cell>
          <cell r="Q207" t="str">
            <v/>
          </cell>
          <cell r="R207">
            <v>1.0530142611629989E-2</v>
          </cell>
          <cell r="S207" t="str">
            <v/>
          </cell>
          <cell r="T207">
            <v>2.6862944067914118E-2</v>
          </cell>
          <cell r="U207">
            <v>4.9701295742896723E-2</v>
          </cell>
          <cell r="V207">
            <v>9.1469710293454187E-2</v>
          </cell>
          <cell r="W207" t="str">
            <v/>
          </cell>
          <cell r="X207" t="str">
            <v/>
          </cell>
          <cell r="Y207">
            <v>2.4628662257890621E-3</v>
          </cell>
          <cell r="Z207" t="str">
            <v/>
          </cell>
          <cell r="AA207">
            <v>1.1062388263382905E-2</v>
          </cell>
          <cell r="AB207" t="str">
            <v/>
          </cell>
          <cell r="AC207">
            <v>2.8184281721619242E-2</v>
          </cell>
          <cell r="AD207">
            <v>5.2130285706210699E-2</v>
          </cell>
          <cell r="AE207">
            <v>9.5887018856449013E-2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7.6056571069598178E-2</v>
          </cell>
          <cell r="Q208" t="str">
            <v/>
          </cell>
          <cell r="R208">
            <v>0.19076107061121883</v>
          </cell>
          <cell r="S208" t="str">
            <v/>
          </cell>
          <cell r="T208">
            <v>0.25250111425107558</v>
          </cell>
          <cell r="U208">
            <v>0.3085819866902676</v>
          </cell>
          <cell r="V208">
            <v>0.38042632700039791</v>
          </cell>
          <cell r="W208" t="str">
            <v/>
          </cell>
          <cell r="X208" t="str">
            <v/>
          </cell>
          <cell r="Y208">
            <v>7.9703657144072682E-2</v>
          </cell>
          <cell r="Z208" t="str">
            <v/>
          </cell>
          <cell r="AA208">
            <v>0.19928277595717925</v>
          </cell>
          <cell r="AB208" t="str">
            <v/>
          </cell>
          <cell r="AC208">
            <v>0.26306041900078603</v>
          </cell>
          <cell r="AD208">
            <v>0.32084536562459287</v>
          </cell>
          <cell r="AE208">
            <v>0.39441516622875072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8.589881721862036E-3</v>
          </cell>
          <cell r="Q209" t="str">
            <v/>
          </cell>
          <cell r="R209">
            <v>4.0818568979215653E-2</v>
          </cell>
          <cell r="S209" t="str">
            <v/>
          </cell>
          <cell r="T209">
            <v>0.10425680008425842</v>
          </cell>
          <cell r="U209">
            <v>0.16641105831245928</v>
          </cell>
          <cell r="V209">
            <v>0.27704682213303611</v>
          </cell>
          <cell r="W209" t="str">
            <v/>
          </cell>
          <cell r="X209" t="str">
            <v/>
          </cell>
          <cell r="Y209">
            <v>9.0170362552461913E-3</v>
          </cell>
          <cell r="Z209" t="str">
            <v/>
          </cell>
          <cell r="AA209">
            <v>4.2826525882811661E-2</v>
          </cell>
          <cell r="AB209" t="str">
            <v/>
          </cell>
          <cell r="AC209">
            <v>0.10927186219301632</v>
          </cell>
          <cell r="AD209">
            <v>0.17417354214756442</v>
          </cell>
          <cell r="AE209">
            <v>0.28931044553297403</v>
          </cell>
        </row>
        <row r="210">
          <cell r="D210" t="str">
            <v>USD</v>
          </cell>
          <cell r="N210" t="str">
            <v>IRS Curve missing</v>
          </cell>
          <cell r="O210" t="str">
            <v>IRS Curve missing</v>
          </cell>
          <cell r="P210" t="str">
            <v>IRS Curve missing</v>
          </cell>
          <cell r="Q210" t="str">
            <v>IRS Curve missing</v>
          </cell>
          <cell r="R210" t="str">
            <v>IRS Curve missing</v>
          </cell>
          <cell r="S210" t="str">
            <v>IRS Curve missing</v>
          </cell>
          <cell r="T210" t="str">
            <v>IRS Curve missing</v>
          </cell>
          <cell r="U210" t="str">
            <v>IRS Curve missing</v>
          </cell>
          <cell r="V210" t="str">
            <v>IRS Curve missing</v>
          </cell>
          <cell r="W210" t="str">
            <v>IRS Curve missing</v>
          </cell>
          <cell r="X210" t="str">
            <v>IRS Curve missing</v>
          </cell>
          <cell r="Y210" t="str">
            <v>IRS Curve missing</v>
          </cell>
          <cell r="Z210" t="str">
            <v>IRS Curve missing</v>
          </cell>
          <cell r="AA210" t="str">
            <v>IRS Curve missing</v>
          </cell>
          <cell r="AB210" t="str">
            <v>IRS Curve missing</v>
          </cell>
          <cell r="AC210" t="str">
            <v>IRS Curve missing</v>
          </cell>
          <cell r="AD210" t="str">
            <v>IRS Curve missing</v>
          </cell>
          <cell r="AE210" t="str">
            <v>IRS Curve missing</v>
          </cell>
        </row>
        <row r="211">
          <cell r="D211" t="str">
            <v>USD</v>
          </cell>
          <cell r="N211" t="str">
            <v>IRS Curve missing</v>
          </cell>
          <cell r="O211" t="str">
            <v>IRS Curve missing</v>
          </cell>
          <cell r="P211" t="str">
            <v>IRS Curve missing</v>
          </cell>
          <cell r="Q211" t="str">
            <v>IRS Curve missing</v>
          </cell>
          <cell r="R211" t="str">
            <v>IRS Curve missing</v>
          </cell>
          <cell r="S211" t="str">
            <v>IRS Curve missing</v>
          </cell>
          <cell r="T211" t="str">
            <v>IRS Curve missing</v>
          </cell>
          <cell r="U211" t="str">
            <v>IRS Curve missing</v>
          </cell>
          <cell r="V211" t="str">
            <v>IRS Curve missing</v>
          </cell>
          <cell r="W211" t="str">
            <v>IRS Curve missing</v>
          </cell>
          <cell r="X211" t="str">
            <v>IRS Curve missing</v>
          </cell>
          <cell r="Y211" t="str">
            <v>IRS Curve missing</v>
          </cell>
          <cell r="Z211" t="str">
            <v>IRS Curve missing</v>
          </cell>
          <cell r="AA211" t="str">
            <v>IRS Curve missing</v>
          </cell>
          <cell r="AB211" t="str">
            <v>IRS Curve missing</v>
          </cell>
          <cell r="AC211" t="str">
            <v>IRS Curve missing</v>
          </cell>
          <cell r="AD211" t="str">
            <v>IRS Curve missing</v>
          </cell>
          <cell r="AE211" t="str">
            <v>IRS Curve missing</v>
          </cell>
        </row>
        <row r="212">
          <cell r="D212" t="str">
            <v>USD</v>
          </cell>
          <cell r="N212" t="str">
            <v>IRS Curve missing</v>
          </cell>
          <cell r="O212" t="str">
            <v>IRS Curve missing</v>
          </cell>
          <cell r="P212" t="str">
            <v>IRS Curve missing</v>
          </cell>
          <cell r="Q212" t="str">
            <v>IRS Curve missing</v>
          </cell>
          <cell r="R212" t="str">
            <v>IRS Curve missing</v>
          </cell>
          <cell r="S212" t="str">
            <v>IRS Curve missing</v>
          </cell>
          <cell r="T212" t="str">
            <v>IRS Curve missing</v>
          </cell>
          <cell r="U212" t="str">
            <v>IRS Curve missing</v>
          </cell>
          <cell r="V212" t="str">
            <v>IRS Curve missing</v>
          </cell>
          <cell r="W212" t="str">
            <v>IRS Curve missing</v>
          </cell>
          <cell r="X212" t="str">
            <v>IRS Curve missing</v>
          </cell>
          <cell r="Y212" t="str">
            <v>IRS Curve missing</v>
          </cell>
          <cell r="Z212" t="str">
            <v>IRS Curve missing</v>
          </cell>
          <cell r="AA212" t="str">
            <v>IRS Curve missing</v>
          </cell>
          <cell r="AB212" t="str">
            <v>IRS Curve missing</v>
          </cell>
          <cell r="AC212" t="str">
            <v>IRS Curve missing</v>
          </cell>
          <cell r="AD212" t="str">
            <v>IRS Curve missing</v>
          </cell>
          <cell r="AE212" t="str">
            <v>IRS Curve missing</v>
          </cell>
        </row>
        <row r="213">
          <cell r="D213" t="str">
            <v>USD</v>
          </cell>
          <cell r="N213" t="str">
            <v>IRS Curve missing</v>
          </cell>
          <cell r="O213" t="str">
            <v>IRS Curve missing</v>
          </cell>
          <cell r="P213" t="str">
            <v>IRS Curve missing</v>
          </cell>
          <cell r="Q213" t="str">
            <v>IRS Curve missing</v>
          </cell>
          <cell r="R213" t="str">
            <v>IRS Curve missing</v>
          </cell>
          <cell r="S213" t="str">
            <v>IRS Curve missing</v>
          </cell>
          <cell r="T213" t="str">
            <v>IRS Curve missing</v>
          </cell>
          <cell r="U213" t="str">
            <v>IRS Curve missing</v>
          </cell>
          <cell r="V213" t="str">
            <v>IRS Curve missing</v>
          </cell>
          <cell r="W213" t="str">
            <v>IRS Curve missing</v>
          </cell>
          <cell r="X213" t="str">
            <v>IRS Curve missing</v>
          </cell>
          <cell r="Y213" t="str">
            <v>IRS Curve missing</v>
          </cell>
          <cell r="Z213" t="str">
            <v>IRS Curve missing</v>
          </cell>
          <cell r="AA213" t="str">
            <v>IRS Curve missing</v>
          </cell>
          <cell r="AB213" t="str">
            <v>IRS Curve missing</v>
          </cell>
          <cell r="AC213" t="str">
            <v>IRS Curve missing</v>
          </cell>
          <cell r="AD213" t="str">
            <v>IRS Curve missing</v>
          </cell>
          <cell r="AE213" t="str">
            <v>IRS Curve missing</v>
          </cell>
        </row>
        <row r="214">
          <cell r="D214" t="str">
            <v>USD</v>
          </cell>
          <cell r="N214" t="str">
            <v>IRS Curve missing</v>
          </cell>
          <cell r="O214" t="str">
            <v>IRS Curve missing</v>
          </cell>
          <cell r="P214" t="str">
            <v>IRS Curve missing</v>
          </cell>
          <cell r="Q214" t="str">
            <v>IRS Curve missing</v>
          </cell>
          <cell r="R214" t="str">
            <v>IRS Curve missing</v>
          </cell>
          <cell r="S214" t="str">
            <v>IRS Curve missing</v>
          </cell>
          <cell r="T214" t="str">
            <v>IRS Curve missing</v>
          </cell>
          <cell r="U214" t="str">
            <v>IRS Curve missing</v>
          </cell>
          <cell r="V214" t="str">
            <v>IRS Curve missing</v>
          </cell>
          <cell r="W214" t="str">
            <v>IRS Curve missing</v>
          </cell>
          <cell r="X214" t="str">
            <v>IRS Curve missing</v>
          </cell>
          <cell r="Y214" t="str">
            <v>IRS Curve missing</v>
          </cell>
          <cell r="Z214" t="str">
            <v>IRS Curve missing</v>
          </cell>
          <cell r="AA214" t="str">
            <v>IRS Curve missing</v>
          </cell>
          <cell r="AB214" t="str">
            <v>IRS Curve missing</v>
          </cell>
          <cell r="AC214" t="str">
            <v>IRS Curve missing</v>
          </cell>
          <cell r="AD214" t="str">
            <v>IRS Curve missing</v>
          </cell>
          <cell r="AE214" t="str">
            <v>IRS Curve missing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5.8700613948554747E-2</v>
          </cell>
          <cell r="Q215" t="str">
            <v/>
          </cell>
          <cell r="R215">
            <v>0.13813154035865449</v>
          </cell>
          <cell r="S215" t="str">
            <v/>
          </cell>
          <cell r="T215">
            <v>0.19262100938942417</v>
          </cell>
          <cell r="U215">
            <v>0.21557812441278645</v>
          </cell>
          <cell r="V215">
            <v>0.24569625644492032</v>
          </cell>
          <cell r="W215" t="str">
            <v/>
          </cell>
          <cell r="X215" t="str">
            <v/>
          </cell>
          <cell r="Y215">
            <v>6.1543400514753044E-2</v>
          </cell>
          <cell r="Z215" t="str">
            <v/>
          </cell>
          <cell r="AA215">
            <v>0.14448909115679986</v>
          </cell>
          <cell r="AB215" t="str">
            <v/>
          </cell>
          <cell r="AC215">
            <v>0.2010994097447113</v>
          </cell>
          <cell r="AD215">
            <v>0.22472488155334291</v>
          </cell>
          <cell r="AE215">
            <v>0.25572473858889877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2.3723042826202523E-3</v>
          </cell>
          <cell r="Q216" t="str">
            <v/>
          </cell>
          <cell r="R216">
            <v>1.0756515190307181E-2</v>
          </cell>
          <cell r="S216" t="str">
            <v/>
          </cell>
          <cell r="T216">
            <v>2.178905633430106E-2</v>
          </cell>
          <cell r="U216">
            <v>4.0131116671097367E-2</v>
          </cell>
          <cell r="V216">
            <v>7.1552828036251404E-2</v>
          </cell>
          <cell r="W216" t="str">
            <v/>
          </cell>
          <cell r="X216" t="str">
            <v/>
          </cell>
          <cell r="Y216">
            <v>2.5735724859701214E-3</v>
          </cell>
          <cell r="Z216" t="str">
            <v/>
          </cell>
          <cell r="AA216">
            <v>1.128862862701574E-2</v>
          </cell>
          <cell r="AB216" t="str">
            <v/>
          </cell>
          <cell r="AC216">
            <v>2.2863868687942435E-2</v>
          </cell>
          <cell r="AD216">
            <v>4.2097390511993571E-2</v>
          </cell>
          <cell r="AE216">
            <v>7.5029306533029638E-2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1.2261528195539606E-3</v>
          </cell>
          <cell r="Q217" t="str">
            <v/>
          </cell>
          <cell r="R217">
            <v>9.2632687711572403E-3</v>
          </cell>
          <cell r="S217" t="str">
            <v/>
          </cell>
          <cell r="T217">
            <v>2.2542988277071019E-2</v>
          </cell>
          <cell r="U217">
            <v>4.2389916506482606E-2</v>
          </cell>
          <cell r="V217">
            <v>7.5544232759135688E-2</v>
          </cell>
          <cell r="W217" t="str">
            <v/>
          </cell>
          <cell r="X217" t="str">
            <v/>
          </cell>
          <cell r="Y217">
            <v>1.4276712417764514E-3</v>
          </cell>
          <cell r="Z217" t="str">
            <v/>
          </cell>
          <cell r="AA217">
            <v>9.7964206460221526E-3</v>
          </cell>
          <cell r="AB217" t="str">
            <v/>
          </cell>
          <cell r="AC217">
            <v>2.3641403029080021E-2</v>
          </cell>
          <cell r="AD217">
            <v>4.4455565090372851E-2</v>
          </cell>
          <cell r="AE217">
            <v>7.9194920567489557E-2</v>
          </cell>
        </row>
        <row r="218">
          <cell r="D218" t="str">
            <v>USD</v>
          </cell>
          <cell r="N218" t="str">
            <v>IRS Curve missing</v>
          </cell>
          <cell r="O218" t="str">
            <v>IRS Curve missing</v>
          </cell>
          <cell r="P218" t="str">
            <v>IRS Curve missing</v>
          </cell>
          <cell r="Q218" t="str">
            <v>IRS Curve missing</v>
          </cell>
          <cell r="R218" t="str">
            <v>IRS Curve missing</v>
          </cell>
          <cell r="S218" t="str">
            <v>IRS Curve missing</v>
          </cell>
          <cell r="T218" t="str">
            <v>IRS Curve missing</v>
          </cell>
          <cell r="U218" t="str">
            <v>IRS Curve missing</v>
          </cell>
          <cell r="V218" t="str">
            <v>IRS Curve missing</v>
          </cell>
          <cell r="W218" t="str">
            <v>IRS Curve missing</v>
          </cell>
          <cell r="X218" t="str">
            <v>IRS Curve missing</v>
          </cell>
          <cell r="Y218" t="str">
            <v>IRS Curve missing</v>
          </cell>
          <cell r="Z218" t="str">
            <v>IRS Curve missing</v>
          </cell>
          <cell r="AA218" t="str">
            <v>IRS Curve missing</v>
          </cell>
          <cell r="AB218" t="str">
            <v>IRS Curve missing</v>
          </cell>
          <cell r="AC218" t="str">
            <v>IRS Curve missing</v>
          </cell>
          <cell r="AD218" t="str">
            <v>IRS Curve missing</v>
          </cell>
          <cell r="AE218" t="str">
            <v>IRS Curve missing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2.3602251288440401E-3</v>
          </cell>
          <cell r="Q219" t="str">
            <v/>
          </cell>
          <cell r="R219">
            <v>1.1747511093835761E-2</v>
          </cell>
          <cell r="S219" t="str">
            <v/>
          </cell>
          <cell r="T219">
            <v>2.9865405686491098E-2</v>
          </cell>
          <cell r="U219">
            <v>4.2986442489396648E-2</v>
          </cell>
          <cell r="V219">
            <v>7.0686902919414596E-2</v>
          </cell>
          <cell r="W219" t="str">
            <v/>
          </cell>
          <cell r="X219" t="str">
            <v/>
          </cell>
          <cell r="Y219">
            <v>2.5614960369805262E-3</v>
          </cell>
          <cell r="Z219" t="str">
            <v/>
          </cell>
          <cell r="AA219">
            <v>1.2322881472078384E-2</v>
          </cell>
          <cell r="AB219" t="str">
            <v/>
          </cell>
          <cell r="AC219">
            <v>3.1337074447519653E-2</v>
          </cell>
          <cell r="AD219">
            <v>4.5086451601540456E-2</v>
          </cell>
          <cell r="AE219">
            <v>7.4114914550395095E-2</v>
          </cell>
        </row>
        <row r="220">
          <cell r="D220" t="str">
            <v>USD</v>
          </cell>
          <cell r="N220" t="str">
            <v>IRS Curve missing</v>
          </cell>
          <cell r="O220" t="str">
            <v>IRS Curve missing</v>
          </cell>
          <cell r="P220" t="str">
            <v>IRS Curve missing</v>
          </cell>
          <cell r="Q220" t="str">
            <v>IRS Curve missing</v>
          </cell>
          <cell r="R220" t="str">
            <v>IRS Curve missing</v>
          </cell>
          <cell r="S220" t="str">
            <v>IRS Curve missing</v>
          </cell>
          <cell r="T220" t="str">
            <v>IRS Curve missing</v>
          </cell>
          <cell r="U220" t="str">
            <v>IRS Curve missing</v>
          </cell>
          <cell r="V220" t="str">
            <v>IRS Curve missing</v>
          </cell>
          <cell r="W220" t="str">
            <v>IRS Curve missing</v>
          </cell>
          <cell r="X220" t="str">
            <v>IRS Curve missing</v>
          </cell>
          <cell r="Y220" t="str">
            <v>IRS Curve missing</v>
          </cell>
          <cell r="Z220" t="str">
            <v>IRS Curve missing</v>
          </cell>
          <cell r="AA220" t="str">
            <v>IRS Curve missing</v>
          </cell>
          <cell r="AB220" t="str">
            <v>IRS Curve missing</v>
          </cell>
          <cell r="AC220" t="str">
            <v>IRS Curve missing</v>
          </cell>
          <cell r="AD220" t="str">
            <v>IRS Curve missing</v>
          </cell>
          <cell r="AE220" t="str">
            <v>IRS Curve missing</v>
          </cell>
        </row>
        <row r="221">
          <cell r="D221" t="str">
            <v>USD</v>
          </cell>
          <cell r="N221" t="str">
            <v>IRS Curve missing</v>
          </cell>
          <cell r="O221" t="str">
            <v>IRS Curve missing</v>
          </cell>
          <cell r="P221" t="str">
            <v>IRS Curve missing</v>
          </cell>
          <cell r="Q221" t="str">
            <v>IRS Curve missing</v>
          </cell>
          <cell r="R221" t="str">
            <v>IRS Curve missing</v>
          </cell>
          <cell r="S221" t="str">
            <v>IRS Curve missing</v>
          </cell>
          <cell r="T221" t="str">
            <v>IRS Curve missing</v>
          </cell>
          <cell r="U221" t="str">
            <v>IRS Curve missing</v>
          </cell>
          <cell r="V221" t="str">
            <v>IRS Curve missing</v>
          </cell>
          <cell r="W221" t="str">
            <v>IRS Curve missing</v>
          </cell>
          <cell r="X221" t="str">
            <v>IRS Curve missing</v>
          </cell>
          <cell r="Y221" t="str">
            <v>IRS Curve missing</v>
          </cell>
          <cell r="Z221" t="str">
            <v>IRS Curve missing</v>
          </cell>
          <cell r="AA221" t="str">
            <v>IRS Curve missing</v>
          </cell>
          <cell r="AB221" t="str">
            <v>IRS Curve missing</v>
          </cell>
          <cell r="AC221" t="str">
            <v>IRS Curve missing</v>
          </cell>
          <cell r="AD221" t="str">
            <v>IRS Curve missing</v>
          </cell>
          <cell r="AE221" t="str">
            <v>IRS Curve missing</v>
          </cell>
        </row>
        <row r="222">
          <cell r="D222" t="str">
            <v>USD</v>
          </cell>
          <cell r="N222" t="str">
            <v>IRS Curve missing</v>
          </cell>
          <cell r="O222" t="str">
            <v>IRS Curve missing</v>
          </cell>
          <cell r="P222" t="str">
            <v>IRS Curve missing</v>
          </cell>
          <cell r="Q222" t="str">
            <v>IRS Curve missing</v>
          </cell>
          <cell r="R222" t="str">
            <v>IRS Curve missing</v>
          </cell>
          <cell r="S222" t="str">
            <v>IRS Curve missing</v>
          </cell>
          <cell r="T222" t="str">
            <v>IRS Curve missing</v>
          </cell>
          <cell r="U222" t="str">
            <v>IRS Curve missing</v>
          </cell>
          <cell r="V222" t="str">
            <v>IRS Curve missing</v>
          </cell>
          <cell r="W222" t="str">
            <v>IRS Curve missing</v>
          </cell>
          <cell r="X222" t="str">
            <v>IRS Curve missing</v>
          </cell>
          <cell r="Y222" t="str">
            <v>IRS Curve missing</v>
          </cell>
          <cell r="Z222" t="str">
            <v>IRS Curve missing</v>
          </cell>
          <cell r="AA222" t="str">
            <v>IRS Curve missing</v>
          </cell>
          <cell r="AB222" t="str">
            <v>IRS Curve missing</v>
          </cell>
          <cell r="AC222" t="str">
            <v>IRS Curve missing</v>
          </cell>
          <cell r="AD222" t="str">
            <v>IRS Curve missing</v>
          </cell>
          <cell r="AE222" t="str">
            <v>IRS Curve missing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7.5442188936469812E-4</v>
          </cell>
          <cell r="Q223" t="str">
            <v/>
          </cell>
          <cell r="R223">
            <v>9.3412705242884586E-3</v>
          </cell>
          <cell r="S223" t="str">
            <v/>
          </cell>
          <cell r="T223">
            <v>2.3957863946446389E-2</v>
          </cell>
          <cell r="U223">
            <v>4.8454206430957547E-2</v>
          </cell>
          <cell r="V223">
            <v>9.1564654499143971E-2</v>
          </cell>
          <cell r="W223" t="str">
            <v/>
          </cell>
          <cell r="X223" t="str">
            <v/>
          </cell>
          <cell r="Y223">
            <v>9.5603962438817192E-4</v>
          </cell>
          <cell r="Z223" t="str">
            <v/>
          </cell>
          <cell r="AA223">
            <v>9.8745870732641627E-3</v>
          </cell>
          <cell r="AB223" t="str">
            <v/>
          </cell>
          <cell r="AC223">
            <v>2.5122891949288961E-2</v>
          </cell>
          <cell r="AD223">
            <v>5.0813018597291371E-2</v>
          </cell>
          <cell r="AE223">
            <v>9.5976234296347163E-2</v>
          </cell>
        </row>
        <row r="224">
          <cell r="D224" t="str">
            <v>USD</v>
          </cell>
          <cell r="N224" t="str">
            <v>IRS Curve missing</v>
          </cell>
          <cell r="O224" t="str">
            <v>IRS Curve missing</v>
          </cell>
          <cell r="P224" t="str">
            <v>IRS Curve missing</v>
          </cell>
          <cell r="Q224" t="str">
            <v>IRS Curve missing</v>
          </cell>
          <cell r="R224" t="str">
            <v>IRS Curve missing</v>
          </cell>
          <cell r="S224" t="str">
            <v>IRS Curve missing</v>
          </cell>
          <cell r="T224" t="str">
            <v>IRS Curve missing</v>
          </cell>
          <cell r="U224" t="str">
            <v>IRS Curve missing</v>
          </cell>
          <cell r="V224" t="str">
            <v>IRS Curve missing</v>
          </cell>
          <cell r="W224" t="str">
            <v>IRS Curve missing</v>
          </cell>
          <cell r="X224" t="str">
            <v>IRS Curve missing</v>
          </cell>
          <cell r="Y224" t="str">
            <v>IRS Curve missing</v>
          </cell>
          <cell r="Z224" t="str">
            <v>IRS Curve missing</v>
          </cell>
          <cell r="AA224" t="str">
            <v>IRS Curve missing</v>
          </cell>
          <cell r="AB224" t="str">
            <v>IRS Curve missing</v>
          </cell>
          <cell r="AC224" t="str">
            <v>IRS Curve missing</v>
          </cell>
          <cell r="AD224" t="str">
            <v>IRS Curve missing</v>
          </cell>
          <cell r="AE224" t="str">
            <v>IRS Curve missing</v>
          </cell>
        </row>
        <row r="225">
          <cell r="D225" t="str">
            <v>USD</v>
          </cell>
          <cell r="N225" t="str">
            <v>IRS Curve missing</v>
          </cell>
          <cell r="O225" t="str">
            <v>IRS Curve missing</v>
          </cell>
          <cell r="P225" t="str">
            <v>IRS Curve missing</v>
          </cell>
          <cell r="Q225" t="str">
            <v>IRS Curve missing</v>
          </cell>
          <cell r="R225" t="str">
            <v>IRS Curve missing</v>
          </cell>
          <cell r="S225" t="str">
            <v>IRS Curve missing</v>
          </cell>
          <cell r="T225" t="str">
            <v>IRS Curve missing</v>
          </cell>
          <cell r="U225" t="str">
            <v>IRS Curve missing</v>
          </cell>
          <cell r="V225" t="str">
            <v>IRS Curve missing</v>
          </cell>
          <cell r="W225" t="str">
            <v>IRS Curve missing</v>
          </cell>
          <cell r="X225" t="str">
            <v>IRS Curve missing</v>
          </cell>
          <cell r="Y225" t="str">
            <v>IRS Curve missing</v>
          </cell>
          <cell r="Z225" t="str">
            <v>IRS Curve missing</v>
          </cell>
          <cell r="AA225" t="str">
            <v>IRS Curve missing</v>
          </cell>
          <cell r="AB225" t="str">
            <v>IRS Curve missing</v>
          </cell>
          <cell r="AC225" t="str">
            <v>IRS Curve missing</v>
          </cell>
          <cell r="AD225" t="str">
            <v>IRS Curve missing</v>
          </cell>
          <cell r="AE225" t="str">
            <v>IRS Curve missing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9.0765786053303987E-4</v>
          </cell>
          <cell r="Q226" t="str">
            <v/>
          </cell>
          <cell r="R226">
            <v>6.3576765683606151E-3</v>
          </cell>
          <cell r="S226" t="str">
            <v/>
          </cell>
          <cell r="T226">
            <v>1.8410525844752335E-2</v>
          </cell>
          <cell r="U226">
            <v>3.360057709684916E-2</v>
          </cell>
          <cell r="V226">
            <v>6.5244559000430025E-2</v>
          </cell>
          <cell r="W226" t="str">
            <v/>
          </cell>
          <cell r="X226" t="str">
            <v/>
          </cell>
          <cell r="Y226">
            <v>1.1092435638834219E-3</v>
          </cell>
          <cell r="Z226" t="str">
            <v/>
          </cell>
          <cell r="AA226">
            <v>6.892072718253206E-3</v>
          </cell>
          <cell r="AB226" t="str">
            <v/>
          </cell>
          <cell r="AC226">
            <v>1.9283256499426527E-2</v>
          </cell>
          <cell r="AD226">
            <v>3.5226036893962864E-2</v>
          </cell>
          <cell r="AE226">
            <v>6.8362146081688557E-2</v>
          </cell>
        </row>
        <row r="227">
          <cell r="D227" t="str">
            <v>USD</v>
          </cell>
          <cell r="N227" t="str">
            <v>IRS Curve missing</v>
          </cell>
          <cell r="O227" t="str">
            <v>IRS Curve missing</v>
          </cell>
          <cell r="P227" t="str">
            <v>IRS Curve missing</v>
          </cell>
          <cell r="Q227" t="str">
            <v>IRS Curve missing</v>
          </cell>
          <cell r="R227" t="str">
            <v>IRS Curve missing</v>
          </cell>
          <cell r="S227" t="str">
            <v>IRS Curve missing</v>
          </cell>
          <cell r="T227" t="str">
            <v>IRS Curve missing</v>
          </cell>
          <cell r="U227" t="str">
            <v>IRS Curve missing</v>
          </cell>
          <cell r="V227" t="str">
            <v>IRS Curve missing</v>
          </cell>
          <cell r="W227" t="str">
            <v>IRS Curve missing</v>
          </cell>
          <cell r="X227" t="str">
            <v>IRS Curve missing</v>
          </cell>
          <cell r="Y227" t="str">
            <v>IRS Curve missing</v>
          </cell>
          <cell r="Z227" t="str">
            <v>IRS Curve missing</v>
          </cell>
          <cell r="AA227" t="str">
            <v>IRS Curve missing</v>
          </cell>
          <cell r="AB227" t="str">
            <v>IRS Curve missing</v>
          </cell>
          <cell r="AC227" t="str">
            <v>IRS Curve missing</v>
          </cell>
          <cell r="AD227" t="str">
            <v>IRS Curve missing</v>
          </cell>
          <cell r="AE227" t="str">
            <v>IRS Curve missing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3.1108704707385471E-3</v>
          </cell>
          <cell r="Q228" t="str">
            <v/>
          </cell>
          <cell r="R228">
            <v>1.20113964082319E-2</v>
          </cell>
          <cell r="S228" t="str">
            <v/>
          </cell>
          <cell r="T228">
            <v>2.6584203090438407E-2</v>
          </cell>
          <cell r="U228">
            <v>4.9437515551906341E-2</v>
          </cell>
          <cell r="V228">
            <v>9.3354659189089029E-2</v>
          </cell>
          <cell r="W228" t="str">
            <v/>
          </cell>
          <cell r="X228" t="str">
            <v/>
          </cell>
          <cell r="Y228">
            <v>3.3119704664700267E-3</v>
          </cell>
          <cell r="Z228" t="str">
            <v/>
          </cell>
          <cell r="AA228">
            <v>1.260354591250612E-2</v>
          </cell>
          <cell r="AB228" t="str">
            <v/>
          </cell>
          <cell r="AC228">
            <v>2.7896237697635606E-2</v>
          </cell>
          <cell r="AD228">
            <v>5.1859728112806147E-2</v>
          </cell>
          <cell r="AE228">
            <v>9.7863510586892799E-2</v>
          </cell>
        </row>
        <row r="229">
          <cell r="D229" t="str">
            <v>USD</v>
          </cell>
          <cell r="N229" t="str">
            <v>IRS Curve missing</v>
          </cell>
          <cell r="O229" t="str">
            <v>IRS Curve missing</v>
          </cell>
          <cell r="P229" t="str">
            <v>IRS Curve missing</v>
          </cell>
          <cell r="Q229" t="str">
            <v>IRS Curve missing</v>
          </cell>
          <cell r="R229" t="str">
            <v>IRS Curve missing</v>
          </cell>
          <cell r="S229" t="str">
            <v>IRS Curve missing</v>
          </cell>
          <cell r="T229" t="str">
            <v>IRS Curve missing</v>
          </cell>
          <cell r="U229" t="str">
            <v>IRS Curve missing</v>
          </cell>
          <cell r="V229" t="str">
            <v>IRS Curve missing</v>
          </cell>
          <cell r="W229" t="str">
            <v>IRS Curve missing</v>
          </cell>
          <cell r="X229" t="str">
            <v>IRS Curve missing</v>
          </cell>
          <cell r="Y229" t="str">
            <v>IRS Curve missing</v>
          </cell>
          <cell r="Z229" t="str">
            <v>IRS Curve missing</v>
          </cell>
          <cell r="AA229" t="str">
            <v>IRS Curve missing</v>
          </cell>
          <cell r="AB229" t="str">
            <v>IRS Curve missing</v>
          </cell>
          <cell r="AC229" t="str">
            <v>IRS Curve missing</v>
          </cell>
          <cell r="AD229" t="str">
            <v>IRS Curve missing</v>
          </cell>
          <cell r="AE229" t="str">
            <v>IRS Curve missing</v>
          </cell>
        </row>
        <row r="230">
          <cell r="D230" t="str">
            <v>USD</v>
          </cell>
          <cell r="N230" t="str">
            <v>IRS Curve missing</v>
          </cell>
          <cell r="O230" t="str">
            <v>IRS Curve missing</v>
          </cell>
          <cell r="P230" t="str">
            <v>IRS Curve missing</v>
          </cell>
          <cell r="Q230" t="str">
            <v>IRS Curve missing</v>
          </cell>
          <cell r="R230" t="str">
            <v>IRS Curve missing</v>
          </cell>
          <cell r="S230" t="str">
            <v>IRS Curve missing</v>
          </cell>
          <cell r="T230" t="str">
            <v>IRS Curve missing</v>
          </cell>
          <cell r="U230" t="str">
            <v>IRS Curve missing</v>
          </cell>
          <cell r="V230" t="str">
            <v>IRS Curve missing</v>
          </cell>
          <cell r="W230" t="str">
            <v>IRS Curve missing</v>
          </cell>
          <cell r="X230" t="str">
            <v>IRS Curve missing</v>
          </cell>
          <cell r="Y230" t="str">
            <v>IRS Curve missing</v>
          </cell>
          <cell r="Z230" t="str">
            <v>IRS Curve missing</v>
          </cell>
          <cell r="AA230" t="str">
            <v>IRS Curve missing</v>
          </cell>
          <cell r="AB230" t="str">
            <v>IRS Curve missing</v>
          </cell>
          <cell r="AC230" t="str">
            <v>IRS Curve missing</v>
          </cell>
          <cell r="AD230" t="str">
            <v>IRS Curve missing</v>
          </cell>
          <cell r="AE230" t="str">
            <v>IRS Curve missing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2.2132504845696621E-3</v>
          </cell>
          <cell r="Q231" t="str">
            <v/>
          </cell>
          <cell r="R231">
            <v>1.1966850470858437E-2</v>
          </cell>
          <cell r="S231" t="str">
            <v/>
          </cell>
          <cell r="T231">
            <v>3.9853832726288507E-2</v>
          </cell>
          <cell r="U231">
            <v>7.0291505128049714E-2</v>
          </cell>
          <cell r="V231">
            <v>0.12197597619423672</v>
          </cell>
          <cell r="W231" t="str">
            <v/>
          </cell>
          <cell r="X231" t="str">
            <v/>
          </cell>
          <cell r="Y231">
            <v>2.4145541857339969E-3</v>
          </cell>
          <cell r="Z231" t="str">
            <v/>
          </cell>
          <cell r="AA231">
            <v>1.2571083953783035E-2</v>
          </cell>
          <cell r="AB231" t="str">
            <v/>
          </cell>
          <cell r="AC231">
            <v>4.1812955885693004E-2</v>
          </cell>
          <cell r="AD231">
            <v>7.370745200496942E-2</v>
          </cell>
          <cell r="AE231">
            <v>0.12779146838634781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0.22865610831083993</v>
          </cell>
          <cell r="Q232" t="str">
            <v/>
          </cell>
          <cell r="R232">
            <v>0.35919176093750027</v>
          </cell>
          <cell r="S232" t="str">
            <v/>
          </cell>
          <cell r="T232">
            <v>0.38808527159810169</v>
          </cell>
          <cell r="U232">
            <v>0.46115607383087986</v>
          </cell>
          <cell r="V232">
            <v>0.53739996228825393</v>
          </cell>
          <cell r="W232" t="str">
            <v/>
          </cell>
          <cell r="X232" t="str">
            <v/>
          </cell>
          <cell r="Y232">
            <v>0.23860382063224239</v>
          </cell>
          <cell r="Z232" t="str">
            <v/>
          </cell>
          <cell r="AA232">
            <v>0.37217444545179945</v>
          </cell>
          <cell r="AB232" t="str">
            <v/>
          </cell>
          <cell r="AC232">
            <v>0.40097335414089441</v>
          </cell>
          <cell r="AD232">
            <v>0.47556592889051075</v>
          </cell>
          <cell r="AE232">
            <v>0.55229368620553854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1.1435150655496606E-3</v>
          </cell>
          <cell r="Q233" t="str">
            <v/>
          </cell>
          <cell r="R233">
            <v>6.8718741904666425E-3</v>
          </cell>
          <cell r="S233" t="str">
            <v/>
          </cell>
          <cell r="T233">
            <v>1.8321133346867247E-2</v>
          </cell>
          <cell r="U233">
            <v>3.4861362698807463E-2</v>
          </cell>
          <cell r="V233">
            <v>6.6801482729193506E-2</v>
          </cell>
          <cell r="W233" t="str">
            <v/>
          </cell>
          <cell r="X233" t="str">
            <v/>
          </cell>
          <cell r="Y233">
            <v>1.3450510367698509E-3</v>
          </cell>
          <cell r="Z233" t="str">
            <v/>
          </cell>
          <cell r="AA233">
            <v>7.4059770533559943E-3</v>
          </cell>
          <cell r="AB233" t="str">
            <v/>
          </cell>
          <cell r="AC233">
            <v>1.9193629282896918E-2</v>
          </cell>
          <cell r="AD233">
            <v>3.6550397263598322E-2</v>
          </cell>
          <cell r="AE233">
            <v>7.0016906698835313E-2</v>
          </cell>
        </row>
        <row r="234">
          <cell r="D234" t="str">
            <v>USD</v>
          </cell>
          <cell r="N234" t="str">
            <v>IRS Curve missing</v>
          </cell>
          <cell r="O234" t="str">
            <v>IRS Curve missing</v>
          </cell>
          <cell r="P234" t="str">
            <v>IRS Curve missing</v>
          </cell>
          <cell r="Q234" t="str">
            <v>IRS Curve missing</v>
          </cell>
          <cell r="R234" t="str">
            <v>IRS Curve missing</v>
          </cell>
          <cell r="S234" t="str">
            <v>IRS Curve missing</v>
          </cell>
          <cell r="T234" t="str">
            <v>IRS Curve missing</v>
          </cell>
          <cell r="U234" t="str">
            <v>IRS Curve missing</v>
          </cell>
          <cell r="V234" t="str">
            <v>IRS Curve missing</v>
          </cell>
          <cell r="W234" t="str">
            <v>IRS Curve missing</v>
          </cell>
          <cell r="X234" t="str">
            <v>IRS Curve missing</v>
          </cell>
          <cell r="Y234" t="str">
            <v>IRS Curve missing</v>
          </cell>
          <cell r="Z234" t="str">
            <v>IRS Curve missing</v>
          </cell>
          <cell r="AA234" t="str">
            <v>IRS Curve missing</v>
          </cell>
          <cell r="AB234" t="str">
            <v>IRS Curve missing</v>
          </cell>
          <cell r="AC234" t="str">
            <v>IRS Curve missing</v>
          </cell>
          <cell r="AD234" t="str">
            <v>IRS Curve missing</v>
          </cell>
          <cell r="AE234" t="str">
            <v>IRS Curve missing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2.3340531319328006E-3</v>
          </cell>
          <cell r="Q235" t="str">
            <v/>
          </cell>
          <cell r="R235">
            <v>1.8150908405714761E-2</v>
          </cell>
          <cell r="S235" t="str">
            <v/>
          </cell>
          <cell r="T235">
            <v>4.1206160013789739E-2</v>
          </cell>
          <cell r="U235">
            <v>7.5789592832580244E-2</v>
          </cell>
          <cell r="V235">
            <v>0.13124103615241489</v>
          </cell>
          <cell r="W235" t="str">
            <v/>
          </cell>
          <cell r="X235" t="str">
            <v/>
          </cell>
          <cell r="Y235">
            <v>2.5353298954418069E-3</v>
          </cell>
          <cell r="Z235" t="str">
            <v/>
          </cell>
          <cell r="AA235">
            <v>1.9042628004754869E-2</v>
          </cell>
          <cell r="AB235" t="str">
            <v/>
          </cell>
          <cell r="AC235">
            <v>4.3228419535463636E-2</v>
          </cell>
          <cell r="AD235">
            <v>7.9465608487886752E-2</v>
          </cell>
          <cell r="AE235">
            <v>0.13746916152933231</v>
          </cell>
        </row>
        <row r="236">
          <cell r="D236" t="str">
            <v>USD</v>
          </cell>
          <cell r="N236" t="str">
            <v>IRS Curve missing</v>
          </cell>
          <cell r="O236" t="str">
            <v>IRS Curve missing</v>
          </cell>
          <cell r="P236" t="str">
            <v>IRS Curve missing</v>
          </cell>
          <cell r="Q236" t="str">
            <v>IRS Curve missing</v>
          </cell>
          <cell r="R236" t="str">
            <v>IRS Curve missing</v>
          </cell>
          <cell r="S236" t="str">
            <v>IRS Curve missing</v>
          </cell>
          <cell r="T236" t="str">
            <v>IRS Curve missing</v>
          </cell>
          <cell r="U236" t="str">
            <v>IRS Curve missing</v>
          </cell>
          <cell r="V236" t="str">
            <v>IRS Curve missing</v>
          </cell>
          <cell r="W236" t="str">
            <v>IRS Curve missing</v>
          </cell>
          <cell r="X236" t="str">
            <v>IRS Curve missing</v>
          </cell>
          <cell r="Y236" t="str">
            <v>IRS Curve missing</v>
          </cell>
          <cell r="Z236" t="str">
            <v>IRS Curve missing</v>
          </cell>
          <cell r="AA236" t="str">
            <v>IRS Curve missing</v>
          </cell>
          <cell r="AB236" t="str">
            <v>IRS Curve missing</v>
          </cell>
          <cell r="AC236" t="str">
            <v>IRS Curve missing</v>
          </cell>
          <cell r="AD236" t="str">
            <v>IRS Curve missing</v>
          </cell>
          <cell r="AE236" t="str">
            <v>IRS Curve missing</v>
          </cell>
        </row>
        <row r="237">
          <cell r="D237" t="str">
            <v>USD</v>
          </cell>
          <cell r="N237" t="str">
            <v>IRS Curve missing</v>
          </cell>
          <cell r="O237" t="str">
            <v>IRS Curve missing</v>
          </cell>
          <cell r="P237" t="str">
            <v>IRS Curve missing</v>
          </cell>
          <cell r="Q237" t="str">
            <v>IRS Curve missing</v>
          </cell>
          <cell r="R237" t="str">
            <v>IRS Curve missing</v>
          </cell>
          <cell r="S237" t="str">
            <v>IRS Curve missing</v>
          </cell>
          <cell r="T237" t="str">
            <v>IRS Curve missing</v>
          </cell>
          <cell r="U237" t="str">
            <v>IRS Curve missing</v>
          </cell>
          <cell r="V237" t="str">
            <v>IRS Curve missing</v>
          </cell>
          <cell r="W237" t="str">
            <v>IRS Curve missing</v>
          </cell>
          <cell r="X237" t="str">
            <v>IRS Curve missing</v>
          </cell>
          <cell r="Y237" t="str">
            <v>IRS Curve missing</v>
          </cell>
          <cell r="Z237" t="str">
            <v>IRS Curve missing</v>
          </cell>
          <cell r="AA237" t="str">
            <v>IRS Curve missing</v>
          </cell>
          <cell r="AB237" t="str">
            <v>IRS Curve missing</v>
          </cell>
          <cell r="AC237" t="str">
            <v>IRS Curve missing</v>
          </cell>
          <cell r="AD237" t="str">
            <v>IRS Curve missing</v>
          </cell>
          <cell r="AE237" t="str">
            <v>IRS Curve missing</v>
          </cell>
        </row>
        <row r="238">
          <cell r="D238" t="str">
            <v>USD</v>
          </cell>
          <cell r="N238" t="str">
            <v>IRS Curve missing</v>
          </cell>
          <cell r="O238" t="str">
            <v>IRS Curve missing</v>
          </cell>
          <cell r="P238" t="str">
            <v>IRS Curve missing</v>
          </cell>
          <cell r="Q238" t="str">
            <v>IRS Curve missing</v>
          </cell>
          <cell r="R238" t="str">
            <v>IRS Curve missing</v>
          </cell>
          <cell r="S238" t="str">
            <v>IRS Curve missing</v>
          </cell>
          <cell r="T238" t="str">
            <v>IRS Curve missing</v>
          </cell>
          <cell r="U238" t="str">
            <v>IRS Curve missing</v>
          </cell>
          <cell r="V238" t="str">
            <v>IRS Curve missing</v>
          </cell>
          <cell r="W238" t="str">
            <v>IRS Curve missing</v>
          </cell>
          <cell r="X238" t="str">
            <v>IRS Curve missing</v>
          </cell>
          <cell r="Y238" t="str">
            <v>IRS Curve missing</v>
          </cell>
          <cell r="Z238" t="str">
            <v>IRS Curve missing</v>
          </cell>
          <cell r="AA238" t="str">
            <v>IRS Curve missing</v>
          </cell>
          <cell r="AB238" t="str">
            <v>IRS Curve missing</v>
          </cell>
          <cell r="AC238" t="str">
            <v>IRS Curve missing</v>
          </cell>
          <cell r="AD238" t="str">
            <v>IRS Curve missing</v>
          </cell>
          <cell r="AE238" t="str">
            <v>IRS Curve missing</v>
          </cell>
        </row>
        <row r="239">
          <cell r="D239" t="str">
            <v>USD</v>
          </cell>
          <cell r="N239" t="str">
            <v>IRS Curve missing</v>
          </cell>
          <cell r="O239" t="str">
            <v>IRS Curve missing</v>
          </cell>
          <cell r="P239" t="str">
            <v>IRS Curve missing</v>
          </cell>
          <cell r="Q239" t="str">
            <v>IRS Curve missing</v>
          </cell>
          <cell r="R239" t="str">
            <v>IRS Curve missing</v>
          </cell>
          <cell r="S239" t="str">
            <v>IRS Curve missing</v>
          </cell>
          <cell r="T239" t="str">
            <v>IRS Curve missing</v>
          </cell>
          <cell r="U239" t="str">
            <v>IRS Curve missing</v>
          </cell>
          <cell r="V239" t="str">
            <v>IRS Curve missing</v>
          </cell>
          <cell r="W239" t="str">
            <v>IRS Curve missing</v>
          </cell>
          <cell r="X239" t="str">
            <v>IRS Curve missing</v>
          </cell>
          <cell r="Y239" t="str">
            <v>IRS Curve missing</v>
          </cell>
          <cell r="Z239" t="str">
            <v>IRS Curve missing</v>
          </cell>
          <cell r="AA239" t="str">
            <v>IRS Curve missing</v>
          </cell>
          <cell r="AB239" t="str">
            <v>IRS Curve missing</v>
          </cell>
          <cell r="AC239" t="str">
            <v>IRS Curve missing</v>
          </cell>
          <cell r="AD239" t="str">
            <v>IRS Curve missing</v>
          </cell>
          <cell r="AE239" t="str">
            <v>IRS Curve missing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2.0300054759556652E-3</v>
          </cell>
          <cell r="Q240" t="str">
            <v/>
          </cell>
          <cell r="R240">
            <v>1.3417634703849379E-2</v>
          </cell>
          <cell r="S240" t="str">
            <v/>
          </cell>
          <cell r="T240">
            <v>2.4657317387425048E-2</v>
          </cell>
          <cell r="U240">
            <v>4.1921504653806396E-2</v>
          </cell>
          <cell r="V240">
            <v>6.5634504401173688E-2</v>
          </cell>
          <cell r="W240" t="str">
            <v/>
          </cell>
          <cell r="X240" t="str">
            <v/>
          </cell>
          <cell r="Y240">
            <v>2.231349760281387E-3</v>
          </cell>
          <cell r="Z240" t="str">
            <v/>
          </cell>
          <cell r="AA240">
            <v>1.4073478010793061E-2</v>
          </cell>
          <cell r="AB240" t="str">
            <v/>
          </cell>
          <cell r="AC240">
            <v>2.5870115268499361E-2</v>
          </cell>
          <cell r="AD240">
            <v>4.3971000298561491E-2</v>
          </cell>
          <cell r="AE240">
            <v>6.8819456572785098E-2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4.1865569949527393E-3</v>
          </cell>
          <cell r="Q241" t="str">
            <v/>
          </cell>
          <cell r="R241">
            <v>1.9058870212797285E-2</v>
          </cell>
          <cell r="S241" t="str">
            <v/>
          </cell>
          <cell r="T241">
            <v>4.5878524620400873E-2</v>
          </cell>
          <cell r="U241">
            <v>7.4789467208857818E-2</v>
          </cell>
          <cell r="V241">
            <v>0.1204006023866111</v>
          </cell>
          <cell r="W241" t="str">
            <v/>
          </cell>
          <cell r="X241" t="str">
            <v/>
          </cell>
          <cell r="Y241">
            <v>4.3953375312154597E-3</v>
          </cell>
          <cell r="Z241" t="str">
            <v/>
          </cell>
          <cell r="AA241">
            <v>2.0004522026394023E-2</v>
          </cell>
          <cell r="AB241" t="str">
            <v/>
          </cell>
          <cell r="AC241">
            <v>4.8132830446742214E-2</v>
          </cell>
          <cell r="AD241">
            <v>7.8417671467603922E-2</v>
          </cell>
          <cell r="AE241">
            <v>0.1261175444745638</v>
          </cell>
        </row>
        <row r="242">
          <cell r="D242" t="str">
            <v>USD</v>
          </cell>
          <cell r="N242" t="str">
            <v>IRS Curve missing</v>
          </cell>
          <cell r="O242" t="str">
            <v>IRS Curve missing</v>
          </cell>
          <cell r="P242" t="str">
            <v>IRS Curve missing</v>
          </cell>
          <cell r="Q242" t="str">
            <v>IRS Curve missing</v>
          </cell>
          <cell r="R242" t="str">
            <v>IRS Curve missing</v>
          </cell>
          <cell r="S242" t="str">
            <v>IRS Curve missing</v>
          </cell>
          <cell r="T242" t="str">
            <v>IRS Curve missing</v>
          </cell>
          <cell r="U242" t="str">
            <v>IRS Curve missing</v>
          </cell>
          <cell r="V242" t="str">
            <v>IRS Curve missing</v>
          </cell>
          <cell r="W242" t="str">
            <v>IRS Curve missing</v>
          </cell>
          <cell r="X242" t="str">
            <v>IRS Curve missing</v>
          </cell>
          <cell r="Y242" t="str">
            <v>IRS Curve missing</v>
          </cell>
          <cell r="Z242" t="str">
            <v>IRS Curve missing</v>
          </cell>
          <cell r="AA242" t="str">
            <v>IRS Curve missing</v>
          </cell>
          <cell r="AB242" t="str">
            <v>IRS Curve missing</v>
          </cell>
          <cell r="AC242" t="str">
            <v>IRS Curve missing</v>
          </cell>
          <cell r="AD242" t="str">
            <v>IRS Curve missing</v>
          </cell>
          <cell r="AE242" t="str">
            <v>IRS Curve missing</v>
          </cell>
        </row>
        <row r="243">
          <cell r="D243" t="str">
            <v>USD</v>
          </cell>
          <cell r="N243" t="str">
            <v>IRS Curve missing</v>
          </cell>
          <cell r="O243" t="str">
            <v>IRS Curve missing</v>
          </cell>
          <cell r="P243" t="str">
            <v>IRS Curve missing</v>
          </cell>
          <cell r="Q243" t="str">
            <v>IRS Curve missing</v>
          </cell>
          <cell r="R243" t="str">
            <v>IRS Curve missing</v>
          </cell>
          <cell r="S243" t="str">
            <v>IRS Curve missing</v>
          </cell>
          <cell r="T243" t="str">
            <v>IRS Curve missing</v>
          </cell>
          <cell r="U243" t="str">
            <v>IRS Curve missing</v>
          </cell>
          <cell r="V243" t="str">
            <v>IRS Curve missing</v>
          </cell>
          <cell r="W243" t="str">
            <v>IRS Curve missing</v>
          </cell>
          <cell r="X243" t="str">
            <v>IRS Curve missing</v>
          </cell>
          <cell r="Y243" t="str">
            <v>IRS Curve missing</v>
          </cell>
          <cell r="Z243" t="str">
            <v>IRS Curve missing</v>
          </cell>
          <cell r="AA243" t="str">
            <v>IRS Curve missing</v>
          </cell>
          <cell r="AB243" t="str">
            <v>IRS Curve missing</v>
          </cell>
          <cell r="AC243" t="str">
            <v>IRS Curve missing</v>
          </cell>
          <cell r="AD243" t="str">
            <v>IRS Curve missing</v>
          </cell>
          <cell r="AE243" t="str">
            <v>IRS Curve missing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6.3003950553840449E-3</v>
          </cell>
          <cell r="Q244" t="str">
            <v/>
          </cell>
          <cell r="R244">
            <v>3.8470866117576219E-2</v>
          </cell>
          <cell r="S244" t="str">
            <v/>
          </cell>
          <cell r="T244">
            <v>0.1015577089954588</v>
          </cell>
          <cell r="U244">
            <v>0.15872385944575718</v>
          </cell>
          <cell r="V244">
            <v>0.25339341856047992</v>
          </cell>
          <cell r="W244" t="str">
            <v/>
          </cell>
          <cell r="X244" t="str">
            <v/>
          </cell>
          <cell r="Y244">
            <v>6.6141657063703008E-3</v>
          </cell>
          <cell r="Z244" t="str">
            <v/>
          </cell>
          <cell r="AA244">
            <v>4.0367835500575877E-2</v>
          </cell>
          <cell r="AB244" t="str">
            <v/>
          </cell>
          <cell r="AC244">
            <v>0.10645508257125924</v>
          </cell>
          <cell r="AD244">
            <v>0.16615294391456681</v>
          </cell>
          <cell r="AE244">
            <v>0.26469602409409221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1.288630524351797E-3</v>
          </cell>
          <cell r="Q245" t="str">
            <v/>
          </cell>
          <cell r="R245">
            <v>7.9276538063852708E-3</v>
          </cell>
          <cell r="S245" t="str">
            <v/>
          </cell>
          <cell r="T245">
            <v>2.3189821929304855E-2</v>
          </cell>
          <cell r="U245">
            <v>4.1984995273877113E-2</v>
          </cell>
          <cell r="V245">
            <v>7.8590254859764119E-2</v>
          </cell>
          <cell r="W245" t="str">
            <v/>
          </cell>
          <cell r="X245" t="str">
            <v/>
          </cell>
          <cell r="Y245">
            <v>1.4901356356779027E-3</v>
          </cell>
          <cell r="Z245" t="str">
            <v/>
          </cell>
          <cell r="AA245">
            <v>8.4612926270571931E-3</v>
          </cell>
          <cell r="AB245" t="str">
            <v/>
          </cell>
          <cell r="AC245">
            <v>2.4309787681346617E-2</v>
          </cell>
          <cell r="AD245">
            <v>4.4025548979984563E-2</v>
          </cell>
          <cell r="AE245">
            <v>8.2377106587859683E-2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1.2301837561460305E-3</v>
          </cell>
          <cell r="Q246" t="str">
            <v/>
          </cell>
          <cell r="R246">
            <v>1.2773505570352173E-2</v>
          </cell>
          <cell r="S246" t="str">
            <v/>
          </cell>
          <cell r="T246">
            <v>2.3897271010740462E-2</v>
          </cell>
          <cell r="U246">
            <v>4.472551157811655E-2</v>
          </cell>
          <cell r="V246">
            <v>8.6725432185104534E-2</v>
          </cell>
          <cell r="W246" t="str">
            <v/>
          </cell>
          <cell r="X246" t="str">
            <v/>
          </cell>
          <cell r="Y246">
            <v>1.4317013206799345E-3</v>
          </cell>
          <cell r="Z246" t="str">
            <v/>
          </cell>
          <cell r="AA246">
            <v>1.3393088014390653E-2</v>
          </cell>
          <cell r="AB246" t="str">
            <v/>
          </cell>
          <cell r="AC246">
            <v>2.5070644853956492E-2</v>
          </cell>
          <cell r="AD246">
            <v>4.6909326736040202E-2</v>
          </cell>
          <cell r="AE246">
            <v>9.0923293976113428E-2</v>
          </cell>
        </row>
        <row r="247">
          <cell r="D247" t="str">
            <v>USD</v>
          </cell>
          <cell r="N247" t="str">
            <v>IRS Curve missing</v>
          </cell>
          <cell r="O247" t="str">
            <v>IRS Curve missing</v>
          </cell>
          <cell r="P247" t="str">
            <v>IRS Curve missing</v>
          </cell>
          <cell r="Q247" t="str">
            <v>IRS Curve missing</v>
          </cell>
          <cell r="R247" t="str">
            <v>IRS Curve missing</v>
          </cell>
          <cell r="S247" t="str">
            <v>IRS Curve missing</v>
          </cell>
          <cell r="T247" t="str">
            <v>IRS Curve missing</v>
          </cell>
          <cell r="U247" t="str">
            <v>IRS Curve missing</v>
          </cell>
          <cell r="V247" t="str">
            <v>IRS Curve missing</v>
          </cell>
          <cell r="W247" t="str">
            <v>IRS Curve missing</v>
          </cell>
          <cell r="X247" t="str">
            <v>IRS Curve missing</v>
          </cell>
          <cell r="Y247" t="str">
            <v>IRS Curve missing</v>
          </cell>
          <cell r="Z247" t="str">
            <v>IRS Curve missing</v>
          </cell>
          <cell r="AA247" t="str">
            <v>IRS Curve missing</v>
          </cell>
          <cell r="AB247" t="str">
            <v>IRS Curve missing</v>
          </cell>
          <cell r="AC247" t="str">
            <v>IRS Curve missing</v>
          </cell>
          <cell r="AD247" t="str">
            <v>IRS Curve missing</v>
          </cell>
          <cell r="AE247" t="str">
            <v>IRS Curve missing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3.1551269838189233E-3</v>
          </cell>
          <cell r="Q248" t="str">
            <v/>
          </cell>
          <cell r="R248">
            <v>1.2730886267290686E-2</v>
          </cell>
          <cell r="S248" t="str">
            <v/>
          </cell>
          <cell r="T248">
            <v>2.4179592491641033E-2</v>
          </cell>
          <cell r="U248">
            <v>4.4125309806996582E-2</v>
          </cell>
          <cell r="V248">
            <v>7.5037004881767899E-2</v>
          </cell>
          <cell r="W248" t="str">
            <v/>
          </cell>
          <cell r="X248" t="str">
            <v/>
          </cell>
          <cell r="Y248">
            <v>3.356216721142502E-3</v>
          </cell>
          <cell r="Z248" t="str">
            <v/>
          </cell>
          <cell r="AA248">
            <v>1.3358860511562876E-2</v>
          </cell>
          <cell r="AB248" t="str">
            <v/>
          </cell>
          <cell r="AC248">
            <v>2.5373289361192652E-2</v>
          </cell>
          <cell r="AD248">
            <v>4.6288843330107077E-2</v>
          </cell>
          <cell r="AE248">
            <v>7.8674409102123088E-2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1.4075290015195252E-3</v>
          </cell>
          <cell r="Q249" t="str">
            <v/>
          </cell>
          <cell r="R249">
            <v>8.9184736426617395E-3</v>
          </cell>
          <cell r="S249" t="str">
            <v/>
          </cell>
          <cell r="T249">
            <v>2.3960788199934413E-2</v>
          </cell>
          <cell r="U249">
            <v>4.6002535788142729E-2</v>
          </cell>
          <cell r="V249">
            <v>8.8072585358592193E-2</v>
          </cell>
          <cell r="W249" t="str">
            <v/>
          </cell>
          <cell r="X249" t="str">
            <v/>
          </cell>
          <cell r="Y249">
            <v>1.609008678443602E-3</v>
          </cell>
          <cell r="Z249" t="str">
            <v/>
          </cell>
          <cell r="AA249">
            <v>9.451684001491989E-3</v>
          </cell>
          <cell r="AB249" t="str">
            <v/>
          </cell>
          <cell r="AC249">
            <v>2.5126229147690582E-2</v>
          </cell>
          <cell r="AD249">
            <v>4.8243336324412689E-2</v>
          </cell>
          <cell r="AE249">
            <v>9.2317477349771582E-2</v>
          </cell>
        </row>
        <row r="250">
          <cell r="D250" t="str">
            <v>USD</v>
          </cell>
          <cell r="N250" t="str">
            <v>IRS Curve missing</v>
          </cell>
          <cell r="O250" t="str">
            <v>IRS Curve missing</v>
          </cell>
          <cell r="P250" t="str">
            <v>IRS Curve missing</v>
          </cell>
          <cell r="Q250" t="str">
            <v>IRS Curve missing</v>
          </cell>
          <cell r="R250" t="str">
            <v>IRS Curve missing</v>
          </cell>
          <cell r="S250" t="str">
            <v>IRS Curve missing</v>
          </cell>
          <cell r="T250" t="str">
            <v>IRS Curve missing</v>
          </cell>
          <cell r="U250" t="str">
            <v>IRS Curve missing</v>
          </cell>
          <cell r="V250" t="str">
            <v>IRS Curve missing</v>
          </cell>
          <cell r="W250" t="str">
            <v>IRS Curve missing</v>
          </cell>
          <cell r="X250" t="str">
            <v>IRS Curve missing</v>
          </cell>
          <cell r="Y250" t="str">
            <v>IRS Curve missing</v>
          </cell>
          <cell r="Z250" t="str">
            <v>IRS Curve missing</v>
          </cell>
          <cell r="AA250" t="str">
            <v>IRS Curve missing</v>
          </cell>
          <cell r="AB250" t="str">
            <v>IRS Curve missing</v>
          </cell>
          <cell r="AC250" t="str">
            <v>IRS Curve missing</v>
          </cell>
          <cell r="AD250" t="str">
            <v>IRS Curve missing</v>
          </cell>
          <cell r="AE250" t="str">
            <v>IRS Curve missing</v>
          </cell>
        </row>
        <row r="251">
          <cell r="D251" t="str">
            <v>USD</v>
          </cell>
          <cell r="N251" t="str">
            <v>IRS Curve missing</v>
          </cell>
          <cell r="O251" t="str">
            <v>IRS Curve missing</v>
          </cell>
          <cell r="P251" t="str">
            <v>IRS Curve missing</v>
          </cell>
          <cell r="Q251" t="str">
            <v>IRS Curve missing</v>
          </cell>
          <cell r="R251" t="str">
            <v>IRS Curve missing</v>
          </cell>
          <cell r="S251" t="str">
            <v>IRS Curve missing</v>
          </cell>
          <cell r="T251" t="str">
            <v>IRS Curve missing</v>
          </cell>
          <cell r="U251" t="str">
            <v>IRS Curve missing</v>
          </cell>
          <cell r="V251" t="str">
            <v>IRS Curve missing</v>
          </cell>
          <cell r="W251" t="str">
            <v>IRS Curve missing</v>
          </cell>
          <cell r="X251" t="str">
            <v>IRS Curve missing</v>
          </cell>
          <cell r="Y251" t="str">
            <v>IRS Curve missing</v>
          </cell>
          <cell r="Z251" t="str">
            <v>IRS Curve missing</v>
          </cell>
          <cell r="AA251" t="str">
            <v>IRS Curve missing</v>
          </cell>
          <cell r="AB251" t="str">
            <v>IRS Curve missing</v>
          </cell>
          <cell r="AC251" t="str">
            <v>IRS Curve missing</v>
          </cell>
          <cell r="AD251" t="str">
            <v>IRS Curve missing</v>
          </cell>
          <cell r="AE251" t="str">
            <v>IRS Curve missing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7.5442188936469812E-4</v>
          </cell>
          <cell r="Q252" t="str">
            <v/>
          </cell>
          <cell r="R252">
            <v>6.9116144446548233E-3</v>
          </cell>
          <cell r="S252" t="str">
            <v/>
          </cell>
          <cell r="T252">
            <v>1.7418152726178082E-2</v>
          </cell>
          <cell r="U252">
            <v>3.8384917571397281E-2</v>
          </cell>
          <cell r="V252">
            <v>6.2011297141047361E-2</v>
          </cell>
          <cell r="W252" t="str">
            <v/>
          </cell>
          <cell r="X252" t="str">
            <v/>
          </cell>
          <cell r="Y252">
            <v>9.5603962438817192E-4</v>
          </cell>
          <cell r="Z252" t="str">
            <v/>
          </cell>
          <cell r="AA252">
            <v>7.4458608741746479E-3</v>
          </cell>
          <cell r="AB252" t="str">
            <v/>
          </cell>
          <cell r="AC252">
            <v>1.8278411723131049E-2</v>
          </cell>
          <cell r="AD252">
            <v>4.0241088826309501E-2</v>
          </cell>
          <cell r="AE252">
            <v>6.4993075275925904E-2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2.1890882160586767E-3</v>
          </cell>
          <cell r="Q253" t="str">
            <v/>
          </cell>
          <cell r="R253">
            <v>7.026393940761877E-3</v>
          </cell>
          <cell r="S253" t="str">
            <v/>
          </cell>
          <cell r="T253">
            <v>1.9565775547467079E-2</v>
          </cell>
          <cell r="U253">
            <v>3.6526736804563309E-2</v>
          </cell>
          <cell r="V253">
            <v>6.0230663675062468E-2</v>
          </cell>
          <cell r="W253" t="str">
            <v/>
          </cell>
          <cell r="X253" t="str">
            <v/>
          </cell>
          <cell r="Y253">
            <v>2.3903972875585211E-3</v>
          </cell>
          <cell r="Z253" t="str">
            <v/>
          </cell>
          <cell r="AA253">
            <v>7.5600119750234285E-3</v>
          </cell>
          <cell r="AB253" t="str">
            <v/>
          </cell>
          <cell r="AC253">
            <v>2.0504993487473477E-2</v>
          </cell>
          <cell r="AD253">
            <v>3.8303293793267468E-2</v>
          </cell>
          <cell r="AE253">
            <v>6.31315601164818E-2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1.4014836548597032E-3</v>
          </cell>
          <cell r="Q254" t="str">
            <v/>
          </cell>
          <cell r="R254">
            <v>8.4482200609220515E-3</v>
          </cell>
          <cell r="S254" t="str">
            <v/>
          </cell>
          <cell r="T254">
            <v>2.0821795703014456E-2</v>
          </cell>
          <cell r="U254">
            <v>4.0289555135754829E-2</v>
          </cell>
          <cell r="V254">
            <v>8.194544239724999E-2</v>
          </cell>
          <cell r="W254" t="str">
            <v/>
          </cell>
          <cell r="X254" t="str">
            <v/>
          </cell>
          <cell r="Y254">
            <v>1.6029646282487153E-3</v>
          </cell>
          <cell r="Z254" t="str">
            <v/>
          </cell>
          <cell r="AA254">
            <v>8.9816137683808028E-3</v>
          </cell>
          <cell r="AB254" t="str">
            <v/>
          </cell>
          <cell r="AC254">
            <v>2.1829430283145435E-2</v>
          </cell>
          <cell r="AD254">
            <v>4.225027336183973E-2</v>
          </cell>
          <cell r="AE254">
            <v>8.5899925697334623E-2</v>
          </cell>
        </row>
        <row r="255">
          <cell r="D255" t="str">
            <v>USD</v>
          </cell>
          <cell r="N255" t="str">
            <v>IRS Curve missing</v>
          </cell>
          <cell r="O255" t="str">
            <v>IRS Curve missing</v>
          </cell>
          <cell r="P255" t="str">
            <v>IRS Curve missing</v>
          </cell>
          <cell r="Q255" t="str">
            <v>IRS Curve missing</v>
          </cell>
          <cell r="R255" t="str">
            <v>IRS Curve missing</v>
          </cell>
          <cell r="S255" t="str">
            <v>IRS Curve missing</v>
          </cell>
          <cell r="T255" t="str">
            <v>IRS Curve missing</v>
          </cell>
          <cell r="U255" t="str">
            <v>IRS Curve missing</v>
          </cell>
          <cell r="V255" t="str">
            <v>IRS Curve missing</v>
          </cell>
          <cell r="W255" t="str">
            <v>IRS Curve missing</v>
          </cell>
          <cell r="X255" t="str">
            <v>IRS Curve missing</v>
          </cell>
          <cell r="Y255" t="str">
            <v>IRS Curve missing</v>
          </cell>
          <cell r="Z255" t="str">
            <v>IRS Curve missing</v>
          </cell>
          <cell r="AA255" t="str">
            <v>IRS Curve missing</v>
          </cell>
          <cell r="AB255" t="str">
            <v>IRS Curve missing</v>
          </cell>
          <cell r="AC255" t="str">
            <v>IRS Curve missing</v>
          </cell>
          <cell r="AD255" t="str">
            <v>IRS Curve missing</v>
          </cell>
          <cell r="AE255" t="str">
            <v>IRS Curve missing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2.7044242396441209E-3</v>
          </cell>
          <cell r="Q256" t="str">
            <v/>
          </cell>
          <cell r="R256">
            <v>1.3809308351501737E-2</v>
          </cell>
          <cell r="S256" t="str">
            <v/>
          </cell>
          <cell r="T256">
            <v>2.9545621665487798E-2</v>
          </cell>
          <cell r="U256">
            <v>4.1616492913399639E-2</v>
          </cell>
          <cell r="V256">
            <v>6.0147682927427448E-2</v>
          </cell>
          <cell r="W256" t="str">
            <v/>
          </cell>
          <cell r="X256" t="str">
            <v/>
          </cell>
          <cell r="Y256">
            <v>2.9056174955355285E-3</v>
          </cell>
          <cell r="Z256" t="str">
            <v/>
          </cell>
          <cell r="AA256">
            <v>1.4488216919255725E-2</v>
          </cell>
          <cell r="AB256" t="str">
            <v/>
          </cell>
          <cell r="AC256">
            <v>3.1000803437270408E-2</v>
          </cell>
          <cell r="AD256">
            <v>4.3648896288946526E-2</v>
          </cell>
          <cell r="AE256">
            <v>6.3067034666072441E-2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5.7267056591765453E-3</v>
          </cell>
          <cell r="Q257" t="str">
            <v/>
          </cell>
          <cell r="R257">
            <v>2.3681719766461495E-2</v>
          </cell>
          <cell r="S257" t="str">
            <v/>
          </cell>
          <cell r="T257">
            <v>6.3025824284445364E-2</v>
          </cell>
          <cell r="U257">
            <v>0.10390937313393478</v>
          </cell>
          <cell r="V257">
            <v>0.17535407869361019</v>
          </cell>
          <cell r="W257" t="str">
            <v/>
          </cell>
          <cell r="X257" t="str">
            <v/>
          </cell>
          <cell r="Y257">
            <v>6.0120110134633808E-3</v>
          </cell>
          <cell r="Z257" t="str">
            <v/>
          </cell>
          <cell r="AA257">
            <v>2.4854050164546337E-2</v>
          </cell>
          <cell r="AB257" t="str">
            <v/>
          </cell>
          <cell r="AC257">
            <v>6.6106307667599729E-2</v>
          </cell>
          <cell r="AD257">
            <v>0.10889492190461192</v>
          </cell>
          <cell r="AE257">
            <v>0.18350781471960953</v>
          </cell>
        </row>
        <row r="258">
          <cell r="D258" t="str">
            <v>USD</v>
          </cell>
          <cell r="N258" t="str">
            <v>IRS Curve missing</v>
          </cell>
          <cell r="O258" t="str">
            <v>IRS Curve missing</v>
          </cell>
          <cell r="P258" t="str">
            <v>IRS Curve missing</v>
          </cell>
          <cell r="Q258" t="str">
            <v>IRS Curve missing</v>
          </cell>
          <cell r="R258" t="str">
            <v>IRS Curve missing</v>
          </cell>
          <cell r="S258" t="str">
            <v>IRS Curve missing</v>
          </cell>
          <cell r="T258" t="str">
            <v>IRS Curve missing</v>
          </cell>
          <cell r="U258" t="str">
            <v>IRS Curve missing</v>
          </cell>
          <cell r="V258" t="str">
            <v>IRS Curve missing</v>
          </cell>
          <cell r="W258" t="str">
            <v>IRS Curve missing</v>
          </cell>
          <cell r="X258" t="str">
            <v>IRS Curve missing</v>
          </cell>
          <cell r="Y258" t="str">
            <v>IRS Curve missing</v>
          </cell>
          <cell r="Z258" t="str">
            <v>IRS Curve missing</v>
          </cell>
          <cell r="AA258" t="str">
            <v>IRS Curve missing</v>
          </cell>
          <cell r="AB258" t="str">
            <v>IRS Curve missing</v>
          </cell>
          <cell r="AC258" t="str">
            <v>IRS Curve missing</v>
          </cell>
          <cell r="AD258" t="str">
            <v>IRS Curve missing</v>
          </cell>
          <cell r="AE258" t="str">
            <v>IRS Curve missing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1.1636712402797178E-3</v>
          </cell>
          <cell r="Q259" t="str">
            <v/>
          </cell>
          <cell r="R259">
            <v>6.286632063772668E-3</v>
          </cell>
          <cell r="S259" t="str">
            <v/>
          </cell>
          <cell r="T259">
            <v>1.7933878130825143E-2</v>
          </cell>
          <cell r="U259">
            <v>3.256220666541676E-2</v>
          </cell>
          <cell r="V259">
            <v>6.105979657364391E-2</v>
          </cell>
          <cell r="W259" t="str">
            <v/>
          </cell>
          <cell r="X259" t="str">
            <v/>
          </cell>
          <cell r="Y259">
            <v>1.3652029370825325E-3</v>
          </cell>
          <cell r="Z259" t="str">
            <v/>
          </cell>
          <cell r="AA259">
            <v>6.8209509955957648E-3</v>
          </cell>
          <cell r="AB259" t="str">
            <v/>
          </cell>
          <cell r="AC259">
            <v>1.8794013401269294E-2</v>
          </cell>
          <cell r="AD259">
            <v>3.4137045747139161E-2</v>
          </cell>
          <cell r="AE259">
            <v>6.40047005958152E-2</v>
          </cell>
        </row>
        <row r="260">
          <cell r="D260" t="str">
            <v>USD</v>
          </cell>
          <cell r="N260" t="str">
            <v>IRS Curve missing</v>
          </cell>
          <cell r="O260" t="str">
            <v>IRS Curve missing</v>
          </cell>
          <cell r="P260" t="str">
            <v>IRS Curve missing</v>
          </cell>
          <cell r="Q260" t="str">
            <v>IRS Curve missing</v>
          </cell>
          <cell r="R260" t="str">
            <v>IRS Curve missing</v>
          </cell>
          <cell r="S260" t="str">
            <v>IRS Curve missing</v>
          </cell>
          <cell r="T260" t="str">
            <v>IRS Curve missing</v>
          </cell>
          <cell r="U260" t="str">
            <v>IRS Curve missing</v>
          </cell>
          <cell r="V260" t="str">
            <v>IRS Curve missing</v>
          </cell>
          <cell r="W260" t="str">
            <v>IRS Curve missing</v>
          </cell>
          <cell r="X260" t="str">
            <v>IRS Curve missing</v>
          </cell>
          <cell r="Y260" t="str">
            <v>IRS Curve missing</v>
          </cell>
          <cell r="Z260" t="str">
            <v>IRS Curve missing</v>
          </cell>
          <cell r="AA260" t="str">
            <v>IRS Curve missing</v>
          </cell>
          <cell r="AB260" t="str">
            <v>IRS Curve missing</v>
          </cell>
          <cell r="AC260" t="str">
            <v>IRS Curve missing</v>
          </cell>
          <cell r="AD260" t="str">
            <v>IRS Curve missing</v>
          </cell>
          <cell r="AE260" t="str">
            <v>IRS Curve missing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4.9516208278297391E-2</v>
          </cell>
          <cell r="Q261" t="str">
            <v/>
          </cell>
          <cell r="R261">
            <v>0.12568469774890634</v>
          </cell>
          <cell r="S261" t="str">
            <v/>
          </cell>
          <cell r="T261">
            <v>0.17634753798093239</v>
          </cell>
          <cell r="U261">
            <v>0.22601891475764768</v>
          </cell>
          <cell r="V261">
            <v>0.28963037096873234</v>
          </cell>
          <cell r="W261" t="str">
            <v/>
          </cell>
          <cell r="X261" t="str">
            <v/>
          </cell>
          <cell r="Y261">
            <v>5.1926577983977928E-2</v>
          </cell>
          <cell r="Z261" t="str">
            <v/>
          </cell>
          <cell r="AA261">
            <v>0.13153496424752664</v>
          </cell>
          <cell r="AB261" t="str">
            <v/>
          </cell>
          <cell r="AC261">
            <v>0.18421773314007406</v>
          </cell>
          <cell r="AD261">
            <v>0.23575086547497326</v>
          </cell>
          <cell r="AE261">
            <v>0.30143087055731543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8.8999530039307606E-3</v>
          </cell>
          <cell r="Q262" t="str">
            <v/>
          </cell>
          <cell r="R262">
            <v>4.2276022155377624E-2</v>
          </cell>
          <cell r="S262" t="str">
            <v/>
          </cell>
          <cell r="T262">
            <v>0.10789403095349992</v>
          </cell>
          <cell r="U262">
            <v>0.17204704382053904</v>
          </cell>
          <cell r="V262">
            <v>0.28595834642094098</v>
          </cell>
          <cell r="W262" t="str">
            <v/>
          </cell>
          <cell r="X262" t="str">
            <v/>
          </cell>
          <cell r="Y262">
            <v>9.3424366404609716E-3</v>
          </cell>
          <cell r="Z262" t="str">
            <v/>
          </cell>
          <cell r="AA262">
            <v>4.4354440111249671E-2</v>
          </cell>
          <cell r="AB262" t="str">
            <v/>
          </cell>
          <cell r="AC262">
            <v>0.11307668285762207</v>
          </cell>
          <cell r="AD262">
            <v>0.18005187513884935</v>
          </cell>
          <cell r="AE262">
            <v>0.29855864725422532</v>
          </cell>
        </row>
        <row r="263">
          <cell r="D263" t="str">
            <v>EUR</v>
          </cell>
          <cell r="N263" t="str">
            <v/>
          </cell>
          <cell r="O263">
            <v>2.5856475220602526E-3</v>
          </cell>
          <cell r="P263">
            <v>5.8616600377566774E-3</v>
          </cell>
          <cell r="Q263">
            <v>1.7864770769911442E-2</v>
          </cell>
          <cell r="R263">
            <v>3.7425991247063251E-2</v>
          </cell>
          <cell r="S263">
            <v>6.917877787002813E-2</v>
          </cell>
          <cell r="T263">
            <v>0.10541290555033767</v>
          </cell>
          <cell r="U263">
            <v>0.17970078972603942</v>
          </cell>
          <cell r="V263">
            <v>0.27993141812135047</v>
          </cell>
          <cell r="W263" t="str">
            <v/>
          </cell>
          <cell r="X263">
            <v>2.7147353867564838E-3</v>
          </cell>
          <cell r="Y263">
            <v>6.153931053225925E-3</v>
          </cell>
          <cell r="Z263">
            <v>1.8751965839392759E-2</v>
          </cell>
          <cell r="AA263">
            <v>3.9272164149566025E-2</v>
          </cell>
          <cell r="AB263">
            <v>7.2557293332457751E-2</v>
          </cell>
          <cell r="AC263">
            <v>0.11049388446578989</v>
          </cell>
          <cell r="AD263">
            <v>0.18808308566049947</v>
          </cell>
          <cell r="AE263">
            <v>0.29225414209453671</v>
          </cell>
        </row>
        <row r="264">
          <cell r="D264" t="str">
            <v>EUR</v>
          </cell>
          <cell r="N264" t="str">
            <v/>
          </cell>
          <cell r="O264">
            <v>6.3347278335050827E-3</v>
          </cell>
          <cell r="P264">
            <v>1.0839213365448352E-2</v>
          </cell>
          <cell r="Q264">
            <v>2.9911651644947579E-2</v>
          </cell>
          <cell r="R264">
            <v>5.2323941449163969E-2</v>
          </cell>
          <cell r="S264" t="str">
            <v/>
          </cell>
          <cell r="T264">
            <v>0.10716352600248547</v>
          </cell>
          <cell r="U264">
            <v>0.17256075287419792</v>
          </cell>
          <cell r="V264">
            <v>0.25268641312278461</v>
          </cell>
          <cell r="W264" t="str">
            <v/>
          </cell>
          <cell r="X264">
            <v>6.6502799465575357E-3</v>
          </cell>
          <cell r="Y264">
            <v>1.1377821773205898E-2</v>
          </cell>
          <cell r="Z264">
            <v>3.1388964222029969E-2</v>
          </cell>
          <cell r="AA264">
            <v>5.4882700635059067E-2</v>
          </cell>
          <cell r="AB264" t="str">
            <v/>
          </cell>
          <cell r="AC264">
            <v>0.1122804076630558</v>
          </cell>
          <cell r="AD264">
            <v>0.18055560167481355</v>
          </cell>
          <cell r="AE264">
            <v>0.26380640864180871</v>
          </cell>
        </row>
        <row r="265">
          <cell r="D265" t="str">
            <v>USD</v>
          </cell>
          <cell r="N265" t="str">
            <v>IRS Curve missing</v>
          </cell>
          <cell r="O265" t="str">
            <v>IRS Curve missing</v>
          </cell>
          <cell r="P265" t="str">
            <v>IRS Curve missing</v>
          </cell>
          <cell r="Q265" t="str">
            <v>IRS Curve missing</v>
          </cell>
          <cell r="R265" t="str">
            <v>IRS Curve missing</v>
          </cell>
          <cell r="S265" t="str">
            <v>IRS Curve missing</v>
          </cell>
          <cell r="T265" t="str">
            <v>IRS Curve missing</v>
          </cell>
          <cell r="U265" t="str">
            <v>IRS Curve missing</v>
          </cell>
          <cell r="V265" t="str">
            <v>IRS Curve missing</v>
          </cell>
          <cell r="W265" t="str">
            <v>IRS Curve missing</v>
          </cell>
          <cell r="X265" t="str">
            <v>IRS Curve missing</v>
          </cell>
          <cell r="Y265" t="str">
            <v>IRS Curve missing</v>
          </cell>
          <cell r="Z265" t="str">
            <v>IRS Curve missing</v>
          </cell>
          <cell r="AA265" t="str">
            <v>IRS Curve missing</v>
          </cell>
          <cell r="AB265" t="str">
            <v>IRS Curve missing</v>
          </cell>
          <cell r="AC265" t="str">
            <v>IRS Curve missing</v>
          </cell>
          <cell r="AD265" t="str">
            <v>IRS Curve missing</v>
          </cell>
          <cell r="AE265" t="str">
            <v>IRS Curve missing</v>
          </cell>
        </row>
        <row r="266">
          <cell r="D266" t="str">
            <v>USD</v>
          </cell>
          <cell r="N266" t="str">
            <v>IRS Curve missing</v>
          </cell>
          <cell r="O266" t="str">
            <v>IRS Curve missing</v>
          </cell>
          <cell r="P266" t="str">
            <v>IRS Curve missing</v>
          </cell>
          <cell r="Q266" t="str">
            <v>IRS Curve missing</v>
          </cell>
          <cell r="R266" t="str">
            <v>IRS Curve missing</v>
          </cell>
          <cell r="S266" t="str">
            <v>IRS Curve missing</v>
          </cell>
          <cell r="T266" t="str">
            <v>IRS Curve missing</v>
          </cell>
          <cell r="U266" t="str">
            <v>IRS Curve missing</v>
          </cell>
          <cell r="V266" t="str">
            <v>IRS Curve missing</v>
          </cell>
          <cell r="W266" t="str">
            <v>IRS Curve missing</v>
          </cell>
          <cell r="X266" t="str">
            <v>IRS Curve missing</v>
          </cell>
          <cell r="Y266" t="str">
            <v>IRS Curve missing</v>
          </cell>
          <cell r="Z266" t="str">
            <v>IRS Curve missing</v>
          </cell>
          <cell r="AA266" t="str">
            <v>IRS Curve missing</v>
          </cell>
          <cell r="AB266" t="str">
            <v>IRS Curve missing</v>
          </cell>
          <cell r="AC266" t="str">
            <v>IRS Curve missing</v>
          </cell>
          <cell r="AD266" t="str">
            <v>IRS Curve missing</v>
          </cell>
          <cell r="AE266" t="str">
            <v>IRS Curve missing</v>
          </cell>
        </row>
        <row r="267">
          <cell r="D267" t="str">
            <v>USD</v>
          </cell>
          <cell r="N267" t="str">
            <v>IRS Curve missing</v>
          </cell>
          <cell r="O267" t="str">
            <v>IRS Curve missing</v>
          </cell>
          <cell r="P267" t="str">
            <v>IRS Curve missing</v>
          </cell>
          <cell r="Q267" t="str">
            <v>IRS Curve missing</v>
          </cell>
          <cell r="R267" t="str">
            <v>IRS Curve missing</v>
          </cell>
          <cell r="S267" t="str">
            <v>IRS Curve missing</v>
          </cell>
          <cell r="T267" t="str">
            <v>IRS Curve missing</v>
          </cell>
          <cell r="U267" t="str">
            <v>IRS Curve missing</v>
          </cell>
          <cell r="V267" t="str">
            <v>IRS Curve missing</v>
          </cell>
          <cell r="W267" t="str">
            <v>IRS Curve missing</v>
          </cell>
          <cell r="X267" t="str">
            <v>IRS Curve missing</v>
          </cell>
          <cell r="Y267" t="str">
            <v>IRS Curve missing</v>
          </cell>
          <cell r="Z267" t="str">
            <v>IRS Curve missing</v>
          </cell>
          <cell r="AA267" t="str">
            <v>IRS Curve missing</v>
          </cell>
          <cell r="AB267" t="str">
            <v>IRS Curve missing</v>
          </cell>
          <cell r="AC267" t="str">
            <v>IRS Curve missing</v>
          </cell>
          <cell r="AD267" t="str">
            <v>IRS Curve missing</v>
          </cell>
          <cell r="AE267" t="str">
            <v>IRS Curve missing</v>
          </cell>
        </row>
        <row r="268">
          <cell r="D268" t="str">
            <v>EUR</v>
          </cell>
          <cell r="N268" t="str">
            <v/>
          </cell>
          <cell r="O268">
            <v>8.2342876691621214E-4</v>
          </cell>
          <cell r="P268">
            <v>2.8465196034316298E-3</v>
          </cell>
          <cell r="Q268">
            <v>9.3484363887806898E-3</v>
          </cell>
          <cell r="R268">
            <v>1.9669585554483171E-2</v>
          </cell>
          <cell r="S268" t="str">
            <v/>
          </cell>
          <cell r="T268">
            <v>4.9886581084836013E-2</v>
          </cell>
          <cell r="U268">
            <v>8.5935569257326039E-2</v>
          </cell>
          <cell r="V268">
            <v>0.1481621210676104</v>
          </cell>
          <cell r="W268" t="str">
            <v/>
          </cell>
          <cell r="X268">
            <v>9.4100424795140469E-4</v>
          </cell>
          <cell r="Y268">
            <v>3.0478139257948955E-3</v>
          </cell>
          <cell r="Z268">
            <v>9.8103109106891795E-3</v>
          </cell>
          <cell r="AA268">
            <v>2.0641800500786123E-2</v>
          </cell>
          <cell r="AB268" t="str">
            <v/>
          </cell>
          <cell r="AC268">
            <v>5.2329943320532868E-2</v>
          </cell>
          <cell r="AD268">
            <v>9.0090081406438705E-2</v>
          </cell>
          <cell r="AE268">
            <v>0.15513687167434842</v>
          </cell>
        </row>
        <row r="269">
          <cell r="D269" t="str">
            <v>USD</v>
          </cell>
          <cell r="N269" t="str">
            <v/>
          </cell>
          <cell r="O269" t="str">
            <v/>
          </cell>
          <cell r="P269">
            <v>5.7848918807545946E-3</v>
          </cell>
          <cell r="Q269" t="str">
            <v/>
          </cell>
          <cell r="R269">
            <v>6.1469108989470667E-2</v>
          </cell>
          <cell r="S269" t="str">
            <v/>
          </cell>
          <cell r="T269">
            <v>9.7166521135520711E-2</v>
          </cell>
          <cell r="U269">
            <v>0.12513967036949947</v>
          </cell>
          <cell r="V269">
            <v>0.16520871286333116</v>
          </cell>
          <cell r="W269" t="str">
            <v/>
          </cell>
          <cell r="X269" t="str">
            <v/>
          </cell>
          <cell r="Y269">
            <v>6.0730852957645576E-3</v>
          </cell>
          <cell r="Z269" t="str">
            <v/>
          </cell>
          <cell r="AA269">
            <v>6.4484532223203161E-2</v>
          </cell>
          <cell r="AB269" t="str">
            <v/>
          </cell>
          <cell r="AC269">
            <v>0.10179590519460846</v>
          </cell>
          <cell r="AD269">
            <v>0.13098296962391409</v>
          </cell>
          <cell r="AE269">
            <v>0.17268860425311161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3.953421640488286E-3</v>
          </cell>
          <cell r="Q270" t="str">
            <v/>
          </cell>
          <cell r="R270">
            <v>2.3524520405212246E-2</v>
          </cell>
          <cell r="S270" t="str">
            <v/>
          </cell>
          <cell r="T270">
            <v>6.3751228557995754E-2</v>
          </cell>
          <cell r="U270">
            <v>9.7269076420579248E-2</v>
          </cell>
          <cell r="V270">
            <v>0.15714793392335069</v>
          </cell>
          <cell r="W270" t="str">
            <v/>
          </cell>
          <cell r="X270" t="str">
            <v/>
          </cell>
          <cell r="Y270">
            <v>4.1543227734222032E-3</v>
          </cell>
          <cell r="Z270" t="str">
            <v/>
          </cell>
          <cell r="AA270">
            <v>2.4690278684539102E-2</v>
          </cell>
          <cell r="AB270" t="str">
            <v/>
          </cell>
          <cell r="AC270">
            <v>6.6868856257451315E-2</v>
          </cell>
          <cell r="AD270">
            <v>0.10194023393073348</v>
          </cell>
          <cell r="AE270">
            <v>0.1644901774419415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4.0277896470178876E-3</v>
          </cell>
          <cell r="Q271" t="str">
            <v/>
          </cell>
          <cell r="R271">
            <v>1.900093404651837E-2</v>
          </cell>
          <cell r="S271" t="str">
            <v/>
          </cell>
          <cell r="T271">
            <v>4.4369755084560092E-2</v>
          </cell>
          <cell r="U271">
            <v>8.4452997677122665E-2</v>
          </cell>
          <cell r="V271">
            <v>0.15211759107653977</v>
          </cell>
          <cell r="W271" t="str">
            <v/>
          </cell>
          <cell r="X271" t="str">
            <v/>
          </cell>
          <cell r="Y271">
            <v>4.2286728609549629E-3</v>
          </cell>
          <cell r="Z271" t="str">
            <v/>
          </cell>
          <cell r="AA271">
            <v>1.9943842499609343E-2</v>
          </cell>
          <cell r="AB271" t="str">
            <v/>
          </cell>
          <cell r="AC271">
            <v>4.6550259889424184E-2</v>
          </cell>
          <cell r="AD271">
            <v>8.8549100261641533E-2</v>
          </cell>
          <cell r="AE271">
            <v>0.15929360187011488</v>
          </cell>
        </row>
        <row r="272">
          <cell r="D272" t="str">
            <v>USD</v>
          </cell>
          <cell r="N272" t="str">
            <v>IRS Curve missing</v>
          </cell>
          <cell r="O272" t="str">
            <v>IRS Curve missing</v>
          </cell>
          <cell r="P272" t="str">
            <v>IRS Curve missing</v>
          </cell>
          <cell r="Q272" t="str">
            <v>IRS Curve missing</v>
          </cell>
          <cell r="R272" t="str">
            <v>IRS Curve missing</v>
          </cell>
          <cell r="S272" t="str">
            <v>IRS Curve missing</v>
          </cell>
          <cell r="T272" t="str">
            <v>IRS Curve missing</v>
          </cell>
          <cell r="U272" t="str">
            <v>IRS Curve missing</v>
          </cell>
          <cell r="V272" t="str">
            <v>IRS Curve missing</v>
          </cell>
          <cell r="W272" t="str">
            <v>IRS Curve missing</v>
          </cell>
          <cell r="X272" t="str">
            <v>IRS Curve missing</v>
          </cell>
          <cell r="Y272" t="str">
            <v>IRS Curve missing</v>
          </cell>
          <cell r="Z272" t="str">
            <v>IRS Curve missing</v>
          </cell>
          <cell r="AA272" t="str">
            <v>IRS Curve missing</v>
          </cell>
          <cell r="AB272" t="str">
            <v>IRS Curve missing</v>
          </cell>
          <cell r="AC272" t="str">
            <v>IRS Curve missing</v>
          </cell>
          <cell r="AD272" t="str">
            <v>IRS Curve missing</v>
          </cell>
          <cell r="AE272" t="str">
            <v>IRS Curve missing</v>
          </cell>
        </row>
        <row r="273">
          <cell r="D273" t="str">
            <v>EUR</v>
          </cell>
          <cell r="N273" t="str">
            <v/>
          </cell>
          <cell r="O273">
            <v>1.1761201684514777E-3</v>
          </cell>
          <cell r="P273">
            <v>3.2455371452223547E-3</v>
          </cell>
          <cell r="Q273">
            <v>8.9405072195574142E-3</v>
          </cell>
          <cell r="R273">
            <v>1.6856351470665221E-2</v>
          </cell>
          <cell r="S273" t="str">
            <v/>
          </cell>
          <cell r="T273">
            <v>4.6505047419776013E-2</v>
          </cell>
          <cell r="U273">
            <v>7.7358311781463907E-2</v>
          </cell>
          <cell r="V273">
            <v>0.12363881047229486</v>
          </cell>
          <cell r="W273" t="str">
            <v/>
          </cell>
          <cell r="X273">
            <v>1.293652314683702E-3</v>
          </cell>
          <cell r="Y273">
            <v>3.4467366220021223E-3</v>
          </cell>
          <cell r="Z273">
            <v>9.3833389957745927E-3</v>
          </cell>
          <cell r="AA273">
            <v>1.7690540757743789E-2</v>
          </cell>
          <cell r="AB273" t="str">
            <v/>
          </cell>
          <cell r="AC273">
            <v>4.878935088683789E-2</v>
          </cell>
          <cell r="AD273">
            <v>8.1109189293386619E-2</v>
          </cell>
          <cell r="AE273">
            <v>0.12950190662062955</v>
          </cell>
        </row>
        <row r="274">
          <cell r="D274" t="str">
            <v>USD</v>
          </cell>
          <cell r="N274" t="str">
            <v>IRS Curve missing</v>
          </cell>
          <cell r="O274" t="str">
            <v>IRS Curve missing</v>
          </cell>
          <cell r="P274" t="str">
            <v>IRS Curve missing</v>
          </cell>
          <cell r="Q274" t="str">
            <v>IRS Curve missing</v>
          </cell>
          <cell r="R274" t="str">
            <v>IRS Curve missing</v>
          </cell>
          <cell r="S274" t="str">
            <v>IRS Curve missing</v>
          </cell>
          <cell r="T274" t="str">
            <v>IRS Curve missing</v>
          </cell>
          <cell r="U274" t="str">
            <v>IRS Curve missing</v>
          </cell>
          <cell r="V274" t="str">
            <v>IRS Curve missing</v>
          </cell>
          <cell r="W274" t="str">
            <v>IRS Curve missing</v>
          </cell>
          <cell r="X274" t="str">
            <v>IRS Curve missing</v>
          </cell>
          <cell r="Y274" t="str">
            <v>IRS Curve missing</v>
          </cell>
          <cell r="Z274" t="str">
            <v>IRS Curve missing</v>
          </cell>
          <cell r="AA274" t="str">
            <v>IRS Curve missing</v>
          </cell>
          <cell r="AB274" t="str">
            <v>IRS Curve missing</v>
          </cell>
          <cell r="AC274" t="str">
            <v>IRS Curve missing</v>
          </cell>
          <cell r="AD274" t="str">
            <v>IRS Curve missing</v>
          </cell>
          <cell r="AE274" t="str">
            <v>IRS Curve missing</v>
          </cell>
        </row>
        <row r="275">
          <cell r="D275" t="str">
            <v>EUR</v>
          </cell>
          <cell r="N275" t="str">
            <v/>
          </cell>
          <cell r="O275">
            <v>2.1825408327398543E-2</v>
          </cell>
          <cell r="P275">
            <v>3.713532583524759E-2</v>
          </cell>
          <cell r="Q275">
            <v>6.1465138088080518E-2</v>
          </cell>
          <cell r="R275">
            <v>8.4302816954063164E-2</v>
          </cell>
          <cell r="S275" t="str">
            <v/>
          </cell>
          <cell r="T275">
            <v>0.12072295355551577</v>
          </cell>
          <cell r="U275">
            <v>0.16424796212343096</v>
          </cell>
          <cell r="V275">
            <v>0.22451832002221528</v>
          </cell>
          <cell r="W275" t="str">
            <v/>
          </cell>
          <cell r="X275">
            <v>2.2901901414331682E-2</v>
          </cell>
          <cell r="Y275">
            <v>3.8951735466038251E-2</v>
          </cell>
          <cell r="Z275">
            <v>6.4430503119396021E-2</v>
          </cell>
          <cell r="AA275">
            <v>8.8314593798215046E-2</v>
          </cell>
          <cell r="AB275" t="str">
            <v/>
          </cell>
          <cell r="AC275">
            <v>0.12631799876629857</v>
          </cell>
          <cell r="AD275">
            <v>0.1716788253042465</v>
          </cell>
          <cell r="AE275">
            <v>0.23427079455824884</v>
          </cell>
        </row>
        <row r="276">
          <cell r="D276" t="str">
            <v>EUR</v>
          </cell>
          <cell r="N276" t="str">
            <v/>
          </cell>
          <cell r="O276">
            <v>1.0069820504806648E-2</v>
          </cell>
          <cell r="P276">
            <v>1.7206708673479842E-2</v>
          </cell>
          <cell r="Q276">
            <v>3.1291137588252971E-2</v>
          </cell>
          <cell r="R276">
            <v>4.6711278825774638E-2</v>
          </cell>
          <cell r="S276" t="str">
            <v/>
          </cell>
          <cell r="T276">
            <v>8.0287269930523042E-2</v>
          </cell>
          <cell r="U276">
            <v>0.1090857935665307</v>
          </cell>
          <cell r="V276">
            <v>0.15092360876265321</v>
          </cell>
          <cell r="W276" t="str">
            <v/>
          </cell>
          <cell r="X276">
            <v>1.0570281369692514E-2</v>
          </cell>
          <cell r="Y276">
            <v>1.8058579626424431E-2</v>
          </cell>
          <cell r="Z276">
            <v>3.2828371298317727E-2</v>
          </cell>
          <cell r="AA276">
            <v>4.8990289355096861E-2</v>
          </cell>
          <cell r="AB276" t="str">
            <v/>
          </cell>
          <cell r="AC276">
            <v>8.413755989934768E-2</v>
          </cell>
          <cell r="AD276">
            <v>0.11422488175560319</v>
          </cell>
          <cell r="AE276">
            <v>0.15785186378721838</v>
          </cell>
        </row>
        <row r="277">
          <cell r="D277" t="str">
            <v>USD</v>
          </cell>
          <cell r="N277" t="str">
            <v>IRS Curve missing</v>
          </cell>
          <cell r="O277" t="str">
            <v>IRS Curve missing</v>
          </cell>
          <cell r="P277" t="str">
            <v>IRS Curve missing</v>
          </cell>
          <cell r="Q277" t="str">
            <v>IRS Curve missing</v>
          </cell>
          <cell r="R277" t="str">
            <v>IRS Curve missing</v>
          </cell>
          <cell r="S277" t="str">
            <v>IRS Curve missing</v>
          </cell>
          <cell r="T277" t="str">
            <v>IRS Curve missing</v>
          </cell>
          <cell r="U277" t="str">
            <v>IRS Curve missing</v>
          </cell>
          <cell r="V277" t="str">
            <v>IRS Curve missing</v>
          </cell>
          <cell r="W277" t="str">
            <v>IRS Curve missing</v>
          </cell>
          <cell r="X277" t="str">
            <v>IRS Curve missing</v>
          </cell>
          <cell r="Y277" t="str">
            <v>IRS Curve missing</v>
          </cell>
          <cell r="Z277" t="str">
            <v>IRS Curve missing</v>
          </cell>
          <cell r="AA277" t="str">
            <v>IRS Curve missing</v>
          </cell>
          <cell r="AB277" t="str">
            <v>IRS Curve missing</v>
          </cell>
          <cell r="AC277" t="str">
            <v>IRS Curve missing</v>
          </cell>
          <cell r="AD277" t="str">
            <v>IRS Curve missing</v>
          </cell>
          <cell r="AE277" t="str">
            <v>IRS Curve missing</v>
          </cell>
        </row>
        <row r="278">
          <cell r="D278" t="str">
            <v>EUR</v>
          </cell>
          <cell r="N278" t="str">
            <v/>
          </cell>
          <cell r="O278">
            <v>1.4111789373691952E-3</v>
          </cell>
          <cell r="P278">
            <v>3.4431525528769713E-3</v>
          </cell>
          <cell r="Q278">
            <v>1.0449032536976599E-2</v>
          </cell>
          <cell r="R278">
            <v>1.8999814037624074E-2</v>
          </cell>
          <cell r="S278" t="str">
            <v/>
          </cell>
          <cell r="T278">
            <v>3.9709005219032423E-2</v>
          </cell>
          <cell r="U278">
            <v>6.3346468853093585E-2</v>
          </cell>
          <cell r="V278">
            <v>0.10707149788298254</v>
          </cell>
          <cell r="W278" t="str">
            <v/>
          </cell>
          <cell r="X278">
            <v>1.5286818104438549E-3</v>
          </cell>
          <cell r="Y278">
            <v>3.6442988133077447E-3</v>
          </cell>
          <cell r="Z278">
            <v>1.0967183165382255E-2</v>
          </cell>
          <cell r="AA278">
            <v>1.9940099735572203E-2</v>
          </cell>
          <cell r="AB278" t="str">
            <v/>
          </cell>
          <cell r="AC278">
            <v>4.1659749120524281E-2</v>
          </cell>
          <cell r="AD278">
            <v>6.6427452002481679E-2</v>
          </cell>
          <cell r="AE278">
            <v>0.11218628176922074</v>
          </cell>
        </row>
        <row r="279">
          <cell r="D279" t="str">
            <v>EUR</v>
          </cell>
          <cell r="N279" t="str">
            <v/>
          </cell>
          <cell r="O279">
            <v>1.2936564344949719E-3</v>
          </cell>
          <cell r="P279">
            <v>3.0371385243767035E-3</v>
          </cell>
          <cell r="Q279">
            <v>7.0523081357990458E-3</v>
          </cell>
          <cell r="R279">
            <v>1.4152379480836363E-2</v>
          </cell>
          <cell r="S279" t="str">
            <v/>
          </cell>
          <cell r="T279">
            <v>3.3836434234451929E-2</v>
          </cell>
          <cell r="U279">
            <v>5.8057670574571452E-2</v>
          </cell>
          <cell r="V279">
            <v>9.953756197822039E-2</v>
          </cell>
          <cell r="W279" t="str">
            <v/>
          </cell>
          <cell r="X279">
            <v>1.4111739830211523E-3</v>
          </cell>
          <cell r="Y279">
            <v>3.2383529486319507E-3</v>
          </cell>
          <cell r="Z279">
            <v>7.4194568097494251E-3</v>
          </cell>
          <cell r="AA279">
            <v>1.4851488418520242E-2</v>
          </cell>
          <cell r="AB279" t="str">
            <v/>
          </cell>
          <cell r="AC279">
            <v>3.5502549369802572E-2</v>
          </cell>
          <cell r="AD279">
            <v>6.0891743334757109E-2</v>
          </cell>
          <cell r="AE279">
            <v>0.10431506579013672</v>
          </cell>
        </row>
        <row r="280">
          <cell r="D280" t="str">
            <v>EUR</v>
          </cell>
          <cell r="N280" t="str">
            <v/>
          </cell>
          <cell r="O280">
            <v>1.2936564344949719E-3</v>
          </cell>
          <cell r="P280">
            <v>3.2419657329573193E-3</v>
          </cell>
          <cell r="Q280">
            <v>7.4177263808794525E-3</v>
          </cell>
          <cell r="R280">
            <v>1.5245045550931202E-2</v>
          </cell>
          <cell r="S280" t="str">
            <v/>
          </cell>
          <cell r="T280">
            <v>3.460989176827034E-2</v>
          </cell>
          <cell r="U280">
            <v>5.6479424568010583E-2</v>
          </cell>
          <cell r="V280">
            <v>9.7636050186695522E-2</v>
          </cell>
          <cell r="W280" t="str">
            <v/>
          </cell>
          <cell r="X280">
            <v>1.4111739830211523E-3</v>
          </cell>
          <cell r="Y280">
            <v>3.4431523976948819E-3</v>
          </cell>
          <cell r="Z280">
            <v>7.78474444864663E-3</v>
          </cell>
          <cell r="AA280">
            <v>1.5999449974483659E-2</v>
          </cell>
          <cell r="AB280" t="str">
            <v/>
          </cell>
          <cell r="AC280">
            <v>3.6313585072826782E-2</v>
          </cell>
          <cell r="AD280">
            <v>5.9235632755419543E-2</v>
          </cell>
          <cell r="AE280">
            <v>0.10232384305766984</v>
          </cell>
        </row>
        <row r="281">
          <cell r="D281" t="str">
            <v>USD</v>
          </cell>
          <cell r="N281" t="str">
            <v>IRS Curve missing</v>
          </cell>
          <cell r="O281" t="str">
            <v>IRS Curve missing</v>
          </cell>
          <cell r="P281" t="str">
            <v>IRS Curve missing</v>
          </cell>
          <cell r="Q281" t="str">
            <v>IRS Curve missing</v>
          </cell>
          <cell r="R281" t="str">
            <v>IRS Curve missing</v>
          </cell>
          <cell r="S281" t="str">
            <v>IRS Curve missing</v>
          </cell>
          <cell r="T281" t="str">
            <v>IRS Curve missing</v>
          </cell>
          <cell r="U281" t="str">
            <v>IRS Curve missing</v>
          </cell>
          <cell r="V281" t="str">
            <v>IRS Curve missing</v>
          </cell>
          <cell r="W281" t="str">
            <v>IRS Curve missing</v>
          </cell>
          <cell r="X281" t="str">
            <v>IRS Curve missing</v>
          </cell>
          <cell r="Y281" t="str">
            <v>IRS Curve missing</v>
          </cell>
          <cell r="Z281" t="str">
            <v>IRS Curve missing</v>
          </cell>
          <cell r="AA281" t="str">
            <v>IRS Curve missing</v>
          </cell>
          <cell r="AB281" t="str">
            <v>IRS Curve missing</v>
          </cell>
          <cell r="AC281" t="str">
            <v>IRS Curve missing</v>
          </cell>
          <cell r="AD281" t="str">
            <v>IRS Curve missing</v>
          </cell>
          <cell r="AE281" t="str">
            <v>IRS Curve missing</v>
          </cell>
        </row>
        <row r="282">
          <cell r="D282" t="str">
            <v>EUR</v>
          </cell>
          <cell r="N282" t="str">
            <v/>
          </cell>
          <cell r="O282">
            <v>9.4100633706173387E-4</v>
          </cell>
          <cell r="P282">
            <v>2.0232612561962293E-3</v>
          </cell>
          <cell r="Q282">
            <v>7.1159203209344435E-3</v>
          </cell>
          <cell r="R282">
            <v>1.3070807781553895E-2</v>
          </cell>
          <cell r="S282" t="str">
            <v/>
          </cell>
          <cell r="T282">
            <v>3.4079363455269962E-2</v>
          </cell>
          <cell r="U282">
            <v>5.5502030521142998E-2</v>
          </cell>
          <cell r="V282">
            <v>9.4553893679440892E-2</v>
          </cell>
          <cell r="W282" t="str">
            <v/>
          </cell>
          <cell r="X282">
            <v>1.0585674487949559E-3</v>
          </cell>
          <cell r="Y282">
            <v>2.2246532190236534E-3</v>
          </cell>
          <cell r="Z282">
            <v>7.483271245583456E-3</v>
          </cell>
          <cell r="AA282">
            <v>1.3715095125287124E-2</v>
          </cell>
          <cell r="AB282" t="str">
            <v/>
          </cell>
          <cell r="AC282">
            <v>3.5754115520358454E-2</v>
          </cell>
          <cell r="AD282">
            <v>5.8209914058552803E-2</v>
          </cell>
          <cell r="AE282">
            <v>9.909506455409367E-2</v>
          </cell>
        </row>
        <row r="283">
          <cell r="D283" t="str">
            <v>USD</v>
          </cell>
          <cell r="N283" t="str">
            <v>IRS Curve missing</v>
          </cell>
          <cell r="O283" t="str">
            <v>IRS Curve missing</v>
          </cell>
          <cell r="P283" t="str">
            <v>IRS Curve missing</v>
          </cell>
          <cell r="Q283" t="str">
            <v>IRS Curve missing</v>
          </cell>
          <cell r="R283" t="str">
            <v>IRS Curve missing</v>
          </cell>
          <cell r="S283" t="str">
            <v>IRS Curve missing</v>
          </cell>
          <cell r="T283" t="str">
            <v>IRS Curve missing</v>
          </cell>
          <cell r="U283" t="str">
            <v>IRS Curve missing</v>
          </cell>
          <cell r="V283" t="str">
            <v>IRS Curve missing</v>
          </cell>
          <cell r="W283" t="str">
            <v>IRS Curve missing</v>
          </cell>
          <cell r="X283" t="str">
            <v>IRS Curve missing</v>
          </cell>
          <cell r="Y283" t="str">
            <v>IRS Curve missing</v>
          </cell>
          <cell r="Z283" t="str">
            <v>IRS Curve missing</v>
          </cell>
          <cell r="AA283" t="str">
            <v>IRS Curve missing</v>
          </cell>
          <cell r="AB283" t="str">
            <v>IRS Curve missing</v>
          </cell>
          <cell r="AC283" t="str">
            <v>IRS Curve missing</v>
          </cell>
          <cell r="AD283" t="str">
            <v>IRS Curve missing</v>
          </cell>
          <cell r="AE283" t="str">
            <v>IRS Curve missing</v>
          </cell>
        </row>
        <row r="284">
          <cell r="D284" t="str">
            <v>USD</v>
          </cell>
          <cell r="N284" t="str">
            <v>IRS Curve missing</v>
          </cell>
          <cell r="O284" t="str">
            <v>IRS Curve missing</v>
          </cell>
          <cell r="P284" t="str">
            <v>IRS Curve missing</v>
          </cell>
          <cell r="Q284" t="str">
            <v>IRS Curve missing</v>
          </cell>
          <cell r="R284" t="str">
            <v>IRS Curve missing</v>
          </cell>
          <cell r="S284" t="str">
            <v>IRS Curve missing</v>
          </cell>
          <cell r="T284" t="str">
            <v>IRS Curve missing</v>
          </cell>
          <cell r="U284" t="str">
            <v>IRS Curve missing</v>
          </cell>
          <cell r="V284" t="str">
            <v>IRS Curve missing</v>
          </cell>
          <cell r="W284" t="str">
            <v>IRS Curve missing</v>
          </cell>
          <cell r="X284" t="str">
            <v>IRS Curve missing</v>
          </cell>
          <cell r="Y284" t="str">
            <v>IRS Curve missing</v>
          </cell>
          <cell r="Z284" t="str">
            <v>IRS Curve missing</v>
          </cell>
          <cell r="AA284" t="str">
            <v>IRS Curve missing</v>
          </cell>
          <cell r="AB284" t="str">
            <v>IRS Curve missing</v>
          </cell>
          <cell r="AC284" t="str">
            <v>IRS Curve missing</v>
          </cell>
          <cell r="AD284" t="str">
            <v>IRS Curve missing</v>
          </cell>
          <cell r="AE284" t="str">
            <v>IRS Curve missing</v>
          </cell>
        </row>
        <row r="285">
          <cell r="D285" t="str">
            <v>EUR</v>
          </cell>
          <cell r="N285" t="str">
            <v/>
          </cell>
          <cell r="O285">
            <v>7.0583742388907744E-4</v>
          </cell>
          <cell r="P285">
            <v>1.6203553656132241E-3</v>
          </cell>
          <cell r="Q285">
            <v>4.8594954258025513E-3</v>
          </cell>
          <cell r="R285">
            <v>1.0406378585976039E-2</v>
          </cell>
          <cell r="S285" t="str">
            <v/>
          </cell>
          <cell r="T285">
            <v>2.7886487593409948E-2</v>
          </cell>
          <cell r="U285">
            <v>4.9953150970014071E-2</v>
          </cell>
          <cell r="V285">
            <v>8.8557199083157512E-2</v>
          </cell>
          <cell r="W285" t="str">
            <v/>
          </cell>
          <cell r="X285">
            <v>8.2342719960870614E-4</v>
          </cell>
          <cell r="Y285">
            <v>1.821828632852851E-3</v>
          </cell>
          <cell r="Z285">
            <v>5.2274917330524806E-3</v>
          </cell>
          <cell r="AA285">
            <v>1.093902425339055E-2</v>
          </cell>
          <cell r="AB285" t="str">
            <v/>
          </cell>
          <cell r="AC285">
            <v>2.9255775658190264E-2</v>
          </cell>
          <cell r="AD285">
            <v>5.2388830169672551E-2</v>
          </cell>
          <cell r="AE285">
            <v>9.2828008996462041E-2</v>
          </cell>
        </row>
        <row r="286">
          <cell r="D286" t="str">
            <v>EUR</v>
          </cell>
          <cell r="N286" t="str">
            <v/>
          </cell>
          <cell r="O286">
            <v>5.8823230557913941E-4</v>
          </cell>
          <cell r="P286">
            <v>1.4188416515668045E-3</v>
          </cell>
          <cell r="Q286">
            <v>4.8720751068437318E-3</v>
          </cell>
          <cell r="R286">
            <v>9.2866124978218112E-3</v>
          </cell>
          <cell r="S286" t="str">
            <v/>
          </cell>
          <cell r="T286">
            <v>2.6173399538956255E-2</v>
          </cell>
          <cell r="U286">
            <v>4.8941354748073596E-2</v>
          </cell>
          <cell r="V286">
            <v>8.7108326374756628E-2</v>
          </cell>
          <cell r="W286" t="str">
            <v/>
          </cell>
          <cell r="X286">
            <v>7.0583630213449933E-4</v>
          </cell>
          <cell r="Y286">
            <v>1.6203554628971828E-3</v>
          </cell>
          <cell r="Z286">
            <v>5.2401141001492402E-3</v>
          </cell>
          <cell r="AA286">
            <v>9.8196585523828706E-3</v>
          </cell>
          <cell r="AB286" t="str">
            <v/>
          </cell>
          <cell r="AC286">
            <v>2.7450358945815601E-2</v>
          </cell>
          <cell r="AD286">
            <v>5.1327541220227868E-2</v>
          </cell>
          <cell r="AE286">
            <v>9.130332016713516E-2</v>
          </cell>
        </row>
        <row r="287">
          <cell r="D287" t="str">
            <v>EUR</v>
          </cell>
          <cell r="N287" t="str">
            <v/>
          </cell>
          <cell r="O287">
            <v>8.2342876691621214E-4</v>
          </cell>
          <cell r="P287">
            <v>1.6167208634250141E-3</v>
          </cell>
          <cell r="Q287">
            <v>4.8575337401989271E-3</v>
          </cell>
          <cell r="R287">
            <v>1.0967821178666237E-2</v>
          </cell>
          <cell r="S287" t="str">
            <v/>
          </cell>
          <cell r="T287">
            <v>2.968685097722612E-2</v>
          </cell>
          <cell r="U287">
            <v>4.9652563994517007E-2</v>
          </cell>
          <cell r="V287">
            <v>8.6442398773325047E-2</v>
          </cell>
          <cell r="W287" t="str">
            <v/>
          </cell>
          <cell r="X287">
            <v>9.4100424795140469E-4</v>
          </cell>
          <cell r="Y287">
            <v>1.8181813004158887E-3</v>
          </cell>
          <cell r="Z287">
            <v>5.2255253273290059E-3</v>
          </cell>
          <cell r="AA287">
            <v>1.1500274234566121E-2</v>
          </cell>
          <cell r="AB287" t="str">
            <v/>
          </cell>
          <cell r="AC287">
            <v>3.1149158528609888E-2</v>
          </cell>
          <cell r="AD287">
            <v>5.209321679049328E-2</v>
          </cell>
          <cell r="AE287">
            <v>9.0613224268349724E-2</v>
          </cell>
        </row>
        <row r="288">
          <cell r="D288" t="str">
            <v>USD</v>
          </cell>
          <cell r="N288" t="str">
            <v>IRS Curve missing</v>
          </cell>
          <cell r="O288" t="str">
            <v>IRS Curve missing</v>
          </cell>
          <cell r="P288" t="str">
            <v>IRS Curve missing</v>
          </cell>
          <cell r="Q288" t="str">
            <v>IRS Curve missing</v>
          </cell>
          <cell r="R288" t="str">
            <v>IRS Curve missing</v>
          </cell>
          <cell r="S288" t="str">
            <v>IRS Curve missing</v>
          </cell>
          <cell r="T288" t="str">
            <v>IRS Curve missing</v>
          </cell>
          <cell r="U288" t="str">
            <v>IRS Curve missing</v>
          </cell>
          <cell r="V288" t="str">
            <v>IRS Curve missing</v>
          </cell>
          <cell r="W288" t="str">
            <v>IRS Curve missing</v>
          </cell>
          <cell r="X288" t="str">
            <v>IRS Curve missing</v>
          </cell>
          <cell r="Y288" t="str">
            <v>IRS Curve missing</v>
          </cell>
          <cell r="Z288" t="str">
            <v>IRS Curve missing</v>
          </cell>
          <cell r="AA288" t="str">
            <v>IRS Curve missing</v>
          </cell>
          <cell r="AB288" t="str">
            <v>IRS Curve missing</v>
          </cell>
          <cell r="AC288" t="str">
            <v>IRS Curve missing</v>
          </cell>
          <cell r="AD288" t="str">
            <v>IRS Curve missing</v>
          </cell>
          <cell r="AE288" t="str">
            <v>IRS Curve missing</v>
          </cell>
        </row>
        <row r="289">
          <cell r="D289" t="str">
            <v>EUR</v>
          </cell>
          <cell r="N289" t="str">
            <v/>
          </cell>
          <cell r="O289">
            <v>8.2342876691621214E-4</v>
          </cell>
          <cell r="P289">
            <v>1.8218285837172665E-3</v>
          </cell>
          <cell r="Q289">
            <v>4.8467731924392021E-3</v>
          </cell>
          <cell r="R289">
            <v>9.8315375064832455E-3</v>
          </cell>
          <cell r="S289" t="str">
            <v/>
          </cell>
          <cell r="T289">
            <v>2.6064599916965747E-2</v>
          </cell>
          <cell r="U289">
            <v>4.481346221736604E-2</v>
          </cell>
          <cell r="V289">
            <v>7.783749086492886E-2</v>
          </cell>
          <cell r="W289" t="str">
            <v/>
          </cell>
          <cell r="X289">
            <v>9.4100424795140469E-4</v>
          </cell>
          <cell r="Y289">
            <v>2.0232613221308204E-3</v>
          </cell>
          <cell r="Z289">
            <v>5.2147267725027868E-3</v>
          </cell>
          <cell r="AA289">
            <v>1.0364335105939815E-2</v>
          </cell>
          <cell r="AB289" t="str">
            <v/>
          </cell>
          <cell r="AC289">
            <v>2.7341362892103649E-2</v>
          </cell>
          <cell r="AD289">
            <v>4.6998045361279273E-2</v>
          </cell>
          <cell r="AE289">
            <v>8.1600106941085659E-2</v>
          </cell>
        </row>
        <row r="290">
          <cell r="D290" t="str">
            <v>EUR</v>
          </cell>
          <cell r="N290" t="str">
            <v/>
          </cell>
          <cell r="O290">
            <v>7.0583742388907744E-4</v>
          </cell>
          <cell r="P290">
            <v>1.4152198693172524E-3</v>
          </cell>
          <cell r="Q290">
            <v>4.4894063326089695E-3</v>
          </cell>
          <cell r="R290">
            <v>9.8706094274730871E-3</v>
          </cell>
          <cell r="S290" t="str">
            <v/>
          </cell>
          <cell r="T290">
            <v>2.5154733686432174E-2</v>
          </cell>
          <cell r="U290">
            <v>4.3635267708081793E-2</v>
          </cell>
          <cell r="V290">
            <v>7.815301965448318E-2</v>
          </cell>
          <cell r="W290" t="str">
            <v/>
          </cell>
          <cell r="X290">
            <v>8.2342719960870614E-4</v>
          </cell>
          <cell r="Y290">
            <v>1.6167209125957926E-3</v>
          </cell>
          <cell r="Z290">
            <v>4.8575339699230557E-3</v>
          </cell>
          <cell r="AA290">
            <v>1.040353298454888E-2</v>
          </cell>
          <cell r="AB290" t="str">
            <v/>
          </cell>
          <cell r="AC290">
            <v>2.638577341576942E-2</v>
          </cell>
          <cell r="AD290">
            <v>4.5762685136851777E-2</v>
          </cell>
          <cell r="AE290">
            <v>8.192964486089882E-2</v>
          </cell>
        </row>
        <row r="291">
          <cell r="D291" t="str">
            <v>USD</v>
          </cell>
          <cell r="N291" t="str">
            <v>IRS Curve missing</v>
          </cell>
          <cell r="O291" t="str">
            <v>IRS Curve missing</v>
          </cell>
          <cell r="P291" t="str">
            <v>IRS Curve missing</v>
          </cell>
          <cell r="Q291" t="str">
            <v>IRS Curve missing</v>
          </cell>
          <cell r="R291" t="str">
            <v>IRS Curve missing</v>
          </cell>
          <cell r="S291" t="str">
            <v>IRS Curve missing</v>
          </cell>
          <cell r="T291" t="str">
            <v>IRS Curve missing</v>
          </cell>
          <cell r="U291" t="str">
            <v>IRS Curve missing</v>
          </cell>
          <cell r="V291" t="str">
            <v>IRS Curve missing</v>
          </cell>
          <cell r="W291" t="str">
            <v>IRS Curve missing</v>
          </cell>
          <cell r="X291" t="str">
            <v>IRS Curve missing</v>
          </cell>
          <cell r="Y291" t="str">
            <v>IRS Curve missing</v>
          </cell>
          <cell r="Z291" t="str">
            <v>IRS Curve missing</v>
          </cell>
          <cell r="AA291" t="str">
            <v>IRS Curve missing</v>
          </cell>
          <cell r="AB291" t="str">
            <v>IRS Curve missing</v>
          </cell>
          <cell r="AC291" t="str">
            <v>IRS Curve missing</v>
          </cell>
          <cell r="AD291" t="str">
            <v>IRS Curve missing</v>
          </cell>
          <cell r="AE291" t="str">
            <v>IRS Curve missing</v>
          </cell>
        </row>
        <row r="292">
          <cell r="D292" t="str">
            <v>EUR</v>
          </cell>
          <cell r="N292" t="str">
            <v/>
          </cell>
          <cell r="O292">
            <v>5.3402458774353123E-3</v>
          </cell>
          <cell r="P292">
            <v>1.1442577284638378E-2</v>
          </cell>
          <cell r="Q292">
            <v>2.9322740431260041E-2</v>
          </cell>
          <cell r="R292">
            <v>5.2480295536506238E-2</v>
          </cell>
          <cell r="S292" t="str">
            <v/>
          </cell>
          <cell r="T292">
            <v>0.10704829912234537</v>
          </cell>
          <cell r="U292">
            <v>0.1497436956447149</v>
          </cell>
          <cell r="V292">
            <v>0.21317690122346111</v>
          </cell>
          <cell r="W292" t="str">
            <v/>
          </cell>
          <cell r="X292">
            <v>5.6064194613227869E-3</v>
          </cell>
          <cell r="Y292">
            <v>1.201157626022975E-2</v>
          </cell>
          <cell r="Z292">
            <v>3.0770579561296363E-2</v>
          </cell>
          <cell r="AA292">
            <v>5.5047283556154181E-2</v>
          </cell>
          <cell r="AB292" t="str">
            <v/>
          </cell>
          <cell r="AC292">
            <v>0.11215763052270766</v>
          </cell>
          <cell r="AD292">
            <v>0.15669681102393851</v>
          </cell>
          <cell r="AE292">
            <v>0.22269283062839884</v>
          </cell>
        </row>
        <row r="293">
          <cell r="D293" t="str">
            <v>EUR</v>
          </cell>
          <cell r="N293" t="str">
            <v/>
          </cell>
          <cell r="O293">
            <v>1.1908129544474511E-3</v>
          </cell>
          <cell r="P293">
            <v>3.5317206595276707E-3</v>
          </cell>
          <cell r="Q293">
            <v>1.077486328266164E-2</v>
          </cell>
          <cell r="R293">
            <v>2.1820607849739937E-2</v>
          </cell>
          <cell r="S293" t="str">
            <v/>
          </cell>
          <cell r="T293">
            <v>4.7684443609287808E-2</v>
          </cell>
          <cell r="U293">
            <v>7.2647316610652712E-2</v>
          </cell>
          <cell r="V293">
            <v>0.10670857449507598</v>
          </cell>
          <cell r="W293" t="str">
            <v/>
          </cell>
          <cell r="X293">
            <v>1.2789611338758222E-3</v>
          </cell>
          <cell r="Y293">
            <v>3.7071549238550938E-3</v>
          </cell>
          <cell r="Z293">
            <v>1.1311594331910979E-2</v>
          </cell>
          <cell r="AA293">
            <v>2.2902325311945249E-2</v>
          </cell>
          <cell r="AB293" t="str">
            <v/>
          </cell>
          <cell r="AC293">
            <v>5.0024336047996054E-2</v>
          </cell>
          <cell r="AD293">
            <v>7.6166548596017569E-2</v>
          </cell>
          <cell r="AE293">
            <v>0.11178077759494665</v>
          </cell>
        </row>
        <row r="294">
          <cell r="D294" t="str">
            <v>EUR</v>
          </cell>
          <cell r="N294" t="str">
            <v/>
          </cell>
          <cell r="O294">
            <v>6.7055733490284375E-4</v>
          </cell>
          <cell r="P294">
            <v>2.5233247252822721E-3</v>
          </cell>
          <cell r="Q294">
            <v>7.2743690251495519E-3</v>
          </cell>
          <cell r="R294">
            <v>1.4573708600293722E-2</v>
          </cell>
          <cell r="S294" t="str">
            <v/>
          </cell>
          <cell r="T294">
            <v>3.5689008465109251E-2</v>
          </cell>
          <cell r="U294">
            <v>6.062707353289587E-2</v>
          </cell>
          <cell r="V294">
            <v>0.11056936043467502</v>
          </cell>
          <cell r="W294" t="str">
            <v/>
          </cell>
          <cell r="X294">
            <v>7.8815138458854239E-4</v>
          </cell>
          <cell r="Y294">
            <v>2.7246796965905151E-3</v>
          </cell>
          <cell r="Z294">
            <v>7.6415965891124538E-3</v>
          </cell>
          <cell r="AA294">
            <v>1.5292560124031795E-2</v>
          </cell>
          <cell r="AB294" t="str">
            <v/>
          </cell>
          <cell r="AC294">
            <v>3.7441381372949833E-2</v>
          </cell>
          <cell r="AD294">
            <v>6.3582916796199207E-2</v>
          </cell>
          <cell r="AE294">
            <v>0.11586163876168776</v>
          </cell>
        </row>
        <row r="295">
          <cell r="D295" t="str">
            <v>USD</v>
          </cell>
          <cell r="N295" t="str">
            <v/>
          </cell>
          <cell r="O295" t="str">
            <v/>
          </cell>
          <cell r="P295">
            <v>1.2987072106885877E-3</v>
          </cell>
          <cell r="Q295" t="str">
            <v/>
          </cell>
          <cell r="R295">
            <v>1.3387749100235657E-2</v>
          </cell>
          <cell r="S295" t="str">
            <v/>
          </cell>
          <cell r="T295">
            <v>2.9923147780582027E-2</v>
          </cell>
          <cell r="U295">
            <v>5.4695927926464494E-2</v>
          </cell>
          <cell r="V295">
            <v>9.4378136591054207E-2</v>
          </cell>
          <cell r="W295" t="str">
            <v/>
          </cell>
          <cell r="X295" t="str">
            <v/>
          </cell>
          <cell r="Y295">
            <v>1.5002101717112026E-3</v>
          </cell>
          <cell r="Z295" t="str">
            <v/>
          </cell>
          <cell r="AA295">
            <v>1.4038139513314118E-2</v>
          </cell>
          <cell r="AB295" t="str">
            <v/>
          </cell>
          <cell r="AC295">
            <v>3.1393097207592535E-2</v>
          </cell>
          <cell r="AD295">
            <v>5.7361278635626678E-2</v>
          </cell>
          <cell r="AE295">
            <v>9.8921798691581242E-2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1.2583998606884306E-3</v>
          </cell>
          <cell r="Q296" t="str">
            <v/>
          </cell>
          <cell r="R296">
            <v>1.156943101520036E-2</v>
          </cell>
          <cell r="S296" t="str">
            <v/>
          </cell>
          <cell r="T296">
            <v>2.3097204433489171E-2</v>
          </cell>
          <cell r="U296">
            <v>4.536659525329112E-2</v>
          </cell>
          <cell r="V296">
            <v>8.2244448706255135E-2</v>
          </cell>
          <cell r="W296" t="str">
            <v/>
          </cell>
          <cell r="X296" t="str">
            <v/>
          </cell>
          <cell r="Y296">
            <v>1.4599114172699768E-3</v>
          </cell>
          <cell r="Z296" t="str">
            <v/>
          </cell>
          <cell r="AA296">
            <v>1.2129479609795046E-2</v>
          </cell>
          <cell r="AB296" t="str">
            <v/>
          </cell>
          <cell r="AC296">
            <v>2.423192592925516E-2</v>
          </cell>
          <cell r="AD296">
            <v>4.7583320217393088E-2</v>
          </cell>
          <cell r="AE296">
            <v>8.6227828222165348E-2</v>
          </cell>
        </row>
        <row r="297">
          <cell r="D297" t="str">
            <v>USD</v>
          </cell>
          <cell r="N297" t="str">
            <v>IRS Curve missing</v>
          </cell>
          <cell r="O297" t="str">
            <v>IRS Curve missing</v>
          </cell>
          <cell r="P297" t="str">
            <v>IRS Curve missing</v>
          </cell>
          <cell r="Q297" t="str">
            <v>IRS Curve missing</v>
          </cell>
          <cell r="R297" t="str">
            <v>IRS Curve missing</v>
          </cell>
          <cell r="S297" t="str">
            <v>IRS Curve missing</v>
          </cell>
          <cell r="T297" t="str">
            <v>IRS Curve missing</v>
          </cell>
          <cell r="U297" t="str">
            <v>IRS Curve missing</v>
          </cell>
          <cell r="V297" t="str">
            <v>IRS Curve missing</v>
          </cell>
          <cell r="W297" t="str">
            <v>IRS Curve missing</v>
          </cell>
          <cell r="X297" t="str">
            <v>IRS Curve missing</v>
          </cell>
          <cell r="Y297" t="str">
            <v>IRS Curve missing</v>
          </cell>
          <cell r="Z297" t="str">
            <v>IRS Curve missing</v>
          </cell>
          <cell r="AA297" t="str">
            <v>IRS Curve missing</v>
          </cell>
          <cell r="AB297" t="str">
            <v>IRS Curve missing</v>
          </cell>
          <cell r="AC297" t="str">
            <v>IRS Curve missing</v>
          </cell>
          <cell r="AD297" t="str">
            <v>IRS Curve missing</v>
          </cell>
          <cell r="AE297" t="str">
            <v>IRS Curve missing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2.418606363132958E-3</v>
          </cell>
          <cell r="Q298" t="str">
            <v/>
          </cell>
          <cell r="R298">
            <v>1.0867860177012467E-2</v>
          </cell>
          <cell r="S298" t="str">
            <v/>
          </cell>
          <cell r="T298">
            <v>2.6878134161793965E-2</v>
          </cell>
          <cell r="U298">
            <v>5.020504347264787E-2</v>
          </cell>
          <cell r="V298">
            <v>9.9388944843031846E-2</v>
          </cell>
          <cell r="W298" t="str">
            <v/>
          </cell>
          <cell r="X298" t="str">
            <v/>
          </cell>
          <cell r="Y298">
            <v>2.6198641849348725E-3</v>
          </cell>
          <cell r="Z298" t="str">
            <v/>
          </cell>
          <cell r="AA298">
            <v>1.1399912592475525E-2</v>
          </cell>
          <cell r="AB298" t="str">
            <v/>
          </cell>
          <cell r="AC298">
            <v>2.82031212097833E-2</v>
          </cell>
          <cell r="AD298">
            <v>5.2661349414527825E-2</v>
          </cell>
          <cell r="AE298">
            <v>0.10418551860643799</v>
          </cell>
        </row>
        <row r="299">
          <cell r="D299" t="str">
            <v>USD</v>
          </cell>
          <cell r="N299" t="str">
            <v>IRS Curve missing</v>
          </cell>
          <cell r="O299" t="str">
            <v>IRS Curve missing</v>
          </cell>
          <cell r="P299" t="str">
            <v>IRS Curve missing</v>
          </cell>
          <cell r="Q299" t="str">
            <v>IRS Curve missing</v>
          </cell>
          <cell r="R299" t="str">
            <v>IRS Curve missing</v>
          </cell>
          <cell r="S299" t="str">
            <v>IRS Curve missing</v>
          </cell>
          <cell r="T299" t="str">
            <v>IRS Curve missing</v>
          </cell>
          <cell r="U299" t="str">
            <v>IRS Curve missing</v>
          </cell>
          <cell r="V299" t="str">
            <v>IRS Curve missing</v>
          </cell>
          <cell r="W299" t="str">
            <v>IRS Curve missing</v>
          </cell>
          <cell r="X299" t="str">
            <v>IRS Curve missing</v>
          </cell>
          <cell r="Y299" t="str">
            <v>IRS Curve missing</v>
          </cell>
          <cell r="Z299" t="str">
            <v>IRS Curve missing</v>
          </cell>
          <cell r="AA299" t="str">
            <v>IRS Curve missing</v>
          </cell>
          <cell r="AB299" t="str">
            <v>IRS Curve missing</v>
          </cell>
          <cell r="AC299" t="str">
            <v>IRS Curve missing</v>
          </cell>
          <cell r="AD299" t="str">
            <v>IRS Curve missing</v>
          </cell>
          <cell r="AE299" t="str">
            <v>IRS Curve missing</v>
          </cell>
        </row>
        <row r="300">
          <cell r="D300" t="str">
            <v>USD</v>
          </cell>
          <cell r="N300" t="str">
            <v>IRS Curve missing</v>
          </cell>
          <cell r="O300" t="str">
            <v>IRS Curve missing</v>
          </cell>
          <cell r="P300" t="str">
            <v>IRS Curve missing</v>
          </cell>
          <cell r="Q300" t="str">
            <v>IRS Curve missing</v>
          </cell>
          <cell r="R300" t="str">
            <v>IRS Curve missing</v>
          </cell>
          <cell r="S300" t="str">
            <v>IRS Curve missing</v>
          </cell>
          <cell r="T300" t="str">
            <v>IRS Curve missing</v>
          </cell>
          <cell r="U300" t="str">
            <v>IRS Curve missing</v>
          </cell>
          <cell r="V300" t="str">
            <v>IRS Curve missing</v>
          </cell>
          <cell r="W300" t="str">
            <v>IRS Curve missing</v>
          </cell>
          <cell r="X300" t="str">
            <v>IRS Curve missing</v>
          </cell>
          <cell r="Y300" t="str">
            <v>IRS Curve missing</v>
          </cell>
          <cell r="Z300" t="str">
            <v>IRS Curve missing</v>
          </cell>
          <cell r="AA300" t="str">
            <v>IRS Curve missing</v>
          </cell>
          <cell r="AB300" t="str">
            <v>IRS Curve missing</v>
          </cell>
          <cell r="AC300" t="str">
            <v>IRS Curve missing</v>
          </cell>
          <cell r="AD300" t="str">
            <v>IRS Curve missing</v>
          </cell>
          <cell r="AE300" t="str">
            <v>IRS Curve missing</v>
          </cell>
        </row>
        <row r="301">
          <cell r="D301" t="str">
            <v>EUR</v>
          </cell>
          <cell r="N301" t="str">
            <v/>
          </cell>
          <cell r="O301">
            <v>7.0583742388907744E-4</v>
          </cell>
          <cell r="P301">
            <v>1.2108584765612163E-3</v>
          </cell>
          <cell r="Q301">
            <v>4.4980428822751772E-3</v>
          </cell>
          <cell r="R301">
            <v>9.8768059276036491E-3</v>
          </cell>
          <cell r="S301" t="str">
            <v/>
          </cell>
          <cell r="T301">
            <v>2.6112586819173722E-2</v>
          </cell>
          <cell r="U301">
            <v>4.3523355702255517E-2</v>
          </cell>
          <cell r="V301">
            <v>8.0186083374209294E-2</v>
          </cell>
          <cell r="W301" t="str">
            <v/>
          </cell>
          <cell r="X301">
            <v>8.2342719960870614E-4</v>
          </cell>
          <cell r="Y301">
            <v>1.4123961831609133E-3</v>
          </cell>
          <cell r="Z301">
            <v>4.8662082932021677E-3</v>
          </cell>
          <cell r="AA301">
            <v>1.0409753065379612E-2</v>
          </cell>
          <cell r="AB301" t="str">
            <v/>
          </cell>
          <cell r="AC301">
            <v>2.7388332733006893E-2</v>
          </cell>
          <cell r="AD301">
            <v>4.5645087522733552E-2</v>
          </cell>
          <cell r="AE301">
            <v>8.4061081875949628E-2</v>
          </cell>
        </row>
        <row r="302">
          <cell r="D302" t="str">
            <v>USD</v>
          </cell>
          <cell r="N302" t="str">
            <v>IRS Curve missing</v>
          </cell>
          <cell r="O302" t="str">
            <v>IRS Curve missing</v>
          </cell>
          <cell r="P302" t="str">
            <v>IRS Curve missing</v>
          </cell>
          <cell r="Q302" t="str">
            <v>IRS Curve missing</v>
          </cell>
          <cell r="R302" t="str">
            <v>IRS Curve missing</v>
          </cell>
          <cell r="S302" t="str">
            <v>IRS Curve missing</v>
          </cell>
          <cell r="T302" t="str">
            <v>IRS Curve missing</v>
          </cell>
          <cell r="U302" t="str">
            <v>IRS Curve missing</v>
          </cell>
          <cell r="V302" t="str">
            <v>IRS Curve missing</v>
          </cell>
          <cell r="W302" t="str">
            <v>IRS Curve missing</v>
          </cell>
          <cell r="X302" t="str">
            <v>IRS Curve missing</v>
          </cell>
          <cell r="Y302" t="str">
            <v>IRS Curve missing</v>
          </cell>
          <cell r="Z302" t="str">
            <v>IRS Curve missing</v>
          </cell>
          <cell r="AA302" t="str">
            <v>IRS Curve missing</v>
          </cell>
          <cell r="AB302" t="str">
            <v>IRS Curve missing</v>
          </cell>
          <cell r="AC302" t="str">
            <v>IRS Curve missing</v>
          </cell>
          <cell r="AD302" t="str">
            <v>IRS Curve missing</v>
          </cell>
          <cell r="AE302" t="str">
            <v>IRS Curve missing</v>
          </cell>
        </row>
        <row r="303">
          <cell r="D303" t="str">
            <v>EUR</v>
          </cell>
          <cell r="N303" t="str">
            <v/>
          </cell>
          <cell r="O303">
            <v>5.8823230557913941E-4</v>
          </cell>
          <cell r="P303">
            <v>1.0092775173019541E-3</v>
          </cell>
          <cell r="Q303">
            <v>3.7496532589399445E-3</v>
          </cell>
          <cell r="R303">
            <v>8.235196994171301E-3</v>
          </cell>
          <cell r="S303" t="str">
            <v/>
          </cell>
          <cell r="T303">
            <v>2.3511021816254307E-2</v>
          </cell>
          <cell r="U303">
            <v>4.1338044053659928E-2</v>
          </cell>
          <cell r="V303">
            <v>7.1045152057749195E-2</v>
          </cell>
          <cell r="W303" t="str">
            <v/>
          </cell>
          <cell r="X303">
            <v>7.0583630213449933E-4</v>
          </cell>
          <cell r="Y303">
            <v>1.2108565538985205E-3</v>
          </cell>
          <cell r="Z303">
            <v>4.1180478663638276E-3</v>
          </cell>
          <cell r="AA303">
            <v>8.768869769026022E-3</v>
          </cell>
          <cell r="AB303" t="str">
            <v/>
          </cell>
          <cell r="AC303">
            <v>2.4648593879456615E-2</v>
          </cell>
          <cell r="AD303">
            <v>4.3348130675000651E-2</v>
          </cell>
          <cell r="AE303">
            <v>7.4470777636892027E-2</v>
          </cell>
        </row>
        <row r="304">
          <cell r="D304" t="str">
            <v>EUR</v>
          </cell>
          <cell r="N304" t="str">
            <v/>
          </cell>
          <cell r="O304">
            <v>4.7061340958476361E-4</v>
          </cell>
          <cell r="P304">
            <v>1.2172867430008116E-3</v>
          </cell>
          <cell r="Q304">
            <v>4.1230943714871682E-3</v>
          </cell>
          <cell r="R304">
            <v>7.6448978760804698E-3</v>
          </cell>
          <cell r="S304" t="str">
            <v/>
          </cell>
          <cell r="T304">
            <v>2.169402549227939E-2</v>
          </cell>
          <cell r="U304">
            <v>4.0237841810820796E-2</v>
          </cell>
          <cell r="V304">
            <v>7.3468674844032189E-2</v>
          </cell>
          <cell r="W304" t="str">
            <v/>
          </cell>
          <cell r="X304">
            <v>5.8823155392451199E-4</v>
          </cell>
          <cell r="Y304">
            <v>1.4188414855879072E-3</v>
          </cell>
          <cell r="Z304">
            <v>4.4913630143923466E-3</v>
          </cell>
          <cell r="AA304">
            <v>8.1786694198114906E-3</v>
          </cell>
          <cell r="AB304" t="str">
            <v/>
          </cell>
          <cell r="AC304">
            <v>2.2739973537908464E-2</v>
          </cell>
          <cell r="AD304">
            <v>4.2194775941482576E-2</v>
          </cell>
          <cell r="AE304">
            <v>7.7008829312246174E-2</v>
          </cell>
        </row>
        <row r="305">
          <cell r="D305" t="str">
            <v>USD</v>
          </cell>
          <cell r="N305" t="str">
            <v>IRS Curve missing</v>
          </cell>
          <cell r="O305" t="str">
            <v>IRS Curve missing</v>
          </cell>
          <cell r="P305" t="str">
            <v>IRS Curve missing</v>
          </cell>
          <cell r="Q305" t="str">
            <v>IRS Curve missing</v>
          </cell>
          <cell r="R305" t="str">
            <v>IRS Curve missing</v>
          </cell>
          <cell r="S305" t="str">
            <v>IRS Curve missing</v>
          </cell>
          <cell r="T305" t="str">
            <v>IRS Curve missing</v>
          </cell>
          <cell r="U305" t="str">
            <v>IRS Curve missing</v>
          </cell>
          <cell r="V305" t="str">
            <v>IRS Curve missing</v>
          </cell>
          <cell r="W305" t="str">
            <v>IRS Curve missing</v>
          </cell>
          <cell r="X305" t="str">
            <v>IRS Curve missing</v>
          </cell>
          <cell r="Y305" t="str">
            <v>IRS Curve missing</v>
          </cell>
          <cell r="Z305" t="str">
            <v>IRS Curve missing</v>
          </cell>
          <cell r="AA305" t="str">
            <v>IRS Curve missing</v>
          </cell>
          <cell r="AB305" t="str">
            <v>IRS Curve missing</v>
          </cell>
          <cell r="AC305" t="str">
            <v>IRS Curve missing</v>
          </cell>
          <cell r="AD305" t="str">
            <v>IRS Curve missing</v>
          </cell>
          <cell r="AE305" t="str">
            <v>IRS Curve missing</v>
          </cell>
        </row>
        <row r="306">
          <cell r="D306" t="str">
            <v>EUR</v>
          </cell>
          <cell r="N306" t="str">
            <v/>
          </cell>
          <cell r="O306">
            <v>4.7061340958476361E-4</v>
          </cell>
          <cell r="P306">
            <v>1.8325206103344538E-3</v>
          </cell>
          <cell r="Q306">
            <v>5.2267332050037751E-3</v>
          </cell>
          <cell r="R306">
            <v>9.2550798794751588E-3</v>
          </cell>
          <cell r="S306" t="str">
            <v/>
          </cell>
          <cell r="T306">
            <v>2.2381632505259486E-2</v>
          </cell>
          <cell r="U306">
            <v>3.5864247207541777E-2</v>
          </cell>
          <cell r="V306">
            <v>5.9898378843788458E-2</v>
          </cell>
          <cell r="W306" t="str">
            <v/>
          </cell>
          <cell r="X306">
            <v>5.8823155392451199E-4</v>
          </cell>
          <cell r="Y306">
            <v>2.0339921687133611E-3</v>
          </cell>
          <cell r="Z306">
            <v>5.594609537902473E-3</v>
          </cell>
          <cell r="AA306">
            <v>9.7880184419169014E-3</v>
          </cell>
          <cell r="AB306" t="str">
            <v/>
          </cell>
          <cell r="AC306">
            <v>2.3472566029238973E-2</v>
          </cell>
          <cell r="AD306">
            <v>3.7614251189173165E-2</v>
          </cell>
          <cell r="AE306">
            <v>6.2801051728235802E-2</v>
          </cell>
        </row>
        <row r="307">
          <cell r="D307" t="str">
            <v>EUR</v>
          </cell>
          <cell r="N307" t="str">
            <v/>
          </cell>
          <cell r="O307">
            <v>5.8823230557913941E-4</v>
          </cell>
          <cell r="P307">
            <v>1.4188416515668045E-3</v>
          </cell>
          <cell r="Q307">
            <v>4.1104573390305932E-3</v>
          </cell>
          <cell r="R307">
            <v>8.7650818374521711E-3</v>
          </cell>
          <cell r="S307" t="str">
            <v/>
          </cell>
          <cell r="T307">
            <v>2.0583078376538055E-2</v>
          </cell>
          <cell r="U307">
            <v>3.6205653292685658E-2</v>
          </cell>
          <cell r="V307">
            <v>6.6038478227618991E-2</v>
          </cell>
          <cell r="W307" t="str">
            <v/>
          </cell>
          <cell r="X307">
            <v>7.0583630213449933E-4</v>
          </cell>
          <cell r="Y307">
            <v>1.6203554628971828E-3</v>
          </cell>
          <cell r="Z307">
            <v>4.4786833056158493E-3</v>
          </cell>
          <cell r="AA307">
            <v>9.2984532235906858E-3</v>
          </cell>
          <cell r="AB307" t="str">
            <v/>
          </cell>
          <cell r="AC307">
            <v>2.1582662708471312E-2</v>
          </cell>
          <cell r="AD307">
            <v>3.7968843122891727E-2</v>
          </cell>
          <cell r="AE307">
            <v>6.9234528803700846E-2</v>
          </cell>
        </row>
        <row r="308">
          <cell r="D308" t="str">
            <v>EUR</v>
          </cell>
          <cell r="N308" t="str">
            <v/>
          </cell>
          <cell r="O308">
            <v>4.7061340958476361E-4</v>
          </cell>
          <cell r="P308">
            <v>1.0120957209085457E-3</v>
          </cell>
          <cell r="Q308">
            <v>3.3720572714528441E-3</v>
          </cell>
          <cell r="R308">
            <v>7.6948121318956009E-3</v>
          </cell>
          <cell r="S308" t="str">
            <v/>
          </cell>
          <cell r="T308">
            <v>1.8870263037939927E-2</v>
          </cell>
          <cell r="U308">
            <v>3.5211426579380256E-2</v>
          </cell>
          <cell r="V308">
            <v>6.0502405310022489E-2</v>
          </cell>
          <cell r="W308" t="str">
            <v/>
          </cell>
          <cell r="X308">
            <v>5.8823155392451199E-4</v>
          </cell>
          <cell r="Y308">
            <v>1.2136782015391701E-3</v>
          </cell>
          <cell r="Z308">
            <v>3.7405505500123226E-3</v>
          </cell>
          <cell r="AA308">
            <v>8.2287484708186698E-3</v>
          </cell>
          <cell r="AB308" t="str">
            <v/>
          </cell>
          <cell r="AC308">
            <v>1.97769229274809E-2</v>
          </cell>
          <cell r="AD308">
            <v>3.6920390309270301E-2</v>
          </cell>
          <cell r="AE308">
            <v>6.3423677194190176E-2</v>
          </cell>
        </row>
        <row r="309">
          <cell r="D309" t="str">
            <v>EUR</v>
          </cell>
          <cell r="N309" t="str">
            <v/>
          </cell>
          <cell r="O309">
            <v>5.8823230557913941E-4</v>
          </cell>
          <cell r="P309">
            <v>1.2136782726757112E-3</v>
          </cell>
          <cell r="Q309">
            <v>4.5015416184586154E-3</v>
          </cell>
          <cell r="R309">
            <v>8.7493051440935554E-3</v>
          </cell>
          <cell r="S309" t="str">
            <v/>
          </cell>
          <cell r="T309">
            <v>2.0610088901978907E-2</v>
          </cell>
          <cell r="U309">
            <v>3.3473665368464078E-2</v>
          </cell>
          <cell r="V309">
            <v>5.8604457265159837E-2</v>
          </cell>
          <cell r="W309" t="str">
            <v/>
          </cell>
          <cell r="X309">
            <v>7.0583630213449933E-4</v>
          </cell>
          <cell r="Y309">
            <v>1.4152199353631989E-3</v>
          </cell>
          <cell r="Z309">
            <v>4.8697119408149803E-3</v>
          </cell>
          <cell r="AA309">
            <v>9.282629509412943E-3</v>
          </cell>
          <cell r="AB309" t="str">
            <v/>
          </cell>
          <cell r="AC309">
            <v>2.1608500916757478E-2</v>
          </cell>
          <cell r="AD309">
            <v>3.5103491726639513E-2</v>
          </cell>
          <cell r="AE309">
            <v>6.1441391875898477E-2</v>
          </cell>
        </row>
        <row r="310">
          <cell r="D310" t="str">
            <v>EUR</v>
          </cell>
          <cell r="N310" t="str">
            <v/>
          </cell>
          <cell r="O310">
            <v>3.5298073341860636E-4</v>
          </cell>
          <cell r="P310">
            <v>1.0156915748593676E-3</v>
          </cell>
          <cell r="Q310">
            <v>3.373597070148171E-3</v>
          </cell>
          <cell r="R310">
            <v>7.132502399384677E-3</v>
          </cell>
          <cell r="S310" t="str">
            <v/>
          </cell>
          <cell r="T310">
            <v>1.8945925804614627E-2</v>
          </cell>
          <cell r="U310">
            <v>3.3892675729570776E-2</v>
          </cell>
          <cell r="V310">
            <v>6.0889340903988898E-2</v>
          </cell>
          <cell r="W310" t="str">
            <v/>
          </cell>
          <cell r="X310">
            <v>4.7061295331773945E-4</v>
          </cell>
          <cell r="Y310">
            <v>1.2172868200731601E-3</v>
          </cell>
          <cell r="Z310">
            <v>3.7420954075987334E-3</v>
          </cell>
          <cell r="AA310">
            <v>7.6666318262728073E-3</v>
          </cell>
          <cell r="AB310" t="str">
            <v/>
          </cell>
          <cell r="AC310">
            <v>1.9852644152935417E-2</v>
          </cell>
          <cell r="AD310">
            <v>3.5537007756944461E-2</v>
          </cell>
          <cell r="AE310">
            <v>6.3827684797867157E-2</v>
          </cell>
        </row>
      </sheetData>
      <sheetData sheetId="3" refreshError="1"/>
      <sheetData sheetId="4" refreshError="1">
        <row r="8">
          <cell r="C8">
            <v>0.3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 refreshError="1"/>
      <sheetData sheetId="1" refreshError="1"/>
      <sheetData sheetId="2" refreshError="1">
        <row r="12">
          <cell r="D12" t="str">
            <v>EUR</v>
          </cell>
          <cell r="N12" t="str">
            <v/>
          </cell>
          <cell r="O12">
            <v>1.2097732365761171E-3</v>
          </cell>
          <cell r="P12">
            <v>3.4934285216857708E-3</v>
          </cell>
          <cell r="Q12">
            <v>8.9211308332199923E-3</v>
          </cell>
          <cell r="R12">
            <v>1.6196450816232111E-2</v>
          </cell>
          <cell r="S12" t="str">
            <v/>
          </cell>
          <cell r="T12">
            <v>3.4053120580619822E-2</v>
          </cell>
          <cell r="U12">
            <v>5.2090780118823843E-2</v>
          </cell>
          <cell r="V12">
            <v>8.0512767402816099E-2</v>
          </cell>
          <cell r="W12" t="str">
            <v/>
          </cell>
          <cell r="X12">
            <v>1.2930022875429215E-3</v>
          </cell>
          <cell r="Y12">
            <v>3.6594991106708719E-3</v>
          </cell>
          <cell r="Z12">
            <v>9.350505305327772E-3</v>
          </cell>
          <cell r="AA12">
            <v>1.700081578627799E-2</v>
          </cell>
          <cell r="AB12" t="str">
            <v/>
          </cell>
          <cell r="AC12">
            <v>3.5728528299768025E-2</v>
          </cell>
          <cell r="AD12">
            <v>5.4632579463672171E-2</v>
          </cell>
          <cell r="AE12">
            <v>8.4378634611709136E-2</v>
          </cell>
        </row>
        <row r="13">
          <cell r="D13" t="str">
            <v>EUR</v>
          </cell>
          <cell r="N13" t="str">
            <v/>
          </cell>
          <cell r="O13">
            <v>7.2785822158416558E-4</v>
          </cell>
          <cell r="P13">
            <v>1.9210954044108774E-3</v>
          </cell>
          <cell r="Q13">
            <v>5.5063578023649695E-3</v>
          </cell>
          <cell r="R13">
            <v>1.1884705436899679E-2</v>
          </cell>
          <cell r="S13" t="str">
            <v/>
          </cell>
          <cell r="T13">
            <v>3.1089687978344327E-2</v>
          </cell>
          <cell r="U13">
            <v>5.1774222307277906E-2</v>
          </cell>
          <cell r="V13">
            <v>9.1178802467290487E-2</v>
          </cell>
          <cell r="W13" t="str">
            <v/>
          </cell>
          <cell r="X13">
            <v>8.1112743046984903E-4</v>
          </cell>
          <cell r="Y13">
            <v>2.0874280270694046E-3</v>
          </cell>
          <cell r="Z13">
            <v>5.8378004395733818E-3</v>
          </cell>
          <cell r="AA13">
            <v>1.2452708414755431E-2</v>
          </cell>
          <cell r="AB13" t="str">
            <v/>
          </cell>
          <cell r="AC13">
            <v>3.2617367422235199E-2</v>
          </cell>
          <cell r="AD13">
            <v>5.4300816242691785E-2</v>
          </cell>
          <cell r="AE13">
            <v>9.5543962728230514E-2</v>
          </cell>
        </row>
        <row r="14">
          <cell r="D14" t="str">
            <v>EUR</v>
          </cell>
          <cell r="N14" t="str">
            <v/>
          </cell>
          <cell r="O14">
            <v>5.4594323121426314E-4</v>
          </cell>
          <cell r="P14">
            <v>1.7494169585348107E-3</v>
          </cell>
          <cell r="Q14">
            <v>6.214556435516827E-3</v>
          </cell>
          <cell r="R14">
            <v>1.3980901535377011E-2</v>
          </cell>
          <cell r="S14" t="str">
            <v/>
          </cell>
          <cell r="T14">
            <v>3.4461686778176404E-2</v>
          </cell>
          <cell r="U14">
            <v>6.1506914708782556E-2</v>
          </cell>
          <cell r="V14">
            <v>0.10612486553264233</v>
          </cell>
          <cell r="W14" t="str">
            <v/>
          </cell>
          <cell r="X14">
            <v>6.2922759904748826E-4</v>
          </cell>
          <cell r="Y14">
            <v>1.9157781918792693E-3</v>
          </cell>
          <cell r="Z14">
            <v>6.5457630458530813E-3</v>
          </cell>
          <cell r="AA14">
            <v>1.4670548097620029E-2</v>
          </cell>
          <cell r="AB14" t="str">
            <v/>
          </cell>
          <cell r="AC14">
            <v>3.615287547154078E-2</v>
          </cell>
          <cell r="AD14">
            <v>6.4498009477011786E-2</v>
          </cell>
          <cell r="AE14">
            <v>0.11120347820496479</v>
          </cell>
        </row>
        <row r="15">
          <cell r="D15" t="str">
            <v>EUR</v>
          </cell>
          <cell r="N15" t="str">
            <v/>
          </cell>
          <cell r="O15">
            <v>1.1461373716102896E-3</v>
          </cell>
          <cell r="P15">
            <v>3.0902962713841298E-3</v>
          </cell>
          <cell r="Q15">
            <v>8.241348134218951E-3</v>
          </cell>
          <cell r="R15">
            <v>1.4925721179537832E-2</v>
          </cell>
          <cell r="S15" t="str">
            <v/>
          </cell>
          <cell r="T15">
            <v>3.2430433068463715E-2</v>
          </cell>
          <cell r="U15">
            <v>5.0629438006189909E-2</v>
          </cell>
          <cell r="V15">
            <v>7.7295869470929035E-2</v>
          </cell>
          <cell r="W15" t="str">
            <v/>
          </cell>
          <cell r="X15">
            <v>1.2293717253490932E-3</v>
          </cell>
          <cell r="Y15">
            <v>3.2564340434825256E-3</v>
          </cell>
          <cell r="Z15">
            <v>8.6379722648687318E-3</v>
          </cell>
          <cell r="AA15">
            <v>1.5666538051201662E-2</v>
          </cell>
          <cell r="AB15" t="str">
            <v/>
          </cell>
          <cell r="AC15">
            <v>3.4026637141478022E-2</v>
          </cell>
          <cell r="AD15">
            <v>5.3101846440223976E-2</v>
          </cell>
          <cell r="AE15">
            <v>8.1013501695818779E-2</v>
          </cell>
        </row>
        <row r="16">
          <cell r="D16" t="str">
            <v>EUR</v>
          </cell>
          <cell r="N16" t="str">
            <v/>
          </cell>
          <cell r="O16">
            <v>4.5497334759936336E-4</v>
          </cell>
          <cell r="P16">
            <v>1.0468631450375465E-3</v>
          </cell>
          <cell r="Q16">
            <v>3.7988489935746328E-3</v>
          </cell>
          <cell r="R16">
            <v>7.7611056355625374E-3</v>
          </cell>
          <cell r="S16" t="str">
            <v/>
          </cell>
          <cell r="T16">
            <v>2.1713136515577047E-2</v>
          </cell>
          <cell r="U16">
            <v>3.9000479896582285E-2</v>
          </cell>
          <cell r="V16">
            <v>6.7881677795304185E-2</v>
          </cell>
          <cell r="W16" t="str">
            <v/>
          </cell>
          <cell r="X16">
            <v>5.3826529594969141E-4</v>
          </cell>
          <cell r="Y16">
            <v>1.2133414609432069E-3</v>
          </cell>
          <cell r="Z16">
            <v>4.13086070555857E-3</v>
          </cell>
          <cell r="AA16">
            <v>8.2571010735466022E-3</v>
          </cell>
          <cell r="AB16" t="str">
            <v/>
          </cell>
          <cell r="AC16">
            <v>2.2767050791879684E-2</v>
          </cell>
          <cell r="AD16">
            <v>4.0897940335740235E-2</v>
          </cell>
          <cell r="AE16">
            <v>7.1152571050652536E-2</v>
          </cell>
        </row>
        <row r="17">
          <cell r="D17" t="str">
            <v>EUR</v>
          </cell>
          <cell r="N17" t="str">
            <v/>
          </cell>
          <cell r="O17">
            <v>1.1188636202652535E-3</v>
          </cell>
          <cell r="P17">
            <v>2.7741662475643247E-3</v>
          </cell>
          <cell r="Q17">
            <v>7.5918644557023685E-3</v>
          </cell>
          <cell r="R17">
            <v>1.2907033210865393E-2</v>
          </cell>
          <cell r="S17" t="str">
            <v/>
          </cell>
          <cell r="T17">
            <v>2.7295782486677189E-2</v>
          </cell>
          <cell r="U17">
            <v>4.3258282847865592E-2</v>
          </cell>
          <cell r="V17">
            <v>6.9632461847284E-2</v>
          </cell>
          <cell r="W17" t="str">
            <v/>
          </cell>
          <cell r="X17">
            <v>1.2021002467269559E-3</v>
          </cell>
          <cell r="Y17">
            <v>2.9403567036020428E-3</v>
          </cell>
          <cell r="Z17">
            <v>7.9573341408427645E-3</v>
          </cell>
          <cell r="AA17">
            <v>1.3547368722276798E-2</v>
          </cell>
          <cell r="AB17" t="str">
            <v/>
          </cell>
          <cell r="AC17">
            <v>2.8641522474605607E-2</v>
          </cell>
          <cell r="AD17">
            <v>4.5377135060839624E-2</v>
          </cell>
          <cell r="AE17">
            <v>7.2996392495283891E-2</v>
          </cell>
        </row>
        <row r="18">
          <cell r="D18" t="str">
            <v>EUR</v>
          </cell>
          <cell r="N18" t="str">
            <v/>
          </cell>
          <cell r="O18">
            <v>4.5497334759936336E-4</v>
          </cell>
          <cell r="P18">
            <v>2.4561942082753641E-3</v>
          </cell>
          <cell r="Q18">
            <v>8.2825480497696891E-3</v>
          </cell>
          <cell r="R18">
            <v>1.8085997102995632E-2</v>
          </cell>
          <cell r="S18" t="str">
            <v/>
          </cell>
          <cell r="T18">
            <v>4.9041704443203771E-2</v>
          </cell>
          <cell r="U18">
            <v>8.3623600334491788E-2</v>
          </cell>
          <cell r="V18">
            <v>0.14321779911119348</v>
          </cell>
          <cell r="W18" t="str">
            <v/>
          </cell>
          <cell r="X18">
            <v>5.3826529594969141E-4</v>
          </cell>
          <cell r="Y18">
            <v>2.6224376552265172E-3</v>
          </cell>
          <cell r="Z18">
            <v>8.6791557037404488E-3</v>
          </cell>
          <cell r="AA18">
            <v>1.8981238719376847E-2</v>
          </cell>
          <cell r="AB18" t="str">
            <v/>
          </cell>
          <cell r="AC18">
            <v>5.1438336565219123E-2</v>
          </cell>
          <cell r="AD18">
            <v>8.7655936359025466E-2</v>
          </cell>
          <cell r="AE18">
            <v>0.14996599619556295</v>
          </cell>
        </row>
        <row r="19">
          <cell r="D19" t="str">
            <v>EUR</v>
          </cell>
          <cell r="N19" t="str">
            <v/>
          </cell>
          <cell r="O19">
            <v>1.1825012181198025E-3</v>
          </cell>
          <cell r="P19">
            <v>2.4381160183138961E-3</v>
          </cell>
          <cell r="Q19">
            <v>8.9601608943382649E-3</v>
          </cell>
          <cell r="R19">
            <v>1.6975721373186259E-2</v>
          </cell>
          <cell r="S19" t="str">
            <v/>
          </cell>
          <cell r="T19">
            <v>4.4657137065839958E-2</v>
          </cell>
          <cell r="U19">
            <v>7.9070414531581479E-2</v>
          </cell>
          <cell r="V19">
            <v>0.13342519450121804</v>
          </cell>
          <cell r="W19" t="str">
            <v/>
          </cell>
          <cell r="X19">
            <v>1.2657325416649545E-3</v>
          </cell>
          <cell r="Y19">
            <v>2.6043624780491825E-3</v>
          </cell>
          <cell r="Z19">
            <v>9.3895184570955692E-3</v>
          </cell>
          <cell r="AA19">
            <v>1.7816864427046331E-2</v>
          </cell>
          <cell r="AB19" t="str">
            <v/>
          </cell>
          <cell r="AC19">
            <v>4.6843746953628917E-2</v>
          </cell>
          <cell r="AD19">
            <v>8.2891759760151618E-2</v>
          </cell>
          <cell r="AE19">
            <v>0.13973747288659033</v>
          </cell>
        </row>
        <row r="20">
          <cell r="D20" t="str">
            <v>EUR</v>
          </cell>
          <cell r="N20" t="str">
            <v/>
          </cell>
          <cell r="O20">
            <v>2.7300879781333443E-4</v>
          </cell>
          <cell r="P20">
            <v>1.0512575945389457E-3</v>
          </cell>
          <cell r="Q20">
            <v>3.8033174080542853E-3</v>
          </cell>
          <cell r="R20">
            <v>8.296604741187541E-3</v>
          </cell>
          <cell r="S20" t="str">
            <v/>
          </cell>
          <cell r="T20">
            <v>1.9889630927399815E-2</v>
          </cell>
          <cell r="U20">
            <v>3.3945530667263246E-2</v>
          </cell>
          <cell r="V20">
            <v>6.4893521841106194E-2</v>
          </cell>
          <cell r="W20" t="str">
            <v/>
          </cell>
          <cell r="X20">
            <v>3.5631590924090073E-4</v>
          </cell>
          <cell r="Y20">
            <v>1.2177351780808809E-3</v>
          </cell>
          <cell r="Z20">
            <v>4.1353276307973807E-3</v>
          </cell>
          <cell r="AA20">
            <v>8.7923324965399896E-3</v>
          </cell>
          <cell r="AB20" t="str">
            <v/>
          </cell>
          <cell r="AC20">
            <v>2.0855656446274073E-2</v>
          </cell>
          <cell r="AD20">
            <v>3.5598659454389336E-2</v>
          </cell>
          <cell r="AE20">
            <v>6.8025652863848651E-2</v>
          </cell>
        </row>
        <row r="21">
          <cell r="D21" t="str">
            <v>EUR</v>
          </cell>
          <cell r="N21" t="str">
            <v/>
          </cell>
          <cell r="O21">
            <v>1.0824974631862272E-3</v>
          </cell>
          <cell r="P21">
            <v>2.493416445884078E-3</v>
          </cell>
          <cell r="Q21">
            <v>6.557700622374818E-3</v>
          </cell>
          <cell r="R21">
            <v>1.1909312629609925E-2</v>
          </cell>
          <cell r="S21" t="str">
            <v/>
          </cell>
          <cell r="T21">
            <v>2.6545793718598443E-2</v>
          </cell>
          <cell r="U21">
            <v>4.1938858161149728E-2</v>
          </cell>
          <cell r="V21">
            <v>6.6243512406457983E-2</v>
          </cell>
          <cell r="W21" t="str">
            <v/>
          </cell>
          <cell r="X21">
            <v>1.1657371200340938E-3</v>
          </cell>
          <cell r="Y21">
            <v>2.6596536896519307E-3</v>
          </cell>
          <cell r="Z21">
            <v>6.8887928703894596E-3</v>
          </cell>
          <cell r="AA21">
            <v>1.2482239063538403E-2</v>
          </cell>
          <cell r="AB21" t="str">
            <v/>
          </cell>
          <cell r="AC21">
            <v>2.7855245434884046E-2</v>
          </cell>
          <cell r="AD21">
            <v>4.3994788213444935E-2</v>
          </cell>
          <cell r="AE21">
            <v>6.9449006217710663E-2</v>
          </cell>
        </row>
        <row r="22">
          <cell r="D22" t="str">
            <v>EUR</v>
          </cell>
          <cell r="N22" t="str">
            <v/>
          </cell>
          <cell r="O22">
            <v>1.137046203671388E-3</v>
          </cell>
          <cell r="P22">
            <v>2.8441185373755395E-3</v>
          </cell>
          <cell r="Q22">
            <v>7.7630010863392052E-3</v>
          </cell>
          <cell r="R22">
            <v>1.3530582594944662E-2</v>
          </cell>
          <cell r="S22" t="str">
            <v/>
          </cell>
          <cell r="T22">
            <v>2.9016649226020763E-2</v>
          </cell>
          <cell r="U22">
            <v>4.5856898240887012E-2</v>
          </cell>
          <cell r="V22">
            <v>7.2821770400505303E-2</v>
          </cell>
          <cell r="W22" t="str">
            <v/>
          </cell>
          <cell r="X22">
            <v>1.2202813149703173E-3</v>
          </cell>
          <cell r="Y22">
            <v>3.0102973356620488E-3</v>
          </cell>
          <cell r="Z22">
            <v>8.1366733098922062E-3</v>
          </cell>
          <cell r="AA22">
            <v>1.4201937924953834E-2</v>
          </cell>
          <cell r="AB22" t="str">
            <v/>
          </cell>
          <cell r="AC22">
            <v>3.0446431562482501E-2</v>
          </cell>
          <cell r="AD22">
            <v>4.8100716167969071E-2</v>
          </cell>
          <cell r="AE22">
            <v>7.6333876797122446E-2</v>
          </cell>
        </row>
        <row r="23">
          <cell r="D23" t="str">
            <v>EUR</v>
          </cell>
          <cell r="N23" t="str">
            <v/>
          </cell>
          <cell r="O23">
            <v>9.5520551445549273E-4</v>
          </cell>
          <cell r="P23">
            <v>3.5878740301338308E-3</v>
          </cell>
          <cell r="Q23">
            <v>1.0698319493405717E-2</v>
          </cell>
          <cell r="R23">
            <v>1.8910036694558485E-2</v>
          </cell>
          <cell r="S23" t="str">
            <v/>
          </cell>
          <cell r="T23">
            <v>3.8180048292045909E-2</v>
          </cell>
          <cell r="U23">
            <v>5.9659800888807291E-2</v>
          </cell>
          <cell r="V23">
            <v>9.2770080262687848E-2</v>
          </cell>
          <cell r="W23" t="str">
            <v/>
          </cell>
          <cell r="X23">
            <v>1.038455778510472E-3</v>
          </cell>
          <cell r="Y23">
            <v>3.7580798961506234E-3</v>
          </cell>
          <cell r="Z23">
            <v>1.1230047344652383E-2</v>
          </cell>
          <cell r="AA23">
            <v>1.984703014033018E-2</v>
          </cell>
          <cell r="AB23" t="str">
            <v/>
          </cell>
          <cell r="AC23">
            <v>4.0053252551105145E-2</v>
          </cell>
          <cell r="AD23">
            <v>6.2559278223453196E-2</v>
          </cell>
          <cell r="AE23">
            <v>9.719555714039485E-2</v>
          </cell>
        </row>
        <row r="24">
          <cell r="D24" t="str">
            <v>EUR</v>
          </cell>
          <cell r="N24" t="str">
            <v/>
          </cell>
          <cell r="O24">
            <v>1.4006565747575195E-3</v>
          </cell>
          <cell r="P24">
            <v>4.1218672635487952E-3</v>
          </cell>
          <cell r="Q24">
            <v>1.0562228928115092E-2</v>
          </cell>
          <cell r="R24">
            <v>1.7247463864810464E-2</v>
          </cell>
          <cell r="S24" t="str">
            <v/>
          </cell>
          <cell r="T24">
            <v>3.3852379699911728E-2</v>
          </cell>
          <cell r="U24">
            <v>5.1890504811482274E-2</v>
          </cell>
          <cell r="V24">
            <v>8.4116972780619692E-2</v>
          </cell>
          <cell r="W24" t="str">
            <v/>
          </cell>
          <cell r="X24">
            <v>1.4838697194510253E-3</v>
          </cell>
          <cell r="Y24">
            <v>4.3177040384045906E-3</v>
          </cell>
          <cell r="Z24">
            <v>1.1070009975640338E-2</v>
          </cell>
          <cell r="AA24">
            <v>1.8103705963551597E-2</v>
          </cell>
          <cell r="AB24" t="str">
            <v/>
          </cell>
          <cell r="AC24">
            <v>3.5517419355730384E-2</v>
          </cell>
          <cell r="AD24">
            <v>5.4421564325961347E-2</v>
          </cell>
          <cell r="AE24">
            <v>8.814962898695522E-2</v>
          </cell>
        </row>
        <row r="25">
          <cell r="D25" t="str">
            <v>EUR</v>
          </cell>
          <cell r="N25" t="str">
            <v/>
          </cell>
          <cell r="O25">
            <v>4.5497334759936336E-4</v>
          </cell>
          <cell r="P25">
            <v>1.0468631450375465E-3</v>
          </cell>
          <cell r="Q25">
            <v>2.7510313672685083E-3</v>
          </cell>
          <cell r="R25">
            <v>6.2156561456440107E-3</v>
          </cell>
          <cell r="S25" t="str">
            <v/>
          </cell>
          <cell r="T25">
            <v>1.6502694702977383E-2</v>
          </cell>
          <cell r="U25">
            <v>2.9291035412695177E-2</v>
          </cell>
          <cell r="V25">
            <v>5.4564818457260245E-2</v>
          </cell>
          <cell r="W25" t="str">
            <v/>
          </cell>
          <cell r="X25">
            <v>5.3826529594969141E-4</v>
          </cell>
          <cell r="Y25">
            <v>1.2133414609432069E-3</v>
          </cell>
          <cell r="Z25">
            <v>3.083392293561138E-3</v>
          </cell>
          <cell r="AA25">
            <v>6.7124241152325403E-3</v>
          </cell>
          <cell r="AB25" t="str">
            <v/>
          </cell>
          <cell r="AC25">
            <v>1.7321934393446203E-2</v>
          </cell>
          <cell r="AD25">
            <v>3.0705536920233256E-2</v>
          </cell>
          <cell r="AE25">
            <v>5.7195760214440949E-2</v>
          </cell>
        </row>
        <row r="26">
          <cell r="D26" t="str">
            <v>EUR</v>
          </cell>
          <cell r="N26" t="str">
            <v/>
          </cell>
          <cell r="O26">
            <v>2.7300879781333443E-4</v>
          </cell>
          <cell r="P26">
            <v>1.5799139583937416E-3</v>
          </cell>
          <cell r="Q26">
            <v>5.181191906571736E-3</v>
          </cell>
          <cell r="R26">
            <v>1.0335094455867666E-2</v>
          </cell>
          <cell r="S26" t="str">
            <v/>
          </cell>
          <cell r="T26">
            <v>2.8579320199637603E-2</v>
          </cell>
          <cell r="U26">
            <v>4.9638757637926911E-2</v>
          </cell>
          <cell r="V26">
            <v>9.0073953234885984E-2</v>
          </cell>
          <cell r="W26" t="str">
            <v/>
          </cell>
          <cell r="X26">
            <v>3.5631590924090073E-4</v>
          </cell>
          <cell r="Y26">
            <v>1.7463034398864652E-3</v>
          </cell>
          <cell r="Z26">
            <v>5.5127429143683182E-3</v>
          </cell>
          <cell r="AA26">
            <v>1.0829803221134582E-2</v>
          </cell>
          <cell r="AB26" t="str">
            <v/>
          </cell>
          <cell r="AC26">
            <v>2.9982493989267889E-2</v>
          </cell>
          <cell r="AD26">
            <v>5.2061957979781526E-2</v>
          </cell>
          <cell r="AE26">
            <v>9.4414966949036505E-2</v>
          </cell>
        </row>
        <row r="27">
          <cell r="D27" t="str">
            <v>EUR</v>
          </cell>
          <cell r="N27" t="str">
            <v/>
          </cell>
          <cell r="O27">
            <v>5.4594323121426314E-4</v>
          </cell>
          <cell r="P27">
            <v>1.0446661685874492E-3</v>
          </cell>
          <cell r="Q27">
            <v>3.7966149877642907E-3</v>
          </cell>
          <cell r="R27">
            <v>7.7588442933870239E-3</v>
          </cell>
          <cell r="S27" t="str">
            <v/>
          </cell>
          <cell r="T27">
            <v>2.1710810665616753E-2</v>
          </cell>
          <cell r="U27">
            <v>4.0297902755733972E-2</v>
          </cell>
          <cell r="V27">
            <v>7.5390231460192747E-2</v>
          </cell>
          <cell r="W27" t="str">
            <v/>
          </cell>
          <cell r="X27">
            <v>6.2922759904748826E-4</v>
          </cell>
          <cell r="Y27">
            <v>1.2111448506226807E-3</v>
          </cell>
          <cell r="Z27">
            <v>4.1286274442705606E-3</v>
          </cell>
          <cell r="AA27">
            <v>8.2548408617612035E-3</v>
          </cell>
          <cell r="AB27" t="str">
            <v/>
          </cell>
          <cell r="AC27">
            <v>2.2764715670153812E-2</v>
          </cell>
          <cell r="AD27">
            <v>4.2258548471097557E-2</v>
          </cell>
          <cell r="AE27">
            <v>7.9015292556477212E-2</v>
          </cell>
        </row>
        <row r="28">
          <cell r="D28" t="str">
            <v>EUR</v>
          </cell>
          <cell r="N28" t="str">
            <v/>
          </cell>
          <cell r="O28">
            <v>1.0279457517016199E-3</v>
          </cell>
          <cell r="P28">
            <v>3.1988711607446874E-3</v>
          </cell>
          <cell r="Q28">
            <v>9.0410761394333905E-3</v>
          </cell>
          <cell r="R28">
            <v>1.4833127198884855E-2</v>
          </cell>
          <cell r="S28" t="str">
            <v/>
          </cell>
          <cell r="T28">
            <v>2.7951370792482E-2</v>
          </cell>
          <cell r="U28">
            <v>4.3189572854932079E-2</v>
          </cell>
          <cell r="V28">
            <v>6.9270557320612935E-2</v>
          </cell>
          <cell r="W28" t="str">
            <v/>
          </cell>
          <cell r="X28">
            <v>1.1111899543241321E-3</v>
          </cell>
          <cell r="Y28">
            <v>3.3649908385338101E-3</v>
          </cell>
          <cell r="Z28">
            <v>9.4753512821403874E-3</v>
          </cell>
          <cell r="AA28">
            <v>1.5569332680694936E-2</v>
          </cell>
          <cell r="AB28" t="str">
            <v/>
          </cell>
          <cell r="AC28">
            <v>2.9329064053555176E-2</v>
          </cell>
          <cell r="AD28">
            <v>4.5304032986384524E-2</v>
          </cell>
          <cell r="AE28">
            <v>7.2615688399075617E-2</v>
          </cell>
        </row>
        <row r="29">
          <cell r="D29" t="str">
            <v>EUR</v>
          </cell>
          <cell r="N29" t="str">
            <v/>
          </cell>
          <cell r="O29">
            <v>6.3690485549472431E-4</v>
          </cell>
          <cell r="P29">
            <v>1.3948581478229194E-3</v>
          </cell>
          <cell r="Q29">
            <v>4.8293652543733856E-3</v>
          </cell>
          <cell r="R29">
            <v>9.8182156257848874E-3</v>
          </cell>
          <cell r="S29" t="str">
            <v/>
          </cell>
          <cell r="T29">
            <v>2.6849378312817529E-2</v>
          </cell>
          <cell r="U29">
            <v>4.7294561605297991E-2</v>
          </cell>
          <cell r="V29">
            <v>9.2591327935122036E-2</v>
          </cell>
          <cell r="W29" t="str">
            <v/>
          </cell>
          <cell r="X29">
            <v>7.2018164349907376E-4</v>
          </cell>
          <cell r="Y29">
            <v>1.5612784693798121E-3</v>
          </cell>
          <cell r="Z29">
            <v>5.1610335181753175E-3</v>
          </cell>
          <cell r="AA29">
            <v>1.031318276586024E-2</v>
          </cell>
          <cell r="AB29" t="str">
            <v/>
          </cell>
          <cell r="AC29">
            <v>2.816548842760036E-2</v>
          </cell>
          <cell r="AD29">
            <v>4.9602707886440056E-2</v>
          </cell>
          <cell r="AE29">
            <v>9.7054667301305519E-2</v>
          </cell>
        </row>
        <row r="30">
          <cell r="D30" t="str">
            <v>EUR</v>
          </cell>
          <cell r="N30" t="str">
            <v/>
          </cell>
          <cell r="O30">
            <v>4.5497334759936336E-4</v>
          </cell>
          <cell r="P30">
            <v>1.3992836384263407E-3</v>
          </cell>
          <cell r="Q30">
            <v>4.1358284162490433E-3</v>
          </cell>
          <cell r="R30">
            <v>8.2635274722652197E-3</v>
          </cell>
          <cell r="S30" t="str">
            <v/>
          </cell>
          <cell r="T30">
            <v>2.2539472720640163E-2</v>
          </cell>
          <cell r="U30">
            <v>3.883933690179997E-2</v>
          </cell>
          <cell r="V30">
            <v>6.1942140614012375E-2</v>
          </cell>
          <cell r="W30" t="str">
            <v/>
          </cell>
          <cell r="X30">
            <v>5.3826529594969141E-4</v>
          </cell>
          <cell r="Y30">
            <v>1.5657032224634104E-3</v>
          </cell>
          <cell r="Z30">
            <v>4.4677278204747761E-3</v>
          </cell>
          <cell r="AA30">
            <v>8.7592717621126637E-3</v>
          </cell>
          <cell r="AB30" t="str">
            <v/>
          </cell>
          <cell r="AC30">
            <v>2.3637127424469107E-2</v>
          </cell>
          <cell r="AD30">
            <v>4.0731755235325351E-2</v>
          </cell>
          <cell r="AE30">
            <v>6.4933475420183795E-2</v>
          </cell>
        </row>
        <row r="31">
          <cell r="D31" t="str">
            <v>EUR</v>
          </cell>
          <cell r="N31" t="str">
            <v/>
          </cell>
          <cell r="O31">
            <v>5.8232887199149985E-4</v>
          </cell>
          <cell r="P31">
            <v>2.0655813650071186E-3</v>
          </cell>
          <cell r="Q31">
            <v>5.7142961046711127E-3</v>
          </cell>
          <cell r="R31">
            <v>1.0866563658184614E-2</v>
          </cell>
          <cell r="S31" t="str">
            <v/>
          </cell>
          <cell r="T31">
            <v>2.5807962989541355E-2</v>
          </cell>
          <cell r="U31">
            <v>4.3352180177922861E-2</v>
          </cell>
          <cell r="V31">
            <v>6.4407512212216522E-2</v>
          </cell>
          <cell r="W31" t="str">
            <v/>
          </cell>
          <cell r="X31">
            <v>6.656102078149706E-4</v>
          </cell>
          <cell r="Y31">
            <v>2.2318899086841704E-3</v>
          </cell>
          <cell r="Z31">
            <v>6.0456694406660905E-3</v>
          </cell>
          <cell r="AA31">
            <v>1.1388193953755787E-2</v>
          </cell>
          <cell r="AB31" t="str">
            <v/>
          </cell>
          <cell r="AC31">
            <v>2.7078048829710211E-2</v>
          </cell>
          <cell r="AD31">
            <v>4.547412568912379E-2</v>
          </cell>
          <cell r="AE31">
            <v>6.7523628278057579E-2</v>
          </cell>
        </row>
        <row r="32">
          <cell r="D32" t="str">
            <v>EUR</v>
          </cell>
          <cell r="N32" t="str">
            <v/>
          </cell>
          <cell r="O32">
            <v>1.0006687817649684E-3</v>
          </cell>
          <cell r="P32">
            <v>2.7947261130725209E-3</v>
          </cell>
          <cell r="Q32">
            <v>7.2111077393919309E-3</v>
          </cell>
          <cell r="R32">
            <v>1.5467238879111833E-2</v>
          </cell>
          <cell r="S32" t="str">
            <v/>
          </cell>
          <cell r="T32">
            <v>3.3348910436248769E-2</v>
          </cell>
          <cell r="U32">
            <v>5.4944225160039606E-2</v>
          </cell>
          <cell r="V32">
            <v>9.7482385614446887E-2</v>
          </cell>
          <cell r="W32" t="str">
            <v/>
          </cell>
          <cell r="X32">
            <v>1.0839152573786093E-3</v>
          </cell>
          <cell r="Y32">
            <v>2.9609131427482671E-3</v>
          </cell>
          <cell r="Z32">
            <v>7.5585230504505718E-3</v>
          </cell>
          <cell r="AA32">
            <v>1.6234277091737748E-2</v>
          </cell>
          <cell r="AB32" t="str">
            <v/>
          </cell>
          <cell r="AC32">
            <v>3.4989302908546072E-2</v>
          </cell>
          <cell r="AD32">
            <v>5.7623328968287701E-2</v>
          </cell>
          <cell r="AE32">
            <v>0.10216407859452792</v>
          </cell>
        </row>
        <row r="33">
          <cell r="D33" t="str">
            <v>EUR</v>
          </cell>
          <cell r="N33" t="str">
            <v/>
          </cell>
          <cell r="O33">
            <v>7.0966820896456451E-4</v>
          </cell>
          <cell r="P33">
            <v>2.3970392244803129E-3</v>
          </cell>
          <cell r="Q33">
            <v>7.9296522055524177E-3</v>
          </cell>
          <cell r="R33">
            <v>1.38688765300925E-2</v>
          </cell>
          <cell r="S33" t="str">
            <v/>
          </cell>
          <cell r="T33">
            <v>2.8124372732021508E-2</v>
          </cell>
          <cell r="U33">
            <v>4.4009015483154168E-2</v>
          </cell>
          <cell r="V33">
            <v>6.7436704849241802E-2</v>
          </cell>
          <cell r="W33" t="str">
            <v/>
          </cell>
          <cell r="X33">
            <v>7.9293893361020995E-4</v>
          </cell>
          <cell r="Y33">
            <v>2.5632925297894849E-3</v>
          </cell>
          <cell r="Z33">
            <v>8.3098729585614484E-3</v>
          </cell>
          <cell r="AA33">
            <v>1.4555732590385562E-2</v>
          </cell>
          <cell r="AB33" t="str">
            <v/>
          </cell>
          <cell r="AC33">
            <v>2.9509268173051328E-2</v>
          </cell>
          <cell r="AD33">
            <v>4.6162283054634323E-2</v>
          </cell>
          <cell r="AE33">
            <v>7.069433145298909E-2</v>
          </cell>
        </row>
        <row r="34">
          <cell r="D34" t="str">
            <v>EUR</v>
          </cell>
          <cell r="N34" t="str">
            <v/>
          </cell>
          <cell r="O34">
            <v>4.5497334759936336E-4</v>
          </cell>
          <cell r="P34">
            <v>1.5754719486696933E-3</v>
          </cell>
          <cell r="Q34">
            <v>5.525520950825924E-3</v>
          </cell>
          <cell r="R34">
            <v>1.2434173717397634E-2</v>
          </cell>
          <cell r="S34" t="str">
            <v/>
          </cell>
          <cell r="T34">
            <v>3.1069977814155214E-2</v>
          </cell>
          <cell r="U34">
            <v>5.5624245067170675E-2</v>
          </cell>
          <cell r="V34">
            <v>0.10006135867923516</v>
          </cell>
          <cell r="W34" t="str">
            <v/>
          </cell>
          <cell r="X34">
            <v>5.3826529594969141E-4</v>
          </cell>
          <cell r="Y34">
            <v>1.7418621704494708E-3</v>
          </cell>
          <cell r="Z34">
            <v>5.8569572014125493E-3</v>
          </cell>
          <cell r="AA34">
            <v>1.3045227367390777E-2</v>
          </cell>
          <cell r="AB34" t="str">
            <v/>
          </cell>
          <cell r="AC34">
            <v>3.2594471728871977E-2</v>
          </cell>
          <cell r="AD34">
            <v>5.8333714624984712E-2</v>
          </cell>
          <cell r="AE34">
            <v>0.10486500847187663</v>
          </cell>
        </row>
        <row r="35">
          <cell r="D35" t="str">
            <v>EUR</v>
          </cell>
          <cell r="N35" t="str">
            <v/>
          </cell>
          <cell r="O35">
            <v>1.0461299856532325E-3</v>
          </cell>
          <cell r="P35">
            <v>3.1632134609318463E-3</v>
          </cell>
          <cell r="Q35">
            <v>9.6333708743353563E-3</v>
          </cell>
          <cell r="R35">
            <v>1.7974371832573444E-2</v>
          </cell>
          <cell r="S35" t="str">
            <v/>
          </cell>
          <cell r="T35">
            <v>3.9210781126717165E-2</v>
          </cell>
          <cell r="U35">
            <v>6.1631576143808986E-2</v>
          </cell>
          <cell r="V35">
            <v>9.5374207524688837E-2</v>
          </cell>
          <cell r="W35" t="str">
            <v/>
          </cell>
          <cell r="X35">
            <v>1.1293726729973974E-3</v>
          </cell>
          <cell r="Y35">
            <v>3.3293390811747203E-3</v>
          </cell>
          <cell r="Z35">
            <v>1.0095434144791526E-2</v>
          </cell>
          <cell r="AA35">
            <v>1.8865817303261312E-2</v>
          </cell>
          <cell r="AB35" t="str">
            <v/>
          </cell>
          <cell r="AC35">
            <v>4.1135004707086309E-2</v>
          </cell>
          <cell r="AD35">
            <v>6.462660081609406E-2</v>
          </cell>
          <cell r="AE35">
            <v>9.992030998266932E-2</v>
          </cell>
        </row>
        <row r="36">
          <cell r="D36" t="str">
            <v>EUR</v>
          </cell>
          <cell r="N36" t="str">
            <v/>
          </cell>
          <cell r="O36">
            <v>4.5497334759936336E-4</v>
          </cell>
          <cell r="P36">
            <v>1.22308070448085E-3</v>
          </cell>
          <cell r="Q36">
            <v>3.7927823407388761E-3</v>
          </cell>
          <cell r="R36">
            <v>8.2859042324988641E-3</v>
          </cell>
          <cell r="S36" t="str">
            <v/>
          </cell>
          <cell r="T36">
            <v>1.9878731060564148E-2</v>
          </cell>
          <cell r="U36">
            <v>3.5236478943504235E-2</v>
          </cell>
          <cell r="V36">
            <v>6.4703833634608743E-2</v>
          </cell>
          <cell r="W36" t="str">
            <v/>
          </cell>
          <cell r="X36">
            <v>5.3826529594969141E-4</v>
          </cell>
          <cell r="Y36">
            <v>1.3895296532399071E-3</v>
          </cell>
          <cell r="Z36">
            <v>4.124796074582493E-3</v>
          </cell>
          <cell r="AA36">
            <v>8.7816373367883838E-3</v>
          </cell>
          <cell r="AB36" t="str">
            <v/>
          </cell>
          <cell r="AC36">
            <v>2.084471629135054E-2</v>
          </cell>
          <cell r="AD36">
            <v>3.6953075360384835E-2</v>
          </cell>
          <cell r="AE36">
            <v>6.7827522129052076E-2</v>
          </cell>
        </row>
        <row r="37">
          <cell r="D37" t="str">
            <v>EUR</v>
          </cell>
          <cell r="N37" t="str">
            <v/>
          </cell>
          <cell r="O37">
            <v>8.1880333056005838E-4</v>
          </cell>
          <cell r="P37">
            <v>3.8552962201567897E-3</v>
          </cell>
          <cell r="Q37">
            <v>1.1352557429629706E-2</v>
          </cell>
          <cell r="R37">
            <v>2.3139978930085126E-2</v>
          </cell>
          <cell r="S37" t="str">
            <v/>
          </cell>
          <cell r="T37">
            <v>5.8046686224654032E-2</v>
          </cell>
          <cell r="U37">
            <v>9.951996128383811E-2</v>
          </cell>
          <cell r="V37">
            <v>0.16794297561895999</v>
          </cell>
          <cell r="W37" t="str">
            <v/>
          </cell>
          <cell r="X37">
            <v>9.0206496099309863E-4</v>
          </cell>
          <cell r="Y37">
            <v>4.0379060094440922E-3</v>
          </cell>
          <cell r="Z37">
            <v>1.1916540730114944E-2</v>
          </cell>
          <cell r="AA37">
            <v>2.4285142542896931E-2</v>
          </cell>
          <cell r="AB37" t="str">
            <v/>
          </cell>
          <cell r="AC37">
            <v>6.0871854647292278E-2</v>
          </cell>
          <cell r="AD37">
            <v>0.10428314252574489</v>
          </cell>
          <cell r="AE37">
            <v>0.17576377808950894</v>
          </cell>
        </row>
        <row r="38">
          <cell r="D38" t="str">
            <v>EUR</v>
          </cell>
          <cell r="N38" t="str">
            <v/>
          </cell>
          <cell r="O38">
            <v>4.5497334759936336E-4</v>
          </cell>
          <cell r="P38">
            <v>1.0468631450375465E-3</v>
          </cell>
          <cell r="Q38">
            <v>4.1480051453959277E-3</v>
          </cell>
          <cell r="R38">
            <v>8.2758480360302089E-3</v>
          </cell>
          <cell r="S38" t="str">
            <v/>
          </cell>
          <cell r="T38">
            <v>1.9868489015620661E-2</v>
          </cell>
          <cell r="U38">
            <v>3.2621847597286258E-2</v>
          </cell>
          <cell r="V38">
            <v>5.7323262221941729E-2</v>
          </cell>
          <cell r="W38" t="str">
            <v/>
          </cell>
          <cell r="X38">
            <v>5.3826529594969141E-4</v>
          </cell>
          <cell r="Y38">
            <v>1.2133414609432069E-3</v>
          </cell>
          <cell r="Z38">
            <v>4.4799004913916862E-3</v>
          </cell>
          <cell r="AA38">
            <v>8.7715861671472384E-3</v>
          </cell>
          <cell r="AB38" t="str">
            <v/>
          </cell>
          <cell r="AC38">
            <v>2.083443770740312E-2</v>
          </cell>
          <cell r="AD38">
            <v>3.4211302515329001E-2</v>
          </cell>
          <cell r="AE38">
            <v>6.0096335129151357E-2</v>
          </cell>
        </row>
        <row r="39">
          <cell r="D39" t="str">
            <v>EUR</v>
          </cell>
          <cell r="N39" t="str">
            <v/>
          </cell>
          <cell r="O39">
            <v>9.0974018358735975E-4</v>
          </cell>
          <cell r="P39">
            <v>2.2688184468088179E-3</v>
          </cell>
          <cell r="Q39">
            <v>7.9289656868778424E-3</v>
          </cell>
          <cell r="R39">
            <v>1.7569404102357966E-2</v>
          </cell>
          <cell r="S39" t="str">
            <v/>
          </cell>
          <cell r="T39">
            <v>4.3800100845637679E-2</v>
          </cell>
          <cell r="U39">
            <v>7.7924378492666757E-2</v>
          </cell>
          <cell r="V39">
            <v>0.12817193182544928</v>
          </cell>
          <cell r="W39" t="str">
            <v/>
          </cell>
          <cell r="X39">
            <v>9.9299423627774441E-4</v>
          </cell>
          <cell r="Y39">
            <v>2.4350931204583093E-3</v>
          </cell>
          <cell r="Z39">
            <v>8.3091867030128386E-3</v>
          </cell>
          <cell r="AA39">
            <v>1.8439389113530491E-2</v>
          </cell>
          <cell r="AB39" t="str">
            <v/>
          </cell>
          <cell r="AC39">
            <v>4.5945087615335112E-2</v>
          </cell>
          <cell r="AD39">
            <v>8.1691386767981267E-2</v>
          </cell>
          <cell r="AE39">
            <v>0.13424305991243224</v>
          </cell>
        </row>
        <row r="40">
          <cell r="D40" t="str">
            <v>EUR</v>
          </cell>
          <cell r="N40" t="str">
            <v/>
          </cell>
          <cell r="O40">
            <v>1.7368863343264485E-3</v>
          </cell>
          <cell r="P40">
            <v>3.796665556997092E-3</v>
          </cell>
          <cell r="Q40">
            <v>9.9741272488907962E-3</v>
          </cell>
          <cell r="R40">
            <v>1.7807357394513113E-2</v>
          </cell>
          <cell r="S40" t="str">
            <v/>
          </cell>
          <cell r="T40">
            <v>3.6501573356131356E-2</v>
          </cell>
          <cell r="U40">
            <v>5.6094513963189763E-2</v>
          </cell>
          <cell r="V40">
            <v>8.5082667437420101E-2</v>
          </cell>
          <cell r="W40" t="str">
            <v/>
          </cell>
          <cell r="X40">
            <v>1.8200714610301372E-3</v>
          </cell>
          <cell r="Y40">
            <v>3.9776260583517242E-3</v>
          </cell>
          <cell r="Z40">
            <v>1.0454173376568399E-2</v>
          </cell>
          <cell r="AA40">
            <v>1.8691785719074261E-2</v>
          </cell>
          <cell r="AB40" t="str">
            <v/>
          </cell>
          <cell r="AC40">
            <v>3.8295701213610256E-2</v>
          </cell>
          <cell r="AD40">
            <v>5.8826710095371548E-2</v>
          </cell>
          <cell r="AE40">
            <v>8.9157122626988494E-2</v>
          </cell>
        </row>
        <row r="41">
          <cell r="D41" t="str">
            <v>EUR</v>
          </cell>
          <cell r="N41" t="str">
            <v/>
          </cell>
          <cell r="O41">
            <v>3.6399520350638426E-4</v>
          </cell>
          <cell r="P41">
            <v>1.2252857733764388E-3</v>
          </cell>
          <cell r="Q41">
            <v>4.14415820314884E-3</v>
          </cell>
          <cell r="R41">
            <v>9.8640896694566216E-3</v>
          </cell>
          <cell r="S41" t="str">
            <v/>
          </cell>
          <cell r="T41">
            <v>2.4218797781871082E-2</v>
          </cell>
          <cell r="U41">
            <v>4.3737137337015008E-2</v>
          </cell>
          <cell r="V41">
            <v>7.6304917747906598E-2</v>
          </cell>
          <cell r="W41" t="str">
            <v/>
          </cell>
          <cell r="X41">
            <v>4.4729473304006007E-4</v>
          </cell>
          <cell r="Y41">
            <v>1.3917343546390182E-3</v>
          </cell>
          <cell r="Z41">
            <v>4.4760548312168247E-3</v>
          </cell>
          <cell r="AA41">
            <v>1.0359033878251878E-2</v>
          </cell>
          <cell r="AB41" t="str">
            <v/>
          </cell>
          <cell r="AC41">
            <v>2.5404044300488704E-2</v>
          </cell>
          <cell r="AD41">
            <v>4.5871713486373311E-2</v>
          </cell>
          <cell r="AE41">
            <v>7.9978146717757936E-2</v>
          </cell>
        </row>
        <row r="42">
          <cell r="D42" t="str">
            <v>EUR</v>
          </cell>
          <cell r="N42" t="str">
            <v/>
          </cell>
          <cell r="O42">
            <v>8.1880333056005838E-4</v>
          </cell>
          <cell r="P42">
            <v>3.1513418086189793E-3</v>
          </cell>
          <cell r="Q42">
            <v>1.2073836081437195E-2</v>
          </cell>
          <cell r="R42">
            <v>2.1023894173628044E-2</v>
          </cell>
          <cell r="S42" t="str">
            <v/>
          </cell>
          <cell r="T42">
            <v>5.0307695747634162E-2</v>
          </cell>
          <cell r="U42">
            <v>8.5454729082509173E-2</v>
          </cell>
          <cell r="V42">
            <v>0.1421159909823666</v>
          </cell>
          <cell r="W42" t="str">
            <v/>
          </cell>
          <cell r="X42">
            <v>9.0206496099309863E-4</v>
          </cell>
          <cell r="Y42">
            <v>3.3174694073021538E-3</v>
          </cell>
          <cell r="Z42">
            <v>1.2672965363681787E-2</v>
          </cell>
          <cell r="AA42">
            <v>2.2064079220928678E-2</v>
          </cell>
          <cell r="AB42" t="str">
            <v/>
          </cell>
          <cell r="AC42">
            <v>5.2763099044438433E-2</v>
          </cell>
          <cell r="AD42">
            <v>8.9567298695792386E-2</v>
          </cell>
          <cell r="AE42">
            <v>0.14880095065230736</v>
          </cell>
        </row>
        <row r="43">
          <cell r="D43" t="str">
            <v>EUR</v>
          </cell>
          <cell r="N43" t="str">
            <v/>
          </cell>
          <cell r="O43">
            <v>3.0030558705684829E-4</v>
          </cell>
          <cell r="P43">
            <v>1.596866988454515E-3</v>
          </cell>
          <cell r="Q43">
            <v>5.6682974491331084E-3</v>
          </cell>
          <cell r="R43">
            <v>1.1264968708774803E-2</v>
          </cell>
          <cell r="S43" t="str">
            <v/>
          </cell>
          <cell r="T43">
            <v>2.5808507296589012E-2</v>
          </cell>
          <cell r="U43">
            <v>4.1408979658676071E-2</v>
          </cell>
          <cell r="V43">
            <v>6.4675554956267312E-2</v>
          </cell>
          <cell r="W43" t="str">
            <v/>
          </cell>
          <cell r="X43">
            <v>3.836104238418292E-4</v>
          </cell>
          <cell r="Y43">
            <v>1.7632536446817726E-3</v>
          </cell>
          <cell r="Z43">
            <v>5.9996861154508752E-3</v>
          </cell>
          <cell r="AA43">
            <v>1.1803682487969591E-2</v>
          </cell>
          <cell r="AB43" t="str">
            <v/>
          </cell>
          <cell r="AC43">
            <v>2.7077422473698931E-2</v>
          </cell>
          <cell r="AD43">
            <v>4.3435303815706816E-2</v>
          </cell>
          <cell r="AE43">
            <v>6.7803475265220681E-2</v>
          </cell>
        </row>
        <row r="44">
          <cell r="D44" t="str">
            <v>EUR</v>
          </cell>
          <cell r="N44" t="str">
            <v/>
          </cell>
          <cell r="O44">
            <v>7.5514262122422515E-4</v>
          </cell>
          <cell r="P44">
            <v>3.0825353567680569E-3</v>
          </cell>
          <cell r="Q44">
            <v>9.7485177859601979E-3</v>
          </cell>
          <cell r="R44">
            <v>1.8032952842390038E-2</v>
          </cell>
          <cell r="S44" t="str">
            <v/>
          </cell>
          <cell r="T44">
            <v>4.0981178403409424E-2</v>
          </cell>
          <cell r="U44">
            <v>6.2719439644113195E-2</v>
          </cell>
          <cell r="V44">
            <v>9.499816934762717E-2</v>
          </cell>
          <cell r="W44" t="str">
            <v/>
          </cell>
          <cell r="X44">
            <v>8.384095564997196E-4</v>
          </cell>
          <cell r="Y44">
            <v>3.2486744222285369E-3</v>
          </cell>
          <cell r="Z44">
            <v>1.0215476268697343E-2</v>
          </cell>
          <cell r="AA44">
            <v>1.8926800156382151E-2</v>
          </cell>
          <cell r="AB44" t="str">
            <v/>
          </cell>
          <cell r="AC44">
            <v>4.2990491991359181E-2</v>
          </cell>
          <cell r="AD44">
            <v>6.5765055488747781E-2</v>
          </cell>
          <cell r="AE44">
            <v>9.9524153163218831E-2</v>
          </cell>
        </row>
        <row r="45">
          <cell r="D45" t="str">
            <v>EUR</v>
          </cell>
          <cell r="N45" t="str">
            <v/>
          </cell>
          <cell r="O45">
            <v>1.091589126235637E-3</v>
          </cell>
          <cell r="P45">
            <v>2.4403751962409626E-3</v>
          </cell>
          <cell r="Q45">
            <v>6.1759743229057307E-3</v>
          </cell>
          <cell r="R45">
            <v>1.182331345228449E-2</v>
          </cell>
          <cell r="S45" t="str">
            <v/>
          </cell>
          <cell r="T45">
            <v>2.3006925330789962E-2</v>
          </cell>
          <cell r="U45">
            <v>3.9615615112190361E-2</v>
          </cell>
          <cell r="V45">
            <v>7.0858973190475516E-2</v>
          </cell>
          <cell r="W45" t="str">
            <v/>
          </cell>
          <cell r="X45">
            <v>1.1748280254821886E-3</v>
          </cell>
          <cell r="Y45">
            <v>2.6066212794906285E-3</v>
          </cell>
          <cell r="Z45">
            <v>6.5071937918369516E-3</v>
          </cell>
          <cell r="AA45">
            <v>1.2391351720379862E-2</v>
          </cell>
          <cell r="AB45" t="str">
            <v/>
          </cell>
          <cell r="AC45">
            <v>2.4142098903175979E-2</v>
          </cell>
          <cell r="AD45">
            <v>4.155896419709193E-2</v>
          </cell>
          <cell r="AE45">
            <v>7.4284813520103188E-2</v>
          </cell>
        </row>
        <row r="46">
          <cell r="D46" t="str">
            <v>EUR</v>
          </cell>
          <cell r="N46" t="str">
            <v/>
          </cell>
          <cell r="O46">
            <v>3.6399520350638426E-4</v>
          </cell>
          <cell r="P46">
            <v>1.5776928696848991E-3</v>
          </cell>
          <cell r="Q46">
            <v>4.8300036012460801E-3</v>
          </cell>
          <cell r="R46">
            <v>9.2884024454689129E-3</v>
          </cell>
          <cell r="S46" t="str">
            <v/>
          </cell>
          <cell r="T46">
            <v>2.3318205393211722E-2</v>
          </cell>
          <cell r="U46">
            <v>4.1227922052438193E-2</v>
          </cell>
          <cell r="V46">
            <v>7.0995920051109107E-2</v>
          </cell>
          <cell r="W46" t="str">
            <v/>
          </cell>
          <cell r="X46">
            <v>4.4729473304006007E-4</v>
          </cell>
          <cell r="Y46">
            <v>1.7440827213339727E-3</v>
          </cell>
          <cell r="Z46">
            <v>5.161671652306743E-3</v>
          </cell>
          <cell r="AA46">
            <v>9.7836344259344399E-3</v>
          </cell>
          <cell r="AB46" t="str">
            <v/>
          </cell>
          <cell r="AC46">
            <v>2.4459491485208651E-2</v>
          </cell>
          <cell r="AD46">
            <v>4.3241309958970908E-2</v>
          </cell>
          <cell r="AE46">
            <v>7.4420355272975192E-2</v>
          </cell>
        </row>
        <row r="47">
          <cell r="D47" t="str">
            <v>EUR</v>
          </cell>
          <cell r="N47" t="str">
            <v/>
          </cell>
          <cell r="O47">
            <v>1.6823702585243572E-3</v>
          </cell>
          <cell r="P47">
            <v>3.6045727340642264E-3</v>
          </cell>
          <cell r="Q47">
            <v>9.634907095922185E-3</v>
          </cell>
          <cell r="R47">
            <v>1.6671781665576368E-2</v>
          </cell>
          <cell r="S47" t="str">
            <v/>
          </cell>
          <cell r="T47">
            <v>3.4845552987327388E-2</v>
          </cell>
          <cell r="U47">
            <v>5.4474159079863083E-2</v>
          </cell>
          <cell r="V47">
            <v>8.376227017791249E-2</v>
          </cell>
          <cell r="W47" t="str">
            <v/>
          </cell>
          <cell r="X47">
            <v>1.7655599280550494E-3</v>
          </cell>
          <cell r="Y47">
            <v>3.7764361216300335E-3</v>
          </cell>
          <cell r="Z47">
            <v>1.0098619486633931E-2</v>
          </cell>
          <cell r="AA47">
            <v>1.7500104353354362E-2</v>
          </cell>
          <cell r="AB47" t="str">
            <v/>
          </cell>
          <cell r="AC47">
            <v>3.6559669790598881E-2</v>
          </cell>
          <cell r="AD47">
            <v>5.7130193277003749E-2</v>
          </cell>
          <cell r="AE47">
            <v>8.7778327178414051E-2</v>
          </cell>
        </row>
        <row r="48">
          <cell r="D48" t="str">
            <v>EUR</v>
          </cell>
          <cell r="N48" t="str">
            <v/>
          </cell>
          <cell r="O48">
            <v>4.5497334759936336E-4</v>
          </cell>
          <cell r="P48">
            <v>1.22308070448085E-3</v>
          </cell>
          <cell r="Q48">
            <v>3.7927823407388761E-3</v>
          </cell>
          <cell r="R48">
            <v>7.7549655934833206E-3</v>
          </cell>
          <cell r="S48" t="str">
            <v/>
          </cell>
          <cell r="T48">
            <v>2.0812092459711939E-2</v>
          </cell>
          <cell r="U48">
            <v>3.7785960948203301E-2</v>
          </cell>
          <cell r="V48">
            <v>7.00726223555318E-2</v>
          </cell>
          <cell r="W48" t="str">
            <v/>
          </cell>
          <cell r="X48">
            <v>5.3826529594969141E-4</v>
          </cell>
          <cell r="Y48">
            <v>1.3895296532399071E-3</v>
          </cell>
          <cell r="Z48">
            <v>4.124796074582493E-3</v>
          </cell>
          <cell r="AA48">
            <v>8.2509641007361134E-3</v>
          </cell>
          <cell r="AB48" t="str">
            <v/>
          </cell>
          <cell r="AC48">
            <v>2.1822062752955174E-2</v>
          </cell>
          <cell r="AD48">
            <v>3.9624826189818441E-2</v>
          </cell>
          <cell r="AE48">
            <v>7.3448030243814966E-2</v>
          </cell>
        </row>
        <row r="49">
          <cell r="D49" t="str">
            <v>EUR</v>
          </cell>
          <cell r="N49" t="str">
            <v/>
          </cell>
          <cell r="O49">
            <v>1.0006687817649684E-3</v>
          </cell>
          <cell r="P49">
            <v>2.7947261130725209E-3</v>
          </cell>
          <cell r="Q49">
            <v>6.8627399723123483E-3</v>
          </cell>
          <cell r="R49">
            <v>1.4426279597449798E-2</v>
          </cell>
          <cell r="S49" t="str">
            <v/>
          </cell>
          <cell r="T49">
            <v>3.3446830042253239E-2</v>
          </cell>
          <cell r="U49">
            <v>5.5042694798059455E-2</v>
          </cell>
          <cell r="V49">
            <v>9.5689283925012969E-2</v>
          </cell>
          <cell r="W49" t="str">
            <v/>
          </cell>
          <cell r="X49">
            <v>1.0839152573786093E-3</v>
          </cell>
          <cell r="Y49">
            <v>2.9609131427482671E-3</v>
          </cell>
          <cell r="Z49">
            <v>7.1937305574995003E-3</v>
          </cell>
          <cell r="AA49">
            <v>1.5141808937246259E-2</v>
          </cell>
          <cell r="AB49" t="str">
            <v/>
          </cell>
          <cell r="AC49">
            <v>3.5092281328373387E-2</v>
          </cell>
          <cell r="AD49">
            <v>5.7727329848833109E-2</v>
          </cell>
          <cell r="AE49">
            <v>0.10028691265730771</v>
          </cell>
        </row>
        <row r="50">
          <cell r="D50" t="str">
            <v>EUR</v>
          </cell>
          <cell r="N50" t="str">
            <v/>
          </cell>
          <cell r="O50">
            <v>6.3690485549472431E-4</v>
          </cell>
          <cell r="P50">
            <v>1.5710306083301928E-3</v>
          </cell>
          <cell r="Q50">
            <v>4.4742758268462302E-3</v>
          </cell>
          <cell r="R50">
            <v>9.2978809822560349E-3</v>
          </cell>
          <cell r="S50" t="str">
            <v/>
          </cell>
          <cell r="T50">
            <v>2.5114176488660989E-2</v>
          </cell>
          <cell r="U50">
            <v>4.3646006655868264E-2</v>
          </cell>
          <cell r="V50">
            <v>7.6213532312441767E-2</v>
          </cell>
          <cell r="W50" t="str">
            <v/>
          </cell>
          <cell r="X50">
            <v>7.2018164349907376E-4</v>
          </cell>
          <cell r="Y50">
            <v>1.7374215702635754E-3</v>
          </cell>
          <cell r="Z50">
            <v>4.806062434074998E-3</v>
          </cell>
          <cell r="AA50">
            <v>9.7931082246366374E-3</v>
          </cell>
          <cell r="AB50" t="str">
            <v/>
          </cell>
          <cell r="AC50">
            <v>2.634301941017192E-2</v>
          </cell>
          <cell r="AD50">
            <v>4.5775805220933607E-2</v>
          </cell>
          <cell r="AE50">
            <v>7.9881565756046213E-2</v>
          </cell>
        </row>
        <row r="51">
          <cell r="D51" t="str">
            <v>EUR</v>
          </cell>
          <cell r="N51" t="str">
            <v/>
          </cell>
          <cell r="O51">
            <v>1.091589126235637E-3</v>
          </cell>
          <cell r="P51">
            <v>4.2001698315580205E-3</v>
          </cell>
          <cell r="Q51">
            <v>1.3068870024125601E-2</v>
          </cell>
          <cell r="R51">
            <v>2.7763502399817952E-2</v>
          </cell>
          <cell r="S51" t="str">
            <v/>
          </cell>
          <cell r="T51">
            <v>6.8016892681860397E-2</v>
          </cell>
          <cell r="U51">
            <v>0.11274648055444325</v>
          </cell>
          <cell r="V51">
            <v>0.18360889151904602</v>
          </cell>
          <cell r="W51" t="str">
            <v/>
          </cell>
          <cell r="X51">
            <v>1.1748280254821886E-3</v>
          </cell>
          <cell r="Y51">
            <v>4.3993098829216981E-3</v>
          </cell>
          <cell r="Z51">
            <v>1.3718142650883225E-2</v>
          </cell>
          <cell r="AA51">
            <v>2.9135686797522653E-2</v>
          </cell>
          <cell r="AB51" t="str">
            <v/>
          </cell>
          <cell r="AC51">
            <v>7.1311842645118362E-2</v>
          </cell>
          <cell r="AD51">
            <v>0.11812911269853743</v>
          </cell>
          <cell r="AE51">
            <v>0.1920711868703221</v>
          </cell>
        </row>
        <row r="52">
          <cell r="D52" t="str">
            <v>EUR</v>
          </cell>
          <cell r="N52" t="str">
            <v/>
          </cell>
          <cell r="O52">
            <v>5.4594323121426314E-4</v>
          </cell>
          <cell r="P52">
            <v>1.2208758015412879E-3</v>
          </cell>
          <cell r="Q52">
            <v>4.1396751096509643E-3</v>
          </cell>
          <cell r="R52">
            <v>9.3288988610895629E-3</v>
          </cell>
          <cell r="S52" t="str">
            <v/>
          </cell>
          <cell r="T52">
            <v>2.4253086792053069E-2</v>
          </cell>
          <cell r="U52">
            <v>4.2474741666260529E-2</v>
          </cell>
          <cell r="V52">
            <v>7.6521608597956869E-2</v>
          </cell>
          <cell r="W52" t="str">
            <v/>
          </cell>
          <cell r="X52">
            <v>6.2922759904748826E-4</v>
          </cell>
          <cell r="Y52">
            <v>1.3873251177468626E-3</v>
          </cell>
          <cell r="Z52">
            <v>4.471573231844661E-3</v>
          </cell>
          <cell r="AA52">
            <v>9.8241105984022692E-3</v>
          </cell>
          <cell r="AB52" t="str">
            <v/>
          </cell>
          <cell r="AC52">
            <v>2.5438335363284215E-2</v>
          </cell>
          <cell r="AD52">
            <v>4.4546570276533193E-2</v>
          </cell>
          <cell r="AE52">
            <v>8.0203523225932272E-2</v>
          </cell>
        </row>
        <row r="53">
          <cell r="D53" t="str">
            <v>EUR</v>
          </cell>
          <cell r="N53" t="str">
            <v/>
          </cell>
          <cell r="O53">
            <v>6.3690485549472431E-4</v>
          </cell>
          <cell r="P53">
            <v>1.3948581478229194E-3</v>
          </cell>
          <cell r="Q53">
            <v>3.7822495418606827E-3</v>
          </cell>
          <cell r="R53">
            <v>8.8060186156978526E-3</v>
          </cell>
          <cell r="S53" t="str">
            <v/>
          </cell>
          <cell r="T53">
            <v>2.430013823796684E-2</v>
          </cell>
          <cell r="U53">
            <v>4.3819616029275199E-2</v>
          </cell>
          <cell r="V53">
            <v>7.830462618312195E-2</v>
          </cell>
          <cell r="W53" t="str">
            <v/>
          </cell>
          <cell r="X53">
            <v>7.2018164349907376E-4</v>
          </cell>
          <cell r="Y53">
            <v>1.5612784693798121E-3</v>
          </cell>
          <cell r="Z53">
            <v>4.1142667860674109E-3</v>
          </cell>
          <cell r="AA53">
            <v>9.3014917277863818E-3</v>
          </cell>
          <cell r="AB53" t="str">
            <v/>
          </cell>
          <cell r="AC53">
            <v>2.5485439191089809E-2</v>
          </cell>
          <cell r="AD53">
            <v>4.5954611780388732E-2</v>
          </cell>
          <cell r="AE53">
            <v>8.2068216850219144E-2</v>
          </cell>
        </row>
        <row r="54">
          <cell r="D54" t="str">
            <v>EUR</v>
          </cell>
          <cell r="N54" t="str">
            <v/>
          </cell>
          <cell r="O54">
            <v>3.6399520350638426E-4</v>
          </cell>
          <cell r="P54">
            <v>1.049060286898551E-3</v>
          </cell>
          <cell r="Q54">
            <v>3.4518609824072399E-3</v>
          </cell>
          <cell r="R54">
            <v>7.2484136290769108E-3</v>
          </cell>
          <cell r="S54" t="str">
            <v/>
          </cell>
          <cell r="T54">
            <v>1.818919910151906E-2</v>
          </cell>
          <cell r="U54">
            <v>2.9003784463356164E-2</v>
          </cell>
          <cell r="V54">
            <v>5.0396665974648425E-2</v>
          </cell>
          <cell r="W54" t="str">
            <v/>
          </cell>
          <cell r="X54">
            <v>4.4729473304006007E-4</v>
          </cell>
          <cell r="Y54">
            <v>1.2155382366452194E-3</v>
          </cell>
          <cell r="Z54">
            <v>3.7839883377916994E-3</v>
          </cell>
          <cell r="AA54">
            <v>7.7446653490090833E-3</v>
          </cell>
          <cell r="AB54" t="str">
            <v/>
          </cell>
          <cell r="AC54">
            <v>1.9047907812442699E-2</v>
          </cell>
          <cell r="AD54">
            <v>3.0413606826250938E-2</v>
          </cell>
          <cell r="AE54">
            <v>5.2836538853544446E-2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1.9255681029851646E-3</v>
          </cell>
          <cell r="Q55">
            <v>6.2083384455808854E-3</v>
          </cell>
          <cell r="R55">
            <v>1.2915495504465024E-2</v>
          </cell>
          <cell r="S55" t="str">
            <v/>
          </cell>
          <cell r="T55">
            <v>2.9200488811569114E-2</v>
          </cell>
          <cell r="U55">
            <v>5.0563243889938492E-2</v>
          </cell>
          <cell r="V55">
            <v>8.573277785548572E-2</v>
          </cell>
          <cell r="W55" t="str">
            <v/>
          </cell>
          <cell r="X55">
            <v>6.2922759904748826E-4</v>
          </cell>
          <cell r="Y55">
            <v>2.0918999802571614E-3</v>
          </cell>
          <cell r="Z55">
            <v>6.5395471282390094E-3</v>
          </cell>
          <cell r="AA55">
            <v>1.3552649121470695E-2</v>
          </cell>
          <cell r="AB55" t="str">
            <v/>
          </cell>
          <cell r="AC55">
            <v>3.0635872746199277E-2</v>
          </cell>
          <cell r="AD55">
            <v>5.3031418239175676E-2</v>
          </cell>
          <cell r="AE55">
            <v>8.9846138559902311E-2</v>
          </cell>
        </row>
        <row r="56">
          <cell r="D56" t="str">
            <v>EUR</v>
          </cell>
          <cell r="N56" t="str">
            <v/>
          </cell>
          <cell r="O56">
            <v>5.4594323121426314E-4</v>
          </cell>
          <cell r="P56">
            <v>2.4539338382131293E-3</v>
          </cell>
          <cell r="Q56">
            <v>7.2352121625699484E-3</v>
          </cell>
          <cell r="R56">
            <v>1.390484410560977E-2</v>
          </cell>
          <cell r="S56" t="str">
            <v/>
          </cell>
          <cell r="T56">
            <v>3.082919296450648E-2</v>
          </cell>
          <cell r="U56">
            <v>5.2801218963714702E-2</v>
          </cell>
          <cell r="V56">
            <v>8.8827471414386849E-2</v>
          </cell>
          <cell r="W56" t="str">
            <v/>
          </cell>
          <cell r="X56">
            <v>6.2922759904748826E-4</v>
          </cell>
          <cell r="Y56">
            <v>2.6201776618682837E-3</v>
          </cell>
          <cell r="Z56">
            <v>7.5826190385611669E-3</v>
          </cell>
          <cell r="AA56">
            <v>1.4593421326407063E-2</v>
          </cell>
          <cell r="AB56" t="str">
            <v/>
          </cell>
          <cell r="AC56">
            <v>3.2346110119797933E-2</v>
          </cell>
          <cell r="AD56">
            <v>5.5378194218872467E-2</v>
          </cell>
          <cell r="AE56">
            <v>9.3084071555003867E-2</v>
          </cell>
        </row>
        <row r="57">
          <cell r="D57" t="str">
            <v>EUR</v>
          </cell>
          <cell r="N57" t="str">
            <v/>
          </cell>
          <cell r="O57">
            <v>4.5497334759936336E-4</v>
          </cell>
          <cell r="P57">
            <v>1.3992836384263407E-3</v>
          </cell>
          <cell r="Q57">
            <v>4.8338786310909709E-3</v>
          </cell>
          <cell r="R57">
            <v>1.1413695955712733E-2</v>
          </cell>
          <cell r="S57" t="str">
            <v/>
          </cell>
          <cell r="T57">
            <v>3.0300515873449063E-2</v>
          </cell>
          <cell r="U57">
            <v>5.1971616231201723E-2</v>
          </cell>
          <cell r="V57">
            <v>9.13775850537627E-2</v>
          </cell>
          <cell r="W57" t="str">
            <v/>
          </cell>
          <cell r="X57">
            <v>5.3826529594969141E-4</v>
          </cell>
          <cell r="Y57">
            <v>1.5657032224634104E-3</v>
          </cell>
          <cell r="Z57">
            <v>5.1655453906920279E-3</v>
          </cell>
          <cell r="AA57">
            <v>1.1957268926647835E-2</v>
          </cell>
          <cell r="AB57" t="str">
            <v/>
          </cell>
          <cell r="AC57">
            <v>3.1787008413523887E-2</v>
          </cell>
          <cell r="AD57">
            <v>5.4505617864190392E-2</v>
          </cell>
          <cell r="AE57">
            <v>9.5750677601859735E-2</v>
          </cell>
        </row>
        <row r="58">
          <cell r="D58" t="str">
            <v>EUR</v>
          </cell>
          <cell r="N58" t="str">
            <v/>
          </cell>
          <cell r="O58">
            <v>1.091589126235637E-3</v>
          </cell>
          <cell r="P58">
            <v>2.9684668899444544E-3</v>
          </cell>
          <cell r="Q58">
            <v>9.639264859510388E-3</v>
          </cell>
          <cell r="R58">
            <v>1.7980368078696074E-2</v>
          </cell>
          <cell r="S58" t="str">
            <v/>
          </cell>
          <cell r="T58">
            <v>3.8332173058903574E-2</v>
          </cell>
          <cell r="U58">
            <v>6.1735106566651488E-2</v>
          </cell>
          <cell r="V58">
            <v>0.10487890499540853</v>
          </cell>
          <cell r="W58" t="str">
            <v/>
          </cell>
          <cell r="X58">
            <v>1.1748280254821886E-3</v>
          </cell>
          <cell r="Y58">
            <v>3.1346249652464131E-3</v>
          </cell>
          <cell r="Z58">
            <v>1.0101325380074133E-2</v>
          </cell>
          <cell r="AA58">
            <v>1.8871846988310681E-2</v>
          </cell>
          <cell r="AB58" t="str">
            <v/>
          </cell>
          <cell r="AC58">
            <v>4.021360636905269E-2</v>
          </cell>
          <cell r="AD58">
            <v>6.4735240209967682E-2</v>
          </cell>
          <cell r="AE58">
            <v>0.10989174721493034</v>
          </cell>
        </row>
        <row r="59">
          <cell r="D59" t="str">
            <v>EUR</v>
          </cell>
          <cell r="N59" t="str">
            <v/>
          </cell>
          <cell r="O59">
            <v>7.2785822158416558E-4</v>
          </cell>
          <cell r="P59">
            <v>2.2733221545981896E-3</v>
          </cell>
          <cell r="Q59">
            <v>7.9336151113674758E-3</v>
          </cell>
          <cell r="R59">
            <v>1.4930837204146341E-2</v>
          </cell>
          <cell r="S59" t="str">
            <v/>
          </cell>
          <cell r="T59">
            <v>3.2493565565214988E-2</v>
          </cell>
          <cell r="U59">
            <v>5.3785072093279429E-2</v>
          </cell>
          <cell r="V59">
            <v>9.400978733948262E-2</v>
          </cell>
          <cell r="W59" t="str">
            <v/>
          </cell>
          <cell r="X59">
            <v>8.1112743046984903E-4</v>
          </cell>
          <cell r="Y59">
            <v>2.4395960776882886E-3</v>
          </cell>
          <cell r="Z59">
            <v>8.3138343455818609E-3</v>
          </cell>
          <cell r="AA59">
            <v>1.5670094314722882E-2</v>
          </cell>
          <cell r="AB59" t="str">
            <v/>
          </cell>
          <cell r="AC59">
            <v>3.4091122963668896E-2</v>
          </cell>
          <cell r="AD59">
            <v>5.6407790087924625E-2</v>
          </cell>
          <cell r="AE59">
            <v>9.8528367103767778E-2</v>
          </cell>
        </row>
        <row r="60">
          <cell r="D60" t="str">
            <v>EUR</v>
          </cell>
          <cell r="N60" t="str">
            <v/>
          </cell>
          <cell r="O60">
            <v>5.4594323121426314E-4</v>
          </cell>
          <cell r="P60">
            <v>1.5732511946792149E-3</v>
          </cell>
          <cell r="Q60">
            <v>4.4765243018008993E-3</v>
          </cell>
          <cell r="R60">
            <v>8.7695701861891795E-3</v>
          </cell>
          <cell r="S60" t="str">
            <v/>
          </cell>
          <cell r="T60">
            <v>1.8897620666418646E-2</v>
          </cell>
          <cell r="U60">
            <v>3.1333570999939941E-2</v>
          </cell>
          <cell r="V60">
            <v>5.557937210502184E-2</v>
          </cell>
          <cell r="W60" t="str">
            <v/>
          </cell>
          <cell r="X60">
            <v>6.2922759904748826E-4</v>
          </cell>
          <cell r="Y60">
            <v>1.7396417865397362E-3</v>
          </cell>
          <cell r="Z60">
            <v>4.8083101596323452E-3</v>
          </cell>
          <cell r="AA60">
            <v>9.2650615179205031E-3</v>
          </cell>
          <cell r="AB60" t="str">
            <v/>
          </cell>
          <cell r="AC60">
            <v>1.9819398729613691E-2</v>
          </cell>
          <cell r="AD60">
            <v>3.2863730245054956E-2</v>
          </cell>
          <cell r="AE60">
            <v>5.8273162104088172E-2</v>
          </cell>
        </row>
        <row r="61">
          <cell r="D61" t="str">
            <v>EUR</v>
          </cell>
          <cell r="N61" t="str">
            <v/>
          </cell>
          <cell r="O61">
            <v>7.2785822158416558E-4</v>
          </cell>
          <cell r="P61">
            <v>1.9210954044108774E-3</v>
          </cell>
          <cell r="Q61">
            <v>5.5063578023649695E-3</v>
          </cell>
          <cell r="R61">
            <v>9.2342335366527584E-3</v>
          </cell>
          <cell r="S61" t="str">
            <v/>
          </cell>
          <cell r="T61">
            <v>2.0581768758713315E-2</v>
          </cell>
          <cell r="U61">
            <v>3.3650610908335432E-2</v>
          </cell>
          <cell r="V61">
            <v>6.0735416676911291E-2</v>
          </cell>
          <cell r="W61" t="str">
            <v/>
          </cell>
          <cell r="X61">
            <v>8.1112743046984903E-4</v>
          </cell>
          <cell r="Y61">
            <v>2.0874280270694046E-3</v>
          </cell>
          <cell r="Z61">
            <v>5.8378004395733818E-3</v>
          </cell>
          <cell r="AA61">
            <v>9.7294925947858379E-3</v>
          </cell>
          <cell r="AB61" t="str">
            <v/>
          </cell>
          <cell r="AC61">
            <v>2.1591233130506593E-2</v>
          </cell>
          <cell r="AD61">
            <v>3.5298248323500592E-2</v>
          </cell>
          <cell r="AE61">
            <v>6.3678380588906847E-2</v>
          </cell>
        </row>
        <row r="62">
          <cell r="D62" t="str">
            <v>EUR</v>
          </cell>
          <cell r="N62" t="str">
            <v/>
          </cell>
          <cell r="O62">
            <v>4.5497334759936336E-4</v>
          </cell>
          <cell r="P62">
            <v>1.0468631450375465E-3</v>
          </cell>
          <cell r="Q62">
            <v>4.1480051453959277E-3</v>
          </cell>
          <cell r="R62">
            <v>8.8066616088201544E-3</v>
          </cell>
          <cell r="S62" t="str">
            <v/>
          </cell>
          <cell r="T62">
            <v>2.3407259258605095E-2</v>
          </cell>
          <cell r="U62">
            <v>4.0019686370160512E-2</v>
          </cell>
          <cell r="V62">
            <v>6.9344711569797934E-2</v>
          </cell>
          <cell r="W62" t="str">
            <v/>
          </cell>
          <cell r="X62">
            <v>5.3826529594969141E-4</v>
          </cell>
          <cell r="Y62">
            <v>1.2133414609432069E-3</v>
          </cell>
          <cell r="Z62">
            <v>4.4799004913916862E-3</v>
          </cell>
          <cell r="AA62">
            <v>9.3021343994812433E-3</v>
          </cell>
          <cell r="AB62" t="str">
            <v/>
          </cell>
          <cell r="AC62">
            <v>2.4548779384484631E-2</v>
          </cell>
          <cell r="AD62">
            <v>4.1970416001016697E-2</v>
          </cell>
          <cell r="AE62">
            <v>7.2687382407809142E-2</v>
          </cell>
        </row>
        <row r="63">
          <cell r="D63" t="str">
            <v>EUR</v>
          </cell>
          <cell r="N63" t="str">
            <v/>
          </cell>
          <cell r="O63">
            <v>9.0974018358735975E-4</v>
          </cell>
          <cell r="P63">
            <v>2.0927282198391906E-3</v>
          </cell>
          <cell r="Q63">
            <v>5.1468903608948846E-3</v>
          </cell>
          <cell r="R63">
            <v>1.1360432066579995E-2</v>
          </cell>
          <cell r="S63" t="str">
            <v/>
          </cell>
          <cell r="T63">
            <v>2.5789918585153226E-2</v>
          </cell>
          <cell r="U63">
            <v>4.3334101110806933E-2</v>
          </cell>
          <cell r="V63">
            <v>7.9728837003111841E-2</v>
          </cell>
          <cell r="W63" t="str">
            <v/>
          </cell>
          <cell r="X63">
            <v>9.9299423627774441E-4</v>
          </cell>
          <cell r="Y63">
            <v>2.2590322394089313E-3</v>
          </cell>
          <cell r="Z63">
            <v>5.4784528006507349E-3</v>
          </cell>
          <cell r="AA63">
            <v>1.1904034324636936E-2</v>
          </cell>
          <cell r="AB63" t="str">
            <v/>
          </cell>
          <cell r="AC63">
            <v>2.7058408924371946E-2</v>
          </cell>
          <cell r="AD63">
            <v>4.5454292558026799E-2</v>
          </cell>
          <cell r="AE63">
            <v>8.3566198709026818E-2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7.787933144613457E-3</v>
          </cell>
          <cell r="S64" t="str">
            <v/>
          </cell>
          <cell r="T64">
            <v>1.9950789385299261E-2</v>
          </cell>
          <cell r="U64">
            <v>3.53093489898475E-2</v>
          </cell>
          <cell r="V64">
            <v>5.8986005842569411E-2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8.2839151722193805E-3</v>
          </cell>
          <cell r="AB64" t="str">
            <v/>
          </cell>
          <cell r="AC64">
            <v>2.0916918588414601E-2</v>
          </cell>
          <cell r="AD64">
            <v>3.7026248151619368E-2</v>
          </cell>
          <cell r="AE64">
            <v>6.1834621281873225E-2</v>
          </cell>
        </row>
        <row r="65">
          <cell r="D65" t="str">
            <v>EUR</v>
          </cell>
          <cell r="N65" t="str">
            <v/>
          </cell>
          <cell r="O65">
            <v>2.7300879781333443E-4</v>
          </cell>
          <cell r="P65">
            <v>8.7500955172725714E-4</v>
          </cell>
          <cell r="Q65">
            <v>3.4601332404350371E-3</v>
          </cell>
          <cell r="R65">
            <v>6.725555080222434E-3</v>
          </cell>
          <cell r="S65" t="str">
            <v/>
          </cell>
          <cell r="T65">
            <v>1.7339559318780173E-2</v>
          </cell>
          <cell r="U65">
            <v>2.9140602970117779E-2</v>
          </cell>
          <cell r="V65">
            <v>5.0533927407309553E-2</v>
          </cell>
          <cell r="W65" t="str">
            <v/>
          </cell>
          <cell r="X65">
            <v>3.5631590924090073E-4</v>
          </cell>
          <cell r="Y65">
            <v>1.0415165074959543E-3</v>
          </cell>
          <cell r="Z65">
            <v>3.7922578388287498E-3</v>
          </cell>
          <cell r="AA65">
            <v>7.2220681640683404E-3</v>
          </cell>
          <cell r="AB65" t="str">
            <v/>
          </cell>
          <cell r="AC65">
            <v>1.8158101912592928E-2</v>
          </cell>
          <cell r="AD65">
            <v>3.0554806770112908E-2</v>
          </cell>
          <cell r="AE65">
            <v>5.2978428138551026E-2</v>
          </cell>
        </row>
        <row r="66">
          <cell r="D66" t="str">
            <v>EUR</v>
          </cell>
          <cell r="N66" t="str">
            <v/>
          </cell>
          <cell r="O66">
            <v>1.820141294202049E-4</v>
          </cell>
          <cell r="P66">
            <v>8.771990960207976E-4</v>
          </cell>
          <cell r="Q66">
            <v>3.8116198631693576E-3</v>
          </cell>
          <cell r="R66">
            <v>7.2429375975269217E-3</v>
          </cell>
          <cell r="S66" t="str">
            <v/>
          </cell>
          <cell r="T66">
            <v>1.8183613296618106E-2</v>
          </cell>
          <cell r="U66">
            <v>3.0302758921314177E-2</v>
          </cell>
          <cell r="V66">
            <v>5.2155428470148757E-2</v>
          </cell>
          <cell r="W66" t="str">
            <v/>
          </cell>
          <cell r="X66">
            <v>2.6532882340812858E-4</v>
          </cell>
          <cell r="Y66">
            <v>1.0437056869131434E-3</v>
          </cell>
          <cell r="Z66">
            <v>4.1436273189109363E-3</v>
          </cell>
          <cell r="AA66">
            <v>7.73919205476159E-3</v>
          </cell>
          <cell r="AB66" t="str">
            <v/>
          </cell>
          <cell r="AC66">
            <v>1.9042326893026651E-2</v>
          </cell>
          <cell r="AD66">
            <v>3.1776415762290844E-2</v>
          </cell>
          <cell r="AE66">
            <v>5.4679844950740408E-2</v>
          </cell>
        </row>
        <row r="67">
          <cell r="D67" t="str">
            <v>EUR</v>
          </cell>
          <cell r="N67" t="str">
            <v/>
          </cell>
          <cell r="O67">
            <v>7.8242627775704232E-4</v>
          </cell>
          <cell r="P67">
            <v>2.2719709708909352E-3</v>
          </cell>
          <cell r="Q67">
            <v>6.8173408130354218E-3</v>
          </cell>
          <cell r="R67">
            <v>1.2390122317736063E-2</v>
          </cell>
          <cell r="S67" t="str">
            <v/>
          </cell>
          <cell r="T67">
            <v>2.6514724999349371E-2</v>
          </cell>
          <cell r="U67">
            <v>4.2296304451328148E-2</v>
          </cell>
          <cell r="V67">
            <v>6.8078235575103507E-2</v>
          </cell>
          <cell r="W67" t="str">
            <v/>
          </cell>
          <cell r="X67">
            <v>8.6569093948418718E-4</v>
          </cell>
          <cell r="Y67">
            <v>2.4382451191656829E-3</v>
          </cell>
          <cell r="Z67">
            <v>7.1483465287274228E-3</v>
          </cell>
          <cell r="AA67">
            <v>1.2984978050737284E-2</v>
          </cell>
          <cell r="AB67" t="str">
            <v/>
          </cell>
          <cell r="AC67">
            <v>2.7822512504040442E-2</v>
          </cell>
          <cell r="AD67">
            <v>4.4369281250891013E-2</v>
          </cell>
          <cell r="AE67">
            <v>7.1370178577984222E-2</v>
          </cell>
        </row>
        <row r="68">
          <cell r="D68" t="str">
            <v>EUR</v>
          </cell>
          <cell r="N68" t="str">
            <v/>
          </cell>
          <cell r="O68">
            <v>9.0974018358735975E-4</v>
          </cell>
          <cell r="P68">
            <v>3.1490504485182091E-3</v>
          </cell>
          <cell r="Q68">
            <v>8.5936040204396269E-3</v>
          </cell>
          <cell r="R68">
            <v>1.9086543818467749E-2</v>
          </cell>
          <cell r="S68" t="str">
            <v/>
          </cell>
          <cell r="T68">
            <v>4.713463040638588E-2</v>
          </cell>
          <cell r="U68">
            <v>8.2410936273714763E-2</v>
          </cell>
          <cell r="V68">
            <v>0.13977440893517779</v>
          </cell>
          <cell r="W68" t="str">
            <v/>
          </cell>
          <cell r="X68">
            <v>9.9299423627774441E-4</v>
          </cell>
          <cell r="Y68">
            <v>3.3151784290570419E-3</v>
          </cell>
          <cell r="Z68">
            <v>9.0066039711234058E-3</v>
          </cell>
          <cell r="AA68">
            <v>2.0032851202350765E-2</v>
          </cell>
          <cell r="AB68" t="str">
            <v/>
          </cell>
          <cell r="AC68">
            <v>4.9440954646172264E-2</v>
          </cell>
          <cell r="AD68">
            <v>8.6387413233379062E-2</v>
          </cell>
          <cell r="AE68">
            <v>0.14636887138789334</v>
          </cell>
        </row>
        <row r="69">
          <cell r="D69" t="str">
            <v>EUR</v>
          </cell>
          <cell r="N69" t="str">
            <v/>
          </cell>
          <cell r="O69">
            <v>1.5460670821495492E-3</v>
          </cell>
          <cell r="P69">
            <v>3.6608135448706891E-3</v>
          </cell>
          <cell r="Q69">
            <v>9.9494895916775183E-3</v>
          </cell>
          <cell r="R69">
            <v>2.2671330235220832E-2</v>
          </cell>
          <cell r="S69" t="str">
            <v/>
          </cell>
          <cell r="T69">
            <v>5.1127611209701218E-2</v>
          </cell>
          <cell r="U69">
            <v>8.9094048405005011E-2</v>
          </cell>
          <cell r="V69">
            <v>0.15424030285963597</v>
          </cell>
          <cell r="W69" t="str">
            <v/>
          </cell>
          <cell r="X69">
            <v>1.6292681098082351E-3</v>
          </cell>
          <cell r="Y69">
            <v>3.8351576469478621E-3</v>
          </cell>
          <cell r="Z69">
            <v>1.0427898380283018E-2</v>
          </cell>
          <cell r="AA69">
            <v>2.3795558275221063E-2</v>
          </cell>
          <cell r="AB69" t="str">
            <v/>
          </cell>
          <cell r="AC69">
            <v>5.3625281410297654E-2</v>
          </cell>
          <cell r="AD69">
            <v>9.3378589051343663E-2</v>
          </cell>
          <cell r="AE69">
            <v>0.16147528478373419</v>
          </cell>
        </row>
        <row r="70">
          <cell r="D70" t="str">
            <v>EUR</v>
          </cell>
          <cell r="N70" t="str">
            <v/>
          </cell>
          <cell r="O70">
            <v>3.6399520350638426E-4</v>
          </cell>
          <cell r="P70">
            <v>1.5776928696848991E-3</v>
          </cell>
          <cell r="Q70">
            <v>5.1789274143090314E-3</v>
          </cell>
          <cell r="R70">
            <v>1.1393162836942361E-2</v>
          </cell>
          <cell r="S70" t="str">
            <v/>
          </cell>
          <cell r="T70">
            <v>3.0279236395014841E-2</v>
          </cell>
          <cell r="U70">
            <v>5.4531517711678967E-2</v>
          </cell>
          <cell r="V70">
            <v>9.6657308062521041E-2</v>
          </cell>
          <cell r="W70" t="str">
            <v/>
          </cell>
          <cell r="X70">
            <v>4.4729473304006007E-4</v>
          </cell>
          <cell r="Y70">
            <v>1.7440827213339727E-3</v>
          </cell>
          <cell r="Z70">
            <v>5.5104791767930372E-3</v>
          </cell>
          <cell r="AA70">
            <v>1.1936747098001743E-2</v>
          </cell>
          <cell r="AB70" t="str">
            <v/>
          </cell>
          <cell r="AC70">
            <v>3.1765613676495219E-2</v>
          </cell>
          <cell r="AD70">
            <v>5.7189744163863354E-2</v>
          </cell>
          <cell r="AE70">
            <v>0.10130319354670014</v>
          </cell>
        </row>
        <row r="71">
          <cell r="D71" t="str">
            <v>EUR</v>
          </cell>
          <cell r="N71" t="str">
            <v/>
          </cell>
          <cell r="O71">
            <v>1.0461299856532325E-3</v>
          </cell>
          <cell r="P71">
            <v>2.5119262536406062E-3</v>
          </cell>
          <cell r="Q71">
            <v>6.9064452125766618E-3</v>
          </cell>
          <cell r="R71">
            <v>1.2104800199357779E-2</v>
          </cell>
          <cell r="S71" t="str">
            <v/>
          </cell>
          <cell r="T71">
            <v>2.562235794911305E-2</v>
          </cell>
          <cell r="U71">
            <v>4.0963013988627117E-2</v>
          </cell>
          <cell r="V71">
            <v>6.6446447981879708E-2</v>
          </cell>
          <cell r="W71" t="str">
            <v/>
          </cell>
          <cell r="X71">
            <v>1.1293726729973974E-3</v>
          </cell>
          <cell r="Y71">
            <v>2.6781604127020797E-3</v>
          </cell>
          <cell r="Z71">
            <v>7.2390758346858597E-3</v>
          </cell>
          <cell r="AA71">
            <v>1.2687486457871211E-2</v>
          </cell>
          <cell r="AB71" t="str">
            <v/>
          </cell>
          <cell r="AC71">
            <v>2.6887283305251475E-2</v>
          </cell>
          <cell r="AD71">
            <v>4.2972458532456015E-2</v>
          </cell>
          <cell r="AE71">
            <v>6.9662945149016164E-2</v>
          </cell>
        </row>
        <row r="72">
          <cell r="D72" t="str">
            <v>EUR</v>
          </cell>
          <cell r="N72" t="str">
            <v/>
          </cell>
          <cell r="O72">
            <v>6.3690485549472431E-4</v>
          </cell>
          <cell r="P72">
            <v>2.0994602738400037E-3</v>
          </cell>
          <cell r="Q72">
            <v>8.29057853893167E-3</v>
          </cell>
          <cell r="R72">
            <v>1.6508878449327913E-2</v>
          </cell>
          <cell r="S72" t="str">
            <v/>
          </cell>
          <cell r="T72">
            <v>4.0342172031943568E-2</v>
          </cell>
          <cell r="U72">
            <v>6.6904999612623528E-2</v>
          </cell>
          <cell r="V72">
            <v>0.12105373466674663</v>
          </cell>
          <cell r="W72" t="str">
            <v/>
          </cell>
          <cell r="X72">
            <v>7.2018164349907376E-4</v>
          </cell>
          <cell r="Y72">
            <v>2.2657631715060633E-3</v>
          </cell>
          <cell r="Z72">
            <v>8.6871829813273127E-3</v>
          </cell>
          <cell r="AA72">
            <v>1.7325792201715373E-2</v>
          </cell>
          <cell r="AB72" t="str">
            <v/>
          </cell>
          <cell r="AC72">
            <v>4.2319708266551181E-2</v>
          </cell>
          <cell r="AD72">
            <v>7.0150894735711122E-2</v>
          </cell>
          <cell r="AE72">
            <v>0.12681605304300803</v>
          </cell>
        </row>
        <row r="73">
          <cell r="D73" t="str">
            <v>EUR</v>
          </cell>
          <cell r="N73" t="str">
            <v/>
          </cell>
          <cell r="O73">
            <v>3.6399520350638426E-4</v>
          </cell>
          <cell r="P73">
            <v>1.049060286898551E-3</v>
          </cell>
          <cell r="Q73">
            <v>3.8010831333065154E-3</v>
          </cell>
          <cell r="R73">
            <v>7.2323104235898494E-3</v>
          </cell>
          <cell r="S73" t="str">
            <v/>
          </cell>
          <cell r="T73">
            <v>2.0859194367127021E-2</v>
          </cell>
          <cell r="U73">
            <v>3.9134327449110162E-2</v>
          </cell>
          <cell r="V73">
            <v>7.186498170609279E-2</v>
          </cell>
          <cell r="W73" t="str">
            <v/>
          </cell>
          <cell r="X73">
            <v>4.4729473304006007E-4</v>
          </cell>
          <cell r="Y73">
            <v>1.2155382366452194E-3</v>
          </cell>
          <cell r="Z73">
            <v>4.1330941006814115E-3</v>
          </cell>
          <cell r="AA73">
            <v>7.7285701930812634E-3</v>
          </cell>
          <cell r="AB73" t="str">
            <v/>
          </cell>
          <cell r="AC73">
            <v>2.1869210805171124E-2</v>
          </cell>
          <cell r="AD73">
            <v>4.1036690995483904E-2</v>
          </cell>
          <cell r="AE73">
            <v>7.5322965556477661E-2</v>
          </cell>
        </row>
        <row r="74">
          <cell r="D74" t="str">
            <v>EUR</v>
          </cell>
          <cell r="N74" t="str">
            <v/>
          </cell>
          <cell r="O74">
            <v>5.4594323121426314E-4</v>
          </cell>
          <cell r="P74">
            <v>1.9255681029851646E-3</v>
          </cell>
          <cell r="Q74">
            <v>6.9055445682626448E-3</v>
          </cell>
          <cell r="R74">
            <v>1.3411486810679274E-2</v>
          </cell>
          <cell r="S74" t="str">
            <v/>
          </cell>
          <cell r="T74">
            <v>2.9126659298966628E-2</v>
          </cell>
          <cell r="U74">
            <v>4.9197218168044454E-2</v>
          </cell>
          <cell r="V74">
            <v>8.3935762048204188E-2</v>
          </cell>
          <cell r="W74" t="str">
            <v/>
          </cell>
          <cell r="X74">
            <v>6.2922759904748826E-4</v>
          </cell>
          <cell r="Y74">
            <v>2.0918999802571614E-3</v>
          </cell>
          <cell r="Z74">
            <v>7.2365208876083997E-3</v>
          </cell>
          <cell r="AA74">
            <v>1.4074778700198576E-2</v>
          </cell>
          <cell r="AB74" t="str">
            <v/>
          </cell>
          <cell r="AC74">
            <v>3.0559839347729767E-2</v>
          </cell>
          <cell r="AD74">
            <v>5.1600637064358135E-2</v>
          </cell>
          <cell r="AE74">
            <v>8.7966500852328267E-2</v>
          </cell>
        </row>
        <row r="75">
          <cell r="D75" t="str">
            <v>EUR</v>
          </cell>
          <cell r="N75" t="str">
            <v/>
          </cell>
          <cell r="O75">
            <v>1.820141294202049E-4</v>
          </cell>
          <cell r="P75">
            <v>5.2464325736389927E-4</v>
          </cell>
          <cell r="Q75">
            <v>2.0766572004125017E-3</v>
          </cell>
          <cell r="R75">
            <v>4.6772561677747015E-3</v>
          </cell>
          <cell r="S75" t="str">
            <v/>
          </cell>
          <cell r="T75">
            <v>1.1283949410554439E-2</v>
          </cell>
          <cell r="U75">
            <v>2.2149443140687897E-2</v>
          </cell>
          <cell r="V75">
            <v>4.4660071680580171E-2</v>
          </cell>
          <cell r="W75" t="str">
            <v/>
          </cell>
          <cell r="X75">
            <v>2.6532882340812858E-4</v>
          </cell>
          <cell r="Y75">
            <v>6.9120860266258521E-4</v>
          </cell>
          <cell r="Z75">
            <v>2.4092428806611332E-3</v>
          </cell>
          <cell r="AA75">
            <v>5.1747931450948359E-3</v>
          </cell>
          <cell r="AB75" t="str">
            <v/>
          </cell>
          <cell r="AC75">
            <v>1.2107536243861849E-2</v>
          </cell>
          <cell r="AD75">
            <v>2.3289603567435258E-2</v>
          </cell>
          <cell r="AE75">
            <v>4.6768928682261235E-2</v>
          </cell>
        </row>
        <row r="76">
          <cell r="D76" t="str">
            <v>EUR</v>
          </cell>
          <cell r="N76" t="str">
            <v/>
          </cell>
          <cell r="O76">
            <v>8.3699136160342302E-4</v>
          </cell>
          <cell r="P76">
            <v>2.4290942620034395E-3</v>
          </cell>
          <cell r="Q76">
            <v>7.1587706365939807E-3</v>
          </cell>
          <cell r="R76">
            <v>1.2789886515199411E-2</v>
          </cell>
          <cell r="S76" t="str">
            <v/>
          </cell>
          <cell r="T76">
            <v>2.5568271010102284E-2</v>
          </cell>
          <cell r="U76">
            <v>3.9872305823506538E-2</v>
          </cell>
          <cell r="V76">
            <v>6.2691854766758537E-2</v>
          </cell>
          <cell r="W76" t="str">
            <v/>
          </cell>
          <cell r="X76">
            <v>9.2025147644170247E-4</v>
          </cell>
          <cell r="Y76">
            <v>2.5953422252410485E-3</v>
          </cell>
          <cell r="Z76">
            <v>7.502895944260235E-3</v>
          </cell>
          <cell r="AA76">
            <v>1.3423536230496858E-2</v>
          </cell>
          <cell r="AB76" t="str">
            <v/>
          </cell>
          <cell r="AC76">
            <v>2.6828713877645183E-2</v>
          </cell>
          <cell r="AD76">
            <v>4.1826722305969288E-2</v>
          </cell>
          <cell r="AE76">
            <v>6.5728363936027212E-2</v>
          </cell>
        </row>
        <row r="77">
          <cell r="D77" t="str">
            <v>EUR</v>
          </cell>
          <cell r="N77" t="str">
            <v/>
          </cell>
          <cell r="O77">
            <v>2.1819898788055792E-3</v>
          </cell>
          <cell r="P77">
            <v>5.578147893211427E-3</v>
          </cell>
          <cell r="Q77">
            <v>1.6798990526525337E-2</v>
          </cell>
          <cell r="R77">
            <v>3.428933165952408E-2</v>
          </cell>
          <cell r="S77" t="str">
            <v/>
          </cell>
          <cell r="T77">
            <v>8.701196092974639E-2</v>
          </cell>
          <cell r="U77">
            <v>0.1427168712652146</v>
          </cell>
          <cell r="V77">
            <v>0.2277434455915669</v>
          </cell>
          <cell r="W77" t="str">
            <v/>
          </cell>
          <cell r="X77">
            <v>2.2909539277581326E-3</v>
          </cell>
          <cell r="Y77">
            <v>5.843291699695996E-3</v>
          </cell>
          <cell r="Z77">
            <v>1.7632976979662152E-2</v>
          </cell>
          <cell r="AA77">
            <v>3.5979757327312401E-2</v>
          </cell>
          <cell r="AB77" t="str">
            <v/>
          </cell>
          <cell r="AC77">
            <v>9.1218248372817001E-2</v>
          </cell>
          <cell r="AD77">
            <v>0.14943898054058014</v>
          </cell>
          <cell r="AE77">
            <v>0.23799821863066994</v>
          </cell>
        </row>
        <row r="78">
          <cell r="D78" t="str">
            <v>EUR</v>
          </cell>
          <cell r="N78" t="str">
            <v/>
          </cell>
          <cell r="O78">
            <v>5.4594323121426314E-4</v>
          </cell>
          <cell r="P78">
            <v>1.9255681029851646E-3</v>
          </cell>
          <cell r="Q78">
            <v>7.254060569530707E-3</v>
          </cell>
          <cell r="R78">
            <v>1.4453199477767686E-2</v>
          </cell>
          <cell r="S78" t="str">
            <v/>
          </cell>
          <cell r="T78">
            <v>3.436243648487558E-2</v>
          </cell>
          <cell r="U78">
            <v>5.7548334771735266E-2</v>
          </cell>
          <cell r="V78">
            <v>0.10469899063129007</v>
          </cell>
          <cell r="W78" t="str">
            <v/>
          </cell>
          <cell r="X78">
            <v>6.2922759904748826E-4</v>
          </cell>
          <cell r="Y78">
            <v>2.0918999802571614E-3</v>
          </cell>
          <cell r="Z78">
            <v>7.6014608497201319E-3</v>
          </cell>
          <cell r="AA78">
            <v>1.5168069467143441E-2</v>
          </cell>
          <cell r="AB78" t="str">
            <v/>
          </cell>
          <cell r="AC78">
            <v>3.605039110109054E-2</v>
          </cell>
          <cell r="AD78">
            <v>6.0350964126403173E-2</v>
          </cell>
          <cell r="AE78">
            <v>0.10971662942454874</v>
          </cell>
        </row>
        <row r="79">
          <cell r="D79" t="str">
            <v>EUR</v>
          </cell>
          <cell r="N79" t="str">
            <v/>
          </cell>
          <cell r="O79">
            <v>9.0974018358735975E-4</v>
          </cell>
          <cell r="P79">
            <v>2.4448940624895998E-3</v>
          </cell>
          <cell r="Q79">
            <v>7.5743377107447829E-3</v>
          </cell>
          <cell r="R79">
            <v>1.7051586809435415E-2</v>
          </cell>
          <cell r="S79" t="str">
            <v/>
          </cell>
          <cell r="T79">
            <v>4.3853077970212095E-2</v>
          </cell>
          <cell r="U79">
            <v>7.5427026809902875E-2</v>
          </cell>
          <cell r="V79">
            <v>0.12861205673693377</v>
          </cell>
          <cell r="W79" t="str">
            <v/>
          </cell>
          <cell r="X79">
            <v>9.9299423627774441E-4</v>
          </cell>
          <cell r="Y79">
            <v>2.6111393926411264E-3</v>
          </cell>
          <cell r="Z79">
            <v>7.938160415329909E-3</v>
          </cell>
          <cell r="AA79">
            <v>1.7896290573306106E-2</v>
          </cell>
          <cell r="AB79" t="str">
            <v/>
          </cell>
          <cell r="AC79">
            <v>4.6001124837710128E-2</v>
          </cell>
          <cell r="AD79">
            <v>7.907682648018588E-2</v>
          </cell>
          <cell r="AE79">
            <v>0.13470875264578097</v>
          </cell>
        </row>
        <row r="80">
          <cell r="D80" t="str">
            <v>EUR</v>
          </cell>
          <cell r="N80" t="str">
            <v/>
          </cell>
          <cell r="O80">
            <v>4.5497334759936336E-4</v>
          </cell>
          <cell r="P80">
            <v>8.7063095825812287E-4</v>
          </cell>
          <cell r="Q80">
            <v>3.4556797820997076E-3</v>
          </cell>
          <cell r="R80">
            <v>9.376265614280066E-3</v>
          </cell>
          <cell r="S80" t="str">
            <v/>
          </cell>
          <cell r="T80">
            <v>2.3408237842192481E-2</v>
          </cell>
          <cell r="U80">
            <v>4.2617308118326869E-2</v>
          </cell>
          <cell r="V80">
            <v>7.8582759132184932E-2</v>
          </cell>
          <cell r="W80" t="str">
            <v/>
          </cell>
          <cell r="X80">
            <v>5.3826529594969141E-4</v>
          </cell>
          <cell r="Y80">
            <v>1.0371386437357799E-3</v>
          </cell>
          <cell r="Z80">
            <v>3.7878058647371482E-3</v>
          </cell>
          <cell r="AA80">
            <v>9.8714536741485448E-3</v>
          </cell>
          <cell r="AB80" t="str">
            <v/>
          </cell>
          <cell r="AC80">
            <v>2.4549906581165959E-2</v>
          </cell>
          <cell r="AD80">
            <v>4.4694152425726053E-2</v>
          </cell>
          <cell r="AE80">
            <v>8.2360063031269748E-2</v>
          </cell>
        </row>
        <row r="81">
          <cell r="D81" t="str">
            <v>EUR</v>
          </cell>
          <cell r="N81" t="str">
            <v/>
          </cell>
          <cell r="O81">
            <v>9.0974018358735975E-4</v>
          </cell>
          <cell r="P81">
            <v>1.7405039246949361E-3</v>
          </cell>
          <cell r="Q81">
            <v>6.205408693567116E-3</v>
          </cell>
          <cell r="R81">
            <v>1.5030146356442398E-2</v>
          </cell>
          <cell r="S81" t="str">
            <v/>
          </cell>
          <cell r="T81">
            <v>3.7033293015781399E-2</v>
          </cell>
          <cell r="U81">
            <v>6.497368558177874E-2</v>
          </cell>
          <cell r="V81">
            <v>0.11832928029983047</v>
          </cell>
          <cell r="W81" t="str">
            <v/>
          </cell>
          <cell r="X81">
            <v>9.9299423627774441E-4</v>
          </cell>
          <cell r="Y81">
            <v>1.9068666434343129E-3</v>
          </cell>
          <cell r="Z81">
            <v>6.5366183526510691E-3</v>
          </cell>
          <cell r="AA81">
            <v>1.5772168824794819E-2</v>
          </cell>
          <cell r="AB81" t="str">
            <v/>
          </cell>
          <cell r="AC81">
            <v>3.8849566373336364E-2</v>
          </cell>
          <cell r="AD81">
            <v>6.8129049931901942E-2</v>
          </cell>
          <cell r="AE81">
            <v>0.12397270534238425</v>
          </cell>
        </row>
        <row r="82">
          <cell r="D82" t="str">
            <v>EUR</v>
          </cell>
          <cell r="N82" t="str">
            <v/>
          </cell>
          <cell r="O82">
            <v>3.6399520350638426E-4</v>
          </cell>
          <cell r="P82">
            <v>1.5776928696848991E-3</v>
          </cell>
          <cell r="Q82">
            <v>4.4810216560415839E-3</v>
          </cell>
          <cell r="R82">
            <v>9.3047296835042648E-3</v>
          </cell>
          <cell r="S82" t="str">
            <v/>
          </cell>
          <cell r="T82">
            <v>2.4228231729191863E-2</v>
          </cell>
          <cell r="U82">
            <v>4.244952888463227E-2</v>
          </cell>
          <cell r="V82">
            <v>7.4578300271456843E-2</v>
          </cell>
          <cell r="W82" t="str">
            <v/>
          </cell>
          <cell r="X82">
            <v>4.4729473304006007E-4</v>
          </cell>
          <cell r="Y82">
            <v>1.7440827213339727E-3</v>
          </cell>
          <cell r="Z82">
            <v>4.8128060150419705E-3</v>
          </cell>
          <cell r="AA82">
            <v>9.7999535023785E-3</v>
          </cell>
          <cell r="AB82" t="str">
            <v/>
          </cell>
          <cell r="AC82">
            <v>2.5413370722653927E-2</v>
          </cell>
          <cell r="AD82">
            <v>4.4521232185952719E-2</v>
          </cell>
          <cell r="AE82">
            <v>7.8169983013952615E-2</v>
          </cell>
        </row>
        <row r="83">
          <cell r="D83" t="str">
            <v>EUR</v>
          </cell>
          <cell r="N83" t="str">
            <v/>
          </cell>
          <cell r="O83">
            <v>5.4594323121426314E-4</v>
          </cell>
          <cell r="P83">
            <v>2.2778265410077214E-3</v>
          </cell>
          <cell r="Q83">
            <v>6.5444919874567686E-3</v>
          </cell>
          <cell r="R83">
            <v>1.2886083485589062E-2</v>
          </cell>
          <cell r="S83" t="str">
            <v/>
          </cell>
          <cell r="T83">
            <v>3.4505388110501412E-2</v>
          </cell>
          <cell r="U83">
            <v>6.1551122012739379E-2</v>
          </cell>
          <cell r="V83">
            <v>0.10616942060537249</v>
          </cell>
          <cell r="W83" t="str">
            <v/>
          </cell>
          <cell r="X83">
            <v>6.2922759904748826E-4</v>
          </cell>
          <cell r="Y83">
            <v>2.4440997134252962E-3</v>
          </cell>
          <cell r="Z83">
            <v>6.8755886376197228E-3</v>
          </cell>
          <cell r="AA83">
            <v>1.3523136903082933E-2</v>
          </cell>
          <cell r="AB83" t="str">
            <v/>
          </cell>
          <cell r="AC83">
            <v>3.62004699596572E-2</v>
          </cell>
          <cell r="AD83">
            <v>6.4546688902082816E-2</v>
          </cell>
          <cell r="AE83">
            <v>0.11125254195030643</v>
          </cell>
        </row>
        <row r="84">
          <cell r="D84" t="str">
            <v>EUR</v>
          </cell>
          <cell r="N84" t="str">
            <v/>
          </cell>
          <cell r="O84">
            <v>2.7300879781333443E-4</v>
          </cell>
          <cell r="P84">
            <v>1.5799139583937416E-3</v>
          </cell>
          <cell r="Q84">
            <v>5.181191906571736E-3</v>
          </cell>
          <cell r="R84">
            <v>1.1395476326936604E-2</v>
          </cell>
          <cell r="S84" t="str">
            <v/>
          </cell>
          <cell r="T84">
            <v>2.6717425658045246E-2</v>
          </cell>
          <cell r="U84">
            <v>4.8454801876623654E-2</v>
          </cell>
          <cell r="V84">
            <v>8.8487144380147265E-2</v>
          </cell>
          <cell r="W84" t="str">
            <v/>
          </cell>
          <cell r="X84">
            <v>3.5631590924090073E-4</v>
          </cell>
          <cell r="Y84">
            <v>1.7463034398864652E-3</v>
          </cell>
          <cell r="Z84">
            <v>5.5127429143683182E-3</v>
          </cell>
          <cell r="AA84">
            <v>1.1939059315941303E-2</v>
          </cell>
          <cell r="AB84" t="str">
            <v/>
          </cell>
          <cell r="AC84">
            <v>2.8029723671689433E-2</v>
          </cell>
          <cell r="AD84">
            <v>5.0821034060979375E-2</v>
          </cell>
          <cell r="AE84">
            <v>9.2730572572805259E-2</v>
          </cell>
        </row>
        <row r="85">
          <cell r="D85" t="str">
            <v>EUR</v>
          </cell>
          <cell r="N85" t="str">
            <v/>
          </cell>
          <cell r="O85">
            <v>9.0974018358735975E-4</v>
          </cell>
          <cell r="P85">
            <v>1.9166233797315302E-3</v>
          </cell>
          <cell r="Q85">
            <v>6.5477929881894159E-3</v>
          </cell>
          <cell r="R85">
            <v>1.2889436731533088E-2</v>
          </cell>
          <cell r="S85" t="str">
            <v/>
          </cell>
          <cell r="T85">
            <v>3.4508896700973013E-2</v>
          </cell>
          <cell r="U85">
            <v>6.0268884830894986E-2</v>
          </cell>
          <cell r="V85">
            <v>9.5047438712174581E-2</v>
          </cell>
          <cell r="W85" t="str">
            <v/>
          </cell>
          <cell r="X85">
            <v>9.9299423627774441E-4</v>
          </cell>
          <cell r="Y85">
            <v>2.0829567476645661E-3</v>
          </cell>
          <cell r="Z85">
            <v>6.8788885382086162E-3</v>
          </cell>
          <cell r="AA85">
            <v>1.3526504004571005E-2</v>
          </cell>
          <cell r="AB85" t="str">
            <v/>
          </cell>
          <cell r="AC85">
            <v>3.6203999673800724E-2</v>
          </cell>
          <cell r="AD85">
            <v>6.3202892906027319E-2</v>
          </cell>
          <cell r="AE85">
            <v>9.9587402402432912E-2</v>
          </cell>
        </row>
        <row r="86">
          <cell r="D86" t="str">
            <v>EUR</v>
          </cell>
          <cell r="N86" t="str">
            <v/>
          </cell>
          <cell r="O86">
            <v>1.6005905791771635E-3</v>
          </cell>
          <cell r="P86">
            <v>3.6418346279978309E-3</v>
          </cell>
          <cell r="Q86">
            <v>9.3575114931813141E-3</v>
          </cell>
          <cell r="R86">
            <v>1.5841289211032894E-2</v>
          </cell>
          <cell r="S86" t="str">
            <v/>
          </cell>
          <cell r="T86">
            <v>3.1376811925831527E-2</v>
          </cell>
          <cell r="U86">
            <v>4.7851180057260634E-2</v>
          </cell>
          <cell r="V86">
            <v>7.3789605742392794E-2</v>
          </cell>
          <cell r="W86" t="str">
            <v/>
          </cell>
          <cell r="X86">
            <v>1.6837870633903407E-3</v>
          </cell>
          <cell r="Y86">
            <v>3.8153518975708733E-3</v>
          </cell>
          <cell r="Z86">
            <v>9.8081512971357476E-3</v>
          </cell>
          <cell r="AA86">
            <v>1.6628469523382705E-2</v>
          </cell>
          <cell r="AB86" t="str">
            <v/>
          </cell>
          <cell r="AC86">
            <v>3.2922381644810761E-2</v>
          </cell>
          <cell r="AD86">
            <v>5.0190162732474675E-2</v>
          </cell>
          <cell r="AE86">
            <v>7.7344085980955213E-2</v>
          </cell>
        </row>
        <row r="87">
          <cell r="D87" t="str">
            <v>EUR</v>
          </cell>
          <cell r="N87" t="str">
            <v/>
          </cell>
          <cell r="O87">
            <v>1.0552219788206862E-3</v>
          </cell>
          <cell r="P87">
            <v>2.6349312827362859E-3</v>
          </cell>
          <cell r="Q87">
            <v>6.9715129129324094E-3</v>
          </cell>
          <cell r="R87">
            <v>1.2202713971308676E-2</v>
          </cell>
          <cell r="S87" t="str">
            <v/>
          </cell>
          <cell r="T87">
            <v>2.4715090561909014E-2</v>
          </cell>
          <cell r="U87">
            <v>3.9225050128337102E-2</v>
          </cell>
          <cell r="V87">
            <v>6.292814240174649E-2</v>
          </cell>
          <cell r="W87" t="str">
            <v/>
          </cell>
          <cell r="X87">
            <v>1.1384639085358916E-3</v>
          </cell>
          <cell r="Y87">
            <v>2.8011449426721402E-3</v>
          </cell>
          <cell r="Z87">
            <v>7.307430721766095E-3</v>
          </cell>
          <cell r="AA87">
            <v>1.2790278538708733E-2</v>
          </cell>
          <cell r="AB87" t="str">
            <v/>
          </cell>
          <cell r="AC87">
            <v>2.5935777080825839E-2</v>
          </cell>
          <cell r="AD87">
            <v>4.1150499376110261E-2</v>
          </cell>
          <cell r="AE87">
            <v>6.5978855854495699E-2</v>
          </cell>
        </row>
        <row r="88">
          <cell r="D88" t="str">
            <v>EUR</v>
          </cell>
          <cell r="N88" t="str">
            <v/>
          </cell>
          <cell r="O88">
            <v>6.3690485549472431E-4</v>
          </cell>
          <cell r="P88">
            <v>1.7471884482904709E-3</v>
          </cell>
          <cell r="Q88">
            <v>5.5148027586187087E-3</v>
          </cell>
          <cell r="R88">
            <v>1.0833347538365956E-2</v>
          </cell>
          <cell r="S88" t="str">
            <v/>
          </cell>
          <cell r="T88">
            <v>2.8506675491326017E-2</v>
          </cell>
          <cell r="U88">
            <v>4.8272343001782625E-2</v>
          </cell>
          <cell r="V88">
            <v>8.2580231160876649E-2</v>
          </cell>
          <cell r="W88" t="str">
            <v/>
          </cell>
          <cell r="X88">
            <v>7.2018164349907376E-4</v>
          </cell>
          <cell r="Y88">
            <v>1.9135500530244043E-3</v>
          </cell>
          <cell r="Z88">
            <v>5.8462425813439189E-3</v>
          </cell>
          <cell r="AA88">
            <v>1.1352523735223441E-2</v>
          </cell>
          <cell r="AB88" t="str">
            <v/>
          </cell>
          <cell r="AC88">
            <v>2.9907813320626864E-2</v>
          </cell>
          <cell r="AD88">
            <v>5.063077530986404E-2</v>
          </cell>
          <cell r="AE88">
            <v>8.6548484610133758E-2</v>
          </cell>
        </row>
        <row r="89">
          <cell r="D89" t="str">
            <v>EUR</v>
          </cell>
          <cell r="N89" t="str">
            <v/>
          </cell>
          <cell r="O89">
            <v>1.5460670821495492E-3</v>
          </cell>
          <cell r="P89">
            <v>3.1330157615230281E-3</v>
          </cell>
          <cell r="Q89">
            <v>9.2731561642234173E-3</v>
          </cell>
          <cell r="R89">
            <v>2.0090196783860592E-2</v>
          </cell>
          <cell r="S89" t="str">
            <v/>
          </cell>
          <cell r="T89">
            <v>5.1399832991588901E-2</v>
          </cell>
          <cell r="U89">
            <v>8.5567232170741581E-2</v>
          </cell>
          <cell r="V89">
            <v>0.14591688165505801</v>
          </cell>
          <cell r="W89" t="str">
            <v/>
          </cell>
          <cell r="X89">
            <v>1.6292681098082351E-3</v>
          </cell>
          <cell r="Y89">
            <v>3.299146414298848E-3</v>
          </cell>
          <cell r="Z89">
            <v>9.7188829478886962E-3</v>
          </cell>
          <cell r="AA89">
            <v>2.1086709621949695E-2</v>
          </cell>
          <cell r="AB89" t="str">
            <v/>
          </cell>
          <cell r="AC89">
            <v>5.3910977162387685E-2</v>
          </cell>
          <cell r="AD89">
            <v>8.968916491285972E-2</v>
          </cell>
          <cell r="AE89">
            <v>0.15278007239158675</v>
          </cell>
        </row>
        <row r="90">
          <cell r="D90" t="str">
            <v>EUR</v>
          </cell>
          <cell r="N90" t="str">
            <v/>
          </cell>
          <cell r="O90">
            <v>3.6399520350638426E-4</v>
          </cell>
          <cell r="P90">
            <v>1.2252857733764388E-3</v>
          </cell>
          <cell r="Q90">
            <v>5.1912354274938899E-3</v>
          </cell>
          <cell r="R90">
            <v>1.1405736164489033E-2</v>
          </cell>
          <cell r="S90" t="str">
            <v/>
          </cell>
          <cell r="T90">
            <v>2.940162285024106E-2</v>
          </cell>
          <cell r="U90">
            <v>5.0766836941785853E-2</v>
          </cell>
          <cell r="V90">
            <v>9.5424992314393053E-2</v>
          </cell>
          <cell r="W90" t="str">
            <v/>
          </cell>
          <cell r="X90">
            <v>4.4729473304006007E-4</v>
          </cell>
          <cell r="Y90">
            <v>1.3917343546390182E-3</v>
          </cell>
          <cell r="Z90">
            <v>5.5227830880192341E-3</v>
          </cell>
          <cell r="AA90">
            <v>1.1949313512110926E-2</v>
          </cell>
          <cell r="AB90" t="str">
            <v/>
          </cell>
          <cell r="AC90">
            <v>3.0844616145261128E-2</v>
          </cell>
          <cell r="AD90">
            <v>5.3243388831790583E-2</v>
          </cell>
          <cell r="AE90">
            <v>0.10001736690194885</v>
          </cell>
        </row>
        <row r="91">
          <cell r="D91" t="str">
            <v>EUR</v>
          </cell>
          <cell r="N91" t="str">
            <v/>
          </cell>
          <cell r="O91">
            <v>1.0006687817649684E-3</v>
          </cell>
          <cell r="P91">
            <v>1.9143876201054288E-3</v>
          </cell>
          <cell r="Q91">
            <v>5.499545431723929E-3</v>
          </cell>
          <cell r="R91">
            <v>1.1877747415419693E-2</v>
          </cell>
          <cell r="S91" t="str">
            <v/>
          </cell>
          <cell r="T91">
            <v>3.1972226584576102E-2</v>
          </cell>
          <cell r="U91">
            <v>5.1671715547433328E-2</v>
          </cell>
          <cell r="V91">
            <v>9.2951371900018787E-2</v>
          </cell>
          <cell r="W91" t="str">
            <v/>
          </cell>
          <cell r="X91">
            <v>1.0839152573786093E-3</v>
          </cell>
          <cell r="Y91">
            <v>2.0807213606326425E-3</v>
          </cell>
          <cell r="Z91">
            <v>5.8309903393635176E-3</v>
          </cell>
          <cell r="AA91">
            <v>1.2445754393001773E-2</v>
          </cell>
          <cell r="AB91" t="str">
            <v/>
          </cell>
          <cell r="AC91">
            <v>3.3543216024687572E-2</v>
          </cell>
          <cell r="AD91">
            <v>5.4193336446687446E-2</v>
          </cell>
          <cell r="AE91">
            <v>9.7424327802114852E-2</v>
          </cell>
        </row>
        <row r="92">
          <cell r="D92" t="str">
            <v>EUR</v>
          </cell>
          <cell r="N92" t="str">
            <v/>
          </cell>
          <cell r="O92">
            <v>5.4594323121426314E-4</v>
          </cell>
          <cell r="P92">
            <v>1.2208758015412879E-3</v>
          </cell>
          <cell r="Q92">
            <v>4.1396751096509643E-3</v>
          </cell>
          <cell r="R92">
            <v>8.798203266675797E-3</v>
          </cell>
          <cell r="S92" t="str">
            <v/>
          </cell>
          <cell r="T92">
            <v>2.3398560041828165E-2</v>
          </cell>
          <cell r="U92">
            <v>4.2607313031998828E-2</v>
          </cell>
          <cell r="V92">
            <v>8.0489045192361552E-2</v>
          </cell>
          <cell r="W92" t="str">
            <v/>
          </cell>
          <cell r="X92">
            <v>6.2922759904748826E-4</v>
          </cell>
          <cell r="Y92">
            <v>1.3873251177468626E-3</v>
          </cell>
          <cell r="Z92">
            <v>4.471573231844661E-3</v>
          </cell>
          <cell r="AA92">
            <v>9.2936802854770573E-3</v>
          </cell>
          <cell r="AB92" t="str">
            <v/>
          </cell>
          <cell r="AC92">
            <v>2.454004281251676E-2</v>
          </cell>
          <cell r="AD92">
            <v>4.4684107248175731E-2</v>
          </cell>
          <cell r="AE92">
            <v>8.4355976084544704E-2</v>
          </cell>
        </row>
        <row r="93">
          <cell r="D93" t="str">
            <v>EUR</v>
          </cell>
          <cell r="N93" t="str">
            <v/>
          </cell>
          <cell r="O93">
            <v>8.1880333056005838E-4</v>
          </cell>
          <cell r="P93">
            <v>4.2071858450489774E-3</v>
          </cell>
          <cell r="Q93">
            <v>1.203433293295908E-2</v>
          </cell>
          <cell r="R93">
            <v>2.3090804824646982E-2</v>
          </cell>
          <cell r="S93" t="str">
            <v/>
          </cell>
          <cell r="T93">
            <v>5.7994814483914414E-2</v>
          </cell>
          <cell r="U93">
            <v>9.6945875579857343E-2</v>
          </cell>
          <cell r="V93">
            <v>0.16465033692073983</v>
          </cell>
          <cell r="W93" t="str">
            <v/>
          </cell>
          <cell r="X93">
            <v>9.0206496099309863E-4</v>
          </cell>
          <cell r="Y93">
            <v>4.4063244933553181E-3</v>
          </cell>
          <cell r="Z93">
            <v>1.2632071103079623E-2</v>
          </cell>
          <cell r="AA93">
            <v>2.4233271034812542E-2</v>
          </cell>
          <cell r="AB93" t="str">
            <v/>
          </cell>
          <cell r="AC93">
            <v>6.0816943849694827E-2</v>
          </cell>
          <cell r="AD93">
            <v>0.10158882508180656</v>
          </cell>
          <cell r="AE93">
            <v>0.17232627854247629</v>
          </cell>
        </row>
        <row r="94">
          <cell r="D94" t="str">
            <v>EUR</v>
          </cell>
          <cell r="N94" t="str">
            <v/>
          </cell>
          <cell r="O94">
            <v>6.3690485549472431E-4</v>
          </cell>
          <cell r="P94">
            <v>1.7471884482904709E-3</v>
          </cell>
          <cell r="Q94">
            <v>6.9095035615924782E-3</v>
          </cell>
          <cell r="R94">
            <v>1.6061436711826915E-2</v>
          </cell>
          <cell r="S94" t="str">
            <v/>
          </cell>
          <cell r="T94">
            <v>4.1353334357717153E-2</v>
          </cell>
          <cell r="U94">
            <v>7.0772774391985926E-2</v>
          </cell>
          <cell r="V94">
            <v>0.124246980705634</v>
          </cell>
          <cell r="W94" t="str">
            <v/>
          </cell>
          <cell r="X94">
            <v>7.2018164349907376E-4</v>
          </cell>
          <cell r="Y94">
            <v>1.9135500530244043E-3</v>
          </cell>
          <cell r="Z94">
            <v>7.2404785615145517E-3</v>
          </cell>
          <cell r="AA94">
            <v>1.6855753085763481E-2</v>
          </cell>
          <cell r="AB94" t="str">
            <v/>
          </cell>
          <cell r="AC94">
            <v>4.3379727684677793E-2</v>
          </cell>
          <cell r="AD94">
            <v>7.4202780499159404E-2</v>
          </cell>
          <cell r="AE94">
            <v>0.13015196476705837</v>
          </cell>
        </row>
        <row r="95">
          <cell r="D95" t="str">
            <v>EUR</v>
          </cell>
          <cell r="N95" t="str">
            <v/>
          </cell>
          <cell r="O95">
            <v>4.5497334759936336E-4</v>
          </cell>
          <cell r="P95">
            <v>1.0468631450375465E-3</v>
          </cell>
          <cell r="Q95">
            <v>4.8461429509855103E-3</v>
          </cell>
          <cell r="R95">
            <v>9.8352420499794313E-3</v>
          </cell>
          <cell r="S95" t="str">
            <v/>
          </cell>
          <cell r="T95">
            <v>2.597470599033902E-2</v>
          </cell>
          <cell r="U95">
            <v>4.6111659285171358E-2</v>
          </cell>
          <cell r="V95">
            <v>8.7173261055529361E-2</v>
          </cell>
          <cell r="W95" t="str">
            <v/>
          </cell>
          <cell r="X95">
            <v>5.3826529594969141E-4</v>
          </cell>
          <cell r="Y95">
            <v>1.2133414609432069E-3</v>
          </cell>
          <cell r="Z95">
            <v>5.1778056231679415E-3</v>
          </cell>
          <cell r="AA95">
            <v>1.0330200678976054E-2</v>
          </cell>
          <cell r="AB95" t="str">
            <v/>
          </cell>
          <cell r="AC95">
            <v>2.7247255250252289E-2</v>
          </cell>
          <cell r="AD95">
            <v>4.8362065363106721E-2</v>
          </cell>
          <cell r="AE95">
            <v>9.1379661023856862E-2</v>
          </cell>
        </row>
        <row r="96">
          <cell r="D96" t="str">
            <v>EUR</v>
          </cell>
          <cell r="N96" t="str">
            <v/>
          </cell>
          <cell r="O96">
            <v>8.1880333056005838E-4</v>
          </cell>
          <cell r="P96">
            <v>1.5665899374458503E-3</v>
          </cell>
          <cell r="Q96">
            <v>6.2139127688000118E-3</v>
          </cell>
          <cell r="R96">
            <v>1.1861773504699746E-2</v>
          </cell>
          <cell r="S96" t="str">
            <v/>
          </cell>
          <cell r="T96">
            <v>3.1955625367104612E-2</v>
          </cell>
          <cell r="U96">
            <v>5.1654982160065699E-2</v>
          </cell>
          <cell r="V96">
            <v>9.1058886813918716E-2</v>
          </cell>
          <cell r="W96" t="str">
            <v/>
          </cell>
          <cell r="X96">
            <v>9.0206496099309863E-4</v>
          </cell>
          <cell r="Y96">
            <v>1.732981639423592E-3</v>
          </cell>
          <cell r="Z96">
            <v>6.5451195936672146E-3</v>
          </cell>
          <cell r="AA96">
            <v>1.2429789664646917E-2</v>
          </cell>
          <cell r="AB96" t="str">
            <v/>
          </cell>
          <cell r="AC96">
            <v>3.3526521335011217E-2</v>
          </cell>
          <cell r="AD96">
            <v>5.417650481307057E-2</v>
          </cell>
          <cell r="AE96">
            <v>9.541850550731279E-2</v>
          </cell>
        </row>
        <row r="97">
          <cell r="D97" t="str">
            <v>EUR</v>
          </cell>
          <cell r="N97" t="str">
            <v/>
          </cell>
          <cell r="O97">
            <v>6.3690485549472431E-4</v>
          </cell>
          <cell r="P97">
            <v>2.9798841053704228E-3</v>
          </cell>
          <cell r="Q97">
            <v>9.3031041357577449E-3</v>
          </cell>
          <cell r="R97">
            <v>1.8009674103833584E-2</v>
          </cell>
          <cell r="S97" t="str">
            <v/>
          </cell>
          <cell r="T97">
            <v>4.1015694703361083E-2</v>
          </cell>
          <cell r="U97">
            <v>6.7873038361055182E-2</v>
          </cell>
          <cell r="V97">
            <v>0.11493522657390387</v>
          </cell>
          <cell r="W97" t="str">
            <v/>
          </cell>
          <cell r="X97">
            <v>7.2018164349907376E-4</v>
          </cell>
          <cell r="Y97">
            <v>3.1460402779561747E-3</v>
          </cell>
          <cell r="Z97">
            <v>9.748817445875968E-3</v>
          </cell>
          <cell r="AA97">
            <v>1.8902110662522786E-2</v>
          </cell>
          <cell r="AB97" t="str">
            <v/>
          </cell>
          <cell r="AC97">
            <v>4.302652702749088E-2</v>
          </cell>
          <cell r="AD97">
            <v>7.1164336069355127E-2</v>
          </cell>
          <cell r="AE97">
            <v>0.12040775081539934</v>
          </cell>
        </row>
        <row r="98">
          <cell r="D98" t="str">
            <v>EUR</v>
          </cell>
          <cell r="N98" t="str">
            <v/>
          </cell>
          <cell r="O98">
            <v>2.7300879781333443E-4</v>
          </cell>
          <cell r="P98">
            <v>8.7500955172725714E-4</v>
          </cell>
          <cell r="Q98">
            <v>3.1108231577661183E-3</v>
          </cell>
          <cell r="R98">
            <v>6.7416033755676175E-3</v>
          </cell>
          <cell r="S98" t="str">
            <v/>
          </cell>
          <cell r="T98">
            <v>1.8252267651842846E-2</v>
          </cell>
          <cell r="U98">
            <v>3.2980139891199078E-2</v>
          </cell>
          <cell r="V98">
            <v>5.9617673928796133E-2</v>
          </cell>
          <cell r="W98" t="str">
            <v/>
          </cell>
          <cell r="X98">
            <v>3.5631590924090073E-4</v>
          </cell>
          <cell r="Y98">
            <v>1.0415165074959543E-3</v>
          </cell>
          <cell r="Z98">
            <v>3.443064173448751E-3</v>
          </cell>
          <cell r="AA98">
            <v>7.2381084372733495E-3</v>
          </cell>
          <cell r="AB98" t="str">
            <v/>
          </cell>
          <cell r="AC98">
            <v>1.9110921201918041E-2</v>
          </cell>
          <cell r="AD98">
            <v>3.4581562293729329E-2</v>
          </cell>
          <cell r="AE98">
            <v>6.2495611273053808E-2</v>
          </cell>
        </row>
        <row r="99">
          <cell r="D99" t="str">
            <v>EUR</v>
          </cell>
          <cell r="N99" t="str">
            <v/>
          </cell>
          <cell r="O99">
            <v>1.5006285667249486E-3</v>
          </cell>
          <cell r="P99">
            <v>4.4182686145607386E-3</v>
          </cell>
          <cell r="Q99">
            <v>1.1069803763835817E-2</v>
          </cell>
          <cell r="R99">
            <v>1.8052033723615857E-2</v>
          </cell>
          <cell r="S99" t="str">
            <v/>
          </cell>
          <cell r="T99">
            <v>3.5519194590963421E-2</v>
          </cell>
          <cell r="U99">
            <v>5.4166762774260468E-2</v>
          </cell>
          <cell r="V99">
            <v>8.3458438819112968E-2</v>
          </cell>
          <cell r="W99" t="str">
            <v/>
          </cell>
          <cell r="X99">
            <v>1.5838333807624005E-3</v>
          </cell>
          <cell r="Y99">
            <v>4.6281483039986027E-3</v>
          </cell>
          <cell r="Z99">
            <v>1.162054228056264E-2</v>
          </cell>
          <cell r="AA99">
            <v>1.8947082541980742E-2</v>
          </cell>
          <cell r="AB99" t="str">
            <v/>
          </cell>
          <cell r="AC99">
            <v>3.726393313724341E-2</v>
          </cell>
          <cell r="AD99">
            <v>5.6804911884540399E-2</v>
          </cell>
          <cell r="AE99">
            <v>8.7456622839623854E-2</v>
          </cell>
        </row>
        <row r="100">
          <cell r="D100" t="str">
            <v>EUR</v>
          </cell>
          <cell r="N100" t="str">
            <v/>
          </cell>
          <cell r="O100">
            <v>3.6399520350638426E-4</v>
          </cell>
          <cell r="P100">
            <v>1.2252857733764388E-3</v>
          </cell>
          <cell r="Q100">
            <v>4.14415820314884E-3</v>
          </cell>
          <cell r="R100">
            <v>7.2100918954982607E-3</v>
          </cell>
          <cell r="S100" t="str">
            <v/>
          </cell>
          <cell r="T100">
            <v>1.8150120947181492E-2</v>
          </cell>
          <cell r="U100">
            <v>3.0269036667314397E-2</v>
          </cell>
          <cell r="V100">
            <v>5.2121559144953977E-2</v>
          </cell>
          <cell r="W100" t="str">
            <v/>
          </cell>
          <cell r="X100">
            <v>4.4729473304006007E-4</v>
          </cell>
          <cell r="Y100">
            <v>1.3917343546390182E-3</v>
          </cell>
          <cell r="Z100">
            <v>4.4760548312168247E-3</v>
          </cell>
          <cell r="AA100">
            <v>7.7063627714937244E-3</v>
          </cell>
          <cell r="AB100" t="str">
            <v/>
          </cell>
          <cell r="AC100">
            <v>1.9008863836553536E-2</v>
          </cell>
          <cell r="AD100">
            <v>3.1742557334008548E-2</v>
          </cell>
          <cell r="AE100">
            <v>5.4645835634262618E-2</v>
          </cell>
        </row>
        <row r="101">
          <cell r="D101" t="str">
            <v>EUR</v>
          </cell>
          <cell r="N101" t="str">
            <v/>
          </cell>
          <cell r="O101">
            <v>5.4594323121426314E-4</v>
          </cell>
          <cell r="P101">
            <v>2.6300265232999109E-3</v>
          </cell>
          <cell r="Q101">
            <v>7.9256132638849675E-3</v>
          </cell>
          <cell r="R101">
            <v>1.756594285738966E-2</v>
          </cell>
          <cell r="S101" t="str">
            <v/>
          </cell>
          <cell r="T101">
            <v>4.556317703312962E-2</v>
          </cell>
          <cell r="U101">
            <v>7.8992705273699393E-2</v>
          </cell>
          <cell r="V101">
            <v>0.13891191075447384</v>
          </cell>
          <cell r="W101" t="str">
            <v/>
          </cell>
          <cell r="X101">
            <v>6.2922759904748826E-4</v>
          </cell>
          <cell r="Y101">
            <v>2.7962410006150407E-3</v>
          </cell>
          <cell r="Z101">
            <v>8.3058355648802928E-3</v>
          </cell>
          <cell r="AA101">
            <v>1.8435908659315881E-2</v>
          </cell>
          <cell r="AB101" t="str">
            <v/>
          </cell>
          <cell r="AC101">
            <v>4.7793247674854711E-2</v>
          </cell>
          <cell r="AD101">
            <v>8.2809516130359584E-2</v>
          </cell>
          <cell r="AE101">
            <v>0.14547664022731999</v>
          </cell>
        </row>
        <row r="102">
          <cell r="D102" t="str">
            <v>EUR</v>
          </cell>
          <cell r="N102" t="str">
            <v/>
          </cell>
          <cell r="O102">
            <v>3.6399520350638426E-4</v>
          </cell>
          <cell r="P102">
            <v>8.728201724156337E-4</v>
          </cell>
          <cell r="Q102">
            <v>3.1086041784720297E-3</v>
          </cell>
          <cell r="R102">
            <v>6.2079837368382851E-3</v>
          </cell>
          <cell r="S102" t="str">
            <v/>
          </cell>
          <cell r="T102">
            <v>1.7391619350680565E-2</v>
          </cell>
          <cell r="U102">
            <v>3.0498186153993467E-2</v>
          </cell>
          <cell r="V102">
            <v>5.8164596157407322E-2</v>
          </cell>
          <cell r="W102" t="str">
            <v/>
          </cell>
          <cell r="X102">
            <v>4.4729473304006007E-4</v>
          </cell>
          <cell r="Y102">
            <v>1.0393274930516894E-3</v>
          </cell>
          <cell r="Z102">
            <v>3.4408459337169628E-3</v>
          </cell>
          <cell r="AA102">
            <v>6.7047555416595017E-3</v>
          </cell>
          <cell r="AB102" t="str">
            <v/>
          </cell>
          <cell r="AC102">
            <v>1.8210118579164214E-2</v>
          </cell>
          <cell r="AD102">
            <v>3.1976456873183068E-2</v>
          </cell>
          <cell r="AE102">
            <v>6.0971822487001948E-2</v>
          </cell>
        </row>
        <row r="103">
          <cell r="D103" t="str">
            <v>EUR</v>
          </cell>
          <cell r="N103" t="str">
            <v/>
          </cell>
          <cell r="O103">
            <v>4.5497334759936336E-4</v>
          </cell>
          <cell r="P103">
            <v>8.7063095825812287E-4</v>
          </cell>
          <cell r="Q103">
            <v>3.1063853322998991E-3</v>
          </cell>
          <cell r="R103">
            <v>6.7371092801036259E-3</v>
          </cell>
          <cell r="S103" t="str">
            <v/>
          </cell>
          <cell r="T103">
            <v>1.7351349621736234E-2</v>
          </cell>
          <cell r="U103">
            <v>3.0457589722358347E-2</v>
          </cell>
          <cell r="V103">
            <v>4.8430815919560777E-2</v>
          </cell>
          <cell r="W103" t="str">
            <v/>
          </cell>
          <cell r="X103">
            <v>5.3826529594969141E-4</v>
          </cell>
          <cell r="Y103">
            <v>1.0371386437357799E-3</v>
          </cell>
          <cell r="Z103">
            <v>3.4386278270243098E-3</v>
          </cell>
          <cell r="AA103">
            <v>7.2336165882755932E-3</v>
          </cell>
          <cell r="AB103" t="str">
            <v/>
          </cell>
          <cell r="AC103">
            <v>1.8169882394376002E-2</v>
          </cell>
          <cell r="AD103">
            <v>3.193570911254906E-2</v>
          </cell>
          <cell r="AE103">
            <v>5.0773604550349849E-2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1.9322784153437134E-3</v>
          </cell>
          <cell r="Q104">
            <v>5.1688847607316291E-3</v>
          </cell>
          <cell r="R104">
            <v>1.0322608067131034E-2</v>
          </cell>
          <cell r="S104" t="str">
            <v/>
          </cell>
          <cell r="T104">
            <v>2.499893541830156E-2</v>
          </cell>
          <cell r="U104">
            <v>4.3529473532226137E-2</v>
          </cell>
          <cell r="V104">
            <v>7.8011746643757984E-2</v>
          </cell>
          <cell r="W104" t="str">
            <v/>
          </cell>
          <cell r="X104">
            <v>3.5631590924090073E-4</v>
          </cell>
          <cell r="Y104">
            <v>2.0986091743264712E-3</v>
          </cell>
          <cell r="Z104">
            <v>5.500439870238738E-3</v>
          </cell>
          <cell r="AA104">
            <v>1.0817323074053364E-2</v>
          </cell>
          <cell r="AB104" t="str">
            <v/>
          </cell>
          <cell r="AC104">
            <v>2.6227564779387147E-2</v>
          </cell>
          <cell r="AD104">
            <v>4.565868028189668E-2</v>
          </cell>
          <cell r="AE104">
            <v>8.1769034891154613E-2</v>
          </cell>
        </row>
        <row r="105">
          <cell r="D105" t="str">
            <v>EUR</v>
          </cell>
          <cell r="N105" t="str">
            <v/>
          </cell>
          <cell r="O105">
            <v>2.7300879781333443E-4</v>
          </cell>
          <cell r="P105">
            <v>8.7500955172725714E-4</v>
          </cell>
          <cell r="Q105">
            <v>3.1108231577661183E-3</v>
          </cell>
          <cell r="R105">
            <v>6.7416033755676175E-3</v>
          </cell>
          <cell r="S105" t="str">
            <v/>
          </cell>
          <cell r="T105">
            <v>1.8252267651842846E-2</v>
          </cell>
          <cell r="U105">
            <v>3.2980139891199078E-2</v>
          </cell>
          <cell r="V105">
            <v>5.9617673928796133E-2</v>
          </cell>
          <cell r="W105" t="str">
            <v/>
          </cell>
          <cell r="X105">
            <v>3.5631590924090073E-4</v>
          </cell>
          <cell r="Y105">
            <v>1.0415165074959543E-3</v>
          </cell>
          <cell r="Z105">
            <v>3.443064173448751E-3</v>
          </cell>
          <cell r="AA105">
            <v>7.2381084372733495E-3</v>
          </cell>
          <cell r="AB105" t="str">
            <v/>
          </cell>
          <cell r="AC105">
            <v>1.9110921201918041E-2</v>
          </cell>
          <cell r="AD105">
            <v>3.4581562293729329E-2</v>
          </cell>
          <cell r="AE105">
            <v>6.2495611273053808E-2</v>
          </cell>
        </row>
        <row r="106">
          <cell r="D106" t="str">
            <v>EUR</v>
          </cell>
          <cell r="N106" t="str">
            <v/>
          </cell>
          <cell r="O106">
            <v>8.1880333056005838E-4</v>
          </cell>
          <cell r="P106">
            <v>1.5665899374458503E-3</v>
          </cell>
          <cell r="Q106">
            <v>6.2139127688000118E-3</v>
          </cell>
          <cell r="R106">
            <v>1.3450755339839193E-2</v>
          </cell>
          <cell r="S106" t="str">
            <v/>
          </cell>
          <cell r="T106">
            <v>3.7164964361995012E-2</v>
          </cell>
          <cell r="U106">
            <v>6.5107292070126666E-2</v>
          </cell>
          <cell r="V106">
            <v>0.10907420872491902</v>
          </cell>
          <cell r="W106" t="str">
            <v/>
          </cell>
          <cell r="X106">
            <v>9.0206496099309863E-4</v>
          </cell>
          <cell r="Y106">
            <v>1.732981639423592E-3</v>
          </cell>
          <cell r="Z106">
            <v>6.5451195936672146E-3</v>
          </cell>
          <cell r="AA106">
            <v>1.4114171582807034E-2</v>
          </cell>
          <cell r="AB106" t="str">
            <v/>
          </cell>
          <cell r="AC106">
            <v>3.8987506923284454E-2</v>
          </cell>
          <cell r="AD106">
            <v>6.8269902701745266E-2</v>
          </cell>
          <cell r="AE106">
            <v>0.11428393268806536</v>
          </cell>
        </row>
        <row r="107">
          <cell r="D107" t="str">
            <v>EUR</v>
          </cell>
          <cell r="N107" t="str">
            <v/>
          </cell>
          <cell r="O107">
            <v>2.7300879781333443E-4</v>
          </cell>
          <cell r="P107">
            <v>8.7500955172725714E-4</v>
          </cell>
          <cell r="Q107">
            <v>4.1585788015882086E-3</v>
          </cell>
          <cell r="R107">
            <v>8.2865471124773382E-3</v>
          </cell>
          <cell r="S107" t="str">
            <v/>
          </cell>
          <cell r="T107">
            <v>2.2563160810736282E-2</v>
          </cell>
          <cell r="U107">
            <v>4.14615489121124E-2</v>
          </cell>
          <cell r="V107">
            <v>7.6991141043958322E-2</v>
          </cell>
          <cell r="W107" t="str">
            <v/>
          </cell>
          <cell r="X107">
            <v>3.5631590924090073E-4</v>
          </cell>
          <cell r="Y107">
            <v>1.0415165074959543E-3</v>
          </cell>
          <cell r="Z107">
            <v>4.490470623601861E-3</v>
          </cell>
          <cell r="AA107">
            <v>8.7822798954131365E-3</v>
          </cell>
          <cell r="AB107" t="str">
            <v/>
          </cell>
          <cell r="AC107">
            <v>2.3660913759846802E-2</v>
          </cell>
          <cell r="AD107">
            <v>4.3480368056037499E-2</v>
          </cell>
          <cell r="AE107">
            <v>8.0692468527198802E-2</v>
          </cell>
        </row>
        <row r="108">
          <cell r="D108" t="str">
            <v>EUR</v>
          </cell>
          <cell r="N108" t="str">
            <v/>
          </cell>
          <cell r="O108">
            <v>6.3690485549472431E-4</v>
          </cell>
          <cell r="P108">
            <v>1.923331669516859E-3</v>
          </cell>
          <cell r="Q108">
            <v>6.9032421808277178E-3</v>
          </cell>
          <cell r="R108">
            <v>1.4996900424032678E-2</v>
          </cell>
          <cell r="S108" t="str">
            <v/>
          </cell>
          <cell r="T108">
            <v>4.2314780791213424E-2</v>
          </cell>
          <cell r="U108">
            <v>7.2029052176790564E-2</v>
          </cell>
          <cell r="V108">
            <v>0.12216569178247572</v>
          </cell>
          <cell r="W108" t="str">
            <v/>
          </cell>
          <cell r="X108">
            <v>7.2018164349907376E-4</v>
          </cell>
          <cell r="Y108">
            <v>2.0896639194951661E-3</v>
          </cell>
          <cell r="Z108">
            <v>7.2342192675115546E-3</v>
          </cell>
          <cell r="AA108">
            <v>1.5738818758722628E-2</v>
          </cell>
          <cell r="AB108" t="str">
            <v/>
          </cell>
          <cell r="AC108">
            <v>4.4388074889345486E-2</v>
          </cell>
          <cell r="AD108">
            <v>7.5519551108685246E-2</v>
          </cell>
          <cell r="AE108">
            <v>0.12797164354408619</v>
          </cell>
        </row>
        <row r="109">
          <cell r="D109" t="str">
            <v>EUR</v>
          </cell>
          <cell r="N109" t="str">
            <v/>
          </cell>
          <cell r="O109">
            <v>3.6399520350638426E-4</v>
          </cell>
          <cell r="P109">
            <v>1.5776928696848991E-3</v>
          </cell>
          <cell r="Q109">
            <v>4.8300036012460801E-3</v>
          </cell>
          <cell r="R109">
            <v>8.7578517722344262E-3</v>
          </cell>
          <cell r="S109" t="str">
            <v/>
          </cell>
          <cell r="T109">
            <v>2.156941971103199E-2</v>
          </cell>
          <cell r="U109">
            <v>3.4954312096123541E-2</v>
          </cell>
          <cell r="V109">
            <v>5.8630790834494517E-2</v>
          </cell>
          <cell r="W109" t="str">
            <v/>
          </cell>
          <cell r="X109">
            <v>4.4729473304006007E-4</v>
          </cell>
          <cell r="Y109">
            <v>1.7440827213339727E-3</v>
          </cell>
          <cell r="Z109">
            <v>5.161671652306743E-3</v>
          </cell>
          <cell r="AA109">
            <v>9.2533489617411258E-3</v>
          </cell>
          <cell r="AB109" t="str">
            <v/>
          </cell>
          <cell r="AC109">
            <v>2.2623035431614147E-2</v>
          </cell>
          <cell r="AD109">
            <v>3.6661117150498357E-2</v>
          </cell>
          <cell r="AE109">
            <v>6.146876160227055E-2</v>
          </cell>
        </row>
        <row r="110">
          <cell r="D110" t="str">
            <v>EUR</v>
          </cell>
          <cell r="N110" t="str">
            <v/>
          </cell>
          <cell r="O110">
            <v>7.2785822158416558E-4</v>
          </cell>
          <cell r="P110">
            <v>1.3926456526700548E-3</v>
          </cell>
          <cell r="Q110">
            <v>5.8736778859322936E-3</v>
          </cell>
          <cell r="R110">
            <v>1.1887007381752746E-2</v>
          </cell>
          <cell r="S110" t="str">
            <v/>
          </cell>
          <cell r="T110">
            <v>3.6426278175076598E-2</v>
          </cell>
          <cell r="U110">
            <v>6.4072825977876446E-2</v>
          </cell>
          <cell r="V110">
            <v>0.11139413074854643</v>
          </cell>
          <cell r="W110" t="str">
            <v/>
          </cell>
          <cell r="X110">
            <v>8.1112743046984903E-4</v>
          </cell>
          <cell r="Y110">
            <v>1.559066342956994E-3</v>
          </cell>
          <cell r="Z110">
            <v>6.2049981035311452E-3</v>
          </cell>
          <cell r="AA110">
            <v>1.2455009036394404E-2</v>
          </cell>
          <cell r="AB110" t="str">
            <v/>
          </cell>
          <cell r="AC110">
            <v>3.8213375228570712E-2</v>
          </cell>
          <cell r="AD110">
            <v>6.7187808052849074E-2</v>
          </cell>
          <cell r="AE110">
            <v>0.11671738283544819</v>
          </cell>
        </row>
        <row r="111">
          <cell r="D111" t="str">
            <v>EUR</v>
          </cell>
          <cell r="N111" t="str">
            <v/>
          </cell>
          <cell r="O111">
            <v>1.4551879894108E-3</v>
          </cell>
          <cell r="P111">
            <v>3.3112610151497801E-3</v>
          </cell>
          <cell r="Q111">
            <v>8.2251805402145939E-3</v>
          </cell>
          <cell r="R111">
            <v>1.3799020835194242E-2</v>
          </cell>
          <cell r="S111" t="str">
            <v/>
          </cell>
          <cell r="T111">
            <v>2.805377384705865E-2</v>
          </cell>
          <cell r="U111">
            <v>4.3291779259459151E-2</v>
          </cell>
          <cell r="V111">
            <v>6.9372419203202362E-2</v>
          </cell>
          <cell r="W111" t="str">
            <v/>
          </cell>
          <cell r="X111">
            <v>1.5383965899991026E-3</v>
          </cell>
          <cell r="Y111">
            <v>3.477361962851977E-3</v>
          </cell>
          <cell r="Z111">
            <v>8.6218111365963246E-3</v>
          </cell>
          <cell r="AA111">
            <v>1.4484787646105612E-2</v>
          </cell>
          <cell r="AB111" t="str">
            <v/>
          </cell>
          <cell r="AC111">
            <v>2.943752043557657E-2</v>
          </cell>
          <cell r="AD111">
            <v>4.5412573939614398E-2</v>
          </cell>
          <cell r="AE111">
            <v>7.2723829317179467E-2</v>
          </cell>
        </row>
        <row r="112">
          <cell r="D112" t="str">
            <v>EUR</v>
          </cell>
          <cell r="N112" t="str">
            <v/>
          </cell>
          <cell r="O112">
            <v>6.3690485549472431E-4</v>
          </cell>
          <cell r="P112">
            <v>2.4516736389891269E-3</v>
          </cell>
          <cell r="Q112">
            <v>8.6260935930545513E-3</v>
          </cell>
          <cell r="R112">
            <v>1.8592082683634992E-2</v>
          </cell>
          <cell r="S112" t="str">
            <v/>
          </cell>
          <cell r="T112">
            <v>4.809405868603589E-2</v>
          </cell>
          <cell r="U112">
            <v>8.3659137962235341E-2</v>
          </cell>
          <cell r="V112">
            <v>0.14509939247422043</v>
          </cell>
          <cell r="W112" t="str">
            <v/>
          </cell>
          <cell r="X112">
            <v>7.2018164349907376E-4</v>
          </cell>
          <cell r="Y112">
            <v>2.617917839319861E-3</v>
          </cell>
          <cell r="Z112">
            <v>9.0390800092465806E-3</v>
          </cell>
          <cell r="AA112">
            <v>1.9512503821599969E-2</v>
          </cell>
          <cell r="AB112" t="str">
            <v/>
          </cell>
          <cell r="AC112">
            <v>5.0445165824277827E-2</v>
          </cell>
          <cell r="AD112">
            <v>8.7693069362573706E-2</v>
          </cell>
          <cell r="AE112">
            <v>0.15193509632039537</v>
          </cell>
        </row>
        <row r="113">
          <cell r="D113" t="str">
            <v>EUR</v>
          </cell>
          <cell r="N113" t="str">
            <v/>
          </cell>
          <cell r="O113">
            <v>1.091589126235637E-3</v>
          </cell>
          <cell r="P113">
            <v>2.9684668899444544E-3</v>
          </cell>
          <cell r="Q113">
            <v>1.0682715075234772E-2</v>
          </cell>
          <cell r="R113">
            <v>2.109367145122254E-2</v>
          </cell>
          <cell r="S113" t="str">
            <v/>
          </cell>
          <cell r="T113">
            <v>4.3331989401742099E-2</v>
          </cell>
          <cell r="U113">
            <v>7.2347892246412138E-2</v>
          </cell>
          <cell r="V113">
            <v>0.13032522371301092</v>
          </cell>
          <cell r="W113" t="str">
            <v/>
          </cell>
          <cell r="X113">
            <v>1.1748280254821886E-3</v>
          </cell>
          <cell r="Y113">
            <v>3.1346249652464131E-3</v>
          </cell>
          <cell r="Z113">
            <v>1.1212930526961151E-2</v>
          </cell>
          <cell r="AA113">
            <v>2.2137718863374456E-2</v>
          </cell>
          <cell r="AB113" t="str">
            <v/>
          </cell>
          <cell r="AC113">
            <v>4.5452899452584572E-2</v>
          </cell>
          <cell r="AD113">
            <v>7.5846740274256197E-2</v>
          </cell>
          <cell r="AE113">
            <v>0.13650009953722131</v>
          </cell>
        </row>
        <row r="114">
          <cell r="D114" t="str">
            <v>EUR</v>
          </cell>
          <cell r="N114" t="str">
            <v/>
          </cell>
          <cell r="O114">
            <v>1.6369379279012053E-3</v>
          </cell>
          <cell r="P114">
            <v>3.6584998327878759E-3</v>
          </cell>
          <cell r="Q114">
            <v>7.8598095114118527E-3</v>
          </cell>
          <cell r="R114">
            <v>1.3798394770760725E-2</v>
          </cell>
          <cell r="S114" t="str">
            <v/>
          </cell>
          <cell r="T114">
            <v>3.2497406653071326E-2</v>
          </cell>
          <cell r="U114">
            <v>5.5076403398969687E-2</v>
          </cell>
          <cell r="V114">
            <v>9.7615497599739198E-2</v>
          </cell>
          <cell r="W114" t="str">
            <v/>
          </cell>
          <cell r="X114">
            <v>1.720131383295409E-3</v>
          </cell>
          <cell r="Y114">
            <v>3.83284433973341E-3</v>
          </cell>
          <cell r="Z114">
            <v>8.2400570323377664E-3</v>
          </cell>
          <cell r="AA114">
            <v>1.4484624687851611E-2</v>
          </cell>
          <cell r="AB114" t="str">
            <v/>
          </cell>
          <cell r="AC114">
            <v>3.4098333818241566E-2</v>
          </cell>
          <cell r="AD114">
            <v>5.7764848089356113E-2</v>
          </cell>
          <cell r="AE114">
            <v>0.10230710771905749</v>
          </cell>
        </row>
        <row r="115">
          <cell r="D115" t="str">
            <v>EUR</v>
          </cell>
          <cell r="N115" t="str">
            <v/>
          </cell>
          <cell r="O115">
            <v>5.4594323121426314E-4</v>
          </cell>
          <cell r="P115">
            <v>1.3970708096262552E-3</v>
          </cell>
          <cell r="Q115">
            <v>4.8316218745174666E-3</v>
          </cell>
          <cell r="R115">
            <v>9.8205061333527244E-3</v>
          </cell>
          <cell r="S115" t="str">
            <v/>
          </cell>
          <cell r="T115">
            <v>2.5959512728266465E-2</v>
          </cell>
          <cell r="U115">
            <v>4.4800784949898698E-2</v>
          </cell>
          <cell r="V115">
            <v>8.5432329440192856E-2</v>
          </cell>
          <cell r="W115" t="str">
            <v/>
          </cell>
          <cell r="X115">
            <v>6.2922759904748826E-4</v>
          </cell>
          <cell r="Y115">
            <v>1.5634907624471062E-3</v>
          </cell>
          <cell r="Z115">
            <v>5.1632893862315621E-3</v>
          </cell>
          <cell r="AA115">
            <v>1.0315472128474723E-2</v>
          </cell>
          <cell r="AB115" t="str">
            <v/>
          </cell>
          <cell r="AC115">
            <v>2.7231990028239839E-2</v>
          </cell>
          <cell r="AD115">
            <v>4.6988362680224882E-2</v>
          </cell>
          <cell r="AE115">
            <v>8.955760358019671E-2</v>
          </cell>
        </row>
        <row r="116">
          <cell r="D116" t="str">
            <v>EUR</v>
          </cell>
          <cell r="N116" t="str">
            <v/>
          </cell>
          <cell r="O116">
            <v>8.1880333056005838E-4</v>
          </cell>
          <cell r="P116">
            <v>1.7427319313876311E-3</v>
          </cell>
          <cell r="Q116">
            <v>6.207695422293491E-3</v>
          </cell>
          <cell r="R116">
            <v>1.0795753038604028E-2</v>
          </cell>
          <cell r="S116" t="str">
            <v/>
          </cell>
          <cell r="T116">
            <v>2.8467828115225857E-2</v>
          </cell>
          <cell r="U116">
            <v>4.9525752126872713E-2</v>
          </cell>
          <cell r="V116">
            <v>8.9959389463476036E-2</v>
          </cell>
          <cell r="W116" t="str">
            <v/>
          </cell>
          <cell r="X116">
            <v>9.0206496099309863E-4</v>
          </cell>
          <cell r="Y116">
            <v>1.9090942788192455E-3</v>
          </cell>
          <cell r="Z116">
            <v>6.5389043192886076E-3</v>
          </cell>
          <cell r="AA116">
            <v>1.1314948967392824E-2</v>
          </cell>
          <cell r="AB116" t="str">
            <v/>
          </cell>
          <cell r="AC116">
            <v>2.9868767218389713E-2</v>
          </cell>
          <cell r="AD116">
            <v>5.1946430447913694E-2</v>
          </cell>
          <cell r="AE116">
            <v>9.4297801941785053E-2</v>
          </cell>
        </row>
        <row r="117">
          <cell r="D117" t="str">
            <v>EUR</v>
          </cell>
          <cell r="N117" t="str">
            <v/>
          </cell>
          <cell r="O117">
            <v>4.5497334759936336E-4</v>
          </cell>
          <cell r="P117">
            <v>1.22308070448085E-3</v>
          </cell>
          <cell r="Q117">
            <v>4.1419165886716902E-3</v>
          </cell>
          <cell r="R117">
            <v>9.331182816700756E-3</v>
          </cell>
          <cell r="S117" t="str">
            <v/>
          </cell>
          <cell r="T117">
            <v>2.5148525599997584E-2</v>
          </cell>
          <cell r="U117">
            <v>4.2383969088484852E-2</v>
          </cell>
          <cell r="V117">
            <v>8.2177422439858039E-2</v>
          </cell>
          <cell r="W117" t="str">
            <v/>
          </cell>
          <cell r="X117">
            <v>5.3826529594969141E-4</v>
          </cell>
          <cell r="Y117">
            <v>1.3895296532399071E-3</v>
          </cell>
          <cell r="Z117">
            <v>4.4738139638563768E-3</v>
          </cell>
          <cell r="AA117">
            <v>9.8263934123316021E-3</v>
          </cell>
          <cell r="AB117" t="str">
            <v/>
          </cell>
          <cell r="AC117">
            <v>2.6377525112739941E-2</v>
          </cell>
          <cell r="AD117">
            <v>4.4451024007545636E-2</v>
          </cell>
          <cell r="AE117">
            <v>8.6123001423043744E-2</v>
          </cell>
        </row>
        <row r="118">
          <cell r="D118" t="str">
            <v>EUR</v>
          </cell>
          <cell r="N118" t="str">
            <v/>
          </cell>
          <cell r="O118">
            <v>1.820141294202049E-4</v>
          </cell>
          <cell r="P118">
            <v>8.771990960207976E-4</v>
          </cell>
          <cell r="Q118">
            <v>3.4623601708850815E-3</v>
          </cell>
          <cell r="R118">
            <v>7.7901955991001026E-3</v>
          </cell>
          <cell r="S118" t="str">
            <v/>
          </cell>
          <cell r="T118">
            <v>1.9953101357247482E-2</v>
          </cell>
          <cell r="U118">
            <v>3.4009491114034729E-2</v>
          </cell>
          <cell r="V118">
            <v>6.1097318594132255E-2</v>
          </cell>
          <cell r="W118" t="str">
            <v/>
          </cell>
          <cell r="X118">
            <v>2.6532882340812858E-4</v>
          </cell>
          <cell r="Y118">
            <v>1.0437056869131434E-3</v>
          </cell>
          <cell r="Z118">
            <v>3.7944840271290081E-3</v>
          </cell>
          <cell r="AA118">
            <v>8.2861764957382622E-3</v>
          </cell>
          <cell r="AB118" t="str">
            <v/>
          </cell>
          <cell r="AC118">
            <v>2.0919239099150055E-2</v>
          </cell>
          <cell r="AD118">
            <v>3.5662875732787147E-2</v>
          </cell>
          <cell r="AE118">
            <v>6.4046437710694404E-2</v>
          </cell>
        </row>
        <row r="119">
          <cell r="D119" t="str">
            <v>EUR</v>
          </cell>
          <cell r="N119" t="str">
            <v/>
          </cell>
          <cell r="O119">
            <v>5.4594323121426314E-4</v>
          </cell>
          <cell r="P119">
            <v>1.5732511946792149E-3</v>
          </cell>
          <cell r="Q119">
            <v>5.8720409162813514E-3</v>
          </cell>
          <cell r="R119">
            <v>1.2415173920080624E-2</v>
          </cell>
          <cell r="S119" t="str">
            <v/>
          </cell>
          <cell r="T119">
            <v>3.2829344315967068E-2</v>
          </cell>
          <cell r="U119">
            <v>5.9276045111150255E-2</v>
          </cell>
          <cell r="V119">
            <v>0.11061604073705478</v>
          </cell>
          <cell r="W119" t="str">
            <v/>
          </cell>
          <cell r="X119">
            <v>6.2922759904748826E-4</v>
          </cell>
          <cell r="Y119">
            <v>1.7396417865397362E-3</v>
          </cell>
          <cell r="Z119">
            <v>6.2033616794492374E-3</v>
          </cell>
          <cell r="AA119">
            <v>1.3026173444875999E-2</v>
          </cell>
          <cell r="AB119" t="str">
            <v/>
          </cell>
          <cell r="AC119">
            <v>3.4440375902160092E-2</v>
          </cell>
          <cell r="AD119">
            <v>6.2161061272974827E-2</v>
          </cell>
          <cell r="AE119">
            <v>0.11591226237866614</v>
          </cell>
        </row>
        <row r="120">
          <cell r="D120" t="str">
            <v>EUR</v>
          </cell>
          <cell r="N120" t="str">
            <v/>
          </cell>
          <cell r="O120">
            <v>1.0370379099325922E-3</v>
          </cell>
          <cell r="P120">
            <v>2.8642260557074639E-3</v>
          </cell>
          <cell r="Q120">
            <v>8.1131268404998069E-3</v>
          </cell>
          <cell r="R120">
            <v>1.4996555393353428E-2</v>
          </cell>
          <cell r="S120" t="str">
            <v/>
          </cell>
          <cell r="T120">
            <v>3.4220034929788423E-2</v>
          </cell>
          <cell r="U120">
            <v>5.2257166435812907E-2</v>
          </cell>
          <cell r="V120">
            <v>7.8773799474637696E-2</v>
          </cell>
          <cell r="W120" t="str">
            <v/>
          </cell>
          <cell r="X120">
            <v>1.120281354912378E-3</v>
          </cell>
          <cell r="Y120">
            <v>3.0304015030199194E-3</v>
          </cell>
          <cell r="Z120">
            <v>8.503192292706796E-3</v>
          </cell>
          <cell r="AA120">
            <v>1.5740388031233787E-2</v>
          </cell>
          <cell r="AB120" t="str">
            <v/>
          </cell>
          <cell r="AC120">
            <v>3.5902811398058398E-2</v>
          </cell>
          <cell r="AD120">
            <v>5.4806782207309834E-2</v>
          </cell>
          <cell r="AE120">
            <v>8.2558219619120576E-2</v>
          </cell>
        </row>
        <row r="121">
          <cell r="D121" t="str">
            <v>EUR</v>
          </cell>
          <cell r="N121" t="str">
            <v/>
          </cell>
          <cell r="O121">
            <v>1.0461299856532325E-3</v>
          </cell>
          <cell r="P121">
            <v>3.1632134609318463E-3</v>
          </cell>
          <cell r="Q121">
            <v>9.6333708743353563E-3</v>
          </cell>
          <cell r="R121">
            <v>1.7974371832573444E-2</v>
          </cell>
          <cell r="S121" t="str">
            <v/>
          </cell>
          <cell r="T121">
            <v>3.9210781126717165E-2</v>
          </cell>
          <cell r="U121">
            <v>6.1631576143808986E-2</v>
          </cell>
          <cell r="V121">
            <v>9.5374207524688837E-2</v>
          </cell>
          <cell r="W121" t="str">
            <v/>
          </cell>
          <cell r="X121">
            <v>1.1293726729973974E-3</v>
          </cell>
          <cell r="Y121">
            <v>3.3293390811747203E-3</v>
          </cell>
          <cell r="Z121">
            <v>1.0095434144791526E-2</v>
          </cell>
          <cell r="AA121">
            <v>1.8865817303261312E-2</v>
          </cell>
          <cell r="AB121" t="str">
            <v/>
          </cell>
          <cell r="AC121">
            <v>4.1135004707086309E-2</v>
          </cell>
          <cell r="AD121">
            <v>6.462660081609406E-2</v>
          </cell>
          <cell r="AE121">
            <v>9.992030998266932E-2</v>
          </cell>
        </row>
        <row r="122">
          <cell r="D122" t="str">
            <v>EUR</v>
          </cell>
          <cell r="N122" t="str">
            <v/>
          </cell>
          <cell r="O122">
            <v>2.7300879781333443E-4</v>
          </cell>
          <cell r="P122">
            <v>5.2246957288426543E-4</v>
          </cell>
          <cell r="Q122">
            <v>2.423989529563686E-3</v>
          </cell>
          <cell r="R122">
            <v>5.1910229610637737E-3</v>
          </cell>
          <cell r="S122" t="str">
            <v/>
          </cell>
          <cell r="T122">
            <v>1.4822689414550227E-2</v>
          </cell>
          <cell r="U122">
            <v>2.6973440267887172E-2</v>
          </cell>
          <cell r="V122">
            <v>4.9389084116352122E-2</v>
          </cell>
          <cell r="W122" t="str">
            <v/>
          </cell>
          <cell r="X122">
            <v>3.5631590924090073E-4</v>
          </cell>
          <cell r="Y122">
            <v>6.8903528042396633E-4</v>
          </cell>
          <cell r="Z122">
            <v>2.7564594516580332E-3</v>
          </cell>
          <cell r="AA122">
            <v>5.6883031192032085E-3</v>
          </cell>
          <cell r="AB122" t="str">
            <v/>
          </cell>
          <cell r="AC122">
            <v>1.5643328526233402E-2</v>
          </cell>
          <cell r="AD122">
            <v>2.8260501801887772E-2</v>
          </cell>
          <cell r="AE122">
            <v>5.1758745622153768E-2</v>
          </cell>
        </row>
        <row r="123">
          <cell r="D123" t="str">
            <v>EUR</v>
          </cell>
          <cell r="N123" t="str">
            <v/>
          </cell>
          <cell r="O123">
            <v>6.3690485549472431E-4</v>
          </cell>
          <cell r="P123">
            <v>2.0994602738400037E-3</v>
          </cell>
          <cell r="Q123">
            <v>6.5484368162540552E-3</v>
          </cell>
          <cell r="R123">
            <v>1.3419558551839073E-2</v>
          </cell>
          <cell r="S123" t="str">
            <v/>
          </cell>
          <cell r="T123">
            <v>3.2692197762761888E-2</v>
          </cell>
          <cell r="U123">
            <v>5.5273520852263336E-2</v>
          </cell>
          <cell r="V123">
            <v>9.4049443523542609E-2</v>
          </cell>
          <cell r="W123" t="str">
            <v/>
          </cell>
          <cell r="X123">
            <v>7.2018164349907376E-4</v>
          </cell>
          <cell r="Y123">
            <v>2.2657631715060633E-3</v>
          </cell>
          <cell r="Z123">
            <v>6.8795321517071129E-3</v>
          </cell>
          <cell r="AA123">
            <v>1.4082864005925289E-2</v>
          </cell>
          <cell r="AB123" t="str">
            <v/>
          </cell>
          <cell r="AC123">
            <v>3.4298827509011476E-2</v>
          </cell>
          <cell r="AD123">
            <v>5.7968034510056721E-2</v>
          </cell>
          <cell r="AE123">
            <v>9.8545194686271098E-2</v>
          </cell>
        </row>
        <row r="124">
          <cell r="D124" t="str">
            <v>EUR</v>
          </cell>
          <cell r="N124" t="str">
            <v/>
          </cell>
          <cell r="O124">
            <v>5.4594323121426314E-4</v>
          </cell>
          <cell r="P124">
            <v>1.3970708096262552E-3</v>
          </cell>
          <cell r="Q124">
            <v>4.8316218745174666E-3</v>
          </cell>
          <cell r="R124">
            <v>1.035088639451387E-2</v>
          </cell>
          <cell r="S124" t="str">
            <v/>
          </cell>
          <cell r="T124">
            <v>2.6812391090289545E-2</v>
          </cell>
          <cell r="U124">
            <v>4.7257143490811226E-2</v>
          </cell>
          <cell r="V124">
            <v>8.1132308738468328E-2</v>
          </cell>
          <cell r="W124" t="str">
            <v/>
          </cell>
          <cell r="X124">
            <v>6.2922759904748826E-4</v>
          </cell>
          <cell r="Y124">
            <v>1.5634907624471062E-3</v>
          </cell>
          <cell r="Z124">
            <v>5.1632893862315621E-3</v>
          </cell>
          <cell r="AA124">
            <v>1.0845587265799872E-2</v>
          </cell>
          <cell r="AB124" t="str">
            <v/>
          </cell>
          <cell r="AC124">
            <v>2.8128493389712017E-2</v>
          </cell>
          <cell r="AD124">
            <v>4.9565084696422068E-2</v>
          </cell>
          <cell r="AE124">
            <v>8.5032817118908199E-2</v>
          </cell>
        </row>
        <row r="125">
          <cell r="D125" t="str">
            <v>EUR</v>
          </cell>
          <cell r="N125" t="str">
            <v/>
          </cell>
          <cell r="O125">
            <v>1.9095009945562236E-3</v>
          </cell>
          <cell r="P125">
            <v>3.6515597423353308E-3</v>
          </cell>
          <cell r="Q125">
            <v>1.3066876626733004E-2</v>
          </cell>
          <cell r="R125">
            <v>3.6683331101901251E-2</v>
          </cell>
          <cell r="S125" t="str">
            <v/>
          </cell>
          <cell r="T125">
            <v>8.1100304588341832E-2</v>
          </cell>
          <cell r="U125">
            <v>0.13378669175409796</v>
          </cell>
          <cell r="V125">
            <v>0.21277453829098236</v>
          </cell>
          <cell r="W125" t="str">
            <v/>
          </cell>
          <cell r="X125">
            <v>1.9968300925197191E-3</v>
          </cell>
          <cell r="Y125">
            <v>3.8259054636848866E-3</v>
          </cell>
          <cell r="Z125">
            <v>1.37169244105253E-2</v>
          </cell>
          <cell r="AA125">
            <v>3.8493322360746651E-2</v>
          </cell>
          <cell r="AB125" t="str">
            <v/>
          </cell>
          <cell r="AC125">
            <v>8.5027733719889698E-2</v>
          </cell>
          <cell r="AD125">
            <v>0.14011136690166492</v>
          </cell>
          <cell r="AE125">
            <v>0.22242282650306966</v>
          </cell>
        </row>
        <row r="126">
          <cell r="D126" t="str">
            <v>EUR</v>
          </cell>
          <cell r="N126" t="str">
            <v/>
          </cell>
          <cell r="O126">
            <v>1.2734050585156975E-3</v>
          </cell>
          <cell r="P126">
            <v>2.963901207762798E-3</v>
          </cell>
          <cell r="Q126">
            <v>1.1025630665352559E-2</v>
          </cell>
          <cell r="R126">
            <v>2.2652312260101226E-2</v>
          </cell>
          <cell r="S126" t="str">
            <v/>
          </cell>
          <cell r="T126">
            <v>5.4622290529526163E-2</v>
          </cell>
          <cell r="U126">
            <v>9.4981299794288154E-2</v>
          </cell>
          <cell r="V126">
            <v>0.15464328644700531</v>
          </cell>
          <cell r="W126" t="str">
            <v/>
          </cell>
          <cell r="X126">
            <v>1.3566288070471222E-3</v>
          </cell>
          <cell r="Y126">
            <v>3.1300600439404525E-3</v>
          </cell>
          <cell r="Z126">
            <v>1.1573056601427933E-2</v>
          </cell>
          <cell r="AA126">
            <v>2.3773292678996305E-2</v>
          </cell>
          <cell r="AB126" t="str">
            <v/>
          </cell>
          <cell r="AC126">
            <v>5.7284441189375035E-2</v>
          </cell>
          <cell r="AD126">
            <v>9.9536115189613694E-2</v>
          </cell>
          <cell r="AE126">
            <v>0.16187585405353566</v>
          </cell>
        </row>
        <row r="127">
          <cell r="D127" t="str">
            <v>EUR</v>
          </cell>
          <cell r="N127" t="str">
            <v/>
          </cell>
          <cell r="O127">
            <v>2.7300879781333443E-4</v>
          </cell>
          <cell r="P127">
            <v>1.0512575945389457E-3</v>
          </cell>
          <cell r="Q127">
            <v>3.8033174080542853E-3</v>
          </cell>
          <cell r="R127">
            <v>7.2345642601338023E-3</v>
          </cell>
          <cell r="S127" t="str">
            <v/>
          </cell>
          <cell r="T127">
            <v>1.9070850575711562E-2</v>
          </cell>
          <cell r="U127">
            <v>3.1507614881115198E-2</v>
          </cell>
          <cell r="V127">
            <v>5.3818447107337297E-2</v>
          </cell>
          <cell r="W127" t="str">
            <v/>
          </cell>
          <cell r="X127">
            <v>3.5631590924090073E-4</v>
          </cell>
          <cell r="Y127">
            <v>1.2177351780808809E-3</v>
          </cell>
          <cell r="Z127">
            <v>4.1353276307973807E-3</v>
          </cell>
          <cell r="AA127">
            <v>7.7308229030035314E-3</v>
          </cell>
          <cell r="AB127" t="str">
            <v/>
          </cell>
          <cell r="AC127">
            <v>1.9992903153255082E-2</v>
          </cell>
          <cell r="AD127">
            <v>3.3038419490919235E-2</v>
          </cell>
          <cell r="AE127">
            <v>5.6420325495721846E-2</v>
          </cell>
        </row>
        <row r="128">
          <cell r="D128" t="str">
            <v>EUR</v>
          </cell>
          <cell r="N128" t="str">
            <v/>
          </cell>
          <cell r="O128">
            <v>4.5497334759936336E-4</v>
          </cell>
          <cell r="P128">
            <v>1.9278047053625791E-3</v>
          </cell>
          <cell r="Q128">
            <v>6.5592652631388804E-3</v>
          </cell>
          <cell r="R128">
            <v>1.2901106729871992E-2</v>
          </cell>
          <cell r="S128" t="str">
            <v/>
          </cell>
          <cell r="T128">
            <v>3.274379074852074E-2</v>
          </cell>
          <cell r="U128">
            <v>5.5325578898474004E-2</v>
          </cell>
          <cell r="V128">
            <v>9.5973809331030613E-2</v>
          </cell>
          <cell r="W128" t="str">
            <v/>
          </cell>
          <cell r="X128">
            <v>5.3826529594969141E-4</v>
          </cell>
          <cell r="Y128">
            <v>2.094136209900177E-3</v>
          </cell>
          <cell r="Z128">
            <v>6.8903569897027506E-3</v>
          </cell>
          <cell r="AA128">
            <v>1.3538221601976597E-2</v>
          </cell>
          <cell r="AB128" t="str">
            <v/>
          </cell>
          <cell r="AC128">
            <v>3.4352529236707952E-2</v>
          </cell>
          <cell r="AD128">
            <v>5.8022461432181482E-2</v>
          </cell>
          <cell r="AE128">
            <v>0.1005842496976368</v>
          </cell>
        </row>
        <row r="129">
          <cell r="D129" t="str">
            <v>EUR</v>
          </cell>
          <cell r="N129" t="str">
            <v/>
          </cell>
          <cell r="O129">
            <v>9.0974018358735975E-4</v>
          </cell>
          <cell r="P129">
            <v>2.7970014672076271E-3</v>
          </cell>
          <cell r="Q129">
            <v>8.2581943532946678E-3</v>
          </cell>
          <cell r="R129">
            <v>1.5947238663102103E-2</v>
          </cell>
          <cell r="S129" t="str">
            <v/>
          </cell>
          <cell r="T129">
            <v>4.477092933673843E-2</v>
          </cell>
          <cell r="U129">
            <v>7.5360539986676689E-2</v>
          </cell>
          <cell r="V129">
            <v>0.12109344447539128</v>
          </cell>
          <cell r="W129" t="str">
            <v/>
          </cell>
          <cell r="X129">
            <v>9.9299423627774441E-4</v>
          </cell>
          <cell r="Y129">
            <v>2.9631881176895858E-3</v>
          </cell>
          <cell r="Z129">
            <v>8.6548117467698527E-3</v>
          </cell>
          <cell r="AA129">
            <v>1.6737839472473315E-2</v>
          </cell>
          <cell r="AB129" t="str">
            <v/>
          </cell>
          <cell r="AC129">
            <v>4.6963705460402405E-2</v>
          </cell>
          <cell r="AD129">
            <v>7.9007991125429111E-2</v>
          </cell>
          <cell r="AE129">
            <v>0.12684009781984307</v>
          </cell>
        </row>
        <row r="130">
          <cell r="D130" t="str">
            <v>EUR</v>
          </cell>
          <cell r="N130" t="str">
            <v/>
          </cell>
          <cell r="O130">
            <v>6.3690485549472431E-4</v>
          </cell>
          <cell r="P130">
            <v>1.7471884482904709E-3</v>
          </cell>
          <cell r="Q130">
            <v>5.8635650664877748E-3</v>
          </cell>
          <cell r="R130">
            <v>1.240652024510347E-2</v>
          </cell>
          <cell r="S130" t="str">
            <v/>
          </cell>
          <cell r="T130">
            <v>3.2820358938562832E-2</v>
          </cell>
          <cell r="U130">
            <v>5.7979315402498011E-2</v>
          </cell>
          <cell r="V130">
            <v>0.10324679274699833</v>
          </cell>
          <cell r="W130" t="str">
            <v/>
          </cell>
          <cell r="X130">
            <v>7.2018164349907376E-4</v>
          </cell>
          <cell r="Y130">
            <v>1.9135500530244043E-3</v>
          </cell>
          <cell r="Z130">
            <v>6.1948886544578308E-3</v>
          </cell>
          <cell r="AA130">
            <v>1.3017485727207068E-2</v>
          </cell>
          <cell r="AB130" t="str">
            <v/>
          </cell>
          <cell r="AC130">
            <v>3.4431340851010073E-2</v>
          </cell>
          <cell r="AD130">
            <v>6.0802503707572231E-2</v>
          </cell>
          <cell r="AE130">
            <v>0.10819720290985746</v>
          </cell>
        </row>
        <row r="131">
          <cell r="D131" t="str">
            <v>EUR</v>
          </cell>
          <cell r="N131" t="str">
            <v/>
          </cell>
          <cell r="O131">
            <v>1.0006687817649684E-3</v>
          </cell>
          <cell r="P131">
            <v>2.6186876321401265E-3</v>
          </cell>
          <cell r="Q131">
            <v>6.5205503597596248E-3</v>
          </cell>
          <cell r="R131">
            <v>1.33911010642499E-2</v>
          </cell>
          <cell r="S131" t="str">
            <v/>
          </cell>
          <cell r="T131">
            <v>3.2662866552734204E-2</v>
          </cell>
          <cell r="U131">
            <v>5.6531715302251651E-2</v>
          </cell>
          <cell r="V131">
            <v>9.7599269559602964E-2</v>
          </cell>
          <cell r="W131" t="str">
            <v/>
          </cell>
          <cell r="X131">
            <v>1.0839152573786093E-3</v>
          </cell>
          <cell r="Y131">
            <v>2.78490399911413E-3</v>
          </cell>
          <cell r="Z131">
            <v>6.8516549891473044E-3</v>
          </cell>
          <cell r="AA131">
            <v>1.4054285805512934E-2</v>
          </cell>
          <cell r="AB131" t="str">
            <v/>
          </cell>
          <cell r="AC131">
            <v>3.4269334910502325E-2</v>
          </cell>
          <cell r="AD131">
            <v>5.9287947336480351E-2</v>
          </cell>
          <cell r="AE131">
            <v>0.10228649222826824</v>
          </cell>
        </row>
        <row r="132">
          <cell r="D132" t="str">
            <v>EUR</v>
          </cell>
          <cell r="N132" t="str">
            <v/>
          </cell>
          <cell r="O132">
            <v>7.2785822158416558E-4</v>
          </cell>
          <cell r="P132">
            <v>1.744960105844795E-3</v>
          </cell>
          <cell r="Q132">
            <v>6.5586206526362378E-3</v>
          </cell>
          <cell r="R132">
            <v>1.2370859980084248E-2</v>
          </cell>
          <cell r="S132" t="str">
            <v/>
          </cell>
          <cell r="T132">
            <v>3.2783329141084838E-2</v>
          </cell>
          <cell r="U132">
            <v>5.4076735890140726E-2</v>
          </cell>
          <cell r="V132">
            <v>9.2429670483917259E-2</v>
          </cell>
          <cell r="W132" t="str">
            <v/>
          </cell>
          <cell r="X132">
            <v>8.1112743046984903E-4</v>
          </cell>
          <cell r="Y132">
            <v>1.9113220819424459E-3</v>
          </cell>
          <cell r="Z132">
            <v>6.8897125940247106E-3</v>
          </cell>
          <cell r="AA132">
            <v>1.2963259726413878E-2</v>
          </cell>
          <cell r="AB132" t="str">
            <v/>
          </cell>
          <cell r="AC132">
            <v>3.4395508550795983E-2</v>
          </cell>
          <cell r="AD132">
            <v>5.6715328089780859E-2</v>
          </cell>
          <cell r="AE132">
            <v>9.6852402932293691E-2</v>
          </cell>
        </row>
        <row r="133">
          <cell r="D133" t="str">
            <v>EUR</v>
          </cell>
          <cell r="N133" t="str">
            <v/>
          </cell>
          <cell r="O133">
            <v>6.3690485549472431E-4</v>
          </cell>
          <cell r="P133">
            <v>1.3948581478229194E-3</v>
          </cell>
          <cell r="Q133">
            <v>4.4803848348143882E-3</v>
          </cell>
          <cell r="R133">
            <v>8.7734748813398378E-3</v>
          </cell>
          <cell r="S133" t="str">
            <v/>
          </cell>
          <cell r="T133">
            <v>2.3373124735235562E-2</v>
          </cell>
          <cell r="U133">
            <v>3.7387212017802818E-2</v>
          </cell>
          <cell r="V133">
            <v>6.7745367232942111E-2</v>
          </cell>
          <cell r="W133" t="str">
            <v/>
          </cell>
          <cell r="X133">
            <v>7.2018164349907376E-4</v>
          </cell>
          <cell r="Y133">
            <v>1.5612784693798121E-3</v>
          </cell>
          <cell r="Z133">
            <v>4.812169406048783E-3</v>
          </cell>
          <cell r="AA133">
            <v>9.2689642612319156E-3</v>
          </cell>
          <cell r="AB133" t="str">
            <v/>
          </cell>
          <cell r="AC133">
            <v>2.4514499352385921E-2</v>
          </cell>
          <cell r="AD133">
            <v>3.9211367521341356E-2</v>
          </cell>
          <cell r="AE133">
            <v>7.1013938880104877E-2</v>
          </cell>
        </row>
        <row r="134">
          <cell r="D134" t="str">
            <v>EUR</v>
          </cell>
          <cell r="N134" t="str">
            <v/>
          </cell>
          <cell r="O134">
            <v>2.7300879781333443E-4</v>
          </cell>
          <cell r="P134">
            <v>1.0512575945389457E-3</v>
          </cell>
          <cell r="Q134">
            <v>4.5016027887184729E-3</v>
          </cell>
          <cell r="R134">
            <v>9.3256218506686528E-3</v>
          </cell>
          <cell r="S134" t="str">
            <v/>
          </cell>
          <cell r="T134">
            <v>2.5142785420706582E-2</v>
          </cell>
          <cell r="U134">
            <v>4.2378159904398416E-2</v>
          </cell>
          <cell r="V134">
            <v>7.8340968265681155E-2</v>
          </cell>
          <cell r="W134" t="str">
            <v/>
          </cell>
          <cell r="X134">
            <v>3.5631590924090073E-4</v>
          </cell>
          <cell r="Y134">
            <v>1.2177351780808809E-3</v>
          </cell>
          <cell r="Z134">
            <v>4.8333802884625854E-3</v>
          </cell>
          <cell r="AA134">
            <v>9.8208352260754639E-3</v>
          </cell>
          <cell r="AB134" t="str">
            <v/>
          </cell>
          <cell r="AC134">
            <v>2.6371759508249437E-2</v>
          </cell>
          <cell r="AD134">
            <v>4.4445186482142129E-2</v>
          </cell>
          <cell r="AE134">
            <v>8.2107499795573746E-2</v>
          </cell>
        </row>
        <row r="135">
          <cell r="D135" t="str">
            <v>EUR</v>
          </cell>
          <cell r="N135" t="str">
            <v/>
          </cell>
          <cell r="O135">
            <v>5.4594323121426314E-4</v>
          </cell>
          <cell r="P135">
            <v>1.5732511946792149E-3</v>
          </cell>
          <cell r="Q135">
            <v>6.2207748185563183E-3</v>
          </cell>
          <cell r="R135">
            <v>1.292818812011276E-2</v>
          </cell>
          <cell r="S135" t="str">
            <v/>
          </cell>
          <cell r="T135">
            <v>3.366067248634852E-2</v>
          </cell>
          <cell r="U135">
            <v>5.7833393624994844E-2</v>
          </cell>
          <cell r="V135">
            <v>0.10876125295028838</v>
          </cell>
          <cell r="W135" t="str">
            <v/>
          </cell>
          <cell r="X135">
            <v>6.2922759904748826E-4</v>
          </cell>
          <cell r="Y135">
            <v>1.7396417865397362E-3</v>
          </cell>
          <cell r="Z135">
            <v>6.5519793564798867E-3</v>
          </cell>
          <cell r="AA135">
            <v>1.3565393683712124E-2</v>
          </cell>
          <cell r="AB135" t="str">
            <v/>
          </cell>
          <cell r="AC135">
            <v>3.5312811369475616E-2</v>
          </cell>
          <cell r="AD135">
            <v>6.0649230090923711E-2</v>
          </cell>
          <cell r="AE135">
            <v>0.11397102457958364</v>
          </cell>
        </row>
        <row r="136">
          <cell r="D136" t="str">
            <v>EUR</v>
          </cell>
          <cell r="N136" t="str">
            <v/>
          </cell>
          <cell r="O136">
            <v>1.0734057175864065E-3</v>
          </cell>
          <cell r="P136">
            <v>2.6696849839024095E-3</v>
          </cell>
          <cell r="Q136">
            <v>7.1091502464659673E-3</v>
          </cell>
          <cell r="R136">
            <v>1.2776624107392442E-2</v>
          </cell>
          <cell r="S136" t="str">
            <v/>
          </cell>
          <cell r="T136">
            <v>2.733637709428427E-2</v>
          </cell>
          <cell r="U136">
            <v>4.3169579725446328E-2</v>
          </cell>
          <cell r="V136">
            <v>6.7773629557425163E-2</v>
          </cell>
          <cell r="W136" t="str">
            <v/>
          </cell>
          <cell r="X136">
            <v>1.1566461320424715E-3</v>
          </cell>
          <cell r="Y136">
            <v>2.8358928520327842E-3</v>
          </cell>
          <cell r="Z136">
            <v>7.4516385070125812E-3</v>
          </cell>
          <cell r="AA136">
            <v>1.3410297648045466E-2</v>
          </cell>
          <cell r="AB136" t="str">
            <v/>
          </cell>
          <cell r="AC136">
            <v>2.8683991104670459E-2</v>
          </cell>
          <cell r="AD136">
            <v>4.5284087662056716E-2</v>
          </cell>
          <cell r="AE136">
            <v>7.1049737625763609E-2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1.2447929071296437E-3</v>
          </cell>
          <cell r="Q137" t="str">
            <v/>
          </cell>
          <cell r="R137">
            <v>9.3506776630444266E-3</v>
          </cell>
          <cell r="S137" t="str">
            <v/>
          </cell>
          <cell r="T137">
            <v>2.3776874189456287E-2</v>
          </cell>
          <cell r="U137">
            <v>3.7089339485033457E-2</v>
          </cell>
          <cell r="V137">
            <v>6.2782934730373774E-2</v>
          </cell>
          <cell r="W137" t="str">
            <v/>
          </cell>
          <cell r="X137" t="str">
            <v/>
          </cell>
          <cell r="Y137">
            <v>1.4112382374846799E-3</v>
          </cell>
          <cell r="Z137" t="str">
            <v/>
          </cell>
          <cell r="AA137">
            <v>9.8458785137166549E-3</v>
          </cell>
          <cell r="AB137" t="str">
            <v/>
          </cell>
          <cell r="AC137">
            <v>2.4941003117541216E-2</v>
          </cell>
          <cell r="AD137">
            <v>3.8901707481254433E-2</v>
          </cell>
          <cell r="AE137">
            <v>6.5818079061830015E-2</v>
          </cell>
        </row>
        <row r="138">
          <cell r="D138" t="str">
            <v>USD</v>
          </cell>
          <cell r="N138" t="str">
            <v/>
          </cell>
          <cell r="O138" t="str">
            <v/>
          </cell>
          <cell r="P138">
            <v>2.4741458840724651E-3</v>
          </cell>
          <cell r="Q138" t="str">
            <v/>
          </cell>
          <cell r="R138">
            <v>1.3533589798424672E-2</v>
          </cell>
          <cell r="S138" t="str">
            <v/>
          </cell>
          <cell r="T138">
            <v>3.3147968117997584E-2</v>
          </cell>
          <cell r="U138">
            <v>5.7528142573739505E-2</v>
          </cell>
          <cell r="V138">
            <v>9.766831710565016E-2</v>
          </cell>
          <cell r="W138" t="str">
            <v/>
          </cell>
          <cell r="X138" t="str">
            <v/>
          </cell>
          <cell r="Y138">
            <v>2.6403863393338334E-3</v>
          </cell>
          <cell r="Z138" t="str">
            <v/>
          </cell>
          <cell r="AA138">
            <v>1.4184689277878526E-2</v>
          </cell>
          <cell r="AB138" t="str">
            <v/>
          </cell>
          <cell r="AC138">
            <v>3.4778403845987405E-2</v>
          </cell>
          <cell r="AD138">
            <v>6.0332051277701804E-2</v>
          </cell>
          <cell r="AE138">
            <v>0.10235837996539221</v>
          </cell>
        </row>
        <row r="139">
          <cell r="D139" t="str">
            <v>USD</v>
          </cell>
          <cell r="N139" t="str">
            <v/>
          </cell>
          <cell r="O139">
            <v>1.2188824510293017E-3</v>
          </cell>
          <cell r="P139">
            <v>3.6339720499689587E-3</v>
          </cell>
          <cell r="Q139">
            <v>1.0480688632767188E-2</v>
          </cell>
          <cell r="R139">
            <v>1.8119827201183436E-2</v>
          </cell>
          <cell r="S139" t="str">
            <v/>
          </cell>
          <cell r="T139">
            <v>3.6229829252400036E-2</v>
          </cell>
          <cell r="U139">
            <v>5.4758275426606828E-2</v>
          </cell>
          <cell r="V139">
            <v>8.3804781795728478E-2</v>
          </cell>
          <cell r="W139" t="str">
            <v/>
          </cell>
          <cell r="X139">
            <v>1.3021107429398437E-3</v>
          </cell>
          <cell r="Y139">
            <v>3.8066605280486776E-3</v>
          </cell>
          <cell r="Z139">
            <v>1.1001933432927768E-2</v>
          </cell>
          <cell r="AA139">
            <v>1.9018143846343816E-2</v>
          </cell>
          <cell r="AB139" t="str">
            <v/>
          </cell>
          <cell r="AC139">
            <v>3.8008774060655282E-2</v>
          </cell>
          <cell r="AD139">
            <v>5.7424367103765528E-2</v>
          </cell>
          <cell r="AE139">
            <v>8.7817439179784018E-2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1.3526604913148832E-3</v>
          </cell>
          <cell r="Q140" t="str">
            <v/>
          </cell>
          <cell r="R140">
            <v>7.6883722233259677E-3</v>
          </cell>
          <cell r="S140" t="str">
            <v/>
          </cell>
          <cell r="T140">
            <v>1.8742656356136145E-2</v>
          </cell>
          <cell r="U140">
            <v>3.0332840046010778E-2</v>
          </cell>
          <cell r="V140">
            <v>6.1658555512821511E-2</v>
          </cell>
          <cell r="W140" t="str">
            <v/>
          </cell>
          <cell r="X140" t="str">
            <v/>
          </cell>
          <cell r="Y140">
            <v>1.5190878452285839E-3</v>
          </cell>
          <cell r="Z140" t="str">
            <v/>
          </cell>
          <cell r="AA140">
            <v>8.184404018919178E-3</v>
          </cell>
          <cell r="AB140" t="str">
            <v/>
          </cell>
          <cell r="AC140">
            <v>1.9651585456804788E-2</v>
          </cell>
          <cell r="AD140">
            <v>3.1809161577680101E-2</v>
          </cell>
          <cell r="AE140">
            <v>6.4635852496682467E-2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1.6414103355083531E-3</v>
          </cell>
          <cell r="Q141" t="str">
            <v/>
          </cell>
          <cell r="R141">
            <v>1.3911817055039299E-2</v>
          </cell>
          <cell r="S141" t="str">
            <v/>
          </cell>
          <cell r="T141">
            <v>3.3605935397596154E-2</v>
          </cell>
          <cell r="U141">
            <v>5.565254927765062E-2</v>
          </cell>
          <cell r="V141">
            <v>9.8065167450972046E-2</v>
          </cell>
          <cell r="W141" t="str">
            <v/>
          </cell>
          <cell r="X141" t="str">
            <v/>
          </cell>
          <cell r="Y141">
            <v>1.8077895684687206E-3</v>
          </cell>
          <cell r="Z141" t="str">
            <v/>
          </cell>
          <cell r="AA141">
            <v>1.4577694697156862E-2</v>
          </cell>
          <cell r="AB141" t="str">
            <v/>
          </cell>
          <cell r="AC141">
            <v>3.5255842473326582E-2</v>
          </cell>
          <cell r="AD141">
            <v>5.8363400513410268E-2</v>
          </cell>
          <cell r="AE141">
            <v>0.1027729201567823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2.0987179082332386E-3</v>
          </cell>
          <cell r="Q142" t="str">
            <v/>
          </cell>
          <cell r="R142">
            <v>9.8266486249940499E-3</v>
          </cell>
          <cell r="S142" t="str">
            <v/>
          </cell>
          <cell r="T142">
            <v>2.0629239047427528E-2</v>
          </cell>
          <cell r="U142">
            <v>3.2062430848398549E-2</v>
          </cell>
          <cell r="V142">
            <v>5.5673638349171495E-2</v>
          </cell>
          <cell r="W142" t="str">
            <v/>
          </cell>
          <cell r="X142" t="str">
            <v/>
          </cell>
          <cell r="Y142">
            <v>2.2650209296275481E-3</v>
          </cell>
          <cell r="Z142" t="str">
            <v/>
          </cell>
          <cell r="AA142">
            <v>1.0321611549645726E-2</v>
          </cell>
          <cell r="AB142" t="str">
            <v/>
          </cell>
          <cell r="AC142">
            <v>2.1644627893846136E-2</v>
          </cell>
          <cell r="AD142">
            <v>3.3635921197798568E-2</v>
          </cell>
          <cell r="AE142">
            <v>5.8378014126842959E-2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2.0500410574152417E-3</v>
          </cell>
          <cell r="Q143" t="str">
            <v/>
          </cell>
          <cell r="R143">
            <v>1.1807707588654348E-2</v>
          </cell>
          <cell r="S143" t="str">
            <v/>
          </cell>
          <cell r="T143">
            <v>2.9068610910760073E-2</v>
          </cell>
          <cell r="U143">
            <v>5.2826377542974479E-2</v>
          </cell>
          <cell r="V143">
            <v>9.2468493835141885E-2</v>
          </cell>
          <cell r="W143" t="str">
            <v/>
          </cell>
          <cell r="X143" t="str">
            <v/>
          </cell>
          <cell r="Y143">
            <v>2.2163521909092099E-3</v>
          </cell>
          <cell r="Z143" t="str">
            <v/>
          </cell>
          <cell r="AA143">
            <v>1.2376001733589326E-2</v>
          </cell>
          <cell r="AB143" t="str">
            <v/>
          </cell>
          <cell r="AC143">
            <v>3.0499084201434545E-2</v>
          </cell>
          <cell r="AD143">
            <v>5.5405444743345633E-2</v>
          </cell>
          <cell r="AE143">
            <v>9.6922423949325154E-2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2.0709028533263396E-3</v>
          </cell>
          <cell r="Q144" t="str">
            <v/>
          </cell>
          <cell r="R144">
            <v>1.2457848377123382E-2</v>
          </cell>
          <cell r="S144" t="str">
            <v/>
          </cell>
          <cell r="T144">
            <v>3.0282901097456905E-2</v>
          </cell>
          <cell r="U144">
            <v>4.3547145282777699E-2</v>
          </cell>
          <cell r="V144">
            <v>6.4785350561814892E-2</v>
          </cell>
          <cell r="W144" t="str">
            <v/>
          </cell>
          <cell r="X144" t="str">
            <v/>
          </cell>
          <cell r="Y144">
            <v>2.2372105101641226E-3</v>
          </cell>
          <cell r="Z144" t="str">
            <v/>
          </cell>
          <cell r="AA144">
            <v>1.3056857834771729E-2</v>
          </cell>
          <cell r="AB144" t="str">
            <v/>
          </cell>
          <cell r="AC144">
            <v>3.1772620868964818E-2</v>
          </cell>
          <cell r="AD144">
            <v>4.5677471832602068E-2</v>
          </cell>
          <cell r="AE144">
            <v>6.7915806116818911E-2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1.9196450297898071E-3</v>
          </cell>
          <cell r="Q145" t="str">
            <v/>
          </cell>
          <cell r="R145">
            <v>9.2492150627133674E-3</v>
          </cell>
          <cell r="S145" t="str">
            <v/>
          </cell>
          <cell r="T145">
            <v>2.1999104366447364E-2</v>
          </cell>
          <cell r="U145">
            <v>4.2250656324916536E-2</v>
          </cell>
          <cell r="V145">
            <v>7.4592546792852432E-2</v>
          </cell>
          <cell r="W145" t="str">
            <v/>
          </cell>
          <cell r="X145" t="str">
            <v/>
          </cell>
          <cell r="Y145">
            <v>2.0859778941660911E-3</v>
          </cell>
          <cell r="Z145" t="str">
            <v/>
          </cell>
          <cell r="AA145">
            <v>9.744466631994908E-3</v>
          </cell>
          <cell r="AB145" t="str">
            <v/>
          </cell>
          <cell r="AC145">
            <v>2.307809524192872E-2</v>
          </cell>
          <cell r="AD145">
            <v>4.4316175987050954E-2</v>
          </cell>
          <cell r="AE145">
            <v>7.8188704649759133E-2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2.0396099972084247E-3</v>
          </cell>
          <cell r="Q146" t="str">
            <v/>
          </cell>
          <cell r="R146">
            <v>1.5926265603397161E-2</v>
          </cell>
          <cell r="S146" t="str">
            <v/>
          </cell>
          <cell r="T146">
            <v>3.334595367808213E-2</v>
          </cell>
          <cell r="U146">
            <v>5.7764442095641355E-2</v>
          </cell>
          <cell r="V146">
            <v>0.10618854650438403</v>
          </cell>
          <cell r="W146" t="str">
            <v/>
          </cell>
          <cell r="X146" t="str">
            <v/>
          </cell>
          <cell r="Y146">
            <v>2.2059228690995969E-3</v>
          </cell>
          <cell r="Z146" t="str">
            <v/>
          </cell>
          <cell r="AA146">
            <v>1.6710750062367108E-2</v>
          </cell>
          <cell r="AB146" t="str">
            <v/>
          </cell>
          <cell r="AC146">
            <v>3.4981858095125995E-2</v>
          </cell>
          <cell r="AD146">
            <v>6.0573955521038503E-2</v>
          </cell>
          <cell r="AE146">
            <v>0.11127455793747931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1.8066214655855228E-3</v>
          </cell>
          <cell r="Q147" t="str">
            <v/>
          </cell>
          <cell r="R147">
            <v>1.4648353877763753E-2</v>
          </cell>
          <cell r="S147" t="str">
            <v/>
          </cell>
          <cell r="T147">
            <v>3.7387620872978755E-2</v>
          </cell>
          <cell r="U147">
            <v>6.5753368031064574E-2</v>
          </cell>
          <cell r="V147">
            <v>0.12450316976446407</v>
          </cell>
          <cell r="W147" t="str">
            <v/>
          </cell>
          <cell r="X147" t="str">
            <v/>
          </cell>
          <cell r="Y147">
            <v>1.9729731656353833E-3</v>
          </cell>
          <cell r="Z147" t="str">
            <v/>
          </cell>
          <cell r="AA147">
            <v>1.5369180035513574E-2</v>
          </cell>
          <cell r="AB147" t="str">
            <v/>
          </cell>
          <cell r="AC147">
            <v>3.9219206907140647E-2</v>
          </cell>
          <cell r="AD147">
            <v>6.8943718417558419E-2</v>
          </cell>
          <cell r="AE147">
            <v>0.13043414626973349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1.6622806069246376E-3</v>
          </cell>
          <cell r="Q148" t="str">
            <v/>
          </cell>
          <cell r="R148">
            <v>9.2836890770342517E-3</v>
          </cell>
          <cell r="S148" t="str">
            <v/>
          </cell>
          <cell r="T148">
            <v>3.0239223190937303E-2</v>
          </cell>
          <cell r="U148">
            <v>5.768196085719568E-2</v>
          </cell>
          <cell r="V148">
            <v>0.11211494297338365</v>
          </cell>
          <cell r="W148" t="str">
            <v/>
          </cell>
          <cell r="X148" t="str">
            <v/>
          </cell>
          <cell r="Y148">
            <v>1.8286563617743168E-3</v>
          </cell>
          <cell r="Z148" t="str">
            <v/>
          </cell>
          <cell r="AA148">
            <v>9.7789234135656766E-3</v>
          </cell>
          <cell r="AB148" t="str">
            <v/>
          </cell>
          <cell r="AC148">
            <v>3.1720214914026101E-2</v>
          </cell>
          <cell r="AD148">
            <v>6.0489078253941231E-2</v>
          </cell>
          <cell r="AE148">
            <v>0.11748856468622448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1.098631281780782E-3</v>
          </cell>
          <cell r="Q149" t="str">
            <v/>
          </cell>
          <cell r="R149">
            <v>9.6620733669479097E-3</v>
          </cell>
          <cell r="S149" t="str">
            <v/>
          </cell>
          <cell r="T149">
            <v>2.9815672895977641E-2</v>
          </cell>
          <cell r="U149">
            <v>5.2873604098409466E-2</v>
          </cell>
          <cell r="V149">
            <v>0.10182740795280198</v>
          </cell>
          <cell r="W149" t="str">
            <v/>
          </cell>
          <cell r="X149" t="str">
            <v/>
          </cell>
          <cell r="Y149">
            <v>1.2651009703629201E-3</v>
          </cell>
          <cell r="Z149" t="str">
            <v/>
          </cell>
          <cell r="AA149">
            <v>1.0157118558647427E-2</v>
          </cell>
          <cell r="AB149" t="str">
            <v/>
          </cell>
          <cell r="AC149">
            <v>3.1275930297053445E-2</v>
          </cell>
          <cell r="AD149">
            <v>5.5449510770520738E-2</v>
          </cell>
          <cell r="AE149">
            <v>0.10672068191964879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5.7122897326666866E-4</v>
          </cell>
          <cell r="Q150" t="str">
            <v/>
          </cell>
          <cell r="R150">
            <v>5.085291880474796E-3</v>
          </cell>
          <cell r="S150" t="str">
            <v/>
          </cell>
          <cell r="T150">
            <v>1.4303832773260083E-2</v>
          </cell>
          <cell r="U150">
            <v>2.7172247633156954E-2</v>
          </cell>
          <cell r="V150">
            <v>5.2851796365302461E-2</v>
          </cell>
          <cell r="W150" t="str">
            <v/>
          </cell>
          <cell r="X150" t="str">
            <v/>
          </cell>
          <cell r="Y150">
            <v>7.3778655492984235E-4</v>
          </cell>
          <cell r="Z150" t="str">
            <v/>
          </cell>
          <cell r="AA150">
            <v>5.5826248909025544E-3</v>
          </cell>
          <cell r="AB150" t="str">
            <v/>
          </cell>
          <cell r="AC150">
            <v>1.5124904085395685E-2</v>
          </cell>
          <cell r="AD150">
            <v>2.8462284466911902E-2</v>
          </cell>
          <cell r="AE150">
            <v>5.5380232743552305E-2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5.2472707603408164E-3</v>
          </cell>
          <cell r="Q151" t="str">
            <v/>
          </cell>
          <cell r="R151">
            <v>4.7598855227608428E-2</v>
          </cell>
          <cell r="S151" t="str">
            <v/>
          </cell>
          <cell r="T151">
            <v>0.12619627711057035</v>
          </cell>
          <cell r="U151">
            <v>0.19686403740828351</v>
          </cell>
          <cell r="V151">
            <v>0.30148883105488244</v>
          </cell>
          <cell r="W151" t="str">
            <v/>
          </cell>
          <cell r="X151" t="str">
            <v/>
          </cell>
          <cell r="Y151">
            <v>5.4975853646216377E-3</v>
          </cell>
          <cell r="Z151" t="str">
            <v/>
          </cell>
          <cell r="AA151">
            <v>4.9933978593332928E-2</v>
          </cell>
          <cell r="AB151" t="str">
            <v/>
          </cell>
          <cell r="AC151">
            <v>0.13220461694346375</v>
          </cell>
          <cell r="AD151">
            <v>0.20589189682417819</v>
          </cell>
          <cell r="AE151">
            <v>0.31447564127352678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9.2460166473706806E-4</v>
          </cell>
          <cell r="Q152" t="str">
            <v/>
          </cell>
          <cell r="R152">
            <v>3.4580234219174777E-3</v>
          </cell>
          <cell r="S152" t="str">
            <v/>
          </cell>
          <cell r="T152">
            <v>1.008067743612473E-2</v>
          </cell>
          <cell r="U152">
            <v>1.8418926946348946E-2</v>
          </cell>
          <cell r="V152">
            <v>3.545885646480984E-2</v>
          </cell>
          <cell r="W152" t="str">
            <v/>
          </cell>
          <cell r="X152" t="str">
            <v/>
          </cell>
          <cell r="Y152">
            <v>1.0911003558539134E-3</v>
          </cell>
          <cell r="Z152" t="str">
            <v/>
          </cell>
          <cell r="AA152">
            <v>3.9561698632063491E-3</v>
          </cell>
          <cell r="AB152" t="str">
            <v/>
          </cell>
          <cell r="AC152">
            <v>1.090526657841806E-2</v>
          </cell>
          <cell r="AD152">
            <v>1.9563437104142434E-2</v>
          </cell>
          <cell r="AE152">
            <v>3.7094658860433949E-2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8.340943702173087E-4</v>
          </cell>
          <cell r="Q153" t="str">
            <v/>
          </cell>
          <cell r="R153">
            <v>6.4228372224643948E-3</v>
          </cell>
          <cell r="S153" t="str">
            <v/>
          </cell>
          <cell r="T153">
            <v>1.8054799281657319E-2</v>
          </cell>
          <cell r="U153">
            <v>3.1561999244036687E-2</v>
          </cell>
          <cell r="V153">
            <v>5.4124256014959959E-2</v>
          </cell>
          <cell r="W153" t="str">
            <v/>
          </cell>
          <cell r="X153" t="str">
            <v/>
          </cell>
          <cell r="Y153">
            <v>1.0006081446377602E-3</v>
          </cell>
          <cell r="Z153" t="str">
            <v/>
          </cell>
          <cell r="AA153">
            <v>6.9195016274212762E-3</v>
          </cell>
          <cell r="AB153" t="str">
            <v/>
          </cell>
          <cell r="AC153">
            <v>1.8903405838031628E-2</v>
          </cell>
          <cell r="AD153">
            <v>3.3092598403416384E-2</v>
          </cell>
          <cell r="AE153">
            <v>5.6737980296451829E-2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1.5961899289322901E-3</v>
          </cell>
          <cell r="Q154" t="str">
            <v/>
          </cell>
          <cell r="R154">
            <v>8.6716634523497094E-3</v>
          </cell>
          <cell r="S154" t="str">
            <v/>
          </cell>
          <cell r="T154">
            <v>2.1225436764350736E-2</v>
          </cell>
          <cell r="U154">
            <v>4.2246251919678568E-2</v>
          </cell>
          <cell r="V154">
            <v>8.2899150577147362E-2</v>
          </cell>
          <cell r="W154" t="str">
            <v/>
          </cell>
          <cell r="X154" t="str">
            <v/>
          </cell>
          <cell r="Y154">
            <v>1.762576697983631E-3</v>
          </cell>
          <cell r="Z154" t="str">
            <v/>
          </cell>
          <cell r="AA154">
            <v>9.1672037252547023E-3</v>
          </cell>
          <cell r="AB154" t="str">
            <v/>
          </cell>
          <cell r="AC154">
            <v>2.2262279381029759E-2</v>
          </cell>
          <cell r="AD154">
            <v>4.4307749021993525E-2</v>
          </cell>
          <cell r="AE154">
            <v>8.690850807669126E-2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7.1224477434472799E-4</v>
          </cell>
          <cell r="Q155" t="str">
            <v/>
          </cell>
          <cell r="R155">
            <v>6.5666835549522684E-3</v>
          </cell>
          <cell r="S155" t="str">
            <v/>
          </cell>
          <cell r="T155">
            <v>1.6310760231267984E-2</v>
          </cell>
          <cell r="U155">
            <v>3.3266025495976126E-2</v>
          </cell>
          <cell r="V155">
            <v>5.8428269897682794E-2</v>
          </cell>
          <cell r="W155" t="str">
            <v/>
          </cell>
          <cell r="X155" t="str">
            <v/>
          </cell>
          <cell r="Y155">
            <v>8.7877885532050559E-4</v>
          </cell>
          <cell r="Z155" t="str">
            <v/>
          </cell>
          <cell r="AA155">
            <v>7.0632760546838202E-3</v>
          </cell>
          <cell r="AB155" t="str">
            <v/>
          </cell>
          <cell r="AC155">
            <v>1.7130159800532452E-2</v>
          </cell>
          <cell r="AD155">
            <v>3.4873765700496717E-2</v>
          </cell>
          <cell r="AE155">
            <v>6.1242330424628344E-2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7.8364665219988749E-3</v>
          </cell>
          <cell r="Q156" t="str">
            <v/>
          </cell>
          <cell r="R156">
            <v>2.8087794881320738E-2</v>
          </cell>
          <cell r="S156" t="str">
            <v/>
          </cell>
          <cell r="T156">
            <v>5.8287112837872024E-2</v>
          </cell>
          <cell r="U156">
            <v>7.9980502621488148E-2</v>
          </cell>
          <cell r="V156">
            <v>0.11164901643247116</v>
          </cell>
          <cell r="W156" t="str">
            <v/>
          </cell>
          <cell r="X156" t="str">
            <v/>
          </cell>
          <cell r="Y156">
            <v>8.2097804821331666E-3</v>
          </cell>
          <cell r="Z156" t="str">
            <v/>
          </cell>
          <cell r="AA156">
            <v>2.9470252345121684E-2</v>
          </cell>
          <cell r="AB156" t="str">
            <v/>
          </cell>
          <cell r="AC156">
            <v>6.1116517915279944E-2</v>
          </cell>
          <cell r="AD156">
            <v>8.3818577058353161E-2</v>
          </cell>
          <cell r="AE156">
            <v>0.11689084850106002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1.1925947635552658E-3</v>
          </cell>
          <cell r="Q157" t="str">
            <v/>
          </cell>
          <cell r="R157">
            <v>9.73807074790356E-3</v>
          </cell>
          <cell r="S157" t="str">
            <v/>
          </cell>
          <cell r="T157">
            <v>2.2877688818708664E-2</v>
          </cell>
          <cell r="U157">
            <v>4.3969995213903212E-2</v>
          </cell>
          <cell r="V157">
            <v>8.0604431475048588E-2</v>
          </cell>
          <cell r="W157" t="str">
            <v/>
          </cell>
          <cell r="X157" t="str">
            <v/>
          </cell>
          <cell r="Y157">
            <v>1.3590487928679673E-3</v>
          </cell>
          <cell r="Z157" t="str">
            <v/>
          </cell>
          <cell r="AA157">
            <v>1.0233077950445701E-2</v>
          </cell>
          <cell r="AB157" t="str">
            <v/>
          </cell>
          <cell r="AC157">
            <v>2.3999563209558539E-2</v>
          </cell>
          <cell r="AD157">
            <v>4.6118320143360925E-2</v>
          </cell>
          <cell r="AE157">
            <v>8.4481126993207201E-2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1.5701003083273823E-3</v>
          </cell>
          <cell r="Q158" t="str">
            <v/>
          </cell>
          <cell r="R158">
            <v>1.1243232519911439E-2</v>
          </cell>
          <cell r="S158" t="str">
            <v/>
          </cell>
          <cell r="T158">
            <v>2.9601128634811014E-2</v>
          </cell>
          <cell r="U158">
            <v>5.2394418163271173E-2</v>
          </cell>
          <cell r="V158">
            <v>8.9277068711946184E-2</v>
          </cell>
          <cell r="W158" t="str">
            <v/>
          </cell>
          <cell r="X158" t="str">
            <v/>
          </cell>
          <cell r="Y158">
            <v>1.7364914252825381E-3</v>
          </cell>
          <cell r="Z158" t="str">
            <v/>
          </cell>
          <cell r="AA158">
            <v>1.1783193413901216E-2</v>
          </cell>
          <cell r="AB158" t="str">
            <v/>
          </cell>
          <cell r="AC158">
            <v>3.1055977993196038E-2</v>
          </cell>
          <cell r="AD158">
            <v>5.4951360876231758E-2</v>
          </cell>
          <cell r="AE158">
            <v>9.3554478820673803E-2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1.0951509843343255E-3</v>
          </cell>
          <cell r="Q159" t="str">
            <v/>
          </cell>
          <cell r="R159">
            <v>9.2839223569847196E-3</v>
          </cell>
          <cell r="S159" t="str">
            <v/>
          </cell>
          <cell r="T159">
            <v>2.250367684330834E-2</v>
          </cell>
          <cell r="U159">
            <v>3.9750330332928074E-2</v>
          </cell>
          <cell r="V159">
            <v>6.7589492820743002E-2</v>
          </cell>
          <cell r="W159" t="str">
            <v/>
          </cell>
          <cell r="X159" t="str">
            <v/>
          </cell>
          <cell r="Y159">
            <v>1.2616212529423798E-3</v>
          </cell>
          <cell r="Z159" t="str">
            <v/>
          </cell>
          <cell r="AA159">
            <v>9.7791565769326239E-3</v>
          </cell>
          <cell r="AB159" t="str">
            <v/>
          </cell>
          <cell r="AC159">
            <v>2.3604503034093005E-2</v>
          </cell>
          <cell r="AD159">
            <v>4.169154747240611E-2</v>
          </cell>
          <cell r="AE159">
            <v>7.0852412920664243E-2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2.154345710658867E-3</v>
          </cell>
          <cell r="Q160" t="str">
            <v/>
          </cell>
          <cell r="R160">
            <v>2.0837088365850742E-2</v>
          </cell>
          <cell r="S160" t="str">
            <v/>
          </cell>
          <cell r="T160">
            <v>4.8636097575237569E-2</v>
          </cell>
          <cell r="U160">
            <v>8.9029532176837622E-2</v>
          </cell>
          <cell r="V160">
            <v>0.15895615519206197</v>
          </cell>
          <cell r="W160" t="str">
            <v/>
          </cell>
          <cell r="X160" t="str">
            <v/>
          </cell>
          <cell r="Y160">
            <v>2.3206394615087333E-3</v>
          </cell>
          <cell r="Z160" t="str">
            <v/>
          </cell>
          <cell r="AA160">
            <v>2.1862530187656715E-2</v>
          </cell>
          <cell r="AB160" t="str">
            <v/>
          </cell>
          <cell r="AC160">
            <v>5.1008296783543239E-2</v>
          </cell>
          <cell r="AD160">
            <v>9.3306890496322348E-2</v>
          </cell>
          <cell r="AE160">
            <v>0.16641177200494184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5.821741553109705E-2</v>
          </cell>
          <cell r="Q161" t="str">
            <v/>
          </cell>
          <cell r="R161">
            <v>0.15874818102622612</v>
          </cell>
          <cell r="S161" t="str">
            <v/>
          </cell>
          <cell r="T161">
            <v>0.2201260414531192</v>
          </cell>
          <cell r="U161">
            <v>0.27397554793238499</v>
          </cell>
          <cell r="V161">
            <v>0.35510824860983914</v>
          </cell>
          <cell r="W161" t="str">
            <v/>
          </cell>
          <cell r="X161" t="str">
            <v/>
          </cell>
          <cell r="Y161">
            <v>6.1037570856607548E-2</v>
          </cell>
          <cell r="Z161" t="str">
            <v/>
          </cell>
          <cell r="AA161">
            <v>0.16598417161747736</v>
          </cell>
          <cell r="AB161" t="str">
            <v/>
          </cell>
          <cell r="AC161">
            <v>0.22962911954920995</v>
          </cell>
          <cell r="AD161">
            <v>0.28525265752528317</v>
          </cell>
          <cell r="AE161">
            <v>0.36874990003375785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1.884869900930175E-3</v>
          </cell>
          <cell r="Q162" t="str">
            <v/>
          </cell>
          <cell r="R162">
            <v>1.5669789897249209E-2</v>
          </cell>
          <cell r="S162" t="str">
            <v/>
          </cell>
          <cell r="T162">
            <v>4.1980963584316688E-2</v>
          </cell>
          <cell r="U162">
            <v>7.8591607863886415E-2</v>
          </cell>
          <cell r="V162">
            <v>0.1488906151642948</v>
          </cell>
          <cell r="W162" t="str">
            <v/>
          </cell>
          <cell r="X162" t="str">
            <v/>
          </cell>
          <cell r="Y162">
            <v>2.0512085606729791E-3</v>
          </cell>
          <cell r="Z162" t="str">
            <v/>
          </cell>
          <cell r="AA162">
            <v>1.6441110351531729E-2</v>
          </cell>
          <cell r="AB162" t="str">
            <v/>
          </cell>
          <cell r="AC162">
            <v>4.4034383128201515E-2</v>
          </cell>
          <cell r="AD162">
            <v>8.238788878657588E-2</v>
          </cell>
          <cell r="AE162">
            <v>0.15592501050698182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1.9092126173561041E-3</v>
          </cell>
          <cell r="Q163" t="str">
            <v/>
          </cell>
          <cell r="R163">
            <v>8.4206163972679882E-3</v>
          </cell>
          <cell r="S163" t="str">
            <v/>
          </cell>
          <cell r="T163">
            <v>2.0795157387961449E-2</v>
          </cell>
          <cell r="U163">
            <v>3.2069747883377242E-2</v>
          </cell>
          <cell r="V163">
            <v>5.7210306135425881E-2</v>
          </cell>
          <cell r="W163" t="str">
            <v/>
          </cell>
          <cell r="X163" t="str">
            <v/>
          </cell>
          <cell r="Y163">
            <v>2.0755472203127789E-3</v>
          </cell>
          <cell r="Z163" t="str">
            <v/>
          </cell>
          <cell r="AA163">
            <v>8.9162821623092192E-3</v>
          </cell>
          <cell r="AB163" t="str">
            <v/>
          </cell>
          <cell r="AC163">
            <v>2.1810762393258298E-2</v>
          </cell>
          <cell r="AD163">
            <v>3.3636079736861224E-2</v>
          </cell>
          <cell r="AE163">
            <v>5.9980558344039925E-2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2.6183702964491795E-3</v>
          </cell>
          <cell r="Q164" t="str">
            <v/>
          </cell>
          <cell r="R164">
            <v>1.3357356780943741E-2</v>
          </cell>
          <cell r="S164" t="str">
            <v/>
          </cell>
          <cell r="T164">
            <v>3.2298219002403372E-2</v>
          </cell>
          <cell r="U164">
            <v>5.8202299161579818E-2</v>
          </cell>
          <cell r="V164">
            <v>0.10026348702190813</v>
          </cell>
          <cell r="W164" t="str">
            <v/>
          </cell>
          <cell r="X164" t="str">
            <v/>
          </cell>
          <cell r="Y164">
            <v>2.7845867163173166E-3</v>
          </cell>
          <cell r="Z164" t="str">
            <v/>
          </cell>
          <cell r="AA164">
            <v>1.4000684616909287E-2</v>
          </cell>
          <cell r="AB164" t="str">
            <v/>
          </cell>
          <cell r="AC164">
            <v>3.3887828692784838E-2</v>
          </cell>
          <cell r="AD164">
            <v>6.1039353672193708E-2</v>
          </cell>
          <cell r="AE164">
            <v>0.1050772366226238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9.2460166473706806E-4</v>
          </cell>
          <cell r="Q165" t="str">
            <v/>
          </cell>
          <cell r="R165">
            <v>7.470381583691732E-3</v>
          </cell>
          <cell r="S165" t="str">
            <v/>
          </cell>
          <cell r="T165">
            <v>1.8368735344553078E-2</v>
          </cell>
          <cell r="U165">
            <v>3.4273021749911092E-2</v>
          </cell>
          <cell r="V165">
            <v>7.0712543952203055E-2</v>
          </cell>
          <cell r="W165" t="str">
            <v/>
          </cell>
          <cell r="X165" t="str">
            <v/>
          </cell>
          <cell r="Y165">
            <v>1.0911003558539134E-3</v>
          </cell>
          <cell r="Z165" t="str">
            <v/>
          </cell>
          <cell r="AA165">
            <v>7.9665223473627256E-3</v>
          </cell>
          <cell r="AB165" t="str">
            <v/>
          </cell>
          <cell r="AC165">
            <v>1.9236686056810059E-2</v>
          </cell>
          <cell r="AD165">
            <v>3.5941475122733491E-2</v>
          </cell>
          <cell r="AE165">
            <v>7.4118402187968724E-2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5.119270003759846E-2</v>
          </cell>
          <cell r="Q166" t="str">
            <v/>
          </cell>
          <cell r="R166">
            <v>0.10405072873309884</v>
          </cell>
          <cell r="S166" t="str">
            <v/>
          </cell>
          <cell r="T166">
            <v>0.13885399366509332</v>
          </cell>
          <cell r="U166">
            <v>0.17146261438115917</v>
          </cell>
          <cell r="V166">
            <v>0.22235300798901358</v>
          </cell>
          <cell r="W166" t="str">
            <v/>
          </cell>
          <cell r="X166" t="str">
            <v/>
          </cell>
          <cell r="Y166">
            <v>5.3682351336240997E-2</v>
          </cell>
          <cell r="Z166" t="str">
            <v/>
          </cell>
          <cell r="AA166">
            <v>0.10891796013633714</v>
          </cell>
          <cell r="AB166" t="str">
            <v/>
          </cell>
          <cell r="AC166">
            <v>0.14514193257005248</v>
          </cell>
          <cell r="AD166">
            <v>0.17904101841295417</v>
          </cell>
          <cell r="AE166">
            <v>0.23185153536789604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1.4344233748667667E-3</v>
          </cell>
          <cell r="Q167" t="str">
            <v/>
          </cell>
          <cell r="R167">
            <v>1.3038342816423021E-2</v>
          </cell>
          <cell r="S167" t="str">
            <v/>
          </cell>
          <cell r="T167">
            <v>3.0272966438632865E-2</v>
          </cell>
          <cell r="U167">
            <v>5.5565743981242477E-2</v>
          </cell>
          <cell r="V167">
            <v>0.10337723918102348</v>
          </cell>
          <cell r="W167" t="str">
            <v/>
          </cell>
          <cell r="X167" t="str">
            <v/>
          </cell>
          <cell r="Y167">
            <v>1.6008371027559365E-3</v>
          </cell>
          <cell r="Z167" t="str">
            <v/>
          </cell>
          <cell r="AA167">
            <v>1.366239868610919E-2</v>
          </cell>
          <cell r="AB167" t="str">
            <v/>
          </cell>
          <cell r="AC167">
            <v>3.1760059409167374E-2</v>
          </cell>
          <cell r="AD167">
            <v>5.8273349565457488E-2</v>
          </cell>
          <cell r="AE167">
            <v>0.10834103742582712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1.1925947635552658E-3</v>
          </cell>
          <cell r="Q168" t="str">
            <v/>
          </cell>
          <cell r="R168">
            <v>1.1695845056667875E-2</v>
          </cell>
          <cell r="S168" t="str">
            <v/>
          </cell>
          <cell r="T168">
            <v>2.958330780401941E-2</v>
          </cell>
          <cell r="U168">
            <v>5.9803637455722702E-2</v>
          </cell>
          <cell r="V168">
            <v>0.11195603642452412</v>
          </cell>
          <cell r="W168" t="str">
            <v/>
          </cell>
          <cell r="X168" t="str">
            <v/>
          </cell>
          <cell r="Y168">
            <v>1.3590487928679673E-3</v>
          </cell>
          <cell r="Z168" t="str">
            <v/>
          </cell>
          <cell r="AA168">
            <v>1.225580774207502E-2</v>
          </cell>
          <cell r="AB168" t="str">
            <v/>
          </cell>
          <cell r="AC168">
            <v>3.1036021044992701E-2</v>
          </cell>
          <cell r="AD168">
            <v>6.2714669456472416E-2</v>
          </cell>
          <cell r="AE168">
            <v>0.11732145397522875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7.9057835069185067E-4</v>
          </cell>
          <cell r="Q169" t="str">
            <v/>
          </cell>
          <cell r="R169">
            <v>8.0406524492514508E-3</v>
          </cell>
          <cell r="S169" t="str">
            <v/>
          </cell>
          <cell r="T169">
            <v>1.9623897878129459E-2</v>
          </cell>
          <cell r="U169">
            <v>3.6446200688994512E-2</v>
          </cell>
          <cell r="V169">
            <v>6.3995539865183915E-2</v>
          </cell>
          <cell r="W169" t="str">
            <v/>
          </cell>
          <cell r="X169" t="str">
            <v/>
          </cell>
          <cell r="Y169">
            <v>9.5709937717136651E-4</v>
          </cell>
          <cell r="Z169" t="str">
            <v/>
          </cell>
          <cell r="AA169">
            <v>8.5365081487481786E-3</v>
          </cell>
          <cell r="AB169" t="str">
            <v/>
          </cell>
          <cell r="AC169">
            <v>2.0575833178585912E-2</v>
          </cell>
          <cell r="AD169">
            <v>3.8220231990660491E-2</v>
          </cell>
          <cell r="AE169">
            <v>6.7083602051609903E-2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1.2848096503803585E-3</v>
          </cell>
          <cell r="Q170" t="str">
            <v/>
          </cell>
          <cell r="R170">
            <v>1.0399644455154178E-2</v>
          </cell>
          <cell r="S170" t="str">
            <v/>
          </cell>
          <cell r="T170">
            <v>2.1066086325637778E-2</v>
          </cell>
          <cell r="U170">
            <v>3.3653592399698562E-2</v>
          </cell>
          <cell r="V170">
            <v>6.2807423920585692E-2</v>
          </cell>
          <cell r="W170" t="str">
            <v/>
          </cell>
          <cell r="X170" t="str">
            <v/>
          </cell>
          <cell r="Y170">
            <v>1.4512483118231945E-3</v>
          </cell>
          <cell r="Z170" t="str">
            <v/>
          </cell>
          <cell r="AA170">
            <v>1.0898771919055195E-2</v>
          </cell>
          <cell r="AB170" t="str">
            <v/>
          </cell>
          <cell r="AC170">
            <v>2.2102336341621842E-2</v>
          </cell>
          <cell r="AD170">
            <v>3.5303922656579889E-2</v>
          </cell>
          <cell r="AE170">
            <v>6.5849955670386762E-2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1.6970634305609744E-3</v>
          </cell>
          <cell r="Q171" t="str">
            <v/>
          </cell>
          <cell r="R171">
            <v>1.5921595357134888E-2</v>
          </cell>
          <cell r="S171" t="str">
            <v/>
          </cell>
          <cell r="T171">
            <v>4.1968655930352816E-2</v>
          </cell>
          <cell r="U171">
            <v>7.246794512805943E-2</v>
          </cell>
          <cell r="V171">
            <v>0.12030738887942405</v>
          </cell>
          <cell r="W171" t="str">
            <v/>
          </cell>
          <cell r="X171" t="str">
            <v/>
          </cell>
          <cell r="Y171">
            <v>1.863433388761937E-3</v>
          </cell>
          <cell r="Z171" t="str">
            <v/>
          </cell>
          <cell r="AA171">
            <v>1.6704597660024634E-2</v>
          </cell>
          <cell r="AB171" t="str">
            <v/>
          </cell>
          <cell r="AC171">
            <v>4.402078214058891E-2</v>
          </cell>
          <cell r="AD171">
            <v>7.5973914059089376E-2</v>
          </cell>
          <cell r="AE171">
            <v>0.1260228188110506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0.13807484687210114</v>
          </cell>
          <cell r="Q172" t="str">
            <v/>
          </cell>
          <cell r="R172">
            <v>0.22515415972382491</v>
          </cell>
          <cell r="S172" t="str">
            <v/>
          </cell>
          <cell r="T172">
            <v>0.26183627527810038</v>
          </cell>
          <cell r="U172">
            <v>0.2877553619599611</v>
          </cell>
          <cell r="V172">
            <v>0.34335420373512016</v>
          </cell>
          <cell r="W172" t="str">
            <v/>
          </cell>
          <cell r="X172" t="str">
            <v/>
          </cell>
          <cell r="Y172">
            <v>0.14445442238797079</v>
          </cell>
          <cell r="Z172" t="str">
            <v/>
          </cell>
          <cell r="AA172">
            <v>0.23462725458681144</v>
          </cell>
          <cell r="AB172" t="str">
            <v/>
          </cell>
          <cell r="AC172">
            <v>0.27225021612502287</v>
          </cell>
          <cell r="AD172">
            <v>0.2987385073407387</v>
          </cell>
          <cell r="AE172">
            <v>0.35582335695145795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1.7092371347555702E-3</v>
          </cell>
          <cell r="Q173" t="str">
            <v/>
          </cell>
          <cell r="R173">
            <v>1.6400537160739304E-2</v>
          </cell>
          <cell r="S173" t="str">
            <v/>
          </cell>
          <cell r="T173">
            <v>3.9342377916388727E-2</v>
          </cell>
          <cell r="U173">
            <v>7.0936827671697511E-2</v>
          </cell>
          <cell r="V173">
            <v>0.12585237432359386</v>
          </cell>
          <cell r="W173" t="str">
            <v/>
          </cell>
          <cell r="X173" t="str">
            <v/>
          </cell>
          <cell r="Y173">
            <v>1.8756050641933752E-3</v>
          </cell>
          <cell r="Z173" t="str">
            <v/>
          </cell>
          <cell r="AA173">
            <v>1.7207099081474664E-2</v>
          </cell>
          <cell r="AB173" t="str">
            <v/>
          </cell>
          <cell r="AC173">
            <v>4.1267610856316028E-2</v>
          </cell>
          <cell r="AD173">
            <v>7.4370570339190367E-2</v>
          </cell>
          <cell r="AE173">
            <v>0.13183234630387985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2.0987179082332386E-3</v>
          </cell>
          <cell r="Q174" t="str">
            <v/>
          </cell>
          <cell r="R174">
            <v>1.4626114585749139E-2</v>
          </cell>
          <cell r="S174" t="str">
            <v/>
          </cell>
          <cell r="T174">
            <v>4.0365201089771818E-2</v>
          </cell>
          <cell r="U174">
            <v>7.6197572972166783E-2</v>
          </cell>
          <cell r="V174">
            <v>0.12852712383817055</v>
          </cell>
          <cell r="W174" t="str">
            <v/>
          </cell>
          <cell r="X174" t="str">
            <v/>
          </cell>
          <cell r="Y174">
            <v>2.2650209296275481E-3</v>
          </cell>
          <cell r="Z174" t="str">
            <v/>
          </cell>
          <cell r="AA174">
            <v>1.5346908690983874E-2</v>
          </cell>
          <cell r="AB174" t="str">
            <v/>
          </cell>
          <cell r="AC174">
            <v>4.2341709982690823E-2</v>
          </cell>
          <cell r="AD174">
            <v>7.9883379854032044E-2</v>
          </cell>
          <cell r="AE174">
            <v>0.13462598698001715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8.7586797898520086E-4</v>
          </cell>
          <cell r="Q175" t="str">
            <v/>
          </cell>
          <cell r="R175">
            <v>1.1087795107708742E-2</v>
          </cell>
          <cell r="S175" t="str">
            <v/>
          </cell>
          <cell r="T175">
            <v>2.5350666798997223E-2</v>
          </cell>
          <cell r="U175">
            <v>4.6730057726042884E-2</v>
          </cell>
          <cell r="V175">
            <v>8.7475405910012793E-2</v>
          </cell>
          <cell r="W175" t="str">
            <v/>
          </cell>
          <cell r="X175" t="str">
            <v/>
          </cell>
          <cell r="Y175">
            <v>1.0423747917156501E-3</v>
          </cell>
          <cell r="Z175" t="str">
            <v/>
          </cell>
          <cell r="AA175">
            <v>1.1617957115166111E-2</v>
          </cell>
          <cell r="AB175" t="str">
            <v/>
          </cell>
          <cell r="AC175">
            <v>2.6595582210331203E-2</v>
          </cell>
          <cell r="AD175">
            <v>4.9012688360244416E-2</v>
          </cell>
          <cell r="AE175">
            <v>9.169925325572037E-2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2.6583324377572604E-3</v>
          </cell>
          <cell r="Q176" t="str">
            <v/>
          </cell>
          <cell r="R176">
            <v>1.5166764449205505E-2</v>
          </cell>
          <cell r="S176" t="str">
            <v/>
          </cell>
          <cell r="T176">
            <v>3.9399652196188684E-2</v>
          </cell>
          <cell r="U176">
            <v>6.7711340148443599E-2</v>
          </cell>
          <cell r="V176">
            <v>0.12774779669881087</v>
          </cell>
          <cell r="W176" t="str">
            <v/>
          </cell>
          <cell r="X176" t="str">
            <v/>
          </cell>
          <cell r="Y176">
            <v>2.8245421978129182E-3</v>
          </cell>
          <cell r="Z176" t="str">
            <v/>
          </cell>
          <cell r="AA176">
            <v>1.591617966654868E-2</v>
          </cell>
          <cell r="AB176" t="str">
            <v/>
          </cell>
          <cell r="AC176">
            <v>4.1331193276634592E-2</v>
          </cell>
          <cell r="AD176">
            <v>7.0996314731168519E-2</v>
          </cell>
          <cell r="AE176">
            <v>0.13382592182969355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9.3852514155678968E-4</v>
          </cell>
          <cell r="Q177" t="str">
            <v/>
          </cell>
          <cell r="R177">
            <v>9.2954370810863773E-3</v>
          </cell>
          <cell r="S177" t="str">
            <v/>
          </cell>
          <cell r="T177">
            <v>2.2515417526552395E-2</v>
          </cell>
          <cell r="U177">
            <v>3.9762234227864734E-2</v>
          </cell>
          <cell r="V177">
            <v>6.7601449343038467E-2</v>
          </cell>
          <cell r="W177" t="str">
            <v/>
          </cell>
          <cell r="X177" t="str">
            <v/>
          </cell>
          <cell r="Y177">
            <v>1.1050215122728746E-3</v>
          </cell>
          <cell r="Z177" t="str">
            <v/>
          </cell>
          <cell r="AA177">
            <v>9.7906655451526214E-3</v>
          </cell>
          <cell r="AB177" t="str">
            <v/>
          </cell>
          <cell r="AC177">
            <v>2.3616292111189874E-2</v>
          </cell>
          <cell r="AD177">
            <v>4.1703506935052981E-2</v>
          </cell>
          <cell r="AE177">
            <v>7.0864425736262282E-2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1.0794894968995106E-3</v>
          </cell>
          <cell r="Q178" t="str">
            <v/>
          </cell>
          <cell r="R178">
            <v>8.0662846369292662E-3</v>
          </cell>
          <cell r="S178" t="str">
            <v/>
          </cell>
          <cell r="T178">
            <v>1.8724885265075986E-2</v>
          </cell>
          <cell r="U178">
            <v>3.4528739405951803E-2</v>
          </cell>
          <cell r="V178">
            <v>6.4185559391692792E-2</v>
          </cell>
          <cell r="W178" t="str">
            <v/>
          </cell>
          <cell r="X178" t="str">
            <v/>
          </cell>
          <cell r="Y178">
            <v>1.2459623755439742E-3</v>
          </cell>
          <cell r="Z178" t="str">
            <v/>
          </cell>
          <cell r="AA178">
            <v>8.562127523572105E-3</v>
          </cell>
          <cell r="AB178" t="str">
            <v/>
          </cell>
          <cell r="AC178">
            <v>1.9633850888337911E-2</v>
          </cell>
          <cell r="AD178">
            <v>3.6210717213762678E-2</v>
          </cell>
          <cell r="AE178">
            <v>6.7284203534102027E-2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1.8292271942728089E-3</v>
          </cell>
          <cell r="Q179" t="str">
            <v/>
          </cell>
          <cell r="R179">
            <v>1.1291216581762353E-2</v>
          </cell>
          <cell r="S179" t="str">
            <v/>
          </cell>
          <cell r="T179">
            <v>2.7846363325093493E-2</v>
          </cell>
          <cell r="U179">
            <v>5.1896319389173606E-2</v>
          </cell>
          <cell r="V179">
            <v>8.9745295800385483E-2</v>
          </cell>
          <cell r="W179" t="str">
            <v/>
          </cell>
          <cell r="X179" t="str">
            <v/>
          </cell>
          <cell r="Y179">
            <v>1.9955751270438471E-3</v>
          </cell>
          <cell r="Z179" t="str">
            <v/>
          </cell>
          <cell r="AA179">
            <v>1.1834362815151378E-2</v>
          </cell>
          <cell r="AB179" t="str">
            <v/>
          </cell>
          <cell r="AC179">
            <v>2.9216461833706076E-2</v>
          </cell>
          <cell r="AD179">
            <v>5.4430539628843033E-2</v>
          </cell>
          <cell r="AE179">
            <v>9.4046961940635887E-2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6.3564604936616753E-4</v>
          </cell>
          <cell r="Q180" t="str">
            <v/>
          </cell>
          <cell r="R180">
            <v>1.232755895740989E-2</v>
          </cell>
          <cell r="S180" t="str">
            <v/>
          </cell>
          <cell r="T180">
            <v>2.6105103251375161E-2</v>
          </cell>
          <cell r="U180">
            <v>4.7296286091603523E-2</v>
          </cell>
          <cell r="V180">
            <v>8.5686462834950849E-2</v>
          </cell>
          <cell r="W180" t="str">
            <v/>
          </cell>
          <cell r="X180" t="str">
            <v/>
          </cell>
          <cell r="Y180">
            <v>8.0219289572902586E-4</v>
          </cell>
          <cell r="Z180" t="str">
            <v/>
          </cell>
          <cell r="AA180">
            <v>1.2915296035349244E-2</v>
          </cell>
          <cell r="AB180" t="str">
            <v/>
          </cell>
          <cell r="AC180">
            <v>2.7386096002532501E-2</v>
          </cell>
          <cell r="AD180">
            <v>4.9604653599749859E-2</v>
          </cell>
          <cell r="AE180">
            <v>8.979639725196964E-2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2.3855158044079339E-3</v>
          </cell>
          <cell r="Q181" t="str">
            <v/>
          </cell>
          <cell r="R181">
            <v>9.9038741877984782E-3</v>
          </cell>
          <cell r="S181" t="str">
            <v/>
          </cell>
          <cell r="T181">
            <v>2.8811116035990514E-2</v>
          </cell>
          <cell r="U181">
            <v>5.3927610573568763E-2</v>
          </cell>
          <cell r="V181">
            <v>9.2241299365523055E-2</v>
          </cell>
          <cell r="W181" t="str">
            <v/>
          </cell>
          <cell r="X181" t="str">
            <v/>
          </cell>
          <cell r="Y181">
            <v>2.5517710301382612E-3</v>
          </cell>
          <cell r="Z181" t="str">
            <v/>
          </cell>
          <cell r="AA181">
            <v>1.0398798509320129E-2</v>
          </cell>
          <cell r="AB181" t="str">
            <v/>
          </cell>
          <cell r="AC181">
            <v>3.0228478614932608E-2</v>
          </cell>
          <cell r="AD181">
            <v>5.6560302783526084E-2</v>
          </cell>
          <cell r="AE181">
            <v>9.6658908516762176E-2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7.67949277032276E-4</v>
          </cell>
          <cell r="Q182" t="str">
            <v/>
          </cell>
          <cell r="R182">
            <v>7.4817602052102972E-3</v>
          </cell>
          <cell r="S182" t="str">
            <v/>
          </cell>
          <cell r="T182">
            <v>1.7516019693057716E-2</v>
          </cell>
          <cell r="U182">
            <v>3.3738299442808928E-2</v>
          </cell>
          <cell r="V182">
            <v>6.4252704547707373E-2</v>
          </cell>
          <cell r="W182" t="str">
            <v/>
          </cell>
          <cell r="X182" t="str">
            <v/>
          </cell>
          <cell r="Y182">
            <v>9.3447407468105759E-4</v>
          </cell>
          <cell r="Z182" t="str">
            <v/>
          </cell>
          <cell r="AA182">
            <v>7.9778952809627102E-3</v>
          </cell>
          <cell r="AB182" t="str">
            <v/>
          </cell>
          <cell r="AC182">
            <v>1.8345458973513251E-2</v>
          </cell>
          <cell r="AD182">
            <v>3.5379829489916248E-2</v>
          </cell>
          <cell r="AE182">
            <v>6.7353371649799043E-2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1.3335235378534316E-3</v>
          </cell>
          <cell r="Q183" t="str">
            <v/>
          </cell>
          <cell r="R183">
            <v>1.2911486846757914E-2</v>
          </cell>
          <cell r="S183" t="str">
            <v/>
          </cell>
          <cell r="T183">
            <v>2.7710532102136254E-2</v>
          </cell>
          <cell r="U183">
            <v>5.1326265395358783E-2</v>
          </cell>
          <cell r="V183">
            <v>8.9150795987418485E-2</v>
          </cell>
          <cell r="W183" t="str">
            <v/>
          </cell>
          <cell r="X183" t="str">
            <v/>
          </cell>
          <cell r="Y183">
            <v>1.4999540809821355E-3</v>
          </cell>
          <cell r="Z183" t="str">
            <v/>
          </cell>
          <cell r="AA183">
            <v>1.3529210888179266E-2</v>
          </cell>
          <cell r="AB183" t="str">
            <v/>
          </cell>
          <cell r="AC183">
            <v>2.9072293782059999E-2</v>
          </cell>
          <cell r="AD183">
            <v>5.3830485640520065E-2</v>
          </cell>
          <cell r="AE183">
            <v>9.3422036898548444E-2</v>
          </cell>
        </row>
        <row r="184">
          <cell r="D184" t="str">
            <v>USD</v>
          </cell>
          <cell r="N184" t="str">
            <v/>
          </cell>
          <cell r="O184" t="str">
            <v/>
          </cell>
          <cell r="P184">
            <v>2.9467077640770167E-3</v>
          </cell>
          <cell r="Q184" t="str">
            <v/>
          </cell>
          <cell r="R184">
            <v>2.2228721814604113E-2</v>
          </cell>
          <cell r="S184" t="str">
            <v/>
          </cell>
          <cell r="T184">
            <v>6.3283998830446553E-2</v>
          </cell>
          <cell r="U184">
            <v>0.11447534485411792</v>
          </cell>
          <cell r="V184">
            <v>0.21540000250751379</v>
          </cell>
          <cell r="W184" t="str">
            <v/>
          </cell>
          <cell r="X184" t="str">
            <v/>
          </cell>
          <cell r="Y184">
            <v>3.1128694655947475E-3</v>
          </cell>
          <cell r="Z184" t="str">
            <v/>
          </cell>
          <cell r="AA184">
            <v>2.3325053174066968E-2</v>
          </cell>
          <cell r="AB184" t="str">
            <v/>
          </cell>
          <cell r="AC184">
            <v>6.6354937288158555E-2</v>
          </cell>
          <cell r="AD184">
            <v>0.11995649737550118</v>
          </cell>
          <cell r="AE184">
            <v>0.22530078910064089</v>
          </cell>
        </row>
        <row r="185">
          <cell r="D185" t="str">
            <v>USD</v>
          </cell>
          <cell r="N185" t="str">
            <v/>
          </cell>
          <cell r="O185">
            <v>5.0956409427971305E-4</v>
          </cell>
          <cell r="P185">
            <v>1.2217681881586673E-3</v>
          </cell>
          <cell r="Q185">
            <v>3.8612116642110506E-3</v>
          </cell>
          <cell r="R185">
            <v>7.9638237288336411E-3</v>
          </cell>
          <cell r="S185" t="str">
            <v/>
          </cell>
          <cell r="T185">
            <v>2.0556849465119487E-2</v>
          </cell>
          <cell r="U185">
            <v>3.2012154635213674E-2</v>
          </cell>
          <cell r="V185">
            <v>5.3185442104132674E-2</v>
          </cell>
          <cell r="W185" t="str">
            <v/>
          </cell>
          <cell r="X185">
            <v>5.9285149358401235E-4</v>
          </cell>
          <cell r="Y185">
            <v>1.3882173556362121E-3</v>
          </cell>
          <cell r="Z185">
            <v>4.1932025920988769E-3</v>
          </cell>
          <cell r="AA185">
            <v>8.4597178331005107E-3</v>
          </cell>
          <cell r="AB185" t="str">
            <v/>
          </cell>
          <cell r="AC185">
            <v>2.1553977208563335E-2</v>
          </cell>
          <cell r="AD185">
            <v>3.356917145257432E-2</v>
          </cell>
          <cell r="AE185">
            <v>5.5757432847580501E-2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6.1445532387988111E-3</v>
          </cell>
          <cell r="Q186" t="str">
            <v/>
          </cell>
          <cell r="R186">
            <v>3.2630202903910277E-2</v>
          </cell>
          <cell r="S186" t="str">
            <v/>
          </cell>
          <cell r="T186">
            <v>8.9795919230626686E-2</v>
          </cell>
          <cell r="U186">
            <v>0.14298434146429828</v>
          </cell>
          <cell r="V186">
            <v>0.2319081995259874</v>
          </cell>
          <cell r="W186" t="str">
            <v/>
          </cell>
          <cell r="X186" t="str">
            <v/>
          </cell>
          <cell r="Y186">
            <v>6.4375317609799421E-3</v>
          </cell>
          <cell r="Z186" t="str">
            <v/>
          </cell>
          <cell r="AA186">
            <v>3.4232359643475374E-2</v>
          </cell>
          <cell r="AB186" t="str">
            <v/>
          </cell>
          <cell r="AC186">
            <v>9.4134350670694533E-2</v>
          </cell>
          <cell r="AD186">
            <v>0.14971317277380458</v>
          </cell>
          <cell r="AE186">
            <v>0.24233832014917522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1.8413992993355777E-3</v>
          </cell>
          <cell r="Q187" t="str">
            <v/>
          </cell>
          <cell r="R187">
            <v>1.0026947904386851E-2</v>
          </cell>
          <cell r="S187" t="str">
            <v/>
          </cell>
          <cell r="T187">
            <v>2.2361908116912299E-2</v>
          </cell>
          <cell r="U187">
            <v>3.3007732771448972E-2</v>
          </cell>
          <cell r="V187">
            <v>5.4463589051522709E-2</v>
          </cell>
          <cell r="W187" t="str">
            <v/>
          </cell>
          <cell r="X187" t="str">
            <v/>
          </cell>
          <cell r="Y187">
            <v>2.0077452035682786E-3</v>
          </cell>
          <cell r="Z187" t="str">
            <v/>
          </cell>
          <cell r="AA187">
            <v>1.0521810704441359E-2</v>
          </cell>
          <cell r="AB187" t="str">
            <v/>
          </cell>
          <cell r="AC187">
            <v>2.3462409270894824E-2</v>
          </cell>
          <cell r="AD187">
            <v>3.462694837725544E-2</v>
          </cell>
          <cell r="AE187">
            <v>5.7109111488965247E-2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2.0987179082332386E-3</v>
          </cell>
          <cell r="Q188" t="str">
            <v/>
          </cell>
          <cell r="R188">
            <v>1.5591474265663985E-2</v>
          </cell>
          <cell r="S188" t="str">
            <v/>
          </cell>
          <cell r="T188">
            <v>4.1544201790343571E-2</v>
          </cell>
          <cell r="U188">
            <v>6.9854138929514864E-2</v>
          </cell>
          <cell r="V188">
            <v>0.11585365084993848</v>
          </cell>
          <cell r="W188" t="str">
            <v/>
          </cell>
          <cell r="X188" t="str">
            <v/>
          </cell>
          <cell r="Y188">
            <v>2.2650209296275481E-3</v>
          </cell>
          <cell r="Z188" t="str">
            <v/>
          </cell>
          <cell r="AA188">
            <v>1.6359727588895701E-2</v>
          </cell>
          <cell r="AB188" t="str">
            <v/>
          </cell>
          <cell r="AC188">
            <v>4.3577289316249934E-2</v>
          </cell>
          <cell r="AD188">
            <v>7.323792239676763E-2</v>
          </cell>
          <cell r="AE188">
            <v>0.12136688332567813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4.6041294298003743E-3</v>
          </cell>
          <cell r="Q189" t="str">
            <v/>
          </cell>
          <cell r="R189">
            <v>2.4768128967365577E-2</v>
          </cell>
          <cell r="S189" t="str">
            <v/>
          </cell>
          <cell r="T189">
            <v>6.1968538733281009E-2</v>
          </cell>
          <cell r="U189">
            <v>9.9058703301854734E-2</v>
          </cell>
          <cell r="V189">
            <v>0.15680343714665734</v>
          </cell>
          <cell r="W189" t="str">
            <v/>
          </cell>
          <cell r="X189" t="str">
            <v/>
          </cell>
          <cell r="Y189">
            <v>4.8238388169017377E-3</v>
          </cell>
          <cell r="Z189" t="str">
            <v/>
          </cell>
          <cell r="AA189">
            <v>2.599002169512088E-2</v>
          </cell>
          <cell r="AB189" t="str">
            <v/>
          </cell>
          <cell r="AC189">
            <v>6.4976843306802756E-2</v>
          </cell>
          <cell r="AD189">
            <v>0.10379313033160598</v>
          </cell>
          <cell r="AE189">
            <v>0.16410886549086157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2.5245398971295296E-3</v>
          </cell>
          <cell r="Q190" t="str">
            <v/>
          </cell>
          <cell r="R190">
            <v>2.2544975018212177E-2</v>
          </cell>
          <cell r="S190" t="str">
            <v/>
          </cell>
          <cell r="T190">
            <v>5.8188998391559776E-2</v>
          </cell>
          <cell r="U190">
            <v>9.6747976642017841E-2</v>
          </cell>
          <cell r="V190">
            <v>0.16659820578902029</v>
          </cell>
          <cell r="W190" t="str">
            <v/>
          </cell>
          <cell r="X190" t="str">
            <v/>
          </cell>
          <cell r="Y190">
            <v>2.6907719540882891E-3</v>
          </cell>
          <cell r="Z190" t="str">
            <v/>
          </cell>
          <cell r="AA190">
            <v>2.3655143832326475E-2</v>
          </cell>
          <cell r="AB190" t="str">
            <v/>
          </cell>
          <cell r="AC190">
            <v>6.1017254185844139E-2</v>
          </cell>
          <cell r="AD190">
            <v>0.10137928456480449</v>
          </cell>
          <cell r="AE190">
            <v>0.17436511399508314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2.9380229682006709E-3</v>
          </cell>
          <cell r="Q191" t="str">
            <v/>
          </cell>
          <cell r="R191">
            <v>1.3565654644807745E-2</v>
          </cell>
          <cell r="S191" t="str">
            <v/>
          </cell>
          <cell r="T191">
            <v>2.7932331581100311E-2</v>
          </cell>
          <cell r="U191">
            <v>3.9203023097560741E-2</v>
          </cell>
          <cell r="V191">
            <v>5.8045290714519027E-2</v>
          </cell>
          <cell r="W191" t="str">
            <v/>
          </cell>
          <cell r="X191" t="str">
            <v/>
          </cell>
          <cell r="Y191">
            <v>3.1041861170625351E-3</v>
          </cell>
          <cell r="Z191" t="str">
            <v/>
          </cell>
          <cell r="AA191">
            <v>1.4219936750851203E-2</v>
          </cell>
          <cell r="AB191" t="str">
            <v/>
          </cell>
          <cell r="AC191">
            <v>2.9310243413954495E-2</v>
          </cell>
          <cell r="AD191">
            <v>4.1125747557282155E-2</v>
          </cell>
          <cell r="AE191">
            <v>6.0860299056013312E-2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8.9849462655067214E-4</v>
          </cell>
          <cell r="Q192" t="str">
            <v/>
          </cell>
          <cell r="R192">
            <v>9.8167724865746431E-3</v>
          </cell>
          <cell r="S192" t="str">
            <v/>
          </cell>
          <cell r="T192">
            <v>2.3755343872902679E-2</v>
          </cell>
          <cell r="U192">
            <v>4.3252337741155999E-2</v>
          </cell>
          <cell r="V192">
            <v>8.0854161357199916E-2</v>
          </cell>
          <cell r="W192" t="str">
            <v/>
          </cell>
          <cell r="X192" t="str">
            <v/>
          </cell>
          <cell r="Y192">
            <v>1.0649976684740103E-3</v>
          </cell>
          <cell r="Z192" t="str">
            <v/>
          </cell>
          <cell r="AA192">
            <v>1.0311740348047715E-2</v>
          </cell>
          <cell r="AB192" t="str">
            <v/>
          </cell>
          <cell r="AC192">
            <v>2.4919537047213391E-2</v>
          </cell>
          <cell r="AD192">
            <v>4.5365014651413738E-2</v>
          </cell>
          <cell r="AE192">
            <v>8.4740798152348473E-2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6.9733517073625739E-3</v>
          </cell>
          <cell r="S193" t="str">
            <v/>
          </cell>
          <cell r="T193">
            <v>1.7996581348687424E-2</v>
          </cell>
          <cell r="U193">
            <v>3.5652271200990904E-2</v>
          </cell>
          <cell r="V193">
            <v>7.0625675922175501E-2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7.4697409238421164E-3</v>
          </cell>
          <cell r="AB193" t="str">
            <v/>
          </cell>
          <cell r="AC193">
            <v>1.8845238217586768E-2</v>
          </cell>
          <cell r="AD193">
            <v>3.7385047161339613E-2</v>
          </cell>
          <cell r="AE193">
            <v>7.4025351165623809E-2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8.340943702173087E-4</v>
          </cell>
          <cell r="Q194" t="str">
            <v/>
          </cell>
          <cell r="R194">
            <v>7.3990893366129296E-3</v>
          </cell>
          <cell r="S194" t="str">
            <v/>
          </cell>
          <cell r="T194">
            <v>1.7951555138388309E-2</v>
          </cell>
          <cell r="U194">
            <v>3.3902683729384875E-2</v>
          </cell>
          <cell r="V194">
            <v>6.2946548088095855E-2</v>
          </cell>
          <cell r="W194" t="str">
            <v/>
          </cell>
          <cell r="X194" t="str">
            <v/>
          </cell>
          <cell r="Y194">
            <v>1.0006081446377602E-3</v>
          </cell>
          <cell r="Z194" t="str">
            <v/>
          </cell>
          <cell r="AA194">
            <v>7.895265737484447E-3</v>
          </cell>
          <cell r="AB194" t="str">
            <v/>
          </cell>
          <cell r="AC194">
            <v>1.8800250919372985E-2</v>
          </cell>
          <cell r="AD194">
            <v>3.5552240154605008E-2</v>
          </cell>
          <cell r="AE194">
            <v>6.5985118733183246E-2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1.4883484493611876E-3</v>
          </cell>
          <cell r="Q195" t="str">
            <v/>
          </cell>
          <cell r="R195">
            <v>9.4726983287772848E-3</v>
          </cell>
          <cell r="S195" t="str">
            <v/>
          </cell>
          <cell r="T195">
            <v>2.5044392759242529E-2</v>
          </cell>
          <cell r="U195">
            <v>3.7929307850952387E-2</v>
          </cell>
          <cell r="V195">
            <v>6.5588745100657264E-2</v>
          </cell>
          <cell r="W195" t="str">
            <v/>
          </cell>
          <cell r="X195" t="str">
            <v/>
          </cell>
          <cell r="Y195">
            <v>1.6547531905035662E-3</v>
          </cell>
          <cell r="Z195" t="str">
            <v/>
          </cell>
          <cell r="AA195">
            <v>9.9678381843559816E-3</v>
          </cell>
          <cell r="AB195" t="str">
            <v/>
          </cell>
          <cell r="AC195">
            <v>2.6272120715070013E-2</v>
          </cell>
          <cell r="AD195">
            <v>3.9783686046639066E-2</v>
          </cell>
          <cell r="AE195">
            <v>6.8757222728744627E-2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7.2268960342369848E-4</v>
          </cell>
          <cell r="Q196" t="str">
            <v/>
          </cell>
          <cell r="R196">
            <v>8.2324089538440282E-3</v>
          </cell>
          <cell r="S196" t="str">
            <v/>
          </cell>
          <cell r="T196">
            <v>1.7872485011310113E-2</v>
          </cell>
          <cell r="U196">
            <v>3.3611263053472507E-2</v>
          </cell>
          <cell r="V196">
            <v>6.2206564631552386E-2</v>
          </cell>
          <cell r="W196" t="str">
            <v/>
          </cell>
          <cell r="X196" t="str">
            <v/>
          </cell>
          <cell r="Y196">
            <v>8.892219437496296E-4</v>
          </cell>
          <cell r="Z196" t="str">
            <v/>
          </cell>
          <cell r="AA196">
            <v>8.7281687990516943E-3</v>
          </cell>
          <cell r="AB196" t="str">
            <v/>
          </cell>
          <cell r="AC196">
            <v>1.8721249125450368E-2</v>
          </cell>
          <cell r="AD196">
            <v>3.5250212279623994E-2</v>
          </cell>
          <cell r="AE196">
            <v>6.5213516014638317E-2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3.8304276381747604E-3</v>
          </cell>
          <cell r="Q197" t="str">
            <v/>
          </cell>
          <cell r="R197">
            <v>1.9532259378244765E-2</v>
          </cell>
          <cell r="S197" t="str">
            <v/>
          </cell>
          <cell r="T197">
            <v>4.478546192376931E-2</v>
          </cell>
          <cell r="U197">
            <v>7.2011185239735598E-2</v>
          </cell>
          <cell r="V197">
            <v>0.12194746415245261</v>
          </cell>
          <cell r="W197" t="str">
            <v/>
          </cell>
          <cell r="X197" t="str">
            <v/>
          </cell>
          <cell r="Y197">
            <v>4.0132909829764252E-3</v>
          </cell>
          <cell r="Z197" t="str">
            <v/>
          </cell>
          <cell r="AA197">
            <v>2.0498794774103102E-2</v>
          </cell>
          <cell r="AB197" t="str">
            <v/>
          </cell>
          <cell r="AC197">
            <v>4.6977459046123715E-2</v>
          </cell>
          <cell r="AD197">
            <v>7.5495279349106603E-2</v>
          </cell>
          <cell r="AE197">
            <v>0.12773503908834538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8.5324082278470659E-4</v>
          </cell>
          <cell r="Q198" t="str">
            <v/>
          </cell>
          <cell r="R198">
            <v>7.9738139552305576E-3</v>
          </cell>
          <cell r="S198" t="str">
            <v/>
          </cell>
          <cell r="T198">
            <v>1.8321228060347972E-2</v>
          </cell>
          <cell r="U198">
            <v>3.4224942018445614E-2</v>
          </cell>
          <cell r="V198">
            <v>6.493782292883965E-2</v>
          </cell>
          <cell r="W198" t="str">
            <v/>
          </cell>
          <cell r="X198" t="str">
            <v/>
          </cell>
          <cell r="Y198">
            <v>1.0197514063650104E-3</v>
          </cell>
          <cell r="Z198" t="str">
            <v/>
          </cell>
          <cell r="AA198">
            <v>8.4697030656818439E-3</v>
          </cell>
          <cell r="AB198" t="str">
            <v/>
          </cell>
          <cell r="AC198">
            <v>1.918922077817542E-2</v>
          </cell>
          <cell r="AD198">
            <v>3.5893213266249169E-2</v>
          </cell>
          <cell r="AE198">
            <v>6.8073432245266408E-2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1.4187671667675872E-3</v>
          </cell>
          <cell r="Q199" t="str">
            <v/>
          </cell>
          <cell r="R199">
            <v>8.0778524452811418E-3</v>
          </cell>
          <cell r="S199" t="str">
            <v/>
          </cell>
          <cell r="T199">
            <v>1.6959081369407603E-2</v>
          </cell>
          <cell r="U199">
            <v>3.1518117943552415E-2</v>
          </cell>
          <cell r="V199">
            <v>5.8149407383109919E-2</v>
          </cell>
          <cell r="W199" t="str">
            <v/>
          </cell>
          <cell r="X199" t="str">
            <v/>
          </cell>
          <cell r="Y199">
            <v>1.5851835038134254E-3</v>
          </cell>
          <cell r="Z199" t="str">
            <v/>
          </cell>
          <cell r="AA199">
            <v>8.5736895494186172E-3</v>
          </cell>
          <cell r="AB199" t="str">
            <v/>
          </cell>
          <cell r="AC199">
            <v>1.7777940896092082E-2</v>
          </cell>
          <cell r="AD199">
            <v>3.3055345691418658E-2</v>
          </cell>
          <cell r="AE199">
            <v>6.0964129211192208E-2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8.5672195685559949E-4</v>
          </cell>
          <cell r="Q200" t="str">
            <v/>
          </cell>
          <cell r="R200">
            <v>8.782877073494566E-3</v>
          </cell>
          <cell r="S200" t="str">
            <v/>
          </cell>
          <cell r="T200">
            <v>2.1274525942205358E-2</v>
          </cell>
          <cell r="U200">
            <v>3.6987664828815214E-2</v>
          </cell>
          <cell r="V200">
            <v>6.5785305770100222E-2</v>
          </cell>
          <cell r="W200" t="str">
            <v/>
          </cell>
          <cell r="X200" t="str">
            <v/>
          </cell>
          <cell r="Y200">
            <v>1.0232319603122875E-3</v>
          </cell>
          <cell r="Z200" t="str">
            <v/>
          </cell>
          <cell r="AA200">
            <v>9.2783617534522023E-3</v>
          </cell>
          <cell r="AB200" t="str">
            <v/>
          </cell>
          <cell r="AC200">
            <v>2.2311578187668601E-2</v>
          </cell>
          <cell r="AD200">
            <v>3.8791535740067773E-2</v>
          </cell>
          <cell r="AE200">
            <v>6.896053343314279E-2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4.6127998406324533E-3</v>
          </cell>
          <cell r="Q201" t="str">
            <v/>
          </cell>
          <cell r="R201">
            <v>3.5113713347814768E-2</v>
          </cell>
          <cell r="S201" t="str">
            <v/>
          </cell>
          <cell r="T201">
            <v>8.9624970332019993E-2</v>
          </cell>
          <cell r="U201">
            <v>0.1420535679463707</v>
          </cell>
          <cell r="V201">
            <v>0.24316563401032565</v>
          </cell>
          <cell r="W201" t="str">
            <v/>
          </cell>
          <cell r="X201" t="str">
            <v/>
          </cell>
          <cell r="Y201">
            <v>4.8329219669998036E-3</v>
          </cell>
          <cell r="Z201" t="str">
            <v/>
          </cell>
          <cell r="AA201">
            <v>3.6835565810131587E-2</v>
          </cell>
          <cell r="AB201" t="str">
            <v/>
          </cell>
          <cell r="AC201">
            <v>9.3952913910856029E-2</v>
          </cell>
          <cell r="AD201">
            <v>0.148736985458233</v>
          </cell>
          <cell r="AE201">
            <v>0.25408174670484762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2.9380229682006709E-3</v>
          </cell>
          <cell r="Q202" t="str">
            <v/>
          </cell>
          <cell r="R202">
            <v>1.6053273798310785E-2</v>
          </cell>
          <cell r="S202" t="str">
            <v/>
          </cell>
          <cell r="T202">
            <v>3.4974125250559429E-2</v>
          </cell>
          <cell r="U202">
            <v>5.3196387321540417E-2</v>
          </cell>
          <cell r="V202">
            <v>8.0020341222774016E-2</v>
          </cell>
          <cell r="W202" t="str">
            <v/>
          </cell>
          <cell r="X202" t="str">
            <v/>
          </cell>
          <cell r="Y202">
            <v>3.1041861170625351E-3</v>
          </cell>
          <cell r="Z202" t="str">
            <v/>
          </cell>
          <cell r="AA202">
            <v>1.6847274780237287E-2</v>
          </cell>
          <cell r="AB202" t="str">
            <v/>
          </cell>
          <cell r="AC202">
            <v>3.6692007474531274E-2</v>
          </cell>
          <cell r="AD202">
            <v>5.5788903031331549E-2</v>
          </cell>
          <cell r="AE202">
            <v>8.3859388270394519E-2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2.5262775766737855E-3</v>
          </cell>
          <cell r="Q203" t="str">
            <v/>
          </cell>
          <cell r="R203">
            <v>9.7277592879345676E-3</v>
          </cell>
          <cell r="S203" t="str">
            <v/>
          </cell>
          <cell r="T203">
            <v>3.3139739606582563E-2</v>
          </cell>
          <cell r="U203">
            <v>6.4400425295793151E-2</v>
          </cell>
          <cell r="V203">
            <v>0.11256912099266714</v>
          </cell>
          <cell r="W203" t="str">
            <v/>
          </cell>
          <cell r="X203" t="str">
            <v/>
          </cell>
          <cell r="Y203">
            <v>2.6925093440520742E-3</v>
          </cell>
          <cell r="Z203" t="str">
            <v/>
          </cell>
          <cell r="AA203">
            <v>1.0222771644877615E-2</v>
          </cell>
          <cell r="AB203" t="str">
            <v/>
          </cell>
          <cell r="AC203">
            <v>3.4767421769627105E-2</v>
          </cell>
          <cell r="AD203">
            <v>6.753348021179173E-2</v>
          </cell>
          <cell r="AE203">
            <v>0.11795581501845032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7.9216678478439384E-2</v>
          </cell>
          <cell r="Q204" t="str">
            <v/>
          </cell>
          <cell r="R204">
            <v>0.18614379248715274</v>
          </cell>
          <cell r="S204" t="str">
            <v/>
          </cell>
          <cell r="T204">
            <v>0.24268135326536222</v>
          </cell>
          <cell r="U204">
            <v>0.29057091910928423</v>
          </cell>
          <cell r="V204">
            <v>0.34430261795283379</v>
          </cell>
          <cell r="W204" t="str">
            <v/>
          </cell>
          <cell r="X204" t="str">
            <v/>
          </cell>
          <cell r="Y204">
            <v>8.3008386087430996E-2</v>
          </cell>
          <cell r="Z204" t="str">
            <v/>
          </cell>
          <cell r="AA204">
            <v>0.19442435550478543</v>
          </cell>
          <cell r="AB204" t="str">
            <v/>
          </cell>
          <cell r="AC204">
            <v>0.25285412404779406</v>
          </cell>
          <cell r="AD204">
            <v>0.30216859457387957</v>
          </cell>
          <cell r="AE204">
            <v>0.3571862726979157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4.8971478413708525E-3</v>
          </cell>
          <cell r="Q205" t="str">
            <v/>
          </cell>
          <cell r="R205">
            <v>2.7477650347708771E-2</v>
          </cell>
          <cell r="S205" t="str">
            <v/>
          </cell>
          <cell r="T205">
            <v>7.5268157321391804E-2</v>
          </cell>
          <cell r="U205">
            <v>0.12416160405673049</v>
          </cell>
          <cell r="V205">
            <v>0.21062336640269186</v>
          </cell>
          <cell r="W205" t="str">
            <v/>
          </cell>
          <cell r="X205" t="str">
            <v/>
          </cell>
          <cell r="Y205">
            <v>5.1308037250034078E-3</v>
          </cell>
          <cell r="Z205" t="str">
            <v/>
          </cell>
          <cell r="AA205">
            <v>2.8831060677649289E-2</v>
          </cell>
          <cell r="AB205" t="str">
            <v/>
          </cell>
          <cell r="AC205">
            <v>7.8925689099610175E-2</v>
          </cell>
          <cell r="AD205">
            <v>0.13006136874866348</v>
          </cell>
          <cell r="AE205">
            <v>0.22023613586465829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1.1542457216366375E-2</v>
          </cell>
          <cell r="Q206" t="str">
            <v/>
          </cell>
          <cell r="R206">
            <v>6.0158124541064728E-2</v>
          </cell>
          <cell r="S206" t="str">
            <v/>
          </cell>
          <cell r="T206">
            <v>0.14505175834300454</v>
          </cell>
          <cell r="U206">
            <v>0.21926841352248161</v>
          </cell>
          <cell r="V206">
            <v>0.33588990605960556</v>
          </cell>
          <cell r="W206" t="str">
            <v/>
          </cell>
          <cell r="X206" t="str">
            <v/>
          </cell>
          <cell r="Y206">
            <v>1.2115400479655536E-2</v>
          </cell>
          <cell r="Z206" t="str">
            <v/>
          </cell>
          <cell r="AA206">
            <v>6.3084635771112896E-2</v>
          </cell>
          <cell r="AB206" t="str">
            <v/>
          </cell>
          <cell r="AC206">
            <v>0.15187203079053824</v>
          </cell>
          <cell r="AD206">
            <v>0.22915627358962887</v>
          </cell>
          <cell r="AE206">
            <v>0.3500076483260709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8.2016944864349295E-4</v>
          </cell>
          <cell r="Q207" t="str">
            <v/>
          </cell>
          <cell r="R207">
            <v>9.7292486480800022E-3</v>
          </cell>
          <cell r="S207" t="str">
            <v/>
          </cell>
          <cell r="T207">
            <v>2.2038519214811703E-2</v>
          </cell>
          <cell r="U207">
            <v>4.1843742709897214E-2</v>
          </cell>
          <cell r="V207">
            <v>7.7238674675388252E-2</v>
          </cell>
          <cell r="W207" t="str">
            <v/>
          </cell>
          <cell r="X207" t="str">
            <v/>
          </cell>
          <cell r="Y207">
            <v>9.8668554366354577E-4</v>
          </cell>
          <cell r="Z207" t="str">
            <v/>
          </cell>
          <cell r="AA207">
            <v>1.0224260260576878E-2</v>
          </cell>
          <cell r="AB207" t="str">
            <v/>
          </cell>
          <cell r="AC207">
            <v>2.3117796914109756E-2</v>
          </cell>
          <cell r="AD207">
            <v>4.3887788756298063E-2</v>
          </cell>
          <cell r="AE207">
            <v>8.0957083031642951E-2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1.9526802887469552E-3</v>
          </cell>
          <cell r="Q208" t="str">
            <v/>
          </cell>
          <cell r="R208">
            <v>9.9254890985825961E-3</v>
          </cell>
          <cell r="S208" t="str">
            <v/>
          </cell>
          <cell r="T208">
            <v>2.5826099865312924E-2</v>
          </cell>
          <cell r="U208">
            <v>4.8261935739770112E-2</v>
          </cell>
          <cell r="V208">
            <v>8.9433331013118122E-2</v>
          </cell>
          <cell r="W208" t="str">
            <v/>
          </cell>
          <cell r="X208" t="str">
            <v/>
          </cell>
          <cell r="Y208">
            <v>2.1190076477021202E-3</v>
          </cell>
          <cell r="Z208" t="str">
            <v/>
          </cell>
          <cell r="AA208">
            <v>1.0420402615326063E-2</v>
          </cell>
          <cell r="AB208" t="str">
            <v/>
          </cell>
          <cell r="AC208">
            <v>2.7096163867710965E-2</v>
          </cell>
          <cell r="AD208">
            <v>5.0620836627854993E-2</v>
          </cell>
          <cell r="AE208">
            <v>9.3751005902081297E-2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6.6010447658070182E-2</v>
          </cell>
          <cell r="Q209" t="str">
            <v/>
          </cell>
          <cell r="R209">
            <v>0.18189105398654948</v>
          </cell>
          <cell r="S209" t="str">
            <v/>
          </cell>
          <cell r="T209">
            <v>0.24714076951760733</v>
          </cell>
          <cell r="U209">
            <v>0.30352540610325784</v>
          </cell>
          <cell r="V209">
            <v>0.37821115991793797</v>
          </cell>
          <cell r="W209" t="str">
            <v/>
          </cell>
          <cell r="X209" t="str">
            <v/>
          </cell>
          <cell r="Y209">
            <v>6.919404437411425E-2</v>
          </cell>
          <cell r="Z209" t="str">
            <v/>
          </cell>
          <cell r="AA209">
            <v>0.19006354345283472</v>
          </cell>
          <cell r="AB209" t="str">
            <v/>
          </cell>
          <cell r="AC209">
            <v>0.25756908517846511</v>
          </cell>
          <cell r="AD209">
            <v>0.31565948227771223</v>
          </cell>
          <cell r="AE209">
            <v>0.39223250032281065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7.4198079234544245E-3</v>
          </cell>
          <cell r="Q210" t="str">
            <v/>
          </cell>
          <cell r="R210">
            <v>3.8405566314867801E-2</v>
          </cell>
          <cell r="S210" t="str">
            <v/>
          </cell>
          <cell r="T210">
            <v>0.10010882655450914</v>
          </cell>
          <cell r="U210">
            <v>0.16189569716225471</v>
          </cell>
          <cell r="V210">
            <v>0.27037798100372168</v>
          </cell>
          <cell r="W210" t="str">
            <v/>
          </cell>
          <cell r="X210" t="str">
            <v/>
          </cell>
          <cell r="Y210">
            <v>7.7733516381675027E-3</v>
          </cell>
          <cell r="Z210" t="str">
            <v/>
          </cell>
          <cell r="AA210">
            <v>4.0284551227686149E-2</v>
          </cell>
          <cell r="AB210" t="str">
            <v/>
          </cell>
          <cell r="AC210">
            <v>0.10492061327354651</v>
          </cell>
          <cell r="AD210">
            <v>0.16944912286219949</v>
          </cell>
          <cell r="AE210">
            <v>0.28233422962996135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6.2951765008028016E-3</v>
          </cell>
          <cell r="Q211" t="str">
            <v/>
          </cell>
          <cell r="R211">
            <v>3.9721716796188522E-2</v>
          </cell>
          <cell r="S211" t="str">
            <v/>
          </cell>
          <cell r="T211">
            <v>0.10129362832254085</v>
          </cell>
          <cell r="U211">
            <v>0.15639605346099172</v>
          </cell>
          <cell r="V211">
            <v>0.25140151031880942</v>
          </cell>
          <cell r="W211" t="str">
            <v/>
          </cell>
          <cell r="X211" t="str">
            <v/>
          </cell>
          <cell r="Y211">
            <v>6.5953128308493536E-3</v>
          </cell>
          <cell r="Z211" t="str">
            <v/>
          </cell>
          <cell r="AA211">
            <v>4.1663809481011449E-2</v>
          </cell>
          <cell r="AB211" t="str">
            <v/>
          </cell>
          <cell r="AC211">
            <v>0.10616018997800514</v>
          </cell>
          <cell r="AD211">
            <v>0.16369490044881496</v>
          </cell>
          <cell r="AE211">
            <v>0.26256813033120818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1.1769347925223439E-3</v>
          </cell>
          <cell r="Q212" t="str">
            <v/>
          </cell>
          <cell r="R212">
            <v>5.9462016420491759E-3</v>
          </cell>
          <cell r="S212" t="str">
            <v/>
          </cell>
          <cell r="T212">
            <v>1.6770938002698355E-2</v>
          </cell>
          <cell r="U212">
            <v>3.014855662638205E-2</v>
          </cell>
          <cell r="V212">
            <v>6.4135689821288921E-2</v>
          </cell>
          <cell r="W212" t="str">
            <v/>
          </cell>
          <cell r="X212" t="str">
            <v/>
          </cell>
          <cell r="Y212">
            <v>1.3433914316186568E-3</v>
          </cell>
          <cell r="Z212" t="str">
            <v/>
          </cell>
          <cell r="AA212">
            <v>6.4431043052430859E-3</v>
          </cell>
          <cell r="AB212" t="str">
            <v/>
          </cell>
          <cell r="AC212">
            <v>1.758995425021681E-2</v>
          </cell>
          <cell r="AD212">
            <v>3.1605241478776969E-2</v>
          </cell>
          <cell r="AE212">
            <v>6.7220949837572319E-2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9.002351168498901E-4</v>
          </cell>
          <cell r="Q213" t="str">
            <v/>
          </cell>
          <cell r="R213">
            <v>5.5711718706833446E-3</v>
          </cell>
          <cell r="S213" t="str">
            <v/>
          </cell>
          <cell r="T213">
            <v>1.6400169643322138E-2</v>
          </cell>
          <cell r="U213">
            <v>2.6646204735497947E-2</v>
          </cell>
          <cell r="V213">
            <v>4.8654774164822223E-2</v>
          </cell>
          <cell r="W213" t="str">
            <v/>
          </cell>
          <cell r="X213" t="str">
            <v/>
          </cell>
          <cell r="Y213">
            <v>1.0667378687243545E-3</v>
          </cell>
          <cell r="Z213" t="str">
            <v/>
          </cell>
          <cell r="AA213">
            <v>6.0682620018508437E-3</v>
          </cell>
          <cell r="AB213" t="str">
            <v/>
          </cell>
          <cell r="AC213">
            <v>1.72194947357307E-2</v>
          </cell>
          <cell r="AD213">
            <v>2.7926201465065414E-2</v>
          </cell>
          <cell r="AE213">
            <v>5.0996976738384547E-2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9.9595744750413662E-4</v>
          </cell>
          <cell r="Q214" t="str">
            <v/>
          </cell>
          <cell r="R214">
            <v>1.1953810278833799E-2</v>
          </cell>
          <cell r="S214" t="str">
            <v/>
          </cell>
          <cell r="T214">
            <v>3.5604514507080687E-2</v>
          </cell>
          <cell r="U214">
            <v>7.0454044358481016E-2</v>
          </cell>
          <cell r="V214">
            <v>0.12003572900629111</v>
          </cell>
          <cell r="W214" t="str">
            <v/>
          </cell>
          <cell r="X214" t="str">
            <v/>
          </cell>
          <cell r="Y214">
            <v>1.1624442469587715E-3</v>
          </cell>
          <cell r="Z214" t="str">
            <v/>
          </cell>
          <cell r="AA214">
            <v>1.2525229700609208E-2</v>
          </cell>
          <cell r="AB214" t="str">
            <v/>
          </cell>
          <cell r="AC214">
            <v>3.7349360390748432E-2</v>
          </cell>
          <cell r="AD214">
            <v>7.3870534408793098E-2</v>
          </cell>
          <cell r="AE214">
            <v>0.12575660753167006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2.3629225740556814E-3</v>
          </cell>
          <cell r="Q215" t="str">
            <v/>
          </cell>
          <cell r="R215">
            <v>1.3056248460229902E-2</v>
          </cell>
          <cell r="S215" t="str">
            <v/>
          </cell>
          <cell r="T215">
            <v>3.9666748617545045E-2</v>
          </cell>
          <cell r="U215">
            <v>6.9552775497292108E-2</v>
          </cell>
          <cell r="V215">
            <v>0.14008522197849627</v>
          </cell>
          <cell r="W215" t="str">
            <v/>
          </cell>
          <cell r="X215" t="str">
            <v/>
          </cell>
          <cell r="Y215">
            <v>2.5291815649819416E-3</v>
          </cell>
          <cell r="Z215" t="str">
            <v/>
          </cell>
          <cell r="AA215">
            <v>1.368448485806395E-2</v>
          </cell>
          <cell r="AB215" t="str">
            <v/>
          </cell>
          <cell r="AC215">
            <v>4.1612722766677601E-2</v>
          </cell>
          <cell r="AD215">
            <v>7.2928614727450825E-2</v>
          </cell>
          <cell r="AE215">
            <v>0.14673954619499585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5.0883575161808636E-2</v>
          </cell>
          <cell r="Q216" t="str">
            <v/>
          </cell>
          <cell r="R216">
            <v>0.13188193306411056</v>
          </cell>
          <cell r="S216" t="str">
            <v/>
          </cell>
          <cell r="T216">
            <v>0.18792113399108057</v>
          </cell>
          <cell r="U216">
            <v>0.21276344173383088</v>
          </cell>
          <cell r="V216">
            <v>0.24329257741924193</v>
          </cell>
          <cell r="W216" t="str">
            <v/>
          </cell>
          <cell r="X216" t="str">
            <v/>
          </cell>
          <cell r="Y216">
            <v>5.3358619801526119E-2</v>
          </cell>
          <cell r="Z216" t="str">
            <v/>
          </cell>
          <cell r="AA216">
            <v>0.13798559803444566</v>
          </cell>
          <cell r="AB216" t="str">
            <v/>
          </cell>
          <cell r="AC216">
            <v>0.19624026553487228</v>
          </cell>
          <cell r="AD216">
            <v>0.22183572726436407</v>
          </cell>
          <cell r="AE216">
            <v>0.25325995370945387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2.0483025549112854E-3</v>
          </cell>
          <cell r="Q217" t="str">
            <v/>
          </cell>
          <cell r="R217">
            <v>1.0141132236745065E-2</v>
          </cell>
          <cell r="S217" t="str">
            <v/>
          </cell>
          <cell r="T217">
            <v>2.1030803418900068E-2</v>
          </cell>
          <cell r="U217">
            <v>3.8954375271899822E-2</v>
          </cell>
          <cell r="V217">
            <v>7.0192202830046346E-2</v>
          </cell>
          <cell r="W217" t="str">
            <v/>
          </cell>
          <cell r="X217" t="str">
            <v/>
          </cell>
          <cell r="Y217">
            <v>2.2146139781649143E-3</v>
          </cell>
          <cell r="Z217" t="str">
            <v/>
          </cell>
          <cell r="AA217">
            <v>1.0635937958919706E-2</v>
          </cell>
          <cell r="AB217" t="str">
            <v/>
          </cell>
          <cell r="AC217">
            <v>2.2067336293385642E-2</v>
          </cell>
          <cell r="AD217">
            <v>4.0864846220807549E-2</v>
          </cell>
          <cell r="AE217">
            <v>7.3586349706232679E-2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1.0586071345272119E-3</v>
          </cell>
          <cell r="Q218" t="str">
            <v/>
          </cell>
          <cell r="R218">
            <v>8.7058512324148518E-3</v>
          </cell>
          <cell r="S218" t="str">
            <v/>
          </cell>
          <cell r="T218">
            <v>2.1697449717626771E-2</v>
          </cell>
          <cell r="U218">
            <v>4.1130816791174918E-2</v>
          </cell>
          <cell r="V218">
            <v>7.4021348920084384E-2</v>
          </cell>
          <cell r="W218" t="str">
            <v/>
          </cell>
          <cell r="X218" t="str">
            <v/>
          </cell>
          <cell r="Y218">
            <v>1.2250834932553412E-3</v>
          </cell>
          <cell r="Z218" t="str">
            <v/>
          </cell>
          <cell r="AA218">
            <v>9.2013744157193322E-3</v>
          </cell>
          <cell r="AB218" t="str">
            <v/>
          </cell>
          <cell r="AC218">
            <v>2.2755612926443458E-2</v>
          </cell>
          <cell r="AD218">
            <v>4.3136320508225245E-2</v>
          </cell>
          <cell r="AE218">
            <v>7.7585276101683531E-2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4.9560879648484768E-3</v>
          </cell>
          <cell r="Q219" t="str">
            <v/>
          </cell>
          <cell r="R219">
            <v>2.0589652166647321E-2</v>
          </cell>
          <cell r="S219" t="str">
            <v/>
          </cell>
          <cell r="T219">
            <v>5.9052538423907452E-2</v>
          </cell>
          <cell r="U219">
            <v>9.8838004457281192E-2</v>
          </cell>
          <cell r="V219">
            <v>0.16773704072803586</v>
          </cell>
          <cell r="W219" t="str">
            <v/>
          </cell>
          <cell r="X219" t="str">
            <v/>
          </cell>
          <cell r="Y219">
            <v>5.1925486340939075E-3</v>
          </cell>
          <cell r="Z219" t="str">
            <v/>
          </cell>
          <cell r="AA219">
            <v>2.1607791596273795E-2</v>
          </cell>
          <cell r="AB219" t="str">
            <v/>
          </cell>
          <cell r="AC219">
            <v>6.1924321696172457E-2</v>
          </cell>
          <cell r="AD219">
            <v>0.10357030434939518</v>
          </cell>
          <cell r="AE219">
            <v>0.17555401410226779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2.0378714766647876E-3</v>
          </cell>
          <cell r="Q220" t="str">
            <v/>
          </cell>
          <cell r="R220">
            <v>1.1068649349536774E-2</v>
          </cell>
          <cell r="S220" t="str">
            <v/>
          </cell>
          <cell r="T220">
            <v>2.871251736379099E-2</v>
          </cell>
          <cell r="U220">
            <v>4.1914270667368192E-2</v>
          </cell>
          <cell r="V220">
            <v>6.8933153931498348E-2</v>
          </cell>
          <cell r="W220" t="str">
            <v/>
          </cell>
          <cell r="X220" t="str">
            <v/>
          </cell>
          <cell r="Y220">
            <v>2.2041846382765407E-3</v>
          </cell>
          <cell r="Z220" t="str">
            <v/>
          </cell>
          <cell r="AA220">
            <v>1.1602033919749566E-2</v>
          </cell>
          <cell r="AB220" t="str">
            <v/>
          </cell>
          <cell r="AC220">
            <v>3.0125592573910231E-2</v>
          </cell>
          <cell r="AD220">
            <v>4.3966520446166113E-2</v>
          </cell>
          <cell r="AE220">
            <v>7.2261702409335826E-2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1.4744325777467093E-3</v>
          </cell>
          <cell r="Q221" t="str">
            <v/>
          </cell>
          <cell r="R221">
            <v>1.2306063919504284E-2</v>
          </cell>
          <cell r="S221" t="str">
            <v/>
          </cell>
          <cell r="T221">
            <v>3.2942631565636704E-2</v>
          </cell>
          <cell r="U221">
            <v>6.182605546436748E-2</v>
          </cell>
          <cell r="V221">
            <v>0.12480340155497727</v>
          </cell>
          <cell r="W221" t="str">
            <v/>
          </cell>
          <cell r="X221" t="str">
            <v/>
          </cell>
          <cell r="Y221">
            <v>1.6408396380223067E-3</v>
          </cell>
          <cell r="Z221" t="str">
            <v/>
          </cell>
          <cell r="AA221">
            <v>1.2895787998960739E-2</v>
          </cell>
          <cell r="AB221" t="str">
            <v/>
          </cell>
          <cell r="AC221">
            <v>3.4559814626281327E-2</v>
          </cell>
          <cell r="AD221">
            <v>6.4833452358715071E-2</v>
          </cell>
          <cell r="AE221">
            <v>0.13076565246033733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1.6831504453922452E-3</v>
          </cell>
          <cell r="Q222" t="str">
            <v/>
          </cell>
          <cell r="R222">
            <v>1.1131283750257626E-2</v>
          </cell>
          <cell r="S222" t="str">
            <v/>
          </cell>
          <cell r="T222">
            <v>2.3987386287448675E-2</v>
          </cell>
          <cell r="U222">
            <v>4.4211407718108608E-2</v>
          </cell>
          <cell r="V222">
            <v>8.0274164263399728E-2</v>
          </cell>
          <cell r="W222" t="str">
            <v/>
          </cell>
          <cell r="X222" t="str">
            <v/>
          </cell>
          <cell r="Y222">
            <v>1.8495227222452559E-3</v>
          </cell>
          <cell r="Z222" t="str">
            <v/>
          </cell>
          <cell r="AA222">
            <v>1.1666364123775974E-2</v>
          </cell>
          <cell r="AB222" t="str">
            <v/>
          </cell>
          <cell r="AC222">
            <v>2.516826004993844E-2</v>
          </cell>
          <cell r="AD222">
            <v>4.6375140127911996E-2</v>
          </cell>
          <cell r="AE222">
            <v>8.4137909211121187E-2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8.8631111032944077E-4</v>
          </cell>
          <cell r="Q223" t="str">
            <v/>
          </cell>
          <cell r="R223">
            <v>9.3925994829057169E-3</v>
          </cell>
          <cell r="S223" t="str">
            <v/>
          </cell>
          <cell r="T223">
            <v>2.3802192362657904E-2</v>
          </cell>
          <cell r="U223">
            <v>4.1984621114067866E-2</v>
          </cell>
          <cell r="V223">
            <v>7.8170722543425164E-2</v>
          </cell>
          <cell r="W223" t="str">
            <v/>
          </cell>
          <cell r="X223" t="str">
            <v/>
          </cell>
          <cell r="Y223">
            <v>1.0528161826509619E-3</v>
          </cell>
          <cell r="Z223" t="str">
            <v/>
          </cell>
          <cell r="AA223">
            <v>9.8877793779081902E-3</v>
          </cell>
          <cell r="AB223" t="str">
            <v/>
          </cell>
          <cell r="AC223">
            <v>2.4966436685155524E-2</v>
          </cell>
          <cell r="AD223">
            <v>4.4033755195087121E-2</v>
          </cell>
          <cell r="AE223">
            <v>8.1929785898571472E-2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6.5131444456578702E-4</v>
          </cell>
          <cell r="Q224" t="str">
            <v/>
          </cell>
          <cell r="R224">
            <v>8.7408670960301693E-3</v>
          </cell>
          <cell r="S224" t="str">
            <v/>
          </cell>
          <cell r="T224">
            <v>2.3030040659537288E-2</v>
          </cell>
          <cell r="U224">
            <v>4.6939084477635173E-2</v>
          </cell>
          <cell r="V224">
            <v>8.963693594035782E-2</v>
          </cell>
          <cell r="W224" t="str">
            <v/>
          </cell>
          <cell r="X224" t="str">
            <v/>
          </cell>
          <cell r="Y224">
            <v>8.1785867974115689E-4</v>
          </cell>
          <cell r="Z224" t="str">
            <v/>
          </cell>
          <cell r="AA224">
            <v>9.2363727757418523E-3</v>
          </cell>
          <cell r="AB224" t="str">
            <v/>
          </cell>
          <cell r="AC224">
            <v>2.41521958819233E-2</v>
          </cell>
          <cell r="AD224">
            <v>4.9224256205728234E-2</v>
          </cell>
          <cell r="AE224">
            <v>9.3958989408839844E-2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1.0829698485161909E-3</v>
          </cell>
          <cell r="Q225" t="str">
            <v/>
          </cell>
          <cell r="R225">
            <v>1.2097385319976728E-2</v>
          </cell>
          <cell r="S225" t="str">
            <v/>
          </cell>
          <cell r="T225">
            <v>2.7821027641382501E-2</v>
          </cell>
          <cell r="U225">
            <v>5.1216070968107652E-2</v>
          </cell>
          <cell r="V225">
            <v>8.9475663546089157E-2</v>
          </cell>
          <cell r="W225" t="str">
            <v/>
          </cell>
          <cell r="X225" t="str">
            <v/>
          </cell>
          <cell r="Y225">
            <v>1.2494421471256345E-3</v>
          </cell>
          <cell r="Z225" t="str">
            <v/>
          </cell>
          <cell r="AA225">
            <v>1.2675879833422887E-2</v>
          </cell>
          <cell r="AB225" t="str">
            <v/>
          </cell>
          <cell r="AC225">
            <v>2.9187377003528026E-2</v>
          </cell>
          <cell r="AD225">
            <v>5.3714636275642214E-2</v>
          </cell>
          <cell r="AE225">
            <v>9.3761761160904511E-2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1.2604518222725236E-3</v>
          </cell>
          <cell r="Q226" t="str">
            <v/>
          </cell>
          <cell r="R226">
            <v>8.193153691007482E-3</v>
          </cell>
          <cell r="S226" t="str">
            <v/>
          </cell>
          <cell r="T226">
            <v>2.2167062660479075E-2</v>
          </cell>
          <cell r="U226">
            <v>3.5967077361893196E-2</v>
          </cell>
          <cell r="V226">
            <v>7.0653228848735927E-2</v>
          </cell>
          <cell r="W226" t="str">
            <v/>
          </cell>
          <cell r="X226" t="str">
            <v/>
          </cell>
          <cell r="Y226">
            <v>1.4268945430198077E-3</v>
          </cell>
          <cell r="Z226" t="str">
            <v/>
          </cell>
          <cell r="AA226">
            <v>8.6889331589486973E-3</v>
          </cell>
          <cell r="AB226" t="str">
            <v/>
          </cell>
          <cell r="AC226">
            <v>2.3246363350551413E-2</v>
          </cell>
          <cell r="AD226">
            <v>3.7719705020803684E-2</v>
          </cell>
          <cell r="AE226">
            <v>7.4055752904431227E-2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7.8361561299300497E-4</v>
          </cell>
          <cell r="Q227" t="str">
            <v/>
          </cell>
          <cell r="R227">
            <v>5.974485887130232E-3</v>
          </cell>
          <cell r="S227" t="str">
            <v/>
          </cell>
          <cell r="T227">
            <v>1.7673903397979585E-2</v>
          </cell>
          <cell r="U227">
            <v>3.2629361635032716E-2</v>
          </cell>
          <cell r="V227">
            <v>6.3664099929978013E-2</v>
          </cell>
          <cell r="W227" t="str">
            <v/>
          </cell>
          <cell r="X227" t="str">
            <v/>
          </cell>
          <cell r="Y227">
            <v>9.5013779983943447E-4</v>
          </cell>
          <cell r="Z227" t="str">
            <v/>
          </cell>
          <cell r="AA227">
            <v>6.4713744117087524E-3</v>
          </cell>
          <cell r="AB227" t="str">
            <v/>
          </cell>
          <cell r="AC227">
            <v>1.8503209388774811E-2</v>
          </cell>
          <cell r="AD227">
            <v>3.4209578214508318E-2</v>
          </cell>
          <cell r="AE227">
            <v>6.6729635785537811E-2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9.2460166473706806E-4</v>
          </cell>
          <cell r="Q228" t="str">
            <v/>
          </cell>
          <cell r="R228">
            <v>8.4718749631914614E-3</v>
          </cell>
          <cell r="S228" t="str">
            <v/>
          </cell>
          <cell r="T228">
            <v>2.3036331995369363E-2</v>
          </cell>
          <cell r="U228">
            <v>4.6314440451993844E-2</v>
          </cell>
          <cell r="V228">
            <v>8.5060246025798314E-2</v>
          </cell>
          <cell r="W228" t="str">
            <v/>
          </cell>
          <cell r="X228" t="str">
            <v/>
          </cell>
          <cell r="Y228">
            <v>1.0911003558539134E-3</v>
          </cell>
          <cell r="Z228" t="str">
            <v/>
          </cell>
          <cell r="AA228">
            <v>8.967515105320234E-3</v>
          </cell>
          <cell r="AB228" t="str">
            <v/>
          </cell>
          <cell r="AC228">
            <v>2.4158424137438295E-2</v>
          </cell>
          <cell r="AD228">
            <v>4.8569140532918831E-2</v>
          </cell>
          <cell r="AE228">
            <v>8.9138193647228969E-2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2.6861312516496261E-3</v>
          </cell>
          <cell r="Q229" t="str">
            <v/>
          </cell>
          <cell r="R229">
            <v>1.1341171741377054E-2</v>
          </cell>
          <cell r="S229" t="str">
            <v/>
          </cell>
          <cell r="T229">
            <v>2.5610433723943338E-2</v>
          </cell>
          <cell r="U229">
            <v>4.8016114498597107E-2</v>
          </cell>
          <cell r="V229">
            <v>9.131909293414997E-2</v>
          </cell>
          <cell r="W229" t="str">
            <v/>
          </cell>
          <cell r="X229" t="str">
            <v/>
          </cell>
          <cell r="Y229">
            <v>2.8523363789685341E-3</v>
          </cell>
          <cell r="Z229" t="str">
            <v/>
          </cell>
          <cell r="AA229">
            <v>1.1889725153445219E-2</v>
          </cell>
          <cell r="AB229" t="str">
            <v/>
          </cell>
          <cell r="AC229">
            <v>2.687412305040493E-2</v>
          </cell>
          <cell r="AD229">
            <v>5.0366553508266687E-2</v>
          </cell>
          <cell r="AE229">
            <v>9.572996976742798E-2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1.7196716210956531E-3</v>
          </cell>
          <cell r="Q230" t="str">
            <v/>
          </cell>
          <cell r="R230">
            <v>1.0496905725687622E-2</v>
          </cell>
          <cell r="S230" t="str">
            <v/>
          </cell>
          <cell r="T230">
            <v>2.6213656096558235E-2</v>
          </cell>
          <cell r="U230">
            <v>4.7878165789302596E-2</v>
          </cell>
          <cell r="V230">
            <v>8.6091828915201285E-2</v>
          </cell>
          <cell r="W230" t="str">
            <v/>
          </cell>
          <cell r="X230" t="str">
            <v/>
          </cell>
          <cell r="Y230">
            <v>1.886037811607344E-3</v>
          </cell>
          <cell r="Z230" t="str">
            <v/>
          </cell>
          <cell r="AA230">
            <v>1.1002165389409124E-2</v>
          </cell>
          <cell r="AB230" t="str">
            <v/>
          </cell>
          <cell r="AC230">
            <v>2.7503618217882719E-2</v>
          </cell>
          <cell r="AD230">
            <v>5.0219128051085304E-2</v>
          </cell>
          <cell r="AE230">
            <v>9.0225462347941932E-2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6.3705433652815113E-2</v>
          </cell>
          <cell r="Q231" t="str">
            <v/>
          </cell>
          <cell r="R231">
            <v>0.17230983101470176</v>
          </cell>
          <cell r="S231" t="str">
            <v/>
          </cell>
          <cell r="T231">
            <v>0.23403986844399138</v>
          </cell>
          <cell r="U231">
            <v>0.28247983044323122</v>
          </cell>
          <cell r="V231">
            <v>0.36016771387077939</v>
          </cell>
          <cell r="W231" t="str">
            <v/>
          </cell>
          <cell r="X231" t="str">
            <v/>
          </cell>
          <cell r="Y231">
            <v>6.6781885321132495E-2</v>
          </cell>
          <cell r="Z231" t="str">
            <v/>
          </cell>
          <cell r="AA231">
            <v>0.18009404196171319</v>
          </cell>
          <cell r="AB231" t="str">
            <v/>
          </cell>
          <cell r="AC231">
            <v>0.24401136527797507</v>
          </cell>
          <cell r="AD231">
            <v>0.29393546062027809</v>
          </cell>
          <cell r="AE231">
            <v>0.37380005785297421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1.9109513602653116E-3</v>
          </cell>
          <cell r="Q232" t="str">
            <v/>
          </cell>
          <cell r="R232">
            <v>1.1269600169542038E-2</v>
          </cell>
          <cell r="S232" t="str">
            <v/>
          </cell>
          <cell r="T232">
            <v>3.8189783631834784E-2</v>
          </cell>
          <cell r="U232">
            <v>6.8315450067625738E-2</v>
          </cell>
          <cell r="V232">
            <v>0.11905056685569904</v>
          </cell>
          <cell r="W232" t="str">
            <v/>
          </cell>
          <cell r="X232" t="str">
            <v/>
          </cell>
          <cell r="Y232">
            <v>2.0772856734643241E-3</v>
          </cell>
          <cell r="Z232" t="str">
            <v/>
          </cell>
          <cell r="AA232">
            <v>1.1812017137188824E-2</v>
          </cell>
          <cell r="AB232" t="str">
            <v/>
          </cell>
          <cell r="AC232">
            <v>4.0062887889413257E-2</v>
          </cell>
          <cell r="AD232">
            <v>7.1633110267740885E-2</v>
          </cell>
          <cell r="AE232">
            <v>0.12472814452781777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0.20078879439970199</v>
          </cell>
          <cell r="Q233" t="str">
            <v/>
          </cell>
          <cell r="R233">
            <v>0.35487583743272866</v>
          </cell>
          <cell r="S233" t="str">
            <v/>
          </cell>
          <cell r="T233">
            <v>0.38598095450811531</v>
          </cell>
          <cell r="U233">
            <v>0.45911815153407975</v>
          </cell>
          <cell r="V233">
            <v>0.53929091875340684</v>
          </cell>
          <cell r="W233" t="str">
            <v/>
          </cell>
          <cell r="X233" t="str">
            <v/>
          </cell>
          <cell r="Y233">
            <v>0.20969482186425314</v>
          </cell>
          <cell r="Z233" t="str">
            <v/>
          </cell>
          <cell r="AA233">
            <v>0.36823991182338445</v>
          </cell>
          <cell r="AB233" t="str">
            <v/>
          </cell>
          <cell r="AC233">
            <v>0.39912035104154109</v>
          </cell>
          <cell r="AD233">
            <v>0.47363649353056059</v>
          </cell>
          <cell r="AE233">
            <v>0.55450755319268885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9.8725579359904003E-4</v>
          </cell>
          <cell r="Q234" t="str">
            <v/>
          </cell>
          <cell r="R234">
            <v>6.4637295889488078E-3</v>
          </cell>
          <cell r="S234" t="str">
            <v/>
          </cell>
          <cell r="T234">
            <v>1.7605685105666291E-2</v>
          </cell>
          <cell r="U234">
            <v>3.3829188649336928E-2</v>
          </cell>
          <cell r="V234">
            <v>6.5293716068102081E-2</v>
          </cell>
          <cell r="W234" t="str">
            <v/>
          </cell>
          <cell r="X234" t="str">
            <v/>
          </cell>
          <cell r="Y234">
            <v>1.1537440432072277E-3</v>
          </cell>
          <cell r="Z234" t="str">
            <v/>
          </cell>
          <cell r="AA234">
            <v>6.9603735528124266E-3</v>
          </cell>
          <cell r="AB234" t="str">
            <v/>
          </cell>
          <cell r="AC234">
            <v>1.8435048688180689E-2</v>
          </cell>
          <cell r="AD234">
            <v>3.5471052798188185E-2</v>
          </cell>
          <cell r="AE234">
            <v>6.8439665447277642E-2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1.3230850461797283E-3</v>
          </cell>
          <cell r="Q235" t="str">
            <v/>
          </cell>
          <cell r="R235">
            <v>1.069204160540238E-2</v>
          </cell>
          <cell r="S235" t="str">
            <v/>
          </cell>
          <cell r="T235">
            <v>2.3194780259568892E-2</v>
          </cell>
          <cell r="U235">
            <v>4.4078850461690466E-2</v>
          </cell>
          <cell r="V235">
            <v>8.2194048776386031E-2</v>
          </cell>
          <cell r="W235" t="str">
            <v/>
          </cell>
          <cell r="X235" t="str">
            <v/>
          </cell>
          <cell r="Y235">
            <v>1.4895173289440899E-3</v>
          </cell>
          <cell r="Z235" t="str">
            <v/>
          </cell>
          <cell r="AA235">
            <v>1.1205112019712193E-2</v>
          </cell>
          <cell r="AB235" t="str">
            <v/>
          </cell>
          <cell r="AC235">
            <v>2.4335606491082129E-2</v>
          </cell>
          <cell r="AD235">
            <v>4.6235373204148944E-2</v>
          </cell>
          <cell r="AE235">
            <v>8.6147260684383276E-2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2.0152704360608675E-3</v>
          </cell>
          <cell r="Q236" t="str">
            <v/>
          </cell>
          <cell r="R236">
            <v>1.7016491718667814E-2</v>
          </cell>
          <cell r="S236" t="str">
            <v/>
          </cell>
          <cell r="T236">
            <v>3.9671901811929366E-2</v>
          </cell>
          <cell r="U236">
            <v>7.3505145671454941E-2</v>
          </cell>
          <cell r="V236">
            <v>0.12869113811436617</v>
          </cell>
          <cell r="W236" t="str">
            <v/>
          </cell>
          <cell r="X236" t="str">
            <v/>
          </cell>
          <cell r="Y236">
            <v>2.1815873642121453E-3</v>
          </cell>
          <cell r="Z236" t="str">
            <v/>
          </cell>
          <cell r="AA236">
            <v>1.7854401813319765E-2</v>
          </cell>
          <cell r="AB236" t="str">
            <v/>
          </cell>
          <cell r="AC236">
            <v>4.161384316339567E-2</v>
          </cell>
          <cell r="AD236">
            <v>7.7060626408592792E-2</v>
          </cell>
          <cell r="AE236">
            <v>0.13479881193961973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1.8483547218300922E-3</v>
          </cell>
          <cell r="Q237" t="str">
            <v/>
          </cell>
          <cell r="R237">
            <v>1.0150743548876129E-2</v>
          </cell>
          <cell r="S237" t="str">
            <v/>
          </cell>
          <cell r="T237">
            <v>2.667075050628398E-2</v>
          </cell>
          <cell r="U237">
            <v>4.5583517779346883E-2</v>
          </cell>
          <cell r="V237">
            <v>9.5589893705675832E-2</v>
          </cell>
          <cell r="W237" t="str">
            <v/>
          </cell>
          <cell r="X237" t="str">
            <v/>
          </cell>
          <cell r="Y237">
            <v>2.0146994669147933E-3</v>
          </cell>
          <cell r="Z237" t="str">
            <v/>
          </cell>
          <cell r="AA237">
            <v>1.0645544466598378E-2</v>
          </cell>
          <cell r="AB237" t="str">
            <v/>
          </cell>
          <cell r="AC237">
            <v>2.7982894729301488E-2</v>
          </cell>
          <cell r="AD237">
            <v>4.7813435178404196E-2</v>
          </cell>
          <cell r="AE237">
            <v>0.10020387532178232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1.7961878810252019E-3</v>
          </cell>
          <cell r="Q238" t="str">
            <v/>
          </cell>
          <cell r="R238">
            <v>9.3152997035989005E-3</v>
          </cell>
          <cell r="S238" t="str">
            <v/>
          </cell>
          <cell r="T238">
            <v>2.287312778403694E-2</v>
          </cell>
          <cell r="U238">
            <v>4.2571173821221886E-2</v>
          </cell>
          <cell r="V238">
            <v>7.7586149811123883E-2</v>
          </cell>
          <cell r="W238" t="str">
            <v/>
          </cell>
          <cell r="X238" t="str">
            <v/>
          </cell>
          <cell r="Y238">
            <v>1.9625413198929298E-3</v>
          </cell>
          <cell r="Z238" t="str">
            <v/>
          </cell>
          <cell r="AA238">
            <v>9.8105182388066314E-3</v>
          </cell>
          <cell r="AB238" t="str">
            <v/>
          </cell>
          <cell r="AC238">
            <v>2.3994855168960383E-2</v>
          </cell>
          <cell r="AD238">
            <v>4.465191989668793E-2</v>
          </cell>
          <cell r="AE238">
            <v>8.1321712913688837E-2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1.0481657908470998E-3</v>
          </cell>
          <cell r="Q239" t="str">
            <v/>
          </cell>
          <cell r="R239">
            <v>1.0463796475521758E-2</v>
          </cell>
          <cell r="S239" t="str">
            <v/>
          </cell>
          <cell r="T239">
            <v>2.1509775594588776E-2</v>
          </cell>
          <cell r="U239">
            <v>4.2427047412398111E-2</v>
          </cell>
          <cell r="V239">
            <v>7.8030811850218651E-2</v>
          </cell>
          <cell r="W239" t="str">
            <v/>
          </cell>
          <cell r="X239" t="str">
            <v/>
          </cell>
          <cell r="Y239">
            <v>1.2146438896442069E-3</v>
          </cell>
          <cell r="Z239" t="str">
            <v/>
          </cell>
          <cell r="AA239">
            <v>1.0965116913841833E-2</v>
          </cell>
          <cell r="AB239" t="str">
            <v/>
          </cell>
          <cell r="AC239">
            <v>2.2567014519290995E-2</v>
          </cell>
          <cell r="AD239">
            <v>4.450309391919105E-2</v>
          </cell>
          <cell r="AE239">
            <v>8.1790315816430814E-2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1.6379319148577265E-3</v>
          </cell>
          <cell r="Q240" t="str">
            <v/>
          </cell>
          <cell r="R240">
            <v>1.0492607495367179E-2</v>
          </cell>
          <cell r="S240" t="str">
            <v/>
          </cell>
          <cell r="T240">
            <v>2.7081218582012512E-2</v>
          </cell>
          <cell r="U240">
            <v>4.9027686654934954E-2</v>
          </cell>
          <cell r="V240">
            <v>8.7648707143187621E-2</v>
          </cell>
          <cell r="W240" t="str">
            <v/>
          </cell>
          <cell r="X240" t="str">
            <v/>
          </cell>
          <cell r="Y240">
            <v>1.8043117274891829E-3</v>
          </cell>
          <cell r="Z240" t="str">
            <v/>
          </cell>
          <cell r="AA240">
            <v>1.0997374852653397E-2</v>
          </cell>
          <cell r="AB240" t="str">
            <v/>
          </cell>
          <cell r="AC240">
            <v>2.8413311460891322E-2</v>
          </cell>
          <cell r="AD240">
            <v>5.1423672665927844E-2</v>
          </cell>
          <cell r="AE240">
            <v>9.1853643933782814E-2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1.7527134472333783E-3</v>
          </cell>
          <cell r="Q241" t="str">
            <v/>
          </cell>
          <cell r="R241">
            <v>1.259551998773667E-2</v>
          </cell>
          <cell r="S241" t="str">
            <v/>
          </cell>
          <cell r="T241">
            <v>2.3823090776985634E-2</v>
          </cell>
          <cell r="U241">
            <v>4.0694858841227588E-2</v>
          </cell>
          <cell r="V241">
            <v>6.4656841329798542E-2</v>
          </cell>
          <cell r="W241" t="str">
            <v/>
          </cell>
          <cell r="X241" t="str">
            <v/>
          </cell>
          <cell r="Y241">
            <v>1.9190741312296034E-3</v>
          </cell>
          <cell r="Z241" t="str">
            <v/>
          </cell>
          <cell r="AA241">
            <v>1.3199873354073799E-2</v>
          </cell>
          <cell r="AB241" t="str">
            <v/>
          </cell>
          <cell r="AC241">
            <v>2.4996107561538028E-2</v>
          </cell>
          <cell r="AD241">
            <v>4.268777689359482E-2</v>
          </cell>
          <cell r="AE241">
            <v>6.7785471573646561E-2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3.6152118509024112E-3</v>
          </cell>
          <cell r="Q242" t="str">
            <v/>
          </cell>
          <cell r="R242">
            <v>1.7948696570403655E-2</v>
          </cell>
          <cell r="S242" t="str">
            <v/>
          </cell>
          <cell r="T242">
            <v>4.4137962319723556E-2</v>
          </cell>
          <cell r="U242">
            <v>7.2763924391964996E-2</v>
          </cell>
          <cell r="V242">
            <v>0.1178875560812721</v>
          </cell>
          <cell r="W242" t="str">
            <v/>
          </cell>
          <cell r="X242" t="str">
            <v/>
          </cell>
          <cell r="Y242">
            <v>3.7878205627903672E-3</v>
          </cell>
          <cell r="Z242" t="str">
            <v/>
          </cell>
          <cell r="AA242">
            <v>1.883768154309573E-2</v>
          </cell>
          <cell r="AB242" t="str">
            <v/>
          </cell>
          <cell r="AC242">
            <v>4.6299581724328132E-2</v>
          </cell>
          <cell r="AD242">
            <v>7.6286052249558978E-2</v>
          </cell>
          <cell r="AE242">
            <v>0.12348818216038537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1.203034608874054E-3</v>
          </cell>
          <cell r="Q243" t="str">
            <v/>
          </cell>
          <cell r="R243">
            <v>1.4942263168856162E-2</v>
          </cell>
          <cell r="S243" t="str">
            <v/>
          </cell>
          <cell r="T243">
            <v>3.6114810198556446E-2</v>
          </cell>
          <cell r="U243">
            <v>6.4062662253452474E-2</v>
          </cell>
          <cell r="V243">
            <v>0.11296476983159598</v>
          </cell>
          <cell r="W243" t="str">
            <v/>
          </cell>
          <cell r="X243" t="str">
            <v/>
          </cell>
          <cell r="Y243">
            <v>1.3694868983674668E-3</v>
          </cell>
          <cell r="Z243" t="str">
            <v/>
          </cell>
          <cell r="AA243">
            <v>1.5675340905263679E-2</v>
          </cell>
          <cell r="AB243" t="str">
            <v/>
          </cell>
          <cell r="AC243">
            <v>3.7882653519485499E-2</v>
          </cell>
          <cell r="AD243">
            <v>6.7170611753491594E-2</v>
          </cell>
          <cell r="AE243">
            <v>0.11835665955451113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4.3526549618452259E-3</v>
          </cell>
          <cell r="Q244" t="str">
            <v/>
          </cell>
          <cell r="R244">
            <v>3.1772776945687475E-2</v>
          </cell>
          <cell r="S244" t="str">
            <v/>
          </cell>
          <cell r="T244">
            <v>7.0407553306513493E-2</v>
          </cell>
          <cell r="U244">
            <v>0.11669181150169006</v>
          </cell>
          <cell r="V244">
            <v>0.20181151970558342</v>
          </cell>
          <cell r="W244" t="str">
            <v/>
          </cell>
          <cell r="X244" t="str">
            <v/>
          </cell>
          <cell r="Y244">
            <v>4.5603916998854244E-3</v>
          </cell>
          <cell r="Z244" t="str">
            <v/>
          </cell>
          <cell r="AA244">
            <v>3.3333921766823149E-2</v>
          </cell>
          <cell r="AB244" t="str">
            <v/>
          </cell>
          <cell r="AC244">
            <v>7.3809706233309624E-2</v>
          </cell>
          <cell r="AD244">
            <v>0.12224674944997227</v>
          </cell>
          <cell r="AE244">
            <v>0.21105992351537073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5.4413457335917848E-3</v>
          </cell>
          <cell r="Q245" t="str">
            <v/>
          </cell>
          <cell r="R245">
            <v>3.6105321830091075E-2</v>
          </cell>
          <cell r="S245" t="str">
            <v/>
          </cell>
          <cell r="T245">
            <v>9.7470028596337022E-2</v>
          </cell>
          <cell r="U245">
            <v>0.15441414471634862</v>
          </cell>
          <cell r="V245">
            <v>0.24747232853017287</v>
          </cell>
          <cell r="W245" t="str">
            <v/>
          </cell>
          <cell r="X245" t="str">
            <v/>
          </cell>
          <cell r="Y245">
            <v>5.7008916701415391E-3</v>
          </cell>
          <cell r="Z245" t="str">
            <v/>
          </cell>
          <cell r="AA245">
            <v>3.7874604082240637E-2</v>
          </cell>
          <cell r="AB245" t="str">
            <v/>
          </cell>
          <cell r="AC245">
            <v>0.10216543054060478</v>
          </cell>
          <cell r="AD245">
            <v>0.16164257412813343</v>
          </cell>
          <cell r="AE245">
            <v>0.25850313431873706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1.112552351217988E-3</v>
          </cell>
          <cell r="Q246" t="str">
            <v/>
          </cell>
          <cell r="R246">
            <v>7.4567292917206984E-3</v>
          </cell>
          <cell r="S246" t="str">
            <v/>
          </cell>
          <cell r="T246">
            <v>2.2258376719602402E-2</v>
          </cell>
          <cell r="U246">
            <v>4.0789662154852246E-2</v>
          </cell>
          <cell r="V246">
            <v>7.6725402498749373E-2</v>
          </cell>
          <cell r="W246" t="str">
            <v/>
          </cell>
          <cell r="X246" t="str">
            <v/>
          </cell>
          <cell r="Y246">
            <v>1.2790197198424558E-3</v>
          </cell>
          <cell r="Z246" t="str">
            <v/>
          </cell>
          <cell r="AA246">
            <v>7.9528768798032834E-3</v>
          </cell>
          <cell r="AB246" t="str">
            <v/>
          </cell>
          <cell r="AC246">
            <v>2.3337781387756773E-2</v>
          </cell>
          <cell r="AD246">
            <v>4.2772719911814083E-2</v>
          </cell>
          <cell r="AE246">
            <v>8.0409989805390047E-2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1.0620875583301492E-3</v>
          </cell>
          <cell r="Q247" t="str">
            <v/>
          </cell>
          <cell r="R247">
            <v>1.1959214879353475E-2</v>
          </cell>
          <cell r="S247" t="str">
            <v/>
          </cell>
          <cell r="T247">
            <v>2.3079714171175825E-2</v>
          </cell>
          <cell r="U247">
            <v>4.3331166388317799E-2</v>
          </cell>
          <cell r="V247">
            <v>8.4988194299987718E-2</v>
          </cell>
          <cell r="W247" t="str">
            <v/>
          </cell>
          <cell r="X247" t="str">
            <v/>
          </cell>
          <cell r="Y247">
            <v>1.2285633370533455E-3</v>
          </cell>
          <cell r="Z247" t="str">
            <v/>
          </cell>
          <cell r="AA247">
            <v>1.2531124909979541E-2</v>
          </cell>
          <cell r="AB247" t="str">
            <v/>
          </cell>
          <cell r="AC247">
            <v>2.421400148930708E-2</v>
          </cell>
          <cell r="AD247">
            <v>4.5450056432038366E-2</v>
          </cell>
          <cell r="AE247">
            <v>8.9098933449573203E-2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4.143682557061934E-2</v>
          </cell>
          <cell r="Q248" t="str">
            <v/>
          </cell>
          <cell r="R248">
            <v>0.11572777208412199</v>
          </cell>
          <cell r="S248" t="str">
            <v/>
          </cell>
          <cell r="T248">
            <v>0.16647978982436162</v>
          </cell>
          <cell r="U248">
            <v>0.21499508689583247</v>
          </cell>
          <cell r="V248">
            <v>0.27865749482157376</v>
          </cell>
          <cell r="W248" t="str">
            <v/>
          </cell>
          <cell r="X248" t="str">
            <v/>
          </cell>
          <cell r="Y248">
            <v>4.3449765714579258E-2</v>
          </cell>
          <cell r="Z248" t="str">
            <v/>
          </cell>
          <cell r="AA248">
            <v>0.12114970319933915</v>
          </cell>
          <cell r="AB248" t="str">
            <v/>
          </cell>
          <cell r="AC248">
            <v>0.17397792121717615</v>
          </cell>
          <cell r="AD248">
            <v>0.2243364061311689</v>
          </cell>
          <cell r="AE248">
            <v>0.2901514089301942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2.7243533659855323E-3</v>
          </cell>
          <cell r="Q249" t="str">
            <v/>
          </cell>
          <cell r="R249">
            <v>1.2015844733272218E-2</v>
          </cell>
          <cell r="S249" t="str">
            <v/>
          </cell>
          <cell r="T249">
            <v>2.3365695280031296E-2</v>
          </cell>
          <cell r="U249">
            <v>4.2843753866060319E-2</v>
          </cell>
          <cell r="V249">
            <v>7.3748772426812548E-2</v>
          </cell>
          <cell r="W249" t="str">
            <v/>
          </cell>
          <cell r="X249" t="str">
            <v/>
          </cell>
          <cell r="Y249">
            <v>2.8905521234636744E-3</v>
          </cell>
          <cell r="Z249" t="str">
            <v/>
          </cell>
          <cell r="AA249">
            <v>1.2596361804383838E-2</v>
          </cell>
          <cell r="AB249" t="str">
            <v/>
          </cell>
          <cell r="AC249">
            <v>2.4519578354023408E-2</v>
          </cell>
          <cell r="AD249">
            <v>4.4944383054942083E-2</v>
          </cell>
          <cell r="AE249">
            <v>7.7310046182019643E-2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1.2152142915468067E-3</v>
          </cell>
          <cell r="Q250" t="str">
            <v/>
          </cell>
          <cell r="R250">
            <v>8.3883834797301438E-3</v>
          </cell>
          <cell r="S250" t="str">
            <v/>
          </cell>
          <cell r="T250">
            <v>2.3021199403802539E-2</v>
          </cell>
          <cell r="U250">
            <v>4.4628987167698808E-2</v>
          </cell>
          <cell r="V250">
            <v>8.6069364778022961E-2</v>
          </cell>
          <cell r="W250" t="str">
            <v/>
          </cell>
          <cell r="X250" t="str">
            <v/>
          </cell>
          <cell r="Y250">
            <v>1.3816645512390036E-3</v>
          </cell>
          <cell r="Z250" t="str">
            <v/>
          </cell>
          <cell r="AA250">
            <v>8.8840653571865547E-3</v>
          </cell>
          <cell r="AB250" t="str">
            <v/>
          </cell>
          <cell r="AC250">
            <v>2.4143205558857961E-2</v>
          </cell>
          <cell r="AD250">
            <v>4.6802827248623058E-2</v>
          </cell>
          <cell r="AE250">
            <v>9.0223682451361698E-2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3.3530723222413572E-3</v>
          </cell>
          <cell r="Q251" t="str">
            <v/>
          </cell>
          <cell r="R251">
            <v>2.4013227584184449E-2</v>
          </cell>
          <cell r="S251" t="str">
            <v/>
          </cell>
          <cell r="T251">
            <v>5.7087137027170276E-2</v>
          </cell>
          <cell r="U251">
            <v>9.9695622139966966E-2</v>
          </cell>
          <cell r="V251">
            <v>0.16574710109698243</v>
          </cell>
          <cell r="W251" t="str">
            <v/>
          </cell>
          <cell r="X251" t="str">
            <v/>
          </cell>
          <cell r="Y251">
            <v>3.5191663019898956E-3</v>
          </cell>
          <cell r="Z251" t="str">
            <v/>
          </cell>
          <cell r="AA251">
            <v>2.5198043700001338E-2</v>
          </cell>
          <cell r="AB251" t="str">
            <v/>
          </cell>
          <cell r="AC251">
            <v>5.9865048714901947E-2</v>
          </cell>
          <cell r="AD251">
            <v>0.10446403667024151</v>
          </cell>
          <cell r="AE251">
            <v>0.17347051203456576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1.0481657908470998E-3</v>
          </cell>
          <cell r="Q252" t="str">
            <v/>
          </cell>
          <cell r="R252">
            <v>1.4830089090980159E-2</v>
          </cell>
          <cell r="S252" t="str">
            <v/>
          </cell>
          <cell r="T252">
            <v>3.2697499658286056E-2</v>
          </cell>
          <cell r="U252">
            <v>5.5445238693095811E-2</v>
          </cell>
          <cell r="V252">
            <v>9.7250824148170767E-2</v>
          </cell>
          <cell r="W252" t="str">
            <v/>
          </cell>
          <cell r="X252" t="str">
            <v/>
          </cell>
          <cell r="Y252">
            <v>1.2146438896442069E-3</v>
          </cell>
          <cell r="Z252" t="str">
            <v/>
          </cell>
          <cell r="AA252">
            <v>1.5557086892530103E-2</v>
          </cell>
          <cell r="AB252" t="str">
            <v/>
          </cell>
          <cell r="AC252">
            <v>3.4298972517262216E-2</v>
          </cell>
          <cell r="AD252">
            <v>5.8141636280326314E-2</v>
          </cell>
          <cell r="AE252">
            <v>0.10191633958223945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6.5131444456578702E-4</v>
          </cell>
          <cell r="Q253" t="str">
            <v/>
          </cell>
          <cell r="R253">
            <v>6.4879687917723805E-3</v>
          </cell>
          <cell r="S253" t="str">
            <v/>
          </cell>
          <cell r="T253">
            <v>1.675652435193753E-2</v>
          </cell>
          <cell r="U253">
            <v>3.7154004213593494E-2</v>
          </cell>
          <cell r="V253">
            <v>6.1105722860879785E-2</v>
          </cell>
          <cell r="W253" t="str">
            <v/>
          </cell>
          <cell r="X253" t="str">
            <v/>
          </cell>
          <cell r="Y253">
            <v>8.1785867974115689E-4</v>
          </cell>
          <cell r="Z253" t="str">
            <v/>
          </cell>
          <cell r="AA253">
            <v>6.9846006390484883E-3</v>
          </cell>
          <cell r="AB253" t="str">
            <v/>
          </cell>
          <cell r="AC253">
            <v>1.7575552605826106E-2</v>
          </cell>
          <cell r="AD253">
            <v>3.8952969469226995E-2</v>
          </cell>
          <cell r="AE253">
            <v>6.4049110936439835E-2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1.8900862468907986E-3</v>
          </cell>
          <cell r="Q254" t="str">
            <v/>
          </cell>
          <cell r="R254">
            <v>6.6477611369843981E-3</v>
          </cell>
          <cell r="S254" t="str">
            <v/>
          </cell>
          <cell r="T254">
            <v>1.8809105975434504E-2</v>
          </cell>
          <cell r="U254">
            <v>3.5498292539145493E-2</v>
          </cell>
          <cell r="V254">
            <v>5.9032738935987261E-2</v>
          </cell>
          <cell r="W254" t="str">
            <v/>
          </cell>
          <cell r="X254" t="str">
            <v/>
          </cell>
          <cell r="Y254">
            <v>2.0564240372989984E-3</v>
          </cell>
          <cell r="Z254" t="str">
            <v/>
          </cell>
          <cell r="AA254">
            <v>7.14431310805963E-3</v>
          </cell>
          <cell r="AB254" t="str">
            <v/>
          </cell>
          <cell r="AC254">
            <v>1.9717976114162594E-2</v>
          </cell>
          <cell r="AD254">
            <v>3.7223665318544374E-2</v>
          </cell>
          <cell r="AE254">
            <v>6.1883009898745955E-2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1.2099944455987721E-3</v>
          </cell>
          <cell r="Q255" t="str">
            <v/>
          </cell>
          <cell r="R255">
            <v>7.9478145394911159E-3</v>
          </cell>
          <cell r="S255" t="str">
            <v/>
          </cell>
          <cell r="T255">
            <v>2.0031102743440332E-2</v>
          </cell>
          <cell r="U255">
            <v>3.9087060093143999E-2</v>
          </cell>
          <cell r="V255">
            <v>8.0028202413173877E-2</v>
          </cell>
          <cell r="W255" t="str">
            <v/>
          </cell>
          <cell r="X255" t="str">
            <v/>
          </cell>
          <cell r="Y255">
            <v>1.3764455752087734E-3</v>
          </cell>
          <cell r="Z255" t="str">
            <v/>
          </cell>
          <cell r="AA255">
            <v>8.4437166463575686E-3</v>
          </cell>
          <cell r="AB255" t="str">
            <v/>
          </cell>
          <cell r="AC255">
            <v>2.100413688258207E-2</v>
          </cell>
          <cell r="AD255">
            <v>4.099055430019416E-2</v>
          </cell>
          <cell r="AE255">
            <v>8.3899425720779131E-2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3.5737004768623848E-2</v>
          </cell>
          <cell r="Q256" t="str">
            <v/>
          </cell>
          <cell r="R256">
            <v>9.2153130352152779E-2</v>
          </cell>
          <cell r="S256" t="str">
            <v/>
          </cell>
          <cell r="T256">
            <v>0.1232664209877139</v>
          </cell>
          <cell r="U256">
            <v>0.161666920014372</v>
          </cell>
          <cell r="V256">
            <v>0.20808698150809002</v>
          </cell>
          <cell r="W256" t="str">
            <v/>
          </cell>
          <cell r="X256" t="str">
            <v/>
          </cell>
          <cell r="Y256">
            <v>3.7480760981361549E-2</v>
          </cell>
          <cell r="Z256" t="str">
            <v/>
          </cell>
          <cell r="AA256">
            <v>9.6523906593006914E-2</v>
          </cell>
          <cell r="AB256" t="str">
            <v/>
          </cell>
          <cell r="AC256">
            <v>0.12893769714950221</v>
          </cell>
          <cell r="AD256">
            <v>0.16894490724548061</v>
          </cell>
          <cell r="AE256">
            <v>0.2171230416822475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2.3351148245822628E-3</v>
          </cell>
          <cell r="Q257" t="str">
            <v/>
          </cell>
          <cell r="R257">
            <v>1.2991153641574993E-2</v>
          </cell>
          <cell r="S257" t="str">
            <v/>
          </cell>
          <cell r="T257">
            <v>2.8475817968110051E-2</v>
          </cell>
          <cell r="U257">
            <v>4.0577434092570308E-2</v>
          </cell>
          <cell r="V257">
            <v>5.8965233929088701E-2</v>
          </cell>
          <cell r="W257" t="str">
            <v/>
          </cell>
          <cell r="X257" t="str">
            <v/>
          </cell>
          <cell r="Y257">
            <v>2.5013784497766034E-3</v>
          </cell>
          <cell r="Z257" t="str">
            <v/>
          </cell>
          <cell r="AA257">
            <v>1.361622573326926E-2</v>
          </cell>
          <cell r="AB257" t="str">
            <v/>
          </cell>
          <cell r="AC257">
            <v>2.987827833599066E-2</v>
          </cell>
          <cell r="AD257">
            <v>4.2564985114995846E-2</v>
          </cell>
          <cell r="AE257">
            <v>6.1821791590287778E-2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4.9456870178985479E-3</v>
          </cell>
          <cell r="Q258" t="str">
            <v/>
          </cell>
          <cell r="R258">
            <v>2.2325657964697543E-2</v>
          </cell>
          <cell r="S258" t="str">
            <v/>
          </cell>
          <cell r="T258">
            <v>6.0539965011224273E-2</v>
          </cell>
          <cell r="U258">
            <v>0.10111383297728826</v>
          </cell>
          <cell r="V258">
            <v>0.17123825323779607</v>
          </cell>
          <cell r="W258" t="str">
            <v/>
          </cell>
          <cell r="X258" t="str">
            <v/>
          </cell>
          <cell r="Y258">
            <v>5.1816527497575704E-3</v>
          </cell>
          <cell r="Z258" t="str">
            <v/>
          </cell>
          <cell r="AA258">
            <v>2.3428553006568431E-2</v>
          </cell>
          <cell r="AB258" t="str">
            <v/>
          </cell>
          <cell r="AC258">
            <v>6.3481483981889575E-2</v>
          </cell>
          <cell r="AD258">
            <v>0.10594786228135677</v>
          </cell>
          <cell r="AE258">
            <v>0.17920223390292656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2.0517795569404695E-3</v>
          </cell>
          <cell r="Q259" t="str">
            <v/>
          </cell>
          <cell r="R259">
            <v>1.3110720763673589E-2</v>
          </cell>
          <cell r="S259" t="str">
            <v/>
          </cell>
          <cell r="T259">
            <v>3.9687977415613029E-2</v>
          </cell>
          <cell r="U259">
            <v>6.8145816198330267E-2</v>
          </cell>
          <cell r="V259">
            <v>0.11286053657585082</v>
          </cell>
          <cell r="W259" t="str">
            <v/>
          </cell>
          <cell r="X259" t="str">
            <v/>
          </cell>
          <cell r="Y259">
            <v>2.2180904007174096E-3</v>
          </cell>
          <cell r="Z259" t="str">
            <v/>
          </cell>
          <cell r="AA259">
            <v>1.3740401877812447E-2</v>
          </cell>
          <cell r="AB259" t="str">
            <v/>
          </cell>
          <cell r="AC259">
            <v>4.1633948907216056E-2</v>
          </cell>
          <cell r="AD259">
            <v>7.1453703819798209E-2</v>
          </cell>
          <cell r="AE259">
            <v>0.11824389445261552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1.0046590261097998E-3</v>
          </cell>
          <cell r="Q260" t="str">
            <v/>
          </cell>
          <cell r="R260">
            <v>5.9170258498700834E-3</v>
          </cell>
          <cell r="S260" t="str">
            <v/>
          </cell>
          <cell r="T260">
            <v>1.7220513189955544E-2</v>
          </cell>
          <cell r="U260">
            <v>3.1637072038113279E-2</v>
          </cell>
          <cell r="V260">
            <v>5.9647563736833997E-2</v>
          </cell>
          <cell r="W260" t="str">
            <v/>
          </cell>
          <cell r="X260" t="str">
            <v/>
          </cell>
          <cell r="Y260">
            <v>1.1711443754235384E-3</v>
          </cell>
          <cell r="Z260" t="str">
            <v/>
          </cell>
          <cell r="AA260">
            <v>6.4139430973210176E-3</v>
          </cell>
          <cell r="AB260" t="str">
            <v/>
          </cell>
          <cell r="AC260">
            <v>1.8039154947515512E-2</v>
          </cell>
          <cell r="AD260">
            <v>3.3168158864546715E-2</v>
          </cell>
          <cell r="AE260">
            <v>6.252188821928395E-2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4.4324398858736069E-3</v>
          </cell>
          <cell r="Q261" t="str">
            <v/>
          </cell>
          <cell r="R261">
            <v>1.9654610719653909E-2</v>
          </cell>
          <cell r="S261" t="str">
            <v/>
          </cell>
          <cell r="T261">
            <v>4.2155518817052151E-2</v>
          </cell>
          <cell r="U261">
            <v>6.5616755678902794E-2</v>
          </cell>
          <cell r="V261">
            <v>0.10652739475932282</v>
          </cell>
          <cell r="W261" t="str">
            <v/>
          </cell>
          <cell r="X261" t="str">
            <v/>
          </cell>
          <cell r="Y261">
            <v>4.6439755159600749E-3</v>
          </cell>
          <cell r="Z261" t="str">
            <v/>
          </cell>
          <cell r="AA261">
            <v>2.0627080720485136E-2</v>
          </cell>
          <cell r="AB261" t="str">
            <v/>
          </cell>
          <cell r="AC261">
            <v>4.4220515244822289E-2</v>
          </cell>
          <cell r="AD261">
            <v>6.879783924562155E-2</v>
          </cell>
          <cell r="AE261">
            <v>0.11160572954652437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4.2907963039173436E-2</v>
          </cell>
          <cell r="Q262" t="str">
            <v/>
          </cell>
          <cell r="R262">
            <v>0.11966122072014296</v>
          </cell>
          <cell r="S262" t="str">
            <v/>
          </cell>
          <cell r="T262">
            <v>0.17192730175758208</v>
          </cell>
          <cell r="U262">
            <v>0.22177373541730627</v>
          </cell>
          <cell r="V262">
            <v>0.28702115262479821</v>
          </cell>
          <cell r="W262" t="str">
            <v/>
          </cell>
          <cell r="X262" t="str">
            <v/>
          </cell>
          <cell r="Y262">
            <v>4.4989935837374873E-2</v>
          </cell>
          <cell r="Z262" t="str">
            <v/>
          </cell>
          <cell r="AA262">
            <v>0.12525415946705454</v>
          </cell>
          <cell r="AB262" t="str">
            <v/>
          </cell>
          <cell r="AC262">
            <v>0.17964114581480262</v>
          </cell>
          <cell r="AD262">
            <v>0.23135986486717053</v>
          </cell>
          <cell r="AE262">
            <v>0.29877603176151968</v>
          </cell>
        </row>
        <row r="263">
          <cell r="D263" t="str">
            <v>USD</v>
          </cell>
          <cell r="N263" t="str">
            <v/>
          </cell>
          <cell r="O263" t="str">
            <v/>
          </cell>
          <cell r="P263">
            <v>7.6878032297238441E-3</v>
          </cell>
          <cell r="Q263" t="str">
            <v/>
          </cell>
          <cell r="R263">
            <v>3.9775840101949678E-2</v>
          </cell>
          <cell r="S263" t="str">
            <v/>
          </cell>
          <cell r="T263">
            <v>0.10359662085942267</v>
          </cell>
          <cell r="U263">
            <v>0.16737765818506556</v>
          </cell>
          <cell r="V263">
            <v>0.27906436054773065</v>
          </cell>
          <cell r="W263" t="str">
            <v/>
          </cell>
          <cell r="X263" t="str">
            <v/>
          </cell>
          <cell r="Y263">
            <v>8.0540642058828382E-3</v>
          </cell>
          <cell r="Z263" t="str">
            <v/>
          </cell>
          <cell r="AA263">
            <v>4.1720198012267784E-2</v>
          </cell>
          <cell r="AB263" t="str">
            <v/>
          </cell>
          <cell r="AC263">
            <v>0.10856883047373611</v>
          </cell>
          <cell r="AD263">
            <v>0.17516688251439805</v>
          </cell>
          <cell r="AE263">
            <v>0.29134795141073033</v>
          </cell>
        </row>
        <row r="264">
          <cell r="D264" t="str">
            <v>EUR</v>
          </cell>
          <cell r="N264" t="str">
            <v/>
          </cell>
          <cell r="O264">
            <v>2.0003388636156139E-3</v>
          </cell>
          <cell r="P264">
            <v>5.0557493205841686E-3</v>
          </cell>
          <cell r="Q264">
            <v>1.6478282126811572E-2</v>
          </cell>
          <cell r="R264">
            <v>3.5382407368177549E-2</v>
          </cell>
          <cell r="S264">
            <v>6.6268746393113309E-2</v>
          </cell>
          <cell r="T264">
            <v>0.10175851452983742</v>
          </cell>
          <cell r="U264">
            <v>0.17503141435887093</v>
          </cell>
          <cell r="V264">
            <v>0.27503174799680108</v>
          </cell>
          <cell r="W264" t="str">
            <v/>
          </cell>
          <cell r="X264">
            <v>2.0918179730214925E-3</v>
          </cell>
          <cell r="Y264">
            <v>5.2961651297561696E-3</v>
          </cell>
          <cell r="Z264">
            <v>1.729679624977698E-2</v>
          </cell>
          <cell r="AA264">
            <v>3.7126884083906075E-2</v>
          </cell>
          <cell r="AB264">
            <v>6.9501228435110862E-2</v>
          </cell>
          <cell r="AC264">
            <v>0.10665773816160795</v>
          </cell>
          <cell r="AD264">
            <v>0.18319960223110676</v>
          </cell>
          <cell r="AE264">
            <v>0.28715190948501623</v>
          </cell>
        </row>
        <row r="265">
          <cell r="D265" t="str">
            <v>EUR</v>
          </cell>
          <cell r="N265" t="str">
            <v/>
          </cell>
          <cell r="O265">
            <v>4.9028053432799146E-3</v>
          </cell>
          <cell r="P265">
            <v>9.3628090256328012E-3</v>
          </cell>
          <cell r="Q265">
            <v>2.7601327562253308E-2</v>
          </cell>
          <cell r="R265">
            <v>4.9555044894668443E-2</v>
          </cell>
          <cell r="S265" t="str">
            <v/>
          </cell>
          <cell r="T265">
            <v>0.10339349989408952</v>
          </cell>
          <cell r="U265">
            <v>0.16811682071746969</v>
          </cell>
          <cell r="V265">
            <v>0.2485927527379036</v>
          </cell>
          <cell r="W265" t="str">
            <v/>
          </cell>
          <cell r="X265">
            <v>5.147254376008159E-3</v>
          </cell>
          <cell r="Y265">
            <v>9.8285965881006465E-3</v>
          </cell>
          <cell r="Z265">
            <v>2.8963130634478307E-2</v>
          </cell>
          <cell r="AA265">
            <v>5.1977266667548983E-2</v>
          </cell>
          <cell r="AB265" t="str">
            <v/>
          </cell>
          <cell r="AC265">
            <v>0.10833078066209911</v>
          </cell>
          <cell r="AD265">
            <v>0.17590825824641798</v>
          </cell>
          <cell r="AE265">
            <v>0.25955014236988627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6.5236651938989088E-3</v>
          </cell>
          <cell r="Q266" t="str">
            <v/>
          </cell>
          <cell r="R266">
            <v>4.114060857184143E-2</v>
          </cell>
          <cell r="S266" t="str">
            <v/>
          </cell>
          <cell r="T266">
            <v>0.10481866171578369</v>
          </cell>
          <cell r="U266">
            <v>0.16168646119100782</v>
          </cell>
          <cell r="V266">
            <v>0.25951173288988294</v>
          </cell>
          <cell r="W266" t="str">
            <v/>
          </cell>
          <cell r="X266" t="str">
            <v/>
          </cell>
          <cell r="Y266">
            <v>6.834657390599963E-3</v>
          </cell>
          <cell r="Z266" t="str">
            <v/>
          </cell>
          <cell r="AA266">
            <v>4.3150292669675405E-2</v>
          </cell>
          <cell r="AB266" t="str">
            <v/>
          </cell>
          <cell r="AC266">
            <v>0.10984720401509462</v>
          </cell>
          <cell r="AD266">
            <v>0.16921301886020368</v>
          </cell>
          <cell r="AE266">
            <v>0.2709876837477937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4.7705882440045588E-3</v>
          </cell>
          <cell r="Q267" t="str">
            <v/>
          </cell>
          <cell r="R267">
            <v>2.5656067613036071E-2</v>
          </cell>
          <cell r="S267" t="str">
            <v/>
          </cell>
          <cell r="T267">
            <v>6.4160093086633285E-2</v>
          </cell>
          <cell r="U267">
            <v>0.10250219905241031</v>
          </cell>
          <cell r="V267">
            <v>0.16210995998684197</v>
          </cell>
          <cell r="W267" t="str">
            <v/>
          </cell>
          <cell r="X267" t="str">
            <v/>
          </cell>
          <cell r="Y267">
            <v>4.998220935480191E-3</v>
          </cell>
          <cell r="Z267" t="str">
            <v/>
          </cell>
          <cell r="AA267">
            <v>2.6921099085368438E-2</v>
          </cell>
          <cell r="AB267" t="str">
            <v/>
          </cell>
          <cell r="AC267">
            <v>6.727128972641705E-2</v>
          </cell>
          <cell r="AD267">
            <v>0.10739298167398414</v>
          </cell>
          <cell r="AE267">
            <v>0.1696430194014783</v>
          </cell>
        </row>
        <row r="268">
          <cell r="D268" t="str">
            <v>USD</v>
          </cell>
          <cell r="N268" t="str">
            <v/>
          </cell>
          <cell r="O268" t="str">
            <v/>
          </cell>
          <cell r="P268">
            <v>2.2325671032447092E-3</v>
          </cell>
          <cell r="Q268" t="str">
            <v/>
          </cell>
          <cell r="R268">
            <v>2.1586761926472464E-2</v>
          </cell>
          <cell r="S268" t="str">
            <v/>
          </cell>
          <cell r="T268">
            <v>5.0362178193736784E-2</v>
          </cell>
          <cell r="U268">
            <v>9.2145043757653977E-2</v>
          </cell>
          <cell r="V268">
            <v>0.16436083170744142</v>
          </cell>
          <cell r="W268" t="str">
            <v/>
          </cell>
          <cell r="X268" t="str">
            <v/>
          </cell>
          <cell r="Y268">
            <v>2.3988478182942474E-3</v>
          </cell>
          <cell r="Z268" t="str">
            <v/>
          </cell>
          <cell r="AA268">
            <v>2.2649096927830348E-2</v>
          </cell>
          <cell r="AB268" t="str">
            <v/>
          </cell>
          <cell r="AC268">
            <v>5.2816944291123935E-2</v>
          </cell>
          <cell r="AD268">
            <v>9.656614620269488E-2</v>
          </cell>
          <cell r="AE268">
            <v>0.17205252570010909</v>
          </cell>
        </row>
        <row r="269">
          <cell r="D269" t="str">
            <v>EUR</v>
          </cell>
          <cell r="N269" t="str">
            <v/>
          </cell>
          <cell r="O269">
            <v>6.3690485549472431E-4</v>
          </cell>
          <cell r="P269">
            <v>2.4516736389891269E-3</v>
          </cell>
          <cell r="Q269">
            <v>8.6260935930545513E-3</v>
          </cell>
          <cell r="R269">
            <v>1.8592082683634992E-2</v>
          </cell>
          <cell r="S269" t="str">
            <v/>
          </cell>
          <cell r="T269">
            <v>4.809405868603589E-2</v>
          </cell>
          <cell r="U269">
            <v>8.3659137962235341E-2</v>
          </cell>
          <cell r="V269">
            <v>0.14509939247422043</v>
          </cell>
          <cell r="W269" t="str">
            <v/>
          </cell>
          <cell r="X269">
            <v>7.2018164349907376E-4</v>
          </cell>
          <cell r="Y269">
            <v>2.617917839319861E-3</v>
          </cell>
          <cell r="Z269">
            <v>9.0390800092465806E-3</v>
          </cell>
          <cell r="AA269">
            <v>1.9512503821599969E-2</v>
          </cell>
          <cell r="AB269" t="str">
            <v/>
          </cell>
          <cell r="AC269">
            <v>5.0445165824277827E-2</v>
          </cell>
          <cell r="AD269">
            <v>8.7693069362573706E-2</v>
          </cell>
          <cell r="AE269">
            <v>0.15193509632039537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4.9959572638563765E-3</v>
          </cell>
          <cell r="Q270" t="str">
            <v/>
          </cell>
          <cell r="R270">
            <v>5.7373010232402044E-2</v>
          </cell>
          <cell r="S270" t="str">
            <v/>
          </cell>
          <cell r="T270">
            <v>9.420491261924846E-2</v>
          </cell>
          <cell r="U270">
            <v>0.12188336674348932</v>
          </cell>
          <cell r="V270">
            <v>0.16325852889602732</v>
          </cell>
          <cell r="W270" t="str">
            <v/>
          </cell>
          <cell r="X270" t="str">
            <v/>
          </cell>
          <cell r="Y270">
            <v>5.2343150946835282E-3</v>
          </cell>
          <cell r="Z270" t="str">
            <v/>
          </cell>
          <cell r="AA270">
            <v>6.0177931693889186E-2</v>
          </cell>
          <cell r="AB270" t="str">
            <v/>
          </cell>
          <cell r="AC270">
            <v>9.8684434185102643E-2</v>
          </cell>
          <cell r="AD270">
            <v>0.12757048608550803</v>
          </cell>
          <cell r="AE270">
            <v>0.1706503712421249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3.4138392266730433E-3</v>
          </cell>
          <cell r="Q271" t="str">
            <v/>
          </cell>
          <cell r="R271">
            <v>2.2093846057268385E-2</v>
          </cell>
          <cell r="S271" t="str">
            <v/>
          </cell>
          <cell r="T271">
            <v>6.1215338118948193E-2</v>
          </cell>
          <cell r="U271">
            <v>9.4720946221699132E-2</v>
          </cell>
          <cell r="V271">
            <v>0.15335564052563411</v>
          </cell>
          <cell r="W271" t="str">
            <v/>
          </cell>
          <cell r="X271" t="str">
            <v/>
          </cell>
          <cell r="Y271">
            <v>3.5799230794156811E-3</v>
          </cell>
          <cell r="Z271" t="str">
            <v/>
          </cell>
          <cell r="AA271">
            <v>2.3185345352790376E-2</v>
          </cell>
          <cell r="AB271" t="str">
            <v/>
          </cell>
          <cell r="AC271">
            <v>6.419004800340522E-2</v>
          </cell>
          <cell r="AD271">
            <v>9.9259870973754993E-2</v>
          </cell>
          <cell r="AE271">
            <v>0.16052077595484127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3.4780745316533856E-3</v>
          </cell>
          <cell r="Q272" t="str">
            <v/>
          </cell>
          <cell r="R272">
            <v>1.7887276892422976E-2</v>
          </cell>
          <cell r="S272" t="str">
            <v/>
          </cell>
          <cell r="T272">
            <v>4.2711142016253478E-2</v>
          </cell>
          <cell r="U272">
            <v>8.1938251170082577E-2</v>
          </cell>
          <cell r="V272">
            <v>0.14896866193720026</v>
          </cell>
          <cell r="W272" t="str">
            <v/>
          </cell>
          <cell r="X272" t="str">
            <v/>
          </cell>
          <cell r="Y272">
            <v>3.6441476794308869E-3</v>
          </cell>
          <cell r="Z272" t="str">
            <v/>
          </cell>
          <cell r="AA272">
            <v>1.8773259438974232E-2</v>
          </cell>
          <cell r="AB272" t="str">
            <v/>
          </cell>
          <cell r="AC272">
            <v>4.480417988286256E-2</v>
          </cell>
          <cell r="AD272">
            <v>8.5893716598362535E-2</v>
          </cell>
          <cell r="AE272">
            <v>0.15599936302747597</v>
          </cell>
        </row>
        <row r="273">
          <cell r="D273" t="str">
            <v>USD</v>
          </cell>
          <cell r="N273" t="str">
            <v/>
          </cell>
          <cell r="O273" t="str">
            <v/>
          </cell>
          <cell r="P273">
            <v>3.7922475547043089E-3</v>
          </cell>
          <cell r="Q273" t="str">
            <v/>
          </cell>
          <cell r="R273">
            <v>2.0347667227677668E-2</v>
          </cell>
          <cell r="S273" t="str">
            <v/>
          </cell>
          <cell r="T273">
            <v>4.682795985358823E-2</v>
          </cell>
          <cell r="U273">
            <v>7.1607853968425395E-2</v>
          </cell>
          <cell r="V273">
            <v>0.11771700010323582</v>
          </cell>
          <cell r="W273" t="str">
            <v/>
          </cell>
          <cell r="X273" t="str">
            <v/>
          </cell>
          <cell r="Y273">
            <v>3.9732918607967571E-3</v>
          </cell>
          <cell r="Z273" t="str">
            <v/>
          </cell>
          <cell r="AA273">
            <v>2.1354090867726327E-2</v>
          </cell>
          <cell r="AB273" t="str">
            <v/>
          </cell>
          <cell r="AC273">
            <v>4.911774578474537E-2</v>
          </cell>
          <cell r="AD273">
            <v>7.5070936310689396E-2</v>
          </cell>
          <cell r="AE273">
            <v>0.12330370864951845</v>
          </cell>
        </row>
        <row r="274">
          <cell r="D274" t="str">
            <v>EUR</v>
          </cell>
          <cell r="N274" t="str">
            <v/>
          </cell>
          <cell r="O274">
            <v>9.0974018358735975E-4</v>
          </cell>
          <cell r="P274">
            <v>2.7970014672076271E-3</v>
          </cell>
          <cell r="Q274">
            <v>8.2581943532946678E-3</v>
          </cell>
          <cell r="R274">
            <v>1.5947238663102103E-2</v>
          </cell>
          <cell r="S274" t="str">
            <v/>
          </cell>
          <cell r="T274">
            <v>4.477092933673843E-2</v>
          </cell>
          <cell r="U274">
            <v>7.5360539986676689E-2</v>
          </cell>
          <cell r="V274">
            <v>0.12109344447539128</v>
          </cell>
          <cell r="W274" t="str">
            <v/>
          </cell>
          <cell r="X274">
            <v>9.9299423627774441E-4</v>
          </cell>
          <cell r="Y274">
            <v>2.9631881176895858E-3</v>
          </cell>
          <cell r="Z274">
            <v>8.6548117467698527E-3</v>
          </cell>
          <cell r="AA274">
            <v>1.6737839472473315E-2</v>
          </cell>
          <cell r="AB274" t="str">
            <v/>
          </cell>
          <cell r="AC274">
            <v>4.6963705460402405E-2</v>
          </cell>
          <cell r="AD274">
            <v>7.9007991125429111E-2</v>
          </cell>
          <cell r="AE274">
            <v>0.12684009781984307</v>
          </cell>
        </row>
        <row r="275">
          <cell r="D275" t="str">
            <v>USD</v>
          </cell>
          <cell r="N275" t="str">
            <v/>
          </cell>
          <cell r="O275" t="str">
            <v/>
          </cell>
          <cell r="P275">
            <v>6.5115496751835256E-3</v>
          </cell>
          <cell r="Q275" t="str">
            <v/>
          </cell>
          <cell r="R275">
            <v>3.8084515825709597E-2</v>
          </cell>
          <cell r="S275" t="str">
            <v/>
          </cell>
          <cell r="T275">
            <v>0.12657911193037774</v>
          </cell>
          <cell r="U275">
            <v>0.19680021966510075</v>
          </cell>
          <cell r="V275">
            <v>0.29374338531930366</v>
          </cell>
          <cell r="W275" t="str">
            <v/>
          </cell>
          <cell r="X275" t="str">
            <v/>
          </cell>
          <cell r="Y275">
            <v>6.8358186109854779E-3</v>
          </cell>
          <cell r="Z275" t="str">
            <v/>
          </cell>
          <cell r="AA275">
            <v>3.994713709112141E-2</v>
          </cell>
          <cell r="AB275" t="str">
            <v/>
          </cell>
          <cell r="AC275">
            <v>0.13262843607503916</v>
          </cell>
          <cell r="AD275">
            <v>0.20585195848979787</v>
          </cell>
          <cell r="AE275">
            <v>0.30644460476896318</v>
          </cell>
        </row>
        <row r="276">
          <cell r="D276" t="str">
            <v>EUR</v>
          </cell>
          <cell r="N276" t="str">
            <v/>
          </cell>
          <cell r="O276">
            <v>1.6921298729330014E-2</v>
          </cell>
          <cell r="P276">
            <v>3.2135482130428605E-2</v>
          </cell>
          <cell r="Q276">
            <v>5.7104538934130145E-2</v>
          </cell>
          <cell r="R276">
            <v>8.0236384606258704E-2</v>
          </cell>
          <cell r="S276" t="str">
            <v/>
          </cell>
          <cell r="T276">
            <v>0.11751827836205064</v>
          </cell>
          <cell r="U276">
            <v>0.16084775526465922</v>
          </cell>
          <cell r="V276">
            <v>0.22198356514582462</v>
          </cell>
          <cell r="W276" t="str">
            <v/>
          </cell>
          <cell r="X276">
            <v>1.775879663604174E-2</v>
          </cell>
          <cell r="Y276">
            <v>3.3714132149227805E-2</v>
          </cell>
          <cell r="Z276">
            <v>5.9864546664976315E-2</v>
          </cell>
          <cell r="AA276">
            <v>8.4062019115649367E-2</v>
          </cell>
          <cell r="AB276" t="str">
            <v/>
          </cell>
          <cell r="AC276">
            <v>0.12296554695173179</v>
          </cell>
          <cell r="AD276">
            <v>0.1681583070990379</v>
          </cell>
          <cell r="AE276">
            <v>0.23164824051862998</v>
          </cell>
        </row>
        <row r="277">
          <cell r="D277" t="str">
            <v>EUR</v>
          </cell>
          <cell r="N277" t="str">
            <v/>
          </cell>
          <cell r="O277">
            <v>7.7968692927326E-3</v>
          </cell>
          <cell r="P277">
            <v>1.4869737486252088E-2</v>
          </cell>
          <cell r="Q277">
            <v>2.8985871656954876E-2</v>
          </cell>
          <cell r="R277">
            <v>4.4351590478119207E-2</v>
          </cell>
          <cell r="S277" t="str">
            <v/>
          </cell>
          <cell r="T277">
            <v>7.7795893655950632E-2</v>
          </cell>
          <cell r="U277">
            <v>0.10674625551589934</v>
          </cell>
          <cell r="V277">
            <v>0.14851969855926683</v>
          </cell>
          <cell r="W277" t="str">
            <v/>
          </cell>
          <cell r="X277">
            <v>8.1849471306780774E-3</v>
          </cell>
          <cell r="Y277">
            <v>1.5607268258654328E-2</v>
          </cell>
          <cell r="Z277">
            <v>3.0411909147507354E-2</v>
          </cell>
          <cell r="AA277">
            <v>4.6516844184765316E-2</v>
          </cell>
          <cell r="AB277" t="str">
            <v/>
          </cell>
          <cell r="AC277">
            <v>8.1519368524181512E-2</v>
          </cell>
          <cell r="AD277">
            <v>0.11177416492781311</v>
          </cell>
          <cell r="AE277">
            <v>0.15534848920462219</v>
          </cell>
        </row>
        <row r="278">
          <cell r="D278" t="str">
            <v>USD</v>
          </cell>
          <cell r="N278" t="str">
            <v/>
          </cell>
          <cell r="O278" t="str">
            <v/>
          </cell>
          <cell r="P278">
            <v>4.593724838084734E-3</v>
          </cell>
          <cell r="Q278" t="str">
            <v/>
          </cell>
          <cell r="R278">
            <v>2.0361441328594077E-2</v>
          </cell>
          <cell r="S278" t="str">
            <v/>
          </cell>
          <cell r="T278">
            <v>4.3654640106644771E-2</v>
          </cell>
          <cell r="U278">
            <v>6.7934158136783274E-2</v>
          </cell>
          <cell r="V278">
            <v>0.11020962728569583</v>
          </cell>
          <cell r="W278" t="str">
            <v/>
          </cell>
          <cell r="X278" t="str">
            <v/>
          </cell>
          <cell r="Y278">
            <v>4.8129389283677604E-3</v>
          </cell>
          <cell r="Z278" t="str">
            <v/>
          </cell>
          <cell r="AA278">
            <v>2.1368464063322046E-2</v>
          </cell>
          <cell r="AB278" t="str">
            <v/>
          </cell>
          <cell r="AC278">
            <v>4.5791423102570228E-2</v>
          </cell>
          <cell r="AD278">
            <v>7.1223820642675739E-2</v>
          </cell>
          <cell r="AE278">
            <v>0.11545431391870908</v>
          </cell>
        </row>
        <row r="279">
          <cell r="D279" t="str">
            <v>EUR</v>
          </cell>
          <cell r="N279" t="str">
            <v/>
          </cell>
          <cell r="O279">
            <v>1.091589126235637E-3</v>
          </cell>
          <cell r="P279">
            <v>2.9684668899444544E-3</v>
          </cell>
          <cell r="Q279">
            <v>9.639264859510388E-3</v>
          </cell>
          <cell r="R279">
            <v>1.7980368078696074E-2</v>
          </cell>
          <cell r="S279" t="str">
            <v/>
          </cell>
          <cell r="T279">
            <v>3.8332173058903574E-2</v>
          </cell>
          <cell r="U279">
            <v>6.1735106566651488E-2</v>
          </cell>
          <cell r="V279">
            <v>0.10487890499540853</v>
          </cell>
          <cell r="W279" t="str">
            <v/>
          </cell>
          <cell r="X279">
            <v>1.1748280254821886E-3</v>
          </cell>
          <cell r="Y279">
            <v>3.1346249652464131E-3</v>
          </cell>
          <cell r="Z279">
            <v>1.0101325380074133E-2</v>
          </cell>
          <cell r="AA279">
            <v>1.8871846988310681E-2</v>
          </cell>
          <cell r="AB279" t="str">
            <v/>
          </cell>
          <cell r="AC279">
            <v>4.021360636905269E-2</v>
          </cell>
          <cell r="AD279">
            <v>6.4735240209967682E-2</v>
          </cell>
          <cell r="AE279">
            <v>0.10989174721493034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2.6186876321401265E-3</v>
          </cell>
          <cell r="Q280">
            <v>6.5205503597596248E-3</v>
          </cell>
          <cell r="R280">
            <v>1.33911010642499E-2</v>
          </cell>
          <cell r="S280" t="str">
            <v/>
          </cell>
          <cell r="T280">
            <v>3.2662866552734204E-2</v>
          </cell>
          <cell r="U280">
            <v>5.6531715302251651E-2</v>
          </cell>
          <cell r="V280">
            <v>9.7599269559602964E-2</v>
          </cell>
          <cell r="W280" t="str">
            <v/>
          </cell>
          <cell r="X280">
            <v>1.0839152573786093E-3</v>
          </cell>
          <cell r="Y280">
            <v>2.78490399911413E-3</v>
          </cell>
          <cell r="Z280">
            <v>6.8516549891473044E-3</v>
          </cell>
          <cell r="AA280">
            <v>1.4054285805512934E-2</v>
          </cell>
          <cell r="AB280" t="str">
            <v/>
          </cell>
          <cell r="AC280">
            <v>3.4269334910502325E-2</v>
          </cell>
          <cell r="AD280">
            <v>5.9287947336480351E-2</v>
          </cell>
          <cell r="AE280">
            <v>0.10228649222826824</v>
          </cell>
        </row>
        <row r="281">
          <cell r="D281" t="str">
            <v>EUR</v>
          </cell>
          <cell r="N281" t="str">
            <v/>
          </cell>
          <cell r="O281">
            <v>1.0006687817649684E-3</v>
          </cell>
          <cell r="P281">
            <v>2.7947261130725209E-3</v>
          </cell>
          <cell r="Q281">
            <v>6.8627399723123483E-3</v>
          </cell>
          <cell r="R281">
            <v>1.4426279597449798E-2</v>
          </cell>
          <cell r="S281" t="str">
            <v/>
          </cell>
          <cell r="T281">
            <v>3.3446830042253239E-2</v>
          </cell>
          <cell r="U281">
            <v>5.5042694798059455E-2</v>
          </cell>
          <cell r="V281">
            <v>9.5689283925012969E-2</v>
          </cell>
          <cell r="W281" t="str">
            <v/>
          </cell>
          <cell r="X281">
            <v>1.0839152573786093E-3</v>
          </cell>
          <cell r="Y281">
            <v>2.9609131427482671E-3</v>
          </cell>
          <cell r="Z281">
            <v>7.1937305574995003E-3</v>
          </cell>
          <cell r="AA281">
            <v>1.5141808937246259E-2</v>
          </cell>
          <cell r="AB281" t="str">
            <v/>
          </cell>
          <cell r="AC281">
            <v>3.5092281328373387E-2</v>
          </cell>
          <cell r="AD281">
            <v>5.7727329848833109E-2</v>
          </cell>
          <cell r="AE281">
            <v>0.10028691265730771</v>
          </cell>
        </row>
        <row r="282">
          <cell r="D282" t="str">
            <v>USD</v>
          </cell>
          <cell r="N282" t="str">
            <v/>
          </cell>
          <cell r="O282" t="str">
            <v/>
          </cell>
          <cell r="P282">
            <v>1.6257573478757337E-3</v>
          </cell>
          <cell r="Q282" t="str">
            <v/>
          </cell>
          <cell r="R282">
            <v>1.1647968571919742E-2</v>
          </cell>
          <cell r="S282" t="str">
            <v/>
          </cell>
          <cell r="T282">
            <v>3.066092984490687E-2</v>
          </cell>
          <cell r="U282">
            <v>5.4262706079094447E-2</v>
          </cell>
          <cell r="V282">
            <v>9.241656925459274E-2</v>
          </cell>
          <cell r="W282" t="str">
            <v/>
          </cell>
          <cell r="X282" t="str">
            <v/>
          </cell>
          <cell r="Y282">
            <v>1.7921391894559768E-3</v>
          </cell>
          <cell r="Z282" t="str">
            <v/>
          </cell>
          <cell r="AA282">
            <v>1.220721753934606E-2</v>
          </cell>
          <cell r="AB282" t="str">
            <v/>
          </cell>
          <cell r="AC282">
            <v>3.2167603911811726E-2</v>
          </cell>
          <cell r="AD282">
            <v>5.6909154855963373E-2</v>
          </cell>
          <cell r="AE282">
            <v>9.6838032001359986E-2</v>
          </cell>
        </row>
        <row r="283">
          <cell r="D283" t="str">
            <v>EUR</v>
          </cell>
          <cell r="N283" t="str">
            <v/>
          </cell>
          <cell r="O283">
            <v>7.2785822158416558E-4</v>
          </cell>
          <cell r="P283">
            <v>1.744960105844795E-3</v>
          </cell>
          <cell r="Q283">
            <v>6.5586206526362378E-3</v>
          </cell>
          <cell r="R283">
            <v>1.2370859980084248E-2</v>
          </cell>
          <cell r="S283" t="str">
            <v/>
          </cell>
          <cell r="T283">
            <v>3.2783329141084838E-2</v>
          </cell>
          <cell r="U283">
            <v>5.4076735890140726E-2</v>
          </cell>
          <cell r="V283">
            <v>9.2429670483917259E-2</v>
          </cell>
          <cell r="W283" t="str">
            <v/>
          </cell>
          <cell r="X283">
            <v>8.1112743046984903E-4</v>
          </cell>
          <cell r="Y283">
            <v>1.9113220819424459E-3</v>
          </cell>
          <cell r="Z283">
            <v>6.8897125940247106E-3</v>
          </cell>
          <cell r="AA283">
            <v>1.2963259726413878E-2</v>
          </cell>
          <cell r="AB283" t="str">
            <v/>
          </cell>
          <cell r="AC283">
            <v>3.4395508550795983E-2</v>
          </cell>
          <cell r="AD283">
            <v>5.6715328089780859E-2</v>
          </cell>
          <cell r="AE283">
            <v>9.6852402932293691E-2</v>
          </cell>
        </row>
        <row r="284">
          <cell r="D284" t="str">
            <v>USD</v>
          </cell>
          <cell r="N284">
            <v>3.6550255007605781E-4</v>
          </cell>
          <cell r="O284">
            <v>6.8239077215204169E-4</v>
          </cell>
          <cell r="P284">
            <v>1.7020487620984515E-3</v>
          </cell>
          <cell r="Q284">
            <v>4.1195084281823169E-3</v>
          </cell>
          <cell r="R284">
            <v>8.9119589537577371E-3</v>
          </cell>
          <cell r="S284">
            <v>1.44936577205933E-2</v>
          </cell>
          <cell r="T284">
            <v>2.1422650209496186E-2</v>
          </cell>
          <cell r="U284">
            <v>4.0396371633247052E-2</v>
          </cell>
          <cell r="V284">
            <v>7.1011494928382657E-2</v>
          </cell>
          <cell r="W284">
            <v>4.0204532991361397E-4</v>
          </cell>
          <cell r="X284">
            <v>7.4484617097292372E-4</v>
          </cell>
          <cell r="Y284">
            <v>1.8268282071220998E-3</v>
          </cell>
          <cell r="Z284">
            <v>4.3684474323992806E-3</v>
          </cell>
          <cell r="AA284">
            <v>9.3392735251309755E-3</v>
          </cell>
          <cell r="AB284">
            <v>1.521033796802318E-2</v>
          </cell>
          <cell r="AC284">
            <v>2.2480990043793225E-2</v>
          </cell>
          <cell r="AD284">
            <v>4.2378784488215859E-2</v>
          </cell>
          <cell r="AE284">
            <v>7.4446676607047513E-2</v>
          </cell>
        </row>
        <row r="285">
          <cell r="D285" t="str">
            <v>USD</v>
          </cell>
          <cell r="N285" t="str">
            <v/>
          </cell>
          <cell r="O285" t="str">
            <v/>
          </cell>
          <cell r="P285">
            <v>1.5127007615369781E-3</v>
          </cell>
          <cell r="Q285" t="str">
            <v/>
          </cell>
          <cell r="R285">
            <v>1.1687463341525706E-2</v>
          </cell>
          <cell r="S285" t="str">
            <v/>
          </cell>
          <cell r="T285">
            <v>2.7981858636325851E-2</v>
          </cell>
          <cell r="U285">
            <v>5.137641741026433E-2</v>
          </cell>
          <cell r="V285">
            <v>9.1516047332793393E-2</v>
          </cell>
          <cell r="W285" t="str">
            <v/>
          </cell>
          <cell r="X285" t="str">
            <v/>
          </cell>
          <cell r="Y285">
            <v>1.6791014442941732E-3</v>
          </cell>
          <cell r="Z285" t="str">
            <v/>
          </cell>
          <cell r="AA285">
            <v>1.2248171590085621E-2</v>
          </cell>
          <cell r="AB285" t="str">
            <v/>
          </cell>
          <cell r="AC285">
            <v>2.9357506965901337E-2</v>
          </cell>
          <cell r="AD285">
            <v>5.3884303073263085E-2</v>
          </cell>
          <cell r="AE285">
            <v>9.592600543151375E-2</v>
          </cell>
        </row>
        <row r="286">
          <cell r="D286" t="str">
            <v>EUR</v>
          </cell>
          <cell r="N286" t="str">
            <v/>
          </cell>
          <cell r="O286">
            <v>5.4594323121426314E-4</v>
          </cell>
          <cell r="P286">
            <v>1.3970708096262552E-3</v>
          </cell>
          <cell r="Q286">
            <v>4.4826336485552787E-3</v>
          </cell>
          <cell r="R286">
            <v>9.8368925804999119E-3</v>
          </cell>
          <cell r="S286" t="str">
            <v/>
          </cell>
          <cell r="T286">
            <v>2.6868695804797782E-2</v>
          </cell>
          <cell r="U286">
            <v>4.8608536359821319E-2</v>
          </cell>
          <cell r="V286">
            <v>8.6735451740949765E-2</v>
          </cell>
          <cell r="W286" t="str">
            <v/>
          </cell>
          <cell r="X286">
            <v>6.2922759904748826E-4</v>
          </cell>
          <cell r="Y286">
            <v>1.5634907624471062E-3</v>
          </cell>
          <cell r="Z286">
            <v>4.8144174702994258E-3</v>
          </cell>
          <cell r="AA286">
            <v>1.0331850384464603E-2</v>
          </cell>
          <cell r="AB286" t="str">
            <v/>
          </cell>
          <cell r="AC286">
            <v>2.8184899172631117E-2</v>
          </cell>
          <cell r="AD286">
            <v>5.0979375149059147E-2</v>
          </cell>
          <cell r="AE286">
            <v>9.0894971412324055E-2</v>
          </cell>
        </row>
        <row r="287">
          <cell r="D287" t="str">
            <v>EUR</v>
          </cell>
          <cell r="N287" t="str">
            <v/>
          </cell>
          <cell r="O287">
            <v>4.5497334759936336E-4</v>
          </cell>
          <cell r="P287">
            <v>1.22308070448085E-3</v>
          </cell>
          <cell r="Q287">
            <v>4.4909926693761371E-3</v>
          </cell>
          <cell r="R287">
            <v>8.7842062050439429E-3</v>
          </cell>
          <cell r="S287" t="str">
            <v/>
          </cell>
          <cell r="T287">
            <v>2.5170788196888894E-2</v>
          </cell>
          <cell r="U287">
            <v>4.7591449245198869E-2</v>
          </cell>
          <cell r="V287">
            <v>8.5290388882915735E-2</v>
          </cell>
          <cell r="W287" t="str">
            <v/>
          </cell>
          <cell r="X287">
            <v>5.3826529594969141E-4</v>
          </cell>
          <cell r="Y287">
            <v>1.3895296532399071E-3</v>
          </cell>
          <cell r="Z287">
            <v>4.8227737052365383E-3</v>
          </cell>
          <cell r="AA287">
            <v>9.2796902206341292E-3</v>
          </cell>
          <cell r="AB287" t="str">
            <v/>
          </cell>
          <cell r="AC287">
            <v>2.6399726099024634E-2</v>
          </cell>
          <cell r="AD287">
            <v>4.9909835663019875E-2</v>
          </cell>
          <cell r="AE287">
            <v>8.9380731886426701E-2</v>
          </cell>
        </row>
        <row r="288">
          <cell r="D288" t="str">
            <v>EUR</v>
          </cell>
          <cell r="N288" t="str">
            <v/>
          </cell>
          <cell r="O288">
            <v>6.3690485549472431E-4</v>
          </cell>
          <cell r="P288">
            <v>1.3948581478229194E-3</v>
          </cell>
          <cell r="Q288">
            <v>4.4803848348143882E-3</v>
          </cell>
          <cell r="R288">
            <v>1.0365032606175939E-2</v>
          </cell>
          <cell r="S288" t="str">
            <v/>
          </cell>
          <cell r="T288">
            <v>2.8610388966135769E-2</v>
          </cell>
          <cell r="U288">
            <v>4.8377129495374982E-2</v>
          </cell>
          <cell r="V288">
            <v>8.4594441190191216E-2</v>
          </cell>
          <cell r="W288" t="str">
            <v/>
          </cell>
          <cell r="X288">
            <v>7.2018164349907376E-4</v>
          </cell>
          <cell r="Y288">
            <v>1.5612784693798121E-3</v>
          </cell>
          <cell r="Z288">
            <v>4.812169406048783E-3</v>
          </cell>
          <cell r="AA288">
            <v>1.0859726406114656E-2</v>
          </cell>
          <cell r="AB288" t="str">
            <v/>
          </cell>
          <cell r="AC288">
            <v>3.0013721983514818E-2</v>
          </cell>
          <cell r="AD288">
            <v>5.0738017597179663E-2</v>
          </cell>
          <cell r="AE288">
            <v>8.8654204452493501E-2</v>
          </cell>
        </row>
        <row r="289">
          <cell r="D289" t="str">
            <v>USD</v>
          </cell>
          <cell r="N289" t="str">
            <v/>
          </cell>
          <cell r="O289" t="str">
            <v/>
          </cell>
          <cell r="P289">
            <v>9.5766960767240672E-4</v>
          </cell>
          <cell r="Q289" t="str">
            <v/>
          </cell>
          <cell r="R289">
            <v>8.7754809770623776E-3</v>
          </cell>
          <cell r="S289" t="str">
            <v/>
          </cell>
          <cell r="T289">
            <v>2.3862927715873505E-2</v>
          </cell>
          <cell r="U289">
            <v>4.7961659086694253E-2</v>
          </cell>
          <cell r="V289">
            <v>8.8027256894966599E-2</v>
          </cell>
          <cell r="W289" t="str">
            <v/>
          </cell>
          <cell r="X289" t="str">
            <v/>
          </cell>
          <cell r="Y289">
            <v>1.1241627879213789E-3</v>
          </cell>
          <cell r="Z289" t="str">
            <v/>
          </cell>
          <cell r="AA289">
            <v>9.2709693541190852E-3</v>
          </cell>
          <cell r="AB289" t="str">
            <v/>
          </cell>
          <cell r="AC289">
            <v>2.5027209567237807E-2</v>
          </cell>
          <cell r="AD289">
            <v>5.0297358776325685E-2</v>
          </cell>
          <cell r="AE289">
            <v>9.2271620107897467E-2</v>
          </cell>
        </row>
        <row r="290">
          <cell r="D290" t="str">
            <v>EUR</v>
          </cell>
          <cell r="N290" t="str">
            <v/>
          </cell>
          <cell r="O290">
            <v>6.3690485549472431E-4</v>
          </cell>
          <cell r="P290">
            <v>1.5710306083301928E-3</v>
          </cell>
          <cell r="Q290">
            <v>4.4742758268462302E-3</v>
          </cell>
          <cell r="R290">
            <v>9.2978809822560349E-3</v>
          </cell>
          <cell r="S290" t="str">
            <v/>
          </cell>
          <cell r="T290">
            <v>2.5114176488660989E-2</v>
          </cell>
          <cell r="U290">
            <v>4.3646006655868264E-2</v>
          </cell>
          <cell r="V290">
            <v>7.6213532312441767E-2</v>
          </cell>
          <cell r="W290" t="str">
            <v/>
          </cell>
          <cell r="X290">
            <v>7.2018164349907376E-4</v>
          </cell>
          <cell r="Y290">
            <v>1.7374215702635754E-3</v>
          </cell>
          <cell r="Z290">
            <v>4.806062434074998E-3</v>
          </cell>
          <cell r="AA290">
            <v>9.7931082246366374E-3</v>
          </cell>
          <cell r="AB290" t="str">
            <v/>
          </cell>
          <cell r="AC290">
            <v>2.634301941017192E-2</v>
          </cell>
          <cell r="AD290">
            <v>4.5775805220933607E-2</v>
          </cell>
          <cell r="AE290">
            <v>7.9881565756046213E-2</v>
          </cell>
        </row>
        <row r="291">
          <cell r="D291" t="str">
            <v>EUR</v>
          </cell>
          <cell r="N291" t="str">
            <v/>
          </cell>
          <cell r="O291">
            <v>5.4594323121426314E-4</v>
          </cell>
          <cell r="P291">
            <v>1.2208758015412879E-3</v>
          </cell>
          <cell r="Q291">
            <v>4.1396751096509643E-3</v>
          </cell>
          <cell r="R291">
            <v>9.3288988610895629E-3</v>
          </cell>
          <cell r="S291" t="str">
            <v/>
          </cell>
          <cell r="T291">
            <v>2.4253086792053069E-2</v>
          </cell>
          <cell r="U291">
            <v>4.2474741666260529E-2</v>
          </cell>
          <cell r="V291">
            <v>7.6521608597956869E-2</v>
          </cell>
          <cell r="W291" t="str">
            <v/>
          </cell>
          <cell r="X291">
            <v>6.2922759904748826E-4</v>
          </cell>
          <cell r="Y291">
            <v>1.3873251177468626E-3</v>
          </cell>
          <cell r="Z291">
            <v>4.471573231844661E-3</v>
          </cell>
          <cell r="AA291">
            <v>9.8241105984022692E-3</v>
          </cell>
          <cell r="AB291" t="str">
            <v/>
          </cell>
          <cell r="AC291">
            <v>2.5438335363284215E-2</v>
          </cell>
          <cell r="AD291">
            <v>4.4546570276533193E-2</v>
          </cell>
          <cell r="AE291">
            <v>8.0203523225932272E-2</v>
          </cell>
        </row>
        <row r="292">
          <cell r="D292" t="str">
            <v>USD</v>
          </cell>
          <cell r="N292" t="str">
            <v/>
          </cell>
          <cell r="O292" t="str">
            <v/>
          </cell>
          <cell r="P292">
            <v>5.2999145576424822E-2</v>
          </cell>
          <cell r="Q292" t="str">
            <v/>
          </cell>
          <cell r="R292">
            <v>0.10758481376337914</v>
          </cell>
          <cell r="S292" t="str">
            <v/>
          </cell>
          <cell r="T292">
            <v>0.14343511989884705</v>
          </cell>
          <cell r="U292">
            <v>0.17698071553947037</v>
          </cell>
          <cell r="V292">
            <v>0.22923993498423201</v>
          </cell>
          <cell r="W292" t="str">
            <v/>
          </cell>
          <cell r="X292" t="str">
            <v/>
          </cell>
          <cell r="Y292">
            <v>5.5574048848817892E-2</v>
          </cell>
          <cell r="Z292" t="str">
            <v/>
          </cell>
          <cell r="AA292">
            <v>0.11260513312677178</v>
          </cell>
          <cell r="AB292" t="str">
            <v/>
          </cell>
          <cell r="AC292">
            <v>0.14990681516438065</v>
          </cell>
          <cell r="AD292">
            <v>0.1847677205448609</v>
          </cell>
          <cell r="AE292">
            <v>0.23897656462191064</v>
          </cell>
        </row>
        <row r="293">
          <cell r="D293" t="str">
            <v>EUR</v>
          </cell>
          <cell r="N293" t="str">
            <v/>
          </cell>
          <cell r="O293">
            <v>4.132658722621585E-3</v>
          </cell>
          <cell r="P293">
            <v>9.8751569359432079E-3</v>
          </cell>
          <cell r="Q293">
            <v>2.7087888839807617E-2</v>
          </cell>
          <cell r="R293">
            <v>4.9692166631712165E-2</v>
          </cell>
          <cell r="S293" t="str">
            <v/>
          </cell>
          <cell r="T293">
            <v>0.10341805946251215</v>
          </cell>
          <cell r="U293">
            <v>0.14635122295753855</v>
          </cell>
          <cell r="V293">
            <v>0.20926109774944079</v>
          </cell>
          <cell r="W293" t="str">
            <v/>
          </cell>
          <cell r="X293">
            <v>4.3388018993406607E-3</v>
          </cell>
          <cell r="Y293">
            <v>1.0366543612558288E-2</v>
          </cell>
          <cell r="Z293">
            <v>2.8424715037713377E-2</v>
          </cell>
          <cell r="AA293">
            <v>5.2121352377813013E-2</v>
          </cell>
          <cell r="AB293" t="str">
            <v/>
          </cell>
          <cell r="AC293">
            <v>0.10835689784092983</v>
          </cell>
          <cell r="AD293">
            <v>0.15315657037248809</v>
          </cell>
          <cell r="AE293">
            <v>0.21860898433892173</v>
          </cell>
        </row>
        <row r="294">
          <cell r="D294" t="str">
            <v>EUR</v>
          </cell>
          <cell r="N294" t="str">
            <v/>
          </cell>
          <cell r="O294">
            <v>9.2110670977973985E-4</v>
          </cell>
          <cell r="P294">
            <v>3.0431560735831864E-3</v>
          </cell>
          <cell r="Q294">
            <v>9.9455190630729495E-3</v>
          </cell>
          <cell r="R294">
            <v>2.0631985352393523E-2</v>
          </cell>
          <cell r="S294" t="str">
            <v/>
          </cell>
          <cell r="T294">
            <v>4.6057717704412804E-2</v>
          </cell>
          <cell r="U294">
            <v>7.0854188517419647E-2</v>
          </cell>
          <cell r="V294">
            <v>0.10488620432818285</v>
          </cell>
          <cell r="W294" t="str">
            <v/>
          </cell>
          <cell r="X294">
            <v>9.8354718933602037E-4</v>
          </cell>
          <cell r="Y294">
            <v>3.1877043359580526E-3</v>
          </cell>
          <cell r="Z294">
            <v>1.0440457371482692E-2</v>
          </cell>
          <cell r="AA294">
            <v>2.1654783466459104E-2</v>
          </cell>
          <cell r="AB294" t="str">
            <v/>
          </cell>
          <cell r="AC294">
            <v>4.8311763473719571E-2</v>
          </cell>
          <cell r="AD294">
            <v>7.428300342404115E-2</v>
          </cell>
          <cell r="AE294">
            <v>0.10985616379329843</v>
          </cell>
        </row>
        <row r="295">
          <cell r="D295" t="str">
            <v>EUR</v>
          </cell>
          <cell r="N295" t="str">
            <v/>
          </cell>
          <cell r="O295">
            <v>5.1865313340326846E-4</v>
          </cell>
          <cell r="P295">
            <v>2.1728294388565494E-3</v>
          </cell>
          <cell r="Q295">
            <v>6.7232037803609535E-3</v>
          </cell>
          <cell r="R295">
            <v>1.3782220335361695E-2</v>
          </cell>
          <cell r="S295" t="str">
            <v/>
          </cell>
          <cell r="T295">
            <v>3.4432597515647645E-2</v>
          </cell>
          <cell r="U295">
            <v>5.9034141008521335E-2</v>
          </cell>
          <cell r="V295">
            <v>0.10814779851252376</v>
          </cell>
          <cell r="W295" t="str">
            <v/>
          </cell>
          <cell r="X295">
            <v>6.0193977532152498E-4</v>
          </cell>
          <cell r="Y295">
            <v>2.3391201093502234E-3</v>
          </cell>
          <cell r="Z295">
            <v>7.0542408698676118E-3</v>
          </cell>
          <cell r="AA295">
            <v>1.446386032797442E-2</v>
          </cell>
          <cell r="AB295" t="str">
            <v/>
          </cell>
          <cell r="AC295">
            <v>3.6124164751780263E-2</v>
          </cell>
          <cell r="AD295">
            <v>6.1908631533080904E-2</v>
          </cell>
          <cell r="AE295">
            <v>0.11332695446794694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1.1212529218074252E-3</v>
          </cell>
          <cell r="Q296" t="str">
            <v/>
          </cell>
          <cell r="R296">
            <v>1.2534328478737367E-2</v>
          </cell>
          <cell r="S296" t="str">
            <v/>
          </cell>
          <cell r="T296">
            <v>2.8816920547930835E-2</v>
          </cell>
          <cell r="U296">
            <v>5.3039374066115474E-2</v>
          </cell>
          <cell r="V296">
            <v>9.2585364910251156E-2</v>
          </cell>
          <cell r="W296" t="str">
            <v/>
          </cell>
          <cell r="X296" t="str">
            <v/>
          </cell>
          <cell r="Y296">
            <v>1.2877188404590845E-3</v>
          </cell>
          <cell r="Z296" t="str">
            <v/>
          </cell>
          <cell r="AA296">
            <v>1.3133538262760869E-2</v>
          </cell>
          <cell r="AB296" t="str">
            <v/>
          </cell>
          <cell r="AC296">
            <v>3.0231994509713478E-2</v>
          </cell>
          <cell r="AD296">
            <v>5.562529445190556E-2</v>
          </cell>
          <cell r="AE296">
            <v>9.7041409350864916E-2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1.0864501880809563E-3</v>
          </cell>
          <cell r="Q297" t="str">
            <v/>
          </cell>
          <cell r="R297">
            <v>1.0839086242467433E-2</v>
          </cell>
          <cell r="S297" t="str">
            <v/>
          </cell>
          <cell r="T297">
            <v>2.2283241639454276E-2</v>
          </cell>
          <cell r="U297">
            <v>4.3942381207787706E-2</v>
          </cell>
          <cell r="V297">
            <v>8.0780490072087985E-2</v>
          </cell>
          <cell r="W297" t="str">
            <v/>
          </cell>
          <cell r="X297" t="str">
            <v/>
          </cell>
          <cell r="Y297">
            <v>1.2529219066996777E-3</v>
          </cell>
          <cell r="Z297" t="str">
            <v/>
          </cell>
          <cell r="AA297">
            <v>1.1358259427295403E-2</v>
          </cell>
          <cell r="AB297" t="str">
            <v/>
          </cell>
          <cell r="AC297">
            <v>2.3378567292613672E-2</v>
          </cell>
          <cell r="AD297">
            <v>4.6091632470970145E-2</v>
          </cell>
          <cell r="AE297">
            <v>8.4667853631394063E-2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2.0882873527908741E-3</v>
          </cell>
          <cell r="Q299" t="str">
            <v/>
          </cell>
          <cell r="R299">
            <v>1.024692441098729E-2</v>
          </cell>
          <cell r="S299" t="str">
            <v/>
          </cell>
          <cell r="T299">
            <v>2.585143283779423E-2</v>
          </cell>
          <cell r="U299">
            <v>4.8743901296733338E-2</v>
          </cell>
          <cell r="V299">
            <v>9.7020655069939399E-2</v>
          </cell>
          <cell r="W299" t="str">
            <v/>
          </cell>
          <cell r="X299" t="str">
            <v/>
          </cell>
          <cell r="Y299">
            <v>2.2545921124562662E-3</v>
          </cell>
          <cell r="Z299" t="str">
            <v/>
          </cell>
          <cell r="AA299">
            <v>1.0741677250240445E-2</v>
          </cell>
          <cell r="AB299" t="str">
            <v/>
          </cell>
          <cell r="AC299">
            <v>2.7124917913048385E-2</v>
          </cell>
          <cell r="AD299">
            <v>5.1128084737356749E-2</v>
          </cell>
          <cell r="AE299">
            <v>0.10170126492620657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8.4975967665934515E-4</v>
          </cell>
          <cell r="Q300" t="str">
            <v/>
          </cell>
          <cell r="R300">
            <v>1.0079505722001114E-2</v>
          </cell>
          <cell r="S300" t="str">
            <v/>
          </cell>
          <cell r="T300">
            <v>2.2833446286305126E-2</v>
          </cell>
          <cell r="U300">
            <v>4.3334757122374001E-2</v>
          </cell>
          <cell r="V300">
            <v>7.9956530891261091E-2</v>
          </cell>
          <cell r="W300" t="str">
            <v/>
          </cell>
          <cell r="X300" t="str">
            <v/>
          </cell>
          <cell r="Y300">
            <v>1.0162708404068965E-3</v>
          </cell>
          <cell r="Z300" t="str">
            <v/>
          </cell>
          <cell r="AA300">
            <v>1.0574342249696111E-2</v>
          </cell>
          <cell r="AB300" t="str">
            <v/>
          </cell>
          <cell r="AC300">
            <v>2.3953629461721304E-2</v>
          </cell>
          <cell r="AD300">
            <v>4.5452699960103593E-2</v>
          </cell>
          <cell r="AE300">
            <v>8.380324314926757E-2</v>
          </cell>
        </row>
        <row r="301">
          <cell r="D301" t="str">
            <v>USD</v>
          </cell>
          <cell r="N301" t="str">
            <v/>
          </cell>
          <cell r="O301" t="str">
            <v/>
          </cell>
          <cell r="P301">
            <v>1.2569720844100019E-3</v>
          </cell>
          <cell r="Q301" t="str">
            <v/>
          </cell>
          <cell r="R301">
            <v>9.1942652724509299E-3</v>
          </cell>
          <cell r="S301" t="str">
            <v/>
          </cell>
          <cell r="T301">
            <v>2.1996969895597074E-2</v>
          </cell>
          <cell r="U301">
            <v>4.2478069850777067E-2</v>
          </cell>
          <cell r="V301">
            <v>7.6169670835067205E-2</v>
          </cell>
          <cell r="W301" t="str">
            <v/>
          </cell>
          <cell r="X301" t="str">
            <v/>
          </cell>
          <cell r="Y301">
            <v>1.4234153850898323E-3</v>
          </cell>
          <cell r="Z301" t="str">
            <v/>
          </cell>
          <cell r="AA301">
            <v>9.6895443097742007E-3</v>
          </cell>
          <cell r="AB301" t="str">
            <v/>
          </cell>
          <cell r="AC301">
            <v>2.3073089107243705E-2</v>
          </cell>
          <cell r="AD301">
            <v>4.4551920535900957E-2</v>
          </cell>
          <cell r="AE301">
            <v>7.9837270008437211E-2</v>
          </cell>
        </row>
        <row r="302">
          <cell r="D302" t="str">
            <v>EUR</v>
          </cell>
          <cell r="N302" t="str">
            <v/>
          </cell>
          <cell r="O302">
            <v>5.4594323121426314E-4</v>
          </cell>
          <cell r="P302">
            <v>1.0446661685874492E-3</v>
          </cell>
          <cell r="Q302">
            <v>4.1457633276648087E-3</v>
          </cell>
          <cell r="R302">
            <v>9.3351024819504635E-3</v>
          </cell>
          <cell r="S302" t="str">
            <v/>
          </cell>
          <cell r="T302">
            <v>2.5152572652900607E-2</v>
          </cell>
          <cell r="U302">
            <v>4.2388059230664465E-2</v>
          </cell>
          <cell r="V302">
            <v>7.8351029680674422E-2</v>
          </cell>
          <cell r="W302" t="str">
            <v/>
          </cell>
          <cell r="X302">
            <v>6.2922759904748826E-4</v>
          </cell>
          <cell r="Y302">
            <v>1.2111448506226807E-3</v>
          </cell>
          <cell r="Z302">
            <v>4.4776594207824871E-3</v>
          </cell>
          <cell r="AA302">
            <v>9.8303111182469483E-3</v>
          </cell>
          <cell r="AB302" t="str">
            <v/>
          </cell>
          <cell r="AC302">
            <v>2.638159083724545E-2</v>
          </cell>
          <cell r="AD302">
            <v>4.4455134658189399E-2</v>
          </cell>
          <cell r="AE302">
            <v>8.2117615838468438E-2</v>
          </cell>
        </row>
        <row r="303">
          <cell r="D303" t="str">
            <v>USD</v>
          </cell>
          <cell r="N303" t="str">
            <v/>
          </cell>
          <cell r="O303" t="str">
            <v/>
          </cell>
          <cell r="P303">
            <v>1.1351736783257182E-3</v>
          </cell>
          <cell r="Q303" t="str">
            <v/>
          </cell>
          <cell r="R303">
            <v>9.6179160955335297E-3</v>
          </cell>
          <cell r="S303" t="str">
            <v/>
          </cell>
          <cell r="T303">
            <v>2.3308344232192635E-2</v>
          </cell>
          <cell r="U303">
            <v>4.1163621774345405E-2</v>
          </cell>
          <cell r="V303">
            <v>6.995998584516383E-2</v>
          </cell>
          <cell r="W303" t="str">
            <v/>
          </cell>
          <cell r="X303" t="str">
            <v/>
          </cell>
          <cell r="Y303">
            <v>1.3016372770298101E-3</v>
          </cell>
          <cell r="Z303" t="str">
            <v/>
          </cell>
          <cell r="AA303">
            <v>1.0112983360338612E-2</v>
          </cell>
          <cell r="AB303" t="str">
            <v/>
          </cell>
          <cell r="AC303">
            <v>2.4450491702461608E-2</v>
          </cell>
          <cell r="AD303">
            <v>4.3175025602657735E-2</v>
          </cell>
          <cell r="AE303">
            <v>7.3335880198426073E-2</v>
          </cell>
        </row>
        <row r="304">
          <cell r="D304" t="str">
            <v>EUR</v>
          </cell>
          <cell r="N304" t="str">
            <v/>
          </cell>
          <cell r="O304">
            <v>4.5497334759936336E-4</v>
          </cell>
          <cell r="P304">
            <v>8.7063095825812287E-4</v>
          </cell>
          <cell r="Q304">
            <v>3.4556797820997076E-3</v>
          </cell>
          <cell r="R304">
            <v>7.7834086460574214E-3</v>
          </cell>
          <cell r="S304" t="str">
            <v/>
          </cell>
          <cell r="T304">
            <v>2.2630626801622866E-2</v>
          </cell>
          <cell r="U304">
            <v>4.0230982194373377E-2</v>
          </cell>
          <cell r="V304">
            <v>6.9556971171860882E-2</v>
          </cell>
          <cell r="W304" t="str">
            <v/>
          </cell>
          <cell r="X304">
            <v>5.3826529594969141E-4</v>
          </cell>
          <cell r="Y304">
            <v>1.0371386437357799E-3</v>
          </cell>
          <cell r="Z304">
            <v>3.7878058647371482E-3</v>
          </cell>
          <cell r="AA304">
            <v>8.2793929353108808E-3</v>
          </cell>
          <cell r="AB304" t="str">
            <v/>
          </cell>
          <cell r="AC304">
            <v>2.3728509373894036E-2</v>
          </cell>
          <cell r="AD304">
            <v>4.2187016399201749E-2</v>
          </cell>
          <cell r="AE304">
            <v>7.2905332113767707E-2</v>
          </cell>
        </row>
        <row r="305">
          <cell r="D305" t="str">
            <v>EUR</v>
          </cell>
          <cell r="N305" t="str">
            <v/>
          </cell>
          <cell r="O305">
            <v>3.6399520350638426E-4</v>
          </cell>
          <cell r="P305">
            <v>1.049060286898551E-3</v>
          </cell>
          <cell r="Q305">
            <v>3.8010831333065154E-3</v>
          </cell>
          <cell r="R305">
            <v>7.2323104235898494E-3</v>
          </cell>
          <cell r="S305" t="str">
            <v/>
          </cell>
          <cell r="T305">
            <v>2.0859194367127021E-2</v>
          </cell>
          <cell r="U305">
            <v>3.9134327449110162E-2</v>
          </cell>
          <cell r="V305">
            <v>7.186498170609279E-2</v>
          </cell>
          <cell r="W305" t="str">
            <v/>
          </cell>
          <cell r="X305">
            <v>4.4729473304006007E-4</v>
          </cell>
          <cell r="Y305">
            <v>1.2155382366452194E-3</v>
          </cell>
          <cell r="Z305">
            <v>4.1330941006814115E-3</v>
          </cell>
          <cell r="AA305">
            <v>7.7285701930812634E-3</v>
          </cell>
          <cell r="AB305" t="str">
            <v/>
          </cell>
          <cell r="AC305">
            <v>2.1869210805171124E-2</v>
          </cell>
          <cell r="AD305">
            <v>4.1036690995483904E-2</v>
          </cell>
          <cell r="AE305">
            <v>7.5322965556477661E-2</v>
          </cell>
        </row>
        <row r="306">
          <cell r="D306" t="str">
            <v>USD</v>
          </cell>
          <cell r="N306" t="str">
            <v/>
          </cell>
          <cell r="O306" t="str">
            <v/>
          </cell>
          <cell r="P306">
            <v>6.7394614047022738E-4</v>
          </cell>
          <cell r="Q306" t="str">
            <v/>
          </cell>
          <cell r="R306">
            <v>6.7200786941882251E-3</v>
          </cell>
          <cell r="S306" t="str">
            <v/>
          </cell>
          <cell r="T306">
            <v>1.7360891285542634E-2</v>
          </cell>
          <cell r="U306">
            <v>3.8479001619805553E-2</v>
          </cell>
          <cell r="V306">
            <v>6.3272643623229707E-2</v>
          </cell>
          <cell r="W306" t="str">
            <v/>
          </cell>
          <cell r="X306" t="str">
            <v/>
          </cell>
          <cell r="Y306">
            <v>8.404866040392367E-4</v>
          </cell>
          <cell r="Z306" t="str">
            <v/>
          </cell>
          <cell r="AA306">
            <v>7.2165945155356903E-3</v>
          </cell>
          <cell r="AB306" t="str">
            <v/>
          </cell>
          <cell r="AC306">
            <v>1.8179416110110536E-2</v>
          </cell>
          <cell r="AD306">
            <v>4.0347219810654034E-2</v>
          </cell>
          <cell r="AE306">
            <v>6.6323498112879298E-2</v>
          </cell>
        </row>
        <row r="307">
          <cell r="D307" t="str">
            <v>EUR</v>
          </cell>
          <cell r="N307" t="str">
            <v/>
          </cell>
          <cell r="O307">
            <v>3.6399520350638426E-4</v>
          </cell>
          <cell r="P307">
            <v>1.5776928696848991E-3</v>
          </cell>
          <cell r="Q307">
            <v>4.8300036012460801E-3</v>
          </cell>
          <cell r="R307">
            <v>8.7578517722344262E-3</v>
          </cell>
          <cell r="S307" t="str">
            <v/>
          </cell>
          <cell r="T307">
            <v>2.156941971103199E-2</v>
          </cell>
          <cell r="U307">
            <v>3.4954312096123541E-2</v>
          </cell>
          <cell r="V307">
            <v>5.8630790834494517E-2</v>
          </cell>
          <cell r="W307" t="str">
            <v/>
          </cell>
          <cell r="X307">
            <v>4.4729473304006007E-4</v>
          </cell>
          <cell r="Y307">
            <v>1.7440827213339727E-3</v>
          </cell>
          <cell r="Z307">
            <v>5.161671652306743E-3</v>
          </cell>
          <cell r="AA307">
            <v>9.2533489617411258E-3</v>
          </cell>
          <cell r="AB307" t="str">
            <v/>
          </cell>
          <cell r="AC307">
            <v>2.2623035431614147E-2</v>
          </cell>
          <cell r="AD307">
            <v>3.6661117150498357E-2</v>
          </cell>
          <cell r="AE307">
            <v>6.146876160227055E-2</v>
          </cell>
        </row>
        <row r="308">
          <cell r="D308" t="str">
            <v>EUR</v>
          </cell>
          <cell r="N308" t="str">
            <v/>
          </cell>
          <cell r="O308">
            <v>4.5497334759936336E-4</v>
          </cell>
          <cell r="P308">
            <v>1.22308070448085E-3</v>
          </cell>
          <cell r="Q308">
            <v>3.7927823407388761E-3</v>
          </cell>
          <cell r="R308">
            <v>8.2859042324988641E-3</v>
          </cell>
          <cell r="S308" t="str">
            <v/>
          </cell>
          <cell r="T308">
            <v>1.9878731060564148E-2</v>
          </cell>
          <cell r="U308">
            <v>3.5236478943504235E-2</v>
          </cell>
          <cell r="V308">
            <v>6.4703833634608743E-2</v>
          </cell>
          <cell r="W308" t="str">
            <v/>
          </cell>
          <cell r="X308">
            <v>5.3826529594969141E-4</v>
          </cell>
          <cell r="Y308">
            <v>1.3895296532399071E-3</v>
          </cell>
          <cell r="Z308">
            <v>4.124796074582493E-3</v>
          </cell>
          <cell r="AA308">
            <v>8.7816373367883838E-3</v>
          </cell>
          <cell r="AB308" t="str">
            <v/>
          </cell>
          <cell r="AC308">
            <v>2.084471629135054E-2</v>
          </cell>
          <cell r="AD308">
            <v>3.6953075360384835E-2</v>
          </cell>
          <cell r="AE308">
            <v>6.7827522129052076E-2</v>
          </cell>
        </row>
        <row r="309">
          <cell r="D309" t="str">
            <v>EUR</v>
          </cell>
          <cell r="N309" t="str">
            <v/>
          </cell>
          <cell r="O309">
            <v>3.6399520350638426E-4</v>
          </cell>
          <cell r="P309">
            <v>8.728201724156337E-4</v>
          </cell>
          <cell r="Q309">
            <v>3.1086041784720297E-3</v>
          </cell>
          <cell r="R309">
            <v>7.2706402611258936E-3</v>
          </cell>
          <cell r="S309" t="str">
            <v/>
          </cell>
          <cell r="T309">
            <v>1.8211863196228584E-2</v>
          </cell>
          <cell r="U309">
            <v>3.4242684874590257E-2</v>
          </cell>
          <cell r="V309">
            <v>5.9399270821817951E-2</v>
          </cell>
          <cell r="W309" t="str">
            <v/>
          </cell>
          <cell r="X309">
            <v>4.4729473304006007E-4</v>
          </cell>
          <cell r="Y309">
            <v>1.0393274930516894E-3</v>
          </cell>
          <cell r="Z309">
            <v>3.4408459337169628E-3</v>
          </cell>
          <cell r="AA309">
            <v>7.7668808705068093E-3</v>
          </cell>
          <cell r="AB309" t="str">
            <v/>
          </cell>
          <cell r="AC309">
            <v>1.907055208476105E-2</v>
          </cell>
          <cell r="AD309">
            <v>3.590756999842637E-2</v>
          </cell>
          <cell r="AE309">
            <v>6.2268569571166332E-2</v>
          </cell>
        </row>
        <row r="310">
          <cell r="D310" t="str">
            <v>EUR</v>
          </cell>
          <cell r="N310" t="str">
            <v/>
          </cell>
          <cell r="O310">
            <v>4.5497334759936336E-4</v>
          </cell>
          <cell r="P310">
            <v>1.0468631450375465E-3</v>
          </cell>
          <cell r="Q310">
            <v>4.1480051453959277E-3</v>
          </cell>
          <cell r="R310">
            <v>8.2758480360302089E-3</v>
          </cell>
          <cell r="S310" t="str">
            <v/>
          </cell>
          <cell r="T310">
            <v>1.9868489015620661E-2</v>
          </cell>
          <cell r="U310">
            <v>3.2621847597286258E-2</v>
          </cell>
          <cell r="V310">
            <v>5.7323262221941729E-2</v>
          </cell>
          <cell r="W310" t="str">
            <v/>
          </cell>
          <cell r="X310">
            <v>5.3826529594969141E-4</v>
          </cell>
          <cell r="Y310">
            <v>1.2133414609432069E-3</v>
          </cell>
          <cell r="Z310">
            <v>4.4799004913916862E-3</v>
          </cell>
          <cell r="AA310">
            <v>8.7715861671472384E-3</v>
          </cell>
          <cell r="AB310" t="str">
            <v/>
          </cell>
          <cell r="AC310">
            <v>2.083443770740312E-2</v>
          </cell>
          <cell r="AD310">
            <v>3.4211302515329001E-2</v>
          </cell>
          <cell r="AE310">
            <v>6.0096335129151357E-2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etres"/>
      <sheetName val="Option"/>
      <sheetName val="IRS Strip"/>
      <sheetName val="CDS Strip"/>
      <sheetName val="Fwd Intensity"/>
      <sheetName val="CDS"/>
      <sheetName val="Valo_Add_In"/>
    </sheetNames>
    <definedNames>
      <definedName name="GetDeltaOptionPortfolio"/>
      <definedName name="GetGammaOptionPortfolio"/>
      <definedName name="GetOptionPortfolioPrice"/>
      <definedName name="GetOptionPrice"/>
      <definedName name="GetSensiOption"/>
      <definedName name="GetThetaOptionPortfolio"/>
      <definedName name="GetVegaOptionPortfolio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comments" Target="../comments1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G16"/>
  <sheetViews>
    <sheetView showGridLines="0" workbookViewId="0">
      <selection activeCell="E8" sqref="E8"/>
    </sheetView>
  </sheetViews>
  <sheetFormatPr defaultColWidth="11.42578125" defaultRowHeight="15"/>
  <cols>
    <col min="2" max="2" width="18" customWidth="1"/>
    <col min="3" max="3" width="4.42578125" customWidth="1"/>
    <col min="4" max="4" width="16.28515625" customWidth="1"/>
    <col min="5" max="5" width="11.42578125" bestFit="1" customWidth="1"/>
  </cols>
  <sheetData>
    <row r="1" spans="2:7" ht="15.75" thickBot="1"/>
    <row r="2" spans="2:7" ht="15.75" thickBot="1">
      <c r="B2" s="42" t="s">
        <v>33</v>
      </c>
      <c r="D2" s="42" t="s">
        <v>430</v>
      </c>
      <c r="F2" s="42" t="s">
        <v>34</v>
      </c>
    </row>
    <row r="3" spans="2:7">
      <c r="B3" s="38" t="s">
        <v>7</v>
      </c>
      <c r="D3" s="38" t="s">
        <v>32</v>
      </c>
      <c r="F3" s="37" t="s">
        <v>0</v>
      </c>
    </row>
    <row r="4" spans="2:7" ht="15.75" thickBot="1">
      <c r="B4" s="41" t="s">
        <v>30</v>
      </c>
      <c r="D4" s="41" t="s">
        <v>31</v>
      </c>
      <c r="F4" s="38" t="s">
        <v>2</v>
      </c>
    </row>
    <row r="5" spans="2:7" ht="15.75" thickBot="1">
      <c r="F5" s="41" t="s">
        <v>1</v>
      </c>
    </row>
    <row r="6" spans="2:7" ht="15.75" thickBot="1">
      <c r="B6" s="57" t="s">
        <v>44</v>
      </c>
    </row>
    <row r="7" spans="2:7" ht="15.75" thickBot="1">
      <c r="B7" s="141" t="s">
        <v>45</v>
      </c>
      <c r="D7" s="92" t="s">
        <v>429</v>
      </c>
      <c r="E7" s="606">
        <v>45261</v>
      </c>
    </row>
    <row r="8" spans="2:7">
      <c r="B8" s="142" t="s">
        <v>46</v>
      </c>
    </row>
    <row r="9" spans="2:7">
      <c r="B9" s="142" t="s">
        <v>43</v>
      </c>
    </row>
    <row r="10" spans="2:7">
      <c r="B10" s="142" t="s">
        <v>41</v>
      </c>
    </row>
    <row r="11" spans="2:7" ht="15.75" thickBot="1">
      <c r="B11" s="143" t="s">
        <v>42</v>
      </c>
    </row>
    <row r="12" spans="2:7">
      <c r="G12" s="168"/>
    </row>
    <row r="13" spans="2:7" ht="15.75" thickBot="1"/>
    <row r="14" spans="2:7" ht="15.75" thickBot="1">
      <c r="B14" s="57" t="s">
        <v>420</v>
      </c>
      <c r="D14" s="57" t="s">
        <v>421</v>
      </c>
    </row>
    <row r="15" spans="2:7">
      <c r="B15" s="37" t="b">
        <v>1</v>
      </c>
      <c r="D15" s="37" t="s">
        <v>83</v>
      </c>
    </row>
    <row r="16" spans="2:7" ht="15.75" thickBot="1">
      <c r="B16" s="41" t="b">
        <v>0</v>
      </c>
      <c r="D16" s="41" t="s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zoomScale="97" zoomScaleNormal="400" workbookViewId="0">
      <selection activeCell="G29" sqref="G29"/>
    </sheetView>
  </sheetViews>
  <sheetFormatPr defaultColWidth="11.42578125" defaultRowHeight="15"/>
  <cols>
    <col min="1" max="1" width="6.140625" customWidth="1"/>
    <col min="2" max="2" width="12.5703125" customWidth="1"/>
    <col min="4" max="4" width="13.42578125" customWidth="1"/>
    <col min="5" max="5" width="9.85546875" customWidth="1"/>
    <col min="6" max="6" width="12" customWidth="1"/>
    <col min="7" max="7" width="25.42578125" customWidth="1"/>
    <col min="8" max="8" width="11.5703125" customWidth="1"/>
    <col min="9" max="9" width="10.5703125" customWidth="1"/>
    <col min="10" max="10" width="10.140625" customWidth="1"/>
    <col min="11" max="11" width="9.42578125" customWidth="1"/>
    <col min="12" max="12" width="12.85546875" customWidth="1"/>
    <col min="13" max="13" width="10" customWidth="1"/>
    <col min="14" max="14" width="5.5703125" customWidth="1"/>
    <col min="15" max="15" width="12.140625" customWidth="1"/>
    <col min="16" max="16" width="10.5703125" customWidth="1"/>
    <col min="17" max="17" width="8" style="48" customWidth="1"/>
    <col min="23" max="23" width="10" customWidth="1"/>
    <col min="24" max="24" width="11.5703125" customWidth="1"/>
    <col min="25" max="25" width="8.42578125" customWidth="1"/>
    <col min="26" max="26" width="12.42578125" customWidth="1"/>
    <col min="27" max="27" width="10" customWidth="1"/>
  </cols>
  <sheetData>
    <row r="1" spans="1:23" ht="24.6" customHeight="1" thickBot="1"/>
    <row r="2" spans="1:23" ht="31.35" customHeight="1" thickBot="1">
      <c r="D2" s="53" t="s">
        <v>36</v>
      </c>
      <c r="E2" s="101"/>
      <c r="F2" s="102"/>
      <c r="I2" s="53" t="s">
        <v>15</v>
      </c>
      <c r="J2" s="101"/>
      <c r="K2" s="102"/>
      <c r="T2" s="53" t="s">
        <v>92</v>
      </c>
      <c r="U2" s="101"/>
      <c r="V2" s="102"/>
    </row>
    <row r="3" spans="1:23" s="2" customFormat="1">
      <c r="D3" s="52"/>
      <c r="Q3" s="49"/>
    </row>
    <row r="4" spans="1:23" ht="28.5" customHeight="1" thickBot="1"/>
    <row r="5" spans="1:23" ht="15.75" thickBot="1">
      <c r="A5" s="54" t="s">
        <v>17</v>
      </c>
      <c r="C5" s="617" t="s">
        <v>21</v>
      </c>
      <c r="D5" s="618"/>
      <c r="F5" s="615" t="s">
        <v>23</v>
      </c>
      <c r="G5" s="616"/>
      <c r="I5" s="615" t="s">
        <v>22</v>
      </c>
      <c r="J5" s="616"/>
      <c r="R5" s="617" t="s">
        <v>39</v>
      </c>
      <c r="S5" s="618"/>
      <c r="U5" s="615" t="s">
        <v>40</v>
      </c>
      <c r="V5" s="616"/>
    </row>
    <row r="6" spans="1:23" ht="15.75" thickBot="1">
      <c r="A6" s="55" t="s">
        <v>18</v>
      </c>
      <c r="C6" s="98"/>
      <c r="D6" s="98"/>
      <c r="F6" s="99"/>
      <c r="G6" s="99"/>
      <c r="I6" s="99"/>
      <c r="J6" s="99"/>
      <c r="R6" s="98"/>
      <c r="S6" s="98"/>
      <c r="U6" s="99"/>
      <c r="V6" s="99"/>
    </row>
    <row r="7" spans="1:23" ht="15.75" thickBot="1">
      <c r="A7" s="56" t="s">
        <v>19</v>
      </c>
      <c r="C7" s="104" t="s">
        <v>91</v>
      </c>
      <c r="D7" s="100">
        <v>2</v>
      </c>
      <c r="F7" s="114" t="s">
        <v>24</v>
      </c>
      <c r="G7" s="5" cm="1">
        <f t="array" aca="1" ref="G7" ca="1">GetBSOptionPrice(D7,D8,D9,D10,D11,D12,D13,D14,D16)</f>
        <v>20.901150830870165</v>
      </c>
      <c r="I7" s="114" t="s">
        <v>24</v>
      </c>
      <c r="J7" s="5" cm="1">
        <f t="array" aca="1" ref="J7" ca="1">GetMCEurOptionPrice(D7,D8,D9,D10,D11,D12,D13,D14,D16)</f>
        <v>20.895980277159474</v>
      </c>
      <c r="R7" s="104" t="s">
        <v>91</v>
      </c>
      <c r="S7" s="100">
        <v>1</v>
      </c>
      <c r="U7" s="114" t="s">
        <v>24</v>
      </c>
      <c r="V7" s="5" t="e" cm="1">
        <f t="array" aca="1" ref="V7" ca="1">[3]!GetOptionPrice(S7,S8,S9,S10,S11,S12,S14)</f>
        <v>#NAME?</v>
      </c>
    </row>
    <row r="8" spans="1:23" ht="15.75" thickBot="1">
      <c r="C8" s="105" t="s">
        <v>14</v>
      </c>
      <c r="D8" s="30" t="s">
        <v>7</v>
      </c>
      <c r="E8" s="4"/>
      <c r="F8" s="4"/>
      <c r="K8" s="1"/>
      <c r="R8" s="105" t="s">
        <v>14</v>
      </c>
      <c r="S8" s="30" t="s">
        <v>7</v>
      </c>
      <c r="T8" s="4"/>
      <c r="U8" s="4"/>
      <c r="V8" s="4"/>
      <c r="W8" s="4"/>
    </row>
    <row r="9" spans="1:23">
      <c r="C9" s="105" t="s">
        <v>27</v>
      </c>
      <c r="D9" s="30" t="s">
        <v>32</v>
      </c>
      <c r="E9" s="4"/>
      <c r="F9" s="115" t="s">
        <v>4</v>
      </c>
      <c r="G9" s="13" cm="1">
        <f t="array" aca="1" ref="G9:G12" ca="1">GetSensiOptionBS(D7,D8,D9,D10,D11,D12,D13,D14,D16)</f>
        <v>1.2736611720140605</v>
      </c>
      <c r="I9" s="4"/>
      <c r="K9" s="1"/>
      <c r="R9" s="106" t="s">
        <v>27</v>
      </c>
      <c r="S9" s="30" t="s">
        <v>29</v>
      </c>
      <c r="T9" s="4"/>
      <c r="U9" s="115" t="s">
        <v>4</v>
      </c>
      <c r="V9" s="13" t="e" cm="1">
        <f t="array" aca="1" ref="V9" ca="1">[3]!GetSensiOption(S7,S8,S9,S10,S11,S12,S14)</f>
        <v>#NAME?</v>
      </c>
      <c r="W9" s="4"/>
    </row>
    <row r="10" spans="1:23">
      <c r="C10" s="106" t="s">
        <v>11</v>
      </c>
      <c r="D10" s="30">
        <v>100</v>
      </c>
      <c r="E10" s="4"/>
      <c r="F10" s="106" t="s">
        <v>5</v>
      </c>
      <c r="G10" s="14">
        <f ca="1"/>
        <v>3.752403469169379E-2</v>
      </c>
      <c r="R10" s="106" t="s">
        <v>9</v>
      </c>
      <c r="S10" s="30">
        <v>100</v>
      </c>
      <c r="T10" s="4"/>
      <c r="U10" s="106" t="s">
        <v>5</v>
      </c>
      <c r="V10" s="14"/>
      <c r="W10" s="4"/>
    </row>
    <row r="11" spans="1:23">
      <c r="C11" s="107" t="s">
        <v>3</v>
      </c>
      <c r="D11" s="39">
        <v>0.2</v>
      </c>
      <c r="E11" s="4"/>
      <c r="F11" s="106" t="s">
        <v>6</v>
      </c>
      <c r="G11" s="14">
        <f ca="1"/>
        <v>2.1815586198119661</v>
      </c>
      <c r="R11" s="106" t="s">
        <v>10</v>
      </c>
      <c r="S11" s="46">
        <v>44989</v>
      </c>
      <c r="T11" s="4"/>
      <c r="U11" s="106" t="s">
        <v>6</v>
      </c>
      <c r="V11" s="14"/>
      <c r="W11" s="4"/>
    </row>
    <row r="12" spans="1:23" ht="15.75" thickBot="1">
      <c r="C12" s="107" t="s">
        <v>8</v>
      </c>
      <c r="D12" s="39">
        <v>0.05</v>
      </c>
      <c r="E12" s="4"/>
      <c r="F12" s="116" t="s">
        <v>26</v>
      </c>
      <c r="G12" s="15">
        <f ca="1"/>
        <v>75.048069383387585</v>
      </c>
      <c r="R12" s="116" t="s">
        <v>13</v>
      </c>
      <c r="S12" s="40" t="s">
        <v>0</v>
      </c>
      <c r="T12" s="4"/>
      <c r="U12" s="116" t="s">
        <v>26</v>
      </c>
      <c r="V12" s="15"/>
      <c r="W12" s="4"/>
    </row>
    <row r="13" spans="1:23" ht="15.75" thickBot="1">
      <c r="C13" s="107" t="s">
        <v>9</v>
      </c>
      <c r="D13" s="30">
        <v>100</v>
      </c>
      <c r="E13" s="4"/>
      <c r="R13" s="4"/>
      <c r="S13" s="4"/>
      <c r="T13" s="4"/>
      <c r="W13" s="4"/>
    </row>
    <row r="14" spans="1:23" ht="15.75" thickBot="1">
      <c r="C14" s="108" t="s">
        <v>10</v>
      </c>
      <c r="D14" s="31">
        <v>1</v>
      </c>
      <c r="E14" s="4"/>
      <c r="R14" s="113" t="s">
        <v>12</v>
      </c>
      <c r="S14" s="12">
        <v>0</v>
      </c>
      <c r="T14" s="4"/>
      <c r="W14" s="4"/>
    </row>
    <row r="15" spans="1:23" ht="15.75" thickBot="1">
      <c r="C15" s="4"/>
      <c r="D15" s="7"/>
      <c r="E15" s="4"/>
      <c r="F15" s="4"/>
      <c r="R15" s="4"/>
      <c r="S15" s="7"/>
      <c r="T15" s="4"/>
      <c r="U15" s="4"/>
      <c r="V15" s="4"/>
      <c r="W15" s="4"/>
    </row>
    <row r="16" spans="1:23" ht="15.75" thickBot="1">
      <c r="C16" s="113" t="s">
        <v>12</v>
      </c>
      <c r="D16" s="8">
        <v>0</v>
      </c>
      <c r="E16" s="4"/>
      <c r="F16" s="4"/>
      <c r="G16" s="4"/>
      <c r="T16" s="4"/>
      <c r="U16" s="4"/>
      <c r="V16" s="4"/>
      <c r="W16" s="4"/>
    </row>
    <row r="17" spans="2:27">
      <c r="P17" s="4"/>
      <c r="Q17" s="50"/>
      <c r="R17" s="4"/>
      <c r="S17" s="4"/>
      <c r="T17" s="4"/>
      <c r="U17" s="4"/>
      <c r="V17" s="4"/>
      <c r="W17" s="4"/>
    </row>
    <row r="18" spans="2:27" s="2" customFormat="1" ht="28.35" customHeight="1">
      <c r="E18" s="3" t="s">
        <v>37</v>
      </c>
      <c r="P18" s="16"/>
      <c r="Q18" s="51"/>
      <c r="R18" s="16"/>
      <c r="S18" s="16"/>
      <c r="T18" s="3" t="s">
        <v>38</v>
      </c>
      <c r="U18" s="16"/>
      <c r="V18" s="16"/>
      <c r="W18" s="16"/>
    </row>
    <row r="19" spans="2:27" ht="15.75" thickBot="1">
      <c r="P19" s="4"/>
      <c r="Q19" s="50"/>
      <c r="R19" s="4"/>
      <c r="S19" s="4"/>
      <c r="T19" s="4"/>
      <c r="U19" s="4"/>
      <c r="V19" s="4"/>
      <c r="W19" s="4"/>
    </row>
    <row r="20" spans="2:27" ht="15.75" thickBot="1">
      <c r="B20" s="617" t="s">
        <v>21</v>
      </c>
      <c r="C20" s="619"/>
      <c r="D20" s="619"/>
      <c r="E20" s="619"/>
      <c r="F20" s="619"/>
      <c r="G20" s="619"/>
      <c r="H20" s="619"/>
      <c r="I20" s="619"/>
      <c r="J20" s="618"/>
      <c r="L20" s="617" t="s">
        <v>23</v>
      </c>
      <c r="M20" s="618"/>
      <c r="O20" s="617" t="s">
        <v>22</v>
      </c>
      <c r="P20" s="618"/>
      <c r="R20" s="620" t="s">
        <v>39</v>
      </c>
      <c r="S20" s="621"/>
      <c r="T20" s="621"/>
      <c r="U20" s="621"/>
      <c r="V20" s="621"/>
      <c r="W20" s="621"/>
      <c r="X20" s="622"/>
      <c r="Z20" s="615" t="s">
        <v>40</v>
      </c>
      <c r="AA20" s="616"/>
    </row>
    <row r="21" spans="2:27" ht="15.75" thickBot="1">
      <c r="B21" s="117" t="s">
        <v>91</v>
      </c>
      <c r="C21" s="158" t="s">
        <v>14</v>
      </c>
      <c r="D21" s="159" t="s">
        <v>27</v>
      </c>
      <c r="E21" s="158" t="s">
        <v>11</v>
      </c>
      <c r="F21" s="159" t="s">
        <v>3</v>
      </c>
      <c r="G21" s="158" t="s">
        <v>8</v>
      </c>
      <c r="H21" s="159" t="s">
        <v>9</v>
      </c>
      <c r="I21" s="158" t="s">
        <v>10</v>
      </c>
      <c r="J21" s="160" t="s">
        <v>12</v>
      </c>
      <c r="R21" s="117" t="s">
        <v>91</v>
      </c>
      <c r="S21" s="118" t="s">
        <v>14</v>
      </c>
      <c r="T21" s="118" t="s">
        <v>35</v>
      </c>
      <c r="U21" s="119" t="s">
        <v>9</v>
      </c>
      <c r="V21" s="119" t="s">
        <v>10</v>
      </c>
      <c r="W21" s="120" t="s">
        <v>13</v>
      </c>
      <c r="X21" s="120" t="s">
        <v>12</v>
      </c>
    </row>
    <row r="22" spans="2:27" ht="15.75" thickBot="1">
      <c r="B22" s="9">
        <v>1</v>
      </c>
      <c r="C22" s="20" t="s">
        <v>7</v>
      </c>
      <c r="D22" s="20" t="s">
        <v>32</v>
      </c>
      <c r="E22" s="20">
        <v>100</v>
      </c>
      <c r="F22" s="21">
        <v>0.2</v>
      </c>
      <c r="G22" s="21">
        <v>0.02</v>
      </c>
      <c r="H22" s="20">
        <v>100</v>
      </c>
      <c r="I22" s="20">
        <v>1</v>
      </c>
      <c r="J22" s="22">
        <v>0</v>
      </c>
      <c r="L22" s="114" t="s">
        <v>25</v>
      </c>
      <c r="M22" s="5" cm="1">
        <f t="array" aca="1" ref="M22" ca="1">GetBSOptionPortfolioPrice(B22:J26)</f>
        <v>8.9160347480998183</v>
      </c>
      <c r="O22" s="114" t="s">
        <v>25</v>
      </c>
      <c r="P22" s="47" cm="1">
        <f t="array" aca="1" ref="P22" ca="1">GetMCEurOptionPortfolioPrice(B22:J26)</f>
        <v>8.9173400537655034</v>
      </c>
      <c r="R22" s="17">
        <v>1</v>
      </c>
      <c r="S22" s="29" t="s">
        <v>16</v>
      </c>
      <c r="T22" s="29" t="s">
        <v>29</v>
      </c>
      <c r="U22" s="29">
        <v>-100</v>
      </c>
      <c r="V22" s="43">
        <v>44989</v>
      </c>
      <c r="W22" s="32" t="s">
        <v>0</v>
      </c>
      <c r="X22" s="34">
        <v>0</v>
      </c>
      <c r="Z22" s="112" t="s">
        <v>25</v>
      </c>
      <c r="AA22" s="5" t="e" cm="1">
        <f t="array" aca="1" ref="AA22" ca="1">[3]!GetOptionPortfolioPrice(R22:X26)</f>
        <v>#NAME?</v>
      </c>
    </row>
    <row r="23" spans="2:27" ht="15.75" thickBot="1">
      <c r="B23" s="10">
        <v>0</v>
      </c>
      <c r="C23" s="23" t="s">
        <v>7</v>
      </c>
      <c r="D23" s="23" t="s">
        <v>31</v>
      </c>
      <c r="E23" s="23">
        <v>100</v>
      </c>
      <c r="F23" s="24">
        <v>0.2</v>
      </c>
      <c r="G23" s="24">
        <v>0.05</v>
      </c>
      <c r="H23" s="23">
        <v>100</v>
      </c>
      <c r="I23" s="23">
        <v>1</v>
      </c>
      <c r="J23" s="25">
        <v>0</v>
      </c>
      <c r="R23" s="18">
        <v>0</v>
      </c>
      <c r="S23" s="30" t="s">
        <v>20</v>
      </c>
      <c r="T23" s="30" t="s">
        <v>28</v>
      </c>
      <c r="U23" s="30">
        <v>100</v>
      </c>
      <c r="V23" s="44">
        <v>44989</v>
      </c>
      <c r="W23" s="6" t="s">
        <v>2</v>
      </c>
      <c r="X23" s="35">
        <v>0</v>
      </c>
    </row>
    <row r="24" spans="2:27">
      <c r="B24" s="10">
        <v>0</v>
      </c>
      <c r="C24" s="23" t="s">
        <v>7</v>
      </c>
      <c r="D24" s="23" t="s">
        <v>31</v>
      </c>
      <c r="E24" s="23">
        <v>100</v>
      </c>
      <c r="F24" s="24">
        <v>0.2</v>
      </c>
      <c r="G24" s="24">
        <v>0.05</v>
      </c>
      <c r="H24" s="23">
        <v>100</v>
      </c>
      <c r="I24" s="23">
        <v>1</v>
      </c>
      <c r="J24" s="25">
        <v>0</v>
      </c>
      <c r="L24" s="115" t="s">
        <v>4</v>
      </c>
      <c r="M24" s="13" cm="1">
        <f t="array" aca="1" ref="M24" ca="1">GetDeltaOptionPortfolioBS(B22:J26)</f>
        <v>0.57925968462447519</v>
      </c>
      <c r="R24" s="18">
        <v>0</v>
      </c>
      <c r="S24" s="30" t="s">
        <v>16</v>
      </c>
      <c r="T24" s="30" t="s">
        <v>29</v>
      </c>
      <c r="U24" s="30">
        <v>100</v>
      </c>
      <c r="V24" s="44">
        <v>44989</v>
      </c>
      <c r="W24" s="6" t="s">
        <v>0</v>
      </c>
      <c r="X24" s="35">
        <v>0</v>
      </c>
      <c r="Z24" s="115" t="s">
        <v>4</v>
      </c>
      <c r="AA24" s="13" t="e">
        <f t="array" aca="1" ref="AA24" ca="1">[3]!GetDeltaOptionPortfolio(R22:X26)</f>
        <v>#NAME?</v>
      </c>
    </row>
    <row r="25" spans="2:27">
      <c r="B25" s="10">
        <v>0</v>
      </c>
      <c r="C25" s="23" t="s">
        <v>7</v>
      </c>
      <c r="D25" s="23" t="s">
        <v>32</v>
      </c>
      <c r="E25" s="23">
        <v>100</v>
      </c>
      <c r="F25" s="24">
        <v>0.01</v>
      </c>
      <c r="G25" s="24">
        <v>0.97</v>
      </c>
      <c r="H25" s="23">
        <v>100</v>
      </c>
      <c r="I25" s="23">
        <v>3</v>
      </c>
      <c r="J25" s="25">
        <v>0</v>
      </c>
      <c r="L25" s="106" t="s">
        <v>5</v>
      </c>
      <c r="M25" s="14" cm="1">
        <f t="array" aca="1" ref="M25" ca="1">GetGammaOptionPortfolioBS(B22:J26)</f>
        <v>1.9552134698772795E-2</v>
      </c>
      <c r="R25" s="18">
        <v>0</v>
      </c>
      <c r="S25" s="30" t="s">
        <v>20</v>
      </c>
      <c r="T25" s="30" t="s">
        <v>28</v>
      </c>
      <c r="U25" s="30">
        <v>100</v>
      </c>
      <c r="V25" s="44">
        <v>44989</v>
      </c>
      <c r="W25" s="6" t="s">
        <v>2</v>
      </c>
      <c r="X25" s="35">
        <v>0</v>
      </c>
      <c r="Z25" s="106" t="s">
        <v>5</v>
      </c>
      <c r="AA25" s="14" t="e" cm="1">
        <f t="array" aca="1" ref="AA25" ca="1">[3]!GetGammaOptionPortfolio(R22:X26)</f>
        <v>#NAME?</v>
      </c>
    </row>
    <row r="26" spans="2:27" ht="15.75" thickBot="1">
      <c r="B26" s="11">
        <v>0</v>
      </c>
      <c r="C26" s="26" t="s">
        <v>7</v>
      </c>
      <c r="D26" s="26" t="s">
        <v>32</v>
      </c>
      <c r="E26" s="26">
        <v>100</v>
      </c>
      <c r="F26" s="27">
        <v>0.01</v>
      </c>
      <c r="G26" s="27">
        <v>0.97</v>
      </c>
      <c r="H26" s="26">
        <v>100</v>
      </c>
      <c r="I26" s="26">
        <v>1</v>
      </c>
      <c r="J26" s="28">
        <v>0</v>
      </c>
      <c r="L26" s="106" t="s">
        <v>6</v>
      </c>
      <c r="M26" s="14" cm="1">
        <f t="array" aca="1" ref="M26" ca="1">GetThetaOptionPortfolioBS(B22:J26)</f>
        <v>2.9302282654676048</v>
      </c>
      <c r="R26" s="19">
        <v>0</v>
      </c>
      <c r="S26" s="31" t="s">
        <v>16</v>
      </c>
      <c r="T26" s="31" t="s">
        <v>29</v>
      </c>
      <c r="U26" s="31">
        <v>100</v>
      </c>
      <c r="V26" s="45">
        <v>44989</v>
      </c>
      <c r="W26" s="33" t="s">
        <v>0</v>
      </c>
      <c r="X26" s="36">
        <v>0</v>
      </c>
      <c r="Z26" s="106" t="s">
        <v>6</v>
      </c>
      <c r="AA26" s="14" t="e" cm="1">
        <f t="array" aca="1" ref="AA26" ca="1">[3]!GetThetaOptionPortfolio(R22:X26)</f>
        <v>#NAME?</v>
      </c>
    </row>
    <row r="27" spans="2:27" ht="15.75" thickBot="1">
      <c r="L27" s="116" t="s">
        <v>26</v>
      </c>
      <c r="M27" s="15" cm="1">
        <f t="array" aca="1" ref="M27" ca="1">GetVegaOptionPortfolioBS(B22:J26)</f>
        <v>39.104269397545586</v>
      </c>
      <c r="Z27" s="116" t="s">
        <v>26</v>
      </c>
      <c r="AA27" s="15" t="e" cm="1">
        <f t="array" aca="1" ref="AA27" ca="1">[3]!GetVegaOptionPortfolio(R22:X26)</f>
        <v>#NAME?</v>
      </c>
    </row>
  </sheetData>
  <mergeCells count="10">
    <mergeCell ref="C5:D5"/>
    <mergeCell ref="F5:G5"/>
    <mergeCell ref="B20:J20"/>
    <mergeCell ref="R20:X20"/>
    <mergeCell ref="U5:V5"/>
    <mergeCell ref="Z20:AA20"/>
    <mergeCell ref="L20:M20"/>
    <mergeCell ref="O20:P20"/>
    <mergeCell ref="R5:S5"/>
    <mergeCell ref="I5:J5"/>
  </mergeCells>
  <dataValidations count="3">
    <dataValidation allowBlank="1" showDropDown="1" showInputMessage="1" showErrorMessage="1" sqref="D16 S14 D7 S7" xr:uid="{8A9BE13E-5E16-477A-A019-24A7ADD4DD1B}"/>
    <dataValidation type="list" allowBlank="1" showInputMessage="1" showErrorMessage="1" sqref="D8 C22:C26" xr:uid="{426DF4DD-476D-475B-A60B-D95D779F3813}">
      <formula1>optionFlag</formula1>
    </dataValidation>
    <dataValidation type="list" allowBlank="1" showInputMessage="1" showErrorMessage="1" sqref="D9 D22:D26" xr:uid="{F9C2E432-478D-472A-8B3F-1F7782C139EA}">
      <formula1>optionPosition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urrentRegionCalculate">
                <anchor moveWithCells="1" sizeWithCells="1">
                  <from>
                    <xdr:col>8</xdr:col>
                    <xdr:colOff>47625</xdr:colOff>
                    <xdr:row>10</xdr:row>
                    <xdr:rowOff>76200</xdr:rowOff>
                  </from>
                  <to>
                    <xdr:col>10</xdr:col>
                    <xdr:colOff>485775</xdr:colOff>
                    <xdr:row>12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4:Q23"/>
  <sheetViews>
    <sheetView showGridLines="0" topLeftCell="B1" zoomScale="145" zoomScaleNormal="145" workbookViewId="0">
      <selection activeCell="F14" sqref="F14"/>
    </sheetView>
  </sheetViews>
  <sheetFormatPr defaultColWidth="11.42578125" defaultRowHeight="15"/>
  <cols>
    <col min="2" max="2" width="11.85546875" bestFit="1" customWidth="1"/>
    <col min="6" max="17" width="11.140625" customWidth="1"/>
  </cols>
  <sheetData>
    <row r="4" spans="2:17">
      <c r="H4">
        <f ca="1">(J10+L10)/2</f>
        <v>2.6334999999999997E-2</v>
      </c>
    </row>
    <row r="6" spans="2:17" ht="15.75" thickBot="1"/>
    <row r="7" spans="2:17" ht="15.75" thickBot="1">
      <c r="B7" s="109" t="s">
        <v>47</v>
      </c>
      <c r="C7" s="103">
        <f ca="1">Parameter_Date</f>
        <v>45261</v>
      </c>
      <c r="D7" s="110"/>
      <c r="E7" s="111"/>
      <c r="F7" s="623" t="s">
        <v>48</v>
      </c>
      <c r="G7" s="624"/>
      <c r="H7" s="624"/>
      <c r="I7" s="624"/>
      <c r="J7" s="624"/>
      <c r="K7" s="624"/>
      <c r="L7" s="624"/>
      <c r="M7" s="624"/>
      <c r="N7" s="624"/>
      <c r="O7" s="624"/>
      <c r="P7" s="624"/>
      <c r="Q7" s="625"/>
    </row>
    <row r="8" spans="2:17" ht="23.25" thickBot="1">
      <c r="B8" s="128" t="s">
        <v>49</v>
      </c>
      <c r="C8" s="129" t="s">
        <v>50</v>
      </c>
      <c r="D8" s="127" t="s">
        <v>51</v>
      </c>
      <c r="E8" s="128" t="s">
        <v>52</v>
      </c>
      <c r="F8" s="58" t="s">
        <v>610</v>
      </c>
      <c r="G8" s="59" t="s">
        <v>54</v>
      </c>
      <c r="H8" s="59" t="s">
        <v>55</v>
      </c>
      <c r="I8" s="59" t="s">
        <v>56</v>
      </c>
      <c r="J8" s="59" t="s">
        <v>57</v>
      </c>
      <c r="K8" s="59" t="s">
        <v>58</v>
      </c>
      <c r="L8" s="59" t="s">
        <v>59</v>
      </c>
      <c r="M8" s="59" t="s">
        <v>60</v>
      </c>
      <c r="N8" s="59" t="s">
        <v>61</v>
      </c>
      <c r="O8" s="59" t="s">
        <v>62</v>
      </c>
      <c r="P8" s="59" t="s">
        <v>63</v>
      </c>
      <c r="Q8" s="60" t="s">
        <v>64</v>
      </c>
    </row>
    <row r="9" spans="2:17">
      <c r="B9" s="61" t="s">
        <v>65</v>
      </c>
      <c r="C9" s="62" t="s">
        <v>41</v>
      </c>
      <c r="D9" s="62">
        <v>165.5616</v>
      </c>
      <c r="E9" s="63">
        <v>6</v>
      </c>
      <c r="F9" s="64">
        <v>9.7800000000000005E-3</v>
      </c>
      <c r="G9" s="65">
        <v>1.034E-2</v>
      </c>
      <c r="H9" s="65">
        <v>1.1040000000000001E-2</v>
      </c>
      <c r="I9" s="65">
        <v>1.2070000000000001E-2</v>
      </c>
      <c r="J9" s="65">
        <v>1.3089999999999999E-2</v>
      </c>
      <c r="K9" s="65">
        <v>1.41E-2</v>
      </c>
      <c r="L9" s="65">
        <v>1.5089999999999999E-2</v>
      </c>
      <c r="M9" s="65">
        <v>1.6040000000000002E-2</v>
      </c>
      <c r="N9" s="65">
        <v>1.6979999999999999E-2</v>
      </c>
      <c r="O9" s="65">
        <v>1.787E-2</v>
      </c>
      <c r="P9" s="65">
        <v>2.1237499999999999E-2</v>
      </c>
      <c r="Q9" s="66">
        <v>2.3387500000000002E-2</v>
      </c>
    </row>
    <row r="10" spans="2:17">
      <c r="B10" s="67" t="s">
        <v>66</v>
      </c>
      <c r="C10" s="68" t="s">
        <v>42</v>
      </c>
      <c r="D10" s="68">
        <v>1</v>
      </c>
      <c r="E10" s="69">
        <v>12</v>
      </c>
      <c r="F10" s="70">
        <v>3.4180000000000002E-2</v>
      </c>
      <c r="G10" s="71">
        <v>3.039E-2</v>
      </c>
      <c r="H10" s="71">
        <v>2.8570000000000002E-2</v>
      </c>
      <c r="I10" s="71">
        <v>2.7535E-2</v>
      </c>
      <c r="J10" s="71">
        <v>2.6499999999999999E-2</v>
      </c>
      <c r="K10" s="71">
        <v>2.6334999999999997E-2</v>
      </c>
      <c r="L10" s="71">
        <v>2.6169999999999999E-2</v>
      </c>
      <c r="M10" s="71">
        <v>2.6169999999999999E-2</v>
      </c>
      <c r="N10" s="71">
        <v>2.63E-2</v>
      </c>
      <c r="O10" s="71">
        <v>2.6409999999999999E-2</v>
      </c>
      <c r="P10" s="71">
        <v>2.6950000000000002E-2</v>
      </c>
      <c r="Q10" s="72">
        <v>2.6950000000000002E-2</v>
      </c>
    </row>
    <row r="11" spans="2:17" ht="15.75" thickBot="1">
      <c r="B11" s="73" t="s">
        <v>67</v>
      </c>
      <c r="C11" s="74" t="s">
        <v>43</v>
      </c>
      <c r="D11" s="74">
        <v>1.4422999999999999</v>
      </c>
      <c r="E11" s="75">
        <v>12</v>
      </c>
      <c r="F11" s="76">
        <v>4.5525000000000003E-2</v>
      </c>
      <c r="G11" s="77">
        <v>4.4480000000000006E-2</v>
      </c>
      <c r="H11" s="77">
        <v>4.5114999999999995E-2</v>
      </c>
      <c r="I11" s="77">
        <v>4.6085000000000001E-2</v>
      </c>
      <c r="J11" s="77">
        <v>4.7004999999999998E-2</v>
      </c>
      <c r="K11" s="77">
        <v>4.7800000000000002E-2</v>
      </c>
      <c r="L11" s="77">
        <v>4.8494999999999996E-2</v>
      </c>
      <c r="M11" s="77">
        <v>4.9075000000000001E-2</v>
      </c>
      <c r="N11" s="77">
        <v>4.9610000000000001E-2</v>
      </c>
      <c r="O11" s="77">
        <v>5.008E-2</v>
      </c>
      <c r="P11" s="77">
        <v>5.1595000000000002E-2</v>
      </c>
      <c r="Q11" s="78">
        <v>5.2305000000000004E-2</v>
      </c>
    </row>
    <row r="12" spans="2:17" ht="15.75" thickBot="1"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</row>
    <row r="13" spans="2:17" ht="15.75" thickBot="1">
      <c r="B13" s="79"/>
      <c r="C13" s="79"/>
      <c r="D13" s="79"/>
      <c r="E13" s="79"/>
      <c r="F13" s="626" t="s">
        <v>68</v>
      </c>
      <c r="G13" s="627"/>
      <c r="H13" s="627"/>
      <c r="I13" s="627"/>
      <c r="J13" s="627"/>
      <c r="K13" s="627"/>
      <c r="L13" s="627"/>
      <c r="M13" s="627"/>
      <c r="N13" s="627"/>
      <c r="O13" s="627"/>
      <c r="P13" s="627"/>
      <c r="Q13" s="628"/>
    </row>
    <row r="14" spans="2:17">
      <c r="B14" s="80" t="s">
        <v>65</v>
      </c>
      <c r="C14" s="81" t="s">
        <v>69</v>
      </c>
      <c r="D14" s="81" t="s">
        <v>69</v>
      </c>
      <c r="E14" s="124" t="s">
        <v>69</v>
      </c>
      <c r="F14" s="121">
        <f t="array" aca="1" ref="F14:Q14" ca="1">GetStripZC(C7,B9,F9:Q9,$F$8:$Q$8,E9,MATCH(C9,Swap_Convention,0)-1,D9)</f>
        <v>0.99026486554709214</v>
      </c>
      <c r="G14" s="82">
        <f ca="1"/>
        <v>0.97955132951766355</v>
      </c>
      <c r="H14" s="82">
        <f ca="1"/>
        <v>0.96745311120557065</v>
      </c>
      <c r="I14" s="82">
        <f ca="1"/>
        <v>0.9528717060040055</v>
      </c>
      <c r="J14" s="82">
        <f ca="1"/>
        <v>0.93654274821305272</v>
      </c>
      <c r="K14" s="82">
        <f ca="1"/>
        <v>0.91863114161470505</v>
      </c>
      <c r="L14" s="82">
        <f ca="1"/>
        <v>0.89927550630413933</v>
      </c>
      <c r="M14" s="82">
        <f ca="1"/>
        <v>0.87875748181745994</v>
      </c>
      <c r="N14" s="82">
        <f ca="1"/>
        <v>0.85696887813521094</v>
      </c>
      <c r="O14" s="82">
        <f ca="1"/>
        <v>0.83446052711676966</v>
      </c>
      <c r="P14" s="82">
        <f ca="1"/>
        <v>0.72136230718434935</v>
      </c>
      <c r="Q14" s="83">
        <f ca="1"/>
        <v>0.61571362603602431</v>
      </c>
    </row>
    <row r="15" spans="2:17">
      <c r="B15" s="84" t="s">
        <v>66</v>
      </c>
      <c r="C15" s="79" t="s">
        <v>69</v>
      </c>
      <c r="D15" s="79" t="s">
        <v>69</v>
      </c>
      <c r="E15" s="125" t="s">
        <v>69</v>
      </c>
      <c r="F15" s="122">
        <f t="array" aca="1" ref="F15:Q15" ca="1">GetStripZC(C7,B10,F10:Q10,$F$8:$Q$8,E10,MATCH(C10,Swap_Convention,0)-1,D10)</f>
        <v>0.96694965961684576</v>
      </c>
      <c r="G15" s="86">
        <f ca="1"/>
        <v>0.94198739759961247</v>
      </c>
      <c r="H15" s="86">
        <f ca="1"/>
        <v>0.91920011340248742</v>
      </c>
      <c r="I15" s="86">
        <f ca="1"/>
        <v>0.89741686067770965</v>
      </c>
      <c r="J15" s="86">
        <f ca="1"/>
        <v>0.87800565775087214</v>
      </c>
      <c r="K15" s="86">
        <f ca="1"/>
        <v>0.85621678653285538</v>
      </c>
      <c r="L15" s="86">
        <f ca="1"/>
        <v>0.83525893676350116</v>
      </c>
      <c r="M15" s="86">
        <f ca="1"/>
        <v>0.81395766425581839</v>
      </c>
      <c r="N15" s="86">
        <f ca="1"/>
        <v>0.79219865557188807</v>
      </c>
      <c r="O15" s="86">
        <f ca="1"/>
        <v>0.77096823738996856</v>
      </c>
      <c r="P15" s="86">
        <f ca="1"/>
        <v>0.67065808472622623</v>
      </c>
      <c r="Q15" s="87">
        <f ca="1"/>
        <v>0.58715760840680808</v>
      </c>
    </row>
    <row r="16" spans="2:17" ht="15.75" thickBot="1">
      <c r="B16" s="88" t="s">
        <v>67</v>
      </c>
      <c r="C16" s="89" t="s">
        <v>69</v>
      </c>
      <c r="D16" s="89" t="s">
        <v>69</v>
      </c>
      <c r="E16" s="126" t="s">
        <v>69</v>
      </c>
      <c r="F16" s="123">
        <f t="array" aca="1" ref="F16:Q16" ca="1">GetStripZC(C7,B11,F11:Q11,$F$8:$Q$8,E11,MATCH(C11,Swap_Convention,0)-1,D11)</f>
        <v>0.95576366713024452</v>
      </c>
      <c r="G16" s="90">
        <f ca="1"/>
        <v>0.91549240713546298</v>
      </c>
      <c r="H16" s="90">
        <f ca="1"/>
        <v>0.87429435475494</v>
      </c>
      <c r="I16" s="90">
        <f ca="1"/>
        <v>0.83268438327554051</v>
      </c>
      <c r="J16" s="90">
        <f ca="1"/>
        <v>0.79151882707073262</v>
      </c>
      <c r="K16" s="90">
        <f ca="1"/>
        <v>0.75156883361098881</v>
      </c>
      <c r="L16" s="90">
        <f ca="1"/>
        <v>0.71290426137381979</v>
      </c>
      <c r="M16" s="90">
        <f ca="1"/>
        <v>0.67584296803214672</v>
      </c>
      <c r="N16" s="90">
        <f ca="1"/>
        <v>0.64002813667522718</v>
      </c>
      <c r="O16" s="90">
        <f ca="1"/>
        <v>0.6058551841799954</v>
      </c>
      <c r="P16" s="90">
        <f ca="1"/>
        <v>0.45924837428882676</v>
      </c>
      <c r="Q16" s="91">
        <f ca="1"/>
        <v>0.34827904778688729</v>
      </c>
    </row>
    <row r="17" spans="2:17" ht="15.75" thickBot="1"/>
    <row r="18" spans="2:17" ht="15.75" thickBot="1">
      <c r="B18" s="128" t="s">
        <v>671</v>
      </c>
      <c r="C18" s="42" cm="1">
        <f t="array" aca="1" ref="C18" ca="1">GetStoreCurve(B21:B23,C21:C23,D21:D23,E21:E23,F21:F23,H21:O23,H20:O20,G21:G23)</f>
        <v>0</v>
      </c>
    </row>
    <row r="19" spans="2:17" ht="15.75" thickBot="1">
      <c r="B19" s="128" t="s">
        <v>656</v>
      </c>
      <c r="C19" s="551"/>
      <c r="D19" s="101"/>
      <c r="E19" s="101"/>
      <c r="F19" s="101"/>
      <c r="G19" s="102"/>
      <c r="H19" s="623" t="s">
        <v>48</v>
      </c>
      <c r="I19" s="624"/>
      <c r="J19" s="624"/>
      <c r="K19" s="624"/>
      <c r="L19" s="624"/>
      <c r="M19" s="624"/>
      <c r="N19" s="624"/>
      <c r="O19" s="625"/>
    </row>
    <row r="20" spans="2:17" ht="23.25" thickBot="1">
      <c r="B20" s="128" t="s">
        <v>49</v>
      </c>
      <c r="C20" s="552" t="s">
        <v>50</v>
      </c>
      <c r="D20" s="552" t="s">
        <v>51</v>
      </c>
      <c r="E20" s="552" t="s">
        <v>52</v>
      </c>
      <c r="F20" s="128" t="s">
        <v>657</v>
      </c>
      <c r="G20" s="553" t="s">
        <v>658</v>
      </c>
      <c r="H20" s="58" t="s">
        <v>610</v>
      </c>
      <c r="I20" s="59" t="s">
        <v>54</v>
      </c>
      <c r="J20" s="59" t="s">
        <v>55</v>
      </c>
      <c r="K20" s="59" t="s">
        <v>57</v>
      </c>
      <c r="L20" s="59" t="s">
        <v>59</v>
      </c>
      <c r="M20" s="59" t="s">
        <v>62</v>
      </c>
      <c r="N20" s="59" t="s">
        <v>63</v>
      </c>
      <c r="O20" s="335" t="s">
        <v>608</v>
      </c>
    </row>
    <row r="21" spans="2:17">
      <c r="B21" s="61" t="s">
        <v>66</v>
      </c>
      <c r="C21" s="549" t="s">
        <v>42</v>
      </c>
      <c r="D21" s="549">
        <v>1</v>
      </c>
      <c r="E21" s="549">
        <v>6</v>
      </c>
      <c r="F21" s="549" t="s">
        <v>662</v>
      </c>
      <c r="G21" s="63" t="s">
        <v>659</v>
      </c>
      <c r="H21" s="555">
        <v>3.4180000000000002E-2</v>
      </c>
      <c r="I21" s="556">
        <v>3.039E-2</v>
      </c>
      <c r="J21" s="556">
        <v>2.8570000000000002E-2</v>
      </c>
      <c r="K21" s="556">
        <v>2.708E-2</v>
      </c>
      <c r="L21" s="556">
        <v>2.665E-2</v>
      </c>
      <c r="M21" s="556">
        <v>2.6720000000000001E-2</v>
      </c>
      <c r="N21" s="556">
        <v>2.7040000000000002E-2</v>
      </c>
      <c r="O21" s="557">
        <v>2.436E-2</v>
      </c>
      <c r="P21" s="548"/>
      <c r="Q21" s="548"/>
    </row>
    <row r="22" spans="2:17">
      <c r="B22" s="67" t="s">
        <v>66</v>
      </c>
      <c r="C22" s="550" t="s">
        <v>42</v>
      </c>
      <c r="D22" s="550">
        <v>1</v>
      </c>
      <c r="E22" s="550">
        <v>3</v>
      </c>
      <c r="F22" s="550" t="s">
        <v>663</v>
      </c>
      <c r="G22" s="69" t="s">
        <v>659</v>
      </c>
      <c r="H22" s="558">
        <v>3.3070000000000002E-2</v>
      </c>
      <c r="I22" s="559">
        <v>2.955E-2</v>
      </c>
      <c r="J22" s="559">
        <v>2.784E-2</v>
      </c>
      <c r="K22" s="559">
        <v>2.6499999999999999E-2</v>
      </c>
      <c r="L22" s="559">
        <v>2.6169999999999999E-2</v>
      </c>
      <c r="M22" s="559">
        <v>2.6409999999999999E-2</v>
      </c>
      <c r="N22" s="559">
        <v>2.6950000000000002E-2</v>
      </c>
      <c r="O22" s="560">
        <v>2.4729999999999999E-2</v>
      </c>
      <c r="P22" s="548"/>
      <c r="Q22" s="548"/>
    </row>
    <row r="23" spans="2:17" ht="15.75" thickBot="1">
      <c r="B23" s="73" t="s">
        <v>67</v>
      </c>
      <c r="C23" s="554" t="s">
        <v>43</v>
      </c>
      <c r="D23" s="554">
        <v>1.0865</v>
      </c>
      <c r="E23" s="554">
        <v>1</v>
      </c>
      <c r="F23" s="554" t="s">
        <v>661</v>
      </c>
      <c r="G23" s="75" t="s">
        <v>660</v>
      </c>
      <c r="H23" s="561">
        <v>4.7559999999999998E-2</v>
      </c>
      <c r="I23" s="562">
        <v>4.2529999999999998E-2</v>
      </c>
      <c r="J23" s="562">
        <v>3.9980000000000002E-2</v>
      </c>
      <c r="K23" s="562">
        <v>3.7789999999999997E-2</v>
      </c>
      <c r="L23" s="562">
        <v>3.7139999999999999E-2</v>
      </c>
      <c r="M23" s="562">
        <v>3.6999999999999998E-2</v>
      </c>
      <c r="N23" s="562">
        <v>3.7330000000000002E-2</v>
      </c>
      <c r="O23" s="563">
        <v>3.5560000000000001E-2</v>
      </c>
    </row>
  </sheetData>
  <mergeCells count="3">
    <mergeCell ref="H19:O19"/>
    <mergeCell ref="F13:Q13"/>
    <mergeCell ref="F7:Q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trippingIRSPricing">
                <anchor moveWithCells="1" sizeWithCells="1">
                  <from>
                    <xdr:col>0</xdr:col>
                    <xdr:colOff>790575</xdr:colOff>
                    <xdr:row>3</xdr:row>
                    <xdr:rowOff>19050</xdr:rowOff>
                  </from>
                  <to>
                    <xdr:col>5</xdr:col>
                    <xdr:colOff>28575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4B6E0-72E1-4DD1-871B-2A40FF7CFE64}">
  <sheetPr codeName="Feuil5"/>
  <dimension ref="A1:BA467"/>
  <sheetViews>
    <sheetView showGridLines="0" zoomScale="115" zoomScaleNormal="115" workbookViewId="0">
      <selection activeCell="N12" sqref="N12"/>
    </sheetView>
  </sheetViews>
  <sheetFormatPr defaultColWidth="11.42578125" defaultRowHeight="15"/>
  <cols>
    <col min="2" max="2" width="30.42578125" bestFit="1" customWidth="1"/>
    <col min="5" max="9" width="9.42578125" customWidth="1"/>
    <col min="10" max="10" width="11.28515625" customWidth="1"/>
    <col min="11" max="13" width="9.42578125" customWidth="1"/>
    <col min="14" max="31" width="8.42578125" customWidth="1"/>
    <col min="33" max="33" width="14.5703125" customWidth="1"/>
    <col min="34" max="34" width="13.28515625" bestFit="1" customWidth="1"/>
    <col min="35" max="35" width="15.85546875" bestFit="1" customWidth="1"/>
  </cols>
  <sheetData>
    <row r="1" spans="1:50" ht="15.75" thickBot="1">
      <c r="C1" t="str" cm="1">
        <f t="array" aca="1" ref="C1" ca="1">IF(OR(B12="",NOT($J$7)),"",StripDefaultProbability(A12,B12,Parameter_Date,CDSRollDate,E12:M12,SpreadCurveMaturities,D12,C12))</f>
        <v/>
      </c>
    </row>
    <row r="2" spans="1:50" ht="15.75" thickBot="1">
      <c r="G2" s="623" t="s">
        <v>72</v>
      </c>
      <c r="H2" s="624"/>
      <c r="I2" s="624"/>
      <c r="J2" s="144" t="b">
        <v>1</v>
      </c>
    </row>
    <row r="3" spans="1:50" ht="15.75" thickBot="1">
      <c r="C3">
        <f ca="1">GetCDSRefDate(Parameter_Date,C6)</f>
        <v>45555</v>
      </c>
      <c r="J3" s="99"/>
    </row>
    <row r="4" spans="1:50" ht="15.75" thickBot="1">
      <c r="G4" s="623" t="s">
        <v>73</v>
      </c>
      <c r="H4" s="624"/>
      <c r="I4" s="625"/>
      <c r="J4" s="140" t="b">
        <v>0</v>
      </c>
    </row>
    <row r="5" spans="1:50" ht="16.350000000000001" customHeight="1" thickBot="1">
      <c r="J5" s="99"/>
    </row>
    <row r="6" spans="1:50" s="79" customFormat="1" ht="15.6" customHeight="1" thickBot="1">
      <c r="B6" s="145" t="s">
        <v>70</v>
      </c>
      <c r="C6" s="632" t="b">
        <v>1</v>
      </c>
      <c r="D6" s="633"/>
      <c r="E6" s="85"/>
      <c r="F6" s="85"/>
      <c r="G6" s="623" t="s">
        <v>74</v>
      </c>
      <c r="H6" s="624"/>
      <c r="I6" s="625"/>
      <c r="J6" s="140" t="s">
        <v>422</v>
      </c>
      <c r="K6" s="85"/>
      <c r="L6" s="93"/>
      <c r="M6" s="437"/>
      <c r="N6" s="268"/>
      <c r="O6" s="268"/>
      <c r="P6" s="268"/>
      <c r="Q6" s="268"/>
      <c r="R6" s="268"/>
      <c r="S6" s="268"/>
      <c r="T6" s="268"/>
      <c r="U6" s="268"/>
      <c r="V6" s="268"/>
      <c r="W6" s="268"/>
      <c r="X6" s="268"/>
    </row>
    <row r="7" spans="1:50" s="79" customFormat="1" ht="13.5" customHeight="1" thickBot="1">
      <c r="B7" s="146" t="s">
        <v>71</v>
      </c>
      <c r="C7" s="634">
        <f ca="1">GetCDSRefDate(Parameter_Date,C6)</f>
        <v>45280</v>
      </c>
      <c r="D7" s="635"/>
      <c r="E7" s="85"/>
      <c r="F7" s="85"/>
    </row>
    <row r="8" spans="1:50" s="79" customFormat="1" ht="12" thickBot="1">
      <c r="B8" s="79" t="s">
        <v>75</v>
      </c>
      <c r="E8" s="85"/>
      <c r="F8" s="85"/>
      <c r="G8" s="85"/>
      <c r="H8" s="85"/>
      <c r="I8" s="85"/>
      <c r="J8" s="85"/>
      <c r="K8" s="85"/>
      <c r="L8" s="85"/>
      <c r="M8" s="85"/>
      <c r="N8" s="79" t="s">
        <v>87</v>
      </c>
      <c r="O8" s="79" t="s">
        <v>87</v>
      </c>
      <c r="P8" s="79" t="s">
        <v>87</v>
      </c>
    </row>
    <row r="9" spans="1:50" s="79" customFormat="1" ht="13.5" customHeight="1" thickBot="1">
      <c r="A9" s="148"/>
      <c r="B9" s="148"/>
      <c r="C9" s="148"/>
      <c r="D9" s="147"/>
      <c r="E9" s="623" t="s">
        <v>76</v>
      </c>
      <c r="F9" s="624"/>
      <c r="G9" s="624"/>
      <c r="H9" s="624"/>
      <c r="I9" s="624"/>
      <c r="J9" s="624"/>
      <c r="K9" s="624"/>
      <c r="L9" s="624"/>
      <c r="M9" s="625"/>
      <c r="N9" s="629" t="s">
        <v>77</v>
      </c>
      <c r="O9" s="630"/>
      <c r="P9" s="630"/>
      <c r="Q9" s="630"/>
      <c r="R9" s="630"/>
      <c r="S9" s="630"/>
      <c r="T9" s="630"/>
      <c r="U9" s="630"/>
      <c r="V9" s="631"/>
      <c r="W9" s="629" t="s">
        <v>78</v>
      </c>
      <c r="X9" s="630"/>
      <c r="Y9" s="630"/>
      <c r="Z9" s="630"/>
      <c r="AA9" s="630"/>
      <c r="AB9" s="630"/>
      <c r="AC9" s="630"/>
      <c r="AD9" s="630"/>
      <c r="AE9" s="631"/>
    </row>
    <row r="10" spans="1:50" s="79" customFormat="1" ht="15" customHeight="1" thickBot="1">
      <c r="A10" s="179" t="s">
        <v>79</v>
      </c>
      <c r="B10" s="184" t="s">
        <v>80</v>
      </c>
      <c r="C10" s="183" t="s">
        <v>81</v>
      </c>
      <c r="D10" s="179" t="s">
        <v>82</v>
      </c>
      <c r="E10" s="110" t="s">
        <v>83</v>
      </c>
      <c r="F10" s="153" t="s">
        <v>84</v>
      </c>
      <c r="G10" s="153" t="s">
        <v>53</v>
      </c>
      <c r="H10" s="153" t="s">
        <v>54</v>
      </c>
      <c r="I10" s="153" t="s">
        <v>55</v>
      </c>
      <c r="J10" s="153" t="s">
        <v>56</v>
      </c>
      <c r="K10" s="153" t="s">
        <v>57</v>
      </c>
      <c r="L10" s="153" t="s">
        <v>59</v>
      </c>
      <c r="M10" s="111" t="s">
        <v>62</v>
      </c>
      <c r="N10" s="185" t="str">
        <f t="shared" ref="N10:V10" ca="1" si="0">IF(E10="","",E10)</f>
        <v>3M</v>
      </c>
      <c r="O10" s="163" t="str">
        <f t="shared" ca="1" si="0"/>
        <v>6M</v>
      </c>
      <c r="P10" s="163" t="str">
        <f t="shared" ca="1" si="0"/>
        <v>1Y</v>
      </c>
      <c r="Q10" s="163" t="str">
        <f t="shared" ca="1" si="0"/>
        <v>2Y</v>
      </c>
      <c r="R10" s="163" t="str">
        <f t="shared" ca="1" si="0"/>
        <v>3Y</v>
      </c>
      <c r="S10" s="163" t="str">
        <f t="shared" ca="1" si="0"/>
        <v>4Y</v>
      </c>
      <c r="T10" s="163" t="str">
        <f t="shared" ca="1" si="0"/>
        <v>5Y</v>
      </c>
      <c r="U10" s="163" t="str">
        <f t="shared" ca="1" si="0"/>
        <v>7Y</v>
      </c>
      <c r="V10" s="163" t="str">
        <f t="shared" ca="1" si="0"/>
        <v>10Y</v>
      </c>
      <c r="W10" s="185" t="str">
        <f t="shared" ref="W10:AE10" ca="1" si="1">IF(E10="","",E10)</f>
        <v>3M</v>
      </c>
      <c r="X10" s="163" t="str">
        <f t="shared" ca="1" si="1"/>
        <v>6M</v>
      </c>
      <c r="Y10" s="163" t="str">
        <f t="shared" ca="1" si="1"/>
        <v>1Y</v>
      </c>
      <c r="Z10" s="163" t="str">
        <f t="shared" ca="1" si="1"/>
        <v>2Y</v>
      </c>
      <c r="AA10" s="163" t="str">
        <f t="shared" ca="1" si="1"/>
        <v>3Y</v>
      </c>
      <c r="AB10" s="163" t="str">
        <f t="shared" ca="1" si="1"/>
        <v>4Y</v>
      </c>
      <c r="AC10" s="163" t="str">
        <f t="shared" ca="1" si="1"/>
        <v>5Y</v>
      </c>
      <c r="AD10" s="163" t="str">
        <f t="shared" ca="1" si="1"/>
        <v>7Y</v>
      </c>
      <c r="AE10" s="164" t="str">
        <f t="shared" ca="1" si="1"/>
        <v>10Y</v>
      </c>
    </row>
    <row r="11" spans="1:50" s="79" customFormat="1" ht="15" customHeight="1" thickBot="1">
      <c r="A11" s="181"/>
      <c r="B11" s="182"/>
      <c r="C11" s="180" t="s">
        <v>85</v>
      </c>
      <c r="D11" s="183"/>
      <c r="E11" s="151" cm="1">
        <f t="array" aca="1" ref="E11" ca="1">IF(E10="","",GetConvertDate(CDSRollDate,E10))</f>
        <v>45371</v>
      </c>
      <c r="F11" s="151" cm="1">
        <f t="array" aca="1" ref="F11" ca="1">IF(F10="","",GetConvertDate(CDSRollDate,F10))</f>
        <v>45463</v>
      </c>
      <c r="G11" s="151" cm="1">
        <f t="array" aca="1" ref="G11" ca="1">IF(G10="","",GetConvertDate(CDSRollDate,G10))</f>
        <v>45646</v>
      </c>
      <c r="H11" s="151" cm="1">
        <f t="array" aca="1" ref="H11" ca="1">IF(H10="","",GetConvertDate(CDSRollDate,H10))</f>
        <v>46011</v>
      </c>
      <c r="I11" s="151" cm="1">
        <f t="array" aca="1" ref="I11" ca="1">IF(I10="","",GetConvertDate(CDSRollDate,I10))</f>
        <v>46376</v>
      </c>
      <c r="J11" s="151" cm="1">
        <f t="array" aca="1" ref="J11" ca="1">IF(J10="","",GetConvertDate(CDSRollDate,J10))</f>
        <v>46741</v>
      </c>
      <c r="K11" s="151" cm="1">
        <f t="array" aca="1" ref="K11" ca="1">IF(K10="","",GetConvertDate(CDSRollDate,K10))</f>
        <v>47107</v>
      </c>
      <c r="L11" s="151" cm="1">
        <f t="array" aca="1" ref="L11" ca="1">IF(L10="","",GetConvertDate(CDSRollDate,L10))</f>
        <v>47837</v>
      </c>
      <c r="M11" s="459" cm="1">
        <f t="array" aca="1" ref="M11" ca="1">IF(M10="","",GetConvertDate(CDSRollDate,M10))</f>
        <v>48933</v>
      </c>
      <c r="N11" s="150"/>
      <c r="O11" s="150"/>
      <c r="P11" s="150"/>
      <c r="Q11" s="150"/>
      <c r="R11" s="150"/>
      <c r="S11" s="150"/>
      <c r="T11" s="150"/>
      <c r="U11" s="150"/>
      <c r="V11" s="150"/>
      <c r="W11" s="149"/>
      <c r="X11" s="150"/>
      <c r="Y11" s="150"/>
      <c r="Z11" s="150"/>
      <c r="AA11" s="150"/>
      <c r="AB11" s="150"/>
      <c r="AC11" s="150"/>
      <c r="AD11" s="150"/>
      <c r="AE11" s="152"/>
    </row>
    <row r="12" spans="1:50" s="79" customFormat="1" ht="11.25">
      <c r="A12" s="94">
        <v>1</v>
      </c>
      <c r="B12" s="62" t="s">
        <v>86</v>
      </c>
      <c r="C12" s="95">
        <v>0.4</v>
      </c>
      <c r="D12" s="63" t="s">
        <v>66</v>
      </c>
      <c r="E12" s="130"/>
      <c r="F12" s="131">
        <v>1.33E-3</v>
      </c>
      <c r="G12" s="131">
        <v>2E-3</v>
      </c>
      <c r="H12" s="131">
        <v>2.5999999999999999E-3</v>
      </c>
      <c r="I12" s="131">
        <v>3.2599999999999999E-3</v>
      </c>
      <c r="J12" s="131"/>
      <c r="K12" s="131">
        <v>4.0000000000000001E-3</v>
      </c>
      <c r="L12" s="131">
        <v>4.4000000000000003E-3</v>
      </c>
      <c r="M12" s="131">
        <v>4.7999999999999996E-3</v>
      </c>
      <c r="N12" s="132">
        <f t="array" aca="1" ref="N12:AE12" ca="1">IF(OR(B12="",NOT($J$2)),"",GetStripDefaultProbability(A12,B12,Parameter_Date,CDSRollDate,E12:M12,SpreadCurveMaturities,D12,C12,$J$4,$J$6))</f>
        <v>0</v>
      </c>
      <c r="O12" s="213">
        <f ca="1"/>
        <v>1.2365688732540736E-3</v>
      </c>
      <c r="P12" s="133">
        <f ca="1"/>
        <v>3.5519348620060009E-3</v>
      </c>
      <c r="Q12" s="133">
        <f ca="1"/>
        <v>8.9946889074786762E-3</v>
      </c>
      <c r="R12" s="133">
        <f ca="1"/>
        <v>1.6786169750402591E-2</v>
      </c>
      <c r="S12" s="133">
        <f ca="1"/>
        <v>0</v>
      </c>
      <c r="T12" s="133">
        <f ca="1"/>
        <v>3.3801824519934853E-2</v>
      </c>
      <c r="U12" s="133">
        <f ca="1"/>
        <v>5.1625442812002764E-2</v>
      </c>
      <c r="V12" s="134">
        <f ca="1"/>
        <v>7.9599151883365526E-2</v>
      </c>
      <c r="W12" s="132">
        <f ca="1"/>
        <v>0</v>
      </c>
      <c r="X12" s="133">
        <f ca="1"/>
        <v>1.3294795538730808E-3</v>
      </c>
      <c r="Y12" s="133">
        <f ca="1"/>
        <v>3.7179957007343889E-3</v>
      </c>
      <c r="Z12" s="133">
        <f ca="1"/>
        <v>9.3249689614605114E-3</v>
      </c>
      <c r="AA12" s="133">
        <f ca="1"/>
        <v>1.7277653784280811E-2</v>
      </c>
      <c r="AB12" s="133">
        <f ca="1"/>
        <v>0</v>
      </c>
      <c r="AC12" s="133">
        <f ca="1"/>
        <v>3.4626912238846508E-2</v>
      </c>
      <c r="AD12" s="133">
        <f ca="1"/>
        <v>5.2760360251138061E-2</v>
      </c>
      <c r="AE12" s="134">
        <f ca="1"/>
        <v>8.1177289414114173E-2</v>
      </c>
      <c r="AG12" s="452"/>
      <c r="AH12" s="456"/>
      <c r="AI12" s="455"/>
      <c r="AJ12" s="457"/>
      <c r="AK12" s="135"/>
      <c r="AL12" s="135"/>
      <c r="AM12" s="135"/>
      <c r="AN12" s="135"/>
      <c r="AO12" s="135"/>
      <c r="AQ12" s="135"/>
      <c r="AR12" s="135"/>
      <c r="AS12" s="135"/>
      <c r="AT12" s="135"/>
      <c r="AV12" s="135"/>
      <c r="AW12" s="135"/>
      <c r="AX12" s="135"/>
    </row>
    <row r="13" spans="1:50" s="79" customFormat="1" ht="11.25">
      <c r="A13" s="96">
        <v>2</v>
      </c>
      <c r="B13" s="68" t="s">
        <v>88</v>
      </c>
      <c r="C13" s="97">
        <v>0.4</v>
      </c>
      <c r="D13" s="69" t="s">
        <v>66</v>
      </c>
      <c r="E13" s="136" t="s">
        <v>87</v>
      </c>
      <c r="F13" s="154">
        <v>8.0000000000000004E-4</v>
      </c>
      <c r="G13" s="154">
        <v>1.1000000000000001E-3</v>
      </c>
      <c r="H13" s="154">
        <v>1.6000000000000001E-3</v>
      </c>
      <c r="I13" s="154">
        <v>2.3E-3</v>
      </c>
      <c r="J13" s="154" t="s">
        <v>87</v>
      </c>
      <c r="K13" s="154">
        <v>3.5999999999999999E-3</v>
      </c>
      <c r="L13" s="154">
        <v>4.3E-3</v>
      </c>
      <c r="M13" s="154">
        <v>5.3E-3</v>
      </c>
      <c r="N13" s="137">
        <f t="array" aca="1" ref="N13:AE13" ca="1">IF(OR(B13="",NOT($J$2)),"",GetStripDefaultProbability(A13,B13,Parameter_Date,CDSRollDate,E13:M13,SpreadCurveMaturities,D13,C13,$J$4,$J$6))</f>
        <v>0</v>
      </c>
      <c r="O13" s="155">
        <f ca="1"/>
        <v>7.4398417212018231E-4</v>
      </c>
      <c r="P13" s="155">
        <f ca="1"/>
        <v>1.9536571421092663E-3</v>
      </c>
      <c r="Q13" s="155">
        <f ca="1"/>
        <v>5.5491142120741577E-3</v>
      </c>
      <c r="R13" s="155">
        <f ca="1"/>
        <v>1.1906831285856789E-2</v>
      </c>
      <c r="S13" s="155">
        <f ca="1"/>
        <v>0</v>
      </c>
      <c r="T13" s="155">
        <f ca="1"/>
        <v>3.0552950865910478E-2</v>
      </c>
      <c r="U13" s="155">
        <f ca="1"/>
        <v>5.0693050958994346E-2</v>
      </c>
      <c r="V13" s="138">
        <f ca="1"/>
        <v>8.8103448751784219E-2</v>
      </c>
      <c r="W13" s="137">
        <f ca="1"/>
        <v>0</v>
      </c>
      <c r="X13" s="155">
        <f ca="1"/>
        <v>8.3694231015207787E-4</v>
      </c>
      <c r="Y13" s="155">
        <f ca="1"/>
        <v>2.1199843382578853E-3</v>
      </c>
      <c r="Z13" s="155">
        <f ca="1"/>
        <v>5.8805425995489546E-3</v>
      </c>
      <c r="AA13" s="155">
        <f ca="1"/>
        <v>1.2400754379166434E-2</v>
      </c>
      <c r="AB13" s="155">
        <f ca="1"/>
        <v>0</v>
      </c>
      <c r="AC13" s="155">
        <f ca="1"/>
        <v>3.1381728780026319E-2</v>
      </c>
      <c r="AD13" s="155">
        <f ca="1"/>
        <v>5.1831342310829975E-2</v>
      </c>
      <c r="AE13" s="138">
        <f ca="1"/>
        <v>8.9670770376371056E-2</v>
      </c>
      <c r="AG13" s="453"/>
      <c r="AH13" s="456"/>
      <c r="AI13" s="455"/>
      <c r="AJ13" s="457"/>
      <c r="AK13" s="135"/>
      <c r="AL13" s="135"/>
      <c r="AM13" s="135"/>
      <c r="AN13" s="135"/>
      <c r="AO13" s="135"/>
      <c r="AQ13" s="135"/>
      <c r="AR13" s="135"/>
      <c r="AS13" s="135"/>
      <c r="AT13" s="135"/>
      <c r="AV13" s="135"/>
      <c r="AW13" s="135"/>
      <c r="AX13" s="135"/>
    </row>
    <row r="14" spans="1:50" s="79" customFormat="1" ht="11.25">
      <c r="A14" s="96">
        <f t="shared" ref="A14:A77" ca="1" si="2">IF(B14="","",A13+1)</f>
        <v>3</v>
      </c>
      <c r="B14" s="68" t="s">
        <v>89</v>
      </c>
      <c r="C14" s="97">
        <v>0.4</v>
      </c>
      <c r="D14" s="69" t="s">
        <v>66</v>
      </c>
      <c r="E14" s="136" t="s">
        <v>87</v>
      </c>
      <c r="F14" s="154">
        <v>5.9999999999999995E-4</v>
      </c>
      <c r="G14" s="154">
        <v>1E-3</v>
      </c>
      <c r="H14" s="154">
        <v>1.8E-3</v>
      </c>
      <c r="I14" s="154">
        <v>2.7000000000000001E-3</v>
      </c>
      <c r="J14" s="154" t="s">
        <v>87</v>
      </c>
      <c r="K14" s="154">
        <v>4.0000000000000001E-3</v>
      </c>
      <c r="L14" s="154">
        <v>5.1000000000000004E-3</v>
      </c>
      <c r="M14" s="154">
        <v>6.1999999999999998E-3</v>
      </c>
      <c r="N14" s="137">
        <f t="array" aca="1" ref="N14:AE14" ca="1">IF(OR(B14="",NOT($J$2)),"",GetStripDefaultProbability(A14,B14,Parameter_Date,CDSRollDate,E14:M14,SpreadCurveMaturities,D14,C14,$J$4,$J$6))</f>
        <v>0</v>
      </c>
      <c r="O14" s="155">
        <f ca="1"/>
        <v>5.5804003710946404E-4</v>
      </c>
      <c r="P14" s="155">
        <f ca="1"/>
        <v>1.7783909212492066E-3</v>
      </c>
      <c r="Q14" s="155">
        <f ca="1"/>
        <v>6.2564960805897574E-3</v>
      </c>
      <c r="R14" s="155">
        <f ca="1"/>
        <v>1.3994507536098322E-2</v>
      </c>
      <c r="S14" s="155">
        <f ca="1"/>
        <v>0</v>
      </c>
      <c r="T14" s="155">
        <f ca="1"/>
        <v>3.3926458783690383E-2</v>
      </c>
      <c r="U14" s="155">
        <f ca="1"/>
        <v>6.0031067050420162E-2</v>
      </c>
      <c r="V14" s="138">
        <f ca="1"/>
        <v>0.10255747827626183</v>
      </c>
      <c r="W14" s="137">
        <f ca="1"/>
        <v>0</v>
      </c>
      <c r="X14" s="155">
        <f ca="1"/>
        <v>6.5101587709581743E-4</v>
      </c>
      <c r="Y14" s="155">
        <f ca="1"/>
        <v>1.9447473260030268E-3</v>
      </c>
      <c r="Z14" s="155">
        <f ca="1"/>
        <v>6.587688713394324E-3</v>
      </c>
      <c r="AA14" s="155">
        <f ca="1"/>
        <v>1.4487387052165679E-2</v>
      </c>
      <c r="AB14" s="155">
        <f ca="1"/>
        <v>0</v>
      </c>
      <c r="AC14" s="155">
        <f ca="1"/>
        <v>3.4752370618771011E-2</v>
      </c>
      <c r="AD14" s="155">
        <f ca="1"/>
        <v>6.1158893916909873E-2</v>
      </c>
      <c r="AE14" s="138">
        <f ca="1"/>
        <v>0.10409940405358531</v>
      </c>
      <c r="AG14" s="454"/>
      <c r="AH14" s="456"/>
      <c r="AI14" s="455"/>
      <c r="AJ14" s="457"/>
      <c r="AK14" s="135"/>
      <c r="AM14" s="135"/>
      <c r="AN14" s="135"/>
      <c r="AO14" s="135"/>
      <c r="AQ14" s="135"/>
      <c r="AR14" s="135"/>
      <c r="AS14" s="135"/>
      <c r="AT14" s="135"/>
      <c r="AV14" s="135"/>
      <c r="AW14" s="135"/>
      <c r="AX14" s="135"/>
    </row>
    <row r="15" spans="1:50" s="79" customFormat="1" ht="11.25">
      <c r="A15" s="96">
        <f t="shared" ca="1" si="2"/>
        <v>4</v>
      </c>
      <c r="B15" s="68" t="s">
        <v>90</v>
      </c>
      <c r="C15" s="97">
        <v>0.4</v>
      </c>
      <c r="D15" s="69" t="s">
        <v>66</v>
      </c>
      <c r="E15" s="136" t="s">
        <v>87</v>
      </c>
      <c r="F15" s="154">
        <v>1.2600000000000001E-3</v>
      </c>
      <c r="G15" s="154">
        <v>1.7700000000000001E-3</v>
      </c>
      <c r="H15" s="154">
        <v>2.3999999999999998E-3</v>
      </c>
      <c r="I15" s="154">
        <v>2.9099999999999998E-3</v>
      </c>
      <c r="J15" s="154" t="s">
        <v>87</v>
      </c>
      <c r="K15" s="154">
        <v>3.8E-3</v>
      </c>
      <c r="L15" s="154">
        <v>4.2599999999999999E-3</v>
      </c>
      <c r="M15" s="154">
        <v>4.5999999999999999E-3</v>
      </c>
      <c r="N15" s="137" cm="1">
        <f t="array" aca="1" ref="N15:AE15" ca="1">IF(OR(B15="",NOT($J$2)),"",GetStripDefaultProbability(A15,B15,Parameter_Date,CDSRollDate,E15:M15,SpreadCurveMaturities,D15,C15,$J$4,$J$6))</f>
        <v>0</v>
      </c>
      <c r="O15" s="155">
        <f ca="1"/>
        <v>1.1715244322775265E-3</v>
      </c>
      <c r="P15" s="155">
        <f ca="1"/>
        <v>3.1425019700190848E-3</v>
      </c>
      <c r="Q15" s="155">
        <f ca="1"/>
        <v>8.3079613296177524E-3</v>
      </c>
      <c r="R15" s="155">
        <f ca="1"/>
        <v>1.4985752391338591E-2</v>
      </c>
      <c r="S15" s="155">
        <f ca="1"/>
        <v>0</v>
      </c>
      <c r="T15" s="155">
        <f ca="1"/>
        <v>3.213916832813235E-2</v>
      </c>
      <c r="U15" s="155">
        <f ca="1"/>
        <v>5.0051976914773366E-2</v>
      </c>
      <c r="V15" s="138">
        <f ca="1"/>
        <v>7.6409619566409681E-2</v>
      </c>
      <c r="W15" s="137">
        <f ca="1"/>
        <v>0</v>
      </c>
      <c r="X15" s="155">
        <f ca="1"/>
        <v>1.2644414277479532E-3</v>
      </c>
      <c r="Y15" s="155">
        <f ca="1"/>
        <v>3.3086310418813936E-3</v>
      </c>
      <c r="Z15" s="155">
        <f ca="1"/>
        <v>8.6384702546261627E-3</v>
      </c>
      <c r="AA15" s="155">
        <f ca="1"/>
        <v>1.547813640886575E-2</v>
      </c>
      <c r="AB15" s="155">
        <f ca="1"/>
        <v>0</v>
      </c>
      <c r="AC15" s="155">
        <f ca="1"/>
        <v>3.2965843136116835E-2</v>
      </c>
      <c r="AD15" s="155">
        <f ca="1"/>
        <v>5.1189253266679335E-2</v>
      </c>
      <c r="AE15" s="138">
        <f ca="1"/>
        <v>7.7993812147980734E-2</v>
      </c>
      <c r="AG15" s="454"/>
      <c r="AH15" s="456"/>
      <c r="AI15" s="455"/>
      <c r="AJ15" s="457"/>
      <c r="AK15" s="135"/>
      <c r="AL15" s="139"/>
      <c r="AM15" s="135"/>
      <c r="AN15" s="135"/>
      <c r="AO15" s="135"/>
      <c r="AQ15" s="135"/>
      <c r="AR15" s="135"/>
      <c r="AS15" s="135"/>
      <c r="AT15" s="135"/>
      <c r="AV15" s="135"/>
      <c r="AW15" s="135"/>
      <c r="AX15" s="135"/>
    </row>
    <row r="16" spans="1:50" s="79" customFormat="1" ht="11.25">
      <c r="A16" s="96">
        <f t="shared" ca="1" si="2"/>
        <v>5</v>
      </c>
      <c r="B16" s="68" t="s">
        <v>93</v>
      </c>
      <c r="C16" s="97">
        <v>0.4</v>
      </c>
      <c r="D16" s="69" t="s">
        <v>66</v>
      </c>
      <c r="E16" s="136" t="s">
        <v>87</v>
      </c>
      <c r="F16" s="154">
        <v>5.0000000000000001E-4</v>
      </c>
      <c r="G16" s="154">
        <v>5.9999999999999995E-4</v>
      </c>
      <c r="H16" s="154">
        <v>1.1000000000000001E-3</v>
      </c>
      <c r="I16" s="154">
        <v>1.5E-3</v>
      </c>
      <c r="J16" s="154" t="s">
        <v>87</v>
      </c>
      <c r="K16" s="154">
        <v>2.5000000000000001E-3</v>
      </c>
      <c r="L16" s="154">
        <v>3.2000000000000002E-3</v>
      </c>
      <c r="M16" s="154">
        <v>3.8999999999999998E-3</v>
      </c>
      <c r="N16" s="137" cm="1">
        <f t="array" aca="1" ref="N16:AE16" ca="1">IF(OR(B16="",NOT($J$2)),"",GetStripDefaultProbability(A16,B16,Parameter_Date,CDSRollDate,E16:M16,SpreadCurveMaturities,D16,C16,$J$4,$J$6))</f>
        <v>0</v>
      </c>
      <c r="O16" s="155">
        <f ca="1"/>
        <v>4.6505499562699004E-4</v>
      </c>
      <c r="P16" s="155">
        <f ca="1"/>
        <v>1.0649548260907027E-3</v>
      </c>
      <c r="Q16" s="155">
        <f ca="1"/>
        <v>3.8249753594747915E-3</v>
      </c>
      <c r="R16" s="155">
        <f ca="1"/>
        <v>7.7768164865658074E-3</v>
      </c>
      <c r="S16" s="155">
        <f ca="1"/>
        <v>0</v>
      </c>
      <c r="T16" s="155">
        <f ca="1"/>
        <v>2.1291528651182667E-2</v>
      </c>
      <c r="U16" s="155">
        <f ca="1"/>
        <v>3.7973054978477472E-2</v>
      </c>
      <c r="V16" s="138">
        <f ca="1"/>
        <v>6.5474514278528684E-2</v>
      </c>
      <c r="W16" s="137">
        <f ca="1"/>
        <v>0</v>
      </c>
      <c r="X16" s="155">
        <f ca="1"/>
        <v>5.5803964578249321E-4</v>
      </c>
      <c r="Y16" s="155">
        <f ca="1"/>
        <v>1.2314301269625849E-3</v>
      </c>
      <c r="Z16" s="155">
        <f ca="1"/>
        <v>4.1569783640942326E-3</v>
      </c>
      <c r="AA16" s="155">
        <f ca="1"/>
        <v>8.2728040710967621E-3</v>
      </c>
      <c r="AB16" s="155">
        <f ca="1"/>
        <v>0</v>
      </c>
      <c r="AC16" s="155">
        <f ca="1"/>
        <v>2.2128077666226154E-2</v>
      </c>
      <c r="AD16" s="155">
        <f ca="1"/>
        <v>3.9126272257689831E-2</v>
      </c>
      <c r="AE16" s="138">
        <f ca="1"/>
        <v>6.7081998853236513E-2</v>
      </c>
      <c r="AG16" s="454"/>
      <c r="AH16" s="456"/>
      <c r="AI16" s="455"/>
      <c r="AJ16" s="457"/>
      <c r="AK16" s="135"/>
      <c r="AL16" s="139"/>
      <c r="AM16" s="135"/>
      <c r="AN16" s="135"/>
      <c r="AO16" s="135"/>
      <c r="AQ16" s="135"/>
      <c r="AR16" s="135"/>
      <c r="AS16" s="135"/>
      <c r="AT16" s="135"/>
      <c r="AV16" s="135"/>
      <c r="AW16" s="135"/>
      <c r="AX16" s="135"/>
    </row>
    <row r="17" spans="1:50" s="79" customFormat="1" ht="11.25">
      <c r="A17" s="96">
        <f t="shared" ca="1" si="2"/>
        <v>6</v>
      </c>
      <c r="B17" s="68" t="s">
        <v>94</v>
      </c>
      <c r="C17" s="97">
        <v>0.4</v>
      </c>
      <c r="D17" s="69" t="s">
        <v>66</v>
      </c>
      <c r="E17" s="136" t="s">
        <v>87</v>
      </c>
      <c r="F17" s="154">
        <v>1.23E-3</v>
      </c>
      <c r="G17" s="154">
        <v>1.5900000000000001E-3</v>
      </c>
      <c r="H17" s="154">
        <v>2.2100000000000002E-3</v>
      </c>
      <c r="I17" s="154">
        <v>2.5200000000000001E-3</v>
      </c>
      <c r="J17" s="154" t="s">
        <v>87</v>
      </c>
      <c r="K17" s="154">
        <v>3.2000000000000002E-3</v>
      </c>
      <c r="L17" s="154">
        <v>3.63E-3</v>
      </c>
      <c r="M17" s="154">
        <v>4.1000000000000003E-3</v>
      </c>
      <c r="N17" s="137" cm="1">
        <f t="array" aca="1" ref="N17:AE17" ca="1">IF(OR(B17="",NOT($J$2)),"",GetStripDefaultProbability(A17,B17,Parameter_Date,CDSRollDate,E17:M17,SpreadCurveMaturities,D17,C17,$J$4,$J$6))</f>
        <v>0</v>
      </c>
      <c r="O17" s="155">
        <f ca="1"/>
        <v>1.1436469470406108E-3</v>
      </c>
      <c r="P17" s="155">
        <f ca="1"/>
        <v>2.8215612782542809E-3</v>
      </c>
      <c r="Q17" s="155">
        <f ca="1"/>
        <v>7.652804171005112E-3</v>
      </c>
      <c r="R17" s="155">
        <f ca="1"/>
        <v>1.2969228000038746E-2</v>
      </c>
      <c r="S17" s="155">
        <f ca="1"/>
        <v>0</v>
      </c>
      <c r="T17" s="155">
        <f ca="1"/>
        <v>2.7096138844255324E-2</v>
      </c>
      <c r="U17" s="155">
        <f ca="1"/>
        <v>4.277126458542968E-2</v>
      </c>
      <c r="V17" s="138">
        <f ca="1"/>
        <v>6.8412705294120135E-2</v>
      </c>
      <c r="W17" s="137">
        <f ca="1"/>
        <v>0</v>
      </c>
      <c r="X17" s="155">
        <f ca="1"/>
        <v>1.236566644428061E-3</v>
      </c>
      <c r="Y17" s="155">
        <f ca="1"/>
        <v>2.987743835767942E-3</v>
      </c>
      <c r="Z17" s="155">
        <f ca="1"/>
        <v>7.9835314453521322E-3</v>
      </c>
      <c r="AA17" s="155">
        <f ca="1"/>
        <v>1.3462620027768213E-2</v>
      </c>
      <c r="AB17" s="155">
        <f ca="1"/>
        <v>0</v>
      </c>
      <c r="AC17" s="155">
        <f ca="1"/>
        <v>2.7926936355207599E-2</v>
      </c>
      <c r="AD17" s="155">
        <f ca="1"/>
        <v>4.3916812983550657E-2</v>
      </c>
      <c r="AE17" s="138">
        <f ca="1"/>
        <v>7.0011409923940948E-2</v>
      </c>
      <c r="AG17" s="454"/>
      <c r="AH17" s="456"/>
      <c r="AI17" s="455"/>
      <c r="AJ17" s="457"/>
      <c r="AK17" s="135"/>
      <c r="AL17" s="139"/>
      <c r="AM17" s="135"/>
      <c r="AN17" s="135"/>
      <c r="AO17" s="135"/>
      <c r="AQ17" s="135"/>
      <c r="AR17" s="135"/>
      <c r="AS17" s="135"/>
      <c r="AT17" s="135"/>
      <c r="AV17" s="135"/>
      <c r="AW17" s="135"/>
      <c r="AX17" s="135"/>
    </row>
    <row r="18" spans="1:50" s="79" customFormat="1" ht="11.25">
      <c r="A18" s="96">
        <f t="shared" ca="1" si="2"/>
        <v>7</v>
      </c>
      <c r="B18" s="68" t="s">
        <v>95</v>
      </c>
      <c r="C18" s="97">
        <v>0.4</v>
      </c>
      <c r="D18" s="69" t="s">
        <v>66</v>
      </c>
      <c r="E18" s="136" t="s">
        <v>87</v>
      </c>
      <c r="F18" s="154">
        <v>5.0000000000000001E-4</v>
      </c>
      <c r="G18" s="154">
        <v>1.4E-3</v>
      </c>
      <c r="H18" s="154">
        <v>2.3999999999999998E-3</v>
      </c>
      <c r="I18" s="154">
        <v>3.5000000000000001E-3</v>
      </c>
      <c r="J18" s="154" t="s">
        <v>87</v>
      </c>
      <c r="K18" s="154">
        <v>5.7000000000000002E-3</v>
      </c>
      <c r="L18" s="154">
        <v>7.0000000000000001E-3</v>
      </c>
      <c r="M18" s="154">
        <v>8.5000000000000006E-3</v>
      </c>
      <c r="N18" s="137" cm="1">
        <f t="array" aca="1" ref="N18:AE18" ca="1">IF(OR(B18="",NOT($J$2)),"",GetStripDefaultProbability(A18,B18,Parameter_Date,CDSRollDate,E18:M18,SpreadCurveMaturities,D18,C18,$J$4,$J$6))</f>
        <v>0</v>
      </c>
      <c r="O18" s="155">
        <f ca="1"/>
        <v>4.6505499562699004E-4</v>
      </c>
      <c r="P18" s="155">
        <f ca="1"/>
        <v>2.4950500580267487E-3</v>
      </c>
      <c r="Q18" s="155">
        <f ca="1"/>
        <v>8.3381981653454229E-3</v>
      </c>
      <c r="R18" s="155">
        <f ca="1"/>
        <v>1.8108269733700388E-2</v>
      </c>
      <c r="S18" s="155">
        <f ca="1"/>
        <v>0</v>
      </c>
      <c r="T18" s="155">
        <f ca="1"/>
        <v>4.8113241783241167E-2</v>
      </c>
      <c r="U18" s="155">
        <f ca="1"/>
        <v>8.1650429808966085E-2</v>
      </c>
      <c r="V18" s="138">
        <f ca="1"/>
        <v>0.13843528939881766</v>
      </c>
      <c r="W18" s="137">
        <f ca="1"/>
        <v>0</v>
      </c>
      <c r="X18" s="155">
        <f ca="1"/>
        <v>5.5803964578249321E-4</v>
      </c>
      <c r="Y18" s="155">
        <f ca="1"/>
        <v>2.6612870295530389E-3</v>
      </c>
      <c r="Z18" s="155">
        <f ca="1"/>
        <v>8.6686970130787078E-3</v>
      </c>
      <c r="AA18" s="155">
        <f ca="1"/>
        <v>1.8599092882822577E-2</v>
      </c>
      <c r="AB18" s="155">
        <f ca="1"/>
        <v>0</v>
      </c>
      <c r="AC18" s="155">
        <f ca="1"/>
        <v>4.8926324616110017E-2</v>
      </c>
      <c r="AD18" s="155">
        <f ca="1"/>
        <v>8.2752612113045743E-2</v>
      </c>
      <c r="AE18" s="138">
        <f ca="1"/>
        <v>0.13993918573263264</v>
      </c>
      <c r="AG18" s="454"/>
      <c r="AH18" s="456"/>
      <c r="AI18" s="455"/>
      <c r="AJ18" s="457"/>
      <c r="AK18" s="135"/>
      <c r="AL18" s="139"/>
      <c r="AM18" s="135"/>
      <c r="AN18" s="135"/>
      <c r="AO18" s="135"/>
      <c r="AQ18" s="135"/>
      <c r="AR18" s="135"/>
      <c r="AS18" s="135"/>
      <c r="AT18" s="135"/>
      <c r="AV18" s="135"/>
      <c r="AW18" s="135"/>
      <c r="AX18" s="135"/>
    </row>
    <row r="19" spans="1:50" s="79" customFormat="1" ht="11.25">
      <c r="A19" s="96">
        <f t="shared" ca="1" si="2"/>
        <v>8</v>
      </c>
      <c r="B19" s="68" t="s">
        <v>96</v>
      </c>
      <c r="C19" s="97">
        <v>0.4</v>
      </c>
      <c r="D19" s="69" t="s">
        <v>66</v>
      </c>
      <c r="E19" s="136" t="s">
        <v>87</v>
      </c>
      <c r="F19" s="154">
        <v>1.2999999999999999E-3</v>
      </c>
      <c r="G19" s="154">
        <v>1.4E-3</v>
      </c>
      <c r="H19" s="154">
        <v>2.5999999999999999E-3</v>
      </c>
      <c r="I19" s="154">
        <v>3.3E-3</v>
      </c>
      <c r="J19" s="154" t="s">
        <v>87</v>
      </c>
      <c r="K19" s="154">
        <v>5.1999999999999998E-3</v>
      </c>
      <c r="L19" s="154">
        <v>6.6E-3</v>
      </c>
      <c r="M19" s="154">
        <v>7.9000000000000008E-3</v>
      </c>
      <c r="N19" s="137" cm="1">
        <f t="array" aca="1" ref="N19:AE19" ca="1">IF(OR(B19="",NOT($J$2)),"",GetStripDefaultProbability(A19,B19,Parameter_Date,CDSRollDate,E19:M19,SpreadCurveMaturities,D19,C19,$J$4,$J$6))</f>
        <v>0</v>
      </c>
      <c r="O19" s="155">
        <f ca="1"/>
        <v>1.2086932027426389E-3</v>
      </c>
      <c r="P19" s="155">
        <f ca="1"/>
        <v>2.4809347302925389E-3</v>
      </c>
      <c r="Q19" s="155">
        <f ca="1"/>
        <v>9.0218541297311106E-3</v>
      </c>
      <c r="R19" s="155">
        <f ca="1"/>
        <v>1.7023583253300445E-2</v>
      </c>
      <c r="S19" s="155">
        <f ca="1"/>
        <v>0</v>
      </c>
      <c r="T19" s="155">
        <f ca="1"/>
        <v>4.3889390688044094E-2</v>
      </c>
      <c r="U19" s="155">
        <f ca="1"/>
        <v>7.7122250959887784E-2</v>
      </c>
      <c r="V19" s="138">
        <f ca="1"/>
        <v>0.12910782501724927</v>
      </c>
      <c r="W19" s="137">
        <f ca="1"/>
        <v>0</v>
      </c>
      <c r="X19" s="155">
        <f ca="1"/>
        <v>1.3016065915011366E-3</v>
      </c>
      <c r="Y19" s="155">
        <f ca="1"/>
        <v>2.6471740541723632E-3</v>
      </c>
      <c r="Z19" s="155">
        <f ca="1"/>
        <v>9.3521251301267316E-3</v>
      </c>
      <c r="AA19" s="155">
        <f ca="1"/>
        <v>1.7514948610089065E-2</v>
      </c>
      <c r="AB19" s="155">
        <f ca="1"/>
        <v>0</v>
      </c>
      <c r="AC19" s="155">
        <f ca="1"/>
        <v>4.4706155999942654E-2</v>
      </c>
      <c r="AD19" s="155">
        <f ca="1"/>
        <v>7.8229551725686797E-2</v>
      </c>
      <c r="AE19" s="138">
        <f ca="1"/>
        <v>0.13062504974985822</v>
      </c>
      <c r="AG19" s="454"/>
      <c r="AH19" s="456"/>
      <c r="AI19" s="455"/>
      <c r="AJ19" s="457"/>
      <c r="AK19" s="135"/>
      <c r="AL19" s="139"/>
      <c r="AM19" s="135"/>
      <c r="AN19" s="135"/>
      <c r="AO19" s="135"/>
      <c r="AQ19" s="135"/>
      <c r="AR19" s="135"/>
      <c r="AS19" s="135"/>
      <c r="AT19" s="135"/>
      <c r="AV19" s="135"/>
      <c r="AW19" s="135"/>
      <c r="AX19" s="135"/>
    </row>
    <row r="20" spans="1:50" s="79" customFormat="1" ht="11.25">
      <c r="A20" s="96">
        <f t="shared" ca="1" si="2"/>
        <v>9</v>
      </c>
      <c r="B20" s="68" t="s">
        <v>97</v>
      </c>
      <c r="C20" s="97">
        <v>0.4</v>
      </c>
      <c r="D20" s="69" t="s">
        <v>66</v>
      </c>
      <c r="E20" s="136" t="s">
        <v>87</v>
      </c>
      <c r="F20" s="154">
        <v>2.9999999999999997E-4</v>
      </c>
      <c r="G20" s="154">
        <v>5.9999999999999995E-4</v>
      </c>
      <c r="H20" s="154">
        <v>1.1000000000000001E-3</v>
      </c>
      <c r="I20" s="154">
        <v>1.6000000000000001E-3</v>
      </c>
      <c r="J20" s="154" t="s">
        <v>87</v>
      </c>
      <c r="K20" s="154">
        <v>2.3E-3</v>
      </c>
      <c r="L20" s="154">
        <v>2.8E-3</v>
      </c>
      <c r="M20" s="154">
        <v>3.7000000000000002E-3</v>
      </c>
      <c r="N20" s="137" cm="1">
        <f t="array" aca="1" ref="N20:AE20" ca="1">IF(OR(B20="",NOT($J$2)),"",GetStripDefaultProbability(A20,B20,Parameter_Date,CDSRollDate,E20:M20,SpreadCurveMaturities,D20,C20,$J$4,$J$6))</f>
        <v>0</v>
      </c>
      <c r="O20" s="155">
        <f ca="1"/>
        <v>2.7905895862256891E-4</v>
      </c>
      <c r="P20" s="155">
        <f ca="1"/>
        <v>1.068353042610326E-3</v>
      </c>
      <c r="Q20" s="155">
        <f ca="1"/>
        <v>3.8284513697161016E-3</v>
      </c>
      <c r="R20" s="155">
        <f ca="1"/>
        <v>8.3067824600387974E-3</v>
      </c>
      <c r="S20" s="155">
        <f ca="1"/>
        <v>0</v>
      </c>
      <c r="T20" s="155">
        <f ca="1"/>
        <v>1.9606676328060013E-2</v>
      </c>
      <c r="U20" s="155">
        <f ca="1"/>
        <v>3.3255081243878104E-2</v>
      </c>
      <c r="V20" s="138">
        <f ca="1"/>
        <v>6.2239241259121614E-2</v>
      </c>
      <c r="W20" s="137">
        <f ca="1"/>
        <v>0</v>
      </c>
      <c r="X20" s="155">
        <f ca="1"/>
        <v>3.7206114936716439E-4</v>
      </c>
      <c r="Y20" s="155">
        <f ca="1"/>
        <v>1.2348277771475624E-3</v>
      </c>
      <c r="Z20" s="155">
        <f ca="1"/>
        <v>4.1604532158860952E-3</v>
      </c>
      <c r="AA20" s="155">
        <f ca="1"/>
        <v>8.8025051277955679E-3</v>
      </c>
      <c r="AB20" s="155">
        <f ca="1"/>
        <v>0</v>
      </c>
      <c r="AC20" s="155">
        <f ca="1"/>
        <v>2.0444361707986469E-2</v>
      </c>
      <c r="AD20" s="155">
        <f ca="1"/>
        <v>3.441279966246702E-2</v>
      </c>
      <c r="AE20" s="138">
        <f ca="1"/>
        <v>6.3852139871499847E-2</v>
      </c>
      <c r="AG20" s="454"/>
      <c r="AH20" s="456"/>
      <c r="AI20" s="455"/>
      <c r="AJ20" s="457"/>
      <c r="AK20" s="135"/>
      <c r="AL20" s="139"/>
      <c r="AM20" s="135"/>
      <c r="AN20" s="135"/>
      <c r="AO20" s="135"/>
      <c r="AQ20" s="135"/>
      <c r="AR20" s="135"/>
      <c r="AS20" s="135"/>
      <c r="AT20" s="135"/>
      <c r="AV20" s="135"/>
      <c r="AW20" s="135"/>
      <c r="AX20" s="135"/>
    </row>
    <row r="21" spans="1:50" s="79" customFormat="1" ht="11.25">
      <c r="A21" s="96">
        <f t="shared" ca="1" si="2"/>
        <v>10</v>
      </c>
      <c r="B21" s="68" t="s">
        <v>98</v>
      </c>
      <c r="C21" s="97">
        <v>0.4</v>
      </c>
      <c r="D21" s="69" t="s">
        <v>66</v>
      </c>
      <c r="E21" s="136" t="s">
        <v>87</v>
      </c>
      <c r="F21" s="154">
        <v>1.1900000000000001E-3</v>
      </c>
      <c r="G21" s="154">
        <v>1.4300000000000001E-3</v>
      </c>
      <c r="H21" s="154">
        <v>1.91E-3</v>
      </c>
      <c r="I21" s="154">
        <v>2.32E-3</v>
      </c>
      <c r="J21" s="154" t="s">
        <v>87</v>
      </c>
      <c r="K21" s="154">
        <v>3.0999999999999999E-3</v>
      </c>
      <c r="L21" s="154">
        <v>3.5100000000000001E-3</v>
      </c>
      <c r="M21" s="154">
        <v>3.8999999999999998E-3</v>
      </c>
      <c r="N21" s="137" cm="1">
        <f t="array" aca="1" ref="N21:AE21" ca="1">IF(OR(B21="",NOT($J$2)),"",GetStripDefaultProbability(A21,B21,Parameter_Date,CDSRollDate,E21:M21,SpreadCurveMaturities,D21,C21,$J$4,$J$6))</f>
        <v>0</v>
      </c>
      <c r="O21" s="155">
        <f ca="1"/>
        <v>1.1064757568105543E-3</v>
      </c>
      <c r="P21" s="155">
        <f ca="1"/>
        <v>2.5364678481504255E-3</v>
      </c>
      <c r="Q21" s="155">
        <f ca="1"/>
        <v>6.6121366802779358E-3</v>
      </c>
      <c r="R21" s="155">
        <f ca="1"/>
        <v>1.1958410491217819E-2</v>
      </c>
      <c r="S21" s="155">
        <f ca="1"/>
        <v>0</v>
      </c>
      <c r="T21" s="155">
        <f ca="1"/>
        <v>2.6281232329118387E-2</v>
      </c>
      <c r="U21" s="155">
        <f ca="1"/>
        <v>4.1403508828026792E-2</v>
      </c>
      <c r="V21" s="138">
        <f ca="1"/>
        <v>6.5167525291137229E-2</v>
      </c>
      <c r="W21" s="137">
        <f ca="1"/>
        <v>0</v>
      </c>
      <c r="X21" s="155">
        <f ca="1"/>
        <v>1.1993990526423248E-3</v>
      </c>
      <c r="Y21" s="155">
        <f ca="1"/>
        <v>2.702697917293162E-3</v>
      </c>
      <c r="Z21" s="155">
        <f ca="1"/>
        <v>6.9432107859795922E-3</v>
      </c>
      <c r="AA21" s="155">
        <f ca="1"/>
        <v>1.2452307801363416E-2</v>
      </c>
      <c r="AB21" s="155">
        <f ca="1"/>
        <v>0</v>
      </c>
      <c r="AC21" s="155">
        <f ca="1"/>
        <v>2.7112952925810951E-2</v>
      </c>
      <c r="AD21" s="155">
        <f ca="1"/>
        <v>4.2550931821905724E-2</v>
      </c>
      <c r="AE21" s="138">
        <f ca="1"/>
        <v>6.6771819689902978E-2</v>
      </c>
      <c r="AG21" s="454"/>
      <c r="AH21" s="456"/>
      <c r="AI21" s="455"/>
      <c r="AJ21" s="457"/>
      <c r="AK21" s="135"/>
      <c r="AL21" s="139"/>
      <c r="AM21" s="135"/>
      <c r="AN21" s="135"/>
      <c r="AO21" s="135"/>
      <c r="AQ21" s="135"/>
      <c r="AR21" s="135"/>
      <c r="AS21" s="135"/>
      <c r="AT21" s="135"/>
      <c r="AV21" s="135"/>
      <c r="AW21" s="135"/>
      <c r="AX21" s="135"/>
    </row>
    <row r="22" spans="1:50" s="79" customFormat="1" ht="11.25">
      <c r="A22" s="96">
        <f t="shared" ca="1" si="2"/>
        <v>11</v>
      </c>
      <c r="B22" s="68" t="s">
        <v>99</v>
      </c>
      <c r="C22" s="97">
        <v>0.4</v>
      </c>
      <c r="D22" s="69" t="s">
        <v>66</v>
      </c>
      <c r="E22" s="136" t="s">
        <v>87</v>
      </c>
      <c r="F22" s="154">
        <v>1.25E-3</v>
      </c>
      <c r="G22" s="154">
        <v>1.6299999999999999E-3</v>
      </c>
      <c r="H22" s="154">
        <v>2.2599999999999999E-3</v>
      </c>
      <c r="I22" s="154">
        <v>2.64E-3</v>
      </c>
      <c r="J22" s="154" t="s">
        <v>87</v>
      </c>
      <c r="K22" s="154">
        <v>3.3999999999999998E-3</v>
      </c>
      <c r="L22" s="154">
        <v>3.8500000000000001E-3</v>
      </c>
      <c r="M22" s="154">
        <v>4.3E-3</v>
      </c>
      <c r="N22" s="137" cm="1">
        <f t="array" aca="1" ref="N22:AE22" ca="1">IF(OR(B22="",NOT($J$2)),"",GetStripDefaultProbability(A22,B22,Parameter_Date,CDSRollDate,E22:M22,SpreadCurveMaturities,D22,C22,$J$4,$J$6))</f>
        <v>0</v>
      </c>
      <c r="O22" s="155">
        <f ca="1"/>
        <v>1.1622320236017725E-3</v>
      </c>
      <c r="P22" s="155">
        <f ca="1"/>
        <v>2.8926486884492952E-3</v>
      </c>
      <c r="Q22" s="155">
        <f ca="1"/>
        <v>7.8253498523533915E-3</v>
      </c>
      <c r="R22" s="155">
        <f ca="1"/>
        <v>1.3591334542429001E-2</v>
      </c>
      <c r="S22" s="155">
        <f ca="1"/>
        <v>0</v>
      </c>
      <c r="T22" s="155">
        <f ca="1"/>
        <v>2.8780775058056984E-2</v>
      </c>
      <c r="U22" s="155">
        <f ca="1"/>
        <v>4.5323593326833445E-2</v>
      </c>
      <c r="V22" s="138">
        <f ca="1"/>
        <v>7.1638634433412673E-2</v>
      </c>
      <c r="W22" s="137">
        <f ca="1"/>
        <v>0</v>
      </c>
      <c r="X22" s="155">
        <f ca="1"/>
        <v>1.2551499200385008E-3</v>
      </c>
      <c r="Y22" s="155">
        <f ca="1"/>
        <v>3.0588193990594981E-3</v>
      </c>
      <c r="Z22" s="155">
        <f ca="1"/>
        <v>8.1560196210327396E-3</v>
      </c>
      <c r="AA22" s="155">
        <f ca="1"/>
        <v>1.4084415594605382E-2</v>
      </c>
      <c r="AB22" s="155">
        <f ca="1"/>
        <v>0</v>
      </c>
      <c r="AC22" s="155">
        <f ca="1"/>
        <v>2.9610226149404895E-2</v>
      </c>
      <c r="AD22" s="155">
        <f ca="1"/>
        <v>4.6466298918760418E-2</v>
      </c>
      <c r="AE22" s="138">
        <f ca="1"/>
        <v>7.3231683460030728E-2</v>
      </c>
      <c r="AG22" s="454"/>
      <c r="AH22" s="456"/>
      <c r="AI22" s="455"/>
      <c r="AJ22" s="457"/>
      <c r="AK22" s="135"/>
      <c r="AL22" s="139"/>
      <c r="AM22" s="135"/>
      <c r="AN22" s="135"/>
      <c r="AO22" s="135"/>
      <c r="AQ22" s="135"/>
      <c r="AR22" s="135"/>
      <c r="AS22" s="135"/>
      <c r="AT22" s="135"/>
      <c r="AV22" s="135"/>
      <c r="AW22" s="135"/>
      <c r="AX22" s="135"/>
    </row>
    <row r="23" spans="1:50" s="79" customFormat="1" ht="11.25">
      <c r="A23" s="96">
        <f t="shared" ca="1" si="2"/>
        <v>12</v>
      </c>
      <c r="B23" s="68" t="s">
        <v>100</v>
      </c>
      <c r="C23" s="97">
        <v>0.4</v>
      </c>
      <c r="D23" s="69" t="s">
        <v>66</v>
      </c>
      <c r="E23" s="136" t="s">
        <v>87</v>
      </c>
      <c r="F23" s="154">
        <v>1.0499999999999999E-3</v>
      </c>
      <c r="G23" s="154">
        <v>2.0500000000000002E-3</v>
      </c>
      <c r="H23" s="154">
        <v>3.1099999999999999E-3</v>
      </c>
      <c r="I23" s="154">
        <v>3.6900000000000001E-3</v>
      </c>
      <c r="J23" s="154" t="s">
        <v>87</v>
      </c>
      <c r="K23" s="154">
        <v>4.4999999999999997E-3</v>
      </c>
      <c r="L23" s="154">
        <v>5.0499999999999998E-3</v>
      </c>
      <c r="M23" s="154">
        <v>5.5500000000000002E-3</v>
      </c>
      <c r="N23" s="137" cm="1">
        <f t="array" aca="1" ref="N23:AE23" ca="1">IF(OR(B23="",NOT($J$2)),"",GetStripDefaultProbability(A23,B23,Parameter_Date,CDSRollDate,E23:M23,SpreadCurveMaturities,D23,C23,$J$4,$J$6))</f>
        <v>0</v>
      </c>
      <c r="O23" s="155">
        <f ca="1"/>
        <v>9.7636570085479768E-4</v>
      </c>
      <c r="P23" s="155">
        <f ca="1"/>
        <v>3.6462937511052562E-3</v>
      </c>
      <c r="Q23" s="155">
        <f ca="1"/>
        <v>1.0776851433298207E-2</v>
      </c>
      <c r="R23" s="155">
        <f ca="1"/>
        <v>1.8983568284147267E-2</v>
      </c>
      <c r="S23" s="155">
        <f ca="1"/>
        <v>0</v>
      </c>
      <c r="T23" s="155">
        <f ca="1"/>
        <v>3.7958390013763443E-2</v>
      </c>
      <c r="U23" s="155">
        <f ca="1"/>
        <v>5.9093235416613266E-2</v>
      </c>
      <c r="V23" s="138">
        <f ca="1"/>
        <v>9.1588294166076722E-2</v>
      </c>
      <c r="W23" s="137">
        <f ca="1"/>
        <v>0</v>
      </c>
      <c r="X23" s="155">
        <f ca="1"/>
        <v>1.0693015543306039E-3</v>
      </c>
      <c r="Y23" s="155">
        <f ca="1"/>
        <v>3.8123388646741363E-3</v>
      </c>
      <c r="Z23" s="155">
        <f ca="1"/>
        <v>1.1106537532064698E-2</v>
      </c>
      <c r="AA23" s="155">
        <f ca="1"/>
        <v>1.947395389339901E-2</v>
      </c>
      <c r="AB23" s="155">
        <f ca="1"/>
        <v>0</v>
      </c>
      <c r="AC23" s="155">
        <f ca="1"/>
        <v>3.8779798622220696E-2</v>
      </c>
      <c r="AD23" s="155">
        <f ca="1"/>
        <v>6.0219510894818251E-2</v>
      </c>
      <c r="AE23" s="138">
        <f ca="1"/>
        <v>9.3145578004176888E-2</v>
      </c>
      <c r="AG23" s="454"/>
      <c r="AH23" s="456"/>
      <c r="AI23" s="455"/>
      <c r="AJ23" s="457"/>
      <c r="AK23" s="135"/>
      <c r="AL23" s="139"/>
      <c r="AM23" s="135"/>
      <c r="AN23" s="135"/>
      <c r="AO23" s="135"/>
      <c r="AQ23" s="135"/>
      <c r="AR23" s="135"/>
      <c r="AS23" s="135"/>
      <c r="AT23" s="135"/>
      <c r="AV23" s="135"/>
      <c r="AW23" s="135"/>
      <c r="AX23" s="135"/>
    </row>
    <row r="24" spans="1:50" s="79" customFormat="1" ht="11.25">
      <c r="A24" s="96">
        <f t="shared" ca="1" si="2"/>
        <v>13</v>
      </c>
      <c r="B24" s="68" t="s">
        <v>101</v>
      </c>
      <c r="C24" s="97">
        <v>0.4</v>
      </c>
      <c r="D24" s="69" t="s">
        <v>66</v>
      </c>
      <c r="E24" s="136" t="s">
        <v>87</v>
      </c>
      <c r="F24" s="154">
        <v>1.5399999999999999E-3</v>
      </c>
      <c r="G24" s="154">
        <v>2.3600000000000001E-3</v>
      </c>
      <c r="H24" s="154">
        <v>3.0799999999999998E-3</v>
      </c>
      <c r="I24" s="154">
        <v>3.3800000000000002E-3</v>
      </c>
      <c r="J24" s="154" t="s">
        <v>87</v>
      </c>
      <c r="K24" s="154">
        <v>4.0000000000000001E-3</v>
      </c>
      <c r="L24" s="154">
        <v>4.4000000000000003E-3</v>
      </c>
      <c r="M24" s="154">
        <v>5.0000000000000001E-3</v>
      </c>
      <c r="N24" s="137" cm="1">
        <f t="array" aca="1" ref="N24:AE24" ca="1">IF(OR(B24="",NOT($J$2)),"",GetStripDefaultProbability(A24,B24,Parameter_Date,CDSRollDate,E24:M24,SpreadCurveMaturities,D24,C24,$J$4,$J$6))</f>
        <v>0</v>
      </c>
      <c r="O24" s="155">
        <f ca="1"/>
        <v>1.4316767935639296E-3</v>
      </c>
      <c r="P24" s="155">
        <f ca="1"/>
        <v>4.1907230201334578E-3</v>
      </c>
      <c r="Q24" s="155">
        <f ca="1"/>
        <v>1.064888162709221E-2</v>
      </c>
      <c r="R24" s="155">
        <f ca="1"/>
        <v>1.734162347746504E-2</v>
      </c>
      <c r="S24" s="155">
        <f ca="1"/>
        <v>0</v>
      </c>
      <c r="T24" s="155">
        <f ca="1"/>
        <v>3.3732995880552785E-2</v>
      </c>
      <c r="U24" s="155">
        <f ca="1"/>
        <v>5.1555398586371481E-2</v>
      </c>
      <c r="V24" s="138">
        <f ca="1"/>
        <v>8.2814808670704232E-2</v>
      </c>
      <c r="W24" s="137">
        <f ca="1"/>
        <v>0</v>
      </c>
      <c r="X24" s="155">
        <f ca="1"/>
        <v>1.5245684411269167E-3</v>
      </c>
      <c r="Y24" s="155">
        <f ca="1"/>
        <v>4.3566774030470157E-3</v>
      </c>
      <c r="Z24" s="155">
        <f ca="1"/>
        <v>1.0978610375375286E-2</v>
      </c>
      <c r="AA24" s="155">
        <f ca="1"/>
        <v>1.7832829853895116E-2</v>
      </c>
      <c r="AB24" s="155">
        <f ca="1"/>
        <v>0</v>
      </c>
      <c r="AC24" s="155">
        <f ca="1"/>
        <v>3.4557711026717453E-2</v>
      </c>
      <c r="AD24" s="155">
        <f ca="1"/>
        <v>5.2689859769668002E-2</v>
      </c>
      <c r="AE24" s="138">
        <f ca="1"/>
        <v>8.4387355412012144E-2</v>
      </c>
      <c r="AG24" s="454"/>
      <c r="AH24" s="456"/>
      <c r="AI24" s="455"/>
      <c r="AJ24" s="457"/>
      <c r="AK24" s="135"/>
      <c r="AL24" s="139"/>
      <c r="AM24" s="135"/>
      <c r="AN24" s="135"/>
      <c r="AO24" s="135"/>
      <c r="AQ24" s="135"/>
      <c r="AR24" s="135"/>
      <c r="AS24" s="135"/>
      <c r="AT24" s="135"/>
      <c r="AV24" s="135"/>
      <c r="AW24" s="135"/>
      <c r="AX24" s="135"/>
    </row>
    <row r="25" spans="1:50" s="79" customFormat="1" ht="11.25">
      <c r="A25" s="96">
        <f t="shared" ca="1" si="2"/>
        <v>14</v>
      </c>
      <c r="B25" s="68" t="s">
        <v>102</v>
      </c>
      <c r="C25" s="97">
        <v>0.4</v>
      </c>
      <c r="D25" s="69" t="s">
        <v>66</v>
      </c>
      <c r="E25" s="136" t="s">
        <v>87</v>
      </c>
      <c r="F25" s="154">
        <v>5.0000000000000001E-4</v>
      </c>
      <c r="G25" s="154">
        <v>5.9999999999999995E-4</v>
      </c>
      <c r="H25" s="154">
        <v>8.0000000000000004E-4</v>
      </c>
      <c r="I25" s="154">
        <v>1.1999999999999999E-3</v>
      </c>
      <c r="J25" s="154" t="s">
        <v>87</v>
      </c>
      <c r="K25" s="154">
        <v>1.9E-3</v>
      </c>
      <c r="L25" s="154">
        <v>2.3999999999999998E-3</v>
      </c>
      <c r="M25" s="154">
        <v>3.0999999999999999E-3</v>
      </c>
      <c r="N25" s="137" cm="1">
        <f t="array" aca="1" ref="N25:AE25" ca="1">IF(OR(B25="",NOT($J$2)),"",GetStripDefaultProbability(A25,B25,Parameter_Date,CDSRollDate,E25:M25,SpreadCurveMaturities,D25,C25,$J$4,$J$6))</f>
        <v>0</v>
      </c>
      <c r="O25" s="155">
        <f ca="1"/>
        <v>4.6505499562699004E-4</v>
      </c>
      <c r="P25" s="155">
        <f ca="1"/>
        <v>1.0649548260907027E-3</v>
      </c>
      <c r="Q25" s="155">
        <f ca="1"/>
        <v>2.7739426879686002E-3</v>
      </c>
      <c r="R25" s="155">
        <f ca="1"/>
        <v>6.2260518360430783E-3</v>
      </c>
      <c r="S25" s="155">
        <f ca="1"/>
        <v>0</v>
      </c>
      <c r="T25" s="155">
        <f ca="1"/>
        <v>1.6210161604655049E-2</v>
      </c>
      <c r="U25" s="155">
        <f ca="1"/>
        <v>2.8569662849853517E-2</v>
      </c>
      <c r="V25" s="138">
        <f ca="1"/>
        <v>5.234272171684462E-2</v>
      </c>
      <c r="W25" s="137">
        <f ca="1"/>
        <v>0</v>
      </c>
      <c r="X25" s="155">
        <f ca="1"/>
        <v>5.5803964578249321E-4</v>
      </c>
      <c r="Y25" s="155">
        <f ca="1"/>
        <v>1.2314301269625849E-3</v>
      </c>
      <c r="Z25" s="155">
        <f ca="1"/>
        <v>3.1062959784547983E-3</v>
      </c>
      <c r="AA25" s="155">
        <f ca="1"/>
        <v>6.7228146090730911E-3</v>
      </c>
      <c r="AB25" s="155">
        <f ca="1"/>
        <v>0</v>
      </c>
      <c r="AC25" s="155">
        <f ca="1"/>
        <v>1.7050652583554871E-2</v>
      </c>
      <c r="AD25" s="155">
        <f ca="1"/>
        <v>2.9732915996678266E-2</v>
      </c>
      <c r="AE25" s="138">
        <f ca="1"/>
        <v>5.3972320652384997E-2</v>
      </c>
      <c r="AG25" s="454"/>
      <c r="AH25" s="456"/>
      <c r="AI25" s="455"/>
      <c r="AJ25" s="457"/>
      <c r="AK25" s="135"/>
      <c r="AL25" s="139"/>
      <c r="AM25" s="135"/>
      <c r="AN25" s="135"/>
      <c r="AO25" s="135"/>
      <c r="AQ25" s="135"/>
      <c r="AR25" s="135"/>
      <c r="AS25" s="135"/>
      <c r="AT25" s="135"/>
      <c r="AV25" s="135"/>
      <c r="AW25" s="135"/>
      <c r="AX25" s="135"/>
    </row>
    <row r="26" spans="1:50" s="79" customFormat="1" ht="11.25">
      <c r="A26" s="96">
        <f t="shared" ca="1" si="2"/>
        <v>15</v>
      </c>
      <c r="B26" s="68" t="s">
        <v>103</v>
      </c>
      <c r="C26" s="97">
        <v>0.4</v>
      </c>
      <c r="D26" s="69" t="s">
        <v>66</v>
      </c>
      <c r="E26" s="136" t="s">
        <v>87</v>
      </c>
      <c r="F26" s="154">
        <v>2.9999999999999997E-4</v>
      </c>
      <c r="G26" s="154">
        <v>8.9999999999999998E-4</v>
      </c>
      <c r="H26" s="154">
        <v>1.5E-3</v>
      </c>
      <c r="I26" s="154">
        <v>2E-3</v>
      </c>
      <c r="J26" s="154" t="s">
        <v>87</v>
      </c>
      <c r="K26" s="154">
        <v>3.3E-3</v>
      </c>
      <c r="L26" s="154">
        <v>4.1000000000000003E-3</v>
      </c>
      <c r="M26" s="154">
        <v>5.1999999999999998E-3</v>
      </c>
      <c r="N26" s="137" cm="1">
        <f t="array" aca="1" ref="N26:AE26" ca="1">IF(OR(B26="",NOT($J$2)),"",GetStripDefaultProbability(A26,B26,Parameter_Date,CDSRollDate,E26:M26,SpreadCurveMaturities,D26,C26,$J$4,$J$6))</f>
        <v>0</v>
      </c>
      <c r="O26" s="155">
        <f ca="1"/>
        <v>2.7905895862256891E-4</v>
      </c>
      <c r="P26" s="155">
        <f ca="1"/>
        <v>1.6048011235291204E-3</v>
      </c>
      <c r="Q26" s="155">
        <f ca="1"/>
        <v>5.2164903453797429E-3</v>
      </c>
      <c r="R26" s="155">
        <f ca="1"/>
        <v>1.0358198185186462E-2</v>
      </c>
      <c r="S26" s="155">
        <f ca="1"/>
        <v>0</v>
      </c>
      <c r="T26" s="155">
        <f ca="1"/>
        <v>2.8036057907671719E-2</v>
      </c>
      <c r="U26" s="155">
        <f ca="1"/>
        <v>4.8430042207262214E-2</v>
      </c>
      <c r="V26" s="138">
        <f ca="1"/>
        <v>8.6610824933412101E-2</v>
      </c>
      <c r="W26" s="137">
        <f ca="1"/>
        <v>0</v>
      </c>
      <c r="X26" s="155">
        <f ca="1"/>
        <v>3.7206114936716439E-4</v>
      </c>
      <c r="Y26" s="155">
        <f ca="1"/>
        <v>1.7711864575095104E-3</v>
      </c>
      <c r="Z26" s="155">
        <f ca="1"/>
        <v>5.5480295889915876E-3</v>
      </c>
      <c r="AA26" s="155">
        <f ca="1"/>
        <v>1.0852895401486262E-2</v>
      </c>
      <c r="AB26" s="155">
        <f ca="1"/>
        <v>0</v>
      </c>
      <c r="AC26" s="155">
        <f ca="1"/>
        <v>2.8867045919947709E-2</v>
      </c>
      <c r="AD26" s="155">
        <f ca="1"/>
        <v>4.9571373935575425E-2</v>
      </c>
      <c r="AE26" s="138">
        <f ca="1"/>
        <v>8.8181698124946029E-2</v>
      </c>
      <c r="AG26" s="454"/>
      <c r="AH26" s="456"/>
      <c r="AI26" s="455"/>
      <c r="AJ26" s="457"/>
      <c r="AK26" s="135"/>
      <c r="AL26" s="139"/>
      <c r="AM26" s="135"/>
      <c r="AN26" s="135"/>
      <c r="AO26" s="135"/>
      <c r="AQ26" s="135"/>
      <c r="AR26" s="135"/>
      <c r="AS26" s="135"/>
      <c r="AT26" s="135"/>
      <c r="AV26" s="135"/>
      <c r="AW26" s="135"/>
      <c r="AX26" s="135"/>
    </row>
    <row r="27" spans="1:50" s="79" customFormat="1" ht="11.25">
      <c r="A27" s="96">
        <f t="shared" ca="1" si="2"/>
        <v>16</v>
      </c>
      <c r="B27" s="68" t="s">
        <v>104</v>
      </c>
      <c r="C27" s="97">
        <v>0.4</v>
      </c>
      <c r="D27" s="69" t="s">
        <v>66</v>
      </c>
      <c r="E27" s="136" t="s">
        <v>87</v>
      </c>
      <c r="F27" s="154">
        <v>5.9999999999999995E-4</v>
      </c>
      <c r="G27" s="154">
        <v>5.9999999999999995E-4</v>
      </c>
      <c r="H27" s="154">
        <v>1.1000000000000001E-3</v>
      </c>
      <c r="I27" s="154">
        <v>1.5E-3</v>
      </c>
      <c r="J27" s="154" t="s">
        <v>87</v>
      </c>
      <c r="K27" s="154">
        <v>2.5000000000000001E-3</v>
      </c>
      <c r="L27" s="154">
        <v>3.3E-3</v>
      </c>
      <c r="M27" s="154">
        <v>4.3E-3</v>
      </c>
      <c r="N27" s="137" cm="1">
        <f t="array" aca="1" ref="N27:AE27" ca="1">IF(OR(B27="",NOT($J$2)),"",GetStripDefaultProbability(A27,B27,Parameter_Date,CDSRollDate,E27:M27,SpreadCurveMaturities,D27,C27,$J$4,$J$6))</f>
        <v>0</v>
      </c>
      <c r="O27" s="155">
        <f ca="1"/>
        <v>5.5804003710946404E-4</v>
      </c>
      <c r="P27" s="155">
        <f ca="1"/>
        <v>1.0632559145480336E-3</v>
      </c>
      <c r="Q27" s="155">
        <f ca="1"/>
        <v>3.8232375172002619E-3</v>
      </c>
      <c r="R27" s="155">
        <f ca="1"/>
        <v>7.7750495715050993E-3</v>
      </c>
      <c r="S27" s="155">
        <f ca="1"/>
        <v>0</v>
      </c>
      <c r="T27" s="155">
        <f ca="1"/>
        <v>2.1289694364154732E-2</v>
      </c>
      <c r="U27" s="155">
        <f ca="1"/>
        <v>3.9165824168352015E-2</v>
      </c>
      <c r="V27" s="138">
        <f ca="1"/>
        <v>7.2116637439032627E-2</v>
      </c>
      <c r="W27" s="137">
        <f ca="1"/>
        <v>0</v>
      </c>
      <c r="X27" s="155">
        <f ca="1"/>
        <v>6.5101587709581743E-4</v>
      </c>
      <c r="Y27" s="155">
        <f ca="1"/>
        <v>1.2297314985548757E-3</v>
      </c>
      <c r="Z27" s="155">
        <f ca="1"/>
        <v>4.1552411010310486E-3</v>
      </c>
      <c r="AA27" s="155">
        <f ca="1"/>
        <v>8.2710380392835292E-3</v>
      </c>
      <c r="AB27" s="155">
        <f ca="1"/>
        <v>0</v>
      </c>
      <c r="AC27" s="155">
        <f ca="1"/>
        <v>2.2126236273262823E-2</v>
      </c>
      <c r="AD27" s="155">
        <f ca="1"/>
        <v>4.0317908896550625E-2</v>
      </c>
      <c r="AE27" s="138">
        <f ca="1"/>
        <v>7.371377544949087E-2</v>
      </c>
      <c r="AG27" s="454"/>
      <c r="AH27" s="456"/>
      <c r="AI27" s="455"/>
      <c r="AJ27" s="457"/>
      <c r="AK27" s="135"/>
      <c r="AL27" s="139"/>
      <c r="AM27" s="135"/>
      <c r="AN27" s="135"/>
      <c r="AO27" s="135"/>
      <c r="AQ27" s="135"/>
      <c r="AR27" s="135"/>
      <c r="AS27" s="135"/>
      <c r="AT27" s="135"/>
      <c r="AV27" s="135"/>
      <c r="AW27" s="135"/>
      <c r="AX27" s="135"/>
    </row>
    <row r="28" spans="1:50" s="79" customFormat="1" ht="11.25">
      <c r="A28" s="96">
        <f t="shared" ca="1" si="2"/>
        <v>17</v>
      </c>
      <c r="B28" s="68" t="s">
        <v>105</v>
      </c>
      <c r="C28" s="97">
        <v>0.4</v>
      </c>
      <c r="D28" s="69" t="s">
        <v>66</v>
      </c>
      <c r="E28" s="136" t="s">
        <v>87</v>
      </c>
      <c r="F28" s="154">
        <v>1.1299999999999999E-3</v>
      </c>
      <c r="G28" s="154">
        <v>1.83E-3</v>
      </c>
      <c r="H28" s="154">
        <v>2.63E-3</v>
      </c>
      <c r="I28" s="154">
        <v>2.8999999999999998E-3</v>
      </c>
      <c r="J28" s="154" t="s">
        <v>87</v>
      </c>
      <c r="K28" s="154">
        <v>3.3E-3</v>
      </c>
      <c r="L28" s="154">
        <v>3.65E-3</v>
      </c>
      <c r="M28" s="154">
        <v>4.1000000000000003E-3</v>
      </c>
      <c r="N28" s="137" cm="1">
        <f t="array" aca="1" ref="N28:AE28" ca="1">IF(OR(B28="",NOT($J$2)),"",GetStripDefaultProbability(A28,B28,Parameter_Date,CDSRollDate,E28:M28,SpreadCurveMaturities,D28,C28,$J$4,$J$6))</f>
        <v>0</v>
      </c>
      <c r="O28" s="155">
        <f ca="1"/>
        <v>1.0507163786889206E-3</v>
      </c>
      <c r="P28" s="155">
        <f ca="1"/>
        <v>3.2519886158794975E-3</v>
      </c>
      <c r="Q28" s="155">
        <f ca="1"/>
        <v>9.1106511519294386E-3</v>
      </c>
      <c r="R28" s="155">
        <f ca="1"/>
        <v>1.4908617382629608E-2</v>
      </c>
      <c r="S28" s="155">
        <f ca="1"/>
        <v>0</v>
      </c>
      <c r="T28" s="155">
        <f ca="1"/>
        <v>2.7905784897886976E-2</v>
      </c>
      <c r="U28" s="155">
        <f ca="1"/>
        <v>4.2943783045128359E-2</v>
      </c>
      <c r="V28" s="138">
        <f ca="1"/>
        <v>6.8341761053640981E-2</v>
      </c>
      <c r="W28" s="137">
        <f ca="1"/>
        <v>0</v>
      </c>
      <c r="X28" s="155">
        <f ca="1"/>
        <v>1.1436450633418582E-3</v>
      </c>
      <c r="Y28" s="155">
        <f ca="1"/>
        <v>3.4180994414810817E-3</v>
      </c>
      <c r="Z28" s="155">
        <f ca="1"/>
        <v>9.4408925582660785E-3</v>
      </c>
      <c r="AA28" s="155">
        <f ca="1"/>
        <v>1.5401039958054863E-2</v>
      </c>
      <c r="AB28" s="155">
        <f ca="1"/>
        <v>0</v>
      </c>
      <c r="AC28" s="155">
        <f ca="1"/>
        <v>2.8735479897226579E-2</v>
      </c>
      <c r="AD28" s="155">
        <f ca="1"/>
        <v>4.4088249992523587E-2</v>
      </c>
      <c r="AE28" s="138">
        <f ca="1"/>
        <v>6.993950069756516E-2</v>
      </c>
      <c r="AG28" s="454"/>
      <c r="AH28" s="456"/>
      <c r="AI28" s="455"/>
      <c r="AJ28" s="457"/>
      <c r="AK28" s="135"/>
      <c r="AL28" s="139"/>
      <c r="AM28" s="135"/>
      <c r="AN28" s="135"/>
      <c r="AO28" s="135"/>
      <c r="AQ28" s="135"/>
      <c r="AR28" s="135"/>
      <c r="AS28" s="135"/>
      <c r="AT28" s="135"/>
      <c r="AV28" s="135"/>
      <c r="AW28" s="135"/>
      <c r="AX28" s="135"/>
    </row>
    <row r="29" spans="1:50" s="79" customFormat="1" ht="11.25">
      <c r="A29" s="96">
        <f t="shared" ca="1" si="2"/>
        <v>18</v>
      </c>
      <c r="B29" s="68" t="s">
        <v>106</v>
      </c>
      <c r="C29" s="97">
        <v>0.4</v>
      </c>
      <c r="D29" s="69" t="s">
        <v>66</v>
      </c>
      <c r="E29" s="136" t="s">
        <v>87</v>
      </c>
      <c r="F29" s="154">
        <v>6.9999999999999999E-4</v>
      </c>
      <c r="G29" s="154">
        <v>8.0000000000000004E-4</v>
      </c>
      <c r="H29" s="154">
        <v>1.4E-3</v>
      </c>
      <c r="I29" s="154">
        <v>1.9E-3</v>
      </c>
      <c r="J29" s="154" t="s">
        <v>87</v>
      </c>
      <c r="K29" s="154">
        <v>3.0999999999999999E-3</v>
      </c>
      <c r="L29" s="154">
        <v>3.8999999999999998E-3</v>
      </c>
      <c r="M29" s="154">
        <v>5.3E-3</v>
      </c>
      <c r="N29" s="137" cm="1">
        <f t="array" aca="1" ref="N29:AE29" ca="1">IF(OR(B29="",NOT($J$2)),"",GetStripDefaultProbability(A29,B29,Parameter_Date,CDSRollDate,E29:M29,SpreadCurveMaturities,D29,C29,$J$4,$J$6))</f>
        <v>0</v>
      </c>
      <c r="O29" s="155">
        <f ca="1"/>
        <v>6.5101642887865907E-4</v>
      </c>
      <c r="P29" s="155">
        <f ca="1"/>
        <v>1.4191382420905008E-3</v>
      </c>
      <c r="Q29" s="155">
        <f ca="1"/>
        <v>4.8636143680008681E-3</v>
      </c>
      <c r="R29" s="155">
        <f ca="1"/>
        <v>9.839575036502568E-3</v>
      </c>
      <c r="S29" s="155">
        <f ca="1"/>
        <v>0</v>
      </c>
      <c r="T29" s="155">
        <f ca="1"/>
        <v>2.6348997022400678E-2</v>
      </c>
      <c r="U29" s="155">
        <f ca="1"/>
        <v>4.6117150169017962E-2</v>
      </c>
      <c r="V29" s="138">
        <f ca="1"/>
        <v>8.8361135210710096E-2</v>
      </c>
      <c r="W29" s="137">
        <f ca="1"/>
        <v>0</v>
      </c>
      <c r="X29" s="155">
        <f ca="1"/>
        <v>7.4398343160742009E-4</v>
      </c>
      <c r="Y29" s="155">
        <f ca="1"/>
        <v>1.58555451730924E-3</v>
      </c>
      <c r="Z29" s="155">
        <f ca="1"/>
        <v>5.1952712173340965E-3</v>
      </c>
      <c r="AA29" s="155">
        <f ca="1"/>
        <v>1.0334531499552435E-2</v>
      </c>
      <c r="AB29" s="155">
        <f ca="1"/>
        <v>0</v>
      </c>
      <c r="AC29" s="155">
        <f ca="1"/>
        <v>2.7181362559605904E-2</v>
      </c>
      <c r="AD29" s="155">
        <f ca="1"/>
        <v>4.7261121628214164E-2</v>
      </c>
      <c r="AE29" s="138">
        <f ca="1"/>
        <v>8.9929121417964719E-2</v>
      </c>
      <c r="AG29" s="454"/>
      <c r="AH29" s="456"/>
      <c r="AI29" s="455"/>
      <c r="AJ29" s="457"/>
      <c r="AK29" s="135"/>
      <c r="AL29" s="139"/>
      <c r="AM29" s="135"/>
      <c r="AN29" s="135"/>
      <c r="AO29" s="135"/>
      <c r="AQ29" s="135"/>
      <c r="AR29" s="135"/>
      <c r="AS29" s="135"/>
      <c r="AT29" s="135"/>
      <c r="AV29" s="135"/>
      <c r="AW29" s="135"/>
      <c r="AX29" s="135"/>
    </row>
    <row r="30" spans="1:50" s="79" customFormat="1" ht="11.25">
      <c r="A30" s="96">
        <f t="shared" ca="1" si="2"/>
        <v>19</v>
      </c>
      <c r="B30" s="68" t="s">
        <v>107</v>
      </c>
      <c r="C30" s="97">
        <v>0.4</v>
      </c>
      <c r="D30" s="69" t="s">
        <v>66</v>
      </c>
      <c r="E30" s="136" t="s">
        <v>87</v>
      </c>
      <c r="F30" s="154">
        <v>5.0000000000000001E-4</v>
      </c>
      <c r="G30" s="154">
        <v>8.0000000000000004E-4</v>
      </c>
      <c r="H30" s="154">
        <v>1.1999999999999999E-3</v>
      </c>
      <c r="I30" s="154">
        <v>1.6000000000000001E-3</v>
      </c>
      <c r="J30" s="154" t="s">
        <v>87</v>
      </c>
      <c r="K30" s="154">
        <v>2.5999999999999999E-3</v>
      </c>
      <c r="L30" s="154">
        <v>3.2000000000000002E-3</v>
      </c>
      <c r="M30" s="154">
        <v>3.5999999999999999E-3</v>
      </c>
      <c r="N30" s="137" cm="1">
        <f t="array" aca="1" ref="N30:AE30" ca="1">IF(OR(B30="",NOT($J$2)),"",GetStripDefaultProbability(A30,B30,Parameter_Date,CDSRollDate,E30:M30,SpreadCurveMaturities,D30,C30,$J$4,$J$6))</f>
        <v>0</v>
      </c>
      <c r="O30" s="155">
        <f ca="1"/>
        <v>4.6505499562699004E-4</v>
      </c>
      <c r="P30" s="155">
        <f ca="1"/>
        <v>1.4225689316275103E-3</v>
      </c>
      <c r="Q30" s="155">
        <f ca="1"/>
        <v>4.1669498427368001E-3</v>
      </c>
      <c r="R30" s="155">
        <f ca="1"/>
        <v>8.2849185394021641E-3</v>
      </c>
      <c r="S30" s="155">
        <f ca="1"/>
        <v>0</v>
      </c>
      <c r="T30" s="155">
        <f ca="1"/>
        <v>2.2125999467424107E-2</v>
      </c>
      <c r="U30" s="155">
        <f ca="1"/>
        <v>3.7930546679435628E-2</v>
      </c>
      <c r="V30" s="138">
        <f ca="1"/>
        <v>6.0431177472321074E-2</v>
      </c>
      <c r="W30" s="137">
        <f ca="1"/>
        <v>0</v>
      </c>
      <c r="X30" s="155">
        <f ca="1"/>
        <v>5.5803964578249321E-4</v>
      </c>
      <c r="Y30" s="155">
        <f ca="1"/>
        <v>1.5889846351196946E-3</v>
      </c>
      <c r="Z30" s="155">
        <f ca="1"/>
        <v>4.4988388748716801E-3</v>
      </c>
      <c r="AA30" s="155">
        <f ca="1"/>
        <v>8.7806521364153234E-3</v>
      </c>
      <c r="AB30" s="155">
        <f ca="1"/>
        <v>0</v>
      </c>
      <c r="AC30" s="155">
        <f ca="1"/>
        <v>2.2961781030228723E-2</v>
      </c>
      <c r="AD30" s="155">
        <f ca="1"/>
        <v>3.9083432939950424E-2</v>
      </c>
      <c r="AE30" s="138">
        <f ca="1"/>
        <v>6.2045541964390716E-2</v>
      </c>
      <c r="AG30" s="454"/>
      <c r="AH30" s="456"/>
      <c r="AI30" s="455"/>
      <c r="AJ30" s="457"/>
      <c r="AK30" s="135"/>
      <c r="AL30" s="139"/>
      <c r="AM30" s="135"/>
      <c r="AN30" s="135"/>
      <c r="AO30" s="135"/>
      <c r="AQ30" s="135"/>
      <c r="AR30" s="135"/>
      <c r="AS30" s="135"/>
      <c r="AT30" s="135"/>
      <c r="AV30" s="135"/>
      <c r="AW30" s="135"/>
      <c r="AX30" s="135"/>
    </row>
    <row r="31" spans="1:50" s="79" customFormat="1" ht="11.25">
      <c r="A31" s="96">
        <f t="shared" ca="1" si="2"/>
        <v>20</v>
      </c>
      <c r="B31" s="68" t="s">
        <v>108</v>
      </c>
      <c r="C31" s="97">
        <v>0.4</v>
      </c>
      <c r="D31" s="69" t="s">
        <v>66</v>
      </c>
      <c r="E31" s="136" t="s">
        <v>87</v>
      </c>
      <c r="F31" s="154">
        <v>6.4000000000000005E-4</v>
      </c>
      <c r="G31" s="154">
        <v>1.1800000000000001E-3</v>
      </c>
      <c r="H31" s="154">
        <v>1.66E-3</v>
      </c>
      <c r="I31" s="154">
        <v>2.1099999999999999E-3</v>
      </c>
      <c r="J31" s="154" t="s">
        <v>87</v>
      </c>
      <c r="K31" s="154">
        <v>3.0000000000000001E-3</v>
      </c>
      <c r="L31" s="154">
        <v>3.5999999999999999E-3</v>
      </c>
      <c r="M31" s="154">
        <v>3.8E-3</v>
      </c>
      <c r="N31" s="137" cm="1">
        <f t="array" aca="1" ref="N31:AE31" ca="1">IF(OR(B31="",NOT($J$2)),"",GetStripDefaultProbability(A31,B31,Parameter_Date,CDSRollDate,E31:M31,SpreadCurveMaturities,D31,C31,$J$4,$J$6))</f>
        <v>0</v>
      </c>
      <c r="O31" s="155">
        <f ca="1"/>
        <v>5.9523163171881777E-4</v>
      </c>
      <c r="P31" s="155">
        <f ca="1"/>
        <v>2.0994244552344776E-3</v>
      </c>
      <c r="Q31" s="155">
        <f ca="1"/>
        <v>5.7584684952419751E-3</v>
      </c>
      <c r="R31" s="155">
        <f ca="1"/>
        <v>1.09018911148685E-2</v>
      </c>
      <c r="S31" s="155">
        <f ca="1"/>
        <v>0</v>
      </c>
      <c r="T31" s="155">
        <f ca="1"/>
        <v>2.5472782648500947E-2</v>
      </c>
      <c r="U31" s="155">
        <f ca="1"/>
        <v>4.2542314724032915E-2</v>
      </c>
      <c r="V31" s="138">
        <f ca="1"/>
        <v>6.3568287920008237E-2</v>
      </c>
      <c r="W31" s="137">
        <f ca="1"/>
        <v>0</v>
      </c>
      <c r="X31" s="155">
        <f ca="1"/>
        <v>6.8820394007651498E-4</v>
      </c>
      <c r="Y31" s="155">
        <f ca="1"/>
        <v>2.265727358857772E-3</v>
      </c>
      <c r="Z31" s="155">
        <f ca="1"/>
        <v>6.0898271095705114E-3</v>
      </c>
      <c r="AA31" s="155">
        <f ca="1"/>
        <v>1.1396316552665264E-2</v>
      </c>
      <c r="AB31" s="155">
        <f ca="1"/>
        <v>0</v>
      </c>
      <c r="AC31" s="155">
        <f ca="1"/>
        <v>2.6305461971298461E-2</v>
      </c>
      <c r="AD31" s="155">
        <f ca="1"/>
        <v>4.3689329505899543E-2</v>
      </c>
      <c r="AE31" s="138">
        <f ca="1"/>
        <v>6.5175570019543771E-2</v>
      </c>
      <c r="AG31" s="454"/>
      <c r="AH31" s="456"/>
      <c r="AI31" s="455"/>
      <c r="AJ31" s="457"/>
      <c r="AK31" s="135"/>
      <c r="AL31" s="139"/>
      <c r="AM31" s="135"/>
      <c r="AN31" s="135"/>
      <c r="AO31" s="135"/>
      <c r="AQ31" s="135"/>
      <c r="AR31" s="135"/>
      <c r="AS31" s="135"/>
      <c r="AT31" s="135"/>
      <c r="AV31" s="135"/>
      <c r="AW31" s="135"/>
      <c r="AX31" s="135"/>
    </row>
    <row r="32" spans="1:50" s="79" customFormat="1" ht="11.25">
      <c r="A32" s="96">
        <f t="shared" ca="1" si="2"/>
        <v>21</v>
      </c>
      <c r="B32" s="68" t="s">
        <v>109</v>
      </c>
      <c r="C32" s="97">
        <v>0.4</v>
      </c>
      <c r="D32" s="69" t="s">
        <v>66</v>
      </c>
      <c r="E32" s="136" t="s">
        <v>87</v>
      </c>
      <c r="F32" s="154">
        <v>1.1000000000000001E-3</v>
      </c>
      <c r="G32" s="154">
        <v>1.6000000000000001E-3</v>
      </c>
      <c r="H32" s="154">
        <v>2.0999999999999999E-3</v>
      </c>
      <c r="I32" s="154">
        <v>3.0000000000000001E-3</v>
      </c>
      <c r="J32" s="154" t="s">
        <v>87</v>
      </c>
      <c r="K32" s="154">
        <v>3.8999999999999998E-3</v>
      </c>
      <c r="L32" s="154">
        <v>4.5999999999999999E-3</v>
      </c>
      <c r="M32" s="154">
        <v>5.7000000000000002E-3</v>
      </c>
      <c r="N32" s="137" cm="1">
        <f t="array" aca="1" ref="N32:AE32" ca="1">IF(OR(B32="",NOT($J$2)),"",GetStripDefaultProbability(A32,B32,Parameter_Date,CDSRollDate,E32:M32,SpreadCurveMaturities,D32,C32,$J$4,$J$6))</f>
        <v>0</v>
      </c>
      <c r="O32" s="155">
        <f ca="1"/>
        <v>1.0228355227774877E-3</v>
      </c>
      <c r="P32" s="155">
        <f ca="1"/>
        <v>2.8417371980472561E-3</v>
      </c>
      <c r="Q32" s="155">
        <f ca="1"/>
        <v>7.2704397673225563E-3</v>
      </c>
      <c r="R32" s="155">
        <f ca="1"/>
        <v>1.5500203310528371E-2</v>
      </c>
      <c r="S32" s="155">
        <f ca="1"/>
        <v>0</v>
      </c>
      <c r="T32" s="155">
        <f ca="1"/>
        <v>3.3028329229901177E-2</v>
      </c>
      <c r="U32" s="155">
        <f ca="1"/>
        <v>5.409205946424156E-2</v>
      </c>
      <c r="V32" s="138">
        <f ca="1"/>
        <v>9.444438301796787E-2</v>
      </c>
      <c r="W32" s="137">
        <f ca="1"/>
        <v>0</v>
      </c>
      <c r="X32" s="155">
        <f ca="1"/>
        <v>1.1157668979256963E-3</v>
      </c>
      <c r="Y32" s="155">
        <f ca="1"/>
        <v>3.0079163931993058E-3</v>
      </c>
      <c r="Z32" s="155">
        <f ca="1"/>
        <v>7.6012944752074096E-3</v>
      </c>
      <c r="AA32" s="155">
        <f ca="1"/>
        <v>1.5992330166921143E-2</v>
      </c>
      <c r="AB32" s="155">
        <f ca="1"/>
        <v>0</v>
      </c>
      <c r="AC32" s="155">
        <f ca="1"/>
        <v>3.3854511148172062E-2</v>
      </c>
      <c r="AD32" s="155">
        <f ca="1"/>
        <v>5.5225374550164297E-2</v>
      </c>
      <c r="AE32" s="138">
        <f ca="1"/>
        <v>9.5999071314968987E-2</v>
      </c>
      <c r="AG32" s="454"/>
      <c r="AH32" s="456"/>
      <c r="AI32" s="455"/>
      <c r="AJ32" s="457"/>
      <c r="AK32" s="135"/>
      <c r="AL32" s="139"/>
      <c r="AM32" s="135"/>
      <c r="AN32" s="135"/>
      <c r="AO32" s="135"/>
      <c r="AQ32" s="135"/>
      <c r="AR32" s="135"/>
      <c r="AS32" s="135"/>
      <c r="AT32" s="135"/>
      <c r="AV32" s="135"/>
      <c r="AW32" s="135"/>
      <c r="AX32" s="135"/>
    </row>
    <row r="33" spans="1:50" s="79" customFormat="1" ht="11.25">
      <c r="A33" s="96">
        <f t="shared" ca="1" si="2"/>
        <v>22</v>
      </c>
      <c r="B33" s="68" t="s">
        <v>110</v>
      </c>
      <c r="C33" s="97">
        <v>0.4</v>
      </c>
      <c r="D33" s="69" t="s">
        <v>66</v>
      </c>
      <c r="E33" s="136" t="s">
        <v>87</v>
      </c>
      <c r="F33" s="154">
        <v>7.7999999999999999E-4</v>
      </c>
      <c r="G33" s="154">
        <v>1.3699999999999999E-3</v>
      </c>
      <c r="H33" s="154">
        <v>2.3E-3</v>
      </c>
      <c r="I33" s="154">
        <v>2.7000000000000001E-3</v>
      </c>
      <c r="J33" s="154" t="s">
        <v>87</v>
      </c>
      <c r="K33" s="154">
        <v>3.3E-3</v>
      </c>
      <c r="L33" s="154">
        <v>3.7000000000000002E-3</v>
      </c>
      <c r="M33" s="154">
        <v>4.0000000000000001E-3</v>
      </c>
      <c r="N33" s="137" cm="1">
        <f t="array" aca="1" ref="N33:AE33" ca="1">IF(OR(B33="",NOT($J$2)),"",GetStripDefaultProbability(A33,B33,Parameter_Date,CDSRollDate,E33:M33,SpreadCurveMaturities,D33,C33,$J$4,$J$6))</f>
        <v>0</v>
      </c>
      <c r="O33" s="155">
        <f ca="1"/>
        <v>7.2539131528415179E-4</v>
      </c>
      <c r="P33" s="155">
        <f ca="1"/>
        <v>2.4365044348073628E-3</v>
      </c>
      <c r="Q33" s="155">
        <f ca="1"/>
        <v>7.9850315340376232E-3</v>
      </c>
      <c r="R33" s="155">
        <f ca="1"/>
        <v>1.3922063101171167E-2</v>
      </c>
      <c r="S33" s="155">
        <f ca="1"/>
        <v>0</v>
      </c>
      <c r="T33" s="155">
        <f ca="1"/>
        <v>2.795779810636323E-2</v>
      </c>
      <c r="U33" s="155">
        <f ca="1"/>
        <v>4.3591370636280047E-2</v>
      </c>
      <c r="V33" s="138">
        <f ca="1"/>
        <v>6.6735470630937432E-2</v>
      </c>
      <c r="W33" s="137">
        <f ca="1"/>
        <v>0</v>
      </c>
      <c r="X33" s="155">
        <f ca="1"/>
        <v>8.1835122846896091E-4</v>
      </c>
      <c r="Y33" s="155">
        <f ca="1"/>
        <v>2.602751163131467E-3</v>
      </c>
      <c r="Z33" s="155">
        <f ca="1"/>
        <v>8.3156480843742386E-3</v>
      </c>
      <c r="AA33" s="155">
        <f ca="1"/>
        <v>1.4414978830416425E-2</v>
      </c>
      <c r="AB33" s="155">
        <f ca="1"/>
        <v>0</v>
      </c>
      <c r="AC33" s="155">
        <f ca="1"/>
        <v>2.8787899018373087E-2</v>
      </c>
      <c r="AD33" s="155">
        <f ca="1"/>
        <v>4.4735817533264388E-2</v>
      </c>
      <c r="AE33" s="138">
        <f ca="1"/>
        <v>6.8336098905990017E-2</v>
      </c>
      <c r="AG33" s="454"/>
      <c r="AH33" s="456"/>
      <c r="AI33" s="455"/>
      <c r="AJ33" s="457"/>
      <c r="AK33" s="135"/>
      <c r="AL33" s="139"/>
      <c r="AM33" s="135"/>
      <c r="AN33" s="135"/>
      <c r="AO33" s="135"/>
      <c r="AQ33" s="135"/>
      <c r="AR33" s="135"/>
      <c r="AS33" s="135"/>
      <c r="AT33" s="135"/>
      <c r="AV33" s="135"/>
      <c r="AW33" s="135"/>
      <c r="AX33" s="135"/>
    </row>
    <row r="34" spans="1:50" s="79" customFormat="1" ht="11.25">
      <c r="A34" s="96">
        <f t="shared" ca="1" si="2"/>
        <v>23</v>
      </c>
      <c r="B34" s="68" t="s">
        <v>111</v>
      </c>
      <c r="C34" s="97">
        <v>0.4</v>
      </c>
      <c r="D34" s="69" t="s">
        <v>66</v>
      </c>
      <c r="E34" s="136" t="s">
        <v>87</v>
      </c>
      <c r="F34" s="154">
        <v>5.0000000000000001E-4</v>
      </c>
      <c r="G34" s="154">
        <v>8.9999999999999998E-4</v>
      </c>
      <c r="H34" s="154">
        <v>1.6000000000000001E-3</v>
      </c>
      <c r="I34" s="154">
        <v>2.3999999999999998E-3</v>
      </c>
      <c r="J34" s="154" t="s">
        <v>87</v>
      </c>
      <c r="K34" s="154">
        <v>3.5999999999999999E-3</v>
      </c>
      <c r="L34" s="154">
        <v>4.5999999999999999E-3</v>
      </c>
      <c r="M34" s="154">
        <v>5.7999999999999996E-3</v>
      </c>
      <c r="N34" s="137" cm="1">
        <f t="array" aca="1" ref="N34:AE34" ca="1">IF(OR(B34="",NOT($J$2)),"",GetStripDefaultProbability(A34,B34,Parameter_Date,CDSRollDate,E34:M34,SpreadCurveMaturities,D34,C34,$J$4,$J$6))</f>
        <v>0</v>
      </c>
      <c r="O34" s="155">
        <f ca="1"/>
        <v>4.6505499562699004E-4</v>
      </c>
      <c r="P34" s="155">
        <f ca="1"/>
        <v>1.6013534052684575E-3</v>
      </c>
      <c r="Q34" s="155">
        <f ca="1"/>
        <v>5.5628756926116019E-3</v>
      </c>
      <c r="R34" s="155">
        <f ca="1"/>
        <v>1.244637794616188E-2</v>
      </c>
      <c r="S34" s="155">
        <f ca="1"/>
        <v>0</v>
      </c>
      <c r="T34" s="155">
        <f ca="1"/>
        <v>3.0572944486627285E-2</v>
      </c>
      <c r="U34" s="155">
        <f ca="1"/>
        <v>5.4268244026708157E-2</v>
      </c>
      <c r="V34" s="138">
        <f ca="1"/>
        <v>9.6278166037515711E-2</v>
      </c>
      <c r="W34" s="137">
        <f ca="1"/>
        <v>0</v>
      </c>
      <c r="X34" s="155">
        <f ca="1"/>
        <v>5.5803964578249321E-4</v>
      </c>
      <c r="Y34" s="155">
        <f ca="1"/>
        <v>1.7677393138134656E-3</v>
      </c>
      <c r="Z34" s="155">
        <f ca="1"/>
        <v>5.8942994936811433E-3</v>
      </c>
      <c r="AA34" s="155">
        <f ca="1"/>
        <v>1.2940031333547819E-2</v>
      </c>
      <c r="AB34" s="155">
        <f ca="1"/>
        <v>0</v>
      </c>
      <c r="AC34" s="155">
        <f ca="1"/>
        <v>3.1401745846562856E-2</v>
      </c>
      <c r="AD34" s="155">
        <f ca="1"/>
        <v>5.5402845606078555E-2</v>
      </c>
      <c r="AE34" s="138">
        <f ca="1"/>
        <v>9.7831686861321154E-2</v>
      </c>
      <c r="AG34" s="454"/>
      <c r="AH34" s="456"/>
      <c r="AI34" s="455"/>
      <c r="AJ34" s="457"/>
      <c r="AK34" s="135"/>
      <c r="AL34" s="139"/>
      <c r="AM34" s="135"/>
      <c r="AN34" s="135"/>
      <c r="AO34" s="135"/>
      <c r="AQ34" s="135"/>
      <c r="AR34" s="135"/>
      <c r="AS34" s="135"/>
      <c r="AT34" s="135"/>
      <c r="AV34" s="135"/>
      <c r="AW34" s="135"/>
      <c r="AX34" s="135"/>
    </row>
    <row r="35" spans="1:50" s="79" customFormat="1" ht="11.25">
      <c r="A35" s="96">
        <f t="shared" ca="1" si="2"/>
        <v>24</v>
      </c>
      <c r="B35" s="68" t="s">
        <v>112</v>
      </c>
      <c r="C35" s="97">
        <v>0.4</v>
      </c>
      <c r="D35" s="69" t="s">
        <v>66</v>
      </c>
      <c r="E35" s="136" t="s">
        <v>87</v>
      </c>
      <c r="F35" s="154">
        <v>1.15E-3</v>
      </c>
      <c r="G35" s="154">
        <v>1.81E-3</v>
      </c>
      <c r="H35" s="154">
        <v>2.8E-3</v>
      </c>
      <c r="I35" s="154">
        <v>3.5000000000000001E-3</v>
      </c>
      <c r="J35" s="154" t="s">
        <v>87</v>
      </c>
      <c r="K35" s="154">
        <v>4.5999999999999999E-3</v>
      </c>
      <c r="L35" s="154">
        <v>5.1999999999999998E-3</v>
      </c>
      <c r="M35" s="154">
        <v>5.7000000000000002E-3</v>
      </c>
      <c r="N35" s="137" cm="1">
        <f t="array" aca="1" ref="N35:AE35" ca="1">IF(OR(B35="",NOT($J$2)),"",GetStripDefaultProbability(A35,B35,Parameter_Date,CDSRollDate,E35:M35,SpreadCurveMaturities,D35,C35,$J$4,$J$6))</f>
        <v>0</v>
      </c>
      <c r="O35" s="155">
        <f ca="1"/>
        <v>1.0693031837868405E-3</v>
      </c>
      <c r="P35" s="155">
        <f ca="1"/>
        <v>3.2159117106301816E-3</v>
      </c>
      <c r="Q35" s="155">
        <f ca="1"/>
        <v>9.7044457131680861E-3</v>
      </c>
      <c r="R35" s="155">
        <f ca="1"/>
        <v>1.8032917170507035E-2</v>
      </c>
      <c r="S35" s="155">
        <f ca="1"/>
        <v>0</v>
      </c>
      <c r="T35" s="155">
        <f ca="1"/>
        <v>3.8833654047241262E-2</v>
      </c>
      <c r="U35" s="155">
        <f ca="1"/>
        <v>6.0865409669501935E-2</v>
      </c>
      <c r="V35" s="138">
        <f ca="1"/>
        <v>9.4018655382655525E-2</v>
      </c>
      <c r="W35" s="137">
        <f ca="1"/>
        <v>0</v>
      </c>
      <c r="X35" s="155">
        <f ca="1"/>
        <v>1.1622300733186153E-3</v>
      </c>
      <c r="Y35" s="155">
        <f ca="1"/>
        <v>3.3820285485609558E-3</v>
      </c>
      <c r="Z35" s="155">
        <f ca="1"/>
        <v>1.0034489220950848E-2</v>
      </c>
      <c r="AA35" s="155">
        <f ca="1"/>
        <v>1.8523777986476642E-2</v>
      </c>
      <c r="AB35" s="155">
        <f ca="1"/>
        <v>0</v>
      </c>
      <c r="AC35" s="155">
        <f ca="1"/>
        <v>3.9654613654276916E-2</v>
      </c>
      <c r="AD35" s="155">
        <f ca="1"/>
        <v>6.1990291108670936E-2</v>
      </c>
      <c r="AE35" s="138">
        <f ca="1"/>
        <v>9.5572318519983601E-2</v>
      </c>
      <c r="AG35" s="454"/>
      <c r="AH35" s="456"/>
      <c r="AI35" s="455"/>
      <c r="AJ35" s="457"/>
      <c r="AK35" s="135"/>
      <c r="AL35" s="139"/>
      <c r="AM35" s="135"/>
      <c r="AN35" s="135"/>
      <c r="AO35" s="135"/>
      <c r="AQ35" s="135"/>
      <c r="AR35" s="135"/>
      <c r="AS35" s="135"/>
      <c r="AT35" s="135"/>
      <c r="AV35" s="135"/>
      <c r="AW35" s="135"/>
      <c r="AX35" s="135"/>
    </row>
    <row r="36" spans="1:50" s="79" customFormat="1" ht="11.25">
      <c r="A36" s="96">
        <f t="shared" ca="1" si="2"/>
        <v>25</v>
      </c>
      <c r="B36" s="68" t="s">
        <v>113</v>
      </c>
      <c r="C36" s="97">
        <v>0.4</v>
      </c>
      <c r="D36" s="69" t="s">
        <v>66</v>
      </c>
      <c r="E36" s="136" t="s">
        <v>87</v>
      </c>
      <c r="F36" s="154">
        <v>5.0000000000000001E-4</v>
      </c>
      <c r="G36" s="154">
        <v>6.9999999999999999E-4</v>
      </c>
      <c r="H36" s="154">
        <v>1.1000000000000001E-3</v>
      </c>
      <c r="I36" s="154">
        <v>1.6000000000000001E-3</v>
      </c>
      <c r="J36" s="154" t="s">
        <v>87</v>
      </c>
      <c r="K36" s="154">
        <v>2.3E-3</v>
      </c>
      <c r="L36" s="154">
        <v>2.8999999999999998E-3</v>
      </c>
      <c r="M36" s="154">
        <v>3.7000000000000002E-3</v>
      </c>
      <c r="N36" s="137" cm="1">
        <f t="array" aca="1" ref="N36:AE36" ca="1">IF(OR(B36="",NOT($J$2)),"",GetStripDefaultProbability(A36,B36,Parameter_Date,CDSRollDate,E36:M36,SpreadCurveMaturities,D36,C36,$J$4,$J$6))</f>
        <v>0</v>
      </c>
      <c r="O36" s="155">
        <f ca="1"/>
        <v>4.6505499562699004E-4</v>
      </c>
      <c r="P36" s="155">
        <f ca="1"/>
        <v>1.2437694058637927E-3</v>
      </c>
      <c r="Q36" s="155">
        <f ca="1"/>
        <v>3.8208714895480167E-3</v>
      </c>
      <c r="R36" s="155">
        <f ca="1"/>
        <v>8.2990265810173325E-3</v>
      </c>
      <c r="S36" s="155">
        <f ca="1"/>
        <v>0</v>
      </c>
      <c r="T36" s="155">
        <f ca="1"/>
        <v>1.9598702351606989E-2</v>
      </c>
      <c r="U36" s="155">
        <f ca="1"/>
        <v>3.4443606175442065E-2</v>
      </c>
      <c r="V36" s="138">
        <f ca="1"/>
        <v>6.2223621185982014E-2</v>
      </c>
      <c r="W36" s="137">
        <f ca="1"/>
        <v>0</v>
      </c>
      <c r="X36" s="155">
        <f ca="1"/>
        <v>5.5803964578249321E-4</v>
      </c>
      <c r="Y36" s="155">
        <f ca="1"/>
        <v>1.4102149067779512E-3</v>
      </c>
      <c r="Z36" s="155">
        <f ca="1"/>
        <v>4.1528758618992745E-3</v>
      </c>
      <c r="AA36" s="155">
        <f ca="1"/>
        <v>8.7947531257446254E-3</v>
      </c>
      <c r="AB36" s="155">
        <f ca="1"/>
        <v>0</v>
      </c>
      <c r="AC36" s="155">
        <f ca="1"/>
        <v>2.0436353950032404E-2</v>
      </c>
      <c r="AD36" s="155">
        <f ca="1"/>
        <v>3.5600212331821535E-2</v>
      </c>
      <c r="AE36" s="138">
        <f ca="1"/>
        <v>6.3836495857795938E-2</v>
      </c>
      <c r="AG36" s="454"/>
      <c r="AH36" s="456"/>
      <c r="AI36" s="455"/>
      <c r="AJ36" s="457"/>
      <c r="AK36" s="135"/>
      <c r="AL36" s="139"/>
      <c r="AM36" s="135"/>
      <c r="AN36" s="135"/>
      <c r="AO36" s="135"/>
      <c r="AQ36" s="135"/>
      <c r="AR36" s="135"/>
      <c r="AS36" s="135"/>
      <c r="AT36" s="135"/>
      <c r="AV36" s="135"/>
      <c r="AW36" s="135"/>
      <c r="AX36" s="135"/>
    </row>
    <row r="37" spans="1:50" s="79" customFormat="1" ht="11.25">
      <c r="A37" s="96">
        <f t="shared" ca="1" si="2"/>
        <v>26</v>
      </c>
      <c r="B37" s="68" t="s">
        <v>114</v>
      </c>
      <c r="C37" s="97">
        <v>0.4</v>
      </c>
      <c r="D37" s="69" t="s">
        <v>66</v>
      </c>
      <c r="E37" s="136" t="s">
        <v>87</v>
      </c>
      <c r="F37" s="154">
        <v>8.9999999999999998E-4</v>
      </c>
      <c r="G37" s="154">
        <v>2.2000000000000001E-3</v>
      </c>
      <c r="H37" s="154">
        <v>3.3E-3</v>
      </c>
      <c r="I37" s="154">
        <v>4.4999999999999997E-3</v>
      </c>
      <c r="J37" s="154" t="s">
        <v>87</v>
      </c>
      <c r="K37" s="154">
        <v>6.7999999999999996E-3</v>
      </c>
      <c r="L37" s="154">
        <v>8.3999999999999995E-3</v>
      </c>
      <c r="M37" s="154">
        <v>1.01E-2</v>
      </c>
      <c r="N37" s="137" cm="1">
        <f t="array" aca="1" ref="N37:AE37" ca="1">IF(OR(B37="",NOT($J$2)),"",GetStripDefaultProbability(A37,B37,Parameter_Date,CDSRollDate,E37:M37,SpreadCurveMaturities,D37,C37,$J$4,$J$6))</f>
        <v>0</v>
      </c>
      <c r="O37" s="155">
        <f ca="1"/>
        <v>8.3694326804184538E-4</v>
      </c>
      <c r="P37" s="155">
        <f ca="1"/>
        <v>3.9168602155890131E-3</v>
      </c>
      <c r="Q37" s="155">
        <f ca="1"/>
        <v>1.1435278673845417E-2</v>
      </c>
      <c r="R37" s="155">
        <f ca="1"/>
        <v>2.3190678749052673E-2</v>
      </c>
      <c r="S37" s="155">
        <f ca="1"/>
        <v>0</v>
      </c>
      <c r="T37" s="155">
        <f ca="1"/>
        <v>5.7125345984005982E-2</v>
      </c>
      <c r="U37" s="155">
        <f ca="1"/>
        <v>9.7306964069428514E-2</v>
      </c>
      <c r="V37" s="138">
        <f ca="1"/>
        <v>0.16265219325649094</v>
      </c>
      <c r="W37" s="137">
        <f ca="1"/>
        <v>0</v>
      </c>
      <c r="X37" s="155">
        <f ca="1"/>
        <v>9.2989251347452839E-4</v>
      </c>
      <c r="Y37" s="155">
        <f ca="1"/>
        <v>4.0828602385009072E-3</v>
      </c>
      <c r="Z37" s="155">
        <f ca="1"/>
        <v>1.1764745333441962E-2</v>
      </c>
      <c r="AA37" s="155">
        <f ca="1"/>
        <v>2.3678961328871373E-2</v>
      </c>
      <c r="AB37" s="155">
        <f ca="1"/>
        <v>0</v>
      </c>
      <c r="AC37" s="155">
        <f ca="1"/>
        <v>5.7929330261475065E-2</v>
      </c>
      <c r="AD37" s="155">
        <f ca="1"/>
        <v>9.8388501109802462E-2</v>
      </c>
      <c r="AE37" s="138">
        <f ca="1"/>
        <v>0.16411888841043321</v>
      </c>
      <c r="AG37" s="454"/>
      <c r="AH37" s="456"/>
      <c r="AI37" s="455"/>
      <c r="AJ37" s="457"/>
      <c r="AK37" s="135"/>
      <c r="AL37" s="139"/>
      <c r="AM37" s="135"/>
      <c r="AN37" s="135"/>
      <c r="AO37" s="135"/>
      <c r="AQ37" s="135"/>
      <c r="AR37" s="135"/>
      <c r="AS37" s="135"/>
      <c r="AT37" s="135"/>
      <c r="AV37" s="135"/>
      <c r="AW37" s="135"/>
      <c r="AX37" s="135"/>
    </row>
    <row r="38" spans="1:50" s="79" customFormat="1" ht="11.25">
      <c r="A38" s="96">
        <f t="shared" ca="1" si="2"/>
        <v>27</v>
      </c>
      <c r="B38" s="68" t="s">
        <v>115</v>
      </c>
      <c r="C38" s="97">
        <v>0.4</v>
      </c>
      <c r="D38" s="69" t="s">
        <v>66</v>
      </c>
      <c r="E38" s="136" t="s">
        <v>87</v>
      </c>
      <c r="F38" s="154">
        <v>5.0000000000000001E-4</v>
      </c>
      <c r="G38" s="154">
        <v>5.9999999999999995E-4</v>
      </c>
      <c r="H38" s="154">
        <v>1.1999999999999999E-3</v>
      </c>
      <c r="I38" s="154">
        <v>1.6000000000000001E-3</v>
      </c>
      <c r="J38" s="154" t="s">
        <v>87</v>
      </c>
      <c r="K38" s="154">
        <v>2.3E-3</v>
      </c>
      <c r="L38" s="154">
        <v>2.7000000000000001E-3</v>
      </c>
      <c r="M38" s="154">
        <v>3.3E-3</v>
      </c>
      <c r="N38" s="137" cm="1">
        <f t="array" aca="1" ref="N38:AE38" ca="1">IF(OR(B38="",NOT($J$2)),"",GetStripDefaultProbability(A38,B38,Parameter_Date,CDSRollDate,E38:M38,SpreadCurveMaturities,D38,C38,$J$4,$J$6))</f>
        <v>0</v>
      </c>
      <c r="O38" s="155">
        <f ca="1"/>
        <v>4.6505499562699004E-4</v>
      </c>
      <c r="P38" s="155">
        <f ca="1"/>
        <v>1.0649548260907027E-3</v>
      </c>
      <c r="Q38" s="155">
        <f ca="1"/>
        <v>4.1752021605023781E-3</v>
      </c>
      <c r="R38" s="155">
        <f ca="1"/>
        <v>8.293327816449314E-3</v>
      </c>
      <c r="S38" s="155">
        <f ca="1"/>
        <v>0</v>
      </c>
      <c r="T38" s="155">
        <f ca="1"/>
        <v>1.9592793086473992E-2</v>
      </c>
      <c r="U38" s="155">
        <f ca="1"/>
        <v>3.2043922318438334E-2</v>
      </c>
      <c r="V38" s="138">
        <f ca="1"/>
        <v>5.5546482703504374E-2</v>
      </c>
      <c r="W38" s="137">
        <f ca="1"/>
        <v>0</v>
      </c>
      <c r="X38" s="155">
        <f ca="1"/>
        <v>5.5803964578249321E-4</v>
      </c>
      <c r="Y38" s="155">
        <f ca="1"/>
        <v>1.2314301269625849E-3</v>
      </c>
      <c r="Z38" s="155">
        <f ca="1"/>
        <v>4.5070884423187296E-3</v>
      </c>
      <c r="AA38" s="155">
        <f ca="1"/>
        <v>8.7890572098774378E-3</v>
      </c>
      <c r="AB38" s="155">
        <f ca="1"/>
        <v>0</v>
      </c>
      <c r="AC38" s="155">
        <f ca="1"/>
        <v>2.0430413495651112E-2</v>
      </c>
      <c r="AD38" s="155">
        <f ca="1"/>
        <v>3.3202645574521128E-2</v>
      </c>
      <c r="AE38" s="138">
        <f ca="1"/>
        <v>5.7169267251541256E-2</v>
      </c>
      <c r="AG38" s="454"/>
      <c r="AH38" s="456"/>
      <c r="AI38" s="455"/>
      <c r="AJ38" s="457"/>
      <c r="AK38" s="135"/>
      <c r="AL38" s="139"/>
      <c r="AM38" s="135"/>
      <c r="AN38" s="135"/>
      <c r="AO38" s="135"/>
      <c r="AQ38" s="135"/>
      <c r="AR38" s="135"/>
      <c r="AS38" s="135"/>
      <c r="AT38" s="135"/>
      <c r="AV38" s="135"/>
      <c r="AW38" s="135"/>
      <c r="AX38" s="135"/>
    </row>
    <row r="39" spans="1:50" s="79" customFormat="1" ht="11.25">
      <c r="A39" s="96">
        <f t="shared" ca="1" si="2"/>
        <v>28</v>
      </c>
      <c r="B39" s="68" t="s">
        <v>116</v>
      </c>
      <c r="C39" s="97">
        <v>0.4</v>
      </c>
      <c r="D39" s="69" t="s">
        <v>66</v>
      </c>
      <c r="E39" s="136" t="s">
        <v>87</v>
      </c>
      <c r="F39" s="154">
        <v>1E-3</v>
      </c>
      <c r="G39" s="154">
        <v>1.2999999999999999E-3</v>
      </c>
      <c r="H39" s="154">
        <v>2.3E-3</v>
      </c>
      <c r="I39" s="154">
        <v>3.3999999999999998E-3</v>
      </c>
      <c r="J39" s="154" t="s">
        <v>87</v>
      </c>
      <c r="K39" s="154">
        <v>5.1000000000000004E-3</v>
      </c>
      <c r="L39" s="154">
        <v>6.4999999999999997E-3</v>
      </c>
      <c r="M39" s="154">
        <v>7.6E-3</v>
      </c>
      <c r="N39" s="137" cm="1">
        <f t="array" aca="1" ref="N39:AE39" ca="1">IF(OR(B39="",NOT($J$2)),"",GetStripDefaultProbability(A39,B39,Parameter_Date,CDSRollDate,E39:M39,SpreadCurveMaturities,D39,C39,$J$4,$J$6))</f>
        <v>0</v>
      </c>
      <c r="O39" s="155">
        <f ca="1"/>
        <v>9.2989371787344233E-4</v>
      </c>
      <c r="P39" s="155">
        <f ca="1"/>
        <v>2.3075589355034953E-3</v>
      </c>
      <c r="Q39" s="155">
        <f ca="1"/>
        <v>7.9840575679024361E-3</v>
      </c>
      <c r="R39" s="155">
        <f ca="1"/>
        <v>1.7590429201058355E-2</v>
      </c>
      <c r="S39" s="155">
        <f ca="1"/>
        <v>0</v>
      </c>
      <c r="T39" s="155">
        <f ca="1"/>
        <v>4.3101979162067594E-2</v>
      </c>
      <c r="U39" s="155">
        <f ca="1"/>
        <v>7.6038413730364907E-2</v>
      </c>
      <c r="V39" s="138">
        <f ca="1"/>
        <v>0.12440368826494208</v>
      </c>
      <c r="W39" s="137">
        <f ca="1"/>
        <v>0</v>
      </c>
      <c r="X39" s="155">
        <f ca="1"/>
        <v>1.0228340424542903E-3</v>
      </c>
      <c r="Y39" s="155">
        <f ca="1"/>
        <v>2.4738271529521905E-3</v>
      </c>
      <c r="Z39" s="155">
        <f ca="1"/>
        <v>8.3146744428531649E-3</v>
      </c>
      <c r="AA39" s="155">
        <f ca="1"/>
        <v>1.8081511205721101E-2</v>
      </c>
      <c r="AB39" s="155">
        <f ca="1"/>
        <v>0</v>
      </c>
      <c r="AC39" s="155">
        <f ca="1"/>
        <v>4.3919705030455725E-2</v>
      </c>
      <c r="AD39" s="155">
        <f ca="1"/>
        <v>7.7147028508381954E-2</v>
      </c>
      <c r="AE39" s="138">
        <f ca="1"/>
        <v>0.12592677229565474</v>
      </c>
      <c r="AG39" s="454"/>
      <c r="AH39" s="456"/>
      <c r="AI39" s="455"/>
      <c r="AJ39" s="457"/>
      <c r="AK39" s="135"/>
      <c r="AM39" s="135"/>
      <c r="AN39" s="135"/>
      <c r="AO39" s="135"/>
      <c r="AQ39" s="135"/>
      <c r="AR39" s="135"/>
      <c r="AS39" s="135"/>
      <c r="AT39" s="135"/>
      <c r="AV39" s="135"/>
      <c r="AW39" s="135"/>
      <c r="AX39" s="135"/>
    </row>
    <row r="40" spans="1:50" s="79" customFormat="1" ht="11.25">
      <c r="A40" s="96">
        <f t="shared" ca="1" si="2"/>
        <v>29</v>
      </c>
      <c r="B40" s="68" t="s">
        <v>117</v>
      </c>
      <c r="C40" s="97">
        <v>0.4</v>
      </c>
      <c r="D40" s="69" t="s">
        <v>66</v>
      </c>
      <c r="E40" s="136" t="s">
        <v>87</v>
      </c>
      <c r="F40" s="154">
        <v>1.91E-3</v>
      </c>
      <c r="G40" s="154">
        <v>2.1800000000000001E-3</v>
      </c>
      <c r="H40" s="154">
        <v>2.9099999999999998E-3</v>
      </c>
      <c r="I40" s="154">
        <v>3.48E-3</v>
      </c>
      <c r="J40" s="154" t="s">
        <v>87</v>
      </c>
      <c r="K40" s="154">
        <v>4.3E-3</v>
      </c>
      <c r="L40" s="154">
        <v>4.7499999999999999E-3</v>
      </c>
      <c r="M40" s="154">
        <v>5.1000000000000004E-3</v>
      </c>
      <c r="N40" s="137" cm="1">
        <f t="array" aca="1" ref="N40:AE40" ca="1">IF(OR(B40="",NOT($J$2)),"",GetStripDefaultProbability(A40,B40,Parameter_Date,CDSRollDate,E40:M40,SpreadCurveMaturities,D40,C40,$J$4,$J$6))</f>
        <v>0</v>
      </c>
      <c r="O40" s="155">
        <f ca="1"/>
        <v>1.7753456843576654E-3</v>
      </c>
      <c r="P40" s="155">
        <f ca="1"/>
        <v>3.862687665371678E-3</v>
      </c>
      <c r="Q40" s="155">
        <f ca="1"/>
        <v>1.0057293586719585E-2</v>
      </c>
      <c r="R40" s="155">
        <f ca="1"/>
        <v>1.7884581924764054E-2</v>
      </c>
      <c r="S40" s="155">
        <f ca="1"/>
        <v>0</v>
      </c>
      <c r="T40" s="155">
        <f ca="1"/>
        <v>3.6273868330686909E-2</v>
      </c>
      <c r="U40" s="155">
        <f ca="1"/>
        <v>5.5616030223536228E-2</v>
      </c>
      <c r="V40" s="138">
        <f ca="1"/>
        <v>8.4332338695392473E-2</v>
      </c>
      <c r="W40" s="137">
        <f ca="1"/>
        <v>0</v>
      </c>
      <c r="X40" s="155">
        <f ca="1"/>
        <v>1.8682034657326874E-3</v>
      </c>
      <c r="Y40" s="155">
        <f ca="1"/>
        <v>4.0286967162957987E-3</v>
      </c>
      <c r="Z40" s="155">
        <f ca="1"/>
        <v>1.0387219498141254E-2</v>
      </c>
      <c r="AA40" s="155">
        <f ca="1"/>
        <v>1.8375516889832744E-2</v>
      </c>
      <c r="AB40" s="155">
        <f ca="1"/>
        <v>0</v>
      </c>
      <c r="AC40" s="155">
        <f ca="1"/>
        <v>3.709668364767138E-2</v>
      </c>
      <c r="AD40" s="155">
        <f ca="1"/>
        <v>5.674622155736786E-2</v>
      </c>
      <c r="AE40" s="138">
        <f ca="1"/>
        <v>8.5901851762306025E-2</v>
      </c>
      <c r="AG40" s="454"/>
      <c r="AH40" s="456"/>
      <c r="AI40" s="455"/>
      <c r="AJ40" s="457"/>
      <c r="AK40" s="135"/>
      <c r="AM40" s="135"/>
      <c r="AN40" s="135"/>
      <c r="AO40" s="135"/>
      <c r="AQ40" s="135"/>
      <c r="AR40" s="135"/>
      <c r="AS40" s="135"/>
      <c r="AT40" s="135"/>
      <c r="AV40" s="135"/>
      <c r="AW40" s="135"/>
      <c r="AX40" s="135"/>
    </row>
    <row r="41" spans="1:50" s="79" customFormat="1" ht="11.25">
      <c r="A41" s="96">
        <f t="shared" ca="1" si="2"/>
        <v>30</v>
      </c>
      <c r="B41" s="68" t="s">
        <v>118</v>
      </c>
      <c r="C41" s="97">
        <v>0.4</v>
      </c>
      <c r="D41" s="69" t="s">
        <v>66</v>
      </c>
      <c r="E41" s="136" t="s">
        <v>87</v>
      </c>
      <c r="F41" s="154">
        <v>4.0000000000000002E-4</v>
      </c>
      <c r="G41" s="154">
        <v>6.9999999999999999E-4</v>
      </c>
      <c r="H41" s="154">
        <v>1.1999999999999999E-3</v>
      </c>
      <c r="I41" s="154">
        <v>1.9E-3</v>
      </c>
      <c r="J41" s="154" t="s">
        <v>87</v>
      </c>
      <c r="K41" s="154">
        <v>2.8E-3</v>
      </c>
      <c r="L41" s="154">
        <v>3.5999999999999999E-3</v>
      </c>
      <c r="M41" s="154">
        <v>4.4000000000000003E-3</v>
      </c>
      <c r="N41" s="137" cm="1">
        <f t="array" aca="1" ref="N41:AE41" ca="1">IF(OR(B41="",NOT($J$2)),"",GetStripDefaultProbability(A41,B41,Parameter_Date,CDSRollDate,E41:M41,SpreadCurveMaturities,D41,C41,$J$4,$J$6))</f>
        <v>0</v>
      </c>
      <c r="O41" s="155">
        <f ca="1"/>
        <v>3.7206130320088793E-4</v>
      </c>
      <c r="P41" s="155">
        <f ca="1"/>
        <v>1.2454766991428778E-3</v>
      </c>
      <c r="Q41" s="155">
        <f ca="1"/>
        <v>4.17282171915212E-3</v>
      </c>
      <c r="R41" s="155">
        <f ca="1"/>
        <v>9.8693951780186584E-3</v>
      </c>
      <c r="S41" s="155">
        <f ca="1"/>
        <v>0</v>
      </c>
      <c r="T41" s="155">
        <f ca="1"/>
        <v>2.3843926441411867E-2</v>
      </c>
      <c r="U41" s="155">
        <f ca="1"/>
        <v>4.2667222647860381E-2</v>
      </c>
      <c r="V41" s="138">
        <f ca="1"/>
        <v>7.365494003201678E-2</v>
      </c>
      <c r="W41" s="137">
        <f ca="1"/>
        <v>0</v>
      </c>
      <c r="X41" s="155">
        <f ca="1"/>
        <v>4.6505473678803977E-4</v>
      </c>
      <c r="Y41" s="155">
        <f ca="1"/>
        <v>1.4119219155342977E-3</v>
      </c>
      <c r="Z41" s="155">
        <f ca="1"/>
        <v>4.5047087943315134E-3</v>
      </c>
      <c r="AA41" s="155">
        <f ca="1"/>
        <v>1.0364336734749124E-2</v>
      </c>
      <c r="AB41" s="155">
        <f ca="1"/>
        <v>0</v>
      </c>
      <c r="AC41" s="155">
        <f ca="1"/>
        <v>2.4678312441897887E-2</v>
      </c>
      <c r="AD41" s="155">
        <f ca="1"/>
        <v>4.3815015907007093E-2</v>
      </c>
      <c r="AE41" s="138">
        <f ca="1"/>
        <v>7.5248396829085906E-2</v>
      </c>
      <c r="AG41" s="454"/>
      <c r="AH41" s="456"/>
      <c r="AI41" s="455"/>
      <c r="AJ41" s="457"/>
      <c r="AK41" s="135"/>
      <c r="AM41" s="135"/>
      <c r="AN41" s="135"/>
      <c r="AO41" s="135"/>
      <c r="AQ41" s="135"/>
      <c r="AR41" s="135"/>
      <c r="AS41" s="135"/>
      <c r="AT41" s="135"/>
      <c r="AV41" s="135"/>
      <c r="AW41" s="135"/>
      <c r="AX41" s="135"/>
    </row>
    <row r="42" spans="1:50" s="79" customFormat="1" ht="11.25">
      <c r="A42" s="96">
        <f t="shared" ca="1" si="2"/>
        <v>31</v>
      </c>
      <c r="B42" s="68" t="s">
        <v>119</v>
      </c>
      <c r="C42" s="97">
        <v>0.4</v>
      </c>
      <c r="D42" s="69" t="s">
        <v>66</v>
      </c>
      <c r="E42" s="136" t="s">
        <v>87</v>
      </c>
      <c r="F42" s="154">
        <v>8.9999999999999998E-4</v>
      </c>
      <c r="G42" s="154">
        <v>1.8E-3</v>
      </c>
      <c r="H42" s="154">
        <v>3.5000000000000001E-3</v>
      </c>
      <c r="I42" s="154">
        <v>4.1000000000000003E-3</v>
      </c>
      <c r="J42" s="154" t="s">
        <v>87</v>
      </c>
      <c r="K42" s="154">
        <v>5.8999999999999999E-3</v>
      </c>
      <c r="L42" s="154">
        <v>7.1999999999999998E-3</v>
      </c>
      <c r="M42" s="154">
        <v>8.5000000000000006E-3</v>
      </c>
      <c r="N42" s="137" cm="1">
        <f t="array" aca="1" ref="N42:AE42" ca="1">IF(OR(B42="",NOT($J$2)),"",GetStripDefaultProbability(A42,B42,Parameter_Date,CDSRollDate,E42:M42,SpreadCurveMaturities,D42,C42,$J$4,$J$6))</f>
        <v>0</v>
      </c>
      <c r="O42" s="155">
        <f ca="1"/>
        <v>8.3694326804184538E-4</v>
      </c>
      <c r="P42" s="155">
        <f ca="1"/>
        <v>3.2025460033593411E-3</v>
      </c>
      <c r="Q42" s="155">
        <f ca="1"/>
        <v>1.2150863054514405E-2</v>
      </c>
      <c r="R42" s="155">
        <f ca="1"/>
        <v>2.1097677200104137E-2</v>
      </c>
      <c r="S42" s="155">
        <f ca="1"/>
        <v>0</v>
      </c>
      <c r="T42" s="155">
        <f ca="1"/>
        <v>4.9632524652658994E-2</v>
      </c>
      <c r="U42" s="155">
        <f ca="1"/>
        <v>8.3740292497212265E-2</v>
      </c>
      <c r="V42" s="138">
        <f ca="1"/>
        <v>0.13811497166560893</v>
      </c>
      <c r="W42" s="137">
        <f ca="1"/>
        <v>0</v>
      </c>
      <c r="X42" s="155">
        <f ca="1"/>
        <v>9.2989251347452839E-4</v>
      </c>
      <c r="Y42" s="155">
        <f ca="1"/>
        <v>3.3686650687140274E-3</v>
      </c>
      <c r="Z42" s="155">
        <f ca="1"/>
        <v>1.2480091225765877E-2</v>
      </c>
      <c r="AA42" s="155">
        <f ca="1"/>
        <v>2.1587006019108901E-2</v>
      </c>
      <c r="AB42" s="155">
        <f ca="1"/>
        <v>0</v>
      </c>
      <c r="AC42" s="155">
        <f ca="1"/>
        <v>5.0443651680493695E-2</v>
      </c>
      <c r="AD42" s="155">
        <f ca="1"/>
        <v>8.4838538372919547E-2</v>
      </c>
      <c r="AE42" s="138">
        <f ca="1"/>
        <v>0.13961633363318704</v>
      </c>
      <c r="AG42" s="454"/>
      <c r="AH42" s="456"/>
      <c r="AI42" s="455"/>
      <c r="AJ42" s="457"/>
      <c r="AK42" s="135"/>
      <c r="AM42" s="135"/>
      <c r="AN42" s="135"/>
      <c r="AO42" s="135"/>
      <c r="AQ42" s="135"/>
      <c r="AR42" s="135"/>
      <c r="AS42" s="135"/>
      <c r="AT42" s="135"/>
      <c r="AV42" s="135"/>
      <c r="AW42" s="135"/>
      <c r="AX42" s="135"/>
    </row>
    <row r="43" spans="1:50" s="79" customFormat="1" ht="11.25">
      <c r="A43" s="96">
        <f t="shared" ca="1" si="2"/>
        <v>32</v>
      </c>
      <c r="B43" s="68" t="s">
        <v>120</v>
      </c>
      <c r="C43" s="97">
        <v>0.4</v>
      </c>
      <c r="D43" s="69" t="s">
        <v>66</v>
      </c>
      <c r="E43" s="136" t="s">
        <v>87</v>
      </c>
      <c r="F43" s="154">
        <v>3.3E-4</v>
      </c>
      <c r="G43" s="154">
        <v>9.1E-4</v>
      </c>
      <c r="H43" s="154">
        <v>1.64E-3</v>
      </c>
      <c r="I43" s="154">
        <v>2.1800000000000001E-3</v>
      </c>
      <c r="J43" s="154" t="s">
        <v>87</v>
      </c>
      <c r="K43" s="154">
        <v>3.0000000000000001E-3</v>
      </c>
      <c r="L43" s="154">
        <v>3.4499999999999999E-3</v>
      </c>
      <c r="M43" s="154">
        <v>3.8E-3</v>
      </c>
      <c r="N43" s="137" cm="1">
        <f t="array" aca="1" ref="N43:AE43" ca="1">IF(OR(B43="",NOT($J$2)),"",GetStripDefaultProbability(A43,B43,Parameter_Date,CDSRollDate,E43:M43,SpreadCurveMaturities,D43,C43,$J$4,$J$6))</f>
        <v>0</v>
      </c>
      <c r="O43" s="155">
        <f ca="1"/>
        <v>3.0696057055534798E-4</v>
      </c>
      <c r="P43" s="155">
        <f ca="1"/>
        <v>1.6221629536352644E-3</v>
      </c>
      <c r="Q43" s="155">
        <f ca="1"/>
        <v>5.7054347603796574E-3</v>
      </c>
      <c r="R43" s="155">
        <f ca="1"/>
        <v>1.1289060602948764E-2</v>
      </c>
      <c r="S43" s="155">
        <f ca="1"/>
        <v>0</v>
      </c>
      <c r="T43" s="155">
        <f ca="1"/>
        <v>2.5496885853451556E-2</v>
      </c>
      <c r="U43" s="155">
        <f ca="1"/>
        <v>4.0779931541164327E-2</v>
      </c>
      <c r="V43" s="138">
        <f ca="1"/>
        <v>6.3603619858746741E-2</v>
      </c>
      <c r="W43" s="137">
        <f ca="1"/>
        <v>0</v>
      </c>
      <c r="X43" s="155">
        <f ca="1"/>
        <v>3.9996013688403664E-4</v>
      </c>
      <c r="Y43" s="155">
        <f ca="1"/>
        <v>1.7885453942293461E-3</v>
      </c>
      <c r="Z43" s="155">
        <f ca="1"/>
        <v>6.0368110496809013E-3</v>
      </c>
      <c r="AA43" s="155">
        <f ca="1"/>
        <v>1.1783292504380372E-2</v>
      </c>
      <c r="AB43" s="155">
        <f ca="1"/>
        <v>0</v>
      </c>
      <c r="AC43" s="155">
        <f ca="1"/>
        <v>2.6329606772743652E-2</v>
      </c>
      <c r="AD43" s="155">
        <f ca="1"/>
        <v>4.1928592132833176E-2</v>
      </c>
      <c r="AE43" s="138">
        <f ca="1"/>
        <v>6.5211025069992767E-2</v>
      </c>
      <c r="AG43" s="454"/>
      <c r="AH43" s="456"/>
      <c r="AI43" s="455"/>
      <c r="AJ43" s="457"/>
      <c r="AK43" s="135"/>
      <c r="AM43" s="135"/>
      <c r="AN43" s="135"/>
      <c r="AO43" s="135"/>
      <c r="AQ43" s="135"/>
      <c r="AR43" s="135"/>
      <c r="AS43" s="135"/>
      <c r="AT43" s="135"/>
      <c r="AV43" s="135"/>
      <c r="AW43" s="135"/>
      <c r="AX43" s="135"/>
    </row>
    <row r="44" spans="1:50" s="79" customFormat="1" ht="11.25">
      <c r="A44" s="96">
        <f t="shared" ca="1" si="2"/>
        <v>33</v>
      </c>
      <c r="B44" s="68" t="s">
        <v>121</v>
      </c>
      <c r="C44" s="97">
        <v>0.4</v>
      </c>
      <c r="D44" s="69" t="s">
        <v>66</v>
      </c>
      <c r="E44" s="136" t="s">
        <v>87</v>
      </c>
      <c r="F44" s="154">
        <v>8.3000000000000001E-4</v>
      </c>
      <c r="G44" s="154">
        <v>1.7600000000000001E-3</v>
      </c>
      <c r="H44" s="154">
        <v>2.8300000000000001E-3</v>
      </c>
      <c r="I44" s="154">
        <v>3.5100000000000001E-3</v>
      </c>
      <c r="J44" s="154" t="s">
        <v>87</v>
      </c>
      <c r="K44" s="154">
        <v>4.7999999999999996E-3</v>
      </c>
      <c r="L44" s="154">
        <v>5.3E-3</v>
      </c>
      <c r="M44" s="154">
        <v>5.7000000000000002E-3</v>
      </c>
      <c r="N44" s="137" cm="1">
        <f t="array" aca="1" ref="N44:AE44" ca="1">IF(OR(B44="",NOT($J$2)),"",GetStripDefaultProbability(A44,B44,Parameter_Date,CDSRollDate,E44:M44,SpreadCurveMaturities,D44,C44,$J$4,$J$6))</f>
        <v>0</v>
      </c>
      <c r="O44" s="155">
        <f ca="1"/>
        <v>7.7187280880275377E-4</v>
      </c>
      <c r="P44" s="155">
        <f ca="1"/>
        <v>3.132357250947182E-3</v>
      </c>
      <c r="Q44" s="155">
        <f ca="1"/>
        <v>9.8173668477745668E-3</v>
      </c>
      <c r="R44" s="155">
        <f ca="1"/>
        <v>1.809040667640438E-2</v>
      </c>
      <c r="S44" s="155">
        <f ca="1"/>
        <v>0</v>
      </c>
      <c r="T44" s="155">
        <f ca="1"/>
        <v>4.0514080670426278E-2</v>
      </c>
      <c r="U44" s="155">
        <f ca="1"/>
        <v>6.1979795778891233E-2</v>
      </c>
      <c r="V44" s="138">
        <f ca="1"/>
        <v>9.3938363835501804E-2</v>
      </c>
      <c r="W44" s="137">
        <f ca="1"/>
        <v>0</v>
      </c>
      <c r="X44" s="155">
        <f ca="1"/>
        <v>8.6482828200629136E-4</v>
      </c>
      <c r="Y44" s="155">
        <f ca="1"/>
        <v>3.2984880134558914E-3</v>
      </c>
      <c r="Z44" s="155">
        <f ca="1"/>
        <v>1.0147372721463599E-2</v>
      </c>
      <c r="AA44" s="155">
        <f ca="1"/>
        <v>1.8581238754808549E-2</v>
      </c>
      <c r="AB44" s="155">
        <f ca="1"/>
        <v>0</v>
      </c>
      <c r="AC44" s="155">
        <f ca="1"/>
        <v>4.1333657574256111E-2</v>
      </c>
      <c r="AD44" s="155">
        <f ca="1"/>
        <v>6.3103433167311374E-2</v>
      </c>
      <c r="AE44" s="138">
        <f ca="1"/>
        <v>9.549174513619918E-2</v>
      </c>
      <c r="AG44" s="454"/>
      <c r="AH44" s="456"/>
      <c r="AI44" s="455"/>
      <c r="AJ44" s="457"/>
      <c r="AK44" s="135"/>
      <c r="AM44" s="135"/>
      <c r="AN44" s="135"/>
      <c r="AO44" s="135"/>
      <c r="AQ44" s="135"/>
      <c r="AR44" s="135"/>
      <c r="AS44" s="135"/>
      <c r="AT44" s="135"/>
      <c r="AV44" s="135"/>
      <c r="AW44" s="135"/>
      <c r="AX44" s="135"/>
    </row>
    <row r="45" spans="1:50" s="79" customFormat="1" ht="11.25">
      <c r="A45" s="96">
        <f t="shared" ca="1" si="2"/>
        <v>34</v>
      </c>
      <c r="B45" s="68" t="s">
        <v>122</v>
      </c>
      <c r="C45" s="97">
        <v>0.4</v>
      </c>
      <c r="D45" s="69" t="s">
        <v>66</v>
      </c>
      <c r="E45" s="136" t="s">
        <v>87</v>
      </c>
      <c r="F45" s="154">
        <v>1.1999999999999999E-3</v>
      </c>
      <c r="G45" s="154">
        <v>1.4E-3</v>
      </c>
      <c r="H45" s="154">
        <v>1.8E-3</v>
      </c>
      <c r="I45" s="154">
        <v>2.3E-3</v>
      </c>
      <c r="J45" s="154" t="s">
        <v>87</v>
      </c>
      <c r="K45" s="154">
        <v>2.7000000000000001E-3</v>
      </c>
      <c r="L45" s="154">
        <v>3.3E-3</v>
      </c>
      <c r="M45" s="154">
        <v>4.1000000000000003E-3</v>
      </c>
      <c r="N45" s="137" cm="1">
        <f t="array" aca="1" ref="N45:AE45" ca="1">IF(OR(B45="",NOT($J$2)),"",GetStripDefaultProbability(A45,B45,Parameter_Date,CDSRollDate,E45:M45,SpreadCurveMaturities,D45,C45,$J$4,$J$6))</f>
        <v>0</v>
      </c>
      <c r="O45" s="155">
        <f ca="1"/>
        <v>1.1157686840057579E-3</v>
      </c>
      <c r="P45" s="155">
        <f ca="1"/>
        <v>2.4826986701378395E-3</v>
      </c>
      <c r="Q45" s="155">
        <f ca="1"/>
        <v>6.2287057905406895E-3</v>
      </c>
      <c r="R45" s="155">
        <f ca="1"/>
        <v>1.1865855608316211E-2</v>
      </c>
      <c r="S45" s="155">
        <f ca="1"/>
        <v>0</v>
      </c>
      <c r="T45" s="155">
        <f ca="1"/>
        <v>2.2914591268579088E-2</v>
      </c>
      <c r="U45" s="155">
        <f ca="1"/>
        <v>3.9029839605895678E-2</v>
      </c>
      <c r="V45" s="138">
        <f ca="1"/>
        <v>6.8640239118051727E-2</v>
      </c>
      <c r="W45" s="137">
        <f ca="1"/>
        <v>0</v>
      </c>
      <c r="X45" s="155">
        <f ca="1"/>
        <v>1.2086910806557993E-3</v>
      </c>
      <c r="Y45" s="155">
        <f ca="1"/>
        <v>2.6489377000513681E-3</v>
      </c>
      <c r="Z45" s="155">
        <f ca="1"/>
        <v>6.559907685226074E-3</v>
      </c>
      <c r="AA45" s="155">
        <f ca="1"/>
        <v>1.235979918431962E-2</v>
      </c>
      <c r="AB45" s="155">
        <f ca="1"/>
        <v>0</v>
      </c>
      <c r="AC45" s="155">
        <f ca="1"/>
        <v>2.3748793502345711E-2</v>
      </c>
      <c r="AD45" s="155">
        <f ca="1"/>
        <v>4.0180111870953605E-2</v>
      </c>
      <c r="AE45" s="138">
        <f ca="1"/>
        <v>7.0240623984377248E-2</v>
      </c>
      <c r="AG45" s="454"/>
      <c r="AH45" s="456"/>
      <c r="AI45" s="455"/>
      <c r="AJ45" s="457"/>
      <c r="AK45" s="135"/>
      <c r="AM45" s="135"/>
      <c r="AN45" s="135"/>
      <c r="AO45" s="135"/>
      <c r="AQ45" s="135"/>
      <c r="AR45" s="135"/>
      <c r="AS45" s="135"/>
      <c r="AT45" s="135"/>
      <c r="AV45" s="135"/>
      <c r="AW45" s="135"/>
      <c r="AX45" s="135"/>
    </row>
    <row r="46" spans="1:50" s="79" customFormat="1" ht="11.25">
      <c r="A46" s="96">
        <f t="shared" ca="1" si="2"/>
        <v>35</v>
      </c>
      <c r="B46" s="68" t="s">
        <v>123</v>
      </c>
      <c r="C46" s="97">
        <v>0.4</v>
      </c>
      <c r="D46" s="69" t="s">
        <v>66</v>
      </c>
      <c r="E46" s="136" t="s">
        <v>87</v>
      </c>
      <c r="F46" s="154">
        <v>4.0000000000000002E-4</v>
      </c>
      <c r="G46" s="154">
        <v>8.9999999999999998E-4</v>
      </c>
      <c r="H46" s="154">
        <v>1.4E-3</v>
      </c>
      <c r="I46" s="154">
        <v>1.8E-3</v>
      </c>
      <c r="J46" s="154" t="s">
        <v>87</v>
      </c>
      <c r="K46" s="154">
        <v>2.7000000000000001E-3</v>
      </c>
      <c r="L46" s="154">
        <v>3.3999999999999998E-3</v>
      </c>
      <c r="M46" s="154">
        <v>4.1000000000000003E-3</v>
      </c>
      <c r="N46" s="137" cm="1">
        <f t="array" aca="1" ref="N46:AE46" ca="1">IF(OR(B46="",NOT($J$2)),"",GetStripDefaultProbability(A46,B46,Parameter_Date,CDSRollDate,E46:M46,SpreadCurveMaturities,D46,C46,$J$4,$J$6))</f>
        <v>0</v>
      </c>
      <c r="O46" s="155">
        <f ca="1"/>
        <v>3.7206130320088793E-4</v>
      </c>
      <c r="P46" s="155">
        <f ca="1"/>
        <v>1.6030771977488811E-3</v>
      </c>
      <c r="Q46" s="155">
        <f ca="1"/>
        <v>4.8647287890087876E-3</v>
      </c>
      <c r="R46" s="155">
        <f ca="1"/>
        <v>9.3147837051437143E-3</v>
      </c>
      <c r="S46" s="155">
        <f ca="1"/>
        <v>0</v>
      </c>
      <c r="T46" s="155">
        <f ca="1"/>
        <v>2.2961825006164283E-2</v>
      </c>
      <c r="U46" s="155">
        <f ca="1"/>
        <v>4.0275911072917947E-2</v>
      </c>
      <c r="V46" s="138">
        <f ca="1"/>
        <v>6.8691679931278227E-2</v>
      </c>
      <c r="W46" s="137">
        <f ca="1"/>
        <v>0</v>
      </c>
      <c r="X46" s="155">
        <f ca="1"/>
        <v>4.6505473678803977E-4</v>
      </c>
      <c r="Y46" s="155">
        <f ca="1"/>
        <v>1.7694628190280115E-3</v>
      </c>
      <c r="Z46" s="155">
        <f ca="1"/>
        <v>5.1963852669225652E-3</v>
      </c>
      <c r="AA46" s="155">
        <f ca="1"/>
        <v>9.8100024982576972E-3</v>
      </c>
      <c r="AB46" s="155">
        <f ca="1"/>
        <v>0</v>
      </c>
      <c r="AC46" s="155">
        <f ca="1"/>
        <v>2.3796748846520166E-2</v>
      </c>
      <c r="AD46" s="155">
        <f ca="1"/>
        <v>4.1426079549916173E-2</v>
      </c>
      <c r="AE46" s="138">
        <f ca="1"/>
        <v>7.0293059960643944E-2</v>
      </c>
      <c r="AG46" s="454"/>
      <c r="AH46" s="456"/>
      <c r="AI46" s="455"/>
      <c r="AJ46" s="457"/>
      <c r="AK46" s="135"/>
      <c r="AM46" s="135"/>
      <c r="AN46" s="135"/>
      <c r="AO46" s="135"/>
      <c r="AQ46" s="135"/>
      <c r="AR46" s="135"/>
      <c r="AS46" s="135"/>
      <c r="AT46" s="135"/>
      <c r="AV46" s="135"/>
      <c r="AW46" s="135"/>
      <c r="AX46" s="135"/>
    </row>
    <row r="47" spans="1:50" s="79" customFormat="1" ht="11.25">
      <c r="A47" s="96">
        <f t="shared" ca="1" si="2"/>
        <v>36</v>
      </c>
      <c r="B47" s="68" t="s">
        <v>124</v>
      </c>
      <c r="C47" s="97">
        <v>0.4</v>
      </c>
      <c r="D47" s="69" t="s">
        <v>66</v>
      </c>
      <c r="E47" s="136" t="s">
        <v>87</v>
      </c>
      <c r="F47" s="154">
        <v>1.8500000000000001E-3</v>
      </c>
      <c r="G47" s="154">
        <v>2.0699999999999998E-3</v>
      </c>
      <c r="H47" s="154">
        <v>2.81E-3</v>
      </c>
      <c r="I47" s="154">
        <v>3.2599999999999999E-3</v>
      </c>
      <c r="J47" s="154" t="s">
        <v>87</v>
      </c>
      <c r="K47" s="154">
        <v>4.1000000000000003E-3</v>
      </c>
      <c r="L47" s="154">
        <v>4.5999999999999999E-3</v>
      </c>
      <c r="M47" s="154">
        <v>5.0000000000000001E-3</v>
      </c>
      <c r="N47" s="137" cm="1">
        <f t="array" aca="1" ref="N47:AE47" ca="1">IF(OR(B47="",NOT($J$2)),"",GetStripDefaultProbability(A47,B47,Parameter_Date,CDSRollDate,E47:M47,SpreadCurveMaturities,D47,C47,$J$4,$J$6))</f>
        <v>0</v>
      </c>
      <c r="O47" s="155">
        <f ca="1"/>
        <v>1.7196236251293406E-3</v>
      </c>
      <c r="P47" s="155">
        <f ca="1"/>
        <v>3.6674543526901138E-3</v>
      </c>
      <c r="Q47" s="155">
        <f ca="1"/>
        <v>9.714584926525327E-3</v>
      </c>
      <c r="R47" s="155">
        <f ca="1"/>
        <v>1.6750335007815531E-2</v>
      </c>
      <c r="S47" s="155">
        <f ca="1"/>
        <v>0</v>
      </c>
      <c r="T47" s="155">
        <f ca="1"/>
        <v>3.4604517584042149E-2</v>
      </c>
      <c r="U47" s="155">
        <f ca="1"/>
        <v>5.39199292002569E-2</v>
      </c>
      <c r="V47" s="138">
        <f ca="1"/>
        <v>8.2789304547370879E-2</v>
      </c>
      <c r="W47" s="137">
        <f ca="1"/>
        <v>0</v>
      </c>
      <c r="X47" s="155">
        <f ca="1"/>
        <v>1.8124869276887612E-3</v>
      </c>
      <c r="Y47" s="155">
        <f ca="1"/>
        <v>3.8334959397758883E-3</v>
      </c>
      <c r="Z47" s="155">
        <f ca="1"/>
        <v>1.0044625055157907E-2</v>
      </c>
      <c r="AA47" s="155">
        <f ca="1"/>
        <v>1.7241836954587031E-2</v>
      </c>
      <c r="AB47" s="155">
        <f ca="1"/>
        <v>0</v>
      </c>
      <c r="AC47" s="155">
        <f ca="1"/>
        <v>3.5428799501515007E-2</v>
      </c>
      <c r="AD47" s="155">
        <f ca="1"/>
        <v>5.5052342435575108E-2</v>
      </c>
      <c r="AE47" s="138">
        <f ca="1"/>
        <v>8.4362098165927102E-2</v>
      </c>
      <c r="AG47" s="454"/>
      <c r="AH47" s="456"/>
      <c r="AI47" s="455"/>
      <c r="AJ47" s="457"/>
      <c r="AK47" s="135"/>
      <c r="AM47" s="135"/>
      <c r="AN47" s="135"/>
      <c r="AO47" s="135"/>
      <c r="AQ47" s="135"/>
      <c r="AR47" s="135"/>
      <c r="AS47" s="135"/>
      <c r="AT47" s="135"/>
      <c r="AV47" s="135"/>
      <c r="AW47" s="135"/>
      <c r="AX47" s="135"/>
    </row>
    <row r="48" spans="1:50" s="79" customFormat="1" ht="11.25">
      <c r="A48" s="96">
        <f t="shared" ca="1" si="2"/>
        <v>37</v>
      </c>
      <c r="B48" s="68" t="s">
        <v>125</v>
      </c>
      <c r="C48" s="97">
        <v>0.4</v>
      </c>
      <c r="D48" s="69" t="s">
        <v>66</v>
      </c>
      <c r="E48" s="136" t="s">
        <v>87</v>
      </c>
      <c r="F48" s="154">
        <v>5.0000000000000001E-4</v>
      </c>
      <c r="G48" s="154">
        <v>6.9999999999999999E-4</v>
      </c>
      <c r="H48" s="154">
        <v>1.1000000000000001E-3</v>
      </c>
      <c r="I48" s="154">
        <v>1.5E-3</v>
      </c>
      <c r="J48" s="154" t="s">
        <v>87</v>
      </c>
      <c r="K48" s="154">
        <v>2.3999999999999998E-3</v>
      </c>
      <c r="L48" s="154">
        <v>3.0999999999999999E-3</v>
      </c>
      <c r="M48" s="154">
        <v>4.0000000000000001E-3</v>
      </c>
      <c r="N48" s="137" cm="1">
        <f t="array" aca="1" ref="N48:AE48" ca="1">IF(OR(B48="",NOT($J$2)),"",GetStripDefaultProbability(A48,B48,Parameter_Date,CDSRollDate,E48:M48,SpreadCurveMaturities,D48,C48,$J$4,$J$6))</f>
        <v>0</v>
      </c>
      <c r="O48" s="155">
        <f ca="1"/>
        <v>4.6505499562699004E-4</v>
      </c>
      <c r="P48" s="155">
        <f ca="1"/>
        <v>1.2437694058637927E-3</v>
      </c>
      <c r="Q48" s="155">
        <f ca="1"/>
        <v>3.8208714895480167E-3</v>
      </c>
      <c r="R48" s="155">
        <f ca="1"/>
        <v>7.7726331248813008E-3</v>
      </c>
      <c r="S48" s="155">
        <f ca="1"/>
        <v>0</v>
      </c>
      <c r="T48" s="155">
        <f ca="1"/>
        <v>2.0439654487556469E-2</v>
      </c>
      <c r="U48" s="155">
        <f ca="1"/>
        <v>3.680174497248323E-2</v>
      </c>
      <c r="V48" s="138">
        <f ca="1"/>
        <v>6.7173830857213512E-2</v>
      </c>
      <c r="W48" s="137">
        <f ca="1"/>
        <v>0</v>
      </c>
      <c r="X48" s="155">
        <f ca="1"/>
        <v>5.5803964578249321E-4</v>
      </c>
      <c r="Y48" s="155">
        <f ca="1"/>
        <v>1.4102149067779512E-3</v>
      </c>
      <c r="Z48" s="155">
        <f ca="1"/>
        <v>4.1528758618992745E-3</v>
      </c>
      <c r="AA48" s="155">
        <f ca="1"/>
        <v>8.2686228005699469E-3</v>
      </c>
      <c r="AB48" s="155">
        <f ca="1"/>
        <v>0</v>
      </c>
      <c r="AC48" s="155">
        <f ca="1"/>
        <v>2.1276788681823589E-2</v>
      </c>
      <c r="AD48" s="155">
        <f ca="1"/>
        <v>3.7956167972006294E-2</v>
      </c>
      <c r="AE48" s="138">
        <f ca="1"/>
        <v>6.8778962495465445E-2</v>
      </c>
      <c r="AG48" s="454"/>
      <c r="AH48" s="456"/>
      <c r="AI48" s="455"/>
      <c r="AJ48" s="457"/>
      <c r="AK48" s="135"/>
      <c r="AM48" s="135"/>
      <c r="AN48" s="135"/>
      <c r="AO48" s="135"/>
      <c r="AQ48" s="135"/>
      <c r="AR48" s="135"/>
      <c r="AS48" s="135"/>
      <c r="AT48" s="135"/>
      <c r="AV48" s="135"/>
      <c r="AW48" s="135"/>
      <c r="AX48" s="135"/>
    </row>
    <row r="49" spans="1:50" s="79" customFormat="1" ht="11.25">
      <c r="A49" s="96">
        <f t="shared" ca="1" si="2"/>
        <v>38</v>
      </c>
      <c r="B49" s="68" t="s">
        <v>126</v>
      </c>
      <c r="C49" s="97">
        <v>0.4</v>
      </c>
      <c r="D49" s="69" t="s">
        <v>66</v>
      </c>
      <c r="E49" s="136" t="s">
        <v>87</v>
      </c>
      <c r="F49" s="154">
        <v>1.1000000000000001E-3</v>
      </c>
      <c r="G49" s="154">
        <v>1.6000000000000001E-3</v>
      </c>
      <c r="H49" s="154">
        <v>2E-3</v>
      </c>
      <c r="I49" s="154">
        <v>2.8E-3</v>
      </c>
      <c r="J49" s="154" t="s">
        <v>87</v>
      </c>
      <c r="K49" s="154">
        <v>3.8999999999999998E-3</v>
      </c>
      <c r="L49" s="154">
        <v>4.5999999999999999E-3</v>
      </c>
      <c r="M49" s="154">
        <v>5.5999999999999999E-3</v>
      </c>
      <c r="N49" s="137" cm="1">
        <f t="array" aca="1" ref="N49:AE49" ca="1">IF(OR(B49="",NOT($J$2)),"",GetStripDefaultProbability(A49,B49,Parameter_Date,CDSRollDate,E49:M49,SpreadCurveMaturities,D49,C49,$J$4,$J$6))</f>
        <v>0</v>
      </c>
      <c r="O49" s="155">
        <f ca="1"/>
        <v>1.0228355227774877E-3</v>
      </c>
      <c r="P49" s="155">
        <f ca="1"/>
        <v>2.8417371980472561E-3</v>
      </c>
      <c r="Q49" s="155">
        <f ca="1"/>
        <v>6.9210130096538647E-3</v>
      </c>
      <c r="R49" s="155">
        <f ca="1"/>
        <v>1.4462056276561386E-2</v>
      </c>
      <c r="S49" s="155">
        <f ca="1"/>
        <v>0</v>
      </c>
      <c r="T49" s="155">
        <f ca="1"/>
        <v>3.3030103880776762E-2</v>
      </c>
      <c r="U49" s="155">
        <f ca="1"/>
        <v>5.4095903631779851E-2</v>
      </c>
      <c r="V49" s="138">
        <f ca="1"/>
        <v>9.2813708609119638E-2</v>
      </c>
      <c r="W49" s="137">
        <f ca="1"/>
        <v>0</v>
      </c>
      <c r="X49" s="155">
        <f ca="1"/>
        <v>1.1157668979256963E-3</v>
      </c>
      <c r="Y49" s="155">
        <f ca="1"/>
        <v>3.0079163931993058E-3</v>
      </c>
      <c r="Z49" s="155">
        <f ca="1"/>
        <v>7.2519841737347379E-3</v>
      </c>
      <c r="AA49" s="155">
        <f ca="1"/>
        <v>1.4954702076696691E-2</v>
      </c>
      <c r="AB49" s="155">
        <f ca="1"/>
        <v>0</v>
      </c>
      <c r="AC49" s="155">
        <f ca="1"/>
        <v>3.3856407114224329E-2</v>
      </c>
      <c r="AD49" s="155">
        <f ca="1"/>
        <v>5.5229536467195084E-2</v>
      </c>
      <c r="AE49" s="138">
        <f ca="1"/>
        <v>9.4371622035654856E-2</v>
      </c>
      <c r="AG49" s="454"/>
      <c r="AH49" s="456"/>
      <c r="AI49" s="455"/>
      <c r="AJ49" s="457"/>
      <c r="AK49" s="135"/>
      <c r="AM49" s="135"/>
      <c r="AN49" s="135"/>
      <c r="AO49" s="135"/>
      <c r="AQ49" s="135"/>
      <c r="AR49" s="135"/>
      <c r="AS49" s="135"/>
      <c r="AT49" s="135"/>
      <c r="AV49" s="135"/>
      <c r="AW49" s="135"/>
      <c r="AX49" s="135"/>
    </row>
    <row r="50" spans="1:50" s="79" customFormat="1" ht="11.25">
      <c r="A50" s="96">
        <f t="shared" ca="1" si="2"/>
        <v>39</v>
      </c>
      <c r="B50" s="68" t="s">
        <v>127</v>
      </c>
      <c r="C50" s="97">
        <v>0.4</v>
      </c>
      <c r="D50" s="69" t="s">
        <v>66</v>
      </c>
      <c r="E50" s="136" t="s">
        <v>87</v>
      </c>
      <c r="F50" s="154">
        <v>6.9999999999999999E-4</v>
      </c>
      <c r="G50" s="154">
        <v>8.9999999999999998E-4</v>
      </c>
      <c r="H50" s="154">
        <v>1.2999999999999999E-3</v>
      </c>
      <c r="I50" s="154">
        <v>1.8E-3</v>
      </c>
      <c r="J50" s="154" t="s">
        <v>87</v>
      </c>
      <c r="K50" s="154">
        <v>2.8999999999999998E-3</v>
      </c>
      <c r="L50" s="154">
        <v>3.5999999999999999E-3</v>
      </c>
      <c r="M50" s="154">
        <v>4.4000000000000003E-3</v>
      </c>
      <c r="N50" s="137" cm="1">
        <f t="array" aca="1" ref="N50:AE50" ca="1">IF(OR(B50="",NOT($J$2)),"",GetStripDefaultProbability(A50,B50,Parameter_Date,CDSRollDate,E50:M50,SpreadCurveMaturities,D50,C50,$J$4,$J$6))</f>
        <v>0</v>
      </c>
      <c r="O50" s="155">
        <f ca="1"/>
        <v>6.5101642887865907E-4</v>
      </c>
      <c r="P50" s="155">
        <f ca="1"/>
        <v>1.5979062190856208E-3</v>
      </c>
      <c r="Q50" s="155">
        <f ca="1"/>
        <v>4.5094182902363222E-3</v>
      </c>
      <c r="R50" s="155">
        <f ca="1"/>
        <v>9.3194313930058392E-3</v>
      </c>
      <c r="S50" s="155">
        <f ca="1"/>
        <v>0</v>
      </c>
      <c r="T50" s="155">
        <f ca="1"/>
        <v>2.4658641786181712E-2</v>
      </c>
      <c r="U50" s="155">
        <f ca="1"/>
        <v>4.2606854711403241E-2</v>
      </c>
      <c r="V50" s="138">
        <f ca="1"/>
        <v>7.3593534003875138E-2</v>
      </c>
      <c r="W50" s="137">
        <f ca="1"/>
        <v>0</v>
      </c>
      <c r="X50" s="155">
        <f ca="1"/>
        <v>7.4398343160742009E-4</v>
      </c>
      <c r="Y50" s="155">
        <f ca="1"/>
        <v>1.7642927021199739E-3</v>
      </c>
      <c r="Z50" s="155">
        <f ca="1"/>
        <v>4.8411931852367918E-3</v>
      </c>
      <c r="AA50" s="155">
        <f ca="1"/>
        <v>9.8146478628622358E-3</v>
      </c>
      <c r="AB50" s="155">
        <f ca="1"/>
        <v>0</v>
      </c>
      <c r="AC50" s="155">
        <f ca="1"/>
        <v>2.5492357514841468E-2</v>
      </c>
      <c r="AD50" s="155">
        <f ca="1"/>
        <v>4.3754600621571993E-2</v>
      </c>
      <c r="AE50" s="138">
        <f ca="1"/>
        <v>7.5186801308109508E-2</v>
      </c>
      <c r="AG50" s="454"/>
      <c r="AH50" s="456"/>
      <c r="AI50" s="455"/>
      <c r="AJ50" s="457"/>
      <c r="AK50" s="135"/>
      <c r="AM50" s="135"/>
      <c r="AN50" s="135"/>
      <c r="AO50" s="135"/>
      <c r="AQ50" s="135"/>
      <c r="AR50" s="135"/>
      <c r="AS50" s="135"/>
      <c r="AT50" s="135"/>
      <c r="AV50" s="135"/>
      <c r="AW50" s="135"/>
      <c r="AX50" s="135"/>
    </row>
    <row r="51" spans="1:50" s="79" customFormat="1" ht="11.25">
      <c r="A51" s="96">
        <f t="shared" ca="1" si="2"/>
        <v>40</v>
      </c>
      <c r="B51" s="68" t="s">
        <v>128</v>
      </c>
      <c r="C51" s="97">
        <v>0.4</v>
      </c>
      <c r="D51" s="69" t="s">
        <v>66</v>
      </c>
      <c r="E51" s="136" t="s">
        <v>87</v>
      </c>
      <c r="F51" s="154">
        <v>1.1999999999999999E-3</v>
      </c>
      <c r="G51" s="154">
        <v>2.3999999999999998E-3</v>
      </c>
      <c r="H51" s="154">
        <v>3.8E-3</v>
      </c>
      <c r="I51" s="154">
        <v>5.4000000000000003E-3</v>
      </c>
      <c r="J51" s="154" t="s">
        <v>87</v>
      </c>
      <c r="K51" s="154">
        <v>8.0000000000000002E-3</v>
      </c>
      <c r="L51" s="154">
        <v>9.5999999999999992E-3</v>
      </c>
      <c r="M51" s="154">
        <v>1.12E-2</v>
      </c>
      <c r="N51" s="137" cm="1">
        <f t="array" aca="1" ref="N51:AE51" ca="1">IF(OR(B51="",NOT($J$2)),"",GetStripDefaultProbability(A51,B51,Parameter_Date,CDSRollDate,E51:M51,SpreadCurveMaturities,D51,C51,$J$4,$J$6))</f>
        <v>0</v>
      </c>
      <c r="O51" s="155">
        <f ca="1"/>
        <v>1.1157686840057579E-3</v>
      </c>
      <c r="P51" s="155">
        <f ca="1"/>
        <v>4.2683873971510744E-3</v>
      </c>
      <c r="Q51" s="155">
        <f ca="1"/>
        <v>1.3162185781111169E-2</v>
      </c>
      <c r="R51" s="155">
        <f ca="1"/>
        <v>2.7809808195363273E-2</v>
      </c>
      <c r="S51" s="155">
        <f ca="1"/>
        <v>0</v>
      </c>
      <c r="T51" s="155">
        <f ca="1"/>
        <v>6.6974603709451852E-2</v>
      </c>
      <c r="U51" s="155">
        <f ca="1"/>
        <v>0.11050694717454868</v>
      </c>
      <c r="V51" s="138">
        <f ca="1"/>
        <v>0.17870216956524365</v>
      </c>
      <c r="W51" s="137">
        <f ca="1"/>
        <v>0</v>
      </c>
      <c r="X51" s="155">
        <f ca="1"/>
        <v>1.2086910806557993E-3</v>
      </c>
      <c r="Y51" s="155">
        <f ca="1"/>
        <v>4.4343288370810585E-3</v>
      </c>
      <c r="Z51" s="155">
        <f ca="1"/>
        <v>1.3491076900959964E-2</v>
      </c>
      <c r="AA51" s="155">
        <f ca="1"/>
        <v>2.8295781787761376E-2</v>
      </c>
      <c r="AB51" s="155">
        <f ca="1"/>
        <v>0</v>
      </c>
      <c r="AC51" s="155">
        <f ca="1"/>
        <v>6.7751800995876854E-2</v>
      </c>
      <c r="AD51" s="155">
        <f ca="1"/>
        <v>0.11157212084017643</v>
      </c>
      <c r="AE51" s="138">
        <f ca="1"/>
        <v>0.18014278458985789</v>
      </c>
      <c r="AG51" s="454"/>
      <c r="AH51" s="456"/>
      <c r="AI51" s="455"/>
      <c r="AJ51" s="457"/>
      <c r="AK51" s="135"/>
      <c r="AM51" s="135"/>
      <c r="AN51" s="135"/>
      <c r="AO51" s="135"/>
      <c r="AQ51" s="135"/>
      <c r="AR51" s="135"/>
      <c r="AS51" s="135"/>
      <c r="AT51" s="135"/>
      <c r="AV51" s="135"/>
      <c r="AW51" s="135"/>
      <c r="AX51" s="135"/>
    </row>
    <row r="52" spans="1:50" s="79" customFormat="1" ht="11.25">
      <c r="A52" s="96">
        <f t="shared" ca="1" si="2"/>
        <v>41</v>
      </c>
      <c r="B52" s="68" t="s">
        <v>129</v>
      </c>
      <c r="C52" s="97">
        <v>0.4</v>
      </c>
      <c r="D52" s="69" t="s">
        <v>66</v>
      </c>
      <c r="E52" s="136" t="s">
        <v>87</v>
      </c>
      <c r="F52" s="154">
        <v>5.9999999999999995E-4</v>
      </c>
      <c r="G52" s="154">
        <v>6.9999999999999999E-4</v>
      </c>
      <c r="H52" s="154">
        <v>1.1999999999999999E-3</v>
      </c>
      <c r="I52" s="154">
        <v>1.8E-3</v>
      </c>
      <c r="J52" s="154" t="s">
        <v>87</v>
      </c>
      <c r="K52" s="154">
        <v>2.8E-3</v>
      </c>
      <c r="L52" s="154">
        <v>3.5000000000000001E-3</v>
      </c>
      <c r="M52" s="154">
        <v>4.4000000000000003E-3</v>
      </c>
      <c r="N52" s="137" cm="1">
        <f t="array" aca="1" ref="N52:AE52" ca="1">IF(OR(B52="",NOT($J$2)),"",GetStripDefaultProbability(A52,B52,Parameter_Date,CDSRollDate,E52:M52,SpreadCurveMaturities,D52,C52,$J$4,$J$6))</f>
        <v>0</v>
      </c>
      <c r="O52" s="155">
        <f ca="1"/>
        <v>5.5804003710946404E-4</v>
      </c>
      <c r="P52" s="155">
        <f ca="1"/>
        <v>1.2420622443276574E-3</v>
      </c>
      <c r="Q52" s="155">
        <f ca="1"/>
        <v>4.1693301398034732E-3</v>
      </c>
      <c r="R52" s="155">
        <f ca="1"/>
        <v>9.3397365441110214E-3</v>
      </c>
      <c r="S52" s="155">
        <f ca="1"/>
        <v>0</v>
      </c>
      <c r="T52" s="155">
        <f ca="1"/>
        <v>2.3834064570688263E-2</v>
      </c>
      <c r="U52" s="155">
        <f ca="1"/>
        <v>4.146622033462688E-2</v>
      </c>
      <c r="V52" s="138">
        <f ca="1"/>
        <v>7.3658009460431328E-2</v>
      </c>
      <c r="W52" s="137">
        <f ca="1"/>
        <v>0</v>
      </c>
      <c r="X52" s="155">
        <f ca="1"/>
        <v>6.5101587709581743E-4</v>
      </c>
      <c r="Y52" s="155">
        <f ca="1"/>
        <v>1.4085080297483454E-3</v>
      </c>
      <c r="Z52" s="155">
        <f ca="1"/>
        <v>4.5012183786501403E-3</v>
      </c>
      <c r="AA52" s="155">
        <f ca="1"/>
        <v>9.834942863941265E-3</v>
      </c>
      <c r="AB52" s="155">
        <f ca="1"/>
        <v>0</v>
      </c>
      <c r="AC52" s="155">
        <f ca="1"/>
        <v>2.4668499571268931E-2</v>
      </c>
      <c r="AD52" s="155">
        <f ca="1"/>
        <v>4.261527952298616E-2</v>
      </c>
      <c r="AE52" s="138">
        <f ca="1"/>
        <v>7.5251500145872119E-2</v>
      </c>
      <c r="AG52" s="454"/>
      <c r="AH52" s="456"/>
      <c r="AI52" s="455"/>
      <c r="AJ52" s="457"/>
      <c r="AK52" s="135"/>
      <c r="AM52" s="135"/>
      <c r="AN52" s="135"/>
      <c r="AO52" s="135"/>
      <c r="AQ52" s="135"/>
      <c r="AR52" s="135"/>
      <c r="AS52" s="135"/>
      <c r="AT52" s="135"/>
      <c r="AV52" s="135"/>
      <c r="AW52" s="135"/>
      <c r="AX52" s="135"/>
    </row>
    <row r="53" spans="1:50" s="79" customFormat="1" ht="11.25">
      <c r="A53" s="96">
        <f t="shared" ca="1" si="2"/>
        <v>42</v>
      </c>
      <c r="B53" s="68" t="s">
        <v>130</v>
      </c>
      <c r="C53" s="97">
        <v>0.4</v>
      </c>
      <c r="D53" s="69" t="s">
        <v>66</v>
      </c>
      <c r="E53" s="136" t="s">
        <v>87</v>
      </c>
      <c r="F53" s="154">
        <v>6.9999999999999999E-4</v>
      </c>
      <c r="G53" s="154">
        <v>8.0000000000000004E-4</v>
      </c>
      <c r="H53" s="154">
        <v>1.1000000000000001E-3</v>
      </c>
      <c r="I53" s="154">
        <v>1.6999999999999999E-3</v>
      </c>
      <c r="J53" s="154" t="s">
        <v>87</v>
      </c>
      <c r="K53" s="154">
        <v>2.8E-3</v>
      </c>
      <c r="L53" s="154">
        <v>3.5999999999999999E-3</v>
      </c>
      <c r="M53" s="154">
        <v>4.4999999999999997E-3</v>
      </c>
      <c r="N53" s="137" cm="1">
        <f t="array" aca="1" ref="N53:AE53" ca="1">IF(OR(B53="",NOT($J$2)),"",GetStripDefaultProbability(A53,B53,Parameter_Date,CDSRollDate,E53:M53,SpreadCurveMaturities,D53,C53,$J$4,$J$6))</f>
        <v>0</v>
      </c>
      <c r="O53" s="155">
        <f ca="1"/>
        <v>6.5101642887865907E-4</v>
      </c>
      <c r="P53" s="155">
        <f ca="1"/>
        <v>1.4191382420905008E-3</v>
      </c>
      <c r="Q53" s="155">
        <f ca="1"/>
        <v>3.8132932491704574E-3</v>
      </c>
      <c r="R53" s="155">
        <f ca="1"/>
        <v>8.8175388599344151E-3</v>
      </c>
      <c r="S53" s="155">
        <f ca="1"/>
        <v>0</v>
      </c>
      <c r="T53" s="155">
        <f ca="1"/>
        <v>2.383213365450132E-2</v>
      </c>
      <c r="U53" s="155">
        <f ca="1"/>
        <v>4.2657665509117204E-2</v>
      </c>
      <c r="V53" s="138">
        <f ca="1"/>
        <v>7.5305440756284425E-2</v>
      </c>
      <c r="W53" s="137">
        <f ca="1"/>
        <v>0</v>
      </c>
      <c r="X53" s="155">
        <f ca="1"/>
        <v>7.4398343160742009E-4</v>
      </c>
      <c r="Y53" s="155">
        <f ca="1"/>
        <v>1.58555451730924E-3</v>
      </c>
      <c r="Z53" s="155">
        <f ca="1"/>
        <v>4.1453001472127049E-3</v>
      </c>
      <c r="AA53" s="155">
        <f ca="1"/>
        <v>9.3130062133471858E-3</v>
      </c>
      <c r="AB53" s="155">
        <f ca="1"/>
        <v>0</v>
      </c>
      <c r="AC53" s="155">
        <f ca="1"/>
        <v>2.4666653153868179E-2</v>
      </c>
      <c r="AD53" s="155">
        <f ca="1"/>
        <v>4.3805743468769864E-2</v>
      </c>
      <c r="AE53" s="138">
        <f ca="1"/>
        <v>7.6896527198801579E-2</v>
      </c>
      <c r="AG53" s="454"/>
      <c r="AH53" s="456"/>
      <c r="AI53" s="455"/>
      <c r="AJ53" s="457"/>
      <c r="AK53" s="135"/>
      <c r="AM53" s="135"/>
      <c r="AN53" s="135"/>
      <c r="AO53" s="135"/>
      <c r="AQ53" s="135"/>
      <c r="AR53" s="135"/>
      <c r="AS53" s="135"/>
      <c r="AT53" s="135"/>
      <c r="AV53" s="135"/>
      <c r="AW53" s="135"/>
      <c r="AX53" s="135"/>
    </row>
    <row r="54" spans="1:50" s="79" customFormat="1" ht="11.25">
      <c r="A54" s="96">
        <f t="shared" ca="1" si="2"/>
        <v>43</v>
      </c>
      <c r="B54" s="68" t="s">
        <v>131</v>
      </c>
      <c r="C54" s="97">
        <v>0.4</v>
      </c>
      <c r="D54" s="69" t="s">
        <v>66</v>
      </c>
      <c r="E54" s="136" t="s">
        <v>87</v>
      </c>
      <c r="F54" s="154">
        <v>4.0000000000000002E-4</v>
      </c>
      <c r="G54" s="154">
        <v>5.9999999999999995E-4</v>
      </c>
      <c r="H54" s="154">
        <v>1E-3</v>
      </c>
      <c r="I54" s="154">
        <v>1.4E-3</v>
      </c>
      <c r="J54" s="154" t="s">
        <v>87</v>
      </c>
      <c r="K54" s="154">
        <v>2.0999999999999999E-3</v>
      </c>
      <c r="L54" s="154">
        <v>2.3999999999999998E-3</v>
      </c>
      <c r="M54" s="154">
        <v>2.8999999999999998E-3</v>
      </c>
      <c r="N54" s="137" cm="1">
        <f t="array" aca="1" ref="N54:AE54" ca="1">IF(OR(B54="",NOT($J$2)),"",GetStripDefaultProbability(A54,B54,Parameter_Date,CDSRollDate,E54:M54,SpreadCurveMaturities,D54,C54,$J$4,$J$6))</f>
        <v>0</v>
      </c>
      <c r="O54" s="155">
        <f ca="1"/>
        <v>3.7206130320088793E-4</v>
      </c>
      <c r="P54" s="155">
        <f ca="1"/>
        <v>1.0666538687098548E-3</v>
      </c>
      <c r="Q54" s="155">
        <f ca="1"/>
        <v>3.4764196735270758E-3</v>
      </c>
      <c r="R54" s="155">
        <f ca="1"/>
        <v>7.261859299748763E-3</v>
      </c>
      <c r="S54" s="155">
        <f ca="1"/>
        <v>0</v>
      </c>
      <c r="T54" s="155">
        <f ca="1"/>
        <v>1.7904604278587977E-2</v>
      </c>
      <c r="U54" s="155">
        <f ca="1"/>
        <v>2.8511899167633192E-2</v>
      </c>
      <c r="V54" s="138">
        <f ca="1"/>
        <v>4.8923157431578379E-2</v>
      </c>
      <c r="W54" s="137">
        <f ca="1"/>
        <v>0</v>
      </c>
      <c r="X54" s="155">
        <f ca="1"/>
        <v>4.6505473678803977E-4</v>
      </c>
      <c r="Y54" s="155">
        <f ca="1"/>
        <v>1.2331288864307899E-3</v>
      </c>
      <c r="Z54" s="155">
        <f ca="1"/>
        <v>3.8085388440484147E-3</v>
      </c>
      <c r="AA54" s="155">
        <f ca="1"/>
        <v>7.7581042985259696E-3</v>
      </c>
      <c r="AB54" s="155">
        <f ca="1"/>
        <v>0</v>
      </c>
      <c r="AC54" s="155">
        <f ca="1"/>
        <v>1.8743668828353321E-2</v>
      </c>
      <c r="AD54" s="155">
        <f ca="1"/>
        <v>2.9674456729866239E-2</v>
      </c>
      <c r="AE54" s="138">
        <f ca="1"/>
        <v>5.0556611110220251E-2</v>
      </c>
      <c r="AG54" s="454"/>
      <c r="AH54" s="456"/>
      <c r="AI54" s="455"/>
      <c r="AJ54" s="457"/>
      <c r="AK54" s="135"/>
      <c r="AM54" s="135"/>
      <c r="AN54" s="135"/>
      <c r="AO54" s="135"/>
      <c r="AQ54" s="135"/>
      <c r="AR54" s="135"/>
      <c r="AS54" s="135"/>
      <c r="AT54" s="135"/>
      <c r="AV54" s="135"/>
      <c r="AW54" s="135"/>
      <c r="AX54" s="135"/>
    </row>
    <row r="55" spans="1:50" s="79" customFormat="1" ht="11.25">
      <c r="A55" s="96">
        <f t="shared" ca="1" si="2"/>
        <v>44</v>
      </c>
      <c r="B55" s="68" t="s">
        <v>132</v>
      </c>
      <c r="C55" s="97">
        <v>0.4</v>
      </c>
      <c r="D55" s="69" t="s">
        <v>66</v>
      </c>
      <c r="E55" s="136" t="s">
        <v>87</v>
      </c>
      <c r="F55" s="154">
        <v>5.9999999999999995E-4</v>
      </c>
      <c r="G55" s="154">
        <v>1.1000000000000001E-3</v>
      </c>
      <c r="H55" s="154">
        <v>1.8E-3</v>
      </c>
      <c r="I55" s="154">
        <v>2.5000000000000001E-3</v>
      </c>
      <c r="J55" s="154" t="s">
        <v>87</v>
      </c>
      <c r="K55" s="154">
        <v>3.3999999999999998E-3</v>
      </c>
      <c r="L55" s="154">
        <v>4.1999999999999997E-3</v>
      </c>
      <c r="M55" s="154">
        <v>5.0000000000000001E-3</v>
      </c>
      <c r="N55" s="137" cm="1">
        <f t="array" aca="1" ref="N55:AE55" ca="1">IF(OR(B55="",NOT($J$2)),"",GetStripDefaultProbability(A55,B55,Parameter_Date,CDSRollDate,E55:M55,SpreadCurveMaturities,D55,C55,$J$4,$J$6))</f>
        <v>0</v>
      </c>
      <c r="O55" s="155">
        <f ca="1"/>
        <v>5.5804003710946404E-4</v>
      </c>
      <c r="P55" s="155">
        <f ca="1"/>
        <v>1.9571370491022755E-3</v>
      </c>
      <c r="Q55" s="155">
        <f ca="1"/>
        <v>6.2522366766535331E-3</v>
      </c>
      <c r="R55" s="155">
        <f ca="1"/>
        <v>1.2940148511441651E-2</v>
      </c>
      <c r="S55" s="155">
        <f ca="1"/>
        <v>0</v>
      </c>
      <c r="T55" s="155">
        <f ca="1"/>
        <v>2.8859523570561985E-2</v>
      </c>
      <c r="U55" s="155">
        <f ca="1"/>
        <v>4.9559464185757962E-2</v>
      </c>
      <c r="V55" s="138">
        <f ca="1"/>
        <v>8.3234336422100097E-2</v>
      </c>
      <c r="W55" s="137">
        <f ca="1"/>
        <v>0</v>
      </c>
      <c r="X55" s="155">
        <f ca="1"/>
        <v>6.5101587709581743E-4</v>
      </c>
      <c r="Y55" s="155">
        <f ca="1"/>
        <v>2.1234636653296723E-3</v>
      </c>
      <c r="Z55" s="155">
        <f ca="1"/>
        <v>6.5834307290280059E-3</v>
      </c>
      <c r="AA55" s="155">
        <f ca="1"/>
        <v>1.3433555075280545E-2</v>
      </c>
      <c r="AB55" s="155">
        <f ca="1"/>
        <v>0</v>
      </c>
      <c r="AC55" s="155">
        <f ca="1"/>
        <v>2.9689426478212488E-2</v>
      </c>
      <c r="AD55" s="155">
        <f ca="1"/>
        <v>5.0698687184739133E-2</v>
      </c>
      <c r="AE55" s="138">
        <f ca="1"/>
        <v>8.4809932529193888E-2</v>
      </c>
      <c r="AG55" s="454"/>
      <c r="AH55" s="456"/>
      <c r="AI55" s="455"/>
      <c r="AJ55" s="457"/>
      <c r="AK55" s="135"/>
      <c r="AM55" s="135"/>
      <c r="AN55" s="135"/>
      <c r="AO55" s="135"/>
      <c r="AQ55" s="135"/>
      <c r="AR55" s="135"/>
      <c r="AS55" s="135"/>
      <c r="AT55" s="135"/>
      <c r="AV55" s="135"/>
      <c r="AW55" s="135"/>
      <c r="AX55" s="135"/>
    </row>
    <row r="56" spans="1:50" s="79" customFormat="1" ht="11.25">
      <c r="A56" s="96">
        <f t="shared" ca="1" si="2"/>
        <v>45</v>
      </c>
      <c r="B56" s="68" t="s">
        <v>133</v>
      </c>
      <c r="C56" s="97">
        <v>0.4</v>
      </c>
      <c r="D56" s="69" t="s">
        <v>66</v>
      </c>
      <c r="E56" s="136" t="s">
        <v>87</v>
      </c>
      <c r="F56" s="154">
        <v>5.9999999999999995E-4</v>
      </c>
      <c r="G56" s="154">
        <v>1.4E-3</v>
      </c>
      <c r="H56" s="154">
        <v>2.0999999999999999E-3</v>
      </c>
      <c r="I56" s="154">
        <v>2.7000000000000001E-3</v>
      </c>
      <c r="J56" s="154" t="s">
        <v>87</v>
      </c>
      <c r="K56" s="154">
        <v>3.5999999999999999E-3</v>
      </c>
      <c r="L56" s="154">
        <v>4.4000000000000003E-3</v>
      </c>
      <c r="M56" s="154">
        <v>5.1999999999999998E-3</v>
      </c>
      <c r="N56" s="137" cm="1">
        <f t="array" aca="1" ref="N56:AE56" ca="1">IF(OR(B56="",NOT($J$2)),"",GetStripDefaultProbability(A56,B56,Parameter_Date,CDSRollDate,E56:M56,SpreadCurveMaturities,D56,C56,$J$4,$J$6))</f>
        <v>0</v>
      </c>
      <c r="O56" s="155">
        <f ca="1"/>
        <v>5.5804003710946404E-4</v>
      </c>
      <c r="P56" s="155">
        <f ca="1"/>
        <v>2.4932851658465705E-3</v>
      </c>
      <c r="Q56" s="155">
        <f ca="1"/>
        <v>7.2881717414325919E-3</v>
      </c>
      <c r="R56" s="155">
        <f ca="1"/>
        <v>1.3945137712799593E-2</v>
      </c>
      <c r="S56" s="155">
        <f ca="1"/>
        <v>0</v>
      </c>
      <c r="T56" s="155">
        <f ca="1"/>
        <v>3.0508596152459377E-2</v>
      </c>
      <c r="U56" s="155">
        <f ca="1"/>
        <v>5.1828347388452101E-2</v>
      </c>
      <c r="V56" s="138">
        <f ca="1"/>
        <v>8.6387874073316162E-2</v>
      </c>
      <c r="W56" s="137">
        <f ca="1"/>
        <v>0</v>
      </c>
      <c r="X56" s="155">
        <f ca="1"/>
        <v>6.5101587709581743E-4</v>
      </c>
      <c r="Y56" s="155">
        <f ca="1"/>
        <v>2.6595224314979182E-3</v>
      </c>
      <c r="Z56" s="155">
        <f ca="1"/>
        <v>7.6190205396495791E-3</v>
      </c>
      <c r="AA56" s="155">
        <f ca="1"/>
        <v>1.4438041907627319E-2</v>
      </c>
      <c r="AB56" s="155">
        <f ca="1"/>
        <v>0</v>
      </c>
      <c r="AC56" s="155">
        <f ca="1"/>
        <v>3.1336918919155465E-2</v>
      </c>
      <c r="AD56" s="155">
        <f ca="1"/>
        <v>5.2964641963819115E-2</v>
      </c>
      <c r="AE56" s="138">
        <f ca="1"/>
        <v>8.7957448599333743E-2</v>
      </c>
      <c r="AG56" s="454"/>
      <c r="AH56" s="456"/>
      <c r="AI56" s="455"/>
      <c r="AJ56" s="457"/>
      <c r="AK56" s="135"/>
      <c r="AM56" s="135"/>
      <c r="AN56" s="135"/>
      <c r="AO56" s="135"/>
      <c r="AQ56" s="135"/>
      <c r="AR56" s="135"/>
      <c r="AS56" s="135"/>
      <c r="AT56" s="135"/>
      <c r="AV56" s="135"/>
      <c r="AW56" s="135"/>
      <c r="AX56" s="135"/>
    </row>
    <row r="57" spans="1:50" s="79" customFormat="1" ht="11.25">
      <c r="A57" s="96">
        <f t="shared" ca="1" si="2"/>
        <v>46</v>
      </c>
      <c r="B57" s="68" t="s">
        <v>134</v>
      </c>
      <c r="C57" s="97">
        <v>0.4</v>
      </c>
      <c r="D57" s="69" t="s">
        <v>66</v>
      </c>
      <c r="E57" s="136" t="s">
        <v>87</v>
      </c>
      <c r="F57" s="154">
        <v>5.0000000000000001E-4</v>
      </c>
      <c r="G57" s="154">
        <v>8.0000000000000004E-4</v>
      </c>
      <c r="H57" s="154">
        <v>1.4E-3</v>
      </c>
      <c r="I57" s="154">
        <v>2.2000000000000001E-3</v>
      </c>
      <c r="J57" s="154" t="s">
        <v>87</v>
      </c>
      <c r="K57" s="154">
        <v>3.5000000000000001E-3</v>
      </c>
      <c r="L57" s="154">
        <v>4.3E-3</v>
      </c>
      <c r="M57" s="154">
        <v>5.3E-3</v>
      </c>
      <c r="N57" s="137" cm="1">
        <f t="array" aca="1" ref="N57:AE57" ca="1">IF(OR(B57="",NOT($J$2)),"",GetStripDefaultProbability(A57,B57,Parameter_Date,CDSRollDate,E57:M57,SpreadCurveMaturities,D57,C57,$J$4,$J$6))</f>
        <v>0</v>
      </c>
      <c r="O57" s="155">
        <f ca="1"/>
        <v>4.6505499562699004E-4</v>
      </c>
      <c r="P57" s="155">
        <f ca="1"/>
        <v>1.4225689316275103E-3</v>
      </c>
      <c r="Q57" s="155">
        <f ca="1"/>
        <v>4.8671377626320345E-3</v>
      </c>
      <c r="R57" s="155">
        <f ca="1"/>
        <v>1.142042939703769E-2</v>
      </c>
      <c r="S57" s="155">
        <f ca="1"/>
        <v>0</v>
      </c>
      <c r="T57" s="155">
        <f ca="1"/>
        <v>2.9745979350393581E-2</v>
      </c>
      <c r="U57" s="155">
        <f ca="1"/>
        <v>5.0762737665541069E-2</v>
      </c>
      <c r="V57" s="138">
        <f ca="1"/>
        <v>8.8177641991262656E-2</v>
      </c>
      <c r="W57" s="137">
        <f ca="1"/>
        <v>0</v>
      </c>
      <c r="X57" s="155">
        <f ca="1"/>
        <v>5.5803964578249321E-4</v>
      </c>
      <c r="Y57" s="155">
        <f ca="1"/>
        <v>1.5889846351196946E-3</v>
      </c>
      <c r="Z57" s="155">
        <f ca="1"/>
        <v>5.1987934377110134E-3</v>
      </c>
      <c r="AA57" s="155">
        <f ca="1"/>
        <v>1.1914595630477032E-2</v>
      </c>
      <c r="AB57" s="155">
        <f ca="1"/>
        <v>0</v>
      </c>
      <c r="AC57" s="155">
        <f ca="1"/>
        <v>3.0575633111081024E-2</v>
      </c>
      <c r="AD57" s="155">
        <f ca="1"/>
        <v>5.190137933561445E-2</v>
      </c>
      <c r="AE57" s="138">
        <f ca="1"/>
        <v>8.9745468293757846E-2</v>
      </c>
      <c r="AG57" s="454"/>
      <c r="AH57" s="456"/>
      <c r="AI57" s="455"/>
      <c r="AJ57" s="457"/>
      <c r="AK57" s="135"/>
      <c r="AM57" s="135"/>
      <c r="AN57" s="135"/>
      <c r="AO57" s="135"/>
      <c r="AQ57" s="135"/>
      <c r="AR57" s="135"/>
      <c r="AS57" s="135"/>
      <c r="AT57" s="135"/>
      <c r="AV57" s="135"/>
      <c r="AW57" s="135"/>
      <c r="AX57" s="135"/>
    </row>
    <row r="58" spans="1:50" s="79" customFormat="1" ht="11.25">
      <c r="A58" s="96">
        <f t="shared" ca="1" si="2"/>
        <v>47</v>
      </c>
      <c r="B58" s="68" t="s">
        <v>135</v>
      </c>
      <c r="C58" s="97">
        <v>0.4</v>
      </c>
      <c r="D58" s="69" t="s">
        <v>66</v>
      </c>
      <c r="E58" s="136" t="s">
        <v>87</v>
      </c>
      <c r="F58" s="154">
        <v>1.1999999999999999E-3</v>
      </c>
      <c r="G58" s="154">
        <v>1.6999999999999999E-3</v>
      </c>
      <c r="H58" s="154">
        <v>2.8E-3</v>
      </c>
      <c r="I58" s="154">
        <v>3.5000000000000001E-3</v>
      </c>
      <c r="J58" s="154" t="s">
        <v>87</v>
      </c>
      <c r="K58" s="154">
        <v>4.4999999999999997E-3</v>
      </c>
      <c r="L58" s="154">
        <v>5.1999999999999998E-3</v>
      </c>
      <c r="M58" s="154">
        <v>6.1999999999999998E-3</v>
      </c>
      <c r="N58" s="137" cm="1">
        <f t="array" aca="1" ref="N58:AE58" ca="1">IF(OR(B58="",NOT($J$2)),"",GetStripDefaultProbability(A58,B58,Parameter_Date,CDSRollDate,E58:M58,SpreadCurveMaturities,D58,C58,$J$4,$J$6))</f>
        <v>0</v>
      </c>
      <c r="O58" s="155">
        <f ca="1"/>
        <v>1.1157686840057579E-3</v>
      </c>
      <c r="P58" s="155">
        <f ca="1"/>
        <v>3.0185630785608542E-3</v>
      </c>
      <c r="Q58" s="155">
        <f ca="1"/>
        <v>9.7084371942723902E-3</v>
      </c>
      <c r="R58" s="155">
        <f ca="1"/>
        <v>1.8037025458546796E-2</v>
      </c>
      <c r="S58" s="155">
        <f ca="1"/>
        <v>0</v>
      </c>
      <c r="T58" s="155">
        <f ca="1"/>
        <v>3.8000113550588632E-2</v>
      </c>
      <c r="U58" s="155">
        <f ca="1"/>
        <v>6.0903590049894651E-2</v>
      </c>
      <c r="V58" s="138">
        <f ca="1"/>
        <v>0.10220607781433622</v>
      </c>
      <c r="W58" s="137">
        <f ca="1"/>
        <v>0</v>
      </c>
      <c r="X58" s="155">
        <f ca="1"/>
        <v>1.2086910806557993E-3</v>
      </c>
      <c r="Y58" s="155">
        <f ca="1"/>
        <v>3.1847128051830653E-3</v>
      </c>
      <c r="Z58" s="155">
        <f ca="1"/>
        <v>1.0038479371780262E-2</v>
      </c>
      <c r="AA58" s="155">
        <f ca="1"/>
        <v>1.8527884220911672E-2</v>
      </c>
      <c r="AB58" s="155">
        <f ca="1"/>
        <v>0</v>
      </c>
      <c r="AC58" s="155">
        <f ca="1"/>
        <v>3.8821775933010505E-2</v>
      </c>
      <c r="AD58" s="155">
        <f ca="1"/>
        <v>6.2028502047462797E-2</v>
      </c>
      <c r="AE58" s="138">
        <f ca="1"/>
        <v>0.10374569678513823</v>
      </c>
      <c r="AG58" s="454"/>
      <c r="AH58" s="456"/>
      <c r="AI58" s="455"/>
      <c r="AJ58" s="457"/>
      <c r="AK58" s="135"/>
      <c r="AM58" s="135"/>
      <c r="AN58" s="135"/>
      <c r="AO58" s="135"/>
      <c r="AQ58" s="135"/>
      <c r="AR58" s="135"/>
      <c r="AS58" s="135"/>
      <c r="AT58" s="135"/>
      <c r="AV58" s="135"/>
      <c r="AW58" s="135"/>
      <c r="AX58" s="135"/>
    </row>
    <row r="59" spans="1:50" s="79" customFormat="1" ht="11.25">
      <c r="A59" s="96">
        <f t="shared" ca="1" si="2"/>
        <v>48</v>
      </c>
      <c r="B59" s="68" t="s">
        <v>136</v>
      </c>
      <c r="C59" s="97">
        <v>0.4</v>
      </c>
      <c r="D59" s="69" t="s">
        <v>66</v>
      </c>
      <c r="E59" s="136" t="s">
        <v>87</v>
      </c>
      <c r="F59" s="154">
        <v>8.0000000000000004E-4</v>
      </c>
      <c r="G59" s="154">
        <v>1.2999999999999999E-3</v>
      </c>
      <c r="H59" s="154">
        <v>2.3E-3</v>
      </c>
      <c r="I59" s="154">
        <v>2.8999999999999998E-3</v>
      </c>
      <c r="J59" s="154" t="s">
        <v>87</v>
      </c>
      <c r="K59" s="154">
        <v>3.8E-3</v>
      </c>
      <c r="L59" s="154">
        <v>4.4999999999999997E-3</v>
      </c>
      <c r="M59" s="154">
        <v>5.4999999999999997E-3</v>
      </c>
      <c r="N59" s="137" cm="1">
        <f t="array" aca="1" ref="N59:AE59" ca="1">IF(OR(B59="",NOT($J$2)),"",GetStripDefaultProbability(A59,B59,Parameter_Date,CDSRollDate,E59:M59,SpreadCurveMaturities,D59,C59,$J$4,$J$6))</f>
        <v>0</v>
      </c>
      <c r="O59" s="155">
        <f ca="1"/>
        <v>7.4398417212018231E-4</v>
      </c>
      <c r="P59" s="155">
        <f ca="1"/>
        <v>2.3110712814332635E-3</v>
      </c>
      <c r="Q59" s="155">
        <f ca="1"/>
        <v>7.9877239136870726E-3</v>
      </c>
      <c r="R59" s="155">
        <f ca="1"/>
        <v>1.4973654516376778E-2</v>
      </c>
      <c r="S59" s="155">
        <f ca="1"/>
        <v>0</v>
      </c>
      <c r="T59" s="155">
        <f ca="1"/>
        <v>3.2180312792797094E-2</v>
      </c>
      <c r="U59" s="155">
        <f ca="1"/>
        <v>5.2934812084057925E-2</v>
      </c>
      <c r="V59" s="138">
        <f ca="1"/>
        <v>9.1213201804773658E-2</v>
      </c>
      <c r="W59" s="137">
        <f ca="1"/>
        <v>0</v>
      </c>
      <c r="X59" s="155">
        <f ca="1"/>
        <v>8.3694231015207787E-4</v>
      </c>
      <c r="Y59" s="155">
        <f ca="1"/>
        <v>2.4773389135346324E-3</v>
      </c>
      <c r="Z59" s="155">
        <f ca="1"/>
        <v>8.3183395667201232E-3</v>
      </c>
      <c r="AA59" s="155">
        <f ca="1"/>
        <v>1.5466044581324279E-2</v>
      </c>
      <c r="AB59" s="155">
        <f ca="1"/>
        <v>0</v>
      </c>
      <c r="AC59" s="155">
        <f ca="1"/>
        <v>3.3007164138924017E-2</v>
      </c>
      <c r="AD59" s="155">
        <f ca="1"/>
        <v>5.4069473000022517E-2</v>
      </c>
      <c r="AE59" s="138">
        <f ca="1"/>
        <v>9.2773760391077986E-2</v>
      </c>
      <c r="AG59" s="454"/>
      <c r="AH59" s="456"/>
      <c r="AI59" s="455"/>
      <c r="AJ59" s="457"/>
      <c r="AK59" s="135"/>
      <c r="AM59" s="135"/>
      <c r="AN59" s="135"/>
      <c r="AO59" s="135"/>
      <c r="AQ59" s="135"/>
      <c r="AR59" s="135"/>
      <c r="AS59" s="135"/>
      <c r="AT59" s="135"/>
      <c r="AV59" s="135"/>
      <c r="AW59" s="135"/>
      <c r="AX59" s="135"/>
    </row>
    <row r="60" spans="1:50" s="79" customFormat="1" ht="11.25">
      <c r="A60" s="96">
        <f t="shared" ca="1" si="2"/>
        <v>49</v>
      </c>
      <c r="B60" s="68" t="s">
        <v>137</v>
      </c>
      <c r="C60" s="97">
        <v>0.4</v>
      </c>
      <c r="D60" s="69" t="s">
        <v>66</v>
      </c>
      <c r="E60" s="136" t="s">
        <v>87</v>
      </c>
      <c r="F60" s="154">
        <v>5.9999999999999995E-4</v>
      </c>
      <c r="G60" s="154">
        <v>8.9999999999999998E-4</v>
      </c>
      <c r="H60" s="154">
        <v>1.2999999999999999E-3</v>
      </c>
      <c r="I60" s="154">
        <v>1.6999999999999999E-3</v>
      </c>
      <c r="J60" s="154" t="s">
        <v>87</v>
      </c>
      <c r="K60" s="154">
        <v>2.2000000000000001E-3</v>
      </c>
      <c r="L60" s="154">
        <v>2.5999999999999999E-3</v>
      </c>
      <c r="M60" s="154">
        <v>3.2000000000000002E-3</v>
      </c>
      <c r="N60" s="137" cm="1">
        <f t="array" aca="1" ref="N60:AE60" ca="1">IF(OR(B60="",NOT($J$2)),"",GetStripDefaultProbability(A60,B60,Parameter_Date,CDSRollDate,E60:M60,SpreadCurveMaturities,D60,C60,$J$4,$J$6))</f>
        <v>0</v>
      </c>
      <c r="O60" s="155">
        <f ca="1"/>
        <v>5.5804003710946404E-4</v>
      </c>
      <c r="P60" s="155">
        <f ca="1"/>
        <v>1.599629745781761E-3</v>
      </c>
      <c r="Q60" s="155">
        <f ca="1"/>
        <v>4.5111715644788886E-3</v>
      </c>
      <c r="R60" s="155">
        <f ca="1"/>
        <v>8.7951746565257949E-3</v>
      </c>
      <c r="S60" s="155">
        <f ca="1"/>
        <v>0</v>
      </c>
      <c r="T60" s="155">
        <f ca="1"/>
        <v>1.8726925367142266E-2</v>
      </c>
      <c r="U60" s="155">
        <f ca="1"/>
        <v>3.0854410524487785E-2</v>
      </c>
      <c r="V60" s="138">
        <f ca="1"/>
        <v>5.3885700234024392E-2</v>
      </c>
      <c r="W60" s="137">
        <f ca="1"/>
        <v>0</v>
      </c>
      <c r="X60" s="155">
        <f ca="1"/>
        <v>6.5101587709581743E-4</v>
      </c>
      <c r="Y60" s="155">
        <f ca="1"/>
        <v>1.7660159415965326E-3</v>
      </c>
      <c r="Z60" s="155">
        <f ca="1"/>
        <v>4.8429458751788612E-3</v>
      </c>
      <c r="AA60" s="155">
        <f ca="1"/>
        <v>9.290653189249154E-3</v>
      </c>
      <c r="AB60" s="155">
        <f ca="1"/>
        <v>0</v>
      </c>
      <c r="AC60" s="155">
        <f ca="1"/>
        <v>1.9564926988583475E-2</v>
      </c>
      <c r="AD60" s="155">
        <f ca="1"/>
        <v>3.2014095762872175E-2</v>
      </c>
      <c r="AE60" s="138">
        <f ca="1"/>
        <v>5.5510992273331228E-2</v>
      </c>
      <c r="AG60" s="454"/>
      <c r="AH60" s="456"/>
      <c r="AI60" s="455"/>
      <c r="AJ60" s="457"/>
      <c r="AK60" s="135"/>
      <c r="AM60" s="135"/>
      <c r="AN60" s="135"/>
      <c r="AO60" s="135"/>
      <c r="AQ60" s="135"/>
      <c r="AR60" s="135"/>
      <c r="AS60" s="135"/>
      <c r="AT60" s="135"/>
      <c r="AV60" s="135"/>
      <c r="AW60" s="135"/>
      <c r="AX60" s="135"/>
    </row>
    <row r="61" spans="1:50" s="79" customFormat="1" ht="11.25">
      <c r="A61" s="96">
        <f t="shared" ca="1" si="2"/>
        <v>50</v>
      </c>
      <c r="B61" s="68" t="s">
        <v>138</v>
      </c>
      <c r="C61" s="97">
        <v>0.4</v>
      </c>
      <c r="D61" s="69" t="s">
        <v>66</v>
      </c>
      <c r="E61" s="136" t="s">
        <v>87</v>
      </c>
      <c r="F61" s="154">
        <v>8.0000000000000004E-4</v>
      </c>
      <c r="G61" s="154">
        <v>1.1000000000000001E-3</v>
      </c>
      <c r="H61" s="154">
        <v>1.6000000000000001E-3</v>
      </c>
      <c r="I61" s="154">
        <v>1.8E-3</v>
      </c>
      <c r="J61" s="154" t="s">
        <v>87</v>
      </c>
      <c r="K61" s="154">
        <v>2.3999999999999998E-3</v>
      </c>
      <c r="L61" s="154">
        <v>2.8E-3</v>
      </c>
      <c r="M61" s="154">
        <v>3.5000000000000001E-3</v>
      </c>
      <c r="N61" s="137" cm="1">
        <f t="array" aca="1" ref="N61:AE61" ca="1">IF(OR(B61="",NOT($J$2)),"",GetStripDefaultProbability(A61,B61,Parameter_Date,CDSRollDate,E61:M61,SpreadCurveMaturities,D61,C61,$J$4,$J$6))</f>
        <v>0</v>
      </c>
      <c r="O61" s="155">
        <f ca="1"/>
        <v>7.4398417212018231E-4</v>
      </c>
      <c r="P61" s="155">
        <f ca="1"/>
        <v>1.9536571421092663E-3</v>
      </c>
      <c r="Q61" s="155">
        <f ca="1"/>
        <v>5.5491142120741577E-3</v>
      </c>
      <c r="R61" s="155">
        <f ca="1"/>
        <v>9.2791076095976033E-3</v>
      </c>
      <c r="S61" s="155">
        <f ca="1"/>
        <v>0</v>
      </c>
      <c r="T61" s="155">
        <f ca="1"/>
        <v>2.0385379319717956E-2</v>
      </c>
      <c r="U61" s="155">
        <f ca="1"/>
        <v>3.3156467163438341E-2</v>
      </c>
      <c r="V61" s="138">
        <f ca="1"/>
        <v>5.8794794118864568E-2</v>
      </c>
      <c r="W61" s="137">
        <f ca="1"/>
        <v>0</v>
      </c>
      <c r="X61" s="155">
        <f ca="1"/>
        <v>8.3694231015207787E-4</v>
      </c>
      <c r="Y61" s="155">
        <f ca="1"/>
        <v>2.1199843382578853E-3</v>
      </c>
      <c r="Z61" s="155">
        <f ca="1"/>
        <v>5.8805425995489546E-3</v>
      </c>
      <c r="AA61" s="155">
        <f ca="1"/>
        <v>9.7743442363265043E-3</v>
      </c>
      <c r="AB61" s="155">
        <f ca="1"/>
        <v>0</v>
      </c>
      <c r="AC61" s="155">
        <f ca="1"/>
        <v>2.1221929415771168E-2</v>
      </c>
      <c r="AD61" s="155">
        <f ca="1"/>
        <v>3.4313408589758843E-2</v>
      </c>
      <c r="AE61" s="138">
        <f ca="1"/>
        <v>6.0411870685060154E-2</v>
      </c>
      <c r="AG61" s="454"/>
      <c r="AH61" s="456"/>
      <c r="AI61" s="455"/>
      <c r="AJ61" s="457"/>
      <c r="AK61" s="135"/>
      <c r="AM61" s="135"/>
      <c r="AN61" s="135"/>
      <c r="AO61" s="135"/>
      <c r="AQ61" s="135"/>
      <c r="AR61" s="135"/>
      <c r="AS61" s="135"/>
      <c r="AT61" s="135"/>
      <c r="AV61" s="135"/>
      <c r="AW61" s="135"/>
      <c r="AX61" s="135"/>
    </row>
    <row r="62" spans="1:50" s="79" customFormat="1" ht="11.25">
      <c r="A62" s="96">
        <f t="shared" ca="1" si="2"/>
        <v>51</v>
      </c>
      <c r="B62" s="68" t="s">
        <v>139</v>
      </c>
      <c r="C62" s="97">
        <v>0.4</v>
      </c>
      <c r="D62" s="69" t="s">
        <v>66</v>
      </c>
      <c r="E62" s="136" t="s">
        <v>87</v>
      </c>
      <c r="F62" s="154">
        <v>5.0000000000000001E-4</v>
      </c>
      <c r="G62" s="154">
        <v>5.9999999999999995E-4</v>
      </c>
      <c r="H62" s="154">
        <v>1.1999999999999999E-3</v>
      </c>
      <c r="I62" s="154">
        <v>1.6999999999999999E-3</v>
      </c>
      <c r="J62" s="154" t="s">
        <v>87</v>
      </c>
      <c r="K62" s="154">
        <v>2.7000000000000001E-3</v>
      </c>
      <c r="L62" s="154">
        <v>3.3E-3</v>
      </c>
      <c r="M62" s="154">
        <v>4.0000000000000001E-3</v>
      </c>
      <c r="N62" s="137" cm="1">
        <f t="array" aca="1" ref="N62:AE62" ca="1">IF(OR(B62="",NOT($J$2)),"",GetStripDefaultProbability(A62,B62,Parameter_Date,CDSRollDate,E62:M62,SpreadCurveMaturities,D62,C62,$J$4,$J$6))</f>
        <v>0</v>
      </c>
      <c r="O62" s="155">
        <f ca="1"/>
        <v>4.6505499562699004E-4</v>
      </c>
      <c r="P62" s="155">
        <f ca="1"/>
        <v>1.0649548260907027E-3</v>
      </c>
      <c r="Q62" s="155">
        <f ca="1"/>
        <v>4.1752021605023781E-3</v>
      </c>
      <c r="R62" s="155">
        <f ca="1"/>
        <v>8.8195962817442242E-3</v>
      </c>
      <c r="S62" s="155">
        <f ca="1"/>
        <v>0</v>
      </c>
      <c r="T62" s="155">
        <f ca="1"/>
        <v>2.2987847290767527E-2</v>
      </c>
      <c r="U62" s="155">
        <f ca="1"/>
        <v>3.9110435916992925E-2</v>
      </c>
      <c r="V62" s="138">
        <f ca="1"/>
        <v>6.7067955956150671E-2</v>
      </c>
      <c r="W62" s="137">
        <f ca="1"/>
        <v>0</v>
      </c>
      <c r="X62" s="155">
        <f ca="1"/>
        <v>5.5803964578249321E-4</v>
      </c>
      <c r="Y62" s="155">
        <f ca="1"/>
        <v>1.2314301269625849E-3</v>
      </c>
      <c r="Z62" s="155">
        <f ca="1"/>
        <v>4.5070884423187296E-3</v>
      </c>
      <c r="AA62" s="155">
        <f ca="1"/>
        <v>9.3150626067194375E-3</v>
      </c>
      <c r="AB62" s="155">
        <f ca="1"/>
        <v>0</v>
      </c>
      <c r="AC62" s="155">
        <f ca="1"/>
        <v>2.3822988912718723E-2</v>
      </c>
      <c r="AD62" s="155">
        <f ca="1"/>
        <v>4.0262000282676236E-2</v>
      </c>
      <c r="AE62" s="138">
        <f ca="1"/>
        <v>6.8672116193261301E-2</v>
      </c>
      <c r="AG62" s="454"/>
      <c r="AH62" s="456"/>
      <c r="AI62" s="455"/>
      <c r="AJ62" s="457"/>
      <c r="AK62" s="135"/>
      <c r="AM62" s="135"/>
      <c r="AN62" s="135"/>
      <c r="AO62" s="135"/>
      <c r="AQ62" s="135"/>
      <c r="AR62" s="135"/>
      <c r="AS62" s="135"/>
      <c r="AT62" s="135"/>
      <c r="AV62" s="135"/>
      <c r="AW62" s="135"/>
      <c r="AX62" s="135"/>
    </row>
    <row r="63" spans="1:50" s="79" customFormat="1" ht="11.25">
      <c r="A63" s="96">
        <f t="shared" ca="1" si="2"/>
        <v>52</v>
      </c>
      <c r="B63" s="68" t="s">
        <v>140</v>
      </c>
      <c r="C63" s="97">
        <v>0.4</v>
      </c>
      <c r="D63" s="69" t="s">
        <v>66</v>
      </c>
      <c r="E63" s="136" t="s">
        <v>87</v>
      </c>
      <c r="F63" s="154">
        <v>1E-3</v>
      </c>
      <c r="G63" s="154">
        <v>1.1999999999999999E-3</v>
      </c>
      <c r="H63" s="154">
        <v>1.5E-3</v>
      </c>
      <c r="I63" s="154">
        <v>2.2000000000000001E-3</v>
      </c>
      <c r="J63" s="154" t="s">
        <v>87</v>
      </c>
      <c r="K63" s="154">
        <v>3.0000000000000001E-3</v>
      </c>
      <c r="L63" s="154">
        <v>3.5999999999999999E-3</v>
      </c>
      <c r="M63" s="154">
        <v>4.5999999999999999E-3</v>
      </c>
      <c r="N63" s="137" cm="1">
        <f t="array" aca="1" ref="N63:AE63" ca="1">IF(OR(B63="",NOT($J$2)),"",GetStripDefaultProbability(A63,B63,Parameter_Date,CDSRollDate,E63:M63,SpreadCurveMaturities,D63,C63,$J$4,$J$6))</f>
        <v>0</v>
      </c>
      <c r="O63" s="155">
        <f ca="1"/>
        <v>9.2989371787344233E-4</v>
      </c>
      <c r="P63" s="155">
        <f ca="1"/>
        <v>2.1288758743175373E-3</v>
      </c>
      <c r="Q63" s="155">
        <f ca="1"/>
        <v>5.1915298922916575E-3</v>
      </c>
      <c r="R63" s="155">
        <f ca="1"/>
        <v>1.1383735456395816E-2</v>
      </c>
      <c r="S63" s="155">
        <f ca="1"/>
        <v>0</v>
      </c>
      <c r="T63" s="155">
        <f ca="1"/>
        <v>2.5487428642277821E-2</v>
      </c>
      <c r="U63" s="155">
        <f ca="1"/>
        <v>4.2556517731100474E-2</v>
      </c>
      <c r="V63" s="138">
        <f ca="1"/>
        <v>7.6847364353214154E-2</v>
      </c>
      <c r="W63" s="137">
        <f ca="1"/>
        <v>0</v>
      </c>
      <c r="X63" s="155">
        <f ca="1"/>
        <v>1.0228340424542903E-3</v>
      </c>
      <c r="Y63" s="155">
        <f ca="1"/>
        <v>2.2951738697816193E-3</v>
      </c>
      <c r="Z63" s="155">
        <f ca="1"/>
        <v>5.5230774546622952E-3</v>
      </c>
      <c r="AA63" s="155">
        <f ca="1"/>
        <v>1.1877920032243416E-2</v>
      </c>
      <c r="AB63" s="155">
        <f ca="1"/>
        <v>0</v>
      </c>
      <c r="AC63" s="155">
        <f ca="1"/>
        <v>2.6320103905913661E-2</v>
      </c>
      <c r="AD63" s="155">
        <f ca="1"/>
        <v>4.3703456096123694E-2</v>
      </c>
      <c r="AE63" s="138">
        <f ca="1"/>
        <v>7.8434355408205536E-2</v>
      </c>
      <c r="AG63" s="454"/>
      <c r="AH63" s="456"/>
      <c r="AI63" s="455"/>
      <c r="AJ63" s="457"/>
      <c r="AK63" s="135"/>
      <c r="AM63" s="135"/>
      <c r="AN63" s="135"/>
      <c r="AO63" s="135"/>
      <c r="AQ63" s="135"/>
      <c r="AR63" s="135"/>
      <c r="AS63" s="135"/>
      <c r="AT63" s="135"/>
      <c r="AV63" s="135"/>
      <c r="AW63" s="135"/>
      <c r="AX63" s="135"/>
    </row>
    <row r="64" spans="1:50" s="79" customFormat="1" ht="11.25">
      <c r="A64" s="96">
        <f t="shared" ca="1" si="2"/>
        <v>53</v>
      </c>
      <c r="B64" s="68" t="s">
        <v>141</v>
      </c>
      <c r="C64" s="97">
        <v>0.4</v>
      </c>
      <c r="D64" s="69" t="s">
        <v>66</v>
      </c>
      <c r="E64" s="136" t="s">
        <v>87</v>
      </c>
      <c r="F64" s="154">
        <v>2.9999999999999997E-4</v>
      </c>
      <c r="G64" s="154">
        <v>5.0000000000000001E-4</v>
      </c>
      <c r="H64" s="154">
        <v>1E-3</v>
      </c>
      <c r="I64" s="154">
        <v>1.5E-3</v>
      </c>
      <c r="J64" s="154" t="s">
        <v>87</v>
      </c>
      <c r="K64" s="154">
        <v>2.3E-3</v>
      </c>
      <c r="L64" s="154">
        <v>2.8999999999999998E-3</v>
      </c>
      <c r="M64" s="154">
        <v>3.3999999999999998E-3</v>
      </c>
      <c r="N64" s="137" cm="1">
        <f t="array" aca="1" ref="N64:AE64" ca="1">IF(OR(B64="",NOT($J$2)),"",GetStripDefaultProbability(A64,B64,Parameter_Date,CDSRollDate,E64:M64,SpreadCurveMaturities,D64,C64,$J$4,$J$6))</f>
        <v>0</v>
      </c>
      <c r="O64" s="155">
        <f ca="1"/>
        <v>2.7905895862256891E-4</v>
      </c>
      <c r="P64" s="155">
        <f ca="1"/>
        <v>8.8950690353517547E-4</v>
      </c>
      <c r="Q64" s="155">
        <f ca="1"/>
        <v>3.4822317726515006E-3</v>
      </c>
      <c r="R64" s="155">
        <f ca="1"/>
        <v>7.7943826317999898E-3</v>
      </c>
      <c r="S64" s="155">
        <f ca="1"/>
        <v>0</v>
      </c>
      <c r="T64" s="155">
        <f ca="1"/>
        <v>1.9614427206725682E-2</v>
      </c>
      <c r="U64" s="155">
        <f ca="1"/>
        <v>3.4460683371405954E-2</v>
      </c>
      <c r="V64" s="138">
        <f ca="1"/>
        <v>5.7231864739494931E-2</v>
      </c>
      <c r="W64" s="137">
        <f ca="1"/>
        <v>0</v>
      </c>
      <c r="X64" s="155">
        <f ca="1"/>
        <v>3.7206114936716439E-4</v>
      </c>
      <c r="Y64" s="155">
        <f ca="1"/>
        <v>1.0560114432898171E-3</v>
      </c>
      <c r="Z64" s="155">
        <f ca="1"/>
        <v>3.8143490061200991E-3</v>
      </c>
      <c r="AA64" s="155">
        <f ca="1"/>
        <v>8.2903614354675748E-3</v>
      </c>
      <c r="AB64" s="155">
        <f ca="1"/>
        <v>0</v>
      </c>
      <c r="AC64" s="155">
        <f ca="1"/>
        <v>2.0452262209120775E-2</v>
      </c>
      <c r="AD64" s="155">
        <f ca="1"/>
        <v>3.5617523618067026E-2</v>
      </c>
      <c r="AE64" s="138">
        <f ca="1"/>
        <v>5.8852307836441242E-2</v>
      </c>
      <c r="AG64" s="454"/>
      <c r="AH64" s="456"/>
      <c r="AI64" s="455"/>
      <c r="AJ64" s="457"/>
      <c r="AK64" s="135"/>
      <c r="AM64" s="135"/>
      <c r="AN64" s="135"/>
      <c r="AO64" s="135"/>
      <c r="AQ64" s="135"/>
      <c r="AR64" s="135"/>
      <c r="AS64" s="135"/>
      <c r="AT64" s="135"/>
      <c r="AV64" s="135"/>
      <c r="AW64" s="135"/>
      <c r="AX64" s="135"/>
    </row>
    <row r="65" spans="1:50" s="79" customFormat="1" ht="11.25">
      <c r="A65" s="96">
        <f t="shared" ca="1" si="2"/>
        <v>54</v>
      </c>
      <c r="B65" s="68" t="s">
        <v>142</v>
      </c>
      <c r="C65" s="97">
        <v>0.4</v>
      </c>
      <c r="D65" s="69" t="s">
        <v>66</v>
      </c>
      <c r="E65" s="136" t="s">
        <v>87</v>
      </c>
      <c r="F65" s="154">
        <v>2.9999999999999997E-4</v>
      </c>
      <c r="G65" s="154">
        <v>5.0000000000000001E-4</v>
      </c>
      <c r="H65" s="154">
        <v>1E-3</v>
      </c>
      <c r="I65" s="154">
        <v>1.2999999999999999E-3</v>
      </c>
      <c r="J65" s="154" t="s">
        <v>87</v>
      </c>
      <c r="K65" s="154">
        <v>2E-3</v>
      </c>
      <c r="L65" s="154">
        <v>2.3999999999999998E-3</v>
      </c>
      <c r="M65" s="154">
        <v>2.8999999999999998E-3</v>
      </c>
      <c r="N65" s="137" cm="1">
        <f t="array" aca="1" ref="N65:AE65" ca="1">IF(OR(B65="",NOT($J$2)),"",GetStripDefaultProbability(A65,B65,Parameter_Date,CDSRollDate,E65:M65,SpreadCurveMaturities,D65,C65,$J$4,$J$6))</f>
        <v>0</v>
      </c>
      <c r="O65" s="155">
        <f ca="1"/>
        <v>2.7905895862256891E-4</v>
      </c>
      <c r="P65" s="155">
        <f ca="1"/>
        <v>8.8950690353517547E-4</v>
      </c>
      <c r="Q65" s="155">
        <f ca="1"/>
        <v>3.4822317726515006E-3</v>
      </c>
      <c r="R65" s="155">
        <f ca="1"/>
        <v>6.7410912719640947E-3</v>
      </c>
      <c r="S65" s="155">
        <f ca="1"/>
        <v>0</v>
      </c>
      <c r="T65" s="155">
        <f ca="1"/>
        <v>1.7054598730768422E-2</v>
      </c>
      <c r="U65" s="155">
        <f ca="1"/>
        <v>2.8537579377963307E-2</v>
      </c>
      <c r="V65" s="138">
        <f ca="1"/>
        <v>4.895083537577527E-2</v>
      </c>
      <c r="W65" s="137">
        <f ca="1"/>
        <v>0</v>
      </c>
      <c r="X65" s="155">
        <f ca="1"/>
        <v>3.7206114936716439E-4</v>
      </c>
      <c r="Y65" s="155">
        <f ca="1"/>
        <v>1.0560114432898171E-3</v>
      </c>
      <c r="Z65" s="155">
        <f ca="1"/>
        <v>3.8143490061200991E-3</v>
      </c>
      <c r="AA65" s="155">
        <f ca="1"/>
        <v>7.2375965896555039E-3</v>
      </c>
      <c r="AB65" s="155">
        <f ca="1"/>
        <v>0</v>
      </c>
      <c r="AC65" s="155">
        <f ca="1"/>
        <v>1.7894356314943516E-2</v>
      </c>
      <c r="AD65" s="155">
        <f ca="1"/>
        <v>2.9700469147388664E-2</v>
      </c>
      <c r="AE65" s="138">
        <f ca="1"/>
        <v>5.0584701755574946E-2</v>
      </c>
      <c r="AG65" s="454"/>
      <c r="AH65" s="456"/>
      <c r="AI65" s="455"/>
      <c r="AJ65" s="457"/>
      <c r="AK65" s="135"/>
      <c r="AM65" s="135"/>
      <c r="AN65" s="135"/>
      <c r="AO65" s="135"/>
      <c r="AQ65" s="135"/>
      <c r="AR65" s="135"/>
      <c r="AS65" s="135"/>
      <c r="AT65" s="135"/>
      <c r="AV65" s="135"/>
      <c r="AW65" s="135"/>
      <c r="AX65" s="135"/>
    </row>
    <row r="66" spans="1:50" s="79" customFormat="1" ht="11.25">
      <c r="A66" s="96">
        <f t="shared" ca="1" si="2"/>
        <v>55</v>
      </c>
      <c r="B66" s="68" t="s">
        <v>143</v>
      </c>
      <c r="C66" s="97">
        <v>0.4</v>
      </c>
      <c r="D66" s="69" t="s">
        <v>66</v>
      </c>
      <c r="E66" s="136" t="s">
        <v>87</v>
      </c>
      <c r="F66" s="154">
        <v>2.0000000000000001E-4</v>
      </c>
      <c r="G66" s="154">
        <v>5.0000000000000001E-4</v>
      </c>
      <c r="H66" s="154">
        <v>1.1000000000000001E-3</v>
      </c>
      <c r="I66" s="154">
        <v>1.4E-3</v>
      </c>
      <c r="J66" s="154" t="s">
        <v>87</v>
      </c>
      <c r="K66" s="154">
        <v>2.0999999999999999E-3</v>
      </c>
      <c r="L66" s="154">
        <v>2.5000000000000001E-3</v>
      </c>
      <c r="M66" s="154">
        <v>3.0000000000000001E-3</v>
      </c>
      <c r="N66" s="137" cm="1">
        <f t="array" aca="1" ref="N66:AE66" ca="1">IF(OR(B66="",NOT($J$2)),"",GetStripDefaultProbability(A66,B66,Parameter_Date,CDSRollDate,E66:M66,SpreadCurveMaturities,D66,C66,$J$4,$J$6))</f>
        <v>0</v>
      </c>
      <c r="O66" s="155">
        <f ca="1"/>
        <v>1.8604796070598173E-4</v>
      </c>
      <c r="P66" s="155">
        <f ca="1"/>
        <v>8.9119795580616668E-4</v>
      </c>
      <c r="Q66" s="155">
        <f ca="1"/>
        <v>3.8342943741810354E-3</v>
      </c>
      <c r="R66" s="155">
        <f ca="1"/>
        <v>7.2597514395946749E-3</v>
      </c>
      <c r="S66" s="155">
        <f ca="1"/>
        <v>0</v>
      </c>
      <c r="T66" s="155">
        <f ca="1"/>
        <v>1.790237270100592E-2</v>
      </c>
      <c r="U66" s="155">
        <f ca="1"/>
        <v>2.9708741455741317E-2</v>
      </c>
      <c r="V66" s="138">
        <f ca="1"/>
        <v>5.0595359394714157E-2</v>
      </c>
      <c r="W66" s="137">
        <f ca="1"/>
        <v>0</v>
      </c>
      <c r="X66" s="155">
        <f ca="1"/>
        <v>2.7905888266266388E-4</v>
      </c>
      <c r="Y66" s="155">
        <f ca="1"/>
        <v>1.057702213748013E-3</v>
      </c>
      <c r="Z66" s="155">
        <f ca="1"/>
        <v>4.1662942729939756E-3</v>
      </c>
      <c r="AA66" s="155">
        <f ca="1"/>
        <v>7.7559974920067276E-3</v>
      </c>
      <c r="AB66" s="155">
        <f ca="1"/>
        <v>0</v>
      </c>
      <c r="AC66" s="155">
        <f ca="1"/>
        <v>1.8741420238077788E-2</v>
      </c>
      <c r="AD66" s="155">
        <f ca="1"/>
        <v>3.0870243431622257E-2</v>
      </c>
      <c r="AE66" s="138">
        <f ca="1"/>
        <v>5.2226323735978908E-2</v>
      </c>
      <c r="AG66" s="454"/>
      <c r="AH66" s="456"/>
      <c r="AI66" s="455"/>
      <c r="AJ66" s="457"/>
      <c r="AK66" s="135"/>
      <c r="AM66" s="135"/>
      <c r="AN66" s="135"/>
      <c r="AO66" s="135"/>
      <c r="AQ66" s="135"/>
      <c r="AR66" s="135"/>
      <c r="AS66" s="135"/>
      <c r="AT66" s="135"/>
      <c r="AV66" s="135"/>
      <c r="AW66" s="135"/>
      <c r="AX66" s="135"/>
    </row>
    <row r="67" spans="1:50" s="79" customFormat="1" ht="11.25">
      <c r="A67" s="96">
        <f t="shared" ca="1" si="2"/>
        <v>56</v>
      </c>
      <c r="B67" s="68" t="s">
        <v>144</v>
      </c>
      <c r="C67" s="97">
        <v>0.4</v>
      </c>
      <c r="D67" s="69" t="s">
        <v>66</v>
      </c>
      <c r="E67" s="136" t="s">
        <v>87</v>
      </c>
      <c r="F67" s="154">
        <v>8.5999999999999998E-4</v>
      </c>
      <c r="G67" s="154">
        <v>1.2999999999999999E-3</v>
      </c>
      <c r="H67" s="154">
        <v>1.98E-3</v>
      </c>
      <c r="I67" s="154">
        <v>2.4099999999999998E-3</v>
      </c>
      <c r="J67" s="154" t="s">
        <v>87</v>
      </c>
      <c r="K67" s="154">
        <v>3.0999999999999999E-3</v>
      </c>
      <c r="L67" s="154">
        <v>3.5400000000000002E-3</v>
      </c>
      <c r="M67" s="154">
        <v>4.0000000000000001E-3</v>
      </c>
      <c r="N67" s="137" cm="1">
        <f t="array" aca="1" ref="N67:AE67" ca="1">IF(OR(B67="",NOT($J$2)),"",GetStripDefaultProbability(A67,B67,Parameter_Date,CDSRollDate,E67:M67,SpreadCurveMaturities,D67,C67,$J$4,$J$6))</f>
        <v>0</v>
      </c>
      <c r="O67" s="155">
        <f ca="1"/>
        <v>7.997606672633939E-4</v>
      </c>
      <c r="P67" s="155">
        <f ca="1"/>
        <v>2.3100175207853013E-3</v>
      </c>
      <c r="Q67" s="155">
        <f ca="1"/>
        <v>6.8683499054013053E-3</v>
      </c>
      <c r="R67" s="155">
        <f ca="1"/>
        <v>1.2435384366537572E-2</v>
      </c>
      <c r="S67" s="155">
        <f ca="1"/>
        <v>0</v>
      </c>
      <c r="T67" s="155">
        <f ca="1"/>
        <v>2.6290950586347228E-2</v>
      </c>
      <c r="U67" s="155">
        <f ca="1"/>
        <v>4.1769762639394692E-2</v>
      </c>
      <c r="V67" s="138">
        <f ca="1"/>
        <v>6.6833440810736056E-2</v>
      </c>
      <c r="W67" s="137">
        <f ca="1"/>
        <v>0</v>
      </c>
      <c r="X67" s="155">
        <f ca="1"/>
        <v>8.9271347309338722E-4</v>
      </c>
      <c r="Y67" s="155">
        <f ca="1"/>
        <v>2.4762853285024145E-3</v>
      </c>
      <c r="Z67" s="155">
        <f ca="1"/>
        <v>7.1993386209029397E-3</v>
      </c>
      <c r="AA67" s="155">
        <f ca="1"/>
        <v>1.2929043249345185E-2</v>
      </c>
      <c r="AB67" s="155">
        <f ca="1"/>
        <v>0</v>
      </c>
      <c r="AC67" s="155">
        <f ca="1"/>
        <v>2.7122628685670502E-2</v>
      </c>
      <c r="AD67" s="155">
        <f ca="1"/>
        <v>4.291674448034033E-2</v>
      </c>
      <c r="AE67" s="138">
        <f ca="1"/>
        <v>6.8435177499606703E-2</v>
      </c>
      <c r="AG67" s="454"/>
      <c r="AH67" s="456"/>
      <c r="AI67" s="455"/>
      <c r="AJ67" s="457"/>
      <c r="AK67" s="135"/>
      <c r="AM67" s="135"/>
      <c r="AN67" s="135"/>
      <c r="AO67" s="135"/>
      <c r="AQ67" s="135"/>
      <c r="AR67" s="135"/>
      <c r="AS67" s="135"/>
      <c r="AT67" s="135"/>
      <c r="AV67" s="135"/>
      <c r="AW67" s="135"/>
      <c r="AX67" s="135"/>
    </row>
    <row r="68" spans="1:50" s="79" customFormat="1" ht="11.25">
      <c r="A68" s="96">
        <f t="shared" ca="1" si="2"/>
        <v>57</v>
      </c>
      <c r="B68" s="68" t="s">
        <v>145</v>
      </c>
      <c r="C68" s="97">
        <v>0.4</v>
      </c>
      <c r="D68" s="69" t="s">
        <v>66</v>
      </c>
      <c r="E68" s="136" t="s">
        <v>87</v>
      </c>
      <c r="F68" s="154">
        <v>1E-3</v>
      </c>
      <c r="G68" s="154">
        <v>1.8E-3</v>
      </c>
      <c r="H68" s="154">
        <v>2.5000000000000001E-3</v>
      </c>
      <c r="I68" s="154">
        <v>3.7000000000000002E-3</v>
      </c>
      <c r="J68" s="154" t="s">
        <v>87</v>
      </c>
      <c r="K68" s="154">
        <v>5.4999999999999997E-3</v>
      </c>
      <c r="L68" s="154">
        <v>6.8999999999999999E-3</v>
      </c>
      <c r="M68" s="154">
        <v>8.3000000000000001E-3</v>
      </c>
      <c r="N68" s="137" cm="1">
        <f t="array" aca="1" ref="N68:AE68" ca="1">IF(OR(B68="",NOT($J$2)),"",GetStripDefaultProbability(A68,B68,Parameter_Date,CDSRollDate,E68:M68,SpreadCurveMaturities,D68,C68,$J$4,$J$6))</f>
        <v>0</v>
      </c>
      <c r="O68" s="155">
        <f ca="1"/>
        <v>9.2989371787344233E-4</v>
      </c>
      <c r="P68" s="155">
        <f ca="1"/>
        <v>3.200748691950861E-3</v>
      </c>
      <c r="Q68" s="155">
        <f ca="1"/>
        <v>8.6605838825761783E-3</v>
      </c>
      <c r="R68" s="155">
        <f ca="1"/>
        <v>1.911618463958209E-2</v>
      </c>
      <c r="S68" s="155">
        <f ca="1"/>
        <v>0</v>
      </c>
      <c r="T68" s="155">
        <f ca="1"/>
        <v>4.6405765915411901E-2</v>
      </c>
      <c r="U68" s="155">
        <f ca="1"/>
        <v>8.0517690013922172E-2</v>
      </c>
      <c r="V68" s="138">
        <f ca="1"/>
        <v>0.13530447817759972</v>
      </c>
      <c r="W68" s="137">
        <f ca="1"/>
        <v>0</v>
      </c>
      <c r="X68" s="155">
        <f ca="1"/>
        <v>1.0228340424542903E-3</v>
      </c>
      <c r="Y68" s="155">
        <f ca="1"/>
        <v>3.3668680568307296E-3</v>
      </c>
      <c r="Z68" s="155">
        <f ca="1"/>
        <v>8.9909752863145398E-3</v>
      </c>
      <c r="AA68" s="155">
        <f ca="1"/>
        <v>1.9606503957209309E-2</v>
      </c>
      <c r="AB68" s="155">
        <f ca="1"/>
        <v>0</v>
      </c>
      <c r="AC68" s="155">
        <f ca="1"/>
        <v>4.722034001876374E-2</v>
      </c>
      <c r="AD68" s="155">
        <f ca="1"/>
        <v>8.162059479774364E-2</v>
      </c>
      <c r="AE68" s="138">
        <f ca="1"/>
        <v>0.13681230957803681</v>
      </c>
      <c r="AG68" s="454"/>
      <c r="AH68" s="456"/>
      <c r="AI68" s="455"/>
      <c r="AJ68" s="457"/>
      <c r="AK68" s="135"/>
      <c r="AM68" s="135"/>
      <c r="AN68" s="135"/>
      <c r="AO68" s="135"/>
      <c r="AQ68" s="135"/>
      <c r="AR68" s="135"/>
      <c r="AS68" s="135"/>
      <c r="AT68" s="135"/>
      <c r="AV68" s="135"/>
      <c r="AW68" s="135"/>
      <c r="AX68" s="135"/>
    </row>
    <row r="69" spans="1:50" s="79" customFormat="1" ht="11.25">
      <c r="A69" s="96">
        <f t="shared" ca="1" si="2"/>
        <v>58</v>
      </c>
      <c r="B69" s="68" t="s">
        <v>146</v>
      </c>
      <c r="C69" s="97">
        <v>0.4</v>
      </c>
      <c r="D69" s="69" t="s">
        <v>66</v>
      </c>
      <c r="E69" s="136" t="s">
        <v>87</v>
      </c>
      <c r="F69" s="154">
        <v>1.6999999999999999E-3</v>
      </c>
      <c r="G69" s="154">
        <v>2.0999999999999999E-3</v>
      </c>
      <c r="H69" s="154">
        <v>2.8999999999999998E-3</v>
      </c>
      <c r="I69" s="154">
        <v>4.4000000000000003E-3</v>
      </c>
      <c r="J69" s="154" t="s">
        <v>87</v>
      </c>
      <c r="K69" s="154">
        <v>6.0000000000000001E-3</v>
      </c>
      <c r="L69" s="154">
        <v>7.4999999999999997E-3</v>
      </c>
      <c r="M69" s="154">
        <v>9.1999999999999998E-3</v>
      </c>
      <c r="N69" s="137" cm="1">
        <f t="array" aca="1" ref="N69:AE69" ca="1">IF(OR(B69="",NOT($J$2)),"",GetStripDefaultProbability(A69,B69,Parameter_Date,CDSRollDate,E69:M69,SpreadCurveMaturities,D69,C69,$J$4,$J$6))</f>
        <v>0</v>
      </c>
      <c r="O69" s="155">
        <f ca="1"/>
        <v>1.5803048768830985E-3</v>
      </c>
      <c r="P69" s="155">
        <f ca="1"/>
        <v>3.7237319197320762E-3</v>
      </c>
      <c r="Q69" s="155">
        <f ca="1"/>
        <v>1.0029964697020111E-2</v>
      </c>
      <c r="R69" s="155">
        <f ca="1"/>
        <v>2.2703394236198382E-2</v>
      </c>
      <c r="S69" s="155">
        <f ca="1"/>
        <v>0</v>
      </c>
      <c r="T69" s="155">
        <f ca="1"/>
        <v>5.0512186981056861E-2</v>
      </c>
      <c r="U69" s="155">
        <f ca="1"/>
        <v>8.7236235671853124E-2</v>
      </c>
      <c r="V69" s="138">
        <f ca="1"/>
        <v>0.14914681844998923</v>
      </c>
      <c r="W69" s="137">
        <f ca="1"/>
        <v>0</v>
      </c>
      <c r="X69" s="155">
        <f ca="1"/>
        <v>1.6731819323599906E-3</v>
      </c>
      <c r="Y69" s="155">
        <f ca="1"/>
        <v>3.8897641280121187E-3</v>
      </c>
      <c r="Z69" s="155">
        <f ca="1"/>
        <v>1.035989971657425E-2</v>
      </c>
      <c r="AA69" s="155">
        <f ca="1"/>
        <v>2.3191920397362176E-2</v>
      </c>
      <c r="AB69" s="155">
        <f ca="1"/>
        <v>0</v>
      </c>
      <c r="AC69" s="155">
        <f ca="1"/>
        <v>5.1322831715899908E-2</v>
      </c>
      <c r="AD69" s="155">
        <f ca="1"/>
        <v>8.833001654903172E-2</v>
      </c>
      <c r="AE69" s="138">
        <f ca="1"/>
        <v>0.15063446167532957</v>
      </c>
      <c r="AG69" s="454"/>
      <c r="AH69" s="456"/>
      <c r="AI69" s="455"/>
      <c r="AJ69" s="457"/>
      <c r="AK69" s="135"/>
      <c r="AM69" s="135"/>
      <c r="AN69" s="135"/>
      <c r="AO69" s="135"/>
      <c r="AQ69" s="135"/>
      <c r="AR69" s="135"/>
      <c r="AS69" s="135"/>
      <c r="AT69" s="135"/>
      <c r="AV69" s="135"/>
      <c r="AW69" s="135"/>
      <c r="AX69" s="135"/>
    </row>
    <row r="70" spans="1:50" s="79" customFormat="1" ht="11.25">
      <c r="A70" s="96">
        <f t="shared" ca="1" si="2"/>
        <v>59</v>
      </c>
      <c r="B70" s="68" t="s">
        <v>147</v>
      </c>
      <c r="C70" s="97">
        <v>0.4</v>
      </c>
      <c r="D70" s="69" t="s">
        <v>66</v>
      </c>
      <c r="E70" s="136" t="s">
        <v>87</v>
      </c>
      <c r="F70" s="154">
        <v>4.0000000000000002E-4</v>
      </c>
      <c r="G70" s="154">
        <v>8.9999999999999998E-4</v>
      </c>
      <c r="H70" s="154">
        <v>1.5E-3</v>
      </c>
      <c r="I70" s="154">
        <v>2.2000000000000001E-3</v>
      </c>
      <c r="J70" s="154" t="s">
        <v>87</v>
      </c>
      <c r="K70" s="154">
        <v>3.5000000000000001E-3</v>
      </c>
      <c r="L70" s="154">
        <v>4.4999999999999997E-3</v>
      </c>
      <c r="M70" s="154">
        <v>5.5999999999999999E-3</v>
      </c>
      <c r="N70" s="137" cm="1">
        <f t="array" aca="1" ref="N70:AE70" ca="1">IF(OR(B70="",NOT($J$2)),"",GetStripDefaultProbability(A70,B70,Parameter_Date,CDSRollDate,E70:M70,SpreadCurveMaturities,D70,C70,$J$4,$J$6))</f>
        <v>0</v>
      </c>
      <c r="O70" s="155">
        <f ca="1"/>
        <v>3.7206130320088793E-4</v>
      </c>
      <c r="P70" s="155">
        <f ca="1"/>
        <v>1.6030771977488811E-3</v>
      </c>
      <c r="Q70" s="155">
        <f ca="1"/>
        <v>5.2147204911900946E-3</v>
      </c>
      <c r="R70" s="155">
        <f ca="1"/>
        <v>1.1407664164681974E-2</v>
      </c>
      <c r="S70" s="155">
        <f ca="1"/>
        <v>0</v>
      </c>
      <c r="T70" s="155">
        <f ca="1"/>
        <v>2.9732422966619265E-2</v>
      </c>
      <c r="U70" s="155">
        <f ca="1"/>
        <v>5.312093941148488E-2</v>
      </c>
      <c r="V70" s="138">
        <f ca="1"/>
        <v>9.3059746875411964E-2</v>
      </c>
      <c r="W70" s="137">
        <f ca="1"/>
        <v>0</v>
      </c>
      <c r="X70" s="155">
        <f ca="1"/>
        <v>4.6505473678803977E-4</v>
      </c>
      <c r="Y70" s="155">
        <f ca="1"/>
        <v>1.7694628190280115E-3</v>
      </c>
      <c r="Z70" s="155">
        <f ca="1"/>
        <v>5.5462603246330122E-3</v>
      </c>
      <c r="AA70" s="155">
        <f ca="1"/>
        <v>1.1901836779152242E-2</v>
      </c>
      <c r="AB70" s="155">
        <f ca="1"/>
        <v>0</v>
      </c>
      <c r="AC70" s="155">
        <f ca="1"/>
        <v>3.0562014380124514E-2</v>
      </c>
      <c r="AD70" s="155">
        <f ca="1"/>
        <v>5.4257111176721051E-2</v>
      </c>
      <c r="AE70" s="138">
        <f ca="1"/>
        <v>9.4619415442548482E-2</v>
      </c>
      <c r="AG70" s="454"/>
      <c r="AH70" s="456"/>
      <c r="AI70" s="455"/>
      <c r="AJ70" s="457"/>
      <c r="AK70" s="135"/>
      <c r="AM70" s="135"/>
      <c r="AN70" s="135"/>
      <c r="AO70" s="135"/>
      <c r="AQ70" s="135"/>
      <c r="AR70" s="135"/>
      <c r="AS70" s="135"/>
      <c r="AT70" s="135"/>
      <c r="AV70" s="135"/>
      <c r="AW70" s="135"/>
      <c r="AX70" s="135"/>
    </row>
    <row r="71" spans="1:50" s="79" customFormat="1" ht="11.25">
      <c r="A71" s="96">
        <f t="shared" ca="1" si="2"/>
        <v>60</v>
      </c>
      <c r="B71" s="68" t="s">
        <v>148</v>
      </c>
      <c r="C71" s="97">
        <v>0.4</v>
      </c>
      <c r="D71" s="69" t="s">
        <v>66</v>
      </c>
      <c r="E71" s="136" t="s">
        <v>87</v>
      </c>
      <c r="F71" s="154">
        <v>1.15E-3</v>
      </c>
      <c r="G71" s="154">
        <v>1.4400000000000001E-3</v>
      </c>
      <c r="H71" s="154">
        <v>2.0100000000000001E-3</v>
      </c>
      <c r="I71" s="154">
        <v>2.3600000000000001E-3</v>
      </c>
      <c r="J71" s="154" t="s">
        <v>87</v>
      </c>
      <c r="K71" s="154">
        <v>3.0000000000000001E-3</v>
      </c>
      <c r="L71" s="154">
        <v>3.4299999999999999E-3</v>
      </c>
      <c r="M71" s="154">
        <v>3.8999999999999998E-3</v>
      </c>
      <c r="N71" s="137" cm="1">
        <f t="array" aca="1" ref="N71:AE71" ca="1">IF(OR(B71="",NOT($J$2)),"",GetStripDefaultProbability(A71,B71,Parameter_Date,CDSRollDate,E71:M71,SpreadCurveMaturities,D71,C71,$J$4,$J$6))</f>
        <v>0</v>
      </c>
      <c r="O71" s="155">
        <f ca="1"/>
        <v>1.0693031837868405E-3</v>
      </c>
      <c r="P71" s="155">
        <f ca="1"/>
        <v>2.5550387442602185E-3</v>
      </c>
      <c r="Q71" s="155">
        <f ca="1"/>
        <v>6.9619400427164413E-3</v>
      </c>
      <c r="R71" s="155">
        <f ca="1"/>
        <v>1.2158375385487474E-2</v>
      </c>
      <c r="S71" s="155">
        <f ca="1"/>
        <v>0</v>
      </c>
      <c r="T71" s="155">
        <f ca="1"/>
        <v>2.5429189423912146E-2</v>
      </c>
      <c r="U71" s="155">
        <f ca="1"/>
        <v>4.0471953062780619E-2</v>
      </c>
      <c r="V71" s="138">
        <f ca="1"/>
        <v>6.5195291352383333E-2</v>
      </c>
      <c r="W71" s="137">
        <f ca="1"/>
        <v>0</v>
      </c>
      <c r="X71" s="155">
        <f ca="1"/>
        <v>1.1622300733186153E-3</v>
      </c>
      <c r="Y71" s="155">
        <f ca="1"/>
        <v>2.7212657184988442E-3</v>
      </c>
      <c r="Z71" s="155">
        <f ca="1"/>
        <v>7.2928975667052587E-3</v>
      </c>
      <c r="AA71" s="155">
        <f ca="1"/>
        <v>1.2652172738161771E-2</v>
      </c>
      <c r="AB71" s="155">
        <f ca="1"/>
        <v>0</v>
      </c>
      <c r="AC71" s="155">
        <f ca="1"/>
        <v>2.6261447694449713E-2</v>
      </c>
      <c r="AD71" s="155">
        <f ca="1"/>
        <v>4.1620267848300641E-2</v>
      </c>
      <c r="AE71" s="138">
        <f ca="1"/>
        <v>6.6799781685301207E-2</v>
      </c>
      <c r="AG71" s="454"/>
      <c r="AH71" s="456"/>
      <c r="AI71" s="455"/>
      <c r="AJ71" s="457"/>
      <c r="AK71" s="135"/>
      <c r="AM71" s="135"/>
      <c r="AN71" s="135"/>
      <c r="AO71" s="135"/>
      <c r="AQ71" s="135"/>
      <c r="AR71" s="135"/>
      <c r="AS71" s="135"/>
      <c r="AT71" s="135"/>
      <c r="AV71" s="135"/>
      <c r="AW71" s="135"/>
      <c r="AX71" s="135"/>
    </row>
    <row r="72" spans="1:50" s="79" customFormat="1" ht="11.25">
      <c r="A72" s="96">
        <f t="shared" ca="1" si="2"/>
        <v>61</v>
      </c>
      <c r="B72" s="68" t="s">
        <v>149</v>
      </c>
      <c r="C72" s="97">
        <v>0.4</v>
      </c>
      <c r="D72" s="69" t="s">
        <v>66</v>
      </c>
      <c r="E72" s="136" t="s">
        <v>87</v>
      </c>
      <c r="F72" s="154">
        <v>6.9999999999999999E-4</v>
      </c>
      <c r="G72" s="154">
        <v>1.1999999999999999E-3</v>
      </c>
      <c r="H72" s="154">
        <v>2.3999999999999998E-3</v>
      </c>
      <c r="I72" s="154">
        <v>3.2000000000000002E-3</v>
      </c>
      <c r="J72" s="154" t="s">
        <v>87</v>
      </c>
      <c r="K72" s="154">
        <v>4.7000000000000002E-3</v>
      </c>
      <c r="L72" s="154">
        <v>5.5999999999999999E-3</v>
      </c>
      <c r="M72" s="154">
        <v>7.1000000000000004E-3</v>
      </c>
      <c r="N72" s="137" cm="1">
        <f t="array" aca="1" ref="N72:AE72" ca="1">IF(OR(B72="",NOT($J$2)),"",GetStripDefaultProbability(A72,B72,Parameter_Date,CDSRollDate,E72:M72,SpreadCurveMaturities,D72,C72,$J$4,$J$6))</f>
        <v>0</v>
      </c>
      <c r="O72" s="155">
        <f ca="1"/>
        <v>6.5101642887865907E-4</v>
      </c>
      <c r="P72" s="155">
        <f ca="1"/>
        <v>2.1341198646572801E-3</v>
      </c>
      <c r="Q72" s="155">
        <f ca="1"/>
        <v>8.3433008552227239E-3</v>
      </c>
      <c r="R72" s="155">
        <f ca="1"/>
        <v>1.6541903195218977E-2</v>
      </c>
      <c r="S72" s="155">
        <f ca="1"/>
        <v>0</v>
      </c>
      <c r="T72" s="155">
        <f ca="1"/>
        <v>3.9744715806526276E-2</v>
      </c>
      <c r="U72" s="155">
        <f ca="1"/>
        <v>6.5615320232173091E-2</v>
      </c>
      <c r="V72" s="138">
        <f ca="1"/>
        <v>0.11671194367180326</v>
      </c>
      <c r="W72" s="137">
        <f ca="1"/>
        <v>0</v>
      </c>
      <c r="X72" s="155">
        <f ca="1"/>
        <v>7.4398343160742009E-4</v>
      </c>
      <c r="Y72" s="155">
        <f ca="1"/>
        <v>2.3004169862056445E-3</v>
      </c>
      <c r="Z72" s="155">
        <f ca="1"/>
        <v>8.6737980023599004E-3</v>
      </c>
      <c r="AA72" s="155">
        <f ca="1"/>
        <v>1.7033509331833341E-2</v>
      </c>
      <c r="AB72" s="155">
        <f ca="1"/>
        <v>0</v>
      </c>
      <c r="AC72" s="155">
        <f ca="1"/>
        <v>4.0565341173646297E-2</v>
      </c>
      <c r="AD72" s="155">
        <f ca="1"/>
        <v>6.6735958283549279E-2</v>
      </c>
      <c r="AE72" s="138">
        <f ca="1"/>
        <v>0.11824889869779087</v>
      </c>
      <c r="AG72" s="454"/>
      <c r="AH72" s="456"/>
      <c r="AI72" s="455"/>
      <c r="AJ72" s="457"/>
      <c r="AK72" s="135"/>
      <c r="AM72" s="135"/>
      <c r="AN72" s="135"/>
      <c r="AO72" s="135"/>
      <c r="AQ72" s="135"/>
      <c r="AR72" s="135"/>
      <c r="AS72" s="135"/>
      <c r="AT72" s="135"/>
      <c r="AV72" s="135"/>
      <c r="AW72" s="135"/>
      <c r="AX72" s="135"/>
    </row>
    <row r="73" spans="1:50" s="79" customFormat="1" ht="11.25">
      <c r="A73" s="96">
        <f t="shared" ca="1" si="2"/>
        <v>62</v>
      </c>
      <c r="B73" s="68" t="s">
        <v>150</v>
      </c>
      <c r="C73" s="97">
        <v>0.4</v>
      </c>
      <c r="D73" s="69" t="s">
        <v>66</v>
      </c>
      <c r="E73" s="136" t="s">
        <v>87</v>
      </c>
      <c r="F73" s="154">
        <v>4.0000000000000002E-4</v>
      </c>
      <c r="G73" s="154">
        <v>5.9999999999999995E-4</v>
      </c>
      <c r="H73" s="154">
        <v>1.1000000000000001E-3</v>
      </c>
      <c r="I73" s="154">
        <v>1.4E-3</v>
      </c>
      <c r="J73" s="154" t="s">
        <v>87</v>
      </c>
      <c r="K73" s="154">
        <v>2.3999999999999998E-3</v>
      </c>
      <c r="L73" s="154">
        <v>3.2000000000000002E-3</v>
      </c>
      <c r="M73" s="154">
        <v>4.1000000000000003E-3</v>
      </c>
      <c r="N73" s="137" cm="1">
        <f t="array" aca="1" ref="N73:AE73" ca="1">IF(OR(B73="",NOT($J$2)),"",GetStripDefaultProbability(A73,B73,Parameter_Date,CDSRollDate,E73:M73,SpreadCurveMaturities,D73,C73,$J$4,$J$6))</f>
        <v>0</v>
      </c>
      <c r="O73" s="155">
        <f ca="1"/>
        <v>3.7206130320088793E-4</v>
      </c>
      <c r="P73" s="155">
        <f ca="1"/>
        <v>1.0666538687098548E-3</v>
      </c>
      <c r="Q73" s="155">
        <f ca="1"/>
        <v>3.8267133109989304E-3</v>
      </c>
      <c r="R73" s="155">
        <f ca="1"/>
        <v>7.2520712473543858E-3</v>
      </c>
      <c r="S73" s="155">
        <f ca="1"/>
        <v>0</v>
      </c>
      <c r="T73" s="155">
        <f ca="1"/>
        <v>2.0439139053449185E-2</v>
      </c>
      <c r="U73" s="155">
        <f ca="1"/>
        <v>3.7997802917473678E-2</v>
      </c>
      <c r="V73" s="138">
        <f ca="1"/>
        <v>6.8831475115969876E-2</v>
      </c>
      <c r="W73" s="137">
        <f ca="1"/>
        <v>0</v>
      </c>
      <c r="X73" s="155">
        <f ca="1"/>
        <v>4.6505473678803977E-4</v>
      </c>
      <c r="Y73" s="155">
        <f ca="1"/>
        <v>1.2331288864307899E-3</v>
      </c>
      <c r="Z73" s="155">
        <f ca="1"/>
        <v>4.1587157364167959E-3</v>
      </c>
      <c r="AA73" s="155">
        <f ca="1"/>
        <v>7.7483211389308693E-3</v>
      </c>
      <c r="AB73" s="155">
        <f ca="1"/>
        <v>0</v>
      </c>
      <c r="AC73" s="155">
        <f ca="1"/>
        <v>2.1276371964193963E-2</v>
      </c>
      <c r="AD73" s="155">
        <f ca="1"/>
        <v>3.9151267413206847E-2</v>
      </c>
      <c r="AE73" s="138">
        <f ca="1"/>
        <v>7.0434214184231236E-2</v>
      </c>
      <c r="AG73" s="454"/>
      <c r="AH73" s="456"/>
      <c r="AI73" s="455"/>
      <c r="AJ73" s="457"/>
      <c r="AK73" s="135"/>
      <c r="AM73" s="135"/>
      <c r="AN73" s="135"/>
      <c r="AO73" s="135"/>
      <c r="AQ73" s="135"/>
      <c r="AR73" s="135"/>
      <c r="AS73" s="135"/>
      <c r="AT73" s="135"/>
      <c r="AV73" s="135"/>
      <c r="AW73" s="135"/>
      <c r="AX73" s="135"/>
    </row>
    <row r="74" spans="1:50" s="79" customFormat="1" ht="11.25">
      <c r="A74" s="96">
        <f t="shared" ca="1" si="2"/>
        <v>63</v>
      </c>
      <c r="B74" s="68" t="s">
        <v>151</v>
      </c>
      <c r="C74" s="97">
        <v>0.4</v>
      </c>
      <c r="D74" s="69" t="s">
        <v>66</v>
      </c>
      <c r="E74" s="136" t="s">
        <v>87</v>
      </c>
      <c r="F74" s="154">
        <v>5.9999999999999995E-4</v>
      </c>
      <c r="G74" s="154">
        <v>1.1000000000000001E-3</v>
      </c>
      <c r="H74" s="154">
        <v>2E-3</v>
      </c>
      <c r="I74" s="154">
        <v>2.5999999999999999E-3</v>
      </c>
      <c r="J74" s="154" t="s">
        <v>87</v>
      </c>
      <c r="K74" s="154">
        <v>3.3999999999999998E-3</v>
      </c>
      <c r="L74" s="154">
        <v>4.1000000000000003E-3</v>
      </c>
      <c r="M74" s="154">
        <v>4.8999999999999998E-3</v>
      </c>
      <c r="N74" s="137" cm="1">
        <f t="array" aca="1" ref="N74:AE74" ca="1">IF(OR(B74="",NOT($J$2)),"",GetStripDefaultProbability(A74,B74,Parameter_Date,CDSRollDate,E74:M74,SpreadCurveMaturities,D74,C74,$J$4,$J$6))</f>
        <v>0</v>
      </c>
      <c r="O74" s="155">
        <f ca="1"/>
        <v>5.5804003710946404E-4</v>
      </c>
      <c r="P74" s="155">
        <f ca="1"/>
        <v>1.9571370491022755E-3</v>
      </c>
      <c r="Q74" s="155">
        <f ca="1"/>
        <v>6.9515706219475115E-3</v>
      </c>
      <c r="R74" s="155">
        <f ca="1"/>
        <v>1.3444194301602819E-2</v>
      </c>
      <c r="S74" s="155">
        <f ca="1"/>
        <v>0</v>
      </c>
      <c r="T74" s="155">
        <f ca="1"/>
        <v>2.8843202659227352E-2</v>
      </c>
      <c r="U74" s="155">
        <f ca="1"/>
        <v>4.8354938571170458E-2</v>
      </c>
      <c r="V74" s="138">
        <f ca="1"/>
        <v>8.1580676227049675E-2</v>
      </c>
      <c r="W74" s="137">
        <f ca="1"/>
        <v>0</v>
      </c>
      <c r="X74" s="155">
        <f ca="1"/>
        <v>6.5101587709581743E-4</v>
      </c>
      <c r="Y74" s="155">
        <f ca="1"/>
        <v>2.1234636653296723E-3</v>
      </c>
      <c r="Z74" s="155">
        <f ca="1"/>
        <v>7.2825316018332309E-3</v>
      </c>
      <c r="AA74" s="155">
        <f ca="1"/>
        <v>1.3937348905523339E-2</v>
      </c>
      <c r="AB74" s="155">
        <f ca="1"/>
        <v>0</v>
      </c>
      <c r="AC74" s="155">
        <f ca="1"/>
        <v>2.9672953457390627E-2</v>
      </c>
      <c r="AD74" s="155">
        <f ca="1"/>
        <v>4.9495105013801832E-2</v>
      </c>
      <c r="AE74" s="138">
        <f ca="1"/>
        <v>8.3158616121252971E-2</v>
      </c>
      <c r="AG74" s="454"/>
      <c r="AH74" s="456"/>
      <c r="AI74" s="455"/>
      <c r="AJ74" s="457"/>
      <c r="AK74" s="135"/>
      <c r="AM74" s="135"/>
      <c r="AN74" s="135"/>
      <c r="AO74" s="135"/>
      <c r="AQ74" s="135"/>
      <c r="AR74" s="135"/>
      <c r="AS74" s="135"/>
      <c r="AT74" s="135"/>
      <c r="AV74" s="135"/>
      <c r="AW74" s="135"/>
      <c r="AX74" s="135"/>
    </row>
    <row r="75" spans="1:50" s="79" customFormat="1" ht="11.25">
      <c r="A75" s="96">
        <f t="shared" ca="1" si="2"/>
        <v>64</v>
      </c>
      <c r="B75" s="68" t="s">
        <v>152</v>
      </c>
      <c r="C75" s="97">
        <v>0.4</v>
      </c>
      <c r="D75" s="69" t="s">
        <v>66</v>
      </c>
      <c r="E75" s="136" t="s">
        <v>87</v>
      </c>
      <c r="F75" s="154">
        <v>2.0000000000000001E-4</v>
      </c>
      <c r="G75" s="154">
        <v>2.9999999999999997E-4</v>
      </c>
      <c r="H75" s="154">
        <v>5.9999999999999995E-4</v>
      </c>
      <c r="I75" s="154">
        <v>8.9999999999999998E-4</v>
      </c>
      <c r="J75" s="154" t="s">
        <v>87</v>
      </c>
      <c r="K75" s="154">
        <v>1.2999999999999999E-3</v>
      </c>
      <c r="L75" s="154">
        <v>1.8E-3</v>
      </c>
      <c r="M75" s="154">
        <v>2.5000000000000001E-3</v>
      </c>
      <c r="N75" s="137" cm="1">
        <f t="array" aca="1" ref="N75:AE75" ca="1">IF(OR(B75="",NOT($J$2)),"",GetStripDefaultProbability(A75,B75,Parameter_Date,CDSRollDate,E75:M75,SpreadCurveMaturities,D75,C75,$J$4,$J$6))</f>
        <v>0</v>
      </c>
      <c r="O75" s="155">
        <f ca="1"/>
        <v>1.8604796070598173E-4</v>
      </c>
      <c r="P75" s="155">
        <f ca="1"/>
        <v>5.334439907710431E-4</v>
      </c>
      <c r="Q75" s="155">
        <f ca="1"/>
        <v>2.0900314112303198E-3</v>
      </c>
      <c r="R75" s="155">
        <f ca="1"/>
        <v>4.6812661559951785E-3</v>
      </c>
      <c r="S75" s="155">
        <f ca="1"/>
        <v>0</v>
      </c>
      <c r="T75" s="155">
        <f ca="1"/>
        <v>1.1119768733497404E-2</v>
      </c>
      <c r="U75" s="155">
        <f ca="1"/>
        <v>2.1523423530196872E-2</v>
      </c>
      <c r="V75" s="138">
        <f ca="1"/>
        <v>4.2444735427304314E-2</v>
      </c>
      <c r="W75" s="137">
        <f ca="1"/>
        <v>0</v>
      </c>
      <c r="X75" s="155">
        <f ca="1"/>
        <v>2.7905888266266388E-4</v>
      </c>
      <c r="Y75" s="155">
        <f ca="1"/>
        <v>7.0000786940083159E-4</v>
      </c>
      <c r="Z75" s="155">
        <f ca="1"/>
        <v>2.4226126341411192E-3</v>
      </c>
      <c r="AA75" s="155">
        <f ca="1"/>
        <v>5.1788011288272928E-3</v>
      </c>
      <c r="AB75" s="155">
        <f ca="1"/>
        <v>0</v>
      </c>
      <c r="AC75" s="155">
        <f ca="1"/>
        <v>1.1964102792661024E-2</v>
      </c>
      <c r="AD75" s="155">
        <f ca="1"/>
        <v>2.2694533129401395E-2</v>
      </c>
      <c r="AE75" s="138">
        <f ca="1"/>
        <v>4.4091407039190789E-2</v>
      </c>
      <c r="AG75" s="454"/>
      <c r="AH75" s="456"/>
      <c r="AI75" s="455"/>
      <c r="AJ75" s="457"/>
      <c r="AK75" s="135"/>
      <c r="AM75" s="135"/>
      <c r="AN75" s="135"/>
      <c r="AO75" s="135"/>
      <c r="AQ75" s="135"/>
      <c r="AR75" s="135"/>
      <c r="AS75" s="135"/>
      <c r="AT75" s="135"/>
      <c r="AV75" s="135"/>
      <c r="AW75" s="135"/>
      <c r="AX75" s="135"/>
    </row>
    <row r="76" spans="1:50" s="79" customFormat="1" ht="11.25">
      <c r="A76" s="96">
        <f t="shared" ca="1" si="2"/>
        <v>65</v>
      </c>
      <c r="B76" s="68" t="s">
        <v>153</v>
      </c>
      <c r="C76" s="97">
        <v>0.4</v>
      </c>
      <c r="D76" s="69" t="s">
        <v>66</v>
      </c>
      <c r="E76" s="136" t="s">
        <v>87</v>
      </c>
      <c r="F76" s="154">
        <v>9.2000000000000003E-4</v>
      </c>
      <c r="G76" s="154">
        <v>1.39E-3</v>
      </c>
      <c r="H76" s="154">
        <v>2.0799999999999998E-3</v>
      </c>
      <c r="I76" s="154">
        <v>2.49E-3</v>
      </c>
      <c r="J76" s="154" t="s">
        <v>87</v>
      </c>
      <c r="K76" s="154">
        <v>3.0000000000000001E-3</v>
      </c>
      <c r="L76" s="154">
        <v>3.3500000000000001E-3</v>
      </c>
      <c r="M76" s="154">
        <v>3.7000000000000002E-3</v>
      </c>
      <c r="N76" s="137" cm="1">
        <f t="array" aca="1" ref="N76:AE76" ca="1">IF(OR(B76="",NOT($J$2)),"",GetStripDefaultProbability(A76,B76,Parameter_Date,CDSRollDate,E76:M76,SpreadCurveMaturities,D76,C76,$J$4,$J$6))</f>
        <v>0</v>
      </c>
      <c r="O76" s="155">
        <f ca="1"/>
        <v>8.5553404965088564E-4</v>
      </c>
      <c r="P76" s="155">
        <f ca="1"/>
        <v>2.469771640047691E-3</v>
      </c>
      <c r="Q76" s="155">
        <f ca="1"/>
        <v>7.2128972837282035E-3</v>
      </c>
      <c r="R76" s="155">
        <f ca="1"/>
        <v>1.2839852339836977E-2</v>
      </c>
      <c r="S76" s="155">
        <f ca="1"/>
        <v>0</v>
      </c>
      <c r="T76" s="155">
        <f ca="1"/>
        <v>2.5435920216266728E-2</v>
      </c>
      <c r="U76" s="155">
        <f ca="1"/>
        <v>3.9525418143733337E-2</v>
      </c>
      <c r="V76" s="138">
        <f ca="1"/>
        <v>6.1883017888935465E-2</v>
      </c>
      <c r="W76" s="137">
        <f ca="1"/>
        <v>0</v>
      </c>
      <c r="X76" s="155">
        <f ca="1"/>
        <v>9.484815131883817E-4</v>
      </c>
      <c r="Y76" s="155">
        <f ca="1"/>
        <v>2.6360128242843839E-3</v>
      </c>
      <c r="Z76" s="155">
        <f ca="1"/>
        <v>7.5437711692495357E-3</v>
      </c>
      <c r="AA76" s="155">
        <f ca="1"/>
        <v>1.3333309039213925E-2</v>
      </c>
      <c r="AB76" s="155">
        <f ca="1"/>
        <v>0</v>
      </c>
      <c r="AC76" s="155">
        <f ca="1"/>
        <v>2.6268080213155187E-2</v>
      </c>
      <c r="AD76" s="155">
        <f ca="1"/>
        <v>4.0674413880653959E-2</v>
      </c>
      <c r="AE76" s="138">
        <f ca="1"/>
        <v>6.3492181389286584E-2</v>
      </c>
      <c r="AG76" s="454"/>
      <c r="AH76" s="456"/>
      <c r="AI76" s="455"/>
      <c r="AJ76" s="457"/>
      <c r="AK76" s="135"/>
      <c r="AM76" s="135"/>
      <c r="AN76" s="135"/>
      <c r="AO76" s="135"/>
      <c r="AQ76" s="135"/>
      <c r="AR76" s="135"/>
      <c r="AS76" s="135"/>
      <c r="AT76" s="135"/>
      <c r="AV76" s="135"/>
      <c r="AW76" s="135"/>
      <c r="AX76" s="135"/>
    </row>
    <row r="77" spans="1:50" s="79" customFormat="1" ht="11.25">
      <c r="A77" s="96">
        <f t="shared" ca="1" si="2"/>
        <v>66</v>
      </c>
      <c r="B77" s="68" t="s">
        <v>154</v>
      </c>
      <c r="C77" s="97">
        <v>0.4</v>
      </c>
      <c r="D77" s="69" t="s">
        <v>66</v>
      </c>
      <c r="E77" s="136" t="s">
        <v>87</v>
      </c>
      <c r="F77" s="154">
        <v>2.3999999999999998E-3</v>
      </c>
      <c r="G77" s="154">
        <v>3.2000000000000002E-3</v>
      </c>
      <c r="H77" s="154">
        <v>4.8999999999999998E-3</v>
      </c>
      <c r="I77" s="154">
        <v>6.7000000000000002E-3</v>
      </c>
      <c r="J77" s="154" t="s">
        <v>87</v>
      </c>
      <c r="K77" s="154">
        <v>1.03E-2</v>
      </c>
      <c r="L77" s="154">
        <v>1.23E-2</v>
      </c>
      <c r="M77" s="154">
        <v>1.4200000000000001E-2</v>
      </c>
      <c r="N77" s="137" cm="1">
        <f t="array" aca="1" ref="N77:AE77" ca="1">IF(OR(B77="",NOT($J$2)),"",GetStripDefaultProbability(A77,B77,Parameter_Date,CDSRollDate,E77:M77,SpreadCurveMaturities,D77,C77,$J$4,$J$6))</f>
        <v>0</v>
      </c>
      <c r="O77" s="155">
        <f ca="1"/>
        <v>2.230292849099369E-3</v>
      </c>
      <c r="P77" s="155">
        <f ca="1"/>
        <v>5.6729209437177408E-3</v>
      </c>
      <c r="Q77" s="155">
        <f ca="1"/>
        <v>1.692507229571627E-2</v>
      </c>
      <c r="R77" s="155">
        <f ca="1"/>
        <v>3.4366158378684064E-2</v>
      </c>
      <c r="S77" s="155">
        <f ca="1"/>
        <v>0</v>
      </c>
      <c r="T77" s="155">
        <f ca="1"/>
        <v>8.5580838414836435E-2</v>
      </c>
      <c r="U77" s="155">
        <f ca="1"/>
        <v>0.13980687976643147</v>
      </c>
      <c r="V77" s="138">
        <f ca="1"/>
        <v>0.22190002721461344</v>
      </c>
      <c r="W77" s="137">
        <f ca="1"/>
        <v>0</v>
      </c>
      <c r="X77" s="155">
        <f ca="1"/>
        <v>2.323105100222489E-3</v>
      </c>
      <c r="Y77" s="155">
        <f ca="1"/>
        <v>5.8386283142218831E-3</v>
      </c>
      <c r="Z77" s="155">
        <f ca="1"/>
        <v>1.7252709329083182E-2</v>
      </c>
      <c r="AA77" s="155">
        <f ca="1"/>
        <v>3.4848854615383784E-2</v>
      </c>
      <c r="AB77" s="155">
        <f ca="1"/>
        <v>0</v>
      </c>
      <c r="AC77" s="155">
        <f ca="1"/>
        <v>8.6371324825681217E-2</v>
      </c>
      <c r="AD77" s="155">
        <f ca="1"/>
        <v>0.14085448451469085</v>
      </c>
      <c r="AE77" s="138">
        <f ca="1"/>
        <v>0.22327175831636636</v>
      </c>
      <c r="AG77" s="454"/>
      <c r="AH77" s="456"/>
      <c r="AI77" s="455"/>
      <c r="AJ77" s="457"/>
      <c r="AK77" s="135"/>
      <c r="AM77" s="135"/>
      <c r="AN77" s="135"/>
      <c r="AO77" s="135"/>
      <c r="AQ77" s="135"/>
      <c r="AR77" s="135"/>
      <c r="AS77" s="135"/>
      <c r="AT77" s="135"/>
      <c r="AV77" s="135"/>
      <c r="AW77" s="135"/>
      <c r="AX77" s="135"/>
    </row>
    <row r="78" spans="1:50" s="79" customFormat="1" ht="11.25">
      <c r="A78" s="96">
        <f t="shared" ref="A78:A133" ca="1" si="3">IF(B78="","",A77+1)</f>
        <v>67</v>
      </c>
      <c r="B78" s="68" t="s">
        <v>155</v>
      </c>
      <c r="C78" s="97">
        <v>0.4</v>
      </c>
      <c r="D78" s="69" t="s">
        <v>66</v>
      </c>
      <c r="E78" s="136" t="s">
        <v>87</v>
      </c>
      <c r="F78" s="154">
        <v>5.9999999999999995E-4</v>
      </c>
      <c r="G78" s="154">
        <v>1.1000000000000001E-3</v>
      </c>
      <c r="H78" s="154">
        <v>2.0999999999999999E-3</v>
      </c>
      <c r="I78" s="154">
        <v>2.8E-3</v>
      </c>
      <c r="J78" s="154" t="s">
        <v>87</v>
      </c>
      <c r="K78" s="154">
        <v>4.0000000000000001E-3</v>
      </c>
      <c r="L78" s="154">
        <v>4.7999999999999996E-3</v>
      </c>
      <c r="M78" s="154">
        <v>6.1000000000000004E-3</v>
      </c>
      <c r="N78" s="137" cm="1">
        <f t="array" aca="1" ref="N78:AE78" ca="1">IF(OR(B78="",NOT($J$2)),"",GetStripDefaultProbability(A78,B78,Parameter_Date,CDSRollDate,E78:M78,SpreadCurveMaturities,D78,C78,$J$4,$J$6))</f>
        <v>0</v>
      </c>
      <c r="O78" s="155">
        <f ca="1"/>
        <v>5.5804003710946404E-4</v>
      </c>
      <c r="P78" s="155">
        <f ca="1"/>
        <v>1.9571370491022755E-3</v>
      </c>
      <c r="Q78" s="155">
        <f ca="1"/>
        <v>7.301149763954351E-3</v>
      </c>
      <c r="R78" s="155">
        <f ca="1"/>
        <v>1.4483106160778747E-2</v>
      </c>
      <c r="S78" s="155">
        <f ca="1"/>
        <v>0</v>
      </c>
      <c r="T78" s="155">
        <f ca="1"/>
        <v>3.3892869171830653E-2</v>
      </c>
      <c r="U78" s="155">
        <f ca="1"/>
        <v>5.6450437325393232E-2</v>
      </c>
      <c r="V78" s="138">
        <f ca="1"/>
        <v>0.10094466549243764</v>
      </c>
      <c r="W78" s="137">
        <f ca="1"/>
        <v>0</v>
      </c>
      <c r="X78" s="155">
        <f ca="1"/>
        <v>6.5101587709581743E-4</v>
      </c>
      <c r="Y78" s="155">
        <f ca="1"/>
        <v>2.1234636653296723E-3</v>
      </c>
      <c r="Z78" s="155">
        <f ca="1"/>
        <v>7.6319942368913152E-3</v>
      </c>
      <c r="AA78" s="155">
        <f ca="1"/>
        <v>1.4975741438619461E-2</v>
      </c>
      <c r="AB78" s="155">
        <f ca="1"/>
        <v>0</v>
      </c>
      <c r="AC78" s="155">
        <f ca="1"/>
        <v>3.4718586222590719E-2</v>
      </c>
      <c r="AD78" s="155">
        <f ca="1"/>
        <v>5.7581708556156963E-2</v>
      </c>
      <c r="AE78" s="138">
        <f ca="1"/>
        <v>0.10248814857127209</v>
      </c>
      <c r="AG78" s="454"/>
      <c r="AH78" s="456"/>
      <c r="AI78" s="455"/>
      <c r="AJ78" s="457"/>
      <c r="AK78" s="135"/>
      <c r="AM78" s="135"/>
      <c r="AN78" s="135"/>
      <c r="AO78" s="135"/>
      <c r="AQ78" s="135"/>
      <c r="AR78" s="135"/>
      <c r="AS78" s="135"/>
      <c r="AT78" s="135"/>
      <c r="AV78" s="135"/>
      <c r="AW78" s="135"/>
      <c r="AX78" s="135"/>
    </row>
    <row r="79" spans="1:50" s="79" customFormat="1" ht="11.25">
      <c r="A79" s="96">
        <f t="shared" ca="1" si="3"/>
        <v>68</v>
      </c>
      <c r="B79" s="68" t="s">
        <v>156</v>
      </c>
      <c r="C79" s="97">
        <v>0.4</v>
      </c>
      <c r="D79" s="69" t="s">
        <v>66</v>
      </c>
      <c r="E79" s="136" t="s">
        <v>87</v>
      </c>
      <c r="F79" s="154">
        <v>1E-3</v>
      </c>
      <c r="G79" s="154">
        <v>1.4E-3</v>
      </c>
      <c r="H79" s="154">
        <v>2.2000000000000001E-3</v>
      </c>
      <c r="I79" s="154">
        <v>3.3E-3</v>
      </c>
      <c r="J79" s="154" t="s">
        <v>87</v>
      </c>
      <c r="K79" s="154">
        <v>5.1000000000000004E-3</v>
      </c>
      <c r="L79" s="154">
        <v>6.3E-3</v>
      </c>
      <c r="M79" s="154">
        <v>7.6E-3</v>
      </c>
      <c r="N79" s="137" cm="1">
        <f t="array" aca="1" ref="N79:AE79" ca="1">IF(OR(B79="",NOT($J$2)),"",GetStripDefaultProbability(A79,B79,Parameter_Date,CDSRollDate,E79:M79,SpreadCurveMaturities,D79,C79,$J$4,$J$6))</f>
        <v>0</v>
      </c>
      <c r="O79" s="155">
        <f ca="1"/>
        <v>9.2989371787344233E-4</v>
      </c>
      <c r="P79" s="155">
        <f ca="1"/>
        <v>2.4862269575006701E-3</v>
      </c>
      <c r="Q79" s="155">
        <f ca="1"/>
        <v>7.6303255456069419E-3</v>
      </c>
      <c r="R79" s="155">
        <f ca="1"/>
        <v>1.7072811539452837E-2</v>
      </c>
      <c r="S79" s="155">
        <f ca="1"/>
        <v>0</v>
      </c>
      <c r="T79" s="155">
        <f ca="1"/>
        <v>4.3105763749838211E-2</v>
      </c>
      <c r="U79" s="155">
        <f ca="1"/>
        <v>7.3700629606284429E-2</v>
      </c>
      <c r="V79" s="138">
        <f ca="1"/>
        <v>0.12446208685805193</v>
      </c>
      <c r="W79" s="137">
        <f ca="1"/>
        <v>0</v>
      </c>
      <c r="X79" s="155">
        <f ca="1"/>
        <v>1.0228340424542903E-3</v>
      </c>
      <c r="Y79" s="155">
        <f ca="1"/>
        <v>2.6524653994269842E-3</v>
      </c>
      <c r="Z79" s="155">
        <f ca="1"/>
        <v>7.9610603115710665E-3</v>
      </c>
      <c r="AA79" s="155">
        <f ca="1"/>
        <v>1.7564152288278012E-2</v>
      </c>
      <c r="AB79" s="155">
        <f ca="1"/>
        <v>0</v>
      </c>
      <c r="AC79" s="155">
        <f ca="1"/>
        <v>4.3923502241031254E-2</v>
      </c>
      <c r="AD79" s="155">
        <f ca="1"/>
        <v>7.4812180149615215E-2</v>
      </c>
      <c r="AE79" s="138">
        <f ca="1"/>
        <v>0.12598621181713798</v>
      </c>
      <c r="AG79" s="454"/>
      <c r="AH79" s="456"/>
      <c r="AI79" s="455"/>
      <c r="AJ79" s="457"/>
      <c r="AK79" s="135"/>
      <c r="AM79" s="135"/>
      <c r="AN79" s="135"/>
      <c r="AO79" s="135"/>
      <c r="AQ79" s="135"/>
      <c r="AR79" s="135"/>
      <c r="AS79" s="135"/>
      <c r="AT79" s="135"/>
      <c r="AV79" s="135"/>
      <c r="AW79" s="135"/>
      <c r="AX79" s="135"/>
    </row>
    <row r="80" spans="1:50" s="79" customFormat="1" ht="11.25">
      <c r="A80" s="96">
        <f t="shared" ca="1" si="3"/>
        <v>69</v>
      </c>
      <c r="B80" s="68" t="s">
        <v>157</v>
      </c>
      <c r="C80" s="97">
        <v>0.4</v>
      </c>
      <c r="D80" s="69" t="s">
        <v>66</v>
      </c>
      <c r="E80" s="136" t="s">
        <v>87</v>
      </c>
      <c r="F80" s="154">
        <v>5.0000000000000001E-4</v>
      </c>
      <c r="G80" s="154">
        <v>5.0000000000000001E-4</v>
      </c>
      <c r="H80" s="154">
        <v>1E-3</v>
      </c>
      <c r="I80" s="154">
        <v>1.8E-3</v>
      </c>
      <c r="J80" s="154" t="s">
        <v>87</v>
      </c>
      <c r="K80" s="154">
        <v>2.7000000000000001E-3</v>
      </c>
      <c r="L80" s="154">
        <v>3.5000000000000001E-3</v>
      </c>
      <c r="M80" s="154">
        <v>4.4999999999999997E-3</v>
      </c>
      <c r="N80" s="137" cm="1">
        <f t="array" aca="1" ref="N80:AE80" ca="1">IF(OR(B80="",NOT($J$2)),"",GetStripDefaultProbability(A80,B80,Parameter_Date,CDSRollDate,E80:M80,SpreadCurveMaturities,D80,C80,$J$4,$J$6))</f>
        <v>0</v>
      </c>
      <c r="O80" s="155">
        <f ca="1"/>
        <v>4.6505499562699004E-4</v>
      </c>
      <c r="P80" s="155">
        <f ca="1"/>
        <v>8.861251903584666E-4</v>
      </c>
      <c r="Q80" s="155">
        <f ca="1"/>
        <v>3.4787715587528689E-3</v>
      </c>
      <c r="R80" s="155">
        <f ca="1"/>
        <v>9.370072553683606E-3</v>
      </c>
      <c r="S80" s="155">
        <f ca="1"/>
        <v>0</v>
      </c>
      <c r="T80" s="155">
        <f ca="1"/>
        <v>2.3019470926574859E-2</v>
      </c>
      <c r="U80" s="155">
        <f ca="1"/>
        <v>4.1528168294394097E-2</v>
      </c>
      <c r="V80" s="138">
        <f ca="1"/>
        <v>7.5381177506779085E-2</v>
      </c>
      <c r="W80" s="137">
        <f ca="1"/>
        <v>0</v>
      </c>
      <c r="X80" s="155">
        <f ca="1"/>
        <v>5.5803964578249321E-4</v>
      </c>
      <c r="Y80" s="155">
        <f ca="1"/>
        <v>1.0526302936837428E-3</v>
      </c>
      <c r="Z80" s="155">
        <f ca="1"/>
        <v>3.8108899454333267E-3</v>
      </c>
      <c r="AA80" s="155">
        <f ca="1"/>
        <v>9.8652637093055162E-3</v>
      </c>
      <c r="AB80" s="155">
        <f ca="1"/>
        <v>0</v>
      </c>
      <c r="AC80" s="155">
        <f ca="1"/>
        <v>2.3854667650425321E-2</v>
      </c>
      <c r="AD80" s="155">
        <f ca="1"/>
        <v>4.2677450909492598E-2</v>
      </c>
      <c r="AE80" s="138">
        <f ca="1"/>
        <v>7.6972336104246919E-2</v>
      </c>
      <c r="AG80" s="454"/>
      <c r="AH80" s="456"/>
      <c r="AI80" s="455"/>
      <c r="AJ80" s="457"/>
      <c r="AK80" s="135"/>
      <c r="AM80" s="135"/>
      <c r="AN80" s="135"/>
      <c r="AO80" s="135"/>
      <c r="AQ80" s="135"/>
      <c r="AR80" s="135"/>
      <c r="AS80" s="135"/>
      <c r="AT80" s="135"/>
      <c r="AV80" s="135"/>
      <c r="AW80" s="135"/>
      <c r="AX80" s="135"/>
    </row>
    <row r="81" spans="1:50" s="79" customFormat="1" ht="11.25">
      <c r="A81" s="96">
        <f t="shared" ca="1" si="3"/>
        <v>70</v>
      </c>
      <c r="B81" s="68" t="s">
        <v>158</v>
      </c>
      <c r="C81" s="97">
        <v>0.4</v>
      </c>
      <c r="D81" s="69" t="s">
        <v>66</v>
      </c>
      <c r="E81" s="136" t="s">
        <v>87</v>
      </c>
      <c r="F81" s="154">
        <v>1E-3</v>
      </c>
      <c r="G81" s="154">
        <v>1E-3</v>
      </c>
      <c r="H81" s="154">
        <v>1.8E-3</v>
      </c>
      <c r="I81" s="154">
        <v>2.8999999999999998E-3</v>
      </c>
      <c r="J81" s="154" t="s">
        <v>87</v>
      </c>
      <c r="K81" s="154">
        <v>4.3E-3</v>
      </c>
      <c r="L81" s="154">
        <v>5.4000000000000003E-3</v>
      </c>
      <c r="M81" s="154">
        <v>6.8999999999999999E-3</v>
      </c>
      <c r="N81" s="137" cm="1">
        <f t="array" aca="1" ref="N81:AE81" ca="1">IF(OR(B81="",NOT($J$2)),"",GetStripDefaultProbability(A81,B81,Parameter_Date,CDSRollDate,E81:M81,SpreadCurveMaturities,D81,C81,$J$4,$J$6))</f>
        <v>0</v>
      </c>
      <c r="O81" s="155">
        <f ca="1"/>
        <v>9.2989371787344233E-4</v>
      </c>
      <c r="P81" s="155">
        <f ca="1"/>
        <v>1.7714646269012535E-3</v>
      </c>
      <c r="Q81" s="155">
        <f ca="1"/>
        <v>6.2493221761313889E-3</v>
      </c>
      <c r="R81" s="155">
        <f ca="1"/>
        <v>1.5036610396881422E-2</v>
      </c>
      <c r="S81" s="155">
        <f ca="1"/>
        <v>0</v>
      </c>
      <c r="T81" s="155">
        <f ca="1"/>
        <v>3.6448967599632009E-2</v>
      </c>
      <c r="U81" s="155">
        <f ca="1"/>
        <v>6.3466275234317027E-2</v>
      </c>
      <c r="V81" s="138">
        <f ca="1"/>
        <v>0.11374495115179062</v>
      </c>
      <c r="W81" s="137">
        <f ca="1"/>
        <v>0</v>
      </c>
      <c r="X81" s="155">
        <f ca="1"/>
        <v>1.0228340424542903E-3</v>
      </c>
      <c r="Y81" s="155">
        <f ca="1"/>
        <v>1.9378221859563949E-3</v>
      </c>
      <c r="Z81" s="155">
        <f ca="1"/>
        <v>6.5805171998475354E-3</v>
      </c>
      <c r="AA81" s="155">
        <f ca="1"/>
        <v>1.5528968991792347E-2</v>
      </c>
      <c r="AB81" s="155">
        <f ca="1"/>
        <v>0</v>
      </c>
      <c r="AC81" s="155">
        <f ca="1"/>
        <v>3.7272753186213148E-2</v>
      </c>
      <c r="AD81" s="155">
        <f ca="1"/>
        <v>6.4590039886438189E-2</v>
      </c>
      <c r="AE81" s="138">
        <f ca="1"/>
        <v>0.11528784378166756</v>
      </c>
      <c r="AG81" s="454"/>
      <c r="AH81" s="456"/>
      <c r="AI81" s="455"/>
      <c r="AJ81" s="457"/>
      <c r="AK81" s="135"/>
      <c r="AM81" s="135"/>
      <c r="AN81" s="135"/>
      <c r="AO81" s="135"/>
      <c r="AQ81" s="135"/>
      <c r="AR81" s="135"/>
      <c r="AS81" s="135"/>
      <c r="AT81" s="135"/>
      <c r="AV81" s="135"/>
      <c r="AW81" s="135"/>
      <c r="AX81" s="135"/>
    </row>
    <row r="82" spans="1:50" s="79" customFormat="1" ht="11.25">
      <c r="A82" s="96">
        <f t="shared" ca="1" si="3"/>
        <v>71</v>
      </c>
      <c r="B82" s="68" t="s">
        <v>159</v>
      </c>
      <c r="C82" s="97">
        <v>0.4</v>
      </c>
      <c r="D82" s="69" t="s">
        <v>66</v>
      </c>
      <c r="E82" s="136" t="s">
        <v>87</v>
      </c>
      <c r="F82" s="154">
        <v>4.0000000000000002E-4</v>
      </c>
      <c r="G82" s="154">
        <v>8.9999999999999998E-4</v>
      </c>
      <c r="H82" s="154">
        <v>1.2999999999999999E-3</v>
      </c>
      <c r="I82" s="154">
        <v>1.8E-3</v>
      </c>
      <c r="J82" s="154" t="s">
        <v>87</v>
      </c>
      <c r="K82" s="154">
        <v>2.8E-3</v>
      </c>
      <c r="L82" s="154">
        <v>3.5000000000000001E-3</v>
      </c>
      <c r="M82" s="154">
        <v>4.3E-3</v>
      </c>
      <c r="N82" s="137" cm="1">
        <f t="array" aca="1" ref="N82:AE82" ca="1">IF(OR(B82="",NOT($J$2)),"",GetStripDefaultProbability(A82,B82,Parameter_Date,CDSRollDate,E82:M82,SpreadCurveMaturities,D82,C82,$J$4,$J$6))</f>
        <v>0</v>
      </c>
      <c r="O82" s="155">
        <f ca="1"/>
        <v>3.7206130320088793E-4</v>
      </c>
      <c r="P82" s="155">
        <f ca="1"/>
        <v>1.6030771977488811E-3</v>
      </c>
      <c r="Q82" s="155">
        <f ca="1"/>
        <v>4.514678439456854E-3</v>
      </c>
      <c r="R82" s="155">
        <f ca="1"/>
        <v>9.3248008976649643E-3</v>
      </c>
      <c r="S82" s="155">
        <f ca="1"/>
        <v>0</v>
      </c>
      <c r="T82" s="155">
        <f ca="1"/>
        <v>2.3818394925157249E-2</v>
      </c>
      <c r="U82" s="155">
        <f ca="1"/>
        <v>4.1450095068842119E-2</v>
      </c>
      <c r="V82" s="138">
        <f ca="1"/>
        <v>7.1982712327550602E-2</v>
      </c>
      <c r="W82" s="137">
        <f ca="1"/>
        <v>0</v>
      </c>
      <c r="X82" s="155">
        <f ca="1"/>
        <v>4.6505473678803977E-4</v>
      </c>
      <c r="Y82" s="155">
        <f ca="1"/>
        <v>1.7694628190280115E-3</v>
      </c>
      <c r="Z82" s="155">
        <f ca="1"/>
        <v>4.8464515813767539E-3</v>
      </c>
      <c r="AA82" s="155">
        <f ca="1"/>
        <v>9.8200146834719337E-3</v>
      </c>
      <c r="AB82" s="155">
        <f ca="1"/>
        <v>0</v>
      </c>
      <c r="AC82" s="155">
        <f ca="1"/>
        <v>2.4652754727429227E-2</v>
      </c>
      <c r="AD82" s="155">
        <f ca="1"/>
        <v>4.259908526173195E-2</v>
      </c>
      <c r="AE82" s="138">
        <f ca="1"/>
        <v>7.3578779637418101E-2</v>
      </c>
      <c r="AG82" s="454"/>
      <c r="AH82" s="456"/>
      <c r="AI82" s="455"/>
      <c r="AJ82" s="457"/>
      <c r="AK82" s="135"/>
      <c r="AM82" s="135"/>
      <c r="AN82" s="135"/>
      <c r="AO82" s="135"/>
      <c r="AQ82" s="135"/>
      <c r="AR82" s="135"/>
      <c r="AS82" s="135"/>
      <c r="AT82" s="135"/>
      <c r="AV82" s="135"/>
      <c r="AW82" s="135"/>
      <c r="AX82" s="135"/>
    </row>
    <row r="83" spans="1:50" s="79" customFormat="1" ht="11.25">
      <c r="A83" s="96">
        <f t="shared" ca="1" si="3"/>
        <v>72</v>
      </c>
      <c r="B83" s="68" t="s">
        <v>160</v>
      </c>
      <c r="C83" s="97">
        <v>0.4</v>
      </c>
      <c r="D83" s="69" t="s">
        <v>66</v>
      </c>
      <c r="E83" s="136" t="s">
        <v>87</v>
      </c>
      <c r="F83" s="154">
        <v>5.9999999999999995E-4</v>
      </c>
      <c r="G83" s="154">
        <v>1.2999999999999999E-3</v>
      </c>
      <c r="H83" s="154">
        <v>1.9E-3</v>
      </c>
      <c r="I83" s="154">
        <v>2.5000000000000001E-3</v>
      </c>
      <c r="J83" s="154" t="s">
        <v>87</v>
      </c>
      <c r="K83" s="154">
        <v>4.0000000000000001E-3</v>
      </c>
      <c r="L83" s="154">
        <v>5.1000000000000004E-3</v>
      </c>
      <c r="M83" s="154">
        <v>6.1999999999999998E-3</v>
      </c>
      <c r="N83" s="137" cm="1">
        <f t="array" aca="1" ref="N83:AE83" ca="1">IF(OR(B83="",NOT($J$2)),"",GetStripDefaultProbability(A83,B83,Parameter_Date,CDSRollDate,E83:M83,SpreadCurveMaturities,D83,C83,$J$4,$J$6))</f>
        <v>0</v>
      </c>
      <c r="O83" s="155">
        <f ca="1"/>
        <v>5.5804003710946404E-4</v>
      </c>
      <c r="P83" s="155">
        <f ca="1"/>
        <v>2.3145841695036973E-3</v>
      </c>
      <c r="Q83" s="155">
        <f ca="1"/>
        <v>6.5933701468768868E-3</v>
      </c>
      <c r="R83" s="155">
        <f ca="1"/>
        <v>1.2920934091540048E-2</v>
      </c>
      <c r="S83" s="155">
        <f ca="1"/>
        <v>0</v>
      </c>
      <c r="T83" s="155">
        <f ca="1"/>
        <v>3.3892233204241062E-2</v>
      </c>
      <c r="U83" s="155">
        <f ca="1"/>
        <v>5.9998763651418208E-2</v>
      </c>
      <c r="V83" s="138">
        <f ca="1"/>
        <v>0.10252771200949073</v>
      </c>
      <c r="W83" s="137">
        <f ca="1"/>
        <v>0</v>
      </c>
      <c r="X83" s="155">
        <f ca="1"/>
        <v>6.5101587709581743E-4</v>
      </c>
      <c r="Y83" s="155">
        <f ca="1"/>
        <v>2.4808512161600405E-3</v>
      </c>
      <c r="Z83" s="155">
        <f ca="1"/>
        <v>6.9244505070453766E-3</v>
      </c>
      <c r="AA83" s="155">
        <f ca="1"/>
        <v>1.3414350260185781E-2</v>
      </c>
      <c r="AB83" s="155">
        <f ca="1"/>
        <v>0</v>
      </c>
      <c r="AC83" s="155">
        <f ca="1"/>
        <v>3.4718081856841221E-2</v>
      </c>
      <c r="AD83" s="155">
        <f ca="1"/>
        <v>6.1126765517598325E-2</v>
      </c>
      <c r="AE83" s="138">
        <f ca="1"/>
        <v>0.10406982199353965</v>
      </c>
      <c r="AG83" s="454"/>
      <c r="AH83" s="456"/>
      <c r="AI83" s="455"/>
      <c r="AJ83" s="457"/>
      <c r="AK83" s="135"/>
      <c r="AM83" s="135"/>
      <c r="AN83" s="135"/>
      <c r="AO83" s="135"/>
      <c r="AQ83" s="135"/>
      <c r="AR83" s="135"/>
      <c r="AS83" s="135"/>
      <c r="AT83" s="135"/>
      <c r="AV83" s="135"/>
      <c r="AW83" s="135"/>
      <c r="AX83" s="135"/>
    </row>
    <row r="84" spans="1:50" s="79" customFormat="1" ht="11.25">
      <c r="A84" s="96">
        <f t="shared" ca="1" si="3"/>
        <v>73</v>
      </c>
      <c r="B84" s="68" t="s">
        <v>161</v>
      </c>
      <c r="C84" s="97">
        <v>0.4</v>
      </c>
      <c r="D84" s="69" t="s">
        <v>66</v>
      </c>
      <c r="E84" s="136" t="s">
        <v>87</v>
      </c>
      <c r="F84" s="154">
        <v>2.9999999999999997E-4</v>
      </c>
      <c r="G84" s="154">
        <v>8.9999999999999998E-4</v>
      </c>
      <c r="H84" s="154">
        <v>1.5E-3</v>
      </c>
      <c r="I84" s="154">
        <v>2.2000000000000001E-3</v>
      </c>
      <c r="J84" s="154" t="s">
        <v>87</v>
      </c>
      <c r="K84" s="154">
        <v>3.0999999999999999E-3</v>
      </c>
      <c r="L84" s="154">
        <v>4.0000000000000001E-3</v>
      </c>
      <c r="M84" s="154">
        <v>5.1000000000000004E-3</v>
      </c>
      <c r="N84" s="137" cm="1">
        <f t="array" aca="1" ref="N84:AE84" ca="1">IF(OR(B84="",NOT($J$2)),"",GetStripDefaultProbability(A84,B84,Parameter_Date,CDSRollDate,E84:M84,SpreadCurveMaturities,D84,C84,$J$4,$J$6))</f>
        <v>0</v>
      </c>
      <c r="O84" s="155">
        <f ca="1"/>
        <v>2.7905895862256891E-4</v>
      </c>
      <c r="P84" s="155">
        <f ca="1"/>
        <v>1.6048011235291204E-3</v>
      </c>
      <c r="Q84" s="155">
        <f ca="1"/>
        <v>5.2164903453797429E-3</v>
      </c>
      <c r="R84" s="155">
        <f ca="1"/>
        <v>1.1409485873493441E-2</v>
      </c>
      <c r="S84" s="155">
        <f ca="1"/>
        <v>0</v>
      </c>
      <c r="T84" s="155">
        <f ca="1"/>
        <v>2.6358569484200789E-2</v>
      </c>
      <c r="U84" s="155">
        <f ca="1"/>
        <v>4.7312208353494256E-2</v>
      </c>
      <c r="V84" s="138">
        <f ca="1"/>
        <v>8.504958883200664E-2</v>
      </c>
      <c r="W84" s="137">
        <f ca="1"/>
        <v>0</v>
      </c>
      <c r="X84" s="155">
        <f ca="1"/>
        <v>3.7206114936716439E-4</v>
      </c>
      <c r="Y84" s="155">
        <f ca="1"/>
        <v>1.7711864575095104E-3</v>
      </c>
      <c r="Z84" s="155">
        <f ca="1"/>
        <v>5.5480295889915876E-3</v>
      </c>
      <c r="AA84" s="155">
        <f ca="1"/>
        <v>1.1903657577347571E-2</v>
      </c>
      <c r="AB84" s="155">
        <f ca="1"/>
        <v>0</v>
      </c>
      <c r="AC84" s="155">
        <f ca="1"/>
        <v>2.7190732679117313E-2</v>
      </c>
      <c r="AD84" s="155">
        <f ca="1"/>
        <v>4.8454555297747226E-2</v>
      </c>
      <c r="AE84" s="138">
        <f ca="1"/>
        <v>8.6623272548521535E-2</v>
      </c>
      <c r="AG84" s="454"/>
      <c r="AH84" s="456"/>
      <c r="AI84" s="455"/>
      <c r="AJ84" s="457"/>
      <c r="AK84" s="135"/>
      <c r="AM84" s="135"/>
      <c r="AN84" s="135"/>
      <c r="AO84" s="135"/>
      <c r="AQ84" s="135"/>
      <c r="AR84" s="135"/>
      <c r="AS84" s="135"/>
      <c r="AT84" s="135"/>
      <c r="AV84" s="135"/>
      <c r="AW84" s="135"/>
      <c r="AX84" s="135"/>
    </row>
    <row r="85" spans="1:50" s="79" customFormat="1" ht="11.25">
      <c r="A85" s="96">
        <f t="shared" ca="1" si="3"/>
        <v>74</v>
      </c>
      <c r="B85" s="68" t="s">
        <v>162</v>
      </c>
      <c r="C85" s="97">
        <v>0.4</v>
      </c>
      <c r="D85" s="69" t="s">
        <v>66</v>
      </c>
      <c r="E85" s="136" t="s">
        <v>87</v>
      </c>
      <c r="F85" s="154">
        <v>1E-3</v>
      </c>
      <c r="G85" s="154">
        <v>1.1000000000000001E-3</v>
      </c>
      <c r="H85" s="154">
        <v>1.9E-3</v>
      </c>
      <c r="I85" s="154">
        <v>2.5000000000000001E-3</v>
      </c>
      <c r="J85" s="154" t="s">
        <v>87</v>
      </c>
      <c r="K85" s="154">
        <v>4.0000000000000001E-3</v>
      </c>
      <c r="L85" s="154">
        <v>5.0000000000000001E-3</v>
      </c>
      <c r="M85" s="154">
        <v>5.5999999999999999E-3</v>
      </c>
      <c r="N85" s="137" cm="1">
        <f t="array" aca="1" ref="N85:AE85" ca="1">IF(OR(B85="",NOT($J$2)),"",GetStripDefaultProbability(A85,B85,Parameter_Date,CDSRollDate,E85:M85,SpreadCurveMaturities,D85,C85,$J$4,$J$6))</f>
        <v>0</v>
      </c>
      <c r="O85" s="155">
        <f ca="1"/>
        <v>9.2989371787344233E-4</v>
      </c>
      <c r="P85" s="155">
        <f ca="1"/>
        <v>1.9501777720840607E-3</v>
      </c>
      <c r="Q85" s="155">
        <f ca="1"/>
        <v>6.5947275550821693E-3</v>
      </c>
      <c r="R85" s="155">
        <f ca="1"/>
        <v>1.2922353192981406E-2</v>
      </c>
      <c r="S85" s="155">
        <f ca="1"/>
        <v>0</v>
      </c>
      <c r="T85" s="155">
        <f ca="1"/>
        <v>3.3893816885903427E-2</v>
      </c>
      <c r="U85" s="155">
        <f ca="1"/>
        <v>5.8819007328145045E-2</v>
      </c>
      <c r="V85" s="138">
        <f ca="1"/>
        <v>9.2743289206642876E-2</v>
      </c>
      <c r="W85" s="137">
        <f ca="1"/>
        <v>0</v>
      </c>
      <c r="X85" s="155">
        <f ca="1"/>
        <v>1.0228340424542903E-3</v>
      </c>
      <c r="Y85" s="155">
        <f ca="1"/>
        <v>2.1165055480969475E-3</v>
      </c>
      <c r="Z85" s="155">
        <f ca="1"/>
        <v>6.9258074628465449E-3</v>
      </c>
      <c r="AA85" s="155">
        <f ca="1"/>
        <v>1.3415768652235815E-2</v>
      </c>
      <c r="AB85" s="155">
        <f ca="1"/>
        <v>0</v>
      </c>
      <c r="AC85" s="155">
        <f ca="1"/>
        <v>3.4719675924505644E-2</v>
      </c>
      <c r="AD85" s="155">
        <f ca="1"/>
        <v>5.9948283513913569E-2</v>
      </c>
      <c r="AE85" s="138">
        <f ca="1"/>
        <v>9.4302469840197745E-2</v>
      </c>
      <c r="AG85" s="454"/>
      <c r="AH85" s="456"/>
      <c r="AI85" s="455"/>
      <c r="AJ85" s="457"/>
      <c r="AK85" s="135"/>
      <c r="AM85" s="135"/>
      <c r="AN85" s="135"/>
      <c r="AO85" s="135"/>
      <c r="AQ85" s="135"/>
      <c r="AR85" s="135"/>
      <c r="AS85" s="135"/>
      <c r="AT85" s="135"/>
      <c r="AV85" s="135"/>
      <c r="AW85" s="135"/>
      <c r="AX85" s="135"/>
    </row>
    <row r="86" spans="1:50" s="79" customFormat="1" ht="11.25">
      <c r="A86" s="96">
        <f t="shared" ca="1" si="3"/>
        <v>75</v>
      </c>
      <c r="B86" s="68" t="s">
        <v>163</v>
      </c>
      <c r="C86" s="97">
        <v>0.4</v>
      </c>
      <c r="D86" s="69" t="s">
        <v>66</v>
      </c>
      <c r="E86" s="136" t="s">
        <v>87</v>
      </c>
      <c r="F86" s="154">
        <v>1.7600000000000001E-3</v>
      </c>
      <c r="G86" s="154">
        <v>2.0899999999999998E-3</v>
      </c>
      <c r="H86" s="154">
        <v>2.7299999999999998E-3</v>
      </c>
      <c r="I86" s="154">
        <v>3.0999999999999999E-3</v>
      </c>
      <c r="J86" s="154" t="s">
        <v>87</v>
      </c>
      <c r="K86" s="154">
        <v>3.7000000000000002E-3</v>
      </c>
      <c r="L86" s="154">
        <v>4.0499999999999998E-3</v>
      </c>
      <c r="M86" s="154">
        <v>4.4000000000000003E-3</v>
      </c>
      <c r="N86" s="137" cm="1">
        <f t="array" aca="1" ref="N86:AE86" ca="1">IF(OR(B86="",NOT($J$2)),"",GetStripDefaultProbability(A86,B86,Parameter_Date,CDSRollDate,E86:M86,SpreadCurveMaturities,D86,C86,$J$4,$J$6))</f>
        <v>0</v>
      </c>
      <c r="O86" s="155">
        <f ca="1"/>
        <v>1.6360347078093751E-3</v>
      </c>
      <c r="P86" s="155">
        <f ca="1"/>
        <v>3.7047900155665614E-3</v>
      </c>
      <c r="Q86" s="155">
        <f ca="1"/>
        <v>9.4362989176387524E-3</v>
      </c>
      <c r="R86" s="155">
        <f ca="1"/>
        <v>1.5922060510837888E-2</v>
      </c>
      <c r="S86" s="155">
        <f ca="1"/>
        <v>0</v>
      </c>
      <c r="T86" s="155">
        <f ca="1"/>
        <v>3.1247005066375122E-2</v>
      </c>
      <c r="U86" s="155">
        <f ca="1"/>
        <v>4.754278184076266E-2</v>
      </c>
      <c r="V86" s="138">
        <f ca="1"/>
        <v>7.3112180411860295E-2</v>
      </c>
      <c r="W86" s="137">
        <f ca="1"/>
        <v>0</v>
      </c>
      <c r="X86" s="155">
        <f ca="1"/>
        <v>1.7289062706385971E-3</v>
      </c>
      <c r="Y86" s="155">
        <f ca="1"/>
        <v>3.870825380564713E-3</v>
      </c>
      <c r="Z86" s="155">
        <f ca="1"/>
        <v>9.7664317928084499E-3</v>
      </c>
      <c r="AA86" s="155">
        <f ca="1"/>
        <v>1.6413976491336912E-2</v>
      </c>
      <c r="AB86" s="155">
        <f ca="1"/>
        <v>0</v>
      </c>
      <c r="AC86" s="155">
        <f ca="1"/>
        <v>3.2073969303357153E-2</v>
      </c>
      <c r="AD86" s="155">
        <f ca="1"/>
        <v>4.8682011110977363E-2</v>
      </c>
      <c r="AE86" s="138">
        <f ca="1"/>
        <v>7.4701109456565717E-2</v>
      </c>
      <c r="AG86" s="454"/>
      <c r="AH86" s="456"/>
      <c r="AI86" s="455"/>
      <c r="AJ86" s="457"/>
      <c r="AK86" s="135"/>
      <c r="AM86" s="135"/>
      <c r="AN86" s="135"/>
      <c r="AO86" s="135"/>
      <c r="AQ86" s="135"/>
      <c r="AR86" s="135"/>
      <c r="AS86" s="135"/>
      <c r="AT86" s="135"/>
      <c r="AV86" s="135"/>
      <c r="AW86" s="135"/>
      <c r="AX86" s="135"/>
    </row>
    <row r="87" spans="1:50" s="79" customFormat="1" ht="11.25">
      <c r="A87" s="96">
        <f t="shared" ca="1" si="3"/>
        <v>76</v>
      </c>
      <c r="B87" s="68" t="s">
        <v>164</v>
      </c>
      <c r="C87" s="97">
        <v>0.4</v>
      </c>
      <c r="D87" s="69" t="s">
        <v>66</v>
      </c>
      <c r="E87" s="136" t="s">
        <v>87</v>
      </c>
      <c r="F87" s="154">
        <v>1.16E-3</v>
      </c>
      <c r="G87" s="154">
        <v>1.5100000000000001E-3</v>
      </c>
      <c r="H87" s="154">
        <v>2.0300000000000001E-3</v>
      </c>
      <c r="I87" s="154">
        <v>2.3800000000000002E-3</v>
      </c>
      <c r="J87" s="154" t="s">
        <v>87</v>
      </c>
      <c r="K87" s="154">
        <v>2.8999999999999998E-3</v>
      </c>
      <c r="L87" s="154">
        <v>3.29E-3</v>
      </c>
      <c r="M87" s="154">
        <v>3.7000000000000002E-3</v>
      </c>
      <c r="N87" s="137" cm="1">
        <f t="array" aca="1" ref="N87:AE87" ca="1">IF(OR(B87="",NOT($J$2)),"",GetStripDefaultProbability(A87,B87,Parameter_Date,CDSRollDate,E87:M87,SpreadCurveMaturities,D87,C87,$J$4,$J$6))</f>
        <v>0</v>
      </c>
      <c r="O87" s="155">
        <f ca="1"/>
        <v>1.0785964566852879E-3</v>
      </c>
      <c r="P87" s="155">
        <f ca="1"/>
        <v>2.6799072358231202E-3</v>
      </c>
      <c r="Q87" s="155">
        <f ca="1"/>
        <v>7.0286383423295851E-3</v>
      </c>
      <c r="R87" s="155">
        <f ca="1"/>
        <v>1.2258049887553413E-2</v>
      </c>
      <c r="S87" s="155">
        <f ca="1"/>
        <v>0</v>
      </c>
      <c r="T87" s="155">
        <f ca="1"/>
        <v>2.4580724096742279E-2</v>
      </c>
      <c r="U87" s="155">
        <f ca="1"/>
        <v>3.8828921771630331E-2</v>
      </c>
      <c r="V87" s="138">
        <f ca="1"/>
        <v>6.1906817738132669E-2</v>
      </c>
      <c r="W87" s="137">
        <f ca="1"/>
        <v>0</v>
      </c>
      <c r="X87" s="155">
        <f ca="1"/>
        <v>1.1715224482327091E-3</v>
      </c>
      <c r="Y87" s="155">
        <f ca="1"/>
        <v>2.8461134003846533E-3</v>
      </c>
      <c r="Z87" s="155">
        <f ca="1"/>
        <v>7.35957363726647E-3</v>
      </c>
      <c r="AA87" s="155">
        <f ca="1"/>
        <v>1.2751797415449739E-2</v>
      </c>
      <c r="AB87" s="155">
        <f ca="1"/>
        <v>0</v>
      </c>
      <c r="AC87" s="155">
        <f ca="1"/>
        <v>2.5413546947162913E-2</v>
      </c>
      <c r="AD87" s="155">
        <f ca="1"/>
        <v>3.9978831439155038E-2</v>
      </c>
      <c r="AE87" s="138">
        <f ca="1"/>
        <v>6.3516422747572521E-2</v>
      </c>
      <c r="AG87" s="454"/>
      <c r="AH87" s="456"/>
      <c r="AI87" s="455"/>
      <c r="AJ87" s="457"/>
      <c r="AK87" s="135"/>
      <c r="AM87" s="135"/>
      <c r="AN87" s="135"/>
      <c r="AO87" s="135"/>
      <c r="AQ87" s="135"/>
      <c r="AR87" s="135"/>
      <c r="AS87" s="135"/>
      <c r="AT87" s="135"/>
      <c r="AV87" s="135"/>
      <c r="AW87" s="135"/>
      <c r="AX87" s="135"/>
    </row>
    <row r="88" spans="1:50" s="79" customFormat="1" ht="11.25">
      <c r="A88" s="96">
        <f t="shared" ca="1" si="3"/>
        <v>77</v>
      </c>
      <c r="B88" s="68" t="s">
        <v>165</v>
      </c>
      <c r="C88" s="97">
        <v>0.4</v>
      </c>
      <c r="D88" s="69" t="s">
        <v>66</v>
      </c>
      <c r="E88" s="136" t="s">
        <v>87</v>
      </c>
      <c r="F88" s="154">
        <v>6.9999999999999999E-4</v>
      </c>
      <c r="G88" s="154">
        <v>1E-3</v>
      </c>
      <c r="H88" s="154">
        <v>1.6000000000000001E-3</v>
      </c>
      <c r="I88" s="154">
        <v>2.0999999999999999E-3</v>
      </c>
      <c r="J88" s="154" t="s">
        <v>87</v>
      </c>
      <c r="K88" s="154">
        <v>3.3E-3</v>
      </c>
      <c r="L88" s="154">
        <v>4.0000000000000001E-3</v>
      </c>
      <c r="M88" s="154">
        <v>4.7999999999999996E-3</v>
      </c>
      <c r="N88" s="137" cm="1">
        <f t="array" aca="1" ref="N88:AE88" ca="1">IF(OR(B88="",NOT($J$2)),"",GetStripDefaultProbability(A88,B88,Parameter_Date,CDSRollDate,E88:M88,SpreadCurveMaturities,D88,C88,$J$4,$J$6))</f>
        <v>0</v>
      </c>
      <c r="O88" s="155">
        <f ca="1"/>
        <v>6.5101642887865907E-4</v>
      </c>
      <c r="P88" s="155">
        <f ca="1"/>
        <v>1.7766591472427873E-3</v>
      </c>
      <c r="Q88" s="155">
        <f ca="1"/>
        <v>5.5551056434797186E-3</v>
      </c>
      <c r="R88" s="155">
        <f ca="1"/>
        <v>1.0862130351342314E-2</v>
      </c>
      <c r="S88" s="155">
        <f ca="1"/>
        <v>0</v>
      </c>
      <c r="T88" s="155">
        <f ca="1"/>
        <v>2.8018658673112373E-2</v>
      </c>
      <c r="U88" s="155">
        <f ca="1"/>
        <v>4.7222904456583947E-2</v>
      </c>
      <c r="V88" s="138">
        <f ca="1"/>
        <v>8.0008147044088873E-2</v>
      </c>
      <c r="W88" s="137">
        <f ca="1"/>
        <v>0</v>
      </c>
      <c r="X88" s="155">
        <f ca="1"/>
        <v>7.4398343160742009E-4</v>
      </c>
      <c r="Y88" s="155">
        <f ca="1"/>
        <v>1.9430158406077425E-3</v>
      </c>
      <c r="Z88" s="155">
        <f ca="1"/>
        <v>5.8865320341132676E-3</v>
      </c>
      <c r="AA88" s="155">
        <f ca="1"/>
        <v>1.1356575664518975E-2</v>
      </c>
      <c r="AB88" s="155">
        <f ca="1"/>
        <v>0</v>
      </c>
      <c r="AC88" s="155">
        <f ca="1"/>
        <v>2.8849505351066451E-2</v>
      </c>
      <c r="AD88" s="155">
        <f ca="1"/>
        <v>4.8365177266219916E-2</v>
      </c>
      <c r="AE88" s="138">
        <f ca="1"/>
        <v>8.1589720683770683E-2</v>
      </c>
      <c r="AG88" s="454"/>
      <c r="AH88" s="456"/>
      <c r="AI88" s="455"/>
      <c r="AJ88" s="457"/>
      <c r="AK88" s="135"/>
      <c r="AM88" s="135"/>
      <c r="AN88" s="135"/>
      <c r="AO88" s="135"/>
      <c r="AQ88" s="135"/>
      <c r="AR88" s="135"/>
      <c r="AS88" s="135"/>
      <c r="AT88" s="135"/>
      <c r="AV88" s="135"/>
      <c r="AW88" s="135"/>
      <c r="AX88" s="135"/>
    </row>
    <row r="89" spans="1:50" s="79" customFormat="1" ht="11.25">
      <c r="A89" s="96">
        <f t="shared" ca="1" si="3"/>
        <v>78</v>
      </c>
      <c r="B89" s="68" t="s">
        <v>166</v>
      </c>
      <c r="C89" s="97">
        <v>0.4</v>
      </c>
      <c r="D89" s="69" t="s">
        <v>66</v>
      </c>
      <c r="E89" s="136" t="s">
        <v>87</v>
      </c>
      <c r="F89" s="154">
        <v>1.6999999999999999E-3</v>
      </c>
      <c r="G89" s="154">
        <v>1.8E-3</v>
      </c>
      <c r="H89" s="154">
        <v>2.7000000000000001E-3</v>
      </c>
      <c r="I89" s="154">
        <v>3.8999999999999998E-3</v>
      </c>
      <c r="J89" s="154" t="s">
        <v>87</v>
      </c>
      <c r="K89" s="154">
        <v>6.0000000000000001E-3</v>
      </c>
      <c r="L89" s="154">
        <v>7.1999999999999998E-3</v>
      </c>
      <c r="M89" s="154">
        <v>8.6999999999999994E-3</v>
      </c>
      <c r="N89" s="137" cm="1">
        <f t="array" aca="1" ref="N89:AE89" ca="1">IF(OR(B89="",NOT($J$2)),"",GetStripDefaultProbability(A89,B89,Parameter_Date,CDSRollDate,E89:M89,SpreadCurveMaturities,D89,C89,$J$4,$J$6))</f>
        <v>0</v>
      </c>
      <c r="O89" s="155">
        <f ca="1"/>
        <v>1.5803048768830985E-3</v>
      </c>
      <c r="P89" s="155">
        <f ca="1"/>
        <v>3.1881713916263044E-3</v>
      </c>
      <c r="Q89" s="155">
        <f ca="1"/>
        <v>9.3456745966299382E-3</v>
      </c>
      <c r="R89" s="155">
        <f ca="1"/>
        <v>2.0126692995953044E-2</v>
      </c>
      <c r="S89" s="155">
        <f ca="1"/>
        <v>0</v>
      </c>
      <c r="T89" s="155">
        <f ca="1"/>
        <v>5.0542496901962886E-2</v>
      </c>
      <c r="U89" s="155">
        <f ca="1"/>
        <v>8.378399650840096E-2</v>
      </c>
      <c r="V89" s="138">
        <f ca="1"/>
        <v>0.14134797510994557</v>
      </c>
      <c r="W89" s="137">
        <f ca="1"/>
        <v>0</v>
      </c>
      <c r="X89" s="155">
        <f ca="1"/>
        <v>1.6731819323599906E-3</v>
      </c>
      <c r="Y89" s="155">
        <f ca="1"/>
        <v>3.3542928525593929E-3</v>
      </c>
      <c r="Z89" s="155">
        <f ca="1"/>
        <v>9.6758376748599106E-3</v>
      </c>
      <c r="AA89" s="155">
        <f ca="1"/>
        <v>2.0616507185721056E-2</v>
      </c>
      <c r="AB89" s="155">
        <f ca="1"/>
        <v>0</v>
      </c>
      <c r="AC89" s="155">
        <f ca="1"/>
        <v>5.1353062086729295E-2</v>
      </c>
      <c r="AD89" s="155">
        <f ca="1"/>
        <v>8.4882963647489151E-2</v>
      </c>
      <c r="AE89" s="138">
        <f ca="1"/>
        <v>0.14284619606805149</v>
      </c>
      <c r="AG89" s="454"/>
      <c r="AH89" s="456"/>
      <c r="AI89" s="455"/>
      <c r="AJ89" s="457"/>
      <c r="AK89" s="135"/>
      <c r="AM89" s="135"/>
      <c r="AN89" s="135"/>
      <c r="AO89" s="135"/>
      <c r="AQ89" s="135"/>
      <c r="AR89" s="135"/>
      <c r="AS89" s="135"/>
      <c r="AT89" s="135"/>
      <c r="AV89" s="135"/>
      <c r="AW89" s="135"/>
      <c r="AX89" s="135"/>
    </row>
    <row r="90" spans="1:50" s="79" customFormat="1" ht="11.25">
      <c r="A90" s="96">
        <f t="shared" ca="1" si="3"/>
        <v>79</v>
      </c>
      <c r="B90" s="68" t="s">
        <v>167</v>
      </c>
      <c r="C90" s="97">
        <v>0.4</v>
      </c>
      <c r="D90" s="69" t="s">
        <v>66</v>
      </c>
      <c r="E90" s="136" t="s">
        <v>87</v>
      </c>
      <c r="F90" s="154">
        <v>4.0000000000000002E-4</v>
      </c>
      <c r="G90" s="154">
        <v>6.9999999999999999E-4</v>
      </c>
      <c r="H90" s="154">
        <v>1.5E-3</v>
      </c>
      <c r="I90" s="154">
        <v>2.2000000000000001E-3</v>
      </c>
      <c r="J90" s="154" t="s">
        <v>87</v>
      </c>
      <c r="K90" s="154">
        <v>3.3999999999999998E-3</v>
      </c>
      <c r="L90" s="154">
        <v>4.1999999999999997E-3</v>
      </c>
      <c r="M90" s="154">
        <v>5.4999999999999997E-3</v>
      </c>
      <c r="N90" s="137" cm="1">
        <f t="array" aca="1" ref="N90:AE90" ca="1">IF(OR(B90="",NOT($J$2)),"",GetStripDefaultProbability(A90,B90,Parameter_Date,CDSRollDate,E90:M90,SpreadCurveMaturities,D90,C90,$J$4,$J$6))</f>
        <v>0</v>
      </c>
      <c r="O90" s="155">
        <f ca="1"/>
        <v>3.7206130320088793E-4</v>
      </c>
      <c r="P90" s="155">
        <f ca="1"/>
        <v>1.2454766991428778E-3</v>
      </c>
      <c r="Q90" s="155">
        <f ca="1"/>
        <v>5.2231072249007138E-3</v>
      </c>
      <c r="R90" s="155">
        <f ca="1"/>
        <v>1.1416334894106206E-2</v>
      </c>
      <c r="S90" s="155">
        <f ca="1"/>
        <v>0</v>
      </c>
      <c r="T90" s="155">
        <f ca="1"/>
        <v>2.889801956076421E-2</v>
      </c>
      <c r="U90" s="155">
        <f ca="1"/>
        <v>4.9602690080584044E-2</v>
      </c>
      <c r="V90" s="138">
        <f ca="1"/>
        <v>9.1510826762220221E-2</v>
      </c>
      <c r="W90" s="137">
        <f ca="1"/>
        <v>0</v>
      </c>
      <c r="X90" s="155">
        <f ca="1"/>
        <v>4.6505473678803977E-4</v>
      </c>
      <c r="Y90" s="155">
        <f ca="1"/>
        <v>1.4119219155342977E-3</v>
      </c>
      <c r="Z90" s="155">
        <f ca="1"/>
        <v>5.5546442632351534E-3</v>
      </c>
      <c r="AA90" s="155">
        <f ca="1"/>
        <v>1.1910503174292209E-2</v>
      </c>
      <c r="AB90" s="155">
        <f ca="1"/>
        <v>0</v>
      </c>
      <c r="AC90" s="155">
        <f ca="1"/>
        <v>2.9728303923987953E-2</v>
      </c>
      <c r="AD90" s="155">
        <f ca="1"/>
        <v>5.0742543404053264E-2</v>
      </c>
      <c r="AE90" s="138">
        <f ca="1"/>
        <v>9.3072734291252068E-2</v>
      </c>
      <c r="AG90" s="454"/>
      <c r="AH90" s="456"/>
      <c r="AI90" s="455"/>
      <c r="AJ90" s="457"/>
      <c r="AK90" s="135"/>
      <c r="AM90" s="135"/>
      <c r="AN90" s="135"/>
      <c r="AO90" s="135"/>
      <c r="AQ90" s="135"/>
      <c r="AR90" s="135"/>
      <c r="AS90" s="135"/>
      <c r="AT90" s="135"/>
      <c r="AV90" s="135"/>
      <c r="AW90" s="135"/>
      <c r="AX90" s="135"/>
    </row>
    <row r="91" spans="1:50" s="79" customFormat="1" ht="11.25">
      <c r="A91" s="96">
        <f t="shared" ca="1" si="3"/>
        <v>80</v>
      </c>
      <c r="B91" s="68" t="s">
        <v>168</v>
      </c>
      <c r="C91" s="97">
        <v>0.4</v>
      </c>
      <c r="D91" s="69" t="s">
        <v>66</v>
      </c>
      <c r="E91" s="136" t="s">
        <v>87</v>
      </c>
      <c r="F91" s="154">
        <v>1.1000000000000001E-3</v>
      </c>
      <c r="G91" s="154">
        <v>1.1000000000000001E-3</v>
      </c>
      <c r="H91" s="154">
        <v>1.6000000000000001E-3</v>
      </c>
      <c r="I91" s="154">
        <v>2.3E-3</v>
      </c>
      <c r="J91" s="154" t="s">
        <v>87</v>
      </c>
      <c r="K91" s="154">
        <v>3.7000000000000002E-3</v>
      </c>
      <c r="L91" s="154">
        <v>4.3E-3</v>
      </c>
      <c r="M91" s="154">
        <v>5.4000000000000003E-3</v>
      </c>
      <c r="N91" s="137" cm="1">
        <f t="array" aca="1" ref="N91:AE91" ca="1">IF(OR(B91="",NOT($J$2)),"",GetStripDefaultProbability(A91,B91,Parameter_Date,CDSRollDate,E91:M91,SpreadCurveMaturities,D91,C91,$J$4,$J$6))</f>
        <v>0</v>
      </c>
      <c r="O91" s="155">
        <f ca="1"/>
        <v>1.0228355227774877E-3</v>
      </c>
      <c r="P91" s="155">
        <f ca="1"/>
        <v>1.9484382883890872E-3</v>
      </c>
      <c r="Q91" s="155">
        <f ca="1"/>
        <v>5.5437837315863714E-3</v>
      </c>
      <c r="R91" s="155">
        <f ca="1"/>
        <v>1.1901346359968534E-2</v>
      </c>
      <c r="S91" s="155">
        <f ca="1"/>
        <v>0</v>
      </c>
      <c r="T91" s="155">
        <f ca="1"/>
        <v>3.1389893642338462E-2</v>
      </c>
      <c r="U91" s="155">
        <f ca="1"/>
        <v>5.0655723990705726E-2</v>
      </c>
      <c r="V91" s="138">
        <f ca="1"/>
        <v>8.9707358861432662E-2</v>
      </c>
      <c r="W91" s="137">
        <f ca="1"/>
        <v>0</v>
      </c>
      <c r="X91" s="155">
        <f ca="1"/>
        <v>1.1157668979256963E-3</v>
      </c>
      <c r="Y91" s="155">
        <f ca="1"/>
        <v>2.1147663542824269E-3</v>
      </c>
      <c r="Z91" s="155">
        <f ca="1"/>
        <v>5.8752138955807665E-3</v>
      </c>
      <c r="AA91" s="155">
        <f ca="1"/>
        <v>1.2395272195038443E-2</v>
      </c>
      <c r="AB91" s="155">
        <f ca="1"/>
        <v>0</v>
      </c>
      <c r="AC91" s="155">
        <f ca="1"/>
        <v>3.221798360836059E-2</v>
      </c>
      <c r="AD91" s="155">
        <f ca="1"/>
        <v>5.1793937532125134E-2</v>
      </c>
      <c r="AE91" s="138">
        <f ca="1"/>
        <v>9.1271560955441422E-2</v>
      </c>
      <c r="AG91" s="454"/>
      <c r="AH91" s="456"/>
      <c r="AI91" s="455"/>
      <c r="AJ91" s="457"/>
      <c r="AK91" s="135"/>
      <c r="AM91" s="135"/>
      <c r="AN91" s="135"/>
      <c r="AO91" s="135"/>
      <c r="AQ91" s="135"/>
      <c r="AR91" s="135"/>
      <c r="AS91" s="135"/>
      <c r="AT91" s="135"/>
      <c r="AV91" s="135"/>
      <c r="AW91" s="135"/>
      <c r="AX91" s="135"/>
    </row>
    <row r="92" spans="1:50" s="79" customFormat="1" ht="11.25">
      <c r="A92" s="96">
        <f t="shared" ca="1" si="3"/>
        <v>81</v>
      </c>
      <c r="B92" s="68" t="s">
        <v>169</v>
      </c>
      <c r="C92" s="97">
        <v>0.4</v>
      </c>
      <c r="D92" s="69" t="s">
        <v>66</v>
      </c>
      <c r="E92" s="136" t="s">
        <v>87</v>
      </c>
      <c r="F92" s="154">
        <v>5.9999999999999995E-4</v>
      </c>
      <c r="G92" s="154">
        <v>6.9999999999999999E-4</v>
      </c>
      <c r="H92" s="154">
        <v>1.1999999999999999E-3</v>
      </c>
      <c r="I92" s="154">
        <v>1.6999999999999999E-3</v>
      </c>
      <c r="J92" s="154" t="s">
        <v>87</v>
      </c>
      <c r="K92" s="154">
        <v>2.7000000000000001E-3</v>
      </c>
      <c r="L92" s="154">
        <v>3.5000000000000001E-3</v>
      </c>
      <c r="M92" s="154">
        <v>4.5999999999999999E-3</v>
      </c>
      <c r="N92" s="137" cm="1">
        <f t="array" aca="1" ref="N92:AE92" ca="1">IF(OR(B92="",NOT($J$2)),"",GetStripDefaultProbability(A92,B92,Parameter_Date,CDSRollDate,E92:M92,SpreadCurveMaturities,D92,C92,$J$4,$J$6))</f>
        <v>0</v>
      </c>
      <c r="O92" s="155">
        <f ca="1"/>
        <v>5.5804003710946404E-4</v>
      </c>
      <c r="P92" s="155">
        <f ca="1"/>
        <v>1.2420622443276574E-3</v>
      </c>
      <c r="Q92" s="155">
        <f ca="1"/>
        <v>4.1693301398034732E-3</v>
      </c>
      <c r="R92" s="155">
        <f ca="1"/>
        <v>8.8135868109308069E-3</v>
      </c>
      <c r="S92" s="155">
        <f ca="1"/>
        <v>0</v>
      </c>
      <c r="T92" s="155">
        <f ca="1"/>
        <v>2.2981583950174467E-2</v>
      </c>
      <c r="U92" s="155">
        <f ca="1"/>
        <v>4.1490316650059755E-2</v>
      </c>
      <c r="V92" s="138">
        <f ca="1"/>
        <v>7.7001310261472611E-2</v>
      </c>
      <c r="W92" s="137">
        <f ca="1"/>
        <v>0</v>
      </c>
      <c r="X92" s="155">
        <f ca="1"/>
        <v>6.5101587709581743E-4</v>
      </c>
      <c r="Y92" s="155">
        <f ca="1"/>
        <v>1.4085080297483454E-3</v>
      </c>
      <c r="Z92" s="155">
        <f ca="1"/>
        <v>4.5012183786501403E-3</v>
      </c>
      <c r="AA92" s="155">
        <f ca="1"/>
        <v>9.309056139871541E-3</v>
      </c>
      <c r="AB92" s="155">
        <f ca="1"/>
        <v>0</v>
      </c>
      <c r="AC92" s="155">
        <f ca="1"/>
        <v>2.3816698997950914E-2</v>
      </c>
      <c r="AD92" s="155">
        <f ca="1"/>
        <v>4.2639602527732023E-2</v>
      </c>
      <c r="AE92" s="138">
        <f ca="1"/>
        <v>7.8589751773873173E-2</v>
      </c>
      <c r="AG92" s="454"/>
      <c r="AH92" s="456"/>
      <c r="AI92" s="455"/>
      <c r="AJ92" s="457"/>
      <c r="AK92" s="135"/>
      <c r="AM92" s="135"/>
      <c r="AN92" s="135"/>
      <c r="AO92" s="135"/>
      <c r="AQ92" s="135"/>
      <c r="AR92" s="135"/>
      <c r="AS92" s="135"/>
      <c r="AT92" s="135"/>
      <c r="AV92" s="135"/>
      <c r="AW92" s="135"/>
      <c r="AX92" s="135"/>
    </row>
    <row r="93" spans="1:50" s="79" customFormat="1" ht="11.25">
      <c r="A93" s="96">
        <f t="shared" ca="1" si="3"/>
        <v>82</v>
      </c>
      <c r="B93" s="68" t="s">
        <v>170</v>
      </c>
      <c r="C93" s="97">
        <v>0.4</v>
      </c>
      <c r="D93" s="69" t="s">
        <v>66</v>
      </c>
      <c r="E93" s="136" t="s">
        <v>87</v>
      </c>
      <c r="F93" s="154">
        <v>8.9999999999999998E-4</v>
      </c>
      <c r="G93" s="154">
        <v>2.3999999999999998E-3</v>
      </c>
      <c r="H93" s="154">
        <v>3.5000000000000001E-3</v>
      </c>
      <c r="I93" s="154">
        <v>4.4999999999999997E-3</v>
      </c>
      <c r="J93" s="154" t="s">
        <v>87</v>
      </c>
      <c r="K93" s="154">
        <v>6.7999999999999996E-3</v>
      </c>
      <c r="L93" s="154">
        <v>8.2000000000000007E-3</v>
      </c>
      <c r="M93" s="154">
        <v>9.9000000000000008E-3</v>
      </c>
      <c r="N93" s="137" cm="1">
        <f t="array" aca="1" ref="N93:AE93" ca="1">IF(OR(B93="",NOT($J$2)),"",GetStripDefaultProbability(A93,B93,Parameter_Date,CDSRollDate,E93:M93,SpreadCurveMaturities,D93,C93,$J$4,$J$6))</f>
        <v>0</v>
      </c>
      <c r="O93" s="155">
        <f ca="1"/>
        <v>8.3694326804184538E-4</v>
      </c>
      <c r="P93" s="155">
        <f ca="1"/>
        <v>4.2739271774636656E-3</v>
      </c>
      <c r="Q93" s="155">
        <f ca="1"/>
        <v>1.2123049571844513E-2</v>
      </c>
      <c r="R93" s="155">
        <f ca="1"/>
        <v>2.3157920343368166E-2</v>
      </c>
      <c r="S93" s="155">
        <f ca="1"/>
        <v>0</v>
      </c>
      <c r="T93" s="155">
        <f ca="1"/>
        <v>5.7089713234362294E-2</v>
      </c>
      <c r="U93" s="155">
        <f ca="1"/>
        <v>9.4954880215433746E-2</v>
      </c>
      <c r="V93" s="138">
        <f ca="1"/>
        <v>0.15953985976258034</v>
      </c>
      <c r="W93" s="137">
        <f ca="1"/>
        <v>0</v>
      </c>
      <c r="X93" s="155">
        <f ca="1"/>
        <v>9.2989251347452839E-4</v>
      </c>
      <c r="Y93" s="155">
        <f ca="1"/>
        <v>4.4398676941669324E-3</v>
      </c>
      <c r="Z93" s="155">
        <f ca="1"/>
        <v>1.2452287012679975E-2</v>
      </c>
      <c r="AA93" s="155">
        <f ca="1"/>
        <v>2.3646219298298909E-2</v>
      </c>
      <c r="AB93" s="155">
        <f ca="1"/>
        <v>0</v>
      </c>
      <c r="AC93" s="155">
        <f ca="1"/>
        <v>5.7893564377073936E-2</v>
      </c>
      <c r="AD93" s="155">
        <f ca="1"/>
        <v>9.6039408376209279E-2</v>
      </c>
      <c r="AE93" s="138">
        <f ca="1"/>
        <v>0.16101066313579826</v>
      </c>
      <c r="AG93" s="454"/>
      <c r="AH93" s="456"/>
      <c r="AI93" s="455"/>
      <c r="AJ93" s="457"/>
      <c r="AK93" s="135"/>
      <c r="AM93" s="135"/>
      <c r="AN93" s="135"/>
      <c r="AO93" s="135"/>
      <c r="AQ93" s="135"/>
      <c r="AR93" s="135"/>
      <c r="AS93" s="135"/>
      <c r="AT93" s="135"/>
      <c r="AV93" s="135"/>
      <c r="AW93" s="135"/>
      <c r="AX93" s="135"/>
    </row>
    <row r="94" spans="1:50" s="79" customFormat="1" ht="11.25">
      <c r="A94" s="96">
        <f t="shared" ca="1" si="3"/>
        <v>83</v>
      </c>
      <c r="B94" s="68" t="s">
        <v>171</v>
      </c>
      <c r="C94" s="97">
        <v>0.4</v>
      </c>
      <c r="D94" s="69" t="s">
        <v>66</v>
      </c>
      <c r="E94" s="136" t="s">
        <v>87</v>
      </c>
      <c r="F94" s="154">
        <v>6.9999999999999999E-4</v>
      </c>
      <c r="G94" s="154">
        <v>1E-3</v>
      </c>
      <c r="H94" s="154">
        <v>2E-3</v>
      </c>
      <c r="I94" s="154">
        <v>3.0999999999999999E-3</v>
      </c>
      <c r="J94" s="154" t="s">
        <v>87</v>
      </c>
      <c r="K94" s="154">
        <v>4.7999999999999996E-3</v>
      </c>
      <c r="L94" s="154">
        <v>5.8999999999999999E-3</v>
      </c>
      <c r="M94" s="154">
        <v>7.3000000000000001E-3</v>
      </c>
      <c r="N94" s="137" cm="1">
        <f t="array" aca="1" ref="N94:AE94" ca="1">IF(OR(B94="",NOT($J$2)),"",GetStripDefaultProbability(A94,B94,Parameter_Date,CDSRollDate,E94:M94,SpreadCurveMaturities,D94,C94,$J$4,$J$6))</f>
        <v>0</v>
      </c>
      <c r="O94" s="155">
        <f ca="1"/>
        <v>6.5101642887865907E-4</v>
      </c>
      <c r="P94" s="155">
        <f ca="1"/>
        <v>1.7766591472427873E-3</v>
      </c>
      <c r="Q94" s="155">
        <f ca="1"/>
        <v>6.9540649089502304E-3</v>
      </c>
      <c r="R94" s="155">
        <f ca="1"/>
        <v>1.6069935014430881E-2</v>
      </c>
      <c r="S94" s="155">
        <f ca="1"/>
        <v>0</v>
      </c>
      <c r="T94" s="155">
        <f ca="1"/>
        <v>4.0635217507805965E-2</v>
      </c>
      <c r="U94" s="155">
        <f ca="1"/>
        <v>6.9162051038254679E-2</v>
      </c>
      <c r="V94" s="138">
        <f ca="1"/>
        <v>0.11989417228422727</v>
      </c>
      <c r="W94" s="137">
        <f ca="1"/>
        <v>0</v>
      </c>
      <c r="X94" s="155">
        <f ca="1"/>
        <v>7.4398343160742009E-4</v>
      </c>
      <c r="Y94" s="155">
        <f ca="1"/>
        <v>1.9430158406077425E-3</v>
      </c>
      <c r="Z94" s="155">
        <f ca="1"/>
        <v>7.2850250575685616E-3</v>
      </c>
      <c r="AA94" s="155">
        <f ca="1"/>
        <v>1.6561777076159578E-2</v>
      </c>
      <c r="AB94" s="155">
        <f ca="1"/>
        <v>0</v>
      </c>
      <c r="AC94" s="155">
        <f ca="1"/>
        <v>4.1455350257508794E-2</v>
      </c>
      <c r="AD94" s="155">
        <f ca="1"/>
        <v>7.0279183850397109E-2</v>
      </c>
      <c r="AE94" s="138">
        <f ca="1"/>
        <v>0.12142637098759623</v>
      </c>
      <c r="AG94" s="454"/>
      <c r="AH94" s="456"/>
      <c r="AI94" s="455"/>
      <c r="AJ94" s="457"/>
      <c r="AK94" s="135"/>
      <c r="AM94" s="135"/>
      <c r="AN94" s="135"/>
      <c r="AO94" s="135"/>
      <c r="AQ94" s="135"/>
      <c r="AR94" s="135"/>
      <c r="AS94" s="135"/>
      <c r="AT94" s="135"/>
      <c r="AV94" s="135"/>
      <c r="AW94" s="135"/>
      <c r="AX94" s="135"/>
    </row>
    <row r="95" spans="1:50" s="79" customFormat="1" ht="11.25">
      <c r="A95" s="96">
        <f t="shared" ca="1" si="3"/>
        <v>84</v>
      </c>
      <c r="B95" s="68" t="s">
        <v>172</v>
      </c>
      <c r="C95" s="97">
        <v>0.4</v>
      </c>
      <c r="D95" s="69" t="s">
        <v>66</v>
      </c>
      <c r="E95" s="136" t="s">
        <v>87</v>
      </c>
      <c r="F95" s="154">
        <v>5.0000000000000001E-4</v>
      </c>
      <c r="G95" s="154">
        <v>5.9999999999999995E-4</v>
      </c>
      <c r="H95" s="154">
        <v>1.4E-3</v>
      </c>
      <c r="I95" s="154">
        <v>1.9E-3</v>
      </c>
      <c r="J95" s="154" t="s">
        <v>87</v>
      </c>
      <c r="K95" s="154">
        <v>3.0000000000000001E-3</v>
      </c>
      <c r="L95" s="154">
        <v>3.8E-3</v>
      </c>
      <c r="M95" s="154">
        <v>5.0000000000000001E-3</v>
      </c>
      <c r="N95" s="137" cm="1">
        <f t="array" aca="1" ref="N95:AE95" ca="1">IF(OR(B95="",NOT($J$2)),"",GetStripDefaultProbability(A95,B95,Parameter_Date,CDSRollDate,E95:M95,SpreadCurveMaturities,D95,C95,$J$4,$J$6))</f>
        <v>0</v>
      </c>
      <c r="O95" s="155">
        <f ca="1"/>
        <v>4.6505499562699004E-4</v>
      </c>
      <c r="P95" s="155">
        <f ca="1"/>
        <v>1.0649548260907027E-3</v>
      </c>
      <c r="Q95" s="155">
        <f ca="1"/>
        <v>4.8754797168920616E-3</v>
      </c>
      <c r="R95" s="155">
        <f ca="1"/>
        <v>9.8517096586934194E-3</v>
      </c>
      <c r="S95" s="155">
        <f ca="1"/>
        <v>0</v>
      </c>
      <c r="T95" s="155">
        <f ca="1"/>
        <v>2.5516599969058085E-2</v>
      </c>
      <c r="U95" s="155">
        <f ca="1"/>
        <v>4.4970491990343975E-2</v>
      </c>
      <c r="V95" s="138">
        <f ca="1"/>
        <v>8.3473428706299146E-2</v>
      </c>
      <c r="W95" s="137">
        <f ca="1"/>
        <v>0</v>
      </c>
      <c r="X95" s="155">
        <f ca="1"/>
        <v>5.5803964578249321E-4</v>
      </c>
      <c r="Y95" s="155">
        <f ca="1"/>
        <v>1.2314301269625849E-3</v>
      </c>
      <c r="Z95" s="155">
        <f ca="1"/>
        <v>5.2071326117818506E-3</v>
      </c>
      <c r="AA95" s="155">
        <f ca="1"/>
        <v>1.0346660055952306E-2</v>
      </c>
      <c r="AB95" s="155">
        <f ca="1"/>
        <v>0</v>
      </c>
      <c r="AC95" s="155">
        <f ca="1"/>
        <v>2.6349653206312995E-2</v>
      </c>
      <c r="AD95" s="155">
        <f ca="1"/>
        <v>4.6115742889045741E-2</v>
      </c>
      <c r="AE95" s="138">
        <f ca="1"/>
        <v>8.5050192447682638E-2</v>
      </c>
      <c r="AG95" s="454"/>
      <c r="AH95" s="456"/>
      <c r="AI95" s="455"/>
      <c r="AJ95" s="457"/>
      <c r="AK95" s="135"/>
      <c r="AM95" s="135"/>
      <c r="AN95" s="135"/>
      <c r="AO95" s="135"/>
      <c r="AQ95" s="135"/>
      <c r="AR95" s="135"/>
      <c r="AS95" s="135"/>
      <c r="AT95" s="135"/>
      <c r="AV95" s="135"/>
      <c r="AW95" s="135"/>
      <c r="AX95" s="135"/>
    </row>
    <row r="96" spans="1:50" s="79" customFormat="1" ht="11.25">
      <c r="A96" s="96">
        <f t="shared" ca="1" si="3"/>
        <v>85</v>
      </c>
      <c r="B96" s="68" t="s">
        <v>173</v>
      </c>
      <c r="C96" s="97">
        <v>0.4</v>
      </c>
      <c r="D96" s="69" t="s">
        <v>66</v>
      </c>
      <c r="E96" s="136" t="s">
        <v>87</v>
      </c>
      <c r="F96" s="154">
        <v>8.9999999999999998E-4</v>
      </c>
      <c r="G96" s="154">
        <v>8.9999999999999998E-4</v>
      </c>
      <c r="H96" s="154">
        <v>1.8E-3</v>
      </c>
      <c r="I96" s="154">
        <v>2.3E-3</v>
      </c>
      <c r="J96" s="154" t="s">
        <v>87</v>
      </c>
      <c r="K96" s="154">
        <v>3.7000000000000002E-3</v>
      </c>
      <c r="L96" s="154">
        <v>4.3E-3</v>
      </c>
      <c r="M96" s="154">
        <v>5.3E-3</v>
      </c>
      <c r="N96" s="137" cm="1">
        <f t="array" aca="1" ref="N96:AE96" ca="1">IF(OR(B96="",NOT($J$2)),"",GetStripDefaultProbability(A96,B96,Parameter_Date,CDSRollDate,E96:M96,SpreadCurveMaturities,D96,C96,$J$4,$J$6))</f>
        <v>0</v>
      </c>
      <c r="O96" s="155">
        <f ca="1"/>
        <v>8.3694326804184538E-4</v>
      </c>
      <c r="P96" s="155">
        <f ca="1"/>
        <v>1.5944595646587567E-3</v>
      </c>
      <c r="Q96" s="155">
        <f ca="1"/>
        <v>6.255374409511405E-3</v>
      </c>
      <c r="R96" s="155">
        <f ca="1"/>
        <v>1.1893101593389965E-2</v>
      </c>
      <c r="S96" s="155">
        <f ca="1"/>
        <v>0</v>
      </c>
      <c r="T96" s="155">
        <f ca="1"/>
        <v>3.1380977212512651E-2</v>
      </c>
      <c r="U96" s="155">
        <f ca="1"/>
        <v>5.0646575741492117E-2</v>
      </c>
      <c r="V96" s="138">
        <f ca="1"/>
        <v>8.8054501493728621E-2</v>
      </c>
      <c r="W96" s="137">
        <f ca="1"/>
        <v>0</v>
      </c>
      <c r="X96" s="155">
        <f ca="1"/>
        <v>9.2989251347452839E-4</v>
      </c>
      <c r="Y96" s="155">
        <f ca="1"/>
        <v>1.7608466221001873E-3</v>
      </c>
      <c r="Z96" s="155">
        <f ca="1"/>
        <v>6.586567416132727E-3</v>
      </c>
      <c r="AA96" s="155">
        <f ca="1"/>
        <v>1.2387031549812577E-2</v>
      </c>
      <c r="AB96" s="155">
        <f ca="1"/>
        <v>0</v>
      </c>
      <c r="AC96" s="155">
        <f ca="1"/>
        <v>3.2209019915083625E-2</v>
      </c>
      <c r="AD96" s="155">
        <f ca="1"/>
        <v>5.1784745682121769E-2</v>
      </c>
      <c r="AE96" s="138">
        <f ca="1"/>
        <v>8.9621536762524379E-2</v>
      </c>
      <c r="AG96" s="454"/>
      <c r="AH96" s="456"/>
      <c r="AI96" s="455"/>
      <c r="AJ96" s="457"/>
      <c r="AK96" s="135"/>
      <c r="AM96" s="135"/>
      <c r="AN96" s="135"/>
      <c r="AO96" s="135"/>
      <c r="AQ96" s="135"/>
      <c r="AR96" s="135"/>
      <c r="AS96" s="135"/>
      <c r="AT96" s="135"/>
      <c r="AV96" s="135"/>
      <c r="AW96" s="135"/>
      <c r="AX96" s="135"/>
    </row>
    <row r="97" spans="1:50" s="79" customFormat="1" ht="11.25">
      <c r="A97" s="96">
        <f t="shared" ca="1" si="3"/>
        <v>86</v>
      </c>
      <c r="B97" s="68" t="s">
        <v>174</v>
      </c>
      <c r="C97" s="97">
        <v>0.4</v>
      </c>
      <c r="D97" s="69" t="s">
        <v>66</v>
      </c>
      <c r="E97" s="136" t="s">
        <v>87</v>
      </c>
      <c r="F97" s="154">
        <v>6.9999999999999999E-4</v>
      </c>
      <c r="G97" s="154">
        <v>1.6999999999999999E-3</v>
      </c>
      <c r="H97" s="154">
        <v>2.7000000000000001E-3</v>
      </c>
      <c r="I97" s="154">
        <v>3.5000000000000001E-3</v>
      </c>
      <c r="J97" s="154" t="s">
        <v>87</v>
      </c>
      <c r="K97" s="154">
        <v>4.7999999999999996E-3</v>
      </c>
      <c r="L97" s="154">
        <v>5.7000000000000002E-3</v>
      </c>
      <c r="M97" s="154">
        <v>6.7999999999999996E-3</v>
      </c>
      <c r="N97" s="137" cm="1">
        <f t="array" aca="1" ref="N97:AE97" ca="1">IF(OR(B97="",NOT($J$2)),"",GetStripDefaultProbability(A97,B97,Parameter_Date,CDSRollDate,E97:M97,SpreadCurveMaturities,D97,C97,$J$4,$J$6))</f>
        <v>0</v>
      </c>
      <c r="O97" s="155">
        <f ca="1"/>
        <v>6.5101642887865907E-4</v>
      </c>
      <c r="P97" s="155">
        <f ca="1"/>
        <v>3.0275084364738136E-3</v>
      </c>
      <c r="Q97" s="155">
        <f ca="1"/>
        <v>9.3687725877679151E-3</v>
      </c>
      <c r="R97" s="155">
        <f ca="1"/>
        <v>1.8057613189548127E-2</v>
      </c>
      <c r="S97" s="155">
        <f ca="1"/>
        <v>0</v>
      </c>
      <c r="T97" s="155">
        <f ca="1"/>
        <v>4.0534250191957666E-2</v>
      </c>
      <c r="U97" s="155">
        <f ca="1"/>
        <v>6.6702587978963224E-2</v>
      </c>
      <c r="V97" s="138">
        <f ca="1"/>
        <v>0.11173835533295584</v>
      </c>
      <c r="W97" s="137">
        <f ca="1"/>
        <v>0</v>
      </c>
      <c r="X97" s="155">
        <f ca="1"/>
        <v>7.4398343160742009E-4</v>
      </c>
      <c r="Y97" s="155">
        <f ca="1"/>
        <v>3.1936566723339554E-3</v>
      </c>
      <c r="Z97" s="155">
        <f ca="1"/>
        <v>9.6989279679383644E-3</v>
      </c>
      <c r="AA97" s="155">
        <f ca="1"/>
        <v>1.8548461660592097E-2</v>
      </c>
      <c r="AB97" s="155">
        <f ca="1"/>
        <v>0</v>
      </c>
      <c r="AC97" s="155">
        <f ca="1"/>
        <v>4.1353911984448155E-2</v>
      </c>
      <c r="AD97" s="155">
        <f ca="1"/>
        <v>6.7821354639374998E-2</v>
      </c>
      <c r="AE97" s="138">
        <f ca="1"/>
        <v>0.11327929318908125</v>
      </c>
      <c r="AG97" s="454"/>
      <c r="AH97" s="456"/>
      <c r="AI97" s="455"/>
      <c r="AJ97" s="457"/>
      <c r="AK97" s="135"/>
      <c r="AM97" s="135"/>
      <c r="AN97" s="135"/>
      <c r="AO97" s="135"/>
      <c r="AQ97" s="135"/>
      <c r="AR97" s="135"/>
      <c r="AS97" s="135"/>
      <c r="AT97" s="135"/>
      <c r="AV97" s="135"/>
      <c r="AW97" s="135"/>
      <c r="AX97" s="135"/>
    </row>
    <row r="98" spans="1:50" s="79" customFormat="1" ht="11.25">
      <c r="A98" s="96">
        <f t="shared" ca="1" si="3"/>
        <v>87</v>
      </c>
      <c r="B98" s="68" t="s">
        <v>175</v>
      </c>
      <c r="C98" s="97">
        <v>0.4</v>
      </c>
      <c r="D98" s="69" t="s">
        <v>66</v>
      </c>
      <c r="E98" s="136" t="s">
        <v>87</v>
      </c>
      <c r="F98" s="154">
        <v>2.9999999999999997E-4</v>
      </c>
      <c r="G98" s="154">
        <v>5.0000000000000001E-4</v>
      </c>
      <c r="H98" s="154">
        <v>8.9999999999999998E-4</v>
      </c>
      <c r="I98" s="154">
        <v>1.2999999999999999E-3</v>
      </c>
      <c r="J98" s="154" t="s">
        <v>87</v>
      </c>
      <c r="K98" s="154">
        <v>2.0999999999999999E-3</v>
      </c>
      <c r="L98" s="154">
        <v>2.7000000000000001E-3</v>
      </c>
      <c r="M98" s="154">
        <v>3.3999999999999998E-3</v>
      </c>
      <c r="N98" s="137" cm="1">
        <f t="array" aca="1" ref="N98:AE98" ca="1">IF(OR(B98="",NOT($J$2)),"",GetStripDefaultProbability(A98,B98,Parameter_Date,CDSRollDate,E98:M98,SpreadCurveMaturities,D98,C98,$J$4,$J$6))</f>
        <v>0</v>
      </c>
      <c r="O98" s="155">
        <f ca="1"/>
        <v>2.7905895862256891E-4</v>
      </c>
      <c r="P98" s="155">
        <f ca="1"/>
        <v>8.8950690353517547E-4</v>
      </c>
      <c r="Q98" s="155">
        <f ca="1"/>
        <v>3.1318488539382461E-3</v>
      </c>
      <c r="R98" s="155">
        <f ca="1"/>
        <v>6.7508226888735035E-3</v>
      </c>
      <c r="S98" s="155">
        <f ca="1"/>
        <v>0</v>
      </c>
      <c r="T98" s="155">
        <f ca="1"/>
        <v>1.7913738481602937E-2</v>
      </c>
      <c r="U98" s="155">
        <f ca="1"/>
        <v>3.2118509887298252E-2</v>
      </c>
      <c r="V98" s="138">
        <f ca="1"/>
        <v>5.7300992101631198E-2</v>
      </c>
      <c r="W98" s="137">
        <f ca="1"/>
        <v>0</v>
      </c>
      <c r="X98" s="155">
        <f ca="1"/>
        <v>3.7206114936716439E-4</v>
      </c>
      <c r="Y98" s="155">
        <f ca="1"/>
        <v>1.0560114432898171E-3</v>
      </c>
      <c r="Z98" s="155">
        <f ca="1"/>
        <v>3.4640828622398701E-3</v>
      </c>
      <c r="AA98" s="155">
        <f ca="1"/>
        <v>7.2473231420884243E-3</v>
      </c>
      <c r="AB98" s="155">
        <f ca="1"/>
        <v>0</v>
      </c>
      <c r="AC98" s="155">
        <f ca="1"/>
        <v>1.8752964172189968E-2</v>
      </c>
      <c r="AD98" s="155">
        <f ca="1"/>
        <v>3.3278110152246909E-2</v>
      </c>
      <c r="AE98" s="138">
        <f ca="1"/>
        <v>5.8922419661689318E-2</v>
      </c>
      <c r="AG98" s="454"/>
      <c r="AH98" s="456"/>
      <c r="AI98" s="455"/>
      <c r="AJ98" s="457"/>
      <c r="AK98" s="135"/>
      <c r="AM98" s="135"/>
      <c r="AN98" s="135"/>
      <c r="AO98" s="135"/>
      <c r="AQ98" s="135"/>
      <c r="AR98" s="135"/>
      <c r="AS98" s="135"/>
      <c r="AT98" s="135"/>
      <c r="AV98" s="135"/>
      <c r="AW98" s="135"/>
      <c r="AX98" s="135"/>
    </row>
    <row r="99" spans="1:50" s="79" customFormat="1" ht="11.25">
      <c r="A99" s="96">
        <f t="shared" ca="1" si="3"/>
        <v>88</v>
      </c>
      <c r="B99" s="68" t="s">
        <v>176</v>
      </c>
      <c r="C99" s="97">
        <v>0.4</v>
      </c>
      <c r="D99" s="69" t="s">
        <v>66</v>
      </c>
      <c r="E99" s="136" t="s">
        <v>87</v>
      </c>
      <c r="F99" s="154">
        <v>1.65E-3</v>
      </c>
      <c r="G99" s="154">
        <v>2.5300000000000001E-3</v>
      </c>
      <c r="H99" s="154">
        <v>3.2299999999999998E-3</v>
      </c>
      <c r="I99" s="154">
        <v>3.5400000000000002E-3</v>
      </c>
      <c r="J99" s="154" t="s">
        <v>87</v>
      </c>
      <c r="K99" s="154">
        <v>4.1999999999999997E-3</v>
      </c>
      <c r="L99" s="154">
        <v>4.5999999999999999E-3</v>
      </c>
      <c r="M99" s="154">
        <v>5.0000000000000001E-3</v>
      </c>
      <c r="N99" s="137" cm="1">
        <f t="array" aca="1" ref="N99:AE99" ca="1">IF(OR(B99="",NOT($J$2)),"",GetStripDefaultProbability(A99,B99,Parameter_Date,CDSRollDate,E99:M99,SpreadCurveMaturities,D99,C99,$J$4,$J$6))</f>
        <v>0</v>
      </c>
      <c r="O99" s="155">
        <f ca="1"/>
        <v>1.5338609761123001E-3</v>
      </c>
      <c r="P99" s="155">
        <f ca="1"/>
        <v>4.4920611665246746E-3</v>
      </c>
      <c r="Q99" s="155">
        <f ca="1"/>
        <v>1.1161877087716654E-2</v>
      </c>
      <c r="R99" s="155">
        <f ca="1"/>
        <v>1.8152136471375813E-2</v>
      </c>
      <c r="S99" s="155">
        <f ca="1"/>
        <v>0</v>
      </c>
      <c r="T99" s="155">
        <f ca="1"/>
        <v>3.5390645553673661E-2</v>
      </c>
      <c r="U99" s="155">
        <f ca="1"/>
        <v>5.3832872601589199E-2</v>
      </c>
      <c r="V99" s="138">
        <f ca="1"/>
        <v>8.2700088893029822E-2</v>
      </c>
      <c r="W99" s="137">
        <f ca="1"/>
        <v>0</v>
      </c>
      <c r="X99" s="155">
        <f ca="1"/>
        <v>1.6267426001351781E-3</v>
      </c>
      <c r="Y99" s="155">
        <f ca="1"/>
        <v>4.6579653305909297E-3</v>
      </c>
      <c r="Z99" s="155">
        <f ca="1"/>
        <v>1.1491434865996464E-2</v>
      </c>
      <c r="AA99" s="155">
        <f ca="1"/>
        <v>1.8642937692620487E-2</v>
      </c>
      <c r="AB99" s="155">
        <f ca="1"/>
        <v>0</v>
      </c>
      <c r="AC99" s="155">
        <f ca="1"/>
        <v>3.6213889662664256E-2</v>
      </c>
      <c r="AD99" s="155">
        <f ca="1"/>
        <v>5.4964586279956151E-2</v>
      </c>
      <c r="AE99" s="138">
        <f ca="1"/>
        <v>8.4272052116189489E-2</v>
      </c>
      <c r="AG99" s="454"/>
      <c r="AH99" s="456"/>
      <c r="AI99" s="455"/>
      <c r="AJ99" s="457"/>
      <c r="AK99" s="135"/>
      <c r="AM99" s="135"/>
      <c r="AN99" s="135"/>
      <c r="AO99" s="135"/>
      <c r="AQ99" s="135"/>
      <c r="AR99" s="135"/>
      <c r="AS99" s="135"/>
      <c r="AT99" s="135"/>
      <c r="AV99" s="135"/>
      <c r="AW99" s="135"/>
      <c r="AX99" s="135"/>
    </row>
    <row r="100" spans="1:50" s="79" customFormat="1" ht="11.25">
      <c r="A100" s="96">
        <f t="shared" ca="1" si="3"/>
        <v>89</v>
      </c>
      <c r="B100" s="68" t="s">
        <v>177</v>
      </c>
      <c r="C100" s="97">
        <v>0.4</v>
      </c>
      <c r="D100" s="69" t="s">
        <v>66</v>
      </c>
      <c r="E100" s="136" t="s">
        <v>87</v>
      </c>
      <c r="F100" s="154">
        <v>4.0000000000000002E-4</v>
      </c>
      <c r="G100" s="154">
        <v>6.9999999999999999E-4</v>
      </c>
      <c r="H100" s="154">
        <v>1.1999999999999999E-3</v>
      </c>
      <c r="I100" s="154">
        <v>1.4E-3</v>
      </c>
      <c r="J100" s="154" t="s">
        <v>87</v>
      </c>
      <c r="K100" s="154">
        <v>2.0999999999999999E-3</v>
      </c>
      <c r="L100" s="154">
        <v>2.5000000000000001E-3</v>
      </c>
      <c r="M100" s="154">
        <v>3.0000000000000001E-3</v>
      </c>
      <c r="N100" s="137" cm="1">
        <f t="array" aca="1" ref="N100:AE100" ca="1">IF(OR(B100="",NOT($J$2)),"",GetStripDefaultProbability(A100,B100,Parameter_Date,CDSRollDate,E100:M100,SpreadCurveMaturities,D100,C100,$J$4,$J$6))</f>
        <v>0</v>
      </c>
      <c r="O100" s="155">
        <f ca="1"/>
        <v>3.7206130320088793E-4</v>
      </c>
      <c r="P100" s="155">
        <f ca="1"/>
        <v>1.2454766991428778E-3</v>
      </c>
      <c r="Q100" s="155">
        <f ca="1"/>
        <v>4.17282171915212E-3</v>
      </c>
      <c r="R100" s="155">
        <f ca="1"/>
        <v>7.2381238485476063E-3</v>
      </c>
      <c r="S100" s="155">
        <f ca="1"/>
        <v>0</v>
      </c>
      <c r="T100" s="155">
        <f ca="1"/>
        <v>1.7880041653251633E-2</v>
      </c>
      <c r="U100" s="155">
        <f ca="1"/>
        <v>2.9686056948540318E-2</v>
      </c>
      <c r="V100" s="138">
        <f ca="1"/>
        <v>5.0572299370406082E-2</v>
      </c>
      <c r="W100" s="137">
        <f ca="1"/>
        <v>0</v>
      </c>
      <c r="X100" s="155">
        <f ca="1"/>
        <v>4.6505473678803977E-4</v>
      </c>
      <c r="Y100" s="155">
        <f ca="1"/>
        <v>1.4119219155342977E-3</v>
      </c>
      <c r="Z100" s="155">
        <f ca="1"/>
        <v>4.5047087943315134E-3</v>
      </c>
      <c r="AA100" s="155">
        <f ca="1"/>
        <v>7.7343807120875407E-3</v>
      </c>
      <c r="AB100" s="155">
        <f ca="1"/>
        <v>0</v>
      </c>
      <c r="AC100" s="155">
        <f ca="1"/>
        <v>1.8718984928923987E-2</v>
      </c>
      <c r="AD100" s="155">
        <f ca="1"/>
        <v>3.0847462874789566E-2</v>
      </c>
      <c r="AE100" s="138">
        <f ca="1"/>
        <v>5.2203180367848989E-2</v>
      </c>
      <c r="AG100" s="454"/>
      <c r="AH100" s="456"/>
      <c r="AI100" s="455"/>
      <c r="AJ100" s="457"/>
      <c r="AK100" s="135"/>
      <c r="AM100" s="135"/>
      <c r="AN100" s="135"/>
      <c r="AO100" s="135"/>
      <c r="AQ100" s="135"/>
      <c r="AR100" s="135"/>
      <c r="AS100" s="135"/>
      <c r="AT100" s="135"/>
      <c r="AV100" s="135"/>
      <c r="AW100" s="135"/>
      <c r="AX100" s="135"/>
    </row>
    <row r="101" spans="1:50" s="79" customFormat="1" ht="11.25">
      <c r="A101" s="96">
        <f t="shared" ca="1" si="3"/>
        <v>90</v>
      </c>
      <c r="B101" s="68" t="s">
        <v>178</v>
      </c>
      <c r="C101" s="97">
        <v>0.4</v>
      </c>
      <c r="D101" s="69" t="s">
        <v>66</v>
      </c>
      <c r="E101" s="136" t="s">
        <v>87</v>
      </c>
      <c r="F101" s="154">
        <v>5.9999999999999995E-4</v>
      </c>
      <c r="G101" s="154">
        <v>1.5E-3</v>
      </c>
      <c r="H101" s="154">
        <v>2.3E-3</v>
      </c>
      <c r="I101" s="154">
        <v>3.3999999999999998E-3</v>
      </c>
      <c r="J101" s="154" t="s">
        <v>87</v>
      </c>
      <c r="K101" s="154">
        <v>5.3E-3</v>
      </c>
      <c r="L101" s="154">
        <v>6.6E-3</v>
      </c>
      <c r="M101" s="154">
        <v>8.2000000000000007E-3</v>
      </c>
      <c r="N101" s="137" cm="1">
        <f t="array" aca="1" ref="N101:AE101" ca="1">IF(OR(B101="",NOT($J$2)),"",GetStripDefaultProbability(A101,B101,Parameter_Date,CDSRollDate,E101:M101,SpreadCurveMaturities,D101,C101,$J$4,$J$6))</f>
        <v>0</v>
      </c>
      <c r="O101" s="155">
        <f ca="1"/>
        <v>5.5804003710946404E-4</v>
      </c>
      <c r="P101" s="155">
        <f ca="1"/>
        <v>2.6719711221631082E-3</v>
      </c>
      <c r="Q101" s="155">
        <f ca="1"/>
        <v>7.9826500398360034E-3</v>
      </c>
      <c r="R101" s="155">
        <f ca="1"/>
        <v>1.7588901844909244E-2</v>
      </c>
      <c r="S101" s="155">
        <f ca="1"/>
        <v>0</v>
      </c>
      <c r="T101" s="155">
        <f ca="1"/>
        <v>4.4773269207649125E-2</v>
      </c>
      <c r="U101" s="155">
        <f ca="1"/>
        <v>7.7132136563029308E-2</v>
      </c>
      <c r="V101" s="138">
        <f ca="1"/>
        <v>0.13392370259836128</v>
      </c>
      <c r="W101" s="137">
        <f ca="1"/>
        <v>0</v>
      </c>
      <c r="X101" s="155">
        <f ca="1"/>
        <v>6.5101587709581743E-4</v>
      </c>
      <c r="Y101" s="155">
        <f ca="1"/>
        <v>2.8381786093024663E-3</v>
      </c>
      <c r="Z101" s="155">
        <f ca="1"/>
        <v>8.3132673838615112E-3</v>
      </c>
      <c r="AA101" s="155">
        <f ca="1"/>
        <v>1.8079984613054934E-2</v>
      </c>
      <c r="AB101" s="155">
        <f ca="1"/>
        <v>0</v>
      </c>
      <c r="AC101" s="155">
        <f ca="1"/>
        <v>4.558947357700549E-2</v>
      </c>
      <c r="AD101" s="155">
        <f ca="1"/>
        <v>7.8239587862872884E-2</v>
      </c>
      <c r="AE101" s="138">
        <f ca="1"/>
        <v>0.13543552362584543</v>
      </c>
      <c r="AG101" s="454"/>
      <c r="AH101" s="456"/>
      <c r="AI101" s="455"/>
      <c r="AJ101" s="457"/>
      <c r="AK101" s="135"/>
      <c r="AM101" s="135"/>
      <c r="AN101" s="135"/>
      <c r="AO101" s="135"/>
      <c r="AQ101" s="135"/>
      <c r="AR101" s="135"/>
      <c r="AS101" s="135"/>
      <c r="AT101" s="135"/>
      <c r="AV101" s="135"/>
      <c r="AW101" s="135"/>
      <c r="AX101" s="135"/>
    </row>
    <row r="102" spans="1:50" s="79" customFormat="1" ht="11.25">
      <c r="A102" s="96">
        <f t="shared" ca="1" si="3"/>
        <v>91</v>
      </c>
      <c r="B102" s="68" t="s">
        <v>179</v>
      </c>
      <c r="C102" s="97">
        <v>0.4</v>
      </c>
      <c r="D102" s="69" t="s">
        <v>66</v>
      </c>
      <c r="E102" s="136" t="s">
        <v>87</v>
      </c>
      <c r="F102" s="154">
        <v>4.0000000000000002E-4</v>
      </c>
      <c r="G102" s="154">
        <v>5.0000000000000001E-4</v>
      </c>
      <c r="H102" s="154">
        <v>8.9999999999999998E-4</v>
      </c>
      <c r="I102" s="154">
        <v>1.1999999999999999E-3</v>
      </c>
      <c r="J102" s="154" t="s">
        <v>87</v>
      </c>
      <c r="K102" s="154">
        <v>2E-3</v>
      </c>
      <c r="L102" s="154">
        <v>2.5000000000000001E-3</v>
      </c>
      <c r="M102" s="154">
        <v>3.3E-3</v>
      </c>
      <c r="N102" s="137" cm="1">
        <f t="array" aca="1" ref="N102:AE102" ca="1">IF(OR(B102="",NOT($J$2)),"",GetStripDefaultProbability(A102,B102,Parameter_Date,CDSRollDate,E102:M102,SpreadCurveMaturities,D102,C102,$J$4,$J$6))</f>
        <v>0</v>
      </c>
      <c r="O102" s="155">
        <f ca="1"/>
        <v>3.7206130320088793E-4</v>
      </c>
      <c r="P102" s="155">
        <f ca="1"/>
        <v>8.8781598165987852E-4</v>
      </c>
      <c r="Q102" s="155">
        <f ca="1"/>
        <v>3.1301268310327535E-3</v>
      </c>
      <c r="R102" s="155">
        <f ca="1"/>
        <v>6.2222416574942985E-3</v>
      </c>
      <c r="S102" s="155">
        <f ca="1"/>
        <v>0</v>
      </c>
      <c r="T102" s="155">
        <f ca="1"/>
        <v>1.705564346548416E-2</v>
      </c>
      <c r="U102" s="155">
        <f ca="1"/>
        <v>2.9739093585540166E-2</v>
      </c>
      <c r="V102" s="138">
        <f ca="1"/>
        <v>5.5659008810282073E-2</v>
      </c>
      <c r="W102" s="137">
        <f ca="1"/>
        <v>0</v>
      </c>
      <c r="X102" s="155">
        <f ca="1"/>
        <v>4.6505473678803977E-4</v>
      </c>
      <c r="Y102" s="155">
        <f ca="1"/>
        <v>1.0543208032058882E-3</v>
      </c>
      <c r="Z102" s="155">
        <f ca="1"/>
        <v>3.4623614132652802E-3</v>
      </c>
      <c r="AA102" s="155">
        <f ca="1"/>
        <v>6.7190063351620921E-3</v>
      </c>
      <c r="AB102" s="155">
        <f ca="1"/>
        <v>0</v>
      </c>
      <c r="AC102" s="155">
        <f ca="1"/>
        <v>1.7895530481099042E-2</v>
      </c>
      <c r="AD102" s="155">
        <f ca="1"/>
        <v>3.0901111833718242E-2</v>
      </c>
      <c r="AE102" s="138">
        <f ca="1"/>
        <v>5.728339429937801E-2</v>
      </c>
      <c r="AG102" s="454"/>
      <c r="AH102" s="456"/>
      <c r="AI102" s="455"/>
      <c r="AJ102" s="457"/>
      <c r="AK102" s="135"/>
      <c r="AM102" s="135"/>
      <c r="AN102" s="135"/>
      <c r="AO102" s="135"/>
      <c r="AQ102" s="135"/>
      <c r="AR102" s="135"/>
      <c r="AS102" s="135"/>
      <c r="AT102" s="135"/>
      <c r="AV102" s="135"/>
      <c r="AW102" s="135"/>
      <c r="AX102" s="135"/>
    </row>
    <row r="103" spans="1:50" s="79" customFormat="1" ht="11.25">
      <c r="A103" s="96">
        <f t="shared" ca="1" si="3"/>
        <v>92</v>
      </c>
      <c r="B103" s="68" t="s">
        <v>180</v>
      </c>
      <c r="C103" s="97">
        <v>0.4</v>
      </c>
      <c r="D103" s="69" t="s">
        <v>66</v>
      </c>
      <c r="E103" s="136" t="s">
        <v>87</v>
      </c>
      <c r="F103" s="154">
        <v>5.0000000000000001E-4</v>
      </c>
      <c r="G103" s="154">
        <v>5.0000000000000001E-4</v>
      </c>
      <c r="H103" s="154">
        <v>8.9999999999999998E-4</v>
      </c>
      <c r="I103" s="154">
        <v>1.2999999999999999E-3</v>
      </c>
      <c r="J103" s="154" t="s">
        <v>87</v>
      </c>
      <c r="K103" s="154">
        <v>2E-3</v>
      </c>
      <c r="L103" s="154">
        <v>2.5000000000000001E-3</v>
      </c>
      <c r="M103" s="154">
        <v>2.8E-3</v>
      </c>
      <c r="N103" s="137" cm="1">
        <f t="array" aca="1" ref="N103:AE103" ca="1">IF(OR(B103="",NOT($J$2)),"",GetStripDefaultProbability(A103,B103,Parameter_Date,CDSRollDate,E103:M103,SpreadCurveMaturities,D103,C103,$J$4,$J$6))</f>
        <v>0</v>
      </c>
      <c r="O103" s="155">
        <f ca="1"/>
        <v>4.6505499562699004E-4</v>
      </c>
      <c r="P103" s="155">
        <f ca="1"/>
        <v>8.861251903584666E-4</v>
      </c>
      <c r="Q103" s="155">
        <f ca="1"/>
        <v>3.1284049153029736E-3</v>
      </c>
      <c r="R103" s="155">
        <f ca="1"/>
        <v>6.7473193302250989E-3</v>
      </c>
      <c r="S103" s="155">
        <f ca="1"/>
        <v>0</v>
      </c>
      <c r="T103" s="155">
        <f ca="1"/>
        <v>1.7061084753467015E-2</v>
      </c>
      <c r="U103" s="155">
        <f ca="1"/>
        <v>2.9743836978444849E-2</v>
      </c>
      <c r="V103" s="138">
        <f ca="1"/>
        <v>4.7275281775036926E-2</v>
      </c>
      <c r="W103" s="137">
        <f ca="1"/>
        <v>0</v>
      </c>
      <c r="X103" s="155">
        <f ca="1"/>
        <v>5.5803964578249321E-4</v>
      </c>
      <c r="Y103" s="155">
        <f ca="1"/>
        <v>1.0526302936837428E-3</v>
      </c>
      <c r="Z103" s="155">
        <f ca="1"/>
        <v>3.4606400714001229E-3</v>
      </c>
      <c r="AA103" s="155">
        <f ca="1"/>
        <v>7.2438215346560808E-3</v>
      </c>
      <c r="AB103" s="155">
        <f ca="1"/>
        <v>0</v>
      </c>
      <c r="AC103" s="155">
        <f ca="1"/>
        <v>1.7900878977092138E-2</v>
      </c>
      <c r="AD103" s="155">
        <f ca="1"/>
        <v>3.0905709457735187E-2</v>
      </c>
      <c r="AE103" s="138">
        <f ca="1"/>
        <v>4.8911266353686589E-2</v>
      </c>
      <c r="AG103" s="454"/>
      <c r="AH103" s="456"/>
      <c r="AI103" s="455"/>
      <c r="AJ103" s="457"/>
      <c r="AK103" s="135"/>
      <c r="AM103" s="135"/>
      <c r="AN103" s="135"/>
      <c r="AO103" s="135"/>
      <c r="AQ103" s="135"/>
      <c r="AR103" s="135"/>
      <c r="AS103" s="135"/>
      <c r="AT103" s="135"/>
      <c r="AV103" s="135"/>
      <c r="AW103" s="135"/>
      <c r="AX103" s="135"/>
    </row>
    <row r="104" spans="1:50" s="79" customFormat="1" ht="11.25">
      <c r="A104" s="96">
        <f t="shared" ca="1" si="3"/>
        <v>93</v>
      </c>
      <c r="B104" s="68" t="s">
        <v>181</v>
      </c>
      <c r="C104" s="97">
        <v>0.4</v>
      </c>
      <c r="D104" s="69" t="s">
        <v>66</v>
      </c>
      <c r="E104" s="136" t="s">
        <v>87</v>
      </c>
      <c r="F104" s="154">
        <v>2.9999999999999997E-4</v>
      </c>
      <c r="G104" s="154">
        <v>1.1000000000000001E-3</v>
      </c>
      <c r="H104" s="154">
        <v>1.5E-3</v>
      </c>
      <c r="I104" s="154">
        <v>2E-3</v>
      </c>
      <c r="J104" s="154" t="s">
        <v>87</v>
      </c>
      <c r="K104" s="154">
        <v>2.8999999999999998E-3</v>
      </c>
      <c r="L104" s="154">
        <v>3.5999999999999999E-3</v>
      </c>
      <c r="M104" s="154">
        <v>4.4999999999999997E-3</v>
      </c>
      <c r="N104" s="137" cm="1">
        <f t="array" aca="1" ref="N104:AE104" ca="1">IF(OR(B104="",NOT($J$2)),"",GetStripDefaultProbability(A104,B104,Parameter_Date,CDSRollDate,E104:M104,SpreadCurveMaturities,D104,C104,$J$4,$J$6))</f>
        <v>0</v>
      </c>
      <c r="O104" s="155">
        <f ca="1"/>
        <v>2.7905895862256891E-4</v>
      </c>
      <c r="P104" s="155">
        <f ca="1"/>
        <v>1.9623579162451055E-3</v>
      </c>
      <c r="Q104" s="155">
        <f ca="1"/>
        <v>5.2081041541578443E-3</v>
      </c>
      <c r="R104" s="155">
        <f ca="1"/>
        <v>1.0349616258563343E-2</v>
      </c>
      <c r="S104" s="155">
        <f ca="1"/>
        <v>0</v>
      </c>
      <c r="T104" s="155">
        <f ca="1"/>
        <v>2.4648086649759038E-2</v>
      </c>
      <c r="U104" s="155">
        <f ca="1"/>
        <v>4.2593762085781139E-2</v>
      </c>
      <c r="V104" s="138">
        <f ca="1"/>
        <v>7.5234218764978267E-2</v>
      </c>
      <c r="W104" s="137">
        <f ca="1"/>
        <v>0</v>
      </c>
      <c r="X104" s="155">
        <f ca="1"/>
        <v>3.7206114936716439E-4</v>
      </c>
      <c r="Y104" s="155">
        <f ca="1"/>
        <v>2.1286836623901628E-3</v>
      </c>
      <c r="Z104" s="155">
        <f ca="1"/>
        <v>5.5396461926924268E-3</v>
      </c>
      <c r="AA104" s="155">
        <f ca="1"/>
        <v>1.0844317764756695E-2</v>
      </c>
      <c r="AB104" s="155">
        <f ca="1"/>
        <v>0</v>
      </c>
      <c r="AC104" s="155">
        <f ca="1"/>
        <v>2.5481571891445065E-2</v>
      </c>
      <c r="AD104" s="155">
        <f ca="1"/>
        <v>4.3741130369219561E-2</v>
      </c>
      <c r="AE104" s="138">
        <f ca="1"/>
        <v>7.6824474258191278E-2</v>
      </c>
      <c r="AG104" s="454"/>
      <c r="AH104" s="456"/>
      <c r="AI104" s="455"/>
      <c r="AJ104" s="457"/>
      <c r="AK104" s="135"/>
      <c r="AM104" s="135"/>
      <c r="AN104" s="135"/>
      <c r="AO104" s="135"/>
      <c r="AQ104" s="135"/>
      <c r="AR104" s="135"/>
      <c r="AS104" s="135"/>
      <c r="AT104" s="135"/>
      <c r="AV104" s="135"/>
      <c r="AW104" s="135"/>
      <c r="AX104" s="135"/>
    </row>
    <row r="105" spans="1:50" s="79" customFormat="1" ht="11.25">
      <c r="A105" s="96">
        <f t="shared" ca="1" si="3"/>
        <v>94</v>
      </c>
      <c r="B105" s="68" t="s">
        <v>182</v>
      </c>
      <c r="C105" s="97">
        <v>0.4</v>
      </c>
      <c r="D105" s="69" t="s">
        <v>66</v>
      </c>
      <c r="E105" s="136" t="s">
        <v>87</v>
      </c>
      <c r="F105" s="154">
        <v>2.9999999999999997E-4</v>
      </c>
      <c r="G105" s="154">
        <v>5.0000000000000001E-4</v>
      </c>
      <c r="H105" s="154">
        <v>8.9999999999999998E-4</v>
      </c>
      <c r="I105" s="154">
        <v>1.2999999999999999E-3</v>
      </c>
      <c r="J105" s="154" t="s">
        <v>87</v>
      </c>
      <c r="K105" s="154">
        <v>2.0999999999999999E-3</v>
      </c>
      <c r="L105" s="154">
        <v>2.7000000000000001E-3</v>
      </c>
      <c r="M105" s="154">
        <v>3.3999999999999998E-3</v>
      </c>
      <c r="N105" s="137" cm="1">
        <f t="array" aca="1" ref="N105:AE105" ca="1">IF(OR(B105="",NOT($J$2)),"",GetStripDefaultProbability(A105,B105,Parameter_Date,CDSRollDate,E105:M105,SpreadCurveMaturities,D105,C105,$J$4,$J$6))</f>
        <v>0</v>
      </c>
      <c r="O105" s="155">
        <f ca="1"/>
        <v>2.7905895862256891E-4</v>
      </c>
      <c r="P105" s="155">
        <f ca="1"/>
        <v>8.8950690353517547E-4</v>
      </c>
      <c r="Q105" s="155">
        <f ca="1"/>
        <v>3.1318488539382461E-3</v>
      </c>
      <c r="R105" s="155">
        <f ca="1"/>
        <v>6.7508226888735035E-3</v>
      </c>
      <c r="S105" s="155">
        <f ca="1"/>
        <v>0</v>
      </c>
      <c r="T105" s="155">
        <f ca="1"/>
        <v>1.7913738481602937E-2</v>
      </c>
      <c r="U105" s="155">
        <f ca="1"/>
        <v>3.2118509887298252E-2</v>
      </c>
      <c r="V105" s="138">
        <f ca="1"/>
        <v>5.7300992101631198E-2</v>
      </c>
      <c r="W105" s="137">
        <f ca="1"/>
        <v>0</v>
      </c>
      <c r="X105" s="155">
        <f ca="1"/>
        <v>3.7206114936716439E-4</v>
      </c>
      <c r="Y105" s="155">
        <f ca="1"/>
        <v>1.0560114432898171E-3</v>
      </c>
      <c r="Z105" s="155">
        <f ca="1"/>
        <v>3.4640828622398701E-3</v>
      </c>
      <c r="AA105" s="155">
        <f ca="1"/>
        <v>7.2473231420884243E-3</v>
      </c>
      <c r="AB105" s="155">
        <f ca="1"/>
        <v>0</v>
      </c>
      <c r="AC105" s="155">
        <f ca="1"/>
        <v>1.8752964172189968E-2</v>
      </c>
      <c r="AD105" s="155">
        <f ca="1"/>
        <v>3.3278110152246909E-2</v>
      </c>
      <c r="AE105" s="138">
        <f ca="1"/>
        <v>5.8922419661689318E-2</v>
      </c>
      <c r="AG105" s="454"/>
      <c r="AH105" s="456"/>
      <c r="AI105" s="455"/>
      <c r="AJ105" s="457"/>
      <c r="AK105" s="135"/>
      <c r="AM105" s="135"/>
      <c r="AN105" s="135"/>
      <c r="AO105" s="135"/>
      <c r="AQ105" s="135"/>
      <c r="AR105" s="135"/>
      <c r="AS105" s="135"/>
      <c r="AT105" s="135"/>
      <c r="AV105" s="135"/>
      <c r="AW105" s="135"/>
      <c r="AX105" s="135"/>
    </row>
    <row r="106" spans="1:50" s="79" customFormat="1" ht="11.25">
      <c r="A106" s="96">
        <f t="shared" ca="1" si="3"/>
        <v>95</v>
      </c>
      <c r="B106" s="68" t="s">
        <v>183</v>
      </c>
      <c r="C106" s="97">
        <v>0.4</v>
      </c>
      <c r="D106" s="69" t="s">
        <v>66</v>
      </c>
      <c r="E106" s="136" t="s">
        <v>87</v>
      </c>
      <c r="F106" s="154">
        <v>8.9999999999999998E-4</v>
      </c>
      <c r="G106" s="154">
        <v>8.9999999999999998E-4</v>
      </c>
      <c r="H106" s="154">
        <v>1.8E-3</v>
      </c>
      <c r="I106" s="154">
        <v>2.5999999999999999E-3</v>
      </c>
      <c r="J106" s="154" t="s">
        <v>87</v>
      </c>
      <c r="K106" s="154">
        <v>4.3E-3</v>
      </c>
      <c r="L106" s="154">
        <v>5.4000000000000003E-3</v>
      </c>
      <c r="M106" s="154">
        <v>6.4000000000000003E-3</v>
      </c>
      <c r="N106" s="137" cm="1">
        <f t="array" aca="1" ref="N106:AE106" ca="1">IF(OR(B106="",NOT($J$2)),"",GetStripDefaultProbability(A106,B106,Parameter_Date,CDSRollDate,E106:M106,SpreadCurveMaturities,D106,C106,$J$4,$J$6))</f>
        <v>0</v>
      </c>
      <c r="O106" s="155">
        <f ca="1"/>
        <v>8.3694326804184538E-4</v>
      </c>
      <c r="P106" s="155">
        <f ca="1"/>
        <v>1.5944595646587567E-3</v>
      </c>
      <c r="Q106" s="155">
        <f ca="1"/>
        <v>6.255374409511405E-3</v>
      </c>
      <c r="R106" s="155">
        <f ca="1"/>
        <v>1.3468433962088966E-2</v>
      </c>
      <c r="S106" s="155">
        <f ca="1"/>
        <v>0</v>
      </c>
      <c r="T106" s="155">
        <f ca="1"/>
        <v>3.644328512115147E-2</v>
      </c>
      <c r="U106" s="155">
        <f ca="1"/>
        <v>6.3465084834459007E-2</v>
      </c>
      <c r="V106" s="138">
        <f ca="1"/>
        <v>0.10564513285180843</v>
      </c>
      <c r="W106" s="137">
        <f ca="1"/>
        <v>0</v>
      </c>
      <c r="X106" s="155">
        <f ca="1"/>
        <v>9.2989251347452839E-4</v>
      </c>
      <c r="Y106" s="155">
        <f ca="1"/>
        <v>1.7608466221001873E-3</v>
      </c>
      <c r="Z106" s="155">
        <f ca="1"/>
        <v>6.586567416132727E-3</v>
      </c>
      <c r="AA106" s="155">
        <f ca="1"/>
        <v>1.3961576449201152E-2</v>
      </c>
      <c r="AB106" s="155">
        <f ca="1"/>
        <v>0</v>
      </c>
      <c r="AC106" s="155">
        <f ca="1"/>
        <v>3.7267127188887139E-2</v>
      </c>
      <c r="AD106" s="155">
        <f ca="1"/>
        <v>6.4589280361312396E-2</v>
      </c>
      <c r="AE106" s="138">
        <f ca="1"/>
        <v>0.1071816424349844</v>
      </c>
      <c r="AG106" s="454"/>
      <c r="AH106" s="456"/>
      <c r="AI106" s="455"/>
      <c r="AJ106" s="457"/>
      <c r="AK106" s="135"/>
      <c r="AM106" s="135"/>
      <c r="AN106" s="135"/>
      <c r="AO106" s="135"/>
      <c r="AQ106" s="135"/>
      <c r="AR106" s="135"/>
      <c r="AS106" s="135"/>
      <c r="AT106" s="135"/>
      <c r="AV106" s="135"/>
      <c r="AW106" s="135"/>
      <c r="AX106" s="135"/>
    </row>
    <row r="107" spans="1:50" s="79" customFormat="1" ht="11.25">
      <c r="A107" s="96">
        <f t="shared" ca="1" si="3"/>
        <v>96</v>
      </c>
      <c r="B107" s="68" t="s">
        <v>184</v>
      </c>
      <c r="C107" s="97">
        <v>0.4</v>
      </c>
      <c r="D107" s="69" t="s">
        <v>66</v>
      </c>
      <c r="E107" s="136" t="s">
        <v>87</v>
      </c>
      <c r="F107" s="154">
        <v>2.9999999999999997E-4</v>
      </c>
      <c r="G107" s="154">
        <v>5.0000000000000001E-4</v>
      </c>
      <c r="H107" s="154">
        <v>1.1999999999999999E-3</v>
      </c>
      <c r="I107" s="154">
        <v>1.6000000000000001E-3</v>
      </c>
      <c r="J107" s="154" t="s">
        <v>87</v>
      </c>
      <c r="K107" s="154">
        <v>2.5999999999999999E-3</v>
      </c>
      <c r="L107" s="154">
        <v>3.3999999999999998E-3</v>
      </c>
      <c r="M107" s="154">
        <v>4.4000000000000003E-3</v>
      </c>
      <c r="N107" s="137" cm="1">
        <f t="array" aca="1" ref="N107:AE107" ca="1">IF(OR(B107="",NOT($J$2)),"",GetStripDefaultProbability(A107,B107,Parameter_Date,CDSRollDate,E107:M107,SpreadCurveMaturities,D107,C107,$J$4,$J$6))</f>
        <v>0</v>
      </c>
      <c r="O107" s="155">
        <f ca="1"/>
        <v>2.7905895862256891E-4</v>
      </c>
      <c r="P107" s="155">
        <f ca="1"/>
        <v>8.8950690353517547E-4</v>
      </c>
      <c r="Q107" s="155">
        <f ca="1"/>
        <v>4.1828214564052502E-3</v>
      </c>
      <c r="R107" s="155">
        <f ca="1"/>
        <v>8.3010828735341491E-3</v>
      </c>
      <c r="S107" s="155">
        <f ca="1"/>
        <v>0</v>
      </c>
      <c r="T107" s="155">
        <f ca="1"/>
        <v>2.2142865677977741E-2</v>
      </c>
      <c r="U107" s="155">
        <f ca="1"/>
        <v>4.0335787450588301E-2</v>
      </c>
      <c r="V107" s="138">
        <f ca="1"/>
        <v>7.3738734973087916E-2</v>
      </c>
      <c r="W107" s="137">
        <f ca="1"/>
        <v>0</v>
      </c>
      <c r="X107" s="155">
        <f ca="1"/>
        <v>3.7206114936716439E-4</v>
      </c>
      <c r="Y107" s="155">
        <f ca="1"/>
        <v>1.0560114432898171E-3</v>
      </c>
      <c r="Z107" s="155">
        <f ca="1"/>
        <v>4.5147051988828624E-3</v>
      </c>
      <c r="AA107" s="155">
        <f ca="1"/>
        <v>8.7968083904021999E-3</v>
      </c>
      <c r="AB107" s="155">
        <f ca="1"/>
        <v>0</v>
      </c>
      <c r="AC107" s="155">
        <f ca="1"/>
        <v>2.2978719927233326E-2</v>
      </c>
      <c r="AD107" s="155">
        <f ca="1"/>
        <v>4.1486495539566959E-2</v>
      </c>
      <c r="AE107" s="138">
        <f ca="1"/>
        <v>7.5332913561109827E-2</v>
      </c>
      <c r="AH107" s="135"/>
      <c r="AI107" s="455"/>
      <c r="AJ107" s="135"/>
      <c r="AK107" s="135"/>
      <c r="AM107" s="135"/>
      <c r="AN107" s="135"/>
      <c r="AO107" s="135"/>
      <c r="AQ107" s="135"/>
      <c r="AR107" s="135"/>
      <c r="AS107" s="135"/>
      <c r="AT107" s="135"/>
      <c r="AV107" s="135"/>
      <c r="AW107" s="135"/>
      <c r="AX107" s="135"/>
    </row>
    <row r="108" spans="1:50" s="79" customFormat="1" ht="11.25">
      <c r="A108" s="96">
        <f t="shared" ca="1" si="3"/>
        <v>97</v>
      </c>
      <c r="B108" s="68" t="s">
        <v>185</v>
      </c>
      <c r="C108" s="97">
        <v>0.4</v>
      </c>
      <c r="D108" s="69" t="s">
        <v>66</v>
      </c>
      <c r="E108" s="136" t="s">
        <v>87</v>
      </c>
      <c r="F108" s="154">
        <v>6.9999999999999999E-4</v>
      </c>
      <c r="G108" s="154">
        <v>1.1000000000000001E-3</v>
      </c>
      <c r="H108" s="154">
        <v>2E-3</v>
      </c>
      <c r="I108" s="154">
        <v>2.8999999999999998E-3</v>
      </c>
      <c r="J108" s="154" t="s">
        <v>87</v>
      </c>
      <c r="K108" s="154">
        <v>4.8999999999999998E-3</v>
      </c>
      <c r="L108" s="154">
        <v>6.0000000000000001E-3</v>
      </c>
      <c r="M108" s="154">
        <v>7.1999999999999998E-3</v>
      </c>
      <c r="N108" s="137" cm="1">
        <f t="array" aca="1" ref="N108:AE108" ca="1">IF(OR(B108="",NOT($J$2)),"",GetStripDefaultProbability(A108,B108,Parameter_Date,CDSRollDate,E108:M108,SpreadCurveMaturities,D108,C108,$J$4,$J$6))</f>
        <v>0</v>
      </c>
      <c r="O108" s="155">
        <f ca="1"/>
        <v>6.5101642887865907E-4</v>
      </c>
      <c r="P108" s="155">
        <f ca="1"/>
        <v>1.9553970284662547E-3</v>
      </c>
      <c r="Q108" s="155">
        <f ca="1"/>
        <v>6.9497609941292504E-3</v>
      </c>
      <c r="R108" s="155">
        <f ca="1"/>
        <v>1.5016444836832621E-2</v>
      </c>
      <c r="S108" s="155">
        <f ca="1"/>
        <v>0</v>
      </c>
      <c r="T108" s="155">
        <f ca="1"/>
        <v>4.1461833407434701E-2</v>
      </c>
      <c r="U108" s="155">
        <f ca="1"/>
        <v>7.0291925599295646E-2</v>
      </c>
      <c r="V108" s="138">
        <f ca="1"/>
        <v>0.11821213682152609</v>
      </c>
      <c r="W108" s="137">
        <f ca="1"/>
        <v>0</v>
      </c>
      <c r="X108" s="155">
        <f ca="1"/>
        <v>7.4398343160742009E-4</v>
      </c>
      <c r="Y108" s="155">
        <f ca="1"/>
        <v>2.121723934676023E-3</v>
      </c>
      <c r="Z108" s="155">
        <f ca="1"/>
        <v>7.2807225771310824E-3</v>
      </c>
      <c r="AA108" s="155">
        <f ca="1"/>
        <v>1.5508813512002506E-2</v>
      </c>
      <c r="AB108" s="155">
        <f ca="1"/>
        <v>0</v>
      </c>
      <c r="AC108" s="155">
        <f ca="1"/>
        <v>4.2281176963096856E-2</v>
      </c>
      <c r="AD108" s="155">
        <f ca="1"/>
        <v>7.1408052684824752E-2</v>
      </c>
      <c r="AE108" s="138">
        <f ca="1"/>
        <v>0.11974565365223133</v>
      </c>
      <c r="AH108" s="135"/>
      <c r="AI108" s="455"/>
      <c r="AJ108" s="135"/>
      <c r="AK108" s="135"/>
      <c r="AM108" s="135"/>
      <c r="AN108" s="135"/>
      <c r="AO108" s="135"/>
      <c r="AQ108" s="135"/>
      <c r="AR108" s="135"/>
      <c r="AS108" s="135"/>
      <c r="AT108" s="135"/>
      <c r="AV108" s="135"/>
      <c r="AW108" s="135"/>
      <c r="AX108" s="135"/>
    </row>
    <row r="109" spans="1:50" s="79" customFormat="1" ht="11.25">
      <c r="A109" s="96">
        <f t="shared" ca="1" si="3"/>
        <v>98</v>
      </c>
      <c r="B109" s="68" t="s">
        <v>186</v>
      </c>
      <c r="C109" s="97">
        <v>0.4</v>
      </c>
      <c r="D109" s="69" t="s">
        <v>66</v>
      </c>
      <c r="E109" s="136" t="s">
        <v>87</v>
      </c>
      <c r="F109" s="154">
        <v>4.0000000000000002E-4</v>
      </c>
      <c r="G109" s="154">
        <v>8.9999999999999998E-4</v>
      </c>
      <c r="H109" s="154">
        <v>1.4E-3</v>
      </c>
      <c r="I109" s="154">
        <v>1.6999999999999999E-3</v>
      </c>
      <c r="J109" s="154" t="s">
        <v>87</v>
      </c>
      <c r="K109" s="154">
        <v>2.5000000000000001E-3</v>
      </c>
      <c r="L109" s="154">
        <v>2.8999999999999998E-3</v>
      </c>
      <c r="M109" s="154">
        <v>3.3999999999999998E-3</v>
      </c>
      <c r="N109" s="137" cm="1">
        <f t="array" aca="1" ref="N109:AE109" ca="1">IF(OR(B109="",NOT($J$2)),"",GetStripDefaultProbability(A109,B109,Parameter_Date,CDSRollDate,E109:M109,SpreadCurveMaturities,D109,C109,$J$4,$J$6))</f>
        <v>0</v>
      </c>
      <c r="O109" s="155">
        <f ca="1"/>
        <v>3.7206130320088793E-4</v>
      </c>
      <c r="P109" s="155">
        <f ca="1"/>
        <v>1.6030771977488811E-3</v>
      </c>
      <c r="Q109" s="155">
        <f ca="1"/>
        <v>4.8647287890087876E-3</v>
      </c>
      <c r="R109" s="155">
        <f ca="1"/>
        <v>8.7887799310476522E-3</v>
      </c>
      <c r="S109" s="155">
        <f ca="1"/>
        <v>0</v>
      </c>
      <c r="T109" s="155">
        <f ca="1"/>
        <v>2.1262309891086462E-2</v>
      </c>
      <c r="U109" s="155">
        <f ca="1"/>
        <v>3.4355836734644707E-2</v>
      </c>
      <c r="V109" s="138">
        <f ca="1"/>
        <v>5.7122487884185502E-2</v>
      </c>
      <c r="W109" s="137">
        <f ca="1"/>
        <v>0</v>
      </c>
      <c r="X109" s="155">
        <f ca="1"/>
        <v>4.6505473678803977E-4</v>
      </c>
      <c r="Y109" s="155">
        <f ca="1"/>
        <v>1.7694628190280115E-3</v>
      </c>
      <c r="Z109" s="155">
        <f ca="1"/>
        <v>5.1963852669225652E-3</v>
      </c>
      <c r="AA109" s="155">
        <f ca="1"/>
        <v>9.2842616603429073E-3</v>
      </c>
      <c r="AB109" s="155">
        <f ca="1"/>
        <v>0</v>
      </c>
      <c r="AC109" s="155">
        <f ca="1"/>
        <v>2.2098513308960621E-2</v>
      </c>
      <c r="AD109" s="155">
        <f ca="1"/>
        <v>3.5511863255582088E-2</v>
      </c>
      <c r="AE109" s="138">
        <f ca="1"/>
        <v>5.8741927771540747E-2</v>
      </c>
      <c r="AH109" s="135"/>
      <c r="AI109" s="455"/>
      <c r="AJ109" s="135"/>
      <c r="AK109" s="135"/>
      <c r="AM109" s="135"/>
      <c r="AN109" s="135"/>
      <c r="AO109" s="135"/>
      <c r="AQ109" s="135"/>
      <c r="AR109" s="135"/>
      <c r="AS109" s="135"/>
      <c r="AT109" s="135"/>
      <c r="AV109" s="135"/>
      <c r="AW109" s="135"/>
      <c r="AX109" s="135"/>
    </row>
    <row r="110" spans="1:50" s="79" customFormat="1" ht="11.25">
      <c r="A110" s="96">
        <f t="shared" ca="1" si="3"/>
        <v>99</v>
      </c>
      <c r="B110" s="68" t="s">
        <v>187</v>
      </c>
      <c r="C110" s="97">
        <v>0.4</v>
      </c>
      <c r="D110" s="69" t="s">
        <v>66</v>
      </c>
      <c r="E110" s="136" t="s">
        <v>87</v>
      </c>
      <c r="F110" s="154">
        <v>8.0000000000000004E-4</v>
      </c>
      <c r="G110" s="154">
        <v>8.0000000000000004E-4</v>
      </c>
      <c r="H110" s="154">
        <v>1.6999999999999999E-3</v>
      </c>
      <c r="I110" s="154">
        <v>2.3E-3</v>
      </c>
      <c r="J110" s="154" t="s">
        <v>87</v>
      </c>
      <c r="K110" s="154">
        <v>4.1999999999999997E-3</v>
      </c>
      <c r="L110" s="154">
        <v>5.3E-3</v>
      </c>
      <c r="M110" s="154">
        <v>6.4999999999999997E-3</v>
      </c>
      <c r="N110" s="137" cm="1">
        <f t="array" aca="1" ref="N110:AE110" ca="1">IF(OR(B110="",NOT($J$2)),"",GetStripDefaultProbability(A110,B110,Parameter_Date,CDSRollDate,E110:M110,SpreadCurveMaturities,D110,C110,$J$4,$J$6))</f>
        <v>0</v>
      </c>
      <c r="O110" s="155">
        <f ca="1"/>
        <v>7.4398417212018231E-4</v>
      </c>
      <c r="P110" s="155">
        <f ca="1"/>
        <v>1.417423095768755E-3</v>
      </c>
      <c r="Q110" s="155">
        <f ca="1"/>
        <v>5.9116217571401064E-3</v>
      </c>
      <c r="R110" s="155">
        <f ca="1"/>
        <v>1.1909590060709241E-2</v>
      </c>
      <c r="S110" s="155">
        <f ca="1"/>
        <v>0</v>
      </c>
      <c r="T110" s="155">
        <f ca="1"/>
        <v>3.5607859339623404E-2</v>
      </c>
      <c r="U110" s="155">
        <f ca="1"/>
        <v>6.2330018589854541E-2</v>
      </c>
      <c r="V110" s="138">
        <f ca="1"/>
        <v>0.1073278178313426</v>
      </c>
      <c r="W110" s="137">
        <f ca="1"/>
        <v>0</v>
      </c>
      <c r="X110" s="155">
        <f ca="1"/>
        <v>8.3694231015207787E-4</v>
      </c>
      <c r="Y110" s="155">
        <f ca="1"/>
        <v>1.5838396568128577E-3</v>
      </c>
      <c r="Z110" s="155">
        <f ca="1"/>
        <v>6.2429293288966958E-3</v>
      </c>
      <c r="AA110" s="155">
        <f ca="1"/>
        <v>1.2403511774977227E-2</v>
      </c>
      <c r="AB110" s="155">
        <f ca="1"/>
        <v>0</v>
      </c>
      <c r="AC110" s="155">
        <f ca="1"/>
        <v>3.6432505151645755E-2</v>
      </c>
      <c r="AD110" s="155">
        <f ca="1"/>
        <v>6.3455946890581871E-2</v>
      </c>
      <c r="AE110" s="138">
        <f ca="1"/>
        <v>0.10887928248552403</v>
      </c>
      <c r="AH110" s="135"/>
      <c r="AI110" s="455"/>
      <c r="AJ110" s="135"/>
      <c r="AK110" s="135"/>
      <c r="AM110" s="135"/>
      <c r="AN110" s="135"/>
      <c r="AO110" s="135"/>
      <c r="AQ110" s="135"/>
      <c r="AR110" s="135"/>
      <c r="AS110" s="135"/>
      <c r="AT110" s="135"/>
      <c r="AV110" s="135"/>
      <c r="AW110" s="135"/>
      <c r="AX110" s="135"/>
    </row>
    <row r="111" spans="1:50" s="79" customFormat="1" ht="11.25">
      <c r="A111" s="96">
        <f t="shared" ca="1" si="3"/>
        <v>100</v>
      </c>
      <c r="B111" s="68" t="s">
        <v>188</v>
      </c>
      <c r="C111" s="97">
        <v>0.4</v>
      </c>
      <c r="D111" s="69" t="s">
        <v>66</v>
      </c>
      <c r="E111" s="136" t="s">
        <v>87</v>
      </c>
      <c r="F111" s="154">
        <v>1.6000000000000001E-3</v>
      </c>
      <c r="G111" s="154">
        <v>1.9E-3</v>
      </c>
      <c r="H111" s="154">
        <v>2.3999999999999998E-3</v>
      </c>
      <c r="I111" s="154">
        <v>2.7000000000000001E-3</v>
      </c>
      <c r="J111" s="154" t="s">
        <v>87</v>
      </c>
      <c r="K111" s="154">
        <v>3.3E-3</v>
      </c>
      <c r="L111" s="154">
        <v>3.65E-3</v>
      </c>
      <c r="M111" s="154">
        <v>4.1000000000000003E-3</v>
      </c>
      <c r="N111" s="137" cm="1">
        <f t="array" aca="1" ref="N111:AE111" ca="1">IF(OR(B111="",NOT($J$2)),"",GetStripDefaultProbability(A111,B111,Parameter_Date,CDSRollDate,E111:M111,SpreadCurveMaturities,D111,C111,$J$4,$J$6))</f>
        <v>0</v>
      </c>
      <c r="O111" s="155">
        <f ca="1"/>
        <v>1.4874149160477579E-3</v>
      </c>
      <c r="P111" s="155">
        <f ca="1"/>
        <v>3.3685111664935041E-3</v>
      </c>
      <c r="Q111" s="155">
        <f ca="1"/>
        <v>8.2960014589447129E-3</v>
      </c>
      <c r="R111" s="155">
        <f ca="1"/>
        <v>1.3872806148806593E-2</v>
      </c>
      <c r="S111" s="155">
        <f ca="1"/>
        <v>0</v>
      </c>
      <c r="T111" s="155">
        <f ca="1"/>
        <v>2.7907583385158752E-2</v>
      </c>
      <c r="U111" s="155">
        <f ca="1"/>
        <v>4.2946648621573713E-2</v>
      </c>
      <c r="V111" s="138">
        <f ca="1"/>
        <v>6.8346157900246007E-2</v>
      </c>
      <c r="W111" s="137">
        <f ca="1"/>
        <v>0</v>
      </c>
      <c r="X111" s="155">
        <f ca="1"/>
        <v>1.5803011008691525E-3</v>
      </c>
      <c r="Y111" s="155">
        <f ca="1"/>
        <v>3.5346025733001829E-3</v>
      </c>
      <c r="Z111" s="155">
        <f ca="1"/>
        <v>8.6265143699220115E-3</v>
      </c>
      <c r="AA111" s="155">
        <f ca="1"/>
        <v>1.4365746500355603E-2</v>
      </c>
      <c r="AB111" s="155">
        <f ca="1"/>
        <v>0</v>
      </c>
      <c r="AC111" s="155">
        <f ca="1"/>
        <v>2.8737474259214357E-2</v>
      </c>
      <c r="AD111" s="155">
        <f ca="1"/>
        <v>4.4091453053239693E-2</v>
      </c>
      <c r="AE111" s="138">
        <f ca="1"/>
        <v>6.9944227162470285E-2</v>
      </c>
      <c r="AH111" s="135"/>
      <c r="AI111" s="455"/>
      <c r="AJ111" s="135"/>
      <c r="AK111" s="135"/>
      <c r="AM111" s="135"/>
      <c r="AN111" s="135"/>
      <c r="AO111" s="135"/>
      <c r="AQ111" s="135"/>
      <c r="AR111" s="135"/>
      <c r="AS111" s="135"/>
      <c r="AT111" s="135"/>
      <c r="AV111" s="135"/>
      <c r="AW111" s="135"/>
      <c r="AX111" s="135"/>
    </row>
    <row r="112" spans="1:50" s="79" customFormat="1" ht="11.25">
      <c r="A112" s="96">
        <f t="shared" ca="1" si="3"/>
        <v>101</v>
      </c>
      <c r="B112" s="68" t="s">
        <v>189</v>
      </c>
      <c r="C112" s="97">
        <v>0.4</v>
      </c>
      <c r="D112" s="69" t="s">
        <v>66</v>
      </c>
      <c r="E112" s="136" t="s">
        <v>87</v>
      </c>
      <c r="F112" s="154">
        <v>6.9999999999999999E-4</v>
      </c>
      <c r="G112" s="154">
        <v>1.4E-3</v>
      </c>
      <c r="H112" s="154">
        <v>2.5000000000000001E-3</v>
      </c>
      <c r="I112" s="154">
        <v>3.5999999999999999E-3</v>
      </c>
      <c r="J112" s="154" t="s">
        <v>87</v>
      </c>
      <c r="K112" s="154">
        <v>5.5999999999999999E-3</v>
      </c>
      <c r="L112" s="154">
        <v>7.0000000000000001E-3</v>
      </c>
      <c r="M112" s="154">
        <v>8.6E-3</v>
      </c>
      <c r="N112" s="137" cm="1">
        <f t="array" aca="1" ref="N112:AE112" ca="1">IF(OR(B112="",NOT($J$2)),"",GetStripDefaultProbability(A112,B112,Parameter_Date,CDSRollDate,E112:M112,SpreadCurveMaturities,D112,C112,$J$4,$J$6))</f>
        <v>0</v>
      </c>
      <c r="O112" s="155">
        <f ca="1"/>
        <v>6.5101642887865907E-4</v>
      </c>
      <c r="P112" s="155">
        <f ca="1"/>
        <v>2.4915204094962951E-3</v>
      </c>
      <c r="Q112" s="155">
        <f ca="1"/>
        <v>8.6837853539136756E-3</v>
      </c>
      <c r="R112" s="155">
        <f ca="1"/>
        <v>1.8617067916775532E-2</v>
      </c>
      <c r="S112" s="155">
        <f ca="1"/>
        <v>0</v>
      </c>
      <c r="T112" s="155">
        <f ca="1"/>
        <v>4.7264430301062754E-2</v>
      </c>
      <c r="U112" s="155">
        <f ca="1"/>
        <v>8.1673161740259514E-2</v>
      </c>
      <c r="V112" s="138">
        <f ca="1"/>
        <v>0.14005391861323457</v>
      </c>
      <c r="W112" s="137">
        <f ca="1"/>
        <v>0</v>
      </c>
      <c r="X112" s="155">
        <f ca="1"/>
        <v>7.4398343160742009E-4</v>
      </c>
      <c r="Y112" s="155">
        <f ca="1"/>
        <v>2.6577579692423914E-3</v>
      </c>
      <c r="Z112" s="155">
        <f ca="1"/>
        <v>9.0141690251233086E-3</v>
      </c>
      <c r="AA112" s="155">
        <f ca="1"/>
        <v>1.9107636730398059E-2</v>
      </c>
      <c r="AB112" s="155">
        <f ca="1"/>
        <v>0</v>
      </c>
      <c r="AC112" s="155">
        <f ca="1"/>
        <v>4.8078288559409432E-2</v>
      </c>
      <c r="AD112" s="155">
        <f ca="1"/>
        <v>8.2775000480753369E-2</v>
      </c>
      <c r="AE112" s="138">
        <f ca="1"/>
        <v>0.14155613890682173</v>
      </c>
      <c r="AH112" s="135"/>
      <c r="AI112" s="455"/>
      <c r="AJ112" s="135"/>
      <c r="AK112" s="135"/>
      <c r="AM112" s="135"/>
      <c r="AN112" s="135"/>
      <c r="AO112" s="135"/>
      <c r="AQ112" s="135"/>
      <c r="AR112" s="135"/>
      <c r="AS112" s="135"/>
      <c r="AT112" s="135"/>
      <c r="AV112" s="135"/>
      <c r="AW112" s="135"/>
      <c r="AX112" s="135"/>
    </row>
    <row r="113" spans="1:50" s="79" customFormat="1" ht="11.25">
      <c r="A113" s="96">
        <f t="shared" ca="1" si="3"/>
        <v>102</v>
      </c>
      <c r="B113" s="68" t="s">
        <v>190</v>
      </c>
      <c r="C113" s="97">
        <v>0.4</v>
      </c>
      <c r="D113" s="69" t="s">
        <v>66</v>
      </c>
      <c r="E113" s="136" t="s">
        <v>87</v>
      </c>
      <c r="F113" s="154">
        <v>1.1999999999999999E-3</v>
      </c>
      <c r="G113" s="154">
        <v>1.6999999999999999E-3</v>
      </c>
      <c r="H113" s="154">
        <v>3.0999999999999999E-3</v>
      </c>
      <c r="I113" s="154">
        <v>4.1000000000000003E-3</v>
      </c>
      <c r="J113" s="154" t="s">
        <v>87</v>
      </c>
      <c r="K113" s="154">
        <v>5.1000000000000004E-3</v>
      </c>
      <c r="L113" s="154">
        <v>6.1000000000000004E-3</v>
      </c>
      <c r="M113" s="154">
        <v>7.7000000000000002E-3</v>
      </c>
      <c r="N113" s="137" cm="1">
        <f t="array" aca="1" ref="N113:AE113" ca="1">IF(OR(B113="",NOT($J$2)),"",GetStripDefaultProbability(A113,B113,Parameter_Date,CDSRollDate,E113:M113,SpreadCurveMaturities,D113,C113,$J$4,$J$6))</f>
        <v>0</v>
      </c>
      <c r="O113" s="155">
        <f ca="1"/>
        <v>1.1157686840057579E-3</v>
      </c>
      <c r="P113" s="155">
        <f ca="1"/>
        <v>3.0185630785608542E-3</v>
      </c>
      <c r="Q113" s="155">
        <f ca="1"/>
        <v>1.0755048081746765E-2</v>
      </c>
      <c r="R113" s="155">
        <f ca="1"/>
        <v>2.1141838966472148E-2</v>
      </c>
      <c r="S113" s="155">
        <f ca="1"/>
        <v>0</v>
      </c>
      <c r="T113" s="155">
        <f ca="1"/>
        <v>4.3005980900058138E-2</v>
      </c>
      <c r="U113" s="155">
        <f ca="1"/>
        <v>7.124188778911722E-2</v>
      </c>
      <c r="V113" s="138">
        <f ca="1"/>
        <v>0.12598639923518096</v>
      </c>
      <c r="W113" s="137">
        <f ca="1"/>
        <v>0</v>
      </c>
      <c r="X113" s="155">
        <f ca="1"/>
        <v>1.2086910806557993E-3</v>
      </c>
      <c r="Y113" s="155">
        <f ca="1"/>
        <v>3.1847128051830653E-3</v>
      </c>
      <c r="Z113" s="155">
        <f ca="1"/>
        <v>1.1084741447099256E-2</v>
      </c>
      <c r="AA113" s="155">
        <f ca="1"/>
        <v>2.1631145710109045E-2</v>
      </c>
      <c r="AB113" s="155">
        <f ca="1"/>
        <v>0</v>
      </c>
      <c r="AC113" s="155">
        <f ca="1"/>
        <v>4.3823263545011204E-2</v>
      </c>
      <c r="AD113" s="155">
        <f ca="1"/>
        <v>7.23545862432321E-2</v>
      </c>
      <c r="AE113" s="138">
        <f ca="1"/>
        <v>0.12750826172717111</v>
      </c>
      <c r="AH113" s="135"/>
      <c r="AI113" s="455"/>
      <c r="AJ113" s="135"/>
      <c r="AK113" s="135"/>
      <c r="AM113" s="135"/>
      <c r="AN113" s="135"/>
      <c r="AO113" s="135"/>
      <c r="AQ113" s="135"/>
      <c r="AR113" s="135"/>
      <c r="AS113" s="135"/>
      <c r="AT113" s="135"/>
      <c r="AV113" s="135"/>
      <c r="AW113" s="135"/>
      <c r="AX113" s="135"/>
    </row>
    <row r="114" spans="1:50" s="79" customFormat="1" ht="11.25">
      <c r="A114" s="96">
        <f t="shared" ca="1" si="3"/>
        <v>103</v>
      </c>
      <c r="B114" s="68" t="s">
        <v>191</v>
      </c>
      <c r="C114" s="97">
        <v>0.4</v>
      </c>
      <c r="D114" s="69" t="s">
        <v>66</v>
      </c>
      <c r="E114" s="136" t="s">
        <v>87</v>
      </c>
      <c r="F114" s="154">
        <v>1.8E-3</v>
      </c>
      <c r="G114" s="154">
        <v>2.0999999999999999E-3</v>
      </c>
      <c r="H114" s="154">
        <v>2.3E-3</v>
      </c>
      <c r="I114" s="154">
        <v>2.7000000000000001E-3</v>
      </c>
      <c r="J114" s="154" t="s">
        <v>87</v>
      </c>
      <c r="K114" s="154">
        <v>3.8E-3</v>
      </c>
      <c r="L114" s="154">
        <v>4.5999999999999999E-3</v>
      </c>
      <c r="M114" s="154">
        <v>5.7000000000000002E-3</v>
      </c>
      <c r="N114" s="137" cm="1">
        <f t="array" aca="1" ref="N114:AE114" ca="1">IF(OR(B114="",NOT($J$2)),"",GetStripDefaultProbability(A114,B114,Parameter_Date,CDSRollDate,E114:M114,SpreadCurveMaturities,D114,C114,$J$4,$J$6))</f>
        <v>0</v>
      </c>
      <c r="O114" s="155">
        <f ca="1"/>
        <v>1.6731862012576704E-3</v>
      </c>
      <c r="P114" s="155">
        <f ca="1"/>
        <v>3.721911016653312E-3</v>
      </c>
      <c r="Q114" s="155">
        <f ca="1"/>
        <v>7.9344648681387575E-3</v>
      </c>
      <c r="R114" s="155">
        <f ca="1"/>
        <v>1.3870748817895406E-2</v>
      </c>
      <c r="S114" s="155">
        <f ca="1"/>
        <v>0</v>
      </c>
      <c r="T114" s="155">
        <f ca="1"/>
        <v>3.2114495350618277E-2</v>
      </c>
      <c r="U114" s="155">
        <f ca="1"/>
        <v>5.4052985098023143E-2</v>
      </c>
      <c r="V114" s="138">
        <f ca="1"/>
        <v>9.4410763167405598E-2</v>
      </c>
      <c r="W114" s="137">
        <f ca="1"/>
        <v>0</v>
      </c>
      <c r="X114" s="155">
        <f ca="1"/>
        <v>1.76605409602415E-3</v>
      </c>
      <c r="Y114" s="155">
        <f ca="1"/>
        <v>3.8879435283871722E-3</v>
      </c>
      <c r="Z114" s="155">
        <f ca="1"/>
        <v>8.2650982712075827E-3</v>
      </c>
      <c r="AA114" s="155">
        <f ca="1"/>
        <v>1.4363690197854884E-2</v>
      </c>
      <c r="AB114" s="155">
        <f ca="1"/>
        <v>0</v>
      </c>
      <c r="AC114" s="155">
        <f ca="1"/>
        <v>3.2941199273584965E-2</v>
      </c>
      <c r="AD114" s="155">
        <f ca="1"/>
        <v>5.5186523851309066E-2</v>
      </c>
      <c r="AE114" s="138">
        <f ca="1"/>
        <v>9.5965898694879259E-2</v>
      </c>
      <c r="AH114" s="135"/>
      <c r="AI114" s="455"/>
      <c r="AJ114" s="135"/>
      <c r="AK114" s="135"/>
      <c r="AM114" s="135"/>
      <c r="AN114" s="135"/>
      <c r="AO114" s="135"/>
      <c r="AQ114" s="135"/>
      <c r="AR114" s="135"/>
      <c r="AS114" s="135"/>
      <c r="AT114" s="135"/>
      <c r="AV114" s="135"/>
      <c r="AW114" s="135"/>
      <c r="AX114" s="135"/>
    </row>
    <row r="115" spans="1:50" s="79" customFormat="1" ht="11.25">
      <c r="A115" s="96">
        <f t="shared" ca="1" si="3"/>
        <v>104</v>
      </c>
      <c r="B115" s="68" t="s">
        <v>192</v>
      </c>
      <c r="C115" s="97">
        <v>0.4</v>
      </c>
      <c r="D115" s="69" t="s">
        <v>66</v>
      </c>
      <c r="E115" s="136" t="s">
        <v>87</v>
      </c>
      <c r="F115" s="154">
        <v>5.9999999999999995E-4</v>
      </c>
      <c r="G115" s="154">
        <v>8.0000000000000004E-4</v>
      </c>
      <c r="H115" s="154">
        <v>1.4E-3</v>
      </c>
      <c r="I115" s="154">
        <v>1.9E-3</v>
      </c>
      <c r="J115" s="154" t="s">
        <v>87</v>
      </c>
      <c r="K115" s="154">
        <v>3.0000000000000001E-3</v>
      </c>
      <c r="L115" s="154">
        <v>3.7000000000000002E-3</v>
      </c>
      <c r="M115" s="154">
        <v>4.8999999999999998E-3</v>
      </c>
      <c r="N115" s="137" cm="1">
        <f t="array" aca="1" ref="N115:AE115" ca="1">IF(OR(B115="",NOT($J$2)),"",GetStripDefaultProbability(A115,B115,Parameter_Date,CDSRollDate,E115:M115,SpreadCurveMaturities,D115,C115,$J$4,$J$6))</f>
        <v>0</v>
      </c>
      <c r="O115" s="155">
        <f ca="1"/>
        <v>5.5804003710946404E-4</v>
      </c>
      <c r="P115" s="155">
        <f ca="1"/>
        <v>1.4208535207560491E-3</v>
      </c>
      <c r="Q115" s="155">
        <f ca="1"/>
        <v>4.8653760104611088E-3</v>
      </c>
      <c r="R115" s="155">
        <f ca="1"/>
        <v>9.8413728078454721E-3</v>
      </c>
      <c r="S115" s="155">
        <f ca="1"/>
        <v>0</v>
      </c>
      <c r="T115" s="155">
        <f ca="1"/>
        <v>2.5505781646104841E-2</v>
      </c>
      <c r="U115" s="155">
        <f ca="1"/>
        <v>4.3768864922429151E-2</v>
      </c>
      <c r="V115" s="138">
        <f ca="1"/>
        <v>8.1823635736264611E-2</v>
      </c>
      <c r="W115" s="137">
        <f ca="1"/>
        <v>0</v>
      </c>
      <c r="X115" s="155">
        <f ca="1"/>
        <v>6.5101587709581743E-4</v>
      </c>
      <c r="Y115" s="155">
        <f ca="1"/>
        <v>1.5872695101263323E-3</v>
      </c>
      <c r="Z115" s="155">
        <f ca="1"/>
        <v>5.1970322726690998E-3</v>
      </c>
      <c r="AA115" s="155">
        <f ca="1"/>
        <v>1.0336328372246295E-2</v>
      </c>
      <c r="AB115" s="155">
        <f ca="1"/>
        <v>0</v>
      </c>
      <c r="AC115" s="155">
        <f ca="1"/>
        <v>2.6338788966699611E-2</v>
      </c>
      <c r="AD115" s="155">
        <f ca="1"/>
        <v>4.4915225455437913E-2</v>
      </c>
      <c r="AE115" s="138">
        <f ca="1"/>
        <v>8.3402981681882538E-2</v>
      </c>
      <c r="AH115" s="135"/>
      <c r="AI115" s="135"/>
      <c r="AJ115" s="135"/>
      <c r="AK115" s="135"/>
      <c r="AM115" s="135"/>
      <c r="AN115" s="135"/>
      <c r="AO115" s="135"/>
      <c r="AQ115" s="135"/>
      <c r="AR115" s="135"/>
      <c r="AS115" s="135"/>
      <c r="AT115" s="135"/>
      <c r="AV115" s="135"/>
      <c r="AW115" s="135"/>
      <c r="AX115" s="135"/>
    </row>
    <row r="116" spans="1:50" s="79" customFormat="1" ht="11.25">
      <c r="A116" s="96">
        <f t="shared" ca="1" si="3"/>
        <v>105</v>
      </c>
      <c r="B116" s="68" t="s">
        <v>193</v>
      </c>
      <c r="C116" s="97">
        <v>0.4</v>
      </c>
      <c r="D116" s="69" t="s">
        <v>66</v>
      </c>
      <c r="E116" s="136" t="s">
        <v>87</v>
      </c>
      <c r="F116" s="154">
        <v>8.9999999999999998E-4</v>
      </c>
      <c r="G116" s="154">
        <v>1E-3</v>
      </c>
      <c r="H116" s="154">
        <v>1.8E-3</v>
      </c>
      <c r="I116" s="154">
        <v>2.0999999999999999E-3</v>
      </c>
      <c r="J116" s="154" t="s">
        <v>87</v>
      </c>
      <c r="K116" s="154">
        <v>3.3E-3</v>
      </c>
      <c r="L116" s="154">
        <v>4.1000000000000003E-3</v>
      </c>
      <c r="M116" s="154">
        <v>5.1999999999999998E-3</v>
      </c>
      <c r="N116" s="137" cm="1">
        <f t="array" aca="1" ref="N116:AE116" ca="1">IF(OR(B116="",NOT($J$2)),"",GetStripDefaultProbability(A116,B116,Parameter_Date,CDSRollDate,E116:M116,SpreadCurveMaturities,D116,C116,$J$4,$J$6))</f>
        <v>0</v>
      </c>
      <c r="O116" s="155">
        <f ca="1"/>
        <v>8.3694326804184538E-4</v>
      </c>
      <c r="P116" s="155">
        <f ca="1"/>
        <v>1.7731960000901825E-3</v>
      </c>
      <c r="Q116" s="155">
        <f ca="1"/>
        <v>6.2511154853329698E-3</v>
      </c>
      <c r="R116" s="155">
        <f ca="1"/>
        <v>1.0838130104612209E-2</v>
      </c>
      <c r="S116" s="155">
        <f ca="1"/>
        <v>0</v>
      </c>
      <c r="T116" s="155">
        <f ca="1"/>
        <v>2.7993327770734822E-2</v>
      </c>
      <c r="U116" s="155">
        <f ca="1"/>
        <v>4.8384877022375483E-2</v>
      </c>
      <c r="V116" s="138">
        <f ca="1"/>
        <v>8.6562592909609104E-2</v>
      </c>
      <c r="W116" s="137">
        <f ca="1"/>
        <v>0</v>
      </c>
      <c r="X116" s="155">
        <f ca="1"/>
        <v>9.2989251347452839E-4</v>
      </c>
      <c r="Y116" s="155">
        <f ca="1"/>
        <v>1.939553270604355E-3</v>
      </c>
      <c r="Z116" s="155">
        <f ca="1"/>
        <v>6.5823099113677674E-3</v>
      </c>
      <c r="AA116" s="155">
        <f ca="1"/>
        <v>1.1332587414947248E-2</v>
      </c>
      <c r="AB116" s="155">
        <f ca="1"/>
        <v>0</v>
      </c>
      <c r="AC116" s="155">
        <f ca="1"/>
        <v>2.8824060018500353E-2</v>
      </c>
      <c r="AD116" s="155">
        <f ca="1"/>
        <v>4.9525878595686357E-2</v>
      </c>
      <c r="AE116" s="138">
        <f ca="1"/>
        <v>8.8133170149329976E-2</v>
      </c>
      <c r="AH116" s="135"/>
      <c r="AI116" s="135"/>
      <c r="AJ116" s="135"/>
      <c r="AK116" s="135"/>
      <c r="AM116" s="135"/>
      <c r="AN116" s="135"/>
      <c r="AO116" s="135"/>
      <c r="AQ116" s="135"/>
      <c r="AR116" s="135"/>
      <c r="AS116" s="135"/>
      <c r="AT116" s="135"/>
      <c r="AV116" s="135"/>
      <c r="AW116" s="135"/>
      <c r="AX116" s="135"/>
    </row>
    <row r="117" spans="1:50" s="79" customFormat="1" ht="11.25">
      <c r="A117" s="96">
        <f t="shared" ca="1" si="3"/>
        <v>106</v>
      </c>
      <c r="B117" s="68" t="s">
        <v>194</v>
      </c>
      <c r="C117" s="97">
        <v>0.4</v>
      </c>
      <c r="D117" s="69" t="s">
        <v>66</v>
      </c>
      <c r="E117" s="136" t="s">
        <v>87</v>
      </c>
      <c r="F117" s="154">
        <v>5.0000000000000001E-4</v>
      </c>
      <c r="G117" s="154">
        <v>6.9999999999999999E-4</v>
      </c>
      <c r="H117" s="154">
        <v>1.1999999999999999E-3</v>
      </c>
      <c r="I117" s="154">
        <v>1.8E-3</v>
      </c>
      <c r="J117" s="154" t="s">
        <v>87</v>
      </c>
      <c r="K117" s="154">
        <v>2.8999999999999998E-3</v>
      </c>
      <c r="L117" s="154">
        <v>3.5000000000000001E-3</v>
      </c>
      <c r="M117" s="154">
        <v>4.7000000000000002E-3</v>
      </c>
      <c r="N117" s="137" cm="1">
        <f t="array" aca="1" ref="N117:AE117" ca="1">IF(OR(B117="",NOT($J$2)),"",GetStripDefaultProbability(A117,B117,Parameter_Date,CDSRollDate,E117:M117,SpreadCurveMaturities,D117,C117,$J$4,$J$6))</f>
        <v>0</v>
      </c>
      <c r="O117" s="155">
        <f ca="1"/>
        <v>4.6505499562699004E-4</v>
      </c>
      <c r="P117" s="155">
        <f ca="1"/>
        <v>1.2437694058637927E-3</v>
      </c>
      <c r="Q117" s="155">
        <f ca="1"/>
        <v>4.1710758751135613E-3</v>
      </c>
      <c r="R117" s="155">
        <f ca="1"/>
        <v>9.3415271054972937E-3</v>
      </c>
      <c r="S117" s="155">
        <f ca="1"/>
        <v>0</v>
      </c>
      <c r="T117" s="155">
        <f ca="1"/>
        <v>2.4681842015127464E-2</v>
      </c>
      <c r="U117" s="155">
        <f ca="1"/>
        <v>4.1438807201581329E-2</v>
      </c>
      <c r="V117" s="138">
        <f ca="1"/>
        <v>7.8599327188256574E-2</v>
      </c>
      <c r="W117" s="137">
        <f ca="1"/>
        <v>0</v>
      </c>
      <c r="X117" s="155">
        <f ca="1"/>
        <v>5.5803964578249321E-4</v>
      </c>
      <c r="Y117" s="155">
        <f ca="1"/>
        <v>1.4102149067779512E-3</v>
      </c>
      <c r="Z117" s="155">
        <f ca="1"/>
        <v>4.502963532121762E-3</v>
      </c>
      <c r="AA117" s="155">
        <f ca="1"/>
        <v>9.8367325302717301E-3</v>
      </c>
      <c r="AB117" s="155">
        <f ca="1"/>
        <v>0</v>
      </c>
      <c r="AC117" s="155">
        <f ca="1"/>
        <v>2.5515661201711559E-2</v>
      </c>
      <c r="AD117" s="155">
        <f ca="1"/>
        <v>4.2587775892336088E-2</v>
      </c>
      <c r="AE117" s="138">
        <f ca="1"/>
        <v>8.0184368967056607E-2</v>
      </c>
      <c r="AH117" s="135"/>
      <c r="AI117" s="135"/>
      <c r="AJ117" s="135"/>
      <c r="AK117" s="135"/>
      <c r="AM117" s="135"/>
      <c r="AN117" s="135"/>
      <c r="AO117" s="135"/>
      <c r="AQ117" s="135"/>
      <c r="AR117" s="135"/>
      <c r="AS117" s="135"/>
      <c r="AT117" s="135"/>
      <c r="AV117" s="135"/>
      <c r="AW117" s="135"/>
      <c r="AX117" s="135"/>
    </row>
    <row r="118" spans="1:50" s="79" customFormat="1" ht="11.25">
      <c r="A118" s="96">
        <f t="shared" ca="1" si="3"/>
        <v>107</v>
      </c>
      <c r="B118" s="68" t="s">
        <v>195</v>
      </c>
      <c r="C118" s="97">
        <v>0.4</v>
      </c>
      <c r="D118" s="69" t="s">
        <v>66</v>
      </c>
      <c r="E118" s="136" t="s">
        <v>87</v>
      </c>
      <c r="F118" s="154">
        <v>2.0000000000000001E-4</v>
      </c>
      <c r="G118" s="154">
        <v>5.0000000000000001E-4</v>
      </c>
      <c r="H118" s="154">
        <v>1E-3</v>
      </c>
      <c r="I118" s="154">
        <v>1.5E-3</v>
      </c>
      <c r="J118" s="154" t="s">
        <v>87</v>
      </c>
      <c r="K118" s="154">
        <v>2.3E-3</v>
      </c>
      <c r="L118" s="154">
        <v>2.8E-3</v>
      </c>
      <c r="M118" s="154">
        <v>3.5000000000000001E-3</v>
      </c>
      <c r="N118" s="137" cm="1">
        <f t="array" aca="1" ref="N118:AE118" ca="1">IF(OR(B118="",NOT($J$2)),"",GetStripDefaultProbability(A118,B118,Parameter_Date,CDSRollDate,E118:M118,SpreadCurveMaturities,D118,C118,$J$4,$J$6))</f>
        <v>0</v>
      </c>
      <c r="O118" s="155">
        <f ca="1"/>
        <v>1.8604796070598173E-4</v>
      </c>
      <c r="P118" s="155">
        <f ca="1"/>
        <v>8.9119795580616668E-4</v>
      </c>
      <c r="Q118" s="155">
        <f ca="1"/>
        <v>3.4839620411752925E-3</v>
      </c>
      <c r="R118" s="155">
        <f ca="1"/>
        <v>7.7961503471412064E-3</v>
      </c>
      <c r="S118" s="155">
        <f ca="1"/>
        <v>0</v>
      </c>
      <c r="T118" s="155">
        <f ca="1"/>
        <v>1.9616247759509764E-2</v>
      </c>
      <c r="U118" s="155">
        <f ca="1"/>
        <v>3.3265651395687046E-2</v>
      </c>
      <c r="V118" s="138">
        <f ca="1"/>
        <v>5.8911050259625619E-2</v>
      </c>
      <c r="W118" s="137">
        <f ca="1"/>
        <v>0</v>
      </c>
      <c r="X118" s="155">
        <f ca="1"/>
        <v>2.7905888266266388E-4</v>
      </c>
      <c r="Y118" s="155">
        <f ca="1"/>
        <v>1.057702213748013E-3</v>
      </c>
      <c r="Z118" s="155">
        <f ca="1"/>
        <v>3.816078697969183E-3</v>
      </c>
      <c r="AA118" s="155">
        <f ca="1"/>
        <v>8.2921282671378771E-3</v>
      </c>
      <c r="AB118" s="155">
        <f ca="1"/>
        <v>0</v>
      </c>
      <c r="AC118" s="155">
        <f ca="1"/>
        <v>2.0454089880323267E-2</v>
      </c>
      <c r="AD118" s="155">
        <f ca="1"/>
        <v>3.4423579828883555E-2</v>
      </c>
      <c r="AE118" s="138">
        <f ca="1"/>
        <v>6.0529159034831026E-2</v>
      </c>
      <c r="AH118" s="135"/>
      <c r="AI118" s="135"/>
      <c r="AJ118" s="135"/>
      <c r="AK118" s="135"/>
      <c r="AM118" s="135"/>
      <c r="AN118" s="135"/>
      <c r="AO118" s="135"/>
      <c r="AQ118" s="135"/>
      <c r="AR118" s="135"/>
      <c r="AS118" s="135"/>
      <c r="AT118" s="135"/>
      <c r="AV118" s="135"/>
      <c r="AW118" s="135"/>
      <c r="AX118" s="135"/>
    </row>
    <row r="119" spans="1:50" s="79" customFormat="1" ht="11.25">
      <c r="A119" s="96">
        <f t="shared" ca="1" si="3"/>
        <v>108</v>
      </c>
      <c r="B119" s="68" t="s">
        <v>196</v>
      </c>
      <c r="C119" s="97">
        <v>0.4</v>
      </c>
      <c r="D119" s="69" t="s">
        <v>66</v>
      </c>
      <c r="E119" s="136" t="s">
        <v>87</v>
      </c>
      <c r="F119" s="154">
        <v>5.9999999999999995E-4</v>
      </c>
      <c r="G119" s="154">
        <v>8.9999999999999998E-4</v>
      </c>
      <c r="H119" s="154">
        <v>1.6999999999999999E-3</v>
      </c>
      <c r="I119" s="154">
        <v>2.3999999999999998E-3</v>
      </c>
      <c r="J119" s="154" t="s">
        <v>87</v>
      </c>
      <c r="K119" s="154">
        <v>3.8E-3</v>
      </c>
      <c r="L119" s="154">
        <v>4.8999999999999998E-3</v>
      </c>
      <c r="M119" s="154">
        <v>6.4000000000000003E-3</v>
      </c>
      <c r="N119" s="137" cm="1">
        <f t="array" aca="1" ref="N119:AE119" ca="1">IF(OR(B119="",NOT($J$2)),"",GetStripDefaultProbability(A119,B119,Parameter_Date,CDSRollDate,E119:M119,SpreadCurveMaturities,D119,C119,$J$4,$J$6))</f>
        <v>0</v>
      </c>
      <c r="O119" s="155">
        <f ca="1"/>
        <v>5.5804003710946404E-4</v>
      </c>
      <c r="P119" s="155">
        <f ca="1"/>
        <v>1.599629745781761E-3</v>
      </c>
      <c r="Q119" s="155">
        <f ca="1"/>
        <v>5.9109561402828081E-3</v>
      </c>
      <c r="R119" s="155">
        <f ca="1"/>
        <v>1.2434174936455267E-2</v>
      </c>
      <c r="S119" s="155">
        <f ca="1"/>
        <v>0</v>
      </c>
      <c r="T119" s="155">
        <f ca="1"/>
        <v>3.2244950084620583E-2</v>
      </c>
      <c r="U119" s="155">
        <f ca="1"/>
        <v>5.774069698434614E-2</v>
      </c>
      <c r="V119" s="138">
        <f ca="1"/>
        <v>0.10592548627733267</v>
      </c>
      <c r="W119" s="137">
        <f ca="1"/>
        <v>0</v>
      </c>
      <c r="X119" s="155">
        <f ca="1"/>
        <v>6.5101587709581743E-4</v>
      </c>
      <c r="Y119" s="155">
        <f ca="1"/>
        <v>1.7660159415965326E-3</v>
      </c>
      <c r="Z119" s="155">
        <f ca="1"/>
        <v>6.2422639338595154E-3</v>
      </c>
      <c r="AA119" s="155">
        <f ca="1"/>
        <v>1.2927834423847595E-2</v>
      </c>
      <c r="AB119" s="155">
        <f ca="1"/>
        <v>0</v>
      </c>
      <c r="AC119" s="155">
        <f ca="1"/>
        <v>3.3072362075695971E-2</v>
      </c>
      <c r="AD119" s="155">
        <f ca="1"/>
        <v>5.8871501391891901E-2</v>
      </c>
      <c r="AE119" s="138">
        <f ca="1"/>
        <v>0.10748132994467763</v>
      </c>
      <c r="AH119" s="135"/>
      <c r="AI119" s="135"/>
      <c r="AJ119" s="135"/>
      <c r="AK119" s="135"/>
      <c r="AM119" s="135"/>
      <c r="AN119" s="135"/>
      <c r="AO119" s="135"/>
      <c r="AQ119" s="135"/>
      <c r="AR119" s="135"/>
      <c r="AS119" s="135"/>
      <c r="AT119" s="135"/>
      <c r="AV119" s="135"/>
      <c r="AW119" s="135"/>
      <c r="AX119" s="135"/>
    </row>
    <row r="120" spans="1:50" s="79" customFormat="1" ht="11.25">
      <c r="A120" s="96">
        <f t="shared" ca="1" si="3"/>
        <v>109</v>
      </c>
      <c r="B120" s="68" t="s">
        <v>197</v>
      </c>
      <c r="C120" s="97">
        <v>0.4</v>
      </c>
      <c r="D120" s="69" t="s">
        <v>66</v>
      </c>
      <c r="E120" s="136" t="s">
        <v>87</v>
      </c>
      <c r="F120" s="154">
        <v>1.14E-3</v>
      </c>
      <c r="G120" s="154">
        <v>1.64E-3</v>
      </c>
      <c r="H120" s="154">
        <v>2.3600000000000001E-3</v>
      </c>
      <c r="I120" s="154">
        <v>2.9199999999999999E-3</v>
      </c>
      <c r="J120" s="154" t="s">
        <v>87</v>
      </c>
      <c r="K120" s="154">
        <v>4.0000000000000001E-3</v>
      </c>
      <c r="L120" s="154">
        <v>4.4000000000000003E-3</v>
      </c>
      <c r="M120" s="154">
        <v>4.7000000000000002E-3</v>
      </c>
      <c r="N120" s="137" cm="1">
        <f t="array" aca="1" ref="N120:AE120" ca="1">IF(OR(B120="",NOT($J$2)),"",GetStripDefaultProbability(A120,B120,Parameter_Date,CDSRollDate,E120:M120,SpreadCurveMaturities,D120,C120,$J$4,$J$6))</f>
        <v>0</v>
      </c>
      <c r="O120" s="155">
        <f ca="1"/>
        <v>1.0600098244549772E-3</v>
      </c>
      <c r="P120" s="155">
        <f ca="1"/>
        <v>2.9124713149857318E-3</v>
      </c>
      <c r="Q120" s="155">
        <f ca="1"/>
        <v>8.1761880313130364E-3</v>
      </c>
      <c r="R120" s="155">
        <f ca="1"/>
        <v>1.5050503611891197E-2</v>
      </c>
      <c r="S120" s="155">
        <f ca="1"/>
        <v>0</v>
      </c>
      <c r="T120" s="155">
        <f ca="1"/>
        <v>3.3833651021118905E-2</v>
      </c>
      <c r="U120" s="155">
        <f ca="1"/>
        <v>5.1659318567135681E-2</v>
      </c>
      <c r="V120" s="138">
        <f ca="1"/>
        <v>7.7989577767138663E-2</v>
      </c>
      <c r="W120" s="137">
        <f ca="1"/>
        <v>0</v>
      </c>
      <c r="X120" s="155">
        <f ca="1"/>
        <v>1.1529376116886647E-3</v>
      </c>
      <c r="Y120" s="155">
        <f ca="1"/>
        <v>3.0786387220990141E-3</v>
      </c>
      <c r="Z120" s="155">
        <f ca="1"/>
        <v>8.5067408734251782E-3</v>
      </c>
      <c r="AA120" s="155">
        <f ca="1"/>
        <v>1.5542855261927002E-2</v>
      </c>
      <c r="AB120" s="155">
        <f ca="1"/>
        <v>0</v>
      </c>
      <c r="AC120" s="155">
        <f ca="1"/>
        <v>3.4659062031296317E-2</v>
      </c>
      <c r="AD120" s="155">
        <f ca="1"/>
        <v>5.279488332411586E-2</v>
      </c>
      <c r="AE120" s="138">
        <f ca="1"/>
        <v>7.957084807560455E-2</v>
      </c>
      <c r="AH120" s="135"/>
      <c r="AI120" s="135"/>
      <c r="AJ120" s="135"/>
      <c r="AK120" s="135"/>
      <c r="AM120" s="135"/>
      <c r="AN120" s="135"/>
      <c r="AO120" s="135"/>
      <c r="AQ120" s="135"/>
      <c r="AR120" s="135"/>
      <c r="AS120" s="135"/>
      <c r="AT120" s="135"/>
      <c r="AV120" s="135"/>
      <c r="AW120" s="135"/>
      <c r="AX120" s="135"/>
    </row>
    <row r="121" spans="1:50" s="79" customFormat="1" ht="11.25">
      <c r="A121" s="96">
        <f t="shared" ca="1" si="3"/>
        <v>110</v>
      </c>
      <c r="B121" s="68" t="s">
        <v>198</v>
      </c>
      <c r="C121" s="97">
        <v>0.4</v>
      </c>
      <c r="D121" s="69" t="s">
        <v>66</v>
      </c>
      <c r="E121" s="136" t="s">
        <v>87</v>
      </c>
      <c r="F121" s="154">
        <v>1.15E-3</v>
      </c>
      <c r="G121" s="154">
        <v>1.81E-3</v>
      </c>
      <c r="H121" s="154">
        <v>2.8E-3</v>
      </c>
      <c r="I121" s="154">
        <v>3.5000000000000001E-3</v>
      </c>
      <c r="J121" s="154" t="s">
        <v>87</v>
      </c>
      <c r="K121" s="154">
        <v>4.5999999999999999E-3</v>
      </c>
      <c r="L121" s="154">
        <v>5.1999999999999998E-3</v>
      </c>
      <c r="M121" s="154">
        <v>5.7000000000000002E-3</v>
      </c>
      <c r="N121" s="137" cm="1">
        <f t="array" aca="1" ref="N121:AE121" ca="1">IF(OR(B121="",NOT($J$2)),"",GetStripDefaultProbability(A121,B121,Parameter_Date,CDSRollDate,E121:M121,SpreadCurveMaturities,D121,C121,$J$4,$J$6))</f>
        <v>0</v>
      </c>
      <c r="O121" s="155">
        <f ca="1"/>
        <v>1.0693031837868405E-3</v>
      </c>
      <c r="P121" s="155">
        <f ca="1"/>
        <v>3.2159117106301816E-3</v>
      </c>
      <c r="Q121" s="155">
        <f ca="1"/>
        <v>9.7044457131680861E-3</v>
      </c>
      <c r="R121" s="155">
        <f ca="1"/>
        <v>1.8032917170507035E-2</v>
      </c>
      <c r="S121" s="155">
        <f ca="1"/>
        <v>0</v>
      </c>
      <c r="T121" s="155">
        <f ca="1"/>
        <v>3.8833654047241262E-2</v>
      </c>
      <c r="U121" s="155">
        <f ca="1"/>
        <v>6.0865409669501935E-2</v>
      </c>
      <c r="V121" s="138">
        <f ca="1"/>
        <v>9.4018655382655525E-2</v>
      </c>
      <c r="W121" s="137">
        <f ca="1"/>
        <v>0</v>
      </c>
      <c r="X121" s="155">
        <f ca="1"/>
        <v>1.1622300733186153E-3</v>
      </c>
      <c r="Y121" s="155">
        <f ca="1"/>
        <v>3.3820285485609558E-3</v>
      </c>
      <c r="Z121" s="155">
        <f ca="1"/>
        <v>1.0034489220950848E-2</v>
      </c>
      <c r="AA121" s="155">
        <f ca="1"/>
        <v>1.8523777986476642E-2</v>
      </c>
      <c r="AB121" s="155">
        <f ca="1"/>
        <v>0</v>
      </c>
      <c r="AC121" s="155">
        <f ca="1"/>
        <v>3.9654613654276916E-2</v>
      </c>
      <c r="AD121" s="155">
        <f ca="1"/>
        <v>6.1990291108670936E-2</v>
      </c>
      <c r="AE121" s="138">
        <f ca="1"/>
        <v>9.5572318519983601E-2</v>
      </c>
      <c r="AH121" s="135"/>
      <c r="AI121" s="135"/>
      <c r="AJ121" s="135"/>
      <c r="AK121" s="135"/>
      <c r="AM121" s="135"/>
      <c r="AN121" s="135"/>
      <c r="AO121" s="135"/>
      <c r="AQ121" s="135"/>
      <c r="AR121" s="135"/>
      <c r="AS121" s="135"/>
      <c r="AT121" s="135"/>
      <c r="AV121" s="135"/>
      <c r="AW121" s="135"/>
      <c r="AX121" s="135"/>
    </row>
    <row r="122" spans="1:50" s="79" customFormat="1" ht="11.25">
      <c r="A122" s="96">
        <f t="shared" ca="1" si="3"/>
        <v>111</v>
      </c>
      <c r="B122" s="68" t="s">
        <v>199</v>
      </c>
      <c r="C122" s="97">
        <v>0.4</v>
      </c>
      <c r="D122" s="69" t="s">
        <v>66</v>
      </c>
      <c r="E122" s="136" t="s">
        <v>87</v>
      </c>
      <c r="F122" s="154">
        <v>2.9999999999999997E-4</v>
      </c>
      <c r="G122" s="154">
        <v>2.9999999999999997E-4</v>
      </c>
      <c r="H122" s="154">
        <v>6.9999999999999999E-4</v>
      </c>
      <c r="I122" s="154">
        <v>1E-3</v>
      </c>
      <c r="J122" s="154" t="s">
        <v>87</v>
      </c>
      <c r="K122" s="154">
        <v>1.6999999999999999E-3</v>
      </c>
      <c r="L122" s="154">
        <v>2.2000000000000001E-3</v>
      </c>
      <c r="M122" s="154">
        <v>2.8E-3</v>
      </c>
      <c r="N122" s="137" cm="1">
        <f t="array" aca="1" ref="N122:AE122" ca="1">IF(OR(B122="",NOT($J$2)),"",GetStripDefaultProbability(A122,B122,Parameter_Date,CDSRollDate,E122:M122,SpreadCurveMaturities,D122,C122,$J$4,$J$6))</f>
        <v>0</v>
      </c>
      <c r="O122" s="155">
        <f ca="1"/>
        <v>2.7905895862256891E-4</v>
      </c>
      <c r="P122" s="155">
        <f ca="1"/>
        <v>5.3176944581567742E-4</v>
      </c>
      <c r="Q122" s="155">
        <f ca="1"/>
        <v>2.4389372963387057E-3</v>
      </c>
      <c r="R122" s="155">
        <f ca="1"/>
        <v>5.1973101966140689E-3</v>
      </c>
      <c r="S122" s="155">
        <f ca="1"/>
        <v>0</v>
      </c>
      <c r="T122" s="155">
        <f ca="1"/>
        <v>1.4521152207478738E-2</v>
      </c>
      <c r="U122" s="155">
        <f ca="1"/>
        <v>2.6232391686175416E-2</v>
      </c>
      <c r="V122" s="138">
        <f ca="1"/>
        <v>4.7379880358825455E-2</v>
      </c>
      <c r="W122" s="137">
        <f ca="1"/>
        <v>0</v>
      </c>
      <c r="X122" s="155">
        <f ca="1"/>
        <v>3.7206114936716439E-4</v>
      </c>
      <c r="Y122" s="155">
        <f ca="1"/>
        <v>6.9833360351390095E-4</v>
      </c>
      <c r="Z122" s="155">
        <f ca="1"/>
        <v>2.7714022366824853E-3</v>
      </c>
      <c r="AA122" s="155">
        <f ca="1"/>
        <v>5.6945872119040786E-3</v>
      </c>
      <c r="AB122" s="155">
        <f ca="1"/>
        <v>0</v>
      </c>
      <c r="AC122" s="155">
        <f ca="1"/>
        <v>1.5363095638317281E-2</v>
      </c>
      <c r="AD122" s="155">
        <f ca="1"/>
        <v>2.7398462489050313E-2</v>
      </c>
      <c r="AE122" s="138">
        <f ca="1"/>
        <v>4.901771867413085E-2</v>
      </c>
      <c r="AH122" s="135"/>
      <c r="AI122" s="135"/>
      <c r="AJ122" s="135"/>
      <c r="AK122" s="135"/>
      <c r="AM122" s="135"/>
      <c r="AN122" s="135"/>
      <c r="AO122" s="135"/>
      <c r="AQ122" s="135"/>
      <c r="AR122" s="135"/>
      <c r="AS122" s="135"/>
      <c r="AT122" s="135"/>
      <c r="AV122" s="135"/>
      <c r="AW122" s="135"/>
      <c r="AX122" s="135"/>
    </row>
    <row r="123" spans="1:50" s="79" customFormat="1" ht="11.25">
      <c r="A123" s="96">
        <f t="shared" ca="1" si="3"/>
        <v>112</v>
      </c>
      <c r="B123" s="68" t="s">
        <v>200</v>
      </c>
      <c r="C123" s="97">
        <v>0.4</v>
      </c>
      <c r="D123" s="69" t="s">
        <v>66</v>
      </c>
      <c r="E123" s="136" t="s">
        <v>87</v>
      </c>
      <c r="F123" s="154">
        <v>6.9999999999999999E-4</v>
      </c>
      <c r="G123" s="154">
        <v>1.1999999999999999E-3</v>
      </c>
      <c r="H123" s="154">
        <v>1.9E-3</v>
      </c>
      <c r="I123" s="154">
        <v>2.5999999999999999E-3</v>
      </c>
      <c r="J123" s="154" t="s">
        <v>87</v>
      </c>
      <c r="K123" s="154">
        <v>3.8E-3</v>
      </c>
      <c r="L123" s="154">
        <v>4.5999999999999999E-3</v>
      </c>
      <c r="M123" s="154">
        <v>5.4999999999999997E-3</v>
      </c>
      <c r="N123" s="137" cm="1">
        <f t="array" aca="1" ref="N123:AE123" ca="1">IF(OR(B123="",NOT($J$2)),"",GetStripDefaultProbability(A123,B123,Parameter_Date,CDSRollDate,E123:M123,SpreadCurveMaturities,D123,C123,$J$4,$J$6))</f>
        <v>0</v>
      </c>
      <c r="O123" s="155">
        <f ca="1"/>
        <v>6.5101642887865907E-4</v>
      </c>
      <c r="P123" s="155">
        <f ca="1"/>
        <v>2.1341198646572801E-3</v>
      </c>
      <c r="Q123" s="155">
        <f ca="1"/>
        <v>6.5958501457518137E-3</v>
      </c>
      <c r="R123" s="155">
        <f ca="1"/>
        <v>1.3448400900793467E-2</v>
      </c>
      <c r="S123" s="155">
        <f ca="1"/>
        <v>0</v>
      </c>
      <c r="T123" s="155">
        <f ca="1"/>
        <v>3.2216636755789896E-2</v>
      </c>
      <c r="U123" s="155">
        <f ca="1"/>
        <v>5.4158852563101267E-2</v>
      </c>
      <c r="V123" s="138">
        <f ca="1"/>
        <v>9.1242794677357519E-2</v>
      </c>
      <c r="W123" s="137">
        <f ca="1"/>
        <v>0</v>
      </c>
      <c r="X123" s="155">
        <f ca="1"/>
        <v>7.4398343160742009E-4</v>
      </c>
      <c r="Y123" s="155">
        <f ca="1"/>
        <v>2.3004169862056445E-3</v>
      </c>
      <c r="Z123" s="155">
        <f ca="1"/>
        <v>6.9269296793713631E-3</v>
      </c>
      <c r="AA123" s="155">
        <f ca="1"/>
        <v>1.394155340192671E-2</v>
      </c>
      <c r="AB123" s="155">
        <f ca="1"/>
        <v>0</v>
      </c>
      <c r="AC123" s="155">
        <f ca="1"/>
        <v>3.3043824300146629E-2</v>
      </c>
      <c r="AD123" s="155">
        <f ca="1"/>
        <v>5.5292934262857085E-2</v>
      </c>
      <c r="AE123" s="138">
        <f ca="1"/>
        <v>9.2804190973836853E-2</v>
      </c>
      <c r="AH123" s="135"/>
      <c r="AI123" s="135"/>
      <c r="AJ123" s="135"/>
      <c r="AK123" s="135"/>
      <c r="AM123" s="135"/>
      <c r="AN123" s="135"/>
      <c r="AO123" s="135"/>
      <c r="AQ123" s="135"/>
      <c r="AR123" s="135"/>
      <c r="AS123" s="135"/>
      <c r="AT123" s="135"/>
      <c r="AV123" s="135"/>
      <c r="AW123" s="135"/>
      <c r="AX123" s="135"/>
    </row>
    <row r="124" spans="1:50" s="79" customFormat="1" ht="11.25">
      <c r="A124" s="96">
        <f t="shared" ca="1" si="3"/>
        <v>113</v>
      </c>
      <c r="B124" s="68" t="s">
        <v>201</v>
      </c>
      <c r="C124" s="97">
        <v>0.4</v>
      </c>
      <c r="D124" s="69" t="s">
        <v>66</v>
      </c>
      <c r="E124" s="136" t="s">
        <v>87</v>
      </c>
      <c r="F124" s="154">
        <v>5.9999999999999995E-4</v>
      </c>
      <c r="G124" s="154">
        <v>8.0000000000000004E-4</v>
      </c>
      <c r="H124" s="154">
        <v>1.4E-3</v>
      </c>
      <c r="I124" s="154">
        <v>2E-3</v>
      </c>
      <c r="J124" s="154" t="s">
        <v>87</v>
      </c>
      <c r="K124" s="154">
        <v>3.0999999999999999E-3</v>
      </c>
      <c r="L124" s="154">
        <v>3.8999999999999998E-3</v>
      </c>
      <c r="M124" s="154">
        <v>4.7000000000000002E-3</v>
      </c>
      <c r="N124" s="137" cm="1">
        <f t="array" aca="1" ref="N124:AE124" ca="1">IF(OR(B124="",NOT($J$2)),"",GetStripDefaultProbability(A124,B124,Parameter_Date,CDSRollDate,E124:M124,SpreadCurveMaturities,D124,C124,$J$4,$J$6))</f>
        <v>0</v>
      </c>
      <c r="O124" s="155">
        <f ca="1"/>
        <v>5.5804003710946404E-4</v>
      </c>
      <c r="P124" s="155">
        <f ca="1"/>
        <v>1.4208535207560491E-3</v>
      </c>
      <c r="Q124" s="155">
        <f ca="1"/>
        <v>4.8653760104611088E-3</v>
      </c>
      <c r="R124" s="155">
        <f ca="1"/>
        <v>1.0367206012896757E-2</v>
      </c>
      <c r="S124" s="155">
        <f ca="1"/>
        <v>0</v>
      </c>
      <c r="T124" s="155">
        <f ca="1"/>
        <v>2.6356619512353019E-2</v>
      </c>
      <c r="U124" s="155">
        <f ca="1"/>
        <v>4.6123754644710524E-2</v>
      </c>
      <c r="V124" s="138">
        <f ca="1"/>
        <v>7.846376600648175E-2</v>
      </c>
      <c r="W124" s="137">
        <f ca="1"/>
        <v>0</v>
      </c>
      <c r="X124" s="155">
        <f ca="1"/>
        <v>6.5101587709581743E-4</v>
      </c>
      <c r="Y124" s="155">
        <f ca="1"/>
        <v>1.5872695101263323E-3</v>
      </c>
      <c r="Z124" s="155">
        <f ca="1"/>
        <v>5.1970322726690998E-3</v>
      </c>
      <c r="AA124" s="155">
        <f ca="1"/>
        <v>1.0861898726395758E-2</v>
      </c>
      <c r="AB124" s="155">
        <f ca="1"/>
        <v>0</v>
      </c>
      <c r="AC124" s="155">
        <f ca="1"/>
        <v>2.7188941129804411E-2</v>
      </c>
      <c r="AD124" s="155">
        <f ca="1"/>
        <v>4.7267595084096947E-2</v>
      </c>
      <c r="AE124" s="138">
        <f ca="1"/>
        <v>8.0048617569349001E-2</v>
      </c>
      <c r="AH124" s="135"/>
      <c r="AI124" s="135"/>
      <c r="AJ124" s="135"/>
      <c r="AK124" s="135"/>
      <c r="AM124" s="135"/>
      <c r="AN124" s="135"/>
      <c r="AO124" s="135"/>
      <c r="AQ124" s="135"/>
      <c r="AR124" s="135"/>
      <c r="AS124" s="135"/>
      <c r="AT124" s="135"/>
      <c r="AV124" s="135"/>
      <c r="AW124" s="135"/>
      <c r="AX124" s="135"/>
    </row>
    <row r="125" spans="1:50" s="79" customFormat="1" ht="11.25">
      <c r="A125" s="96">
        <f t="shared" ca="1" si="3"/>
        <v>114</v>
      </c>
      <c r="B125" s="68" t="s">
        <v>202</v>
      </c>
      <c r="C125" s="97">
        <v>0.4</v>
      </c>
      <c r="D125" s="69" t="s">
        <v>66</v>
      </c>
      <c r="E125" s="136" t="s">
        <v>87</v>
      </c>
      <c r="F125" s="154">
        <v>2.0999999999999999E-3</v>
      </c>
      <c r="G125" s="154">
        <v>2.0999999999999999E-3</v>
      </c>
      <c r="H125" s="154">
        <v>3.8E-3</v>
      </c>
      <c r="I125" s="154">
        <v>7.1000000000000004E-3</v>
      </c>
      <c r="J125" s="154" t="s">
        <v>87</v>
      </c>
      <c r="K125" s="154">
        <v>9.5999999999999992E-3</v>
      </c>
      <c r="L125" s="154">
        <v>1.15E-2</v>
      </c>
      <c r="M125" s="154">
        <v>1.32E-2</v>
      </c>
      <c r="N125" s="137" cm="1">
        <f t="array" aca="1" ref="N125:AE125" ca="1">IF(OR(B125="",NOT($J$2)),"",GetStripDefaultProbability(A125,B125,Parameter_Date,CDSRollDate,E125:M125,SpreadCurveMaturities,D125,C125,$J$4,$J$6))</f>
        <v>0</v>
      </c>
      <c r="O125" s="155">
        <f ca="1"/>
        <v>1.9517783676042955E-3</v>
      </c>
      <c r="P125" s="155">
        <f ca="1"/>
        <v>3.7164491483555606E-3</v>
      </c>
      <c r="Q125" s="155">
        <f ca="1"/>
        <v>1.3158725651486236E-2</v>
      </c>
      <c r="R125" s="155">
        <f ca="1"/>
        <v>3.6650556241669574E-2</v>
      </c>
      <c r="S125" s="155">
        <f ca="1"/>
        <v>0</v>
      </c>
      <c r="T125" s="155">
        <f ca="1"/>
        <v>8.0090539064915034E-2</v>
      </c>
      <c r="U125" s="155">
        <f ca="1"/>
        <v>0.13132899193420955</v>
      </c>
      <c r="V125" s="138">
        <f ca="1"/>
        <v>0.20771673776922861</v>
      </c>
      <c r="W125" s="137">
        <f ca="1"/>
        <v>0</v>
      </c>
      <c r="X125" s="155">
        <f ca="1"/>
        <v>2.0446185884611667E-3</v>
      </c>
      <c r="Y125" s="155">
        <f ca="1"/>
        <v>3.8824825703310806E-3</v>
      </c>
      <c r="Z125" s="155">
        <f ca="1"/>
        <v>1.3487617924505702E-2</v>
      </c>
      <c r="AA125" s="155">
        <f ca="1"/>
        <v>3.7132110564951026E-2</v>
      </c>
      <c r="AB125" s="155">
        <f ca="1"/>
        <v>0</v>
      </c>
      <c r="AC125" s="155">
        <f ca="1"/>
        <v>8.085681095807784E-2</v>
      </c>
      <c r="AD125" s="155">
        <f ca="1"/>
        <v>0.13238682235280264</v>
      </c>
      <c r="AE125" s="138">
        <f ca="1"/>
        <v>0.20911108245565724</v>
      </c>
      <c r="AH125" s="135"/>
      <c r="AI125" s="135"/>
      <c r="AJ125" s="135"/>
      <c r="AK125" s="135"/>
      <c r="AM125" s="135"/>
      <c r="AN125" s="135"/>
      <c r="AO125" s="135"/>
      <c r="AQ125" s="135"/>
      <c r="AR125" s="135"/>
      <c r="AS125" s="135"/>
      <c r="AT125" s="135"/>
      <c r="AV125" s="135"/>
      <c r="AW125" s="135"/>
      <c r="AX125" s="135"/>
    </row>
    <row r="126" spans="1:50" s="79" customFormat="1" ht="11.25">
      <c r="A126" s="96">
        <f t="shared" ca="1" si="3"/>
        <v>115</v>
      </c>
      <c r="B126" s="68" t="s">
        <v>203</v>
      </c>
      <c r="C126" s="97">
        <v>0.4</v>
      </c>
      <c r="D126" s="69" t="s">
        <v>66</v>
      </c>
      <c r="E126" s="136" t="s">
        <v>87</v>
      </c>
      <c r="F126" s="154">
        <v>1.4E-3</v>
      </c>
      <c r="G126" s="154">
        <v>1.6999999999999999E-3</v>
      </c>
      <c r="H126" s="154">
        <v>3.2000000000000002E-3</v>
      </c>
      <c r="I126" s="154">
        <v>4.4000000000000003E-3</v>
      </c>
      <c r="J126" s="154" t="s">
        <v>87</v>
      </c>
      <c r="K126" s="154">
        <v>6.4000000000000003E-3</v>
      </c>
      <c r="L126" s="154">
        <v>8.0000000000000002E-3</v>
      </c>
      <c r="M126" s="154">
        <v>9.2999999999999992E-3</v>
      </c>
      <c r="N126" s="137" cm="1">
        <f t="array" aca="1" ref="N126:AE126" ca="1">IF(OR(B126="",NOT($J$2)),"",GetStripDefaultProbability(A126,B126,Parameter_Date,CDSRollDate,E126:M126,SpreadCurveMaturities,D126,C126,$J$4,$J$6))</f>
        <v>0</v>
      </c>
      <c r="O126" s="155">
        <f ca="1"/>
        <v>1.3016090801948321E-3</v>
      </c>
      <c r="P126" s="155">
        <f ca="1"/>
        <v>3.0149859007806423E-3</v>
      </c>
      <c r="Q126" s="155">
        <f ca="1"/>
        <v>1.1099992556305227E-2</v>
      </c>
      <c r="R126" s="155">
        <f ca="1"/>
        <v>2.2694051550112282E-2</v>
      </c>
      <c r="S126" s="155">
        <f ca="1"/>
        <v>0</v>
      </c>
      <c r="T126" s="155">
        <f ca="1"/>
        <v>5.3829524960786523E-2</v>
      </c>
      <c r="U126" s="155">
        <f ca="1"/>
        <v>9.2870276763291182E-2</v>
      </c>
      <c r="V126" s="138">
        <f ca="1"/>
        <v>0.15038359338236673</v>
      </c>
      <c r="W126" s="137">
        <f ca="1"/>
        <v>0</v>
      </c>
      <c r="X126" s="155">
        <f ca="1"/>
        <v>1.3945134312961516E-3</v>
      </c>
      <c r="Y126" s="155">
        <f ca="1"/>
        <v>3.1811362235519836E-3</v>
      </c>
      <c r="Z126" s="155">
        <f ca="1"/>
        <v>1.1429570959337054E-2</v>
      </c>
      <c r="AA126" s="155">
        <f ca="1"/>
        <v>2.3182582381471195E-2</v>
      </c>
      <c r="AB126" s="155">
        <f ca="1"/>
        <v>0</v>
      </c>
      <c r="AC126" s="155">
        <f ca="1"/>
        <v>5.4636914013705185E-2</v>
      </c>
      <c r="AD126" s="155">
        <f ca="1"/>
        <v>9.3957282019063837E-2</v>
      </c>
      <c r="AE126" s="138">
        <f ca="1"/>
        <v>0.15186653563281471</v>
      </c>
      <c r="AH126" s="135"/>
      <c r="AI126" s="135"/>
      <c r="AJ126" s="135"/>
      <c r="AK126" s="135"/>
      <c r="AM126" s="135"/>
      <c r="AN126" s="135"/>
      <c r="AO126" s="135"/>
      <c r="AQ126" s="135"/>
      <c r="AR126" s="135"/>
      <c r="AS126" s="135"/>
      <c r="AT126" s="135"/>
      <c r="AV126" s="135"/>
      <c r="AW126" s="135"/>
      <c r="AX126" s="135"/>
    </row>
    <row r="127" spans="1:50" s="79" customFormat="1" ht="11.25">
      <c r="A127" s="96">
        <f t="shared" ca="1" si="3"/>
        <v>116</v>
      </c>
      <c r="B127" s="68" t="s">
        <v>204</v>
      </c>
      <c r="C127" s="97">
        <v>0.4</v>
      </c>
      <c r="D127" s="69" t="s">
        <v>66</v>
      </c>
      <c r="E127" s="136" t="s">
        <v>87</v>
      </c>
      <c r="F127" s="154">
        <v>2.9999999999999997E-4</v>
      </c>
      <c r="G127" s="154">
        <v>5.9999999999999995E-4</v>
      </c>
      <c r="H127" s="154">
        <v>1.1000000000000001E-3</v>
      </c>
      <c r="I127" s="154">
        <v>1.4E-3</v>
      </c>
      <c r="J127" s="154" t="s">
        <v>87</v>
      </c>
      <c r="K127" s="154">
        <v>2.2000000000000001E-3</v>
      </c>
      <c r="L127" s="154">
        <v>2.5999999999999999E-3</v>
      </c>
      <c r="M127" s="154">
        <v>3.0999999999999999E-3</v>
      </c>
      <c r="N127" s="137" cm="1">
        <f t="array" aca="1" ref="N127:AE127" ca="1">IF(OR(B127="",NOT($J$2)),"",GetStripDefaultProbability(A127,B127,Parameter_Date,CDSRollDate,E127:M127,SpreadCurveMaturities,D127,C127,$J$4,$J$6))</f>
        <v>0</v>
      </c>
      <c r="O127" s="155">
        <f ca="1"/>
        <v>2.7905895862256891E-4</v>
      </c>
      <c r="P127" s="155">
        <f ca="1"/>
        <v>1.068353042610326E-3</v>
      </c>
      <c r="Q127" s="155">
        <f ca="1"/>
        <v>3.8284513697161016E-3</v>
      </c>
      <c r="R127" s="155">
        <f ca="1"/>
        <v>7.2538303351165068E-3</v>
      </c>
      <c r="S127" s="155">
        <f ca="1"/>
        <v>0</v>
      </c>
      <c r="T127" s="155">
        <f ca="1"/>
        <v>1.874478569367366E-2</v>
      </c>
      <c r="U127" s="155">
        <f ca="1"/>
        <v>3.0874464049684414E-2</v>
      </c>
      <c r="V127" s="138">
        <f ca="1"/>
        <v>5.2233862399673203E-2</v>
      </c>
      <c r="W127" s="137">
        <f ca="1"/>
        <v>0</v>
      </c>
      <c r="X127" s="155">
        <f ca="1"/>
        <v>3.7206114936716439E-4</v>
      </c>
      <c r="Y127" s="155">
        <f ca="1"/>
        <v>1.2348277771475624E-3</v>
      </c>
      <c r="Z127" s="155">
        <f ca="1"/>
        <v>4.1604532158860952E-3</v>
      </c>
      <c r="AA127" s="155">
        <f ca="1"/>
        <v>7.7500793473495033E-3</v>
      </c>
      <c r="AB127" s="155">
        <f ca="1"/>
        <v>0</v>
      </c>
      <c r="AC127" s="155">
        <f ca="1"/>
        <v>1.9583220733797146E-2</v>
      </c>
      <c r="AD127" s="155">
        <f ca="1"/>
        <v>3.2034733478720101E-2</v>
      </c>
      <c r="AE127" s="138">
        <f ca="1"/>
        <v>5.3862079491435844E-2</v>
      </c>
      <c r="AH127" s="135"/>
      <c r="AI127" s="135"/>
      <c r="AJ127" s="135"/>
      <c r="AK127" s="135"/>
      <c r="AM127" s="135"/>
      <c r="AN127" s="135"/>
      <c r="AO127" s="135"/>
      <c r="AQ127" s="135"/>
      <c r="AR127" s="135"/>
      <c r="AS127" s="135"/>
      <c r="AT127" s="135"/>
      <c r="AV127" s="135"/>
      <c r="AW127" s="135"/>
      <c r="AX127" s="135"/>
    </row>
    <row r="128" spans="1:50" s="79" customFormat="1" ht="11.25">
      <c r="A128" s="96">
        <f t="shared" ca="1" si="3"/>
        <v>117</v>
      </c>
      <c r="B128" s="68" t="s">
        <v>205</v>
      </c>
      <c r="C128" s="97">
        <v>0.4</v>
      </c>
      <c r="D128" s="69" t="s">
        <v>66</v>
      </c>
      <c r="E128" s="136" t="s">
        <v>87</v>
      </c>
      <c r="F128" s="154">
        <v>5.0000000000000001E-4</v>
      </c>
      <c r="G128" s="154">
        <v>1.1000000000000001E-3</v>
      </c>
      <c r="H128" s="154">
        <v>1.9E-3</v>
      </c>
      <c r="I128" s="154">
        <v>2.5000000000000001E-3</v>
      </c>
      <c r="J128" s="154" t="s">
        <v>87</v>
      </c>
      <c r="K128" s="154">
        <v>3.8E-3</v>
      </c>
      <c r="L128" s="154">
        <v>4.5999999999999999E-3</v>
      </c>
      <c r="M128" s="154">
        <v>5.5999999999999999E-3</v>
      </c>
      <c r="N128" s="137" cm="1">
        <f t="array" aca="1" ref="N128:AE128" ca="1">IF(OR(B128="",NOT($J$2)),"",GetStripDefaultProbability(A128,B128,Parameter_Date,CDSRollDate,E128:M128,SpreadCurveMaturities,D128,C128,$J$4,$J$6))</f>
        <v>0</v>
      </c>
      <c r="O128" s="155">
        <f ca="1"/>
        <v>4.6505499562699004E-4</v>
      </c>
      <c r="P128" s="155">
        <f ca="1"/>
        <v>1.9588772037373303E-3</v>
      </c>
      <c r="Q128" s="155">
        <f ca="1"/>
        <v>6.6037345542214743E-3</v>
      </c>
      <c r="R128" s="155">
        <f ca="1"/>
        <v>1.2931572420908921E-2</v>
      </c>
      <c r="S128" s="155">
        <f ca="1"/>
        <v>0</v>
      </c>
      <c r="T128" s="155">
        <f ca="1"/>
        <v>3.2220323194479872E-2</v>
      </c>
      <c r="U128" s="155">
        <f ca="1"/>
        <v>5.4163765819307041E-2</v>
      </c>
      <c r="V128" s="138">
        <f ca="1"/>
        <v>9.288877666537243E-2</v>
      </c>
      <c r="W128" s="137">
        <f ca="1"/>
        <v>0</v>
      </c>
      <c r="X128" s="155">
        <f ca="1"/>
        <v>5.5803964578249321E-4</v>
      </c>
      <c r="Y128" s="155">
        <f ca="1"/>
        <v>2.1252035299526018E-3</v>
      </c>
      <c r="Z128" s="155">
        <f ca="1"/>
        <v>6.9348114601380795E-3</v>
      </c>
      <c r="AA128" s="155">
        <f ca="1"/>
        <v>1.3424983271689839E-2</v>
      </c>
      <c r="AB128" s="155">
        <f ca="1"/>
        <v>0</v>
      </c>
      <c r="AC128" s="155">
        <f ca="1"/>
        <v>3.3047575364061887E-2</v>
      </c>
      <c r="AD128" s="155">
        <f ca="1"/>
        <v>5.5298014004083185E-2</v>
      </c>
      <c r="AE128" s="138">
        <f ca="1"/>
        <v>9.4447463379841445E-2</v>
      </c>
      <c r="AH128" s="135"/>
      <c r="AI128" s="135"/>
      <c r="AJ128" s="135"/>
      <c r="AK128" s="135"/>
      <c r="AM128" s="135"/>
      <c r="AN128" s="135"/>
      <c r="AO128" s="135"/>
      <c r="AQ128" s="135"/>
      <c r="AR128" s="135"/>
      <c r="AS128" s="135"/>
      <c r="AT128" s="135"/>
      <c r="AV128" s="135"/>
      <c r="AW128" s="135"/>
      <c r="AX128" s="135"/>
    </row>
    <row r="129" spans="1:50" s="79" customFormat="1" ht="11.25">
      <c r="A129" s="96">
        <f t="shared" ca="1" si="3"/>
        <v>118</v>
      </c>
      <c r="B129" s="68" t="s">
        <v>206</v>
      </c>
      <c r="C129" s="97">
        <v>0.4</v>
      </c>
      <c r="D129" s="69" t="s">
        <v>66</v>
      </c>
      <c r="E129" s="136" t="s">
        <v>87</v>
      </c>
      <c r="F129" s="154">
        <v>1E-3</v>
      </c>
      <c r="G129" s="154">
        <v>1.6000000000000001E-3</v>
      </c>
      <c r="H129" s="154">
        <v>2.3999999999999998E-3</v>
      </c>
      <c r="I129" s="154">
        <v>3.0999999999999999E-3</v>
      </c>
      <c r="J129" s="154" t="s">
        <v>87</v>
      </c>
      <c r="K129" s="154">
        <v>5.1999999999999998E-3</v>
      </c>
      <c r="L129" s="154">
        <v>6.3E-3</v>
      </c>
      <c r="M129" s="154">
        <v>7.1999999999999998E-3</v>
      </c>
      <c r="N129" s="137" cm="1">
        <f t="array" aca="1" ref="N129:AE129" ca="1">IF(OR(B129="",NOT($J$2)),"",GetStripDefaultProbability(A129,B129,Parameter_Date,CDSRollDate,E129:M129,SpreadCurveMaturities,D129,C129,$J$4,$J$6))</f>
        <v>0</v>
      </c>
      <c r="O129" s="155">
        <f ca="1"/>
        <v>9.2989371787344233E-4</v>
      </c>
      <c r="P129" s="155">
        <f ca="1"/>
        <v>2.8435178916559334E-3</v>
      </c>
      <c r="Q129" s="155">
        <f ca="1"/>
        <v>8.3202093886309836E-3</v>
      </c>
      <c r="R129" s="155">
        <f ca="1"/>
        <v>1.5994045079594565E-2</v>
      </c>
      <c r="S129" s="155">
        <f ca="1"/>
        <v>0</v>
      </c>
      <c r="T129" s="155">
        <f ca="1"/>
        <v>4.3903355683164724E-2</v>
      </c>
      <c r="U129" s="155">
        <f ca="1"/>
        <v>7.362611746838521E-2</v>
      </c>
      <c r="V129" s="138">
        <f ca="1"/>
        <v>0.1179467569170124</v>
      </c>
      <c r="W129" s="137">
        <f ca="1"/>
        <v>0</v>
      </c>
      <c r="X129" s="155">
        <f ca="1"/>
        <v>1.0228340424542903E-3</v>
      </c>
      <c r="Y129" s="155">
        <f ca="1"/>
        <v>3.0096967900550275E-3</v>
      </c>
      <c r="Z129" s="155">
        <f ca="1"/>
        <v>8.6507142316519792E-3</v>
      </c>
      <c r="AA129" s="155">
        <f ca="1"/>
        <v>1.6485925076809904E-2</v>
      </c>
      <c r="AB129" s="155">
        <f ca="1"/>
        <v>0</v>
      </c>
      <c r="AC129" s="155">
        <f ca="1"/>
        <v>4.4720146422251306E-2</v>
      </c>
      <c r="AD129" s="155">
        <f ca="1"/>
        <v>7.4737909464040686E-2</v>
      </c>
      <c r="AE129" s="138">
        <f ca="1"/>
        <v>0.11947776360749729</v>
      </c>
      <c r="AH129" s="135"/>
      <c r="AI129" s="135"/>
      <c r="AJ129" s="135"/>
      <c r="AK129" s="135"/>
      <c r="AM129" s="135"/>
      <c r="AN129" s="135"/>
      <c r="AO129" s="135"/>
      <c r="AQ129" s="135"/>
      <c r="AR129" s="135"/>
      <c r="AS129" s="135"/>
      <c r="AT129" s="135"/>
      <c r="AV129" s="135"/>
      <c r="AW129" s="135"/>
      <c r="AX129" s="135"/>
    </row>
    <row r="130" spans="1:50" s="79" customFormat="1" ht="11.25">
      <c r="A130" s="96">
        <f t="shared" ca="1" si="3"/>
        <v>119</v>
      </c>
      <c r="B130" s="68" t="s">
        <v>207</v>
      </c>
      <c r="C130" s="97">
        <v>0.4</v>
      </c>
      <c r="D130" s="69" t="s">
        <v>66</v>
      </c>
      <c r="E130" s="136" t="s">
        <v>87</v>
      </c>
      <c r="F130" s="154">
        <v>6.9999999999999999E-4</v>
      </c>
      <c r="G130" s="154">
        <v>1E-3</v>
      </c>
      <c r="H130" s="154">
        <v>1.6999999999999999E-3</v>
      </c>
      <c r="I130" s="154">
        <v>2.3999999999999998E-3</v>
      </c>
      <c r="J130" s="154" t="s">
        <v>87</v>
      </c>
      <c r="K130" s="154">
        <v>3.8E-3</v>
      </c>
      <c r="L130" s="154">
        <v>4.7999999999999996E-3</v>
      </c>
      <c r="M130" s="154">
        <v>6.0000000000000001E-3</v>
      </c>
      <c r="N130" s="137" cm="1">
        <f t="array" aca="1" ref="N130:AE130" ca="1">IF(OR(B130="",NOT($J$2)),"",GetStripDefaultProbability(A130,B130,Parameter_Date,CDSRollDate,E130:M130,SpreadCurveMaturities,D130,C130,$J$4,$J$6))</f>
        <v>0</v>
      </c>
      <c r="O130" s="155">
        <f ca="1"/>
        <v>6.5101642887865907E-4</v>
      </c>
      <c r="P130" s="155">
        <f ca="1"/>
        <v>1.7766591472427873E-3</v>
      </c>
      <c r="Q130" s="155">
        <f ca="1"/>
        <v>5.9049333382219515E-3</v>
      </c>
      <c r="R130" s="155">
        <f ca="1"/>
        <v>1.2427961086985961E-2</v>
      </c>
      <c r="S130" s="155">
        <f ca="1"/>
        <v>0</v>
      </c>
      <c r="T130" s="155">
        <f ca="1"/>
        <v>3.2238389481686558E-2</v>
      </c>
      <c r="U130" s="155">
        <f ca="1"/>
        <v>5.6550839858312996E-2</v>
      </c>
      <c r="V130" s="138">
        <f ca="1"/>
        <v>9.9424614271074963E-2</v>
      </c>
      <c r="W130" s="137">
        <f ca="1"/>
        <v>0</v>
      </c>
      <c r="X130" s="155">
        <f ca="1"/>
        <v>7.4398343160742009E-4</v>
      </c>
      <c r="Y130" s="155">
        <f ca="1"/>
        <v>1.9430158406077425E-3</v>
      </c>
      <c r="Z130" s="155">
        <f ca="1"/>
        <v>6.236243139080333E-3</v>
      </c>
      <c r="AA130" s="155">
        <f ca="1"/>
        <v>1.2921623680516636E-2</v>
      </c>
      <c r="AB130" s="155">
        <f ca="1"/>
        <v>0</v>
      </c>
      <c r="AC130" s="155">
        <f ca="1"/>
        <v>3.3065775174868195E-2</v>
      </c>
      <c r="AD130" s="155">
        <f ca="1"/>
        <v>5.7682873592949213E-2</v>
      </c>
      <c r="AE130" s="138">
        <f ca="1"/>
        <v>0.10097231795522266</v>
      </c>
      <c r="AH130" s="135"/>
      <c r="AI130" s="135"/>
      <c r="AJ130" s="135"/>
      <c r="AK130" s="135"/>
      <c r="AM130" s="135"/>
      <c r="AN130" s="135"/>
      <c r="AO130" s="135"/>
      <c r="AQ130" s="135"/>
      <c r="AR130" s="135"/>
      <c r="AS130" s="135"/>
      <c r="AT130" s="135"/>
      <c r="AV130" s="135"/>
      <c r="AW130" s="135"/>
      <c r="AX130" s="135"/>
    </row>
    <row r="131" spans="1:50" s="79" customFormat="1" ht="11.25">
      <c r="A131" s="96">
        <f t="shared" ca="1" si="3"/>
        <v>120</v>
      </c>
      <c r="B131" s="68" t="s">
        <v>208</v>
      </c>
      <c r="C131" s="97">
        <v>0.4</v>
      </c>
      <c r="D131" s="69" t="s">
        <v>66</v>
      </c>
      <c r="E131" s="136" t="s">
        <v>87</v>
      </c>
      <c r="F131" s="154">
        <v>1.1000000000000001E-3</v>
      </c>
      <c r="G131" s="154">
        <v>1.5E-3</v>
      </c>
      <c r="H131" s="154">
        <v>1.9E-3</v>
      </c>
      <c r="I131" s="154">
        <v>2.5999999999999999E-3</v>
      </c>
      <c r="J131" s="154" t="s">
        <v>87</v>
      </c>
      <c r="K131" s="154">
        <v>3.8E-3</v>
      </c>
      <c r="L131" s="154">
        <v>4.7000000000000002E-3</v>
      </c>
      <c r="M131" s="154">
        <v>5.7000000000000002E-3</v>
      </c>
      <c r="N131" s="137" cm="1">
        <f t="array" aca="1" ref="N131:AE131" ca="1">IF(OR(B131="",NOT($J$2)),"",GetStripDefaultProbability(A131,B131,Parameter_Date,CDSRollDate,E131:M131,SpreadCurveMaturities,D131,C131,$J$4,$J$6))</f>
        <v>0</v>
      </c>
      <c r="O131" s="155">
        <f ca="1"/>
        <v>1.0228355227774877E-3</v>
      </c>
      <c r="P131" s="155">
        <f ca="1"/>
        <v>2.6631074892390361E-3</v>
      </c>
      <c r="Q131" s="155">
        <f ca="1"/>
        <v>6.575806954124741E-3</v>
      </c>
      <c r="R131" s="155">
        <f ca="1"/>
        <v>1.3427741540470883E-2</v>
      </c>
      <c r="S131" s="155">
        <f ca="1"/>
        <v>0</v>
      </c>
      <c r="T131" s="155">
        <f ca="1"/>
        <v>3.2195043478884355E-2</v>
      </c>
      <c r="U131" s="155">
        <f ca="1"/>
        <v>5.532011579717111E-2</v>
      </c>
      <c r="V131" s="138">
        <f ca="1"/>
        <v>9.4481122854302879E-2</v>
      </c>
      <c r="W131" s="137">
        <f ca="1"/>
        <v>0</v>
      </c>
      <c r="X131" s="155">
        <f ca="1"/>
        <v>1.1157668979256963E-3</v>
      </c>
      <c r="Y131" s="155">
        <f ca="1"/>
        <v>2.8293164535180271E-3</v>
      </c>
      <c r="Z131" s="155">
        <f ca="1"/>
        <v>6.9068931677103151E-3</v>
      </c>
      <c r="AA131" s="155">
        <f ca="1"/>
        <v>1.3920904368733056E-2</v>
      </c>
      <c r="AB131" s="155">
        <f ca="1"/>
        <v>0</v>
      </c>
      <c r="AC131" s="155">
        <f ca="1"/>
        <v>3.3022145203088105E-2</v>
      </c>
      <c r="AD131" s="155">
        <f ca="1"/>
        <v>5.6452907273260022E-2</v>
      </c>
      <c r="AE131" s="138">
        <f ca="1"/>
        <v>9.6036981456227632E-2</v>
      </c>
      <c r="AH131" s="135"/>
      <c r="AI131" s="135"/>
      <c r="AJ131" s="135"/>
      <c r="AK131" s="135"/>
      <c r="AM131" s="135"/>
      <c r="AN131" s="135"/>
      <c r="AO131" s="135"/>
      <c r="AQ131" s="135"/>
      <c r="AR131" s="135"/>
      <c r="AS131" s="135"/>
      <c r="AT131" s="135"/>
      <c r="AV131" s="135"/>
      <c r="AW131" s="135"/>
      <c r="AX131" s="135"/>
    </row>
    <row r="132" spans="1:50" s="79" customFormat="1" ht="11.25">
      <c r="A132" s="96">
        <f t="shared" ca="1" si="3"/>
        <v>121</v>
      </c>
      <c r="B132" s="68" t="s">
        <v>209</v>
      </c>
      <c r="C132" s="97">
        <v>0.4</v>
      </c>
      <c r="D132" s="69" t="s">
        <v>66</v>
      </c>
      <c r="E132" s="136" t="s">
        <v>87</v>
      </c>
      <c r="F132" s="154">
        <v>8.0000000000000004E-4</v>
      </c>
      <c r="G132" s="154">
        <v>1E-3</v>
      </c>
      <c r="H132" s="154">
        <v>1.9E-3</v>
      </c>
      <c r="I132" s="154">
        <v>2.3999999999999998E-3</v>
      </c>
      <c r="J132" s="154" t="s">
        <v>87</v>
      </c>
      <c r="K132" s="154">
        <v>3.8E-3</v>
      </c>
      <c r="L132" s="154">
        <v>4.4999999999999997E-3</v>
      </c>
      <c r="M132" s="154">
        <v>5.4000000000000003E-3</v>
      </c>
      <c r="N132" s="137" cm="1">
        <f t="array" aca="1" ref="N132:AE132" ca="1">IF(OR(B132="",NOT($J$2)),"",GetStripDefaultProbability(A132,B132,Parameter_Date,CDSRollDate,E132:M132,SpreadCurveMaturities,D132,C132,$J$4,$J$6))</f>
        <v>0</v>
      </c>
      <c r="O132" s="155">
        <f ca="1"/>
        <v>7.4398417212018231E-4</v>
      </c>
      <c r="P132" s="155">
        <f ca="1"/>
        <v>1.7749275068706938E-3</v>
      </c>
      <c r="Q132" s="155">
        <f ca="1"/>
        <v>6.6026113077128912E-3</v>
      </c>
      <c r="R132" s="155">
        <f ca="1"/>
        <v>1.2405399345356338E-2</v>
      </c>
      <c r="S132" s="155">
        <f ca="1"/>
        <v>0</v>
      </c>
      <c r="T132" s="155">
        <f ca="1"/>
        <v>3.2214377123891746E-2</v>
      </c>
      <c r="U132" s="155">
        <f ca="1"/>
        <v>5.2974733020345832E-2</v>
      </c>
      <c r="V132" s="138">
        <f ca="1"/>
        <v>8.962073421794392E-2</v>
      </c>
      <c r="W132" s="137">
        <f ca="1"/>
        <v>0</v>
      </c>
      <c r="X132" s="155">
        <f ca="1"/>
        <v>8.3694231015207787E-4</v>
      </c>
      <c r="Y132" s="155">
        <f ca="1"/>
        <v>1.9412844888236913E-3</v>
      </c>
      <c r="Z132" s="155">
        <f ca="1"/>
        <v>6.9336885879874854E-3</v>
      </c>
      <c r="AA132" s="155">
        <f ca="1"/>
        <v>1.2899073216949941E-2</v>
      </c>
      <c r="AB132" s="155">
        <f ca="1"/>
        <v>0</v>
      </c>
      <c r="AC132" s="155">
        <f ca="1"/>
        <v>3.3041656034950129E-2</v>
      </c>
      <c r="AD132" s="155">
        <f ca="1"/>
        <v>5.4110310512868076E-2</v>
      </c>
      <c r="AE132" s="138">
        <f ca="1"/>
        <v>9.1185007836247944E-2</v>
      </c>
      <c r="AH132" s="135"/>
      <c r="AI132" s="135"/>
      <c r="AJ132" s="135"/>
      <c r="AK132" s="135"/>
      <c r="AM132" s="135"/>
      <c r="AN132" s="135"/>
      <c r="AO132" s="135"/>
      <c r="AQ132" s="135"/>
      <c r="AR132" s="135"/>
      <c r="AS132" s="135"/>
      <c r="AT132" s="135"/>
      <c r="AV132" s="135"/>
      <c r="AW132" s="135"/>
      <c r="AX132" s="135"/>
    </row>
    <row r="133" spans="1:50" s="79" customFormat="1" ht="11.25">
      <c r="A133" s="96">
        <f t="shared" ca="1" si="3"/>
        <v>122</v>
      </c>
      <c r="B133" s="68" t="s">
        <v>210</v>
      </c>
      <c r="C133" s="97">
        <v>0.4</v>
      </c>
      <c r="D133" s="69" t="s">
        <v>66</v>
      </c>
      <c r="E133" s="136" t="s">
        <v>87</v>
      </c>
      <c r="F133" s="154">
        <v>6.9999999999999999E-4</v>
      </c>
      <c r="G133" s="154">
        <v>8.0000000000000004E-4</v>
      </c>
      <c r="H133" s="154">
        <v>1.2999999999999999E-3</v>
      </c>
      <c r="I133" s="154">
        <v>1.6999999999999999E-3</v>
      </c>
      <c r="J133" s="154" t="s">
        <v>87</v>
      </c>
      <c r="K133" s="154">
        <v>2.7000000000000001E-3</v>
      </c>
      <c r="L133" s="154">
        <v>3.0999999999999999E-3</v>
      </c>
      <c r="M133" s="154">
        <v>3.8999999999999998E-3</v>
      </c>
      <c r="N133" s="137" cm="1">
        <f t="array" aca="1" ref="N133:AE133" ca="1">IF(OR(B133="",NOT($J$2)),"",GetStripDefaultProbability(A133,B133,Parameter_Date,CDSRollDate,E133:M133,SpreadCurveMaturities,D133,C133,$J$4,$J$6))</f>
        <v>0</v>
      </c>
      <c r="O133" s="155">
        <f ca="1"/>
        <v>6.5101642887865907E-4</v>
      </c>
      <c r="P133" s="155">
        <f ca="1"/>
        <v>1.4191382420905008E-3</v>
      </c>
      <c r="Q133" s="155">
        <f ca="1"/>
        <v>4.5135659951300866E-3</v>
      </c>
      <c r="R133" s="155">
        <f ca="1"/>
        <v>8.7976182791091873E-3</v>
      </c>
      <c r="S133" s="155">
        <f ca="1"/>
        <v>0</v>
      </c>
      <c r="T133" s="155">
        <f ca="1"/>
        <v>2.2964864495267356E-2</v>
      </c>
      <c r="U133" s="155">
        <f ca="1"/>
        <v>3.6699256861889906E-2</v>
      </c>
      <c r="V133" s="138">
        <f ca="1"/>
        <v>6.5397230643183701E-2</v>
      </c>
      <c r="W133" s="137">
        <f ca="1"/>
        <v>0</v>
      </c>
      <c r="X133" s="155">
        <f ca="1"/>
        <v>7.4398343160742009E-4</v>
      </c>
      <c r="Y133" s="155">
        <f ca="1"/>
        <v>1.58555451730924E-3</v>
      </c>
      <c r="Z133" s="155">
        <f ca="1"/>
        <v>4.8453395078115191E-3</v>
      </c>
      <c r="AA133" s="155">
        <f ca="1"/>
        <v>9.2930955903057777E-3</v>
      </c>
      <c r="AB133" s="155">
        <f ca="1"/>
        <v>0</v>
      </c>
      <c r="AC133" s="155">
        <f ca="1"/>
        <v>2.3799902450914123E-2</v>
      </c>
      <c r="AD133" s="155">
        <f ca="1"/>
        <v>3.7852910313981747E-2</v>
      </c>
      <c r="AE133" s="138">
        <f ca="1"/>
        <v>6.7003822888072939E-2</v>
      </c>
      <c r="AH133" s="135"/>
      <c r="AI133" s="135"/>
      <c r="AJ133" s="135"/>
      <c r="AK133" s="135"/>
      <c r="AM133" s="135"/>
      <c r="AN133" s="135"/>
      <c r="AO133" s="135"/>
      <c r="AQ133" s="135"/>
      <c r="AR133" s="135"/>
      <c r="AS133" s="135"/>
      <c r="AT133" s="135"/>
      <c r="AV133" s="135"/>
      <c r="AW133" s="135"/>
      <c r="AX133" s="135"/>
    </row>
    <row r="134" spans="1:50" s="79" customFormat="1" ht="11.25">
      <c r="A134" s="96">
        <f ca="1">IF(B134="","",A133+1)</f>
        <v>123</v>
      </c>
      <c r="B134" s="68" t="s">
        <v>211</v>
      </c>
      <c r="C134" s="97">
        <v>0.4</v>
      </c>
      <c r="D134" s="69" t="s">
        <v>66</v>
      </c>
      <c r="E134" s="136" t="s">
        <v>87</v>
      </c>
      <c r="F134" s="154">
        <v>2.9999999999999997E-4</v>
      </c>
      <c r="G134" s="154">
        <v>5.9999999999999995E-4</v>
      </c>
      <c r="H134" s="154">
        <v>1.2999999999999999E-3</v>
      </c>
      <c r="I134" s="154">
        <v>1.8E-3</v>
      </c>
      <c r="J134" s="154" t="s">
        <v>87</v>
      </c>
      <c r="K134" s="154">
        <v>2.8999999999999998E-3</v>
      </c>
      <c r="L134" s="154">
        <v>3.5000000000000001E-3</v>
      </c>
      <c r="M134" s="154">
        <v>4.4999999999999997E-3</v>
      </c>
      <c r="N134" s="137" cm="1">
        <f t="array" aca="1" ref="N134:AE134" ca="1">IF(OR(B134="",NOT($J$2)),"",GetStripDefaultProbability(A134,B134,Parameter_Date,CDSRollDate,E134:M134,SpreadCurveMaturities,D134,C134,$J$4,$J$6))</f>
        <v>0</v>
      </c>
      <c r="O134" s="155">
        <f ca="1"/>
        <v>2.7905895862256891E-4</v>
      </c>
      <c r="P134" s="155">
        <f ca="1"/>
        <v>1.068353042610326E-3</v>
      </c>
      <c r="Q134" s="155">
        <f ca="1"/>
        <v>4.5288788172164196E-3</v>
      </c>
      <c r="R134" s="155">
        <f ca="1"/>
        <v>9.3393368916071529E-3</v>
      </c>
      <c r="S134" s="155">
        <f ca="1"/>
        <v>0</v>
      </c>
      <c r="T134" s="155">
        <f ca="1"/>
        <v>2.4679457149216044E-2</v>
      </c>
      <c r="U134" s="155">
        <f ca="1"/>
        <v>4.143632246468687E-2</v>
      </c>
      <c r="V134" s="138">
        <f ca="1"/>
        <v>7.52837183563696E-2</v>
      </c>
      <c r="W134" s="137">
        <f ca="1"/>
        <v>0</v>
      </c>
      <c r="X134" s="155">
        <f ca="1"/>
        <v>3.7206114936716439E-4</v>
      </c>
      <c r="Y134" s="155">
        <f ca="1"/>
        <v>1.2348277771475624E-3</v>
      </c>
      <c r="Z134" s="155">
        <f ca="1"/>
        <v>4.8606472264616229E-3</v>
      </c>
      <c r="AA134" s="155">
        <f ca="1"/>
        <v>9.8345434112133701E-3</v>
      </c>
      <c r="AB134" s="155">
        <f ca="1"/>
        <v>0</v>
      </c>
      <c r="AC134" s="155">
        <f ca="1"/>
        <v>2.5513259530391963E-2</v>
      </c>
      <c r="AD134" s="155">
        <f ca="1"/>
        <v>4.2585275397217348E-2</v>
      </c>
      <c r="AE134" s="138">
        <f ca="1"/>
        <v>7.6874273706494356E-2</v>
      </c>
      <c r="AH134" s="135"/>
      <c r="AI134" s="135"/>
      <c r="AJ134" s="135"/>
      <c r="AK134" s="135"/>
      <c r="AM134" s="135"/>
      <c r="AN134" s="135"/>
      <c r="AO134" s="135"/>
      <c r="AQ134" s="135"/>
      <c r="AR134" s="135"/>
      <c r="AS134" s="135"/>
      <c r="AT134" s="135"/>
      <c r="AV134" s="135"/>
      <c r="AW134" s="135"/>
      <c r="AX134" s="135"/>
    </row>
    <row r="135" spans="1:50" s="79" customFormat="1" ht="11.25">
      <c r="A135" s="96">
        <f ca="1">IF(B135="","",A134+1)</f>
        <v>124</v>
      </c>
      <c r="B135" s="68" t="s">
        <v>212</v>
      </c>
      <c r="C135" s="97">
        <v>0.4</v>
      </c>
      <c r="D135" s="69" t="s">
        <v>66</v>
      </c>
      <c r="E135" s="136" t="s">
        <v>87</v>
      </c>
      <c r="F135" s="154">
        <v>5.9999999999999995E-4</v>
      </c>
      <c r="G135" s="154">
        <v>8.9999999999999998E-4</v>
      </c>
      <c r="H135" s="154">
        <v>1.8E-3</v>
      </c>
      <c r="I135" s="154">
        <v>2.5000000000000001E-3</v>
      </c>
      <c r="J135" s="154" t="s">
        <v>87</v>
      </c>
      <c r="K135" s="154">
        <v>3.8999999999999998E-3</v>
      </c>
      <c r="L135" s="154">
        <v>4.7999999999999996E-3</v>
      </c>
      <c r="M135" s="154">
        <v>6.3E-3</v>
      </c>
      <c r="N135" s="137" cm="1">
        <f t="array" aca="1" ref="N135:AE135" ca="1">IF(OR(B135="",NOT($J$2)),"",GetStripDefaultProbability(A135,B135,Parameter_Date,CDSRollDate,E135:M135,SpreadCurveMaturities,D135,C135,$J$4,$J$6))</f>
        <v>0</v>
      </c>
      <c r="O135" s="155">
        <f ca="1"/>
        <v>5.5804003710946404E-4</v>
      </c>
      <c r="P135" s="155">
        <f ca="1"/>
        <v>1.599629745781761E-3</v>
      </c>
      <c r="Q135" s="155">
        <f ca="1"/>
        <v>6.2607557461714647E-3</v>
      </c>
      <c r="R135" s="155">
        <f ca="1"/>
        <v>1.2948945158440028E-2</v>
      </c>
      <c r="S135" s="155">
        <f ca="1"/>
        <v>0</v>
      </c>
      <c r="T135" s="155">
        <f ca="1"/>
        <v>3.3080528343837901E-2</v>
      </c>
      <c r="U135" s="155">
        <f ca="1"/>
        <v>5.651674722053579E-2</v>
      </c>
      <c r="V135" s="138">
        <f ca="1"/>
        <v>0.10426752733838018</v>
      </c>
      <c r="W135" s="137">
        <f ca="1"/>
        <v>0</v>
      </c>
      <c r="X135" s="155">
        <f ca="1"/>
        <v>6.5101587709581743E-4</v>
      </c>
      <c r="Y135" s="155">
        <f ca="1"/>
        <v>1.7660159415965326E-3</v>
      </c>
      <c r="Z135" s="155">
        <f ca="1"/>
        <v>6.5919469593380686E-3</v>
      </c>
      <c r="AA135" s="155">
        <f ca="1"/>
        <v>1.3442347325056336E-2</v>
      </c>
      <c r="AB135" s="155">
        <f ca="1"/>
        <v>0</v>
      </c>
      <c r="AC135" s="155">
        <f ca="1"/>
        <v>3.3907187368880543E-2</v>
      </c>
      <c r="AD135" s="155">
        <f ca="1"/>
        <v>5.7648614776342866E-2</v>
      </c>
      <c r="AE135" s="138">
        <f ca="1"/>
        <v>0.10582519377035504</v>
      </c>
      <c r="AH135" s="135"/>
      <c r="AI135" s="135"/>
      <c r="AJ135" s="135"/>
      <c r="AK135" s="135"/>
      <c r="AM135" s="135"/>
      <c r="AN135" s="135"/>
      <c r="AO135" s="135"/>
      <c r="AQ135" s="135"/>
      <c r="AR135" s="135"/>
      <c r="AS135" s="135"/>
      <c r="AT135" s="135"/>
      <c r="AV135" s="135"/>
      <c r="AW135" s="135"/>
      <c r="AX135" s="135"/>
    </row>
    <row r="136" spans="1:50" s="79" customFormat="1" ht="11.25">
      <c r="A136" s="96">
        <f ca="1">IF(B136="","",A135+1)</f>
        <v>125</v>
      </c>
      <c r="B136" s="68" t="s">
        <v>213</v>
      </c>
      <c r="C136" s="97">
        <v>0.4</v>
      </c>
      <c r="D136" s="69" t="s">
        <v>66</v>
      </c>
      <c r="E136" s="136" t="s">
        <v>87</v>
      </c>
      <c r="F136" s="154">
        <v>1.1800000000000001E-3</v>
      </c>
      <c r="G136" s="154">
        <v>1.5299999999999999E-3</v>
      </c>
      <c r="H136" s="154">
        <v>2.0699999999999998E-3</v>
      </c>
      <c r="I136" s="154">
        <v>2.49E-3</v>
      </c>
      <c r="J136" s="154" t="s">
        <v>87</v>
      </c>
      <c r="K136" s="154">
        <v>3.2000000000000002E-3</v>
      </c>
      <c r="L136" s="154">
        <v>3.62E-3</v>
      </c>
      <c r="M136" s="154">
        <v>4.0000000000000001E-3</v>
      </c>
      <c r="N136" s="137" cm="1">
        <f t="array" aca="1" ref="N136:AE136" ca="1">IF(OR(B136="",NOT($J$2)),"",GetStripDefaultProbability(A136,B136,Parameter_Date,CDSRollDate,E136:M136,SpreadCurveMaturities,D136,C136,$J$4,$J$6))</f>
        <v>0</v>
      </c>
      <c r="O136" s="155">
        <f ca="1"/>
        <v>1.0971827432074699E-3</v>
      </c>
      <c r="P136" s="155">
        <f ca="1"/>
        <v>2.7152781385691993E-3</v>
      </c>
      <c r="Q136" s="155">
        <f ca="1"/>
        <v>7.1671889864053373E-3</v>
      </c>
      <c r="R136" s="155">
        <f ca="1"/>
        <v>1.2829957049549812E-2</v>
      </c>
      <c r="S136" s="155">
        <f ca="1"/>
        <v>0</v>
      </c>
      <c r="T136" s="155">
        <f ca="1"/>
        <v>2.7113098622539744E-2</v>
      </c>
      <c r="U136" s="155">
        <f ca="1"/>
        <v>4.266973309745592E-2</v>
      </c>
      <c r="V136" s="138">
        <f ca="1"/>
        <v>6.6773409855414689E-2</v>
      </c>
      <c r="W136" s="137">
        <f ca="1"/>
        <v>0</v>
      </c>
      <c r="X136" s="155">
        <f ca="1"/>
        <v>1.1901069378937867E-3</v>
      </c>
      <c r="Y136" s="155">
        <f ca="1"/>
        <v>2.8814784084625344E-3</v>
      </c>
      <c r="Z136" s="155">
        <f ca="1"/>
        <v>7.4980781055105084E-3</v>
      </c>
      <c r="AA136" s="155">
        <f ca="1"/>
        <v>1.3323418695351807E-2</v>
      </c>
      <c r="AB136" s="155">
        <f ca="1"/>
        <v>0</v>
      </c>
      <c r="AC136" s="155">
        <f ca="1"/>
        <v>2.794399966664729E-2</v>
      </c>
      <c r="AD136" s="155">
        <f ca="1"/>
        <v>4.3815510983825301E-2</v>
      </c>
      <c r="AE136" s="138">
        <f ca="1"/>
        <v>6.8374667558234514E-2</v>
      </c>
      <c r="AH136" s="135"/>
      <c r="AI136" s="135"/>
      <c r="AJ136" s="135"/>
      <c r="AK136" s="135"/>
      <c r="AM136" s="135"/>
      <c r="AN136" s="135"/>
      <c r="AO136" s="135"/>
      <c r="AQ136" s="135"/>
      <c r="AR136" s="135"/>
      <c r="AS136" s="135"/>
      <c r="AT136" s="135"/>
      <c r="AV136" s="135"/>
      <c r="AW136" s="135"/>
      <c r="AX136" s="135"/>
    </row>
    <row r="137" spans="1:50" s="79" customFormat="1" ht="11.25">
      <c r="A137" s="96">
        <f ca="1">IF(B137="","",A136+1)</f>
        <v>126</v>
      </c>
      <c r="B137" s="68" t="s">
        <v>214</v>
      </c>
      <c r="C137" s="97">
        <v>0.4</v>
      </c>
      <c r="D137" s="69" t="s">
        <v>67</v>
      </c>
      <c r="E137" s="136" t="s">
        <v>87</v>
      </c>
      <c r="F137" s="154" t="s">
        <v>87</v>
      </c>
      <c r="G137" s="154">
        <v>7.1500000000000003E-4</v>
      </c>
      <c r="H137" s="154" t="s">
        <v>87</v>
      </c>
      <c r="I137" s="154">
        <v>1.815E-3</v>
      </c>
      <c r="J137" s="154" t="s">
        <v>87</v>
      </c>
      <c r="K137" s="154">
        <v>2.7499999999999998E-3</v>
      </c>
      <c r="L137" s="154">
        <v>3.0799999999999998E-3</v>
      </c>
      <c r="M137" s="154">
        <v>3.63E-3</v>
      </c>
      <c r="N137" s="137" cm="1">
        <f t="array" aca="1" ref="N137:AE137" ca="1">IF(OR(B137="",NOT($J$2)),"",GetStripDefaultProbability(A137,B137,Parameter_Date,CDSRollDate,E137:M137,SpreadCurveMaturities,D137,C137,$J$4,$J$6))</f>
        <v>0</v>
      </c>
      <c r="O137" s="155">
        <f ca="1"/>
        <v>0</v>
      </c>
      <c r="P137" s="155">
        <f ca="1"/>
        <v>1.2645288830771539E-3</v>
      </c>
      <c r="Q137" s="155">
        <f ca="1"/>
        <v>0</v>
      </c>
      <c r="R137" s="155">
        <f ca="1"/>
        <v>9.4033901320041968E-3</v>
      </c>
      <c r="S137" s="155">
        <f ca="1"/>
        <v>0</v>
      </c>
      <c r="T137" s="155">
        <f ca="1"/>
        <v>2.3860281763755986E-2</v>
      </c>
      <c r="U137" s="155">
        <f ca="1"/>
        <v>3.7184129065447991E-2</v>
      </c>
      <c r="V137" s="138">
        <f ca="1"/>
        <v>6.2899363170737965E-2</v>
      </c>
      <c r="W137" s="137">
        <f ca="1"/>
        <v>0</v>
      </c>
      <c r="X137" s="155">
        <f ca="1"/>
        <v>0</v>
      </c>
      <c r="Y137" s="155">
        <f ca="1"/>
        <v>1.4309709243925939E-3</v>
      </c>
      <c r="Z137" s="155">
        <f ca="1"/>
        <v>0</v>
      </c>
      <c r="AA137" s="155">
        <f ca="1"/>
        <v>9.8985646330022048E-3</v>
      </c>
      <c r="AB137" s="155">
        <f ca="1"/>
        <v>0</v>
      </c>
      <c r="AC137" s="155">
        <f ca="1"/>
        <v>2.4673392685709228E-2</v>
      </c>
      <c r="AD137" s="155">
        <f ca="1"/>
        <v>3.8331033918645119E-2</v>
      </c>
      <c r="AE137" s="138">
        <f ca="1"/>
        <v>6.4486230200101913E-2</v>
      </c>
      <c r="AI137" s="135"/>
      <c r="AK137" s="135"/>
      <c r="AM137" s="135"/>
      <c r="AN137" s="135"/>
      <c r="AO137" s="135"/>
      <c r="AR137" s="135"/>
      <c r="AT137" s="135"/>
      <c r="AV137" s="135"/>
      <c r="AW137" s="135"/>
      <c r="AX137" s="135"/>
    </row>
    <row r="138" spans="1:50" s="79" customFormat="1" ht="11.25">
      <c r="A138" s="96">
        <f ca="1">IF(B138="","",A137+1)</f>
        <v>127</v>
      </c>
      <c r="B138" s="68" t="s">
        <v>215</v>
      </c>
      <c r="C138" s="97">
        <v>0.4</v>
      </c>
      <c r="D138" s="69" t="s">
        <v>67</v>
      </c>
      <c r="E138" s="136" t="s">
        <v>87</v>
      </c>
      <c r="F138" s="154" t="s">
        <v>87</v>
      </c>
      <c r="G138" s="154">
        <v>1.4220000000000001E-3</v>
      </c>
      <c r="H138" s="154" t="s">
        <v>87</v>
      </c>
      <c r="I138" s="154">
        <v>2.6410000000000001E-3</v>
      </c>
      <c r="J138" s="154" t="s">
        <v>87</v>
      </c>
      <c r="K138" s="154">
        <v>3.8600000000000001E-3</v>
      </c>
      <c r="L138" s="154">
        <v>4.7739999999999996E-3</v>
      </c>
      <c r="M138" s="154">
        <v>5.6880000000000003E-3</v>
      </c>
      <c r="N138" s="137" cm="1">
        <f t="array" aca="1" ref="N138:AE138" ca="1">IF(OR(B138="",NOT($J$2)),"",GetStripDefaultProbability(A138,B138,Parameter_Date,CDSRollDate,E138:M138,SpreadCurveMaturities,D138,C138,$J$4,$J$6))</f>
        <v>0</v>
      </c>
      <c r="O138" s="155">
        <f ca="1"/>
        <v>0</v>
      </c>
      <c r="P138" s="155">
        <f ca="1"/>
        <v>2.5133485202567529E-3</v>
      </c>
      <c r="Q138" s="155">
        <f ca="1"/>
        <v>0</v>
      </c>
      <c r="R138" s="155">
        <f ca="1"/>
        <v>1.3609018674823781E-2</v>
      </c>
      <c r="S138" s="155">
        <f ca="1"/>
        <v>0</v>
      </c>
      <c r="T138" s="155">
        <f ca="1"/>
        <v>3.3262857910175581E-2</v>
      </c>
      <c r="U138" s="155">
        <f ca="1"/>
        <v>5.7674761795750595E-2</v>
      </c>
      <c r="V138" s="138">
        <f ca="1"/>
        <v>9.7848961769685272E-2</v>
      </c>
      <c r="W138" s="137">
        <f ca="1"/>
        <v>0</v>
      </c>
      <c r="X138" s="155">
        <f ca="1"/>
        <v>0</v>
      </c>
      <c r="Y138" s="155">
        <f ca="1"/>
        <v>2.6795824422980452E-3</v>
      </c>
      <c r="Z138" s="155">
        <f ca="1"/>
        <v>0</v>
      </c>
      <c r="AA138" s="155">
        <f ca="1"/>
        <v>1.4102090887170293E-2</v>
      </c>
      <c r="AB138" s="155">
        <f ca="1"/>
        <v>0</v>
      </c>
      <c r="AC138" s="155">
        <f ca="1"/>
        <v>3.4068136615873157E-2</v>
      </c>
      <c r="AD138" s="155">
        <f ca="1"/>
        <v>5.879749272586543E-2</v>
      </c>
      <c r="AE138" s="138">
        <f ca="1"/>
        <v>9.9396881268259629E-2</v>
      </c>
      <c r="AI138" s="135"/>
      <c r="AK138" s="135"/>
      <c r="AM138" s="135"/>
      <c r="AN138" s="135"/>
      <c r="AO138" s="135"/>
      <c r="AR138" s="135"/>
      <c r="AT138" s="135"/>
      <c r="AV138" s="135"/>
      <c r="AW138" s="135"/>
      <c r="AX138" s="135"/>
    </row>
    <row r="139" spans="1:50" s="79" customFormat="1" ht="11.25">
      <c r="A139" s="96">
        <f t="shared" ref="A139:A202" ca="1" si="4">IF(B139="","",A138+1)</f>
        <v>128</v>
      </c>
      <c r="B139" s="68" t="s">
        <v>216</v>
      </c>
      <c r="C139" s="97">
        <v>0.4</v>
      </c>
      <c r="D139" s="69" t="s">
        <v>67</v>
      </c>
      <c r="E139" s="136" t="s">
        <v>87</v>
      </c>
      <c r="F139" s="154">
        <v>1.34E-3</v>
      </c>
      <c r="G139" s="154">
        <v>2.0799999999999998E-3</v>
      </c>
      <c r="H139" s="154">
        <v>3.0500000000000002E-3</v>
      </c>
      <c r="I139" s="154">
        <v>3.5400000000000002E-3</v>
      </c>
      <c r="J139" s="154" t="s">
        <v>87</v>
      </c>
      <c r="K139" s="154">
        <v>4.2700000000000004E-3</v>
      </c>
      <c r="L139" s="154">
        <v>4.64E-3</v>
      </c>
      <c r="M139" s="154">
        <v>5.0099999999999997E-3</v>
      </c>
      <c r="N139" s="137" cm="1">
        <f t="array" aca="1" ref="N139:AE139" ca="1">IF(OR(B139="",NOT($J$2)),"",GetStripDefaultProbability(A139,B139,Parameter_Date,CDSRollDate,E139:M139,SpreadCurveMaturities,D139,C139,$J$4,$J$6))</f>
        <v>0</v>
      </c>
      <c r="O139" s="155">
        <f ca="1"/>
        <v>1.2436358769156719E-3</v>
      </c>
      <c r="P139" s="155">
        <f ca="1"/>
        <v>3.6918531872806026E-3</v>
      </c>
      <c r="Q139" s="155">
        <f ca="1"/>
        <v>1.0566755793972482E-2</v>
      </c>
      <c r="R139" s="155">
        <f ca="1"/>
        <v>1.8220415177120586E-2</v>
      </c>
      <c r="S139" s="155">
        <f ca="1"/>
        <v>0</v>
      </c>
      <c r="T139" s="155">
        <f ca="1"/>
        <v>3.6353114225047167E-2</v>
      </c>
      <c r="U139" s="155">
        <f ca="1"/>
        <v>5.4893207245415909E-2</v>
      </c>
      <c r="V139" s="138">
        <f ca="1"/>
        <v>8.3951839380907667E-2</v>
      </c>
      <c r="W139" s="137">
        <f ca="1"/>
        <v>0</v>
      </c>
      <c r="X139" s="155">
        <f ca="1"/>
        <v>1.3363791047872331E-3</v>
      </c>
      <c r="Y139" s="155">
        <f ca="1"/>
        <v>3.8578907082327252E-3</v>
      </c>
      <c r="Z139" s="155">
        <f ca="1"/>
        <v>1.0896511912972917E-2</v>
      </c>
      <c r="AA139" s="155">
        <f ca="1"/>
        <v>1.8711182267522442E-2</v>
      </c>
      <c r="AB139" s="155">
        <f ca="1"/>
        <v>0</v>
      </c>
      <c r="AC139" s="155">
        <f ca="1"/>
        <v>3.7155818789800232E-2</v>
      </c>
      <c r="AD139" s="155">
        <f ca="1"/>
        <v>5.6017342397183589E-2</v>
      </c>
      <c r="AE139" s="138">
        <f ca="1"/>
        <v>8.5477314732693155E-2</v>
      </c>
      <c r="AH139" s="135"/>
      <c r="AI139" s="135"/>
      <c r="AJ139" s="135"/>
      <c r="AK139" s="135"/>
      <c r="AM139" s="135"/>
      <c r="AN139" s="135"/>
      <c r="AO139" s="135"/>
      <c r="AQ139" s="135"/>
      <c r="AR139" s="135"/>
      <c r="AS139" s="135"/>
      <c r="AT139" s="135"/>
      <c r="AV139" s="135"/>
      <c r="AW139" s="135"/>
      <c r="AX139" s="135"/>
    </row>
    <row r="140" spans="1:50" s="79" customFormat="1" ht="11.25">
      <c r="A140" s="96">
        <f t="shared" ca="1" si="4"/>
        <v>129</v>
      </c>
      <c r="B140" s="68" t="s">
        <v>217</v>
      </c>
      <c r="C140" s="97">
        <v>0.4</v>
      </c>
      <c r="D140" s="69" t="s">
        <v>67</v>
      </c>
      <c r="E140" s="136" t="s">
        <v>87</v>
      </c>
      <c r="F140" s="154" t="s">
        <v>87</v>
      </c>
      <c r="G140" s="154">
        <v>7.7700000000000002E-4</v>
      </c>
      <c r="H140" s="154" t="s">
        <v>87</v>
      </c>
      <c r="I140" s="154">
        <v>1.4959999999999999E-3</v>
      </c>
      <c r="J140" s="154" t="s">
        <v>87</v>
      </c>
      <c r="K140" s="154">
        <v>2.1710000000000002E-3</v>
      </c>
      <c r="L140" s="154">
        <v>2.5089999999999999E-3</v>
      </c>
      <c r="M140" s="154">
        <v>3.4740000000000001E-3</v>
      </c>
      <c r="N140" s="137" cm="1">
        <f t="array" aca="1" ref="N140:AE140" ca="1">IF(OR(B140="",NOT($J$2)),"",GetStripDefaultProbability(A140,B140,Parameter_Date,CDSRollDate,E140:M140,SpreadCurveMaturities,D140,C140,$J$4,$J$6))</f>
        <v>0</v>
      </c>
      <c r="O140" s="155">
        <f ca="1"/>
        <v>0</v>
      </c>
      <c r="P140" s="155">
        <f ca="1"/>
        <v>1.3741055129523616E-3</v>
      </c>
      <c r="Q140" s="155">
        <f ca="1"/>
        <v>0</v>
      </c>
      <c r="R140" s="155">
        <f ca="1"/>
        <v>7.731346813689921E-3</v>
      </c>
      <c r="S140" s="155">
        <f ca="1"/>
        <v>0</v>
      </c>
      <c r="T140" s="155">
        <f ca="1"/>
        <v>1.8807857967923725E-2</v>
      </c>
      <c r="U140" s="155">
        <f ca="1"/>
        <v>3.0410059943794421E-2</v>
      </c>
      <c r="V140" s="138">
        <f ca="1"/>
        <v>6.1775496684611464E-2</v>
      </c>
      <c r="W140" s="137">
        <f ca="1"/>
        <v>0</v>
      </c>
      <c r="X140" s="155">
        <f ca="1"/>
        <v>0</v>
      </c>
      <c r="Y140" s="155">
        <f ca="1"/>
        <v>1.5405292929854264E-3</v>
      </c>
      <c r="Z140" s="155">
        <f ca="1"/>
        <v>0</v>
      </c>
      <c r="AA140" s="155">
        <f ca="1"/>
        <v>8.2273571273520085E-3</v>
      </c>
      <c r="AB140" s="155">
        <f ca="1"/>
        <v>0</v>
      </c>
      <c r="AC140" s="155">
        <f ca="1"/>
        <v>1.9625177489220325E-2</v>
      </c>
      <c r="AD140" s="155">
        <f ca="1"/>
        <v>3.1564492890963081E-2</v>
      </c>
      <c r="AE140" s="138">
        <f ca="1"/>
        <v>6.3363889490641423E-2</v>
      </c>
      <c r="AI140" s="135"/>
      <c r="AK140" s="135"/>
      <c r="AM140" s="135"/>
      <c r="AN140" s="135"/>
      <c r="AO140" s="135"/>
      <c r="AR140" s="135"/>
      <c r="AT140" s="135"/>
      <c r="AV140" s="135"/>
      <c r="AW140" s="135"/>
      <c r="AX140" s="135"/>
    </row>
    <row r="141" spans="1:50" s="79" customFormat="1" ht="11.25">
      <c r="A141" s="96">
        <f t="shared" ca="1" si="4"/>
        <v>130</v>
      </c>
      <c r="B141" s="68" t="s">
        <v>218</v>
      </c>
      <c r="C141" s="97">
        <v>0.4</v>
      </c>
      <c r="D141" s="69" t="s">
        <v>67</v>
      </c>
      <c r="E141" s="136" t="s">
        <v>87</v>
      </c>
      <c r="F141" s="154" t="s">
        <v>87</v>
      </c>
      <c r="G141" s="154">
        <v>9.4300000000000004E-4</v>
      </c>
      <c r="H141" s="154" t="s">
        <v>87</v>
      </c>
      <c r="I141" s="154">
        <v>2.702E-3</v>
      </c>
      <c r="J141" s="154" t="s">
        <v>87</v>
      </c>
      <c r="K141" s="154">
        <v>3.908E-3</v>
      </c>
      <c r="L141" s="154">
        <v>4.6319999999999998E-3</v>
      </c>
      <c r="M141" s="154">
        <v>5.6940000000000003E-3</v>
      </c>
      <c r="N141" s="137" cm="1">
        <f t="array" aca="1" ref="N141:AE141" ca="1">IF(OR(B141="",NOT($J$2)),"",GetStripDefaultProbability(A141,B141,Parameter_Date,CDSRollDate,E141:M141,SpreadCurveMaturities,D141,C141,$J$4,$J$6))</f>
        <v>0</v>
      </c>
      <c r="O141" s="155">
        <f ca="1"/>
        <v>0</v>
      </c>
      <c r="P141" s="155">
        <f ca="1"/>
        <v>1.6674293642588989E-3</v>
      </c>
      <c r="Q141" s="155">
        <f ca="1"/>
        <v>0</v>
      </c>
      <c r="R141" s="155">
        <f ca="1"/>
        <v>1.3990430918900953E-2</v>
      </c>
      <c r="S141" s="155">
        <f ca="1"/>
        <v>0</v>
      </c>
      <c r="T141" s="155">
        <f ca="1"/>
        <v>3.3723574293051506E-2</v>
      </c>
      <c r="U141" s="155">
        <f ca="1"/>
        <v>5.5794997197432084E-2</v>
      </c>
      <c r="V141" s="138">
        <f ca="1"/>
        <v>9.8247965850615016E-2</v>
      </c>
      <c r="W141" s="137">
        <f ca="1"/>
        <v>0</v>
      </c>
      <c r="X141" s="155">
        <f ca="1"/>
        <v>0</v>
      </c>
      <c r="Y141" s="155">
        <f ca="1"/>
        <v>1.8338042610678285E-3</v>
      </c>
      <c r="Z141" s="155">
        <f ca="1"/>
        <v>0</v>
      </c>
      <c r="AA141" s="155">
        <f ca="1"/>
        <v>1.4483312472769461E-2</v>
      </c>
      <c r="AB141" s="155">
        <f ca="1"/>
        <v>0</v>
      </c>
      <c r="AC141" s="155">
        <f ca="1"/>
        <v>3.4528469228355063E-2</v>
      </c>
      <c r="AD141" s="155">
        <f ca="1"/>
        <v>5.6920224074440529E-2</v>
      </c>
      <c r="AE141" s="138">
        <f ca="1"/>
        <v>9.9796108763467894E-2</v>
      </c>
      <c r="AI141" s="135"/>
      <c r="AK141" s="135"/>
      <c r="AM141" s="135"/>
      <c r="AN141" s="135"/>
      <c r="AO141" s="135"/>
      <c r="AR141" s="135"/>
      <c r="AT141" s="135"/>
      <c r="AV141" s="135"/>
      <c r="AW141" s="135"/>
      <c r="AX141" s="135"/>
    </row>
    <row r="142" spans="1:50" s="79" customFormat="1" ht="11.25">
      <c r="A142" s="96">
        <f t="shared" ca="1" si="4"/>
        <v>131</v>
      </c>
      <c r="B142" s="68" t="s">
        <v>219</v>
      </c>
      <c r="C142" s="97">
        <v>0.4</v>
      </c>
      <c r="D142" s="69" t="s">
        <v>67</v>
      </c>
      <c r="E142" s="136" t="s">
        <v>87</v>
      </c>
      <c r="F142" s="154" t="s">
        <v>87</v>
      </c>
      <c r="G142" s="154">
        <v>1.206E-3</v>
      </c>
      <c r="H142" s="154" t="s">
        <v>87</v>
      </c>
      <c r="I142" s="154">
        <v>1.9189999999999999E-3</v>
      </c>
      <c r="J142" s="154" t="s">
        <v>87</v>
      </c>
      <c r="K142" s="154">
        <v>2.4130000000000002E-3</v>
      </c>
      <c r="L142" s="154">
        <v>2.6809999999999998E-3</v>
      </c>
      <c r="M142" s="154">
        <v>3.2169999999999998E-3</v>
      </c>
      <c r="N142" s="137" cm="1">
        <f t="array" aca="1" ref="N142:AE142" ca="1">IF(OR(B142="",NOT($J$2)),"",GetStripDefaultProbability(A142,B142,Parameter_Date,CDSRollDate,E142:M142,SpreadCurveMaturities,D142,C142,$J$4,$J$6))</f>
        <v>0</v>
      </c>
      <c r="O142" s="155">
        <f ca="1"/>
        <v>0</v>
      </c>
      <c r="P142" s="155">
        <f ca="1"/>
        <v>2.1319782706600288E-3</v>
      </c>
      <c r="Q142" s="155">
        <f ca="1"/>
        <v>0</v>
      </c>
      <c r="R142" s="155">
        <f ca="1"/>
        <v>9.8811139812525761E-3</v>
      </c>
      <c r="S142" s="155">
        <f ca="1"/>
        <v>0</v>
      </c>
      <c r="T142" s="155">
        <f ca="1"/>
        <v>2.0699720716882419E-2</v>
      </c>
      <c r="U142" s="155">
        <f ca="1"/>
        <v>3.2142221070117882E-2</v>
      </c>
      <c r="V142" s="138">
        <f ca="1"/>
        <v>5.5774923485873429E-2</v>
      </c>
      <c r="W142" s="137">
        <f ca="1"/>
        <v>0</v>
      </c>
      <c r="X142" s="155">
        <f ca="1"/>
        <v>0</v>
      </c>
      <c r="Y142" s="155">
        <f ca="1"/>
        <v>2.2982757490949135E-3</v>
      </c>
      <c r="Z142" s="155">
        <f ca="1"/>
        <v>0</v>
      </c>
      <c r="AA142" s="155">
        <f ca="1"/>
        <v>1.037604968001582E-2</v>
      </c>
      <c r="AB142" s="155">
        <f ca="1"/>
        <v>0</v>
      </c>
      <c r="AC142" s="155">
        <f ca="1"/>
        <v>2.151546434259799E-2</v>
      </c>
      <c r="AD142" s="155">
        <f ca="1"/>
        <v>3.3293725094792337E-2</v>
      </c>
      <c r="AE142" s="138">
        <f ca="1"/>
        <v>5.7373507966816839E-2</v>
      </c>
      <c r="AI142" s="135"/>
      <c r="AK142" s="135"/>
      <c r="AM142" s="135"/>
      <c r="AN142" s="135"/>
      <c r="AO142" s="135"/>
      <c r="AR142" s="135"/>
      <c r="AT142" s="135"/>
      <c r="AV142" s="135"/>
      <c r="AW142" s="135"/>
      <c r="AX142" s="135"/>
    </row>
    <row r="143" spans="1:50" s="79" customFormat="1" ht="11.25">
      <c r="A143" s="96">
        <f t="shared" ca="1" si="4"/>
        <v>132</v>
      </c>
      <c r="B143" s="68" t="s">
        <v>220</v>
      </c>
      <c r="C143" s="97">
        <v>0.4</v>
      </c>
      <c r="D143" s="69" t="s">
        <v>67</v>
      </c>
      <c r="E143" s="136" t="s">
        <v>87</v>
      </c>
      <c r="F143" s="154" t="s">
        <v>87</v>
      </c>
      <c r="G143" s="154">
        <v>1.178E-3</v>
      </c>
      <c r="H143" s="154" t="s">
        <v>87</v>
      </c>
      <c r="I143" s="154">
        <v>2.3010000000000001E-3</v>
      </c>
      <c r="J143" s="154" t="s">
        <v>87</v>
      </c>
      <c r="K143" s="154">
        <v>3.3779999999999999E-3</v>
      </c>
      <c r="L143" s="154">
        <v>4.3559999999999996E-3</v>
      </c>
      <c r="M143" s="154">
        <v>5.3350000000000003E-3</v>
      </c>
      <c r="N143" s="137" cm="1">
        <f t="array" aca="1" ref="N143:AE143" ca="1">IF(OR(B143="",NOT($J$2)),"",GetStripDefaultProbability(A143,B143,Parameter_Date,CDSRollDate,E143:M143,SpreadCurveMaturities,D143,C143,$J$4,$J$6))</f>
        <v>0</v>
      </c>
      <c r="O143" s="155">
        <f ca="1"/>
        <v>0</v>
      </c>
      <c r="P143" s="155">
        <f ca="1"/>
        <v>2.0825307962583084E-3</v>
      </c>
      <c r="Q143" s="155">
        <f ca="1"/>
        <v>0</v>
      </c>
      <c r="R143" s="155">
        <f ca="1"/>
        <v>1.1873674581774019E-2</v>
      </c>
      <c r="S143" s="155">
        <f ca="1"/>
        <v>0</v>
      </c>
      <c r="T143" s="155">
        <f ca="1"/>
        <v>2.9169631798185214E-2</v>
      </c>
      <c r="U143" s="155">
        <f ca="1"/>
        <v>5.2961946537993243E-2</v>
      </c>
      <c r="V143" s="138">
        <f ca="1"/>
        <v>9.2641515704560584E-2</v>
      </c>
      <c r="W143" s="137">
        <f ca="1"/>
        <v>0</v>
      </c>
      <c r="X143" s="155">
        <f ca="1"/>
        <v>0</v>
      </c>
      <c r="Y143" s="155">
        <f ca="1"/>
        <v>2.2488365152585343E-3</v>
      </c>
      <c r="Z143" s="155">
        <f ca="1"/>
        <v>0</v>
      </c>
      <c r="AA143" s="155">
        <f ca="1"/>
        <v>1.2367614249250702E-2</v>
      </c>
      <c r="AB143" s="155">
        <f ca="1"/>
        <v>0</v>
      </c>
      <c r="AC143" s="155">
        <f ca="1"/>
        <v>2.9978320104739442E-2</v>
      </c>
      <c r="AD143" s="155">
        <f ca="1"/>
        <v>5.4090572672429227E-2</v>
      </c>
      <c r="AE143" s="138">
        <f ca="1"/>
        <v>9.4198967903101005E-2</v>
      </c>
      <c r="AI143" s="135"/>
      <c r="AK143" s="135"/>
      <c r="AM143" s="135"/>
      <c r="AN143" s="135"/>
      <c r="AO143" s="135"/>
      <c r="AR143" s="135"/>
      <c r="AT143" s="135"/>
      <c r="AV143" s="135"/>
      <c r="AW143" s="135"/>
      <c r="AX143" s="135"/>
    </row>
    <row r="144" spans="1:50" s="79" customFormat="1" ht="11.25">
      <c r="A144" s="96">
        <f t="shared" ca="1" si="4"/>
        <v>133</v>
      </c>
      <c r="B144" s="68" t="s">
        <v>221</v>
      </c>
      <c r="C144" s="97">
        <v>0.4</v>
      </c>
      <c r="D144" s="69" t="s">
        <v>67</v>
      </c>
      <c r="E144" s="136" t="s">
        <v>87</v>
      </c>
      <c r="F144" s="154" t="s">
        <v>87</v>
      </c>
      <c r="G144" s="154">
        <v>1.1900000000000001E-3</v>
      </c>
      <c r="H144" s="154" t="s">
        <v>87</v>
      </c>
      <c r="I144" s="154">
        <v>2.4269999999999999E-3</v>
      </c>
      <c r="J144" s="154" t="s">
        <v>87</v>
      </c>
      <c r="K144" s="154">
        <v>3.522E-3</v>
      </c>
      <c r="L144" s="154">
        <v>3.6649999999999999E-3</v>
      </c>
      <c r="M144" s="154">
        <v>3.8549999999999999E-3</v>
      </c>
      <c r="N144" s="137" cm="1">
        <f t="array" aca="1" ref="N144:AE144" ca="1">IF(OR(B144="",NOT($J$2)),"",GetStripDefaultProbability(A144,B144,Parameter_Date,CDSRollDate,E144:M144,SpreadCurveMaturities,D144,C144,$J$4,$J$6))</f>
        <v>0</v>
      </c>
      <c r="O144" s="155">
        <f ca="1"/>
        <v>0</v>
      </c>
      <c r="P144" s="155">
        <f ca="1"/>
        <v>2.1037228686712206E-3</v>
      </c>
      <c r="Q144" s="155">
        <f ca="1"/>
        <v>0</v>
      </c>
      <c r="R144" s="155">
        <f ca="1"/>
        <v>1.2527546433242942E-2</v>
      </c>
      <c r="S144" s="155">
        <f ca="1"/>
        <v>0</v>
      </c>
      <c r="T144" s="155">
        <f ca="1"/>
        <v>3.0388157904753355E-2</v>
      </c>
      <c r="U144" s="155">
        <f ca="1"/>
        <v>4.3656411689497854E-2</v>
      </c>
      <c r="V144" s="138">
        <f ca="1"/>
        <v>6.4900595110023773E-2</v>
      </c>
      <c r="W144" s="137">
        <f ca="1"/>
        <v>0</v>
      </c>
      <c r="X144" s="155">
        <f ca="1"/>
        <v>0</v>
      </c>
      <c r="Y144" s="155">
        <f ca="1"/>
        <v>2.2700250559570812E-3</v>
      </c>
      <c r="Z144" s="155">
        <f ca="1"/>
        <v>0</v>
      </c>
      <c r="AA144" s="155">
        <f ca="1"/>
        <v>1.3021159246578984E-2</v>
      </c>
      <c r="AB144" s="155">
        <f ca="1"/>
        <v>0</v>
      </c>
      <c r="AC144" s="155">
        <f ca="1"/>
        <v>3.1195831195874768E-2</v>
      </c>
      <c r="AD144" s="155">
        <f ca="1"/>
        <v>4.4795064341811131E-2</v>
      </c>
      <c r="AE144" s="138">
        <f ca="1"/>
        <v>6.6457796090244381E-2</v>
      </c>
      <c r="AI144" s="135"/>
      <c r="AK144" s="135"/>
      <c r="AM144" s="135"/>
      <c r="AN144" s="135"/>
      <c r="AO144" s="135"/>
      <c r="AR144" s="135"/>
      <c r="AT144" s="135"/>
      <c r="AV144" s="135"/>
      <c r="AW144" s="135"/>
      <c r="AX144" s="135"/>
    </row>
    <row r="145" spans="1:50" s="79" customFormat="1" ht="11.25">
      <c r="A145" s="96">
        <f t="shared" ca="1" si="4"/>
        <v>134</v>
      </c>
      <c r="B145" s="68" t="s">
        <v>222</v>
      </c>
      <c r="C145" s="97">
        <v>0.4</v>
      </c>
      <c r="D145" s="69" t="s">
        <v>67</v>
      </c>
      <c r="E145" s="136" t="s">
        <v>87</v>
      </c>
      <c r="F145" s="154" t="s">
        <v>87</v>
      </c>
      <c r="G145" s="154">
        <v>1.103E-3</v>
      </c>
      <c r="H145" s="154" t="s">
        <v>87</v>
      </c>
      <c r="I145" s="154">
        <v>1.805E-3</v>
      </c>
      <c r="J145" s="154" t="s">
        <v>87</v>
      </c>
      <c r="K145" s="154">
        <v>2.5569999999999998E-3</v>
      </c>
      <c r="L145" s="154">
        <v>3.46E-3</v>
      </c>
      <c r="M145" s="154">
        <v>4.2620000000000002E-3</v>
      </c>
      <c r="N145" s="137" cm="1">
        <f t="array" aca="1" ref="N145:AE145" ca="1">IF(OR(B145="",NOT($J$2)),"",GetStripDefaultProbability(A145,B145,Parameter_Date,CDSRollDate,E145:M145,SpreadCurveMaturities,D145,C145,$J$4,$J$6))</f>
        <v>0</v>
      </c>
      <c r="O145" s="155">
        <f ca="1"/>
        <v>0</v>
      </c>
      <c r="P145" s="155">
        <f ca="1"/>
        <v>1.9500702263623992E-3</v>
      </c>
      <c r="Q145" s="155">
        <f ca="1"/>
        <v>0</v>
      </c>
      <c r="R145" s="155">
        <f ca="1"/>
        <v>9.3005536776513686E-3</v>
      </c>
      <c r="S145" s="155">
        <f ca="1"/>
        <v>0</v>
      </c>
      <c r="T145" s="155">
        <f ca="1"/>
        <v>2.207506055987174E-2</v>
      </c>
      <c r="U145" s="155">
        <f ca="1"/>
        <v>4.23591348623783E-2</v>
      </c>
      <c r="V145" s="138">
        <f ca="1"/>
        <v>7.4732658901387028E-2</v>
      </c>
      <c r="W145" s="137">
        <f ca="1"/>
        <v>0</v>
      </c>
      <c r="X145" s="155">
        <f ca="1"/>
        <v>0</v>
      </c>
      <c r="Y145" s="155">
        <f ca="1"/>
        <v>2.1163980202744126E-3</v>
      </c>
      <c r="Z145" s="155">
        <f ca="1"/>
        <v>0</v>
      </c>
      <c r="AA145" s="155">
        <f ca="1"/>
        <v>9.7957795840372119E-3</v>
      </c>
      <c r="AB145" s="155">
        <f ca="1"/>
        <v>0</v>
      </c>
      <c r="AC145" s="155">
        <f ca="1"/>
        <v>2.288965854640479E-2</v>
      </c>
      <c r="AD145" s="155">
        <f ca="1"/>
        <v>4.3500371381014924E-2</v>
      </c>
      <c r="AE145" s="138">
        <f ca="1"/>
        <v>7.6299509293118573E-2</v>
      </c>
      <c r="AI145" s="135"/>
      <c r="AK145" s="135"/>
      <c r="AM145" s="135"/>
      <c r="AN145" s="135"/>
      <c r="AO145" s="135"/>
      <c r="AR145" s="135"/>
      <c r="AT145" s="135"/>
      <c r="AV145" s="135"/>
      <c r="AW145" s="135"/>
      <c r="AX145" s="135"/>
    </row>
    <row r="146" spans="1:50" s="79" customFormat="1" ht="11.25">
      <c r="A146" s="96">
        <f t="shared" ca="1" si="4"/>
        <v>135</v>
      </c>
      <c r="B146" s="68" t="s">
        <v>223</v>
      </c>
      <c r="C146" s="97">
        <v>0.4</v>
      </c>
      <c r="D146" s="69" t="s">
        <v>67</v>
      </c>
      <c r="E146" s="136" t="s">
        <v>87</v>
      </c>
      <c r="F146" s="154" t="s">
        <v>87</v>
      </c>
      <c r="G146" s="154">
        <v>1.1720000000000001E-3</v>
      </c>
      <c r="H146" s="154" t="s">
        <v>87</v>
      </c>
      <c r="I146" s="154">
        <v>3.0980000000000001E-3</v>
      </c>
      <c r="J146" s="154" t="s">
        <v>87</v>
      </c>
      <c r="K146" s="154">
        <v>3.908E-3</v>
      </c>
      <c r="L146" s="154">
        <v>4.8139999999999997E-3</v>
      </c>
      <c r="M146" s="154">
        <v>6.1479999999999998E-3</v>
      </c>
      <c r="N146" s="137" cm="1">
        <f t="array" aca="1" ref="N146:AE146" ca="1">IF(OR(B146="",NOT($J$2)),"",GetStripDefaultProbability(A146,B146,Parameter_Date,CDSRollDate,E146:M146,SpreadCurveMaturities,D146,C146,$J$4,$J$6))</f>
        <v>0</v>
      </c>
      <c r="O146" s="155">
        <f ca="1"/>
        <v>0</v>
      </c>
      <c r="P146" s="155">
        <f ca="1"/>
        <v>2.0719345925962473E-3</v>
      </c>
      <c r="Q146" s="155">
        <f ca="1"/>
        <v>0</v>
      </c>
      <c r="R146" s="155">
        <f ca="1"/>
        <v>1.6016038664327104E-2</v>
      </c>
      <c r="S146" s="155">
        <f ca="1"/>
        <v>0</v>
      </c>
      <c r="T146" s="155">
        <f ca="1"/>
        <v>3.346141535184799E-2</v>
      </c>
      <c r="U146" s="155">
        <f ca="1"/>
        <v>5.7911295835664123E-2</v>
      </c>
      <c r="V146" s="138">
        <f ca="1"/>
        <v>0.10638645620861265</v>
      </c>
      <c r="W146" s="137">
        <f ca="1"/>
        <v>0</v>
      </c>
      <c r="X146" s="155">
        <f ca="1"/>
        <v>0</v>
      </c>
      <c r="Y146" s="155">
        <f ca="1"/>
        <v>2.2382420775028944E-3</v>
      </c>
      <c r="Z146" s="155">
        <f ca="1"/>
        <v>0</v>
      </c>
      <c r="AA146" s="155">
        <f ca="1"/>
        <v>1.6507907667484334E-2</v>
      </c>
      <c r="AB146" s="155">
        <f ca="1"/>
        <v>0</v>
      </c>
      <c r="AC146" s="155">
        <f ca="1"/>
        <v>3.4266528661902496E-2</v>
      </c>
      <c r="AD146" s="155">
        <f ca="1"/>
        <v>5.9032978767780464E-2</v>
      </c>
      <c r="AE146" s="138">
        <f ca="1"/>
        <v>0.10792469638202284</v>
      </c>
      <c r="AI146" s="135"/>
      <c r="AK146" s="135"/>
      <c r="AM146" s="135"/>
      <c r="AN146" s="135"/>
      <c r="AO146" s="135"/>
      <c r="AR146" s="135"/>
      <c r="AT146" s="135"/>
      <c r="AV146" s="135"/>
      <c r="AW146" s="135"/>
      <c r="AX146" s="135"/>
    </row>
    <row r="147" spans="1:50" s="79" customFormat="1" ht="11.25">
      <c r="A147" s="96">
        <f t="shared" ca="1" si="4"/>
        <v>136</v>
      </c>
      <c r="B147" s="68" t="s">
        <v>224</v>
      </c>
      <c r="C147" s="97">
        <v>0.4</v>
      </c>
      <c r="D147" s="69" t="s">
        <v>67</v>
      </c>
      <c r="E147" s="136" t="s">
        <v>87</v>
      </c>
      <c r="F147" s="154" t="s">
        <v>87</v>
      </c>
      <c r="G147" s="154">
        <v>1.0380000000000001E-3</v>
      </c>
      <c r="H147" s="154" t="s">
        <v>87</v>
      </c>
      <c r="I147" s="154">
        <v>2.8470000000000001E-3</v>
      </c>
      <c r="J147" s="154" t="s">
        <v>87</v>
      </c>
      <c r="K147" s="154">
        <v>4.3429999999999996E-3</v>
      </c>
      <c r="L147" s="154">
        <v>5.4520000000000002E-3</v>
      </c>
      <c r="M147" s="154">
        <v>7.1890000000000001E-3</v>
      </c>
      <c r="N147" s="137" cm="1">
        <f t="array" aca="1" ref="N147:AE147" ca="1">IF(OR(B147="",NOT($J$2)),"",GetStripDefaultProbability(A147,B147,Parameter_Date,CDSRollDate,E147:M147,SpreadCurveMaturities,D147,C147,$J$4,$J$6))</f>
        <v>0</v>
      </c>
      <c r="O147" s="155">
        <f ca="1"/>
        <v>0</v>
      </c>
      <c r="P147" s="155">
        <f ca="1"/>
        <v>1.8352569539594743E-3</v>
      </c>
      <c r="Q147" s="155">
        <f ca="1"/>
        <v>0</v>
      </c>
      <c r="R147" s="155">
        <f ca="1"/>
        <v>1.473102557401329E-2</v>
      </c>
      <c r="S147" s="155">
        <f ca="1"/>
        <v>0</v>
      </c>
      <c r="T147" s="155">
        <f ca="1"/>
        <v>3.7518715227105259E-2</v>
      </c>
      <c r="U147" s="155">
        <f ca="1"/>
        <v>6.592273532337467E-2</v>
      </c>
      <c r="V147" s="138">
        <f ca="1"/>
        <v>0.12473849653385327</v>
      </c>
      <c r="W147" s="137">
        <f ca="1"/>
        <v>0</v>
      </c>
      <c r="X147" s="155">
        <f ca="1"/>
        <v>0</v>
      </c>
      <c r="Y147" s="155">
        <f ca="1"/>
        <v>2.0016038818216897E-3</v>
      </c>
      <c r="Z147" s="155">
        <f ca="1"/>
        <v>0</v>
      </c>
      <c r="AA147" s="155">
        <f ca="1"/>
        <v>1.5223536923107961E-2</v>
      </c>
      <c r="AB147" s="155">
        <f ca="1"/>
        <v>0</v>
      </c>
      <c r="AC147" s="155">
        <f ca="1"/>
        <v>3.8320448862348866E-2</v>
      </c>
      <c r="AD147" s="155">
        <f ca="1"/>
        <v>6.7035638137014519E-2</v>
      </c>
      <c r="AE147" s="138">
        <f ca="1"/>
        <v>0.12625425622548925</v>
      </c>
      <c r="AI147" s="135"/>
      <c r="AK147" s="135"/>
      <c r="AM147" s="135"/>
      <c r="AN147" s="135"/>
      <c r="AO147" s="135"/>
      <c r="AR147" s="135"/>
      <c r="AT147" s="135"/>
      <c r="AV147" s="135"/>
      <c r="AW147" s="135"/>
      <c r="AX147" s="135"/>
    </row>
    <row r="148" spans="1:50" s="79" customFormat="1" ht="11.25">
      <c r="A148" s="96">
        <f t="shared" ca="1" si="4"/>
        <v>137</v>
      </c>
      <c r="B148" s="68" t="s">
        <v>225</v>
      </c>
      <c r="C148" s="97">
        <v>0.4</v>
      </c>
      <c r="D148" s="69" t="s">
        <v>67</v>
      </c>
      <c r="E148" s="136" t="s">
        <v>87</v>
      </c>
      <c r="F148" s="154" t="s">
        <v>87</v>
      </c>
      <c r="G148" s="154">
        <v>9.5500000000000001E-4</v>
      </c>
      <c r="H148" s="154" t="s">
        <v>87</v>
      </c>
      <c r="I148" s="154">
        <v>1.8079999999999999E-3</v>
      </c>
      <c r="J148" s="154" t="s">
        <v>87</v>
      </c>
      <c r="K148" s="154">
        <v>3.4740000000000001E-3</v>
      </c>
      <c r="L148" s="154">
        <v>4.7109999999999999E-3</v>
      </c>
      <c r="M148" s="154">
        <v>6.3769999999999999E-3</v>
      </c>
      <c r="N148" s="137" cm="1">
        <f t="array" aca="1" ref="N148:AE148" ca="1">IF(OR(B148="",NOT($J$2)),"",GetStripDefaultProbability(A148,B148,Parameter_Date,CDSRollDate,E148:M148,SpreadCurveMaturities,D148,C148,$J$4,$J$6))</f>
        <v>0</v>
      </c>
      <c r="O148" s="155">
        <f ca="1"/>
        <v>0</v>
      </c>
      <c r="P148" s="155">
        <f ca="1"/>
        <v>1.6886301837989448E-3</v>
      </c>
      <c r="Q148" s="155">
        <f ca="1"/>
        <v>0</v>
      </c>
      <c r="R148" s="155">
        <f ca="1"/>
        <v>9.3355271262339778E-3</v>
      </c>
      <c r="S148" s="155">
        <f ca="1"/>
        <v>0</v>
      </c>
      <c r="T148" s="155">
        <f ca="1"/>
        <v>3.0345911650913493E-2</v>
      </c>
      <c r="U148" s="155">
        <f ca="1"/>
        <v>5.7832572996468712E-2</v>
      </c>
      <c r="V148" s="138">
        <f ca="1"/>
        <v>0.11233043886187821</v>
      </c>
      <c r="W148" s="137">
        <f ca="1"/>
        <v>0</v>
      </c>
      <c r="X148" s="155">
        <f ca="1"/>
        <v>0</v>
      </c>
      <c r="Y148" s="155">
        <f ca="1"/>
        <v>1.8550015474357862E-3</v>
      </c>
      <c r="Z148" s="155">
        <f ca="1"/>
        <v>0</v>
      </c>
      <c r="AA148" s="155">
        <f ca="1"/>
        <v>9.830735550244607E-3</v>
      </c>
      <c r="AB148" s="155">
        <f ca="1"/>
        <v>0</v>
      </c>
      <c r="AC148" s="155">
        <f ca="1"/>
        <v>3.115362013260714E-2</v>
      </c>
      <c r="AD148" s="155">
        <f ca="1"/>
        <v>5.8956444149678822E-2</v>
      </c>
      <c r="AE148" s="138">
        <f ca="1"/>
        <v>0.11386684752492904</v>
      </c>
      <c r="AI148" s="135"/>
      <c r="AK148" s="135"/>
      <c r="AM148" s="135"/>
      <c r="AN148" s="135"/>
      <c r="AO148" s="135"/>
      <c r="AR148" s="135"/>
      <c r="AT148" s="135"/>
      <c r="AV148" s="135"/>
      <c r="AW148" s="135"/>
      <c r="AX148" s="135"/>
    </row>
    <row r="149" spans="1:50" s="79" customFormat="1" ht="11.25">
      <c r="A149" s="96">
        <f t="shared" ca="1" si="4"/>
        <v>138</v>
      </c>
      <c r="B149" s="68" t="s">
        <v>226</v>
      </c>
      <c r="C149" s="97">
        <v>0.4</v>
      </c>
      <c r="D149" s="69" t="s">
        <v>67</v>
      </c>
      <c r="E149" s="136" t="s">
        <v>87</v>
      </c>
      <c r="F149" s="154" t="s">
        <v>87</v>
      </c>
      <c r="G149" s="154">
        <v>6.3100000000000005E-4</v>
      </c>
      <c r="H149" s="154" t="s">
        <v>87</v>
      </c>
      <c r="I149" s="154">
        <v>1.8730000000000001E-3</v>
      </c>
      <c r="J149" s="154" t="s">
        <v>87</v>
      </c>
      <c r="K149" s="154">
        <v>3.4259999999999998E-3</v>
      </c>
      <c r="L149" s="154">
        <v>4.339E-3</v>
      </c>
      <c r="M149" s="154">
        <v>5.8009999999999997E-3</v>
      </c>
      <c r="N149" s="137" cm="1">
        <f t="array" aca="1" ref="N149:AE149" ca="1">IF(OR(B149="",NOT($J$2)),"",GetStripDefaultProbability(A149,B149,Parameter_Date,CDSRollDate,E149:M149,SpreadCurveMaturities,D149,C149,$J$4,$J$6))</f>
        <v>0</v>
      </c>
      <c r="O149" s="155">
        <f ca="1"/>
        <v>0</v>
      </c>
      <c r="P149" s="155">
        <f ca="1"/>
        <v>1.1160511848837817E-3</v>
      </c>
      <c r="Q149" s="155">
        <f ca="1"/>
        <v>0</v>
      </c>
      <c r="R149" s="155">
        <f ca="1"/>
        <v>9.716757605742643E-3</v>
      </c>
      <c r="S149" s="155">
        <f ca="1"/>
        <v>0</v>
      </c>
      <c r="T149" s="155">
        <f ca="1"/>
        <v>2.9921471205654693E-2</v>
      </c>
      <c r="U149" s="155">
        <f ca="1"/>
        <v>5.3011582401489177E-2</v>
      </c>
      <c r="V149" s="138">
        <f ca="1"/>
        <v>0.10202272666137779</v>
      </c>
      <c r="W149" s="137">
        <f ca="1"/>
        <v>0</v>
      </c>
      <c r="X149" s="155">
        <f ca="1"/>
        <v>0</v>
      </c>
      <c r="Y149" s="155">
        <f ca="1"/>
        <v>1.2825179703969125E-3</v>
      </c>
      <c r="Z149" s="155">
        <f ca="1"/>
        <v>0</v>
      </c>
      <c r="AA149" s="155">
        <f ca="1"/>
        <v>1.0211775462151573E-2</v>
      </c>
      <c r="AB149" s="155">
        <f ca="1"/>
        <v>0</v>
      </c>
      <c r="AC149" s="155">
        <f ca="1"/>
        <v>3.0729533240349105E-2</v>
      </c>
      <c r="AD149" s="155">
        <f ca="1"/>
        <v>5.4141456164285562E-2</v>
      </c>
      <c r="AE149" s="138">
        <f ca="1"/>
        <v>0.10357153721778922</v>
      </c>
      <c r="AI149" s="135"/>
      <c r="AK149" s="135"/>
      <c r="AM149" s="135"/>
      <c r="AN149" s="135"/>
      <c r="AO149" s="135"/>
      <c r="AR149" s="135"/>
      <c r="AT149" s="135"/>
      <c r="AV149" s="135"/>
      <c r="AW149" s="135"/>
      <c r="AX149" s="135"/>
    </row>
    <row r="150" spans="1:50" s="79" customFormat="1" ht="11.25">
      <c r="A150" s="96">
        <f t="shared" ca="1" si="4"/>
        <v>139</v>
      </c>
      <c r="B150" s="68" t="s">
        <v>227</v>
      </c>
      <c r="C150" s="97">
        <v>0.4</v>
      </c>
      <c r="D150" s="69" t="s">
        <v>67</v>
      </c>
      <c r="E150" s="136" t="s">
        <v>87</v>
      </c>
      <c r="F150" s="154" t="s">
        <v>87</v>
      </c>
      <c r="G150" s="154">
        <v>3.28E-4</v>
      </c>
      <c r="H150" s="154" t="s">
        <v>87</v>
      </c>
      <c r="I150" s="154">
        <v>9.8400000000000007E-4</v>
      </c>
      <c r="J150" s="154" t="s">
        <v>87</v>
      </c>
      <c r="K150" s="154">
        <v>1.6410000000000001E-3</v>
      </c>
      <c r="L150" s="154">
        <v>2.2030000000000001E-3</v>
      </c>
      <c r="M150" s="154">
        <v>2.9529999999999999E-3</v>
      </c>
      <c r="N150" s="137" cm="1">
        <f t="array" aca="1" ref="N150:AE150" ca="1">IF(OR(B150="",NOT($J$2)),"",GetStripDefaultProbability(A150,B150,Parameter_Date,CDSRollDate,E150:M150,SpreadCurveMaturities,D150,C150,$J$4,$J$6))</f>
        <v>0</v>
      </c>
      <c r="O150" s="155">
        <f ca="1"/>
        <v>0</v>
      </c>
      <c r="P150" s="155">
        <f ca="1"/>
        <v>5.8028881125182785E-4</v>
      </c>
      <c r="Q150" s="155">
        <f ca="1"/>
        <v>0</v>
      </c>
      <c r="R150" s="155">
        <f ca="1"/>
        <v>5.1141010000160803E-3</v>
      </c>
      <c r="S150" s="155">
        <f ca="1"/>
        <v>0</v>
      </c>
      <c r="T150" s="155">
        <f ca="1"/>
        <v>1.435448977549636E-2</v>
      </c>
      <c r="U150" s="155">
        <f ca="1"/>
        <v>2.7243490213553212E-2</v>
      </c>
      <c r="V150" s="138">
        <f ca="1"/>
        <v>5.2954092297753386E-2</v>
      </c>
      <c r="W150" s="137">
        <f ca="1"/>
        <v>0</v>
      </c>
      <c r="X150" s="155">
        <f ca="1"/>
        <v>0</v>
      </c>
      <c r="Y150" s="155">
        <f ca="1"/>
        <v>7.4684488306542285E-4</v>
      </c>
      <c r="Z150" s="155">
        <f ca="1"/>
        <v>0</v>
      </c>
      <c r="AA150" s="155">
        <f ca="1"/>
        <v>5.6114196094879665E-3</v>
      </c>
      <c r="AB150" s="155">
        <f ca="1"/>
        <v>0</v>
      </c>
      <c r="AC150" s="155">
        <f ca="1"/>
        <v>1.517551889105595E-2</v>
      </c>
      <c r="AD150" s="155">
        <f ca="1"/>
        <v>2.8402642591223159E-2</v>
      </c>
      <c r="AE150" s="138">
        <f ca="1"/>
        <v>5.456102333366486E-2</v>
      </c>
      <c r="AI150" s="135"/>
      <c r="AK150" s="135"/>
      <c r="AM150" s="135"/>
      <c r="AN150" s="135"/>
      <c r="AO150" s="135"/>
      <c r="AR150" s="135"/>
      <c r="AT150" s="135"/>
      <c r="AV150" s="135"/>
      <c r="AW150" s="135"/>
      <c r="AX150" s="135"/>
    </row>
    <row r="151" spans="1:50" s="79" customFormat="1" ht="11.25">
      <c r="A151" s="96">
        <f t="shared" ca="1" si="4"/>
        <v>140</v>
      </c>
      <c r="B151" s="68" t="s">
        <v>228</v>
      </c>
      <c r="C151" s="97">
        <v>0.4</v>
      </c>
      <c r="D151" s="69" t="s">
        <v>67</v>
      </c>
      <c r="E151" s="136" t="s">
        <v>87</v>
      </c>
      <c r="F151" s="154" t="s">
        <v>87</v>
      </c>
      <c r="G151" s="154">
        <v>3.0200000000000001E-3</v>
      </c>
      <c r="H151" s="154" t="s">
        <v>87</v>
      </c>
      <c r="I151" s="154">
        <v>9.3609999999999995E-3</v>
      </c>
      <c r="J151" s="154" t="s">
        <v>87</v>
      </c>
      <c r="K151" s="154">
        <v>1.5102000000000001E-2</v>
      </c>
      <c r="L151" s="154">
        <v>1.737E-2</v>
      </c>
      <c r="M151" s="154">
        <v>1.9540999999999999E-2</v>
      </c>
      <c r="N151" s="137" cm="1">
        <f t="array" aca="1" ref="N151:AE151" ca="1">IF(OR(B151="",NOT($J$2)),"",GetStripDefaultProbability(A151,B151,Parameter_Date,CDSRollDate,E151:M151,SpreadCurveMaturities,D151,C151,$J$4,$J$6))</f>
        <v>0</v>
      </c>
      <c r="O151" s="155">
        <f ca="1"/>
        <v>0</v>
      </c>
      <c r="P151" s="155">
        <f ca="1"/>
        <v>5.3302960357051177E-3</v>
      </c>
      <c r="Q151" s="155">
        <f ca="1"/>
        <v>0</v>
      </c>
      <c r="R151" s="155">
        <f ca="1"/>
        <v>4.7866870826256736E-2</v>
      </c>
      <c r="S151" s="155">
        <f ca="1"/>
        <v>0</v>
      </c>
      <c r="T151" s="155">
        <f ca="1"/>
        <v>0.12663471609912547</v>
      </c>
      <c r="U151" s="155">
        <f ca="1"/>
        <v>0.19735579201341125</v>
      </c>
      <c r="V151" s="138">
        <f ca="1"/>
        <v>0.30201569557321484</v>
      </c>
      <c r="W151" s="137">
        <f ca="1"/>
        <v>0</v>
      </c>
      <c r="X151" s="155">
        <f ca="1"/>
        <v>0</v>
      </c>
      <c r="Y151" s="155">
        <f ca="1"/>
        <v>5.4960605056013634E-3</v>
      </c>
      <c r="Z151" s="155">
        <f ca="1"/>
        <v>0</v>
      </c>
      <c r="AA151" s="155">
        <f ca="1"/>
        <v>4.8342818394008669E-2</v>
      </c>
      <c r="AB151" s="155">
        <f ca="1"/>
        <v>0</v>
      </c>
      <c r="AC151" s="155">
        <f ca="1"/>
        <v>0.12739511937733106</v>
      </c>
      <c r="AD151" s="155">
        <f ca="1"/>
        <v>0.1983372886790018</v>
      </c>
      <c r="AE151" s="138">
        <f ca="1"/>
        <v>0.30324772017431223</v>
      </c>
      <c r="AI151" s="135"/>
      <c r="AK151" s="135"/>
      <c r="AM151" s="135"/>
      <c r="AN151" s="135"/>
      <c r="AO151" s="135"/>
      <c r="AR151" s="135"/>
      <c r="AT151" s="135"/>
      <c r="AV151" s="135"/>
      <c r="AW151" s="135"/>
      <c r="AX151" s="135"/>
    </row>
    <row r="152" spans="1:50" s="79" customFormat="1" ht="11.25">
      <c r="A152" s="96">
        <f t="shared" ca="1" si="4"/>
        <v>141</v>
      </c>
      <c r="B152" s="68" t="s">
        <v>229</v>
      </c>
      <c r="C152" s="97">
        <v>0.4</v>
      </c>
      <c r="D152" s="69" t="s">
        <v>67</v>
      </c>
      <c r="E152" s="136" t="s">
        <v>87</v>
      </c>
      <c r="F152" s="154" t="s">
        <v>87</v>
      </c>
      <c r="G152" s="154">
        <v>5.31E-4</v>
      </c>
      <c r="H152" s="154" t="s">
        <v>87</v>
      </c>
      <c r="I152" s="154">
        <v>6.7599999999999995E-4</v>
      </c>
      <c r="J152" s="154" t="s">
        <v>87</v>
      </c>
      <c r="K152" s="154">
        <v>1.158E-3</v>
      </c>
      <c r="L152" s="154">
        <v>1.4959999999999999E-3</v>
      </c>
      <c r="M152" s="154">
        <v>1.9780000000000002E-3</v>
      </c>
      <c r="N152" s="137" cm="1">
        <f t="array" aca="1" ref="N152:AE152" ca="1">IF(OR(B152="",NOT($J$2)),"",GetStripDefaultProbability(A152,B152,Parameter_Date,CDSRollDate,E152:M152,SpreadCurveMaturities,D152,C152,$J$4,$J$6))</f>
        <v>0</v>
      </c>
      <c r="O152" s="155">
        <f ca="1"/>
        <v>0</v>
      </c>
      <c r="P152" s="155">
        <f ca="1"/>
        <v>9.3926345047601334E-4</v>
      </c>
      <c r="Q152" s="155">
        <f ca="1"/>
        <v>0</v>
      </c>
      <c r="R152" s="155">
        <f ca="1"/>
        <v>3.4770172204563465E-3</v>
      </c>
      <c r="S152" s="155">
        <f ca="1"/>
        <v>0</v>
      </c>
      <c r="T152" s="155">
        <f ca="1"/>
        <v>1.011575318449387E-2</v>
      </c>
      <c r="U152" s="155">
        <f ca="1"/>
        <v>1.8466463027543845E-2</v>
      </c>
      <c r="V152" s="138">
        <f ca="1"/>
        <v>3.5526665199733798E-2</v>
      </c>
      <c r="W152" s="137">
        <f ca="1"/>
        <v>0</v>
      </c>
      <c r="X152" s="155">
        <f ca="1"/>
        <v>0</v>
      </c>
      <c r="Y152" s="155">
        <f ca="1"/>
        <v>1.1057596981427498E-3</v>
      </c>
      <c r="Z152" s="155">
        <f ca="1"/>
        <v>0</v>
      </c>
      <c r="AA152" s="155">
        <f ca="1"/>
        <v>3.9751541672536916E-3</v>
      </c>
      <c r="AB152" s="155">
        <f ca="1"/>
        <v>0</v>
      </c>
      <c r="AC152" s="155">
        <f ca="1"/>
        <v>1.0940313109125799E-2</v>
      </c>
      <c r="AD152" s="155">
        <f ca="1"/>
        <v>1.9634713176450713E-2</v>
      </c>
      <c r="AE152" s="138">
        <f ca="1"/>
        <v>3.7162927926381428E-2</v>
      </c>
      <c r="AI152" s="135"/>
      <c r="AK152" s="135"/>
      <c r="AM152" s="135"/>
      <c r="AN152" s="135"/>
      <c r="AO152" s="135"/>
      <c r="AR152" s="135"/>
      <c r="AT152" s="135"/>
      <c r="AV152" s="135"/>
      <c r="AW152" s="135"/>
      <c r="AX152" s="135"/>
    </row>
    <row r="153" spans="1:50" s="79" customFormat="1" ht="11.25">
      <c r="A153" s="96">
        <f t="shared" ca="1" si="4"/>
        <v>142</v>
      </c>
      <c r="B153" s="68" t="s">
        <v>230</v>
      </c>
      <c r="C153" s="97">
        <v>0.4</v>
      </c>
      <c r="D153" s="69" t="s">
        <v>67</v>
      </c>
      <c r="E153" s="136" t="s">
        <v>87</v>
      </c>
      <c r="F153" s="154" t="s">
        <v>87</v>
      </c>
      <c r="G153" s="154">
        <v>4.7899999999999999E-4</v>
      </c>
      <c r="H153" s="154" t="s">
        <v>87</v>
      </c>
      <c r="I153" s="154">
        <v>1.245E-3</v>
      </c>
      <c r="J153" s="154" t="s">
        <v>87</v>
      </c>
      <c r="K153" s="154">
        <v>2.075E-3</v>
      </c>
      <c r="L153" s="154">
        <v>2.581E-3</v>
      </c>
      <c r="M153" s="154">
        <v>3.0869999999999999E-3</v>
      </c>
      <c r="N153" s="137" cm="1">
        <f t="array" aca="1" ref="N153:AE153" ca="1">IF(OR(B153="",NOT($J$2)),"",GetStripDefaultProbability(A153,B153,Parameter_Date,CDSRollDate,E153:M153,SpreadCurveMaturities,D153,C153,$J$4,$J$6))</f>
        <v>0</v>
      </c>
      <c r="O153" s="155">
        <f ca="1"/>
        <v>0</v>
      </c>
      <c r="P153" s="155">
        <f ca="1"/>
        <v>8.4732155338929083E-4</v>
      </c>
      <c r="Q153" s="155">
        <f ca="1"/>
        <v>0</v>
      </c>
      <c r="R153" s="155">
        <f ca="1"/>
        <v>6.4590875949296356E-3</v>
      </c>
      <c r="S153" s="155">
        <f ca="1"/>
        <v>0</v>
      </c>
      <c r="T153" s="155">
        <f ca="1"/>
        <v>1.8118553865066445E-2</v>
      </c>
      <c r="U153" s="155">
        <f ca="1"/>
        <v>3.1644031643958459E-2</v>
      </c>
      <c r="V153" s="138">
        <f ca="1"/>
        <v>5.4226638003350813E-2</v>
      </c>
      <c r="W153" s="137">
        <f ca="1"/>
        <v>0</v>
      </c>
      <c r="X153" s="155">
        <f ca="1"/>
        <v>0</v>
      </c>
      <c r="Y153" s="155">
        <f ca="1"/>
        <v>1.0138331234285092E-3</v>
      </c>
      <c r="Z153" s="155">
        <f ca="1"/>
        <v>0</v>
      </c>
      <c r="AA153" s="155">
        <f ca="1"/>
        <v>6.95573387919457E-3</v>
      </c>
      <c r="AB153" s="155">
        <f ca="1"/>
        <v>0</v>
      </c>
      <c r="AC153" s="155">
        <f ca="1"/>
        <v>1.8936447567142078E-2</v>
      </c>
      <c r="AD153" s="155">
        <f ca="1"/>
        <v>3.279802042965152E-2</v>
      </c>
      <c r="AE153" s="138">
        <f ca="1"/>
        <v>5.5830653804902375E-2</v>
      </c>
      <c r="AI153" s="135"/>
      <c r="AK153" s="135"/>
      <c r="AM153" s="135"/>
      <c r="AN153" s="135"/>
      <c r="AO153" s="135"/>
      <c r="AR153" s="135"/>
      <c r="AT153" s="135"/>
      <c r="AV153" s="135"/>
      <c r="AW153" s="135"/>
      <c r="AX153" s="135"/>
    </row>
    <row r="154" spans="1:50" s="79" customFormat="1" ht="11.25">
      <c r="A154" s="96">
        <f t="shared" ca="1" si="4"/>
        <v>143</v>
      </c>
      <c r="B154" s="68" t="s">
        <v>231</v>
      </c>
      <c r="C154" s="97">
        <v>0.4</v>
      </c>
      <c r="D154" s="69" t="s">
        <v>67</v>
      </c>
      <c r="E154" s="136" t="s">
        <v>87</v>
      </c>
      <c r="F154" s="154" t="s">
        <v>87</v>
      </c>
      <c r="G154" s="154">
        <v>9.1699999999999995E-4</v>
      </c>
      <c r="H154" s="154" t="s">
        <v>87</v>
      </c>
      <c r="I154" s="154">
        <v>1.689E-3</v>
      </c>
      <c r="J154" s="154" t="s">
        <v>87</v>
      </c>
      <c r="K154" s="154">
        <v>2.4610000000000001E-3</v>
      </c>
      <c r="L154" s="154">
        <v>3.4450000000000001E-3</v>
      </c>
      <c r="M154" s="154">
        <v>4.6750000000000003E-3</v>
      </c>
      <c r="N154" s="137" cm="1">
        <f t="array" aca="1" ref="N154:AE154" ca="1">IF(OR(B154="",NOT($J$2)),"",GetStripDefaultProbability(A154,B154,Parameter_Date,CDSRollDate,E154:M154,SpreadCurveMaturities,D154,C154,$J$4,$J$6))</f>
        <v>0</v>
      </c>
      <c r="O154" s="155">
        <f ca="1"/>
        <v>0</v>
      </c>
      <c r="P154" s="155">
        <f ca="1"/>
        <v>1.6214927223938691E-3</v>
      </c>
      <c r="Q154" s="155">
        <f ca="1"/>
        <v>0</v>
      </c>
      <c r="R154" s="155">
        <f ca="1"/>
        <v>8.7200408059758816E-3</v>
      </c>
      <c r="S154" s="155">
        <f ca="1"/>
        <v>0</v>
      </c>
      <c r="T154" s="155">
        <f ca="1"/>
        <v>2.1299162388640269E-2</v>
      </c>
      <c r="U154" s="155">
        <f ca="1"/>
        <v>4.2355560241472578E-2</v>
      </c>
      <c r="V154" s="138">
        <f ca="1"/>
        <v>8.3057859385968991E-2</v>
      </c>
      <c r="W154" s="137">
        <f ca="1"/>
        <v>0</v>
      </c>
      <c r="X154" s="155">
        <f ca="1"/>
        <v>0</v>
      </c>
      <c r="Y154" s="155">
        <f ca="1"/>
        <v>1.7878752746717241E-3</v>
      </c>
      <c r="Z154" s="155">
        <f ca="1"/>
        <v>0</v>
      </c>
      <c r="AA154" s="155">
        <f ca="1"/>
        <v>9.2155568961904688E-3</v>
      </c>
      <c r="AB154" s="155">
        <f ca="1"/>
        <v>0</v>
      </c>
      <c r="AC154" s="155">
        <f ca="1"/>
        <v>2.2114406687691601E-2</v>
      </c>
      <c r="AD154" s="155">
        <f ca="1"/>
        <v>4.3497077076590229E-2</v>
      </c>
      <c r="AE154" s="138">
        <f ca="1"/>
        <v>8.4633603961366655E-2</v>
      </c>
      <c r="AI154" s="135"/>
      <c r="AK154" s="135"/>
      <c r="AM154" s="135"/>
      <c r="AN154" s="135"/>
      <c r="AO154" s="135"/>
      <c r="AR154" s="135"/>
      <c r="AT154" s="135"/>
      <c r="AV154" s="135"/>
      <c r="AW154" s="135"/>
      <c r="AX154" s="135"/>
    </row>
    <row r="155" spans="1:50" s="79" customFormat="1" ht="11.25">
      <c r="A155" s="96">
        <f t="shared" ca="1" si="4"/>
        <v>144</v>
      </c>
      <c r="B155" s="68" t="s">
        <v>232</v>
      </c>
      <c r="C155" s="97">
        <v>0.4</v>
      </c>
      <c r="D155" s="69" t="s">
        <v>67</v>
      </c>
      <c r="E155" s="136" t="s">
        <v>87</v>
      </c>
      <c r="F155" s="154" t="s">
        <v>87</v>
      </c>
      <c r="G155" s="154">
        <v>4.0900000000000002E-4</v>
      </c>
      <c r="H155" s="154" t="s">
        <v>87</v>
      </c>
      <c r="I155" s="154">
        <v>1.271E-3</v>
      </c>
      <c r="J155" s="154" t="s">
        <v>87</v>
      </c>
      <c r="K155" s="154">
        <v>1.882E-3</v>
      </c>
      <c r="L155" s="154">
        <v>2.6949999999999999E-3</v>
      </c>
      <c r="M155" s="154">
        <v>3.3059999999999999E-3</v>
      </c>
      <c r="N155" s="137" cm="1">
        <f t="array" aca="1" ref="N155:AE155" ca="1">IF(OR(B155="",NOT($J$2)),"",GetStripDefaultProbability(A155,B155,Parameter_Date,CDSRollDate,E155:M155,SpreadCurveMaturities,D155,C155,$J$4,$J$6))</f>
        <v>0</v>
      </c>
      <c r="O155" s="155">
        <f ca="1"/>
        <v>0</v>
      </c>
      <c r="P155" s="155">
        <f ca="1"/>
        <v>7.2354034946919832E-4</v>
      </c>
      <c r="Q155" s="155">
        <f ca="1"/>
        <v>0</v>
      </c>
      <c r="R155" s="155">
        <f ca="1"/>
        <v>6.603905833010737E-3</v>
      </c>
      <c r="S155" s="155">
        <f ca="1"/>
        <v>0</v>
      </c>
      <c r="T155" s="155">
        <f ca="1"/>
        <v>1.636819029790082E-2</v>
      </c>
      <c r="U155" s="155">
        <f ca="1"/>
        <v>3.3353183866676739E-2</v>
      </c>
      <c r="V155" s="138">
        <f ca="1"/>
        <v>5.854007454807808E-2</v>
      </c>
      <c r="W155" s="137">
        <f ca="1"/>
        <v>0</v>
      </c>
      <c r="X155" s="155">
        <f ca="1"/>
        <v>0</v>
      </c>
      <c r="Y155" s="155">
        <f ca="1"/>
        <v>8.9007254800632651E-4</v>
      </c>
      <c r="Z155" s="155">
        <f ca="1"/>
        <v>0</v>
      </c>
      <c r="AA155" s="155">
        <f ca="1"/>
        <v>7.1004797262890218E-3</v>
      </c>
      <c r="AB155" s="155">
        <f ca="1"/>
        <v>0</v>
      </c>
      <c r="AC155" s="155">
        <f ca="1"/>
        <v>1.7187542028706537E-2</v>
      </c>
      <c r="AD155" s="155">
        <f ca="1"/>
        <v>3.4505473931252362E-2</v>
      </c>
      <c r="AE155" s="138">
        <f ca="1"/>
        <v>6.0137689693277263E-2</v>
      </c>
      <c r="AI155" s="135"/>
      <c r="AK155" s="135"/>
      <c r="AM155" s="135"/>
      <c r="AN155" s="135"/>
      <c r="AO155" s="135"/>
      <c r="AR155" s="135"/>
      <c r="AT155" s="135"/>
      <c r="AV155" s="135"/>
      <c r="AW155" s="135"/>
      <c r="AX155" s="135"/>
    </row>
    <row r="156" spans="1:50" s="79" customFormat="1" ht="11.25">
      <c r="A156" s="96">
        <f t="shared" ca="1" si="4"/>
        <v>145</v>
      </c>
      <c r="B156" s="68" t="s">
        <v>233</v>
      </c>
      <c r="C156" s="97">
        <v>0.4</v>
      </c>
      <c r="D156" s="69" t="s">
        <v>67</v>
      </c>
      <c r="E156" s="136" t="s">
        <v>87</v>
      </c>
      <c r="F156" s="154" t="s">
        <v>87</v>
      </c>
      <c r="G156" s="154">
        <v>4.516E-3</v>
      </c>
      <c r="H156" s="154" t="s">
        <v>87</v>
      </c>
      <c r="I156" s="154">
        <v>5.5579999999999996E-3</v>
      </c>
      <c r="J156" s="154" t="s">
        <v>87</v>
      </c>
      <c r="K156" s="154">
        <v>6.9480000000000002E-3</v>
      </c>
      <c r="L156" s="154">
        <v>6.9480000000000002E-3</v>
      </c>
      <c r="M156" s="154">
        <v>6.9480000000000002E-3</v>
      </c>
      <c r="N156" s="137" cm="1">
        <f t="array" aca="1" ref="N156:AE156" ca="1">IF(OR(B156="",NOT($J$2)),"",GetStripDefaultProbability(A156,B156,Parameter_Date,CDSRollDate,E156:M156,SpreadCurveMaturities,D156,C156,$J$4,$J$6))</f>
        <v>0</v>
      </c>
      <c r="O156" s="155">
        <f ca="1"/>
        <v>0</v>
      </c>
      <c r="P156" s="155">
        <f ca="1"/>
        <v>7.9602959657174566E-3</v>
      </c>
      <c r="Q156" s="155">
        <f ca="1"/>
        <v>0</v>
      </c>
      <c r="R156" s="155">
        <f ca="1"/>
        <v>2.8240223692155175E-2</v>
      </c>
      <c r="S156" s="155">
        <f ca="1"/>
        <v>0</v>
      </c>
      <c r="T156" s="155">
        <f ca="1"/>
        <v>5.8481246500821205E-2</v>
      </c>
      <c r="U156" s="155">
        <f ca="1"/>
        <v>8.0170220023773719E-2</v>
      </c>
      <c r="V156" s="138">
        <f ca="1"/>
        <v>0.11183237519296818</v>
      </c>
      <c r="W156" s="137">
        <f ca="1"/>
        <v>0</v>
      </c>
      <c r="X156" s="155">
        <f ca="1"/>
        <v>0</v>
      </c>
      <c r="Y156" s="155">
        <f ca="1"/>
        <v>8.1256221388164018E-3</v>
      </c>
      <c r="Z156" s="155">
        <f ca="1"/>
        <v>0</v>
      </c>
      <c r="AA156" s="155">
        <f ca="1"/>
        <v>2.8725982130598737E-2</v>
      </c>
      <c r="AB156" s="155">
        <f ca="1"/>
        <v>0</v>
      </c>
      <c r="AC156" s="155">
        <f ca="1"/>
        <v>5.9265518636659853E-2</v>
      </c>
      <c r="AD156" s="155">
        <f ca="1"/>
        <v>8.1242729015186144E-2</v>
      </c>
      <c r="AE156" s="138">
        <f ca="1"/>
        <v>0.1133114216865414</v>
      </c>
      <c r="AI156" s="135"/>
      <c r="AK156" s="135"/>
      <c r="AM156" s="135"/>
      <c r="AN156" s="135"/>
      <c r="AO156" s="135"/>
      <c r="AR156" s="135"/>
      <c r="AT156" s="135"/>
      <c r="AV156" s="135"/>
      <c r="AW156" s="135"/>
      <c r="AX156" s="135"/>
    </row>
    <row r="157" spans="1:50" s="79" customFormat="1" ht="11.25">
      <c r="A157" s="96">
        <f t="shared" ca="1" si="4"/>
        <v>146</v>
      </c>
      <c r="B157" s="68" t="s">
        <v>234</v>
      </c>
      <c r="C157" s="97">
        <v>0.4</v>
      </c>
      <c r="D157" s="69" t="s">
        <v>67</v>
      </c>
      <c r="E157" s="136" t="s">
        <v>87</v>
      </c>
      <c r="F157" s="154" t="s">
        <v>87</v>
      </c>
      <c r="G157" s="154">
        <v>6.8499999999999995E-4</v>
      </c>
      <c r="H157" s="154" t="s">
        <v>87</v>
      </c>
      <c r="I157" s="154">
        <v>1.8890000000000001E-3</v>
      </c>
      <c r="J157" s="154" t="s">
        <v>87</v>
      </c>
      <c r="K157" s="154">
        <v>2.6540000000000001E-3</v>
      </c>
      <c r="L157" s="154">
        <v>3.5980000000000001E-3</v>
      </c>
      <c r="M157" s="154">
        <v>4.5880000000000001E-3</v>
      </c>
      <c r="N157" s="137" cm="1">
        <f t="array" aca="1" ref="N157:AE157" ca="1">IF(OR(B157="",NOT($J$2)),"",GetStripDefaultProbability(A157,B157,Parameter_Date,CDSRollDate,E157:M157,SpreadCurveMaturities,D157,C157,$J$4,$J$6))</f>
        <v>0</v>
      </c>
      <c r="O157" s="155">
        <f ca="1"/>
        <v>0</v>
      </c>
      <c r="P157" s="155">
        <f ca="1"/>
        <v>1.2115036487779784E-3</v>
      </c>
      <c r="Q157" s="155">
        <f ca="1"/>
        <v>0</v>
      </c>
      <c r="R157" s="155">
        <f ca="1"/>
        <v>9.7930846479036271E-3</v>
      </c>
      <c r="S157" s="155">
        <f ca="1"/>
        <v>0</v>
      </c>
      <c r="T157" s="155">
        <f ca="1"/>
        <v>2.2957727911276149E-2</v>
      </c>
      <c r="U157" s="155">
        <f ca="1"/>
        <v>4.4084008843508271E-2</v>
      </c>
      <c r="V157" s="138">
        <f ca="1"/>
        <v>8.0757700259576737E-2</v>
      </c>
      <c r="W157" s="137">
        <f ca="1"/>
        <v>0</v>
      </c>
      <c r="X157" s="155">
        <f ca="1"/>
        <v>0</v>
      </c>
      <c r="Y157" s="155">
        <f ca="1"/>
        <v>1.3779545268663984E-3</v>
      </c>
      <c r="Z157" s="155">
        <f ca="1"/>
        <v>0</v>
      </c>
      <c r="AA157" s="155">
        <f ca="1"/>
        <v>1.0288064350312931E-2</v>
      </c>
      <c r="AB157" s="155">
        <f ca="1"/>
        <v>0</v>
      </c>
      <c r="AC157" s="155">
        <f ca="1"/>
        <v>2.3771590648078211E-2</v>
      </c>
      <c r="AD157" s="155">
        <f ca="1"/>
        <v>4.5223428078160599E-2</v>
      </c>
      <c r="AE157" s="138">
        <f ca="1"/>
        <v>8.2288494742693508E-2</v>
      </c>
      <c r="AI157" s="135"/>
      <c r="AK157" s="135"/>
      <c r="AM157" s="135"/>
      <c r="AN157" s="135"/>
      <c r="AO157" s="135"/>
      <c r="AR157" s="135"/>
      <c r="AT157" s="135"/>
      <c r="AV157" s="135"/>
      <c r="AW157" s="135"/>
      <c r="AX157" s="135"/>
    </row>
    <row r="158" spans="1:50" s="79" customFormat="1" ht="11.25">
      <c r="A158" s="96">
        <f t="shared" ca="1" si="4"/>
        <v>147</v>
      </c>
      <c r="B158" s="68" t="s">
        <v>235</v>
      </c>
      <c r="C158" s="97">
        <v>0.4</v>
      </c>
      <c r="D158" s="69" t="s">
        <v>67</v>
      </c>
      <c r="E158" s="136" t="s">
        <v>87</v>
      </c>
      <c r="F158" s="154" t="s">
        <v>87</v>
      </c>
      <c r="G158" s="154">
        <v>9.0200000000000002E-4</v>
      </c>
      <c r="H158" s="154" t="s">
        <v>87</v>
      </c>
      <c r="I158" s="154">
        <v>2.1849999999999999E-3</v>
      </c>
      <c r="J158" s="154" t="s">
        <v>87</v>
      </c>
      <c r="K158" s="154">
        <v>3.4259999999999998E-3</v>
      </c>
      <c r="L158" s="154">
        <v>4.3189999999999999E-3</v>
      </c>
      <c r="M158" s="154">
        <v>5.1630000000000001E-3</v>
      </c>
      <c r="N158" s="137" cm="1">
        <f t="array" aca="1" ref="N158:AE158" ca="1">IF(OR(B158="",NOT($J$2)),"",GetStripDefaultProbability(A158,B158,Parameter_Date,CDSRollDate,E158:M158,SpreadCurveMaturities,D158,C158,$J$4,$J$6))</f>
        <v>0</v>
      </c>
      <c r="O158" s="155">
        <f ca="1"/>
        <v>0</v>
      </c>
      <c r="P158" s="155">
        <f ca="1"/>
        <v>1.5949898594456169E-3</v>
      </c>
      <c r="Q158" s="155">
        <f ca="1"/>
        <v>0</v>
      </c>
      <c r="R158" s="155">
        <f ca="1"/>
        <v>1.1306505646697107E-2</v>
      </c>
      <c r="S158" s="155">
        <f ca="1"/>
        <v>0</v>
      </c>
      <c r="T158" s="155">
        <f ca="1"/>
        <v>2.9704966474848549E-2</v>
      </c>
      <c r="U158" s="155">
        <f ca="1"/>
        <v>5.2529683417666506E-2</v>
      </c>
      <c r="V158" s="138">
        <f ca="1"/>
        <v>8.9444357311002087E-2</v>
      </c>
      <c r="W158" s="137">
        <f ca="1"/>
        <v>0</v>
      </c>
      <c r="X158" s="155">
        <f ca="1"/>
        <v>0</v>
      </c>
      <c r="Y158" s="155">
        <f ca="1"/>
        <v>1.7613768285056342E-3</v>
      </c>
      <c r="Z158" s="155">
        <f ca="1"/>
        <v>0</v>
      </c>
      <c r="AA158" s="155">
        <f ca="1"/>
        <v>1.1800728827762175E-2</v>
      </c>
      <c r="AB158" s="155">
        <f ca="1"/>
        <v>0</v>
      </c>
      <c r="AC158" s="155">
        <f ca="1"/>
        <v>3.0513208855009299E-2</v>
      </c>
      <c r="AD158" s="155">
        <f ca="1"/>
        <v>5.3659308345335055E-2</v>
      </c>
      <c r="AE158" s="138">
        <f ca="1"/>
        <v>9.0960686090552634E-2</v>
      </c>
      <c r="AI158" s="135"/>
      <c r="AK158" s="135"/>
      <c r="AM158" s="135"/>
      <c r="AN158" s="135"/>
      <c r="AO158" s="135"/>
      <c r="AR158" s="135"/>
      <c r="AT158" s="135"/>
      <c r="AV158" s="135"/>
      <c r="AW158" s="135"/>
      <c r="AX158" s="135"/>
    </row>
    <row r="159" spans="1:50" s="79" customFormat="1" ht="11.25">
      <c r="A159" s="96">
        <f t="shared" ca="1" si="4"/>
        <v>148</v>
      </c>
      <c r="B159" s="68" t="s">
        <v>236</v>
      </c>
      <c r="C159" s="97">
        <v>0.4</v>
      </c>
      <c r="D159" s="69" t="s">
        <v>67</v>
      </c>
      <c r="E159" s="136" t="s">
        <v>87</v>
      </c>
      <c r="F159" s="154" t="s">
        <v>87</v>
      </c>
      <c r="G159" s="154">
        <v>6.29E-4</v>
      </c>
      <c r="H159" s="154" t="s">
        <v>87</v>
      </c>
      <c r="I159" s="154">
        <v>1.8E-3</v>
      </c>
      <c r="J159" s="154" t="s">
        <v>87</v>
      </c>
      <c r="K159" s="154">
        <v>2.6059999999999998E-3</v>
      </c>
      <c r="L159" s="154">
        <v>3.2690000000000002E-3</v>
      </c>
      <c r="M159" s="154">
        <v>3.885E-3</v>
      </c>
      <c r="N159" s="137" cm="1">
        <f t="array" aca="1" ref="N159:AE159" ca="1">IF(OR(B159="",NOT($J$2)),"",GetStripDefaultProbability(A159,B159,Parameter_Date,CDSRollDate,E159:M159,SpreadCurveMaturities,D159,C159,$J$4,$J$6))</f>
        <v>0</v>
      </c>
      <c r="O159" s="155">
        <f ca="1"/>
        <v>0</v>
      </c>
      <c r="P159" s="155">
        <f ca="1"/>
        <v>1.1125157345645009E-3</v>
      </c>
      <c r="Q159" s="155">
        <f ca="1"/>
        <v>0</v>
      </c>
      <c r="R159" s="155">
        <f ca="1"/>
        <v>9.3364233133257368E-3</v>
      </c>
      <c r="S159" s="155">
        <f ca="1"/>
        <v>0</v>
      </c>
      <c r="T159" s="155">
        <f ca="1"/>
        <v>2.2582612003647751E-2</v>
      </c>
      <c r="U159" s="155">
        <f ca="1"/>
        <v>3.9852973094020028E-2</v>
      </c>
      <c r="V159" s="138">
        <f ca="1"/>
        <v>6.771629129095047E-2</v>
      </c>
      <c r="W159" s="137">
        <f ca="1"/>
        <v>0</v>
      </c>
      <c r="X159" s="155">
        <f ca="1"/>
        <v>0</v>
      </c>
      <c r="Y159" s="155">
        <f ca="1"/>
        <v>1.2789831092767656E-3</v>
      </c>
      <c r="Z159" s="155">
        <f ca="1"/>
        <v>0</v>
      </c>
      <c r="AA159" s="155">
        <f ca="1"/>
        <v>9.8316312893956814E-3</v>
      </c>
      <c r="AB159" s="155">
        <f ca="1"/>
        <v>0</v>
      </c>
      <c r="AC159" s="155">
        <f ca="1"/>
        <v>2.3396787206879766E-2</v>
      </c>
      <c r="AD159" s="155">
        <f ca="1"/>
        <v>4.0997258467944442E-2</v>
      </c>
      <c r="AE159" s="138">
        <f ca="1"/>
        <v>6.9295857644640413E-2</v>
      </c>
      <c r="AI159" s="135"/>
      <c r="AK159" s="135"/>
      <c r="AM159" s="135"/>
      <c r="AN159" s="135"/>
      <c r="AO159" s="135"/>
      <c r="AR159" s="135"/>
      <c r="AT159" s="135"/>
      <c r="AV159" s="135"/>
      <c r="AW159" s="135"/>
      <c r="AX159" s="135"/>
    </row>
    <row r="160" spans="1:50" s="79" customFormat="1" ht="11.25">
      <c r="A160" s="96">
        <f t="shared" ca="1" si="4"/>
        <v>149</v>
      </c>
      <c r="B160" s="68" t="s">
        <v>237</v>
      </c>
      <c r="C160" s="97">
        <v>0.4</v>
      </c>
      <c r="D160" s="69" t="s">
        <v>67</v>
      </c>
      <c r="E160" s="136" t="s">
        <v>87</v>
      </c>
      <c r="F160" s="154" t="s">
        <v>87</v>
      </c>
      <c r="G160" s="154">
        <v>1.238E-3</v>
      </c>
      <c r="H160" s="154" t="s">
        <v>87</v>
      </c>
      <c r="I160" s="154">
        <v>4.0530000000000002E-3</v>
      </c>
      <c r="J160" s="154" t="s">
        <v>87</v>
      </c>
      <c r="K160" s="154">
        <v>5.6940000000000003E-3</v>
      </c>
      <c r="L160" s="154">
        <v>7.4310000000000001E-3</v>
      </c>
      <c r="M160" s="154">
        <v>9.3609999999999995E-3</v>
      </c>
      <c r="N160" s="137" cm="1">
        <f t="array" aca="1" ref="N160:AE160" ca="1">IF(OR(B160="",NOT($J$2)),"",GetStripDefaultProbability(A160,B160,Parameter_Date,CDSRollDate,E160:M160,SpreadCurveMaturities,D160,C160,$J$4,$J$6))</f>
        <v>0</v>
      </c>
      <c r="O160" s="155">
        <f ca="1"/>
        <v>0</v>
      </c>
      <c r="P160" s="155">
        <f ca="1"/>
        <v>2.1884866933236102E-3</v>
      </c>
      <c r="Q160" s="155">
        <f ca="1"/>
        <v>0</v>
      </c>
      <c r="R160" s="155">
        <f ca="1"/>
        <v>2.095508872279872E-2</v>
      </c>
      <c r="S160" s="155">
        <f ca="1"/>
        <v>0</v>
      </c>
      <c r="T160" s="155">
        <f ca="1"/>
        <v>4.8806019032593961E-2</v>
      </c>
      <c r="U160" s="155">
        <f ca="1"/>
        <v>8.9258320448838746E-2</v>
      </c>
      <c r="V160" s="138">
        <f ca="1"/>
        <v>0.15925306261321914</v>
      </c>
      <c r="W160" s="137">
        <f ca="1"/>
        <v>0</v>
      </c>
      <c r="X160" s="155">
        <f ca="1"/>
        <v>0</v>
      </c>
      <c r="Y160" s="155">
        <f ca="1"/>
        <v>2.3547747544959696E-3</v>
      </c>
      <c r="Z160" s="155">
        <f ca="1"/>
        <v>0</v>
      </c>
      <c r="AA160" s="155">
        <f ca="1"/>
        <v>2.1444488818237017E-2</v>
      </c>
      <c r="AB160" s="155">
        <f ca="1"/>
        <v>0</v>
      </c>
      <c r="AC160" s="155">
        <f ca="1"/>
        <v>4.9598350499465593E-2</v>
      </c>
      <c r="AD160" s="155">
        <f ca="1"/>
        <v>9.032023283895696E-2</v>
      </c>
      <c r="AE160" s="138">
        <f ca="1"/>
        <v>0.16072236197139689</v>
      </c>
      <c r="AI160" s="135"/>
      <c r="AK160" s="135"/>
      <c r="AM160" s="135"/>
      <c r="AN160" s="135"/>
      <c r="AO160" s="135"/>
      <c r="AR160" s="135"/>
      <c r="AT160" s="135"/>
      <c r="AV160" s="135"/>
      <c r="AW160" s="135"/>
      <c r="AX160" s="135"/>
    </row>
    <row r="161" spans="1:50" s="79" customFormat="1" ht="11.25">
      <c r="A161" s="96">
        <f t="shared" ca="1" si="4"/>
        <v>150</v>
      </c>
      <c r="B161" s="68" t="s">
        <v>238</v>
      </c>
      <c r="C161" s="97">
        <v>0.4</v>
      </c>
      <c r="D161" s="69" t="s">
        <v>67</v>
      </c>
      <c r="E161" s="136" t="s">
        <v>87</v>
      </c>
      <c r="F161" s="154" t="s">
        <v>87</v>
      </c>
      <c r="G161" s="154">
        <v>3.4431999999999997E-2</v>
      </c>
      <c r="H161" s="154" t="s">
        <v>87</v>
      </c>
      <c r="I161" s="154">
        <v>3.3938000000000003E-2</v>
      </c>
      <c r="J161" s="154" t="s">
        <v>87</v>
      </c>
      <c r="K161" s="154">
        <v>3.006E-2</v>
      </c>
      <c r="L161" s="154">
        <v>2.8119999999999999E-2</v>
      </c>
      <c r="M161" s="154">
        <v>2.7151000000000002E-2</v>
      </c>
      <c r="N161" s="137" cm="1">
        <f t="array" aca="1" ref="N161:AE161" ca="1">IF(OR(B161="",NOT($J$2)),"",GetStripDefaultProbability(A161,B161,Parameter_Date,CDSRollDate,E161:M161,SpreadCurveMaturities,D161,C161,$J$4,$J$6))</f>
        <v>0</v>
      </c>
      <c r="O161" s="155">
        <f ca="1"/>
        <v>0</v>
      </c>
      <c r="P161" s="155">
        <f ca="1"/>
        <v>5.9112735974764852E-2</v>
      </c>
      <c r="Q161" s="155">
        <f ca="1"/>
        <v>0</v>
      </c>
      <c r="R161" s="155">
        <f ca="1"/>
        <v>0.15953357101311783</v>
      </c>
      <c r="S161" s="155">
        <f ca="1"/>
        <v>0</v>
      </c>
      <c r="T161" s="155">
        <f ca="1"/>
        <v>0.22073067064201712</v>
      </c>
      <c r="U161" s="155">
        <f ca="1"/>
        <v>0.27447165275665064</v>
      </c>
      <c r="V161" s="138">
        <f ca="1"/>
        <v>0.35551259309182059</v>
      </c>
      <c r="W161" s="137">
        <f ca="1"/>
        <v>0</v>
      </c>
      <c r="X161" s="155">
        <f ca="1"/>
        <v>0</v>
      </c>
      <c r="Y161" s="155">
        <f ca="1"/>
        <v>5.9269537451608345E-2</v>
      </c>
      <c r="Z161" s="155">
        <f ca="1"/>
        <v>0</v>
      </c>
      <c r="AA161" s="155">
        <f ca="1"/>
        <v>0.15995369918682389</v>
      </c>
      <c r="AB161" s="155">
        <f ca="1"/>
        <v>0</v>
      </c>
      <c r="AC161" s="155">
        <f ca="1"/>
        <v>0.22137979124531015</v>
      </c>
      <c r="AD161" s="155">
        <f ca="1"/>
        <v>0.27531760892470025</v>
      </c>
      <c r="AE161" s="138">
        <f ca="1"/>
        <v>0.35658584414568117</v>
      </c>
      <c r="AI161" s="135"/>
      <c r="AK161" s="135"/>
      <c r="AM161" s="135"/>
      <c r="AN161" s="135"/>
      <c r="AO161" s="135"/>
      <c r="AR161" s="135"/>
      <c r="AT161" s="135"/>
      <c r="AV161" s="135"/>
      <c r="AW161" s="135"/>
      <c r="AX161" s="135"/>
    </row>
    <row r="162" spans="1:50" s="79" customFormat="1" ht="11.25">
      <c r="A162" s="96">
        <f t="shared" ca="1" si="4"/>
        <v>151</v>
      </c>
      <c r="B162" s="68" t="s">
        <v>239</v>
      </c>
      <c r="C162" s="97">
        <v>0.4</v>
      </c>
      <c r="D162" s="69" t="s">
        <v>67</v>
      </c>
      <c r="E162" s="136" t="s">
        <v>87</v>
      </c>
      <c r="F162" s="154" t="s">
        <v>87</v>
      </c>
      <c r="G162" s="154">
        <v>1.083E-3</v>
      </c>
      <c r="H162" s="154" t="s">
        <v>87</v>
      </c>
      <c r="I162" s="154">
        <v>3.0460000000000001E-3</v>
      </c>
      <c r="J162" s="154" t="s">
        <v>87</v>
      </c>
      <c r="K162" s="154">
        <v>4.8729999999999997E-3</v>
      </c>
      <c r="L162" s="154">
        <v>6.4980000000000003E-3</v>
      </c>
      <c r="M162" s="154">
        <v>8.6300000000000005E-3</v>
      </c>
      <c r="N162" s="137" cm="1">
        <f t="array" aca="1" ref="N162:AE162" ca="1">IF(OR(B162="",NOT($J$2)),"",GetStripDefaultProbability(A162,B162,Parameter_Date,CDSRollDate,E162:M162,SpreadCurveMaturities,D162,C162,$J$4,$J$6))</f>
        <v>0</v>
      </c>
      <c r="O162" s="155">
        <f ca="1"/>
        <v>0</v>
      </c>
      <c r="P162" s="155">
        <f ca="1"/>
        <v>1.9147444614078246E-3</v>
      </c>
      <c r="Q162" s="155">
        <f ca="1"/>
        <v>0</v>
      </c>
      <c r="R162" s="155">
        <f ca="1"/>
        <v>1.5758269360997001E-2</v>
      </c>
      <c r="S162" s="155">
        <f ca="1"/>
        <v>0</v>
      </c>
      <c r="T162" s="155">
        <f ca="1"/>
        <v>4.2128524531223954E-2</v>
      </c>
      <c r="U162" s="155">
        <f ca="1"/>
        <v>7.8795335624791019E-2</v>
      </c>
      <c r="V162" s="138">
        <f ca="1"/>
        <v>0.14917330845067711</v>
      </c>
      <c r="W162" s="137">
        <f ca="1"/>
        <v>0</v>
      </c>
      <c r="X162" s="155">
        <f ca="1"/>
        <v>0</v>
      </c>
      <c r="Y162" s="155">
        <f ca="1"/>
        <v>2.0810781424793756E-3</v>
      </c>
      <c r="Z162" s="155">
        <f ca="1"/>
        <v>0</v>
      </c>
      <c r="AA162" s="155">
        <f ca="1"/>
        <v>1.6250267216636138E-2</v>
      </c>
      <c r="AB162" s="155">
        <f ca="1"/>
        <v>0</v>
      </c>
      <c r="AC162" s="155">
        <f ca="1"/>
        <v>4.2926418258910082E-2</v>
      </c>
      <c r="AD162" s="155">
        <f ca="1"/>
        <v>7.9869447712690222E-2</v>
      </c>
      <c r="AE162" s="138">
        <f ca="1"/>
        <v>0.15066154556293188</v>
      </c>
      <c r="AI162" s="135"/>
      <c r="AK162" s="135"/>
      <c r="AM162" s="135"/>
      <c r="AN162" s="135"/>
      <c r="AO162" s="135"/>
      <c r="AR162" s="135"/>
      <c r="AT162" s="135"/>
      <c r="AV162" s="135"/>
      <c r="AW162" s="135"/>
      <c r="AX162" s="135"/>
    </row>
    <row r="163" spans="1:50" s="79" customFormat="1" ht="11.25">
      <c r="A163" s="96">
        <f t="shared" ca="1" si="4"/>
        <v>152</v>
      </c>
      <c r="B163" s="68" t="s">
        <v>240</v>
      </c>
      <c r="C163" s="97">
        <v>0.4</v>
      </c>
      <c r="D163" s="69" t="s">
        <v>67</v>
      </c>
      <c r="E163" s="136" t="s">
        <v>87</v>
      </c>
      <c r="F163" s="154" t="s">
        <v>87</v>
      </c>
      <c r="G163" s="154">
        <v>1.0970000000000001E-3</v>
      </c>
      <c r="H163" s="154" t="s">
        <v>87</v>
      </c>
      <c r="I163" s="154">
        <v>1.645E-3</v>
      </c>
      <c r="J163" s="154" t="s">
        <v>87</v>
      </c>
      <c r="K163" s="154">
        <v>2.4130000000000002E-3</v>
      </c>
      <c r="L163" s="154">
        <v>2.6689999999999999E-3</v>
      </c>
      <c r="M163" s="154">
        <v>3.2850000000000002E-3</v>
      </c>
      <c r="N163" s="137" cm="1">
        <f t="array" aca="1" ref="N163:AE163" ca="1">IF(OR(B163="",NOT($J$2)),"",GetStripDefaultProbability(A163,B163,Parameter_Date,CDSRollDate,E163:M163,SpreadCurveMaturities,D163,C163,$J$4,$J$6))</f>
        <v>0</v>
      </c>
      <c r="O163" s="155">
        <f ca="1"/>
        <v>0</v>
      </c>
      <c r="P163" s="155">
        <f ca="1"/>
        <v>1.9394726271406704E-3</v>
      </c>
      <c r="Q163" s="155">
        <f ca="1"/>
        <v>0</v>
      </c>
      <c r="R163" s="155">
        <f ca="1"/>
        <v>8.4671794839242809E-3</v>
      </c>
      <c r="S163" s="155">
        <f ca="1"/>
        <v>0</v>
      </c>
      <c r="T163" s="155">
        <f ca="1"/>
        <v>2.0866947866636121E-2</v>
      </c>
      <c r="U163" s="155">
        <f ca="1"/>
        <v>3.2150402887305307E-2</v>
      </c>
      <c r="V163" s="138">
        <f ca="1"/>
        <v>5.7315828476550035E-2</v>
      </c>
      <c r="W163" s="137">
        <f ca="1"/>
        <v>0</v>
      </c>
      <c r="X163" s="155">
        <f ca="1"/>
        <v>0</v>
      </c>
      <c r="Y163" s="155">
        <f ca="1"/>
        <v>2.1058021871914745E-3</v>
      </c>
      <c r="Z163" s="155">
        <f ca="1"/>
        <v>0</v>
      </c>
      <c r="AA163" s="155">
        <f ca="1"/>
        <v>8.96282197323095E-3</v>
      </c>
      <c r="AB163" s="155">
        <f ca="1"/>
        <v>0</v>
      </c>
      <c r="AC163" s="155">
        <f ca="1"/>
        <v>2.1682552194400628E-2</v>
      </c>
      <c r="AD163" s="155">
        <f ca="1"/>
        <v>3.3302506356878703E-2</v>
      </c>
      <c r="AE163" s="138">
        <f ca="1"/>
        <v>5.8912263824598909E-2</v>
      </c>
      <c r="AI163" s="135"/>
      <c r="AK163" s="135"/>
      <c r="AM163" s="135"/>
      <c r="AN163" s="135"/>
      <c r="AO163" s="135"/>
      <c r="AR163" s="135"/>
      <c r="AT163" s="135"/>
      <c r="AV163" s="135"/>
      <c r="AW163" s="135"/>
      <c r="AX163" s="135"/>
    </row>
    <row r="164" spans="1:50" s="79" customFormat="1" ht="11.25">
      <c r="A164" s="96">
        <f t="shared" ca="1" si="4"/>
        <v>153</v>
      </c>
      <c r="B164" s="68" t="s">
        <v>241</v>
      </c>
      <c r="C164" s="97">
        <v>0.4</v>
      </c>
      <c r="D164" s="69" t="s">
        <v>67</v>
      </c>
      <c r="E164" s="136" t="s">
        <v>87</v>
      </c>
      <c r="F164" s="154" t="s">
        <v>87</v>
      </c>
      <c r="G164" s="154">
        <v>1.505E-3</v>
      </c>
      <c r="H164" s="154" t="s">
        <v>87</v>
      </c>
      <c r="I164" s="154">
        <v>2.6090000000000002E-3</v>
      </c>
      <c r="J164" s="154" t="s">
        <v>87</v>
      </c>
      <c r="K164" s="154">
        <v>3.764E-3</v>
      </c>
      <c r="L164" s="154">
        <v>4.8170000000000001E-3</v>
      </c>
      <c r="M164" s="154">
        <v>5.8209999999999998E-3</v>
      </c>
      <c r="N164" s="137" cm="1">
        <f t="array" aca="1" ref="N164:AE164" ca="1">IF(OR(B164="",NOT($J$2)),"",GetStripDefaultProbability(A164,B164,Parameter_Date,CDSRollDate,E164:M164,SpreadCurveMaturities,D164,C164,$J$4,$J$6))</f>
        <v>0</v>
      </c>
      <c r="O164" s="155">
        <f ca="1"/>
        <v>0</v>
      </c>
      <c r="P164" s="155">
        <f ca="1"/>
        <v>2.6598551124339398E-3</v>
      </c>
      <c r="Q164" s="155">
        <f ca="1"/>
        <v>0</v>
      </c>
      <c r="R164" s="155">
        <f ca="1"/>
        <v>1.343159530764082E-2</v>
      </c>
      <c r="S164" s="155">
        <f ca="1"/>
        <v>0</v>
      </c>
      <c r="T164" s="155">
        <f ca="1"/>
        <v>3.2409833346641159E-2</v>
      </c>
      <c r="U164" s="155">
        <f ca="1"/>
        <v>5.8350775013456091E-2</v>
      </c>
      <c r="V164" s="138">
        <f ca="1"/>
        <v>0.10044957150091827</v>
      </c>
      <c r="W164" s="137">
        <f ca="1"/>
        <v>0</v>
      </c>
      <c r="X164" s="155">
        <f ca="1"/>
        <v>0</v>
      </c>
      <c r="Y164" s="155">
        <f ca="1"/>
        <v>2.8260646187289185E-3</v>
      </c>
      <c r="Z164" s="155">
        <f ca="1"/>
        <v>0</v>
      </c>
      <c r="AA164" s="155">
        <f ca="1"/>
        <v>1.3924756209492406E-2</v>
      </c>
      <c r="AB164" s="155">
        <f ca="1"/>
        <v>0</v>
      </c>
      <c r="AC164" s="155">
        <f ca="1"/>
        <v>3.3215822610035639E-2</v>
      </c>
      <c r="AD164" s="155">
        <f ca="1"/>
        <v>5.9472504116826697E-2</v>
      </c>
      <c r="AE164" s="138">
        <f ca="1"/>
        <v>0.10199498782773297</v>
      </c>
      <c r="AI164" s="135"/>
      <c r="AK164" s="135"/>
      <c r="AM164" s="135"/>
      <c r="AN164" s="135"/>
      <c r="AO164" s="135"/>
      <c r="AR164" s="135"/>
      <c r="AT164" s="135"/>
      <c r="AV164" s="135"/>
      <c r="AW164" s="135"/>
      <c r="AX164" s="135"/>
    </row>
    <row r="165" spans="1:50" s="79" customFormat="1" ht="11.25">
      <c r="A165" s="96">
        <f t="shared" ca="1" si="4"/>
        <v>154</v>
      </c>
      <c r="B165" s="68" t="s">
        <v>242</v>
      </c>
      <c r="C165" s="97">
        <v>0.4</v>
      </c>
      <c r="D165" s="69" t="s">
        <v>67</v>
      </c>
      <c r="E165" s="136" t="s">
        <v>87</v>
      </c>
      <c r="F165" s="154" t="s">
        <v>87</v>
      </c>
      <c r="G165" s="154">
        <v>5.31E-4</v>
      </c>
      <c r="H165" s="154" t="s">
        <v>87</v>
      </c>
      <c r="I165" s="154">
        <v>1.4480000000000001E-3</v>
      </c>
      <c r="J165" s="154" t="s">
        <v>87</v>
      </c>
      <c r="K165" s="154">
        <v>2.1229999999999999E-3</v>
      </c>
      <c r="L165" s="154">
        <v>2.7989999999999998E-3</v>
      </c>
      <c r="M165" s="154">
        <v>3.9569999999999996E-3</v>
      </c>
      <c r="N165" s="137" cm="1">
        <f t="array" aca="1" ref="N165:AE165" ca="1">IF(OR(B165="",NOT($J$2)),"",GetStripDefaultProbability(A165,B165,Parameter_Date,CDSRollDate,E165:M165,SpreadCurveMaturities,D165,C165,$J$4,$J$6))</f>
        <v>0</v>
      </c>
      <c r="O165" s="155">
        <f ca="1"/>
        <v>0</v>
      </c>
      <c r="P165" s="155">
        <f ca="1"/>
        <v>9.3926345047601334E-4</v>
      </c>
      <c r="Q165" s="155">
        <f ca="1"/>
        <v>0</v>
      </c>
      <c r="R165" s="155">
        <f ca="1"/>
        <v>7.51258902927876E-3</v>
      </c>
      <c r="S165" s="155">
        <f ca="1"/>
        <v>0</v>
      </c>
      <c r="T165" s="155">
        <f ca="1"/>
        <v>1.8433202332726828E-2</v>
      </c>
      <c r="U165" s="155">
        <f ca="1"/>
        <v>3.4362004164312676E-2</v>
      </c>
      <c r="V165" s="138">
        <f ca="1"/>
        <v>7.0848999477525876E-2</v>
      </c>
      <c r="W165" s="137">
        <f ca="1"/>
        <v>0</v>
      </c>
      <c r="X165" s="155">
        <f ca="1"/>
        <v>0</v>
      </c>
      <c r="Y165" s="155">
        <f ca="1"/>
        <v>1.1057596981427498E-3</v>
      </c>
      <c r="Z165" s="155">
        <f ca="1"/>
        <v>0</v>
      </c>
      <c r="AA165" s="155">
        <f ca="1"/>
        <v>8.008708694472122E-3</v>
      </c>
      <c r="AB165" s="155">
        <f ca="1"/>
        <v>0</v>
      </c>
      <c r="AC165" s="155">
        <f ca="1"/>
        <v>1.925083393694571E-2</v>
      </c>
      <c r="AD165" s="155">
        <f ca="1"/>
        <v>3.5512802712800218E-2</v>
      </c>
      <c r="AE165" s="138">
        <f ca="1"/>
        <v>7.2396294707482656E-2</v>
      </c>
      <c r="AI165" s="135"/>
      <c r="AK165" s="135"/>
      <c r="AM165" s="135"/>
      <c r="AN165" s="135"/>
      <c r="AO165" s="135"/>
      <c r="AR165" s="135"/>
      <c r="AT165" s="135"/>
      <c r="AV165" s="135"/>
      <c r="AW165" s="135"/>
      <c r="AX165" s="135"/>
    </row>
    <row r="166" spans="1:50" s="79" customFormat="1" ht="11.25">
      <c r="A166" s="96">
        <f t="shared" ca="1" si="4"/>
        <v>155</v>
      </c>
      <c r="B166" s="68" t="s">
        <v>243</v>
      </c>
      <c r="C166" s="97">
        <v>0.4</v>
      </c>
      <c r="D166" s="69" t="s">
        <v>67</v>
      </c>
      <c r="E166" s="136" t="s">
        <v>87</v>
      </c>
      <c r="F166" s="154" t="s">
        <v>87</v>
      </c>
      <c r="G166" s="154">
        <v>3.0165999999999998E-2</v>
      </c>
      <c r="H166" s="154" t="s">
        <v>87</v>
      </c>
      <c r="I166" s="154">
        <v>2.1916999999999999E-2</v>
      </c>
      <c r="J166" s="154" t="s">
        <v>87</v>
      </c>
      <c r="K166" s="154">
        <v>1.8335000000000001E-2</v>
      </c>
      <c r="L166" s="154">
        <v>1.6732E-2</v>
      </c>
      <c r="M166" s="154">
        <v>1.5789999999999998E-2</v>
      </c>
      <c r="N166" s="137" cm="1">
        <f t="array" aca="1" ref="N166:AE166" ca="1">IF(OR(B166="",NOT($J$2)),"",GetStripDefaultProbability(A166,B166,Parameter_Date,CDSRollDate,E166:M166,SpreadCurveMaturities,D166,C166,$J$4,$J$6))</f>
        <v>0</v>
      </c>
      <c r="O166" s="155">
        <f ca="1"/>
        <v>0</v>
      </c>
      <c r="P166" s="155">
        <f ca="1"/>
        <v>5.1983042751241992E-2</v>
      </c>
      <c r="Q166" s="155">
        <f ca="1"/>
        <v>0</v>
      </c>
      <c r="R166" s="155">
        <f ca="1"/>
        <v>0.10455663676750004</v>
      </c>
      <c r="S166" s="155">
        <f ca="1"/>
        <v>0</v>
      </c>
      <c r="T166" s="155">
        <f ca="1"/>
        <v>0.13922690851308861</v>
      </c>
      <c r="U166" s="155">
        <f ca="1"/>
        <v>0.17176644020996168</v>
      </c>
      <c r="V166" s="138">
        <f ca="1"/>
        <v>0.22260220411448695</v>
      </c>
      <c r="W166" s="137">
        <f ca="1"/>
        <v>0</v>
      </c>
      <c r="X166" s="155">
        <f ca="1"/>
        <v>0</v>
      </c>
      <c r="Y166" s="155">
        <f ca="1"/>
        <v>5.2141032411297195E-2</v>
      </c>
      <c r="Z166" s="155">
        <f ca="1"/>
        <v>0</v>
      </c>
      <c r="AA166" s="155">
        <f ca="1"/>
        <v>0.10500424653734375</v>
      </c>
      <c r="AB166" s="155">
        <f ca="1"/>
        <v>0</v>
      </c>
      <c r="AC166" s="155">
        <f ca="1"/>
        <v>0.13994392062609129</v>
      </c>
      <c r="AD166" s="155">
        <f ca="1"/>
        <v>0.17273214925657709</v>
      </c>
      <c r="AE166" s="138">
        <f ca="1"/>
        <v>0.2238967879881093</v>
      </c>
      <c r="AI166" s="135"/>
      <c r="AK166" s="135"/>
      <c r="AM166" s="135"/>
      <c r="AN166" s="135"/>
      <c r="AO166" s="135"/>
      <c r="AR166" s="135"/>
      <c r="AT166" s="135"/>
      <c r="AV166" s="135"/>
      <c r="AW166" s="135"/>
      <c r="AX166" s="135"/>
    </row>
    <row r="167" spans="1:50" s="79" customFormat="1" ht="11.25">
      <c r="A167" s="96">
        <f t="shared" ca="1" si="4"/>
        <v>156</v>
      </c>
      <c r="B167" s="68" t="s">
        <v>244</v>
      </c>
      <c r="C167" s="97">
        <v>0.4</v>
      </c>
      <c r="D167" s="69" t="s">
        <v>67</v>
      </c>
      <c r="E167" s="136" t="s">
        <v>87</v>
      </c>
      <c r="F167" s="154" t="s">
        <v>87</v>
      </c>
      <c r="G167" s="154">
        <v>8.2399999999999997E-4</v>
      </c>
      <c r="H167" s="154" t="s">
        <v>87</v>
      </c>
      <c r="I167" s="154">
        <v>2.5300000000000001E-3</v>
      </c>
      <c r="J167" s="154" t="s">
        <v>87</v>
      </c>
      <c r="K167" s="154">
        <v>3.522E-3</v>
      </c>
      <c r="L167" s="154">
        <v>4.5840000000000004E-3</v>
      </c>
      <c r="M167" s="154">
        <v>5.9350000000000002E-3</v>
      </c>
      <c r="N167" s="137" cm="1">
        <f t="array" aca="1" ref="N167:AE167" ca="1">IF(OR(B167="",NOT($J$2)),"",GetStripDefaultProbability(A167,B167,Parameter_Date,CDSRollDate,E167:M167,SpreadCurveMaturities,D167,C167,$J$4,$J$6))</f>
        <v>0</v>
      </c>
      <c r="O167" s="155">
        <f ca="1"/>
        <v>0</v>
      </c>
      <c r="P167" s="155">
        <f ca="1"/>
        <v>1.4571637163538487E-3</v>
      </c>
      <c r="Q167" s="155">
        <f ca="1"/>
        <v>0</v>
      </c>
      <c r="R167" s="155">
        <f ca="1"/>
        <v>1.3112155220008082E-2</v>
      </c>
      <c r="S167" s="155">
        <f ca="1"/>
        <v>0</v>
      </c>
      <c r="T167" s="155">
        <f ca="1"/>
        <v>3.0378896160626612E-2</v>
      </c>
      <c r="U167" s="155">
        <f ca="1"/>
        <v>5.5709153207775253E-2</v>
      </c>
      <c r="V167" s="138">
        <f ca="1"/>
        <v>0.10357290905932293</v>
      </c>
      <c r="W167" s="137">
        <f ca="1"/>
        <v>0</v>
      </c>
      <c r="X167" s="155">
        <f ca="1"/>
        <v>0</v>
      </c>
      <c r="Y167" s="155">
        <f ca="1"/>
        <v>1.6235736545232582E-3</v>
      </c>
      <c r="Z167" s="155">
        <f ca="1"/>
        <v>0</v>
      </c>
      <c r="AA167" s="155">
        <f ca="1"/>
        <v>1.3605475801991451E-2</v>
      </c>
      <c r="AB167" s="155">
        <f ca="1"/>
        <v>0</v>
      </c>
      <c r="AC167" s="155">
        <f ca="1"/>
        <v>3.1186577166632978E-2</v>
      </c>
      <c r="AD167" s="155">
        <f ca="1"/>
        <v>5.6834340843966547E-2</v>
      </c>
      <c r="AE167" s="138">
        <f ca="1"/>
        <v>0.10511748264162879</v>
      </c>
      <c r="AI167" s="135"/>
      <c r="AK167" s="135"/>
      <c r="AM167" s="135"/>
      <c r="AN167" s="135"/>
      <c r="AO167" s="135"/>
      <c r="AR167" s="135"/>
      <c r="AT167" s="135"/>
      <c r="AV167" s="135"/>
      <c r="AW167" s="135"/>
      <c r="AX167" s="135"/>
    </row>
    <row r="168" spans="1:50" s="79" customFormat="1" ht="11.25">
      <c r="A168" s="96">
        <f t="shared" ca="1" si="4"/>
        <v>157</v>
      </c>
      <c r="B168" s="68" t="s">
        <v>245</v>
      </c>
      <c r="C168" s="97">
        <v>0.4</v>
      </c>
      <c r="D168" s="69" t="s">
        <v>67</v>
      </c>
      <c r="E168" s="136" t="s">
        <v>87</v>
      </c>
      <c r="F168" s="154" t="s">
        <v>87</v>
      </c>
      <c r="G168" s="154">
        <v>6.8499999999999995E-4</v>
      </c>
      <c r="H168" s="154" t="s">
        <v>87</v>
      </c>
      <c r="I168" s="154">
        <v>2.2669999999999999E-3</v>
      </c>
      <c r="J168" s="154" t="s">
        <v>87</v>
      </c>
      <c r="K168" s="154">
        <v>3.4259999999999998E-3</v>
      </c>
      <c r="L168" s="154">
        <v>4.8869999999999999E-3</v>
      </c>
      <c r="M168" s="154">
        <v>6.398E-3</v>
      </c>
      <c r="N168" s="137" cm="1">
        <f t="array" aca="1" ref="N168:AE168" ca="1">IF(OR(B168="",NOT($J$2)),"",GetStripDefaultProbability(A168,B168,Parameter_Date,CDSRollDate,E168:M168,SpreadCurveMaturities,D168,C168,$J$4,$J$6))</f>
        <v>0</v>
      </c>
      <c r="O168" s="155">
        <f ca="1"/>
        <v>0</v>
      </c>
      <c r="P168" s="155">
        <f ca="1"/>
        <v>1.2115036487779784E-3</v>
      </c>
      <c r="Q168" s="155">
        <f ca="1"/>
        <v>0</v>
      </c>
      <c r="R168" s="155">
        <f ca="1"/>
        <v>1.1762181967786334E-2</v>
      </c>
      <c r="S168" s="155">
        <f ca="1"/>
        <v>0</v>
      </c>
      <c r="T168" s="155">
        <f ca="1"/>
        <v>2.9687465194958018E-2</v>
      </c>
      <c r="U168" s="155">
        <f ca="1"/>
        <v>5.9959915327017721E-2</v>
      </c>
      <c r="V168" s="138">
        <f ca="1"/>
        <v>0.11217048796411777</v>
      </c>
      <c r="W168" s="137">
        <f ca="1"/>
        <v>0</v>
      </c>
      <c r="X168" s="155">
        <f ca="1"/>
        <v>0</v>
      </c>
      <c r="Y168" s="155">
        <f ca="1"/>
        <v>1.3779545268663984E-3</v>
      </c>
      <c r="Z168" s="155">
        <f ca="1"/>
        <v>0</v>
      </c>
      <c r="AA168" s="155">
        <f ca="1"/>
        <v>1.2256177367693577E-2</v>
      </c>
      <c r="AB168" s="155">
        <f ca="1"/>
        <v>0</v>
      </c>
      <c r="AC168" s="155">
        <f ca="1"/>
        <v>3.0495722153460192E-2</v>
      </c>
      <c r="AD168" s="155">
        <f ca="1"/>
        <v>6.1079973342006988E-2</v>
      </c>
      <c r="AE168" s="138">
        <f ca="1"/>
        <v>0.1137058182765317</v>
      </c>
      <c r="AI168" s="135"/>
      <c r="AK168" s="135"/>
      <c r="AM168" s="135"/>
      <c r="AN168" s="135"/>
      <c r="AO168" s="135"/>
      <c r="AR168" s="135"/>
      <c r="AT168" s="135"/>
      <c r="AV168" s="135"/>
      <c r="AW168" s="135"/>
      <c r="AX168" s="135"/>
    </row>
    <row r="169" spans="1:50" s="79" customFormat="1" ht="11.25">
      <c r="A169" s="96">
        <f t="shared" ca="1" si="4"/>
        <v>158</v>
      </c>
      <c r="B169" s="68" t="s">
        <v>246</v>
      </c>
      <c r="C169" s="97">
        <v>0.4</v>
      </c>
      <c r="D169" s="69" t="s">
        <v>67</v>
      </c>
      <c r="E169" s="136" t="s">
        <v>87</v>
      </c>
      <c r="F169" s="154" t="s">
        <v>87</v>
      </c>
      <c r="G169" s="154">
        <v>4.5399999999999998E-4</v>
      </c>
      <c r="H169" s="154" t="s">
        <v>87</v>
      </c>
      <c r="I169" s="154">
        <v>1.5560000000000001E-3</v>
      </c>
      <c r="J169" s="154" t="s">
        <v>87</v>
      </c>
      <c r="K169" s="154">
        <v>2.2680000000000001E-3</v>
      </c>
      <c r="L169" s="154">
        <v>2.9789999999999999E-3</v>
      </c>
      <c r="M169" s="154">
        <v>3.6459999999999999E-3</v>
      </c>
      <c r="N169" s="137" cm="1">
        <f t="array" aca="1" ref="N169:AE169" ca="1">IF(OR(B169="",NOT($J$2)),"",GetStripDefaultProbability(A169,B169,Parameter_Date,CDSRollDate,E169:M169,SpreadCurveMaturities,D169,C169,$J$4,$J$6))</f>
        <v>0</v>
      </c>
      <c r="O169" s="155">
        <f ca="1"/>
        <v>0</v>
      </c>
      <c r="P169" s="155">
        <f ca="1"/>
        <v>8.0311572819169452E-4</v>
      </c>
      <c r="Q169" s="155">
        <f ca="1"/>
        <v>0</v>
      </c>
      <c r="R169" s="155">
        <f ca="1"/>
        <v>8.0863142883857986E-3</v>
      </c>
      <c r="S169" s="155">
        <f ca="1"/>
        <v>0</v>
      </c>
      <c r="T169" s="155">
        <f ca="1"/>
        <v>1.9693004459674035E-2</v>
      </c>
      <c r="U169" s="155">
        <f ca="1"/>
        <v>3.6541021996343126E-2</v>
      </c>
      <c r="V169" s="138">
        <f ca="1"/>
        <v>6.4117020779613121E-2</v>
      </c>
      <c r="W169" s="137">
        <f ca="1"/>
        <v>0</v>
      </c>
      <c r="X169" s="155">
        <f ca="1"/>
        <v>0</v>
      </c>
      <c r="Y169" s="155">
        <f ca="1"/>
        <v>9.6963466529387254E-4</v>
      </c>
      <c r="Z169" s="155">
        <f ca="1"/>
        <v>0</v>
      </c>
      <c r="AA169" s="155">
        <f ca="1"/>
        <v>8.5821471626535972E-3</v>
      </c>
      <c r="AB169" s="155">
        <f ca="1"/>
        <v>0</v>
      </c>
      <c r="AC169" s="155">
        <f ca="1"/>
        <v>2.0509586666097146E-2</v>
      </c>
      <c r="AD169" s="155">
        <f ca="1"/>
        <v>3.7689371060607213E-2</v>
      </c>
      <c r="AE169" s="138">
        <f ca="1"/>
        <v>6.5703666764582502E-2</v>
      </c>
      <c r="AI169" s="135"/>
      <c r="AK169" s="135"/>
      <c r="AM169" s="135"/>
      <c r="AN169" s="135"/>
      <c r="AO169" s="135"/>
      <c r="AR169" s="135"/>
      <c r="AT169" s="135"/>
      <c r="AV169" s="135"/>
      <c r="AW169" s="135"/>
      <c r="AX169" s="135"/>
    </row>
    <row r="170" spans="1:50" s="79" customFormat="1" ht="11.25">
      <c r="A170" s="96">
        <f t="shared" ca="1" si="4"/>
        <v>159</v>
      </c>
      <c r="B170" s="68" t="s">
        <v>247</v>
      </c>
      <c r="C170" s="97">
        <v>0.4</v>
      </c>
      <c r="D170" s="69" t="s">
        <v>67</v>
      </c>
      <c r="E170" s="136" t="s">
        <v>87</v>
      </c>
      <c r="F170" s="154" t="s">
        <v>87</v>
      </c>
      <c r="G170" s="154">
        <v>7.3800000000000005E-4</v>
      </c>
      <c r="H170" s="154" t="s">
        <v>87</v>
      </c>
      <c r="I170" s="154">
        <v>2.0179999999999998E-3</v>
      </c>
      <c r="J170" s="154" t="s">
        <v>87</v>
      </c>
      <c r="K170" s="154">
        <v>2.4610000000000001E-3</v>
      </c>
      <c r="L170" s="154">
        <v>2.8050000000000002E-3</v>
      </c>
      <c r="M170" s="154">
        <v>3.5929999999999998E-3</v>
      </c>
      <c r="N170" s="137" cm="1">
        <f t="array" aca="1" ref="N170:AE170" ca="1">IF(OR(B170="",NOT($J$2)),"",GetStripDefaultProbability(A170,B170,Parameter_Date,CDSRollDate,E170:M170,SpreadCurveMaturities,D170,C170,$J$4,$J$6))</f>
        <v>0</v>
      </c>
      <c r="O170" s="155">
        <f ca="1"/>
        <v>0</v>
      </c>
      <c r="P170" s="155">
        <f ca="1"/>
        <v>1.3051796703651419E-3</v>
      </c>
      <c r="Q170" s="155">
        <f ca="1"/>
        <v>0</v>
      </c>
      <c r="R170" s="155">
        <f ca="1"/>
        <v>1.0458376276187065E-2</v>
      </c>
      <c r="S170" s="155">
        <f ca="1"/>
        <v>0</v>
      </c>
      <c r="T170" s="155">
        <f ca="1"/>
        <v>2.113910737791691E-2</v>
      </c>
      <c r="U170" s="155">
        <f ca="1"/>
        <v>3.373869147077857E-2</v>
      </c>
      <c r="V170" s="138">
        <f ca="1"/>
        <v>6.2924445855524813E-2</v>
      </c>
      <c r="W170" s="137">
        <f ca="1"/>
        <v>0</v>
      </c>
      <c r="X170" s="155">
        <f ca="1"/>
        <v>0</v>
      </c>
      <c r="Y170" s="155">
        <f ca="1"/>
        <v>1.4716149370812559E-3</v>
      </c>
      <c r="Z170" s="155">
        <f ca="1"/>
        <v>0</v>
      </c>
      <c r="AA170" s="155">
        <f ca="1"/>
        <v>1.0953023415939955E-2</v>
      </c>
      <c r="AB170" s="155">
        <f ca="1"/>
        <v>0</v>
      </c>
      <c r="AC170" s="155">
        <f ca="1"/>
        <v>2.1954485000576396E-2</v>
      </c>
      <c r="AD170" s="155">
        <f ca="1"/>
        <v>3.4888700403270079E-2</v>
      </c>
      <c r="AE170" s="138">
        <f ca="1"/>
        <v>6.4510308958307117E-2</v>
      </c>
      <c r="AI170" s="135"/>
      <c r="AK170" s="135"/>
      <c r="AM170" s="135"/>
      <c r="AN170" s="135"/>
      <c r="AO170" s="135"/>
      <c r="AR170" s="135"/>
      <c r="AT170" s="135"/>
      <c r="AV170" s="135"/>
      <c r="AW170" s="135"/>
      <c r="AX170" s="135"/>
    </row>
    <row r="171" spans="1:50" s="79" customFormat="1" ht="11.25">
      <c r="A171" s="96">
        <f t="shared" ca="1" si="4"/>
        <v>160</v>
      </c>
      <c r="B171" s="68" t="s">
        <v>248</v>
      </c>
      <c r="C171" s="97">
        <v>0.4</v>
      </c>
      <c r="D171" s="69" t="s">
        <v>67</v>
      </c>
      <c r="E171" s="136" t="s">
        <v>87</v>
      </c>
      <c r="F171" s="154" t="s">
        <v>87</v>
      </c>
      <c r="G171" s="154">
        <v>9.7499999999999996E-4</v>
      </c>
      <c r="H171" s="154" t="s">
        <v>87</v>
      </c>
      <c r="I171" s="154">
        <v>3.0920000000000001E-3</v>
      </c>
      <c r="J171" s="154" t="s">
        <v>87</v>
      </c>
      <c r="K171" s="154">
        <v>4.8729999999999997E-3</v>
      </c>
      <c r="L171" s="154">
        <v>6.0260000000000001E-3</v>
      </c>
      <c r="M171" s="154">
        <v>7.0740000000000004E-3</v>
      </c>
      <c r="N171" s="137" cm="1">
        <f t="array" aca="1" ref="N171:AE171" ca="1">IF(OR(B171="",NOT($J$2)),"",GetStripDefaultProbability(A171,B171,Parameter_Date,CDSRollDate,E171:M171,SpreadCurveMaturities,D171,C171,$J$4,$J$6))</f>
        <v>0</v>
      </c>
      <c r="O171" s="155">
        <f ca="1"/>
        <v>0</v>
      </c>
      <c r="P171" s="155">
        <f ca="1"/>
        <v>1.7239638901982435E-3</v>
      </c>
      <c r="Q171" s="155">
        <f ca="1"/>
        <v>0</v>
      </c>
      <c r="R171" s="155">
        <f ca="1"/>
        <v>1.6011758533584608E-2</v>
      </c>
      <c r="S171" s="155">
        <f ca="1"/>
        <v>0</v>
      </c>
      <c r="T171" s="155">
        <f ca="1"/>
        <v>4.2116363308648763E-2</v>
      </c>
      <c r="U171" s="155">
        <f ca="1"/>
        <v>7.2654855927392292E-2</v>
      </c>
      <c r="V171" s="138">
        <f ca="1"/>
        <v>0.12053114616370919</v>
      </c>
      <c r="W171" s="137">
        <f ca="1"/>
        <v>0</v>
      </c>
      <c r="X171" s="155">
        <f ca="1"/>
        <v>0</v>
      </c>
      <c r="Y171" s="155">
        <f ca="1"/>
        <v>1.8903293653945719E-3</v>
      </c>
      <c r="Z171" s="155">
        <f ca="1"/>
        <v>0</v>
      </c>
      <c r="AA171" s="155">
        <f ca="1"/>
        <v>1.6503629676251852E-2</v>
      </c>
      <c r="AB171" s="155">
        <f ca="1"/>
        <v>0</v>
      </c>
      <c r="AC171" s="155">
        <f ca="1"/>
        <v>4.2914267166436648E-2</v>
      </c>
      <c r="AD171" s="155">
        <f ca="1"/>
        <v>7.3759502224477913E-2</v>
      </c>
      <c r="AE171" s="138">
        <f ca="1"/>
        <v>0.12204652334004329</v>
      </c>
      <c r="AI171" s="135"/>
      <c r="AK171" s="135"/>
      <c r="AM171" s="135"/>
      <c r="AN171" s="135"/>
      <c r="AO171" s="135"/>
      <c r="AR171" s="135"/>
      <c r="AT171" s="135"/>
      <c r="AV171" s="135"/>
      <c r="AW171" s="135"/>
      <c r="AX171" s="135"/>
    </row>
    <row r="172" spans="1:50" s="79" customFormat="1" ht="11.25">
      <c r="A172" s="96">
        <f t="shared" ca="1" si="4"/>
        <v>161</v>
      </c>
      <c r="B172" s="68" t="s">
        <v>249</v>
      </c>
      <c r="C172" s="97">
        <v>0.4</v>
      </c>
      <c r="D172" s="69" t="s">
        <v>67</v>
      </c>
      <c r="E172" s="136" t="s">
        <v>87</v>
      </c>
      <c r="F172" s="154" t="s">
        <v>87</v>
      </c>
      <c r="G172" s="154">
        <v>8.5298437190000007E-2</v>
      </c>
      <c r="H172" s="154" t="s">
        <v>87</v>
      </c>
      <c r="I172" s="154">
        <v>5.2450613260000001E-2</v>
      </c>
      <c r="J172" s="154" t="s">
        <v>87</v>
      </c>
      <c r="K172" s="154">
        <v>3.9500213579999999E-2</v>
      </c>
      <c r="L172" s="154">
        <v>3.2934272280000003E-2</v>
      </c>
      <c r="M172" s="154">
        <v>2.9231474059999998E-2</v>
      </c>
      <c r="N172" s="137" cm="1">
        <f t="array" aca="1" ref="N172:AE172" ca="1">IF(OR(B172="",NOT($J$2)),"",GetStripDefaultProbability(A172,B172,Parameter_Date,CDSRollDate,E172:M172,SpreadCurveMaturities,D172,C172,$J$4,$J$6))</f>
        <v>0</v>
      </c>
      <c r="O172" s="155">
        <f ca="1"/>
        <v>0</v>
      </c>
      <c r="P172" s="155">
        <f ca="1"/>
        <v>0.14010166244016109</v>
      </c>
      <c r="Q172" s="155">
        <f ca="1"/>
        <v>0</v>
      </c>
      <c r="R172" s="155">
        <f ca="1"/>
        <v>0.22606806869788043</v>
      </c>
      <c r="S172" s="155">
        <f ca="1"/>
        <v>0</v>
      </c>
      <c r="T172" s="155">
        <f ca="1"/>
        <v>0.26234931339984391</v>
      </c>
      <c r="U172" s="155">
        <f ca="1"/>
        <v>0.28806633526674519</v>
      </c>
      <c r="V172" s="138">
        <f ca="1"/>
        <v>0.34353330657477543</v>
      </c>
      <c r="W172" s="137">
        <f ca="1"/>
        <v>0</v>
      </c>
      <c r="X172" s="155">
        <f ca="1"/>
        <v>0</v>
      </c>
      <c r="Y172" s="155">
        <f ca="1"/>
        <v>0.14024496688737198</v>
      </c>
      <c r="Z172" s="155">
        <f ca="1"/>
        <v>0</v>
      </c>
      <c r="AA172" s="155">
        <f ca="1"/>
        <v>0.22645493793813509</v>
      </c>
      <c r="AB172" s="155">
        <f ca="1"/>
        <v>0</v>
      </c>
      <c r="AC172" s="155">
        <f ca="1"/>
        <v>0.26293747118990829</v>
      </c>
      <c r="AD172" s="155">
        <f ca="1"/>
        <v>0.28882698353872138</v>
      </c>
      <c r="AE172" s="138">
        <f ca="1"/>
        <v>0.34454824079413338</v>
      </c>
      <c r="AI172" s="135"/>
      <c r="AK172" s="135"/>
      <c r="AM172" s="135"/>
      <c r="AN172" s="135"/>
      <c r="AO172" s="135"/>
      <c r="AR172" s="135"/>
      <c r="AT172" s="135"/>
      <c r="AV172" s="135"/>
      <c r="AW172" s="135"/>
      <c r="AX172" s="135"/>
    </row>
    <row r="173" spans="1:50" s="79" customFormat="1" ht="11.25">
      <c r="A173" s="96">
        <f t="shared" ca="1" si="4"/>
        <v>162</v>
      </c>
      <c r="B173" s="68" t="s">
        <v>250</v>
      </c>
      <c r="C173" s="97">
        <v>0.4</v>
      </c>
      <c r="D173" s="69" t="s">
        <v>67</v>
      </c>
      <c r="E173" s="136" t="s">
        <v>87</v>
      </c>
      <c r="F173" s="154" t="s">
        <v>87</v>
      </c>
      <c r="G173" s="154">
        <v>9.8200000000000002E-4</v>
      </c>
      <c r="H173" s="154" t="s">
        <v>87</v>
      </c>
      <c r="I173" s="154">
        <v>3.1849999999999999E-3</v>
      </c>
      <c r="J173" s="154" t="s">
        <v>87</v>
      </c>
      <c r="K173" s="154">
        <v>4.5840000000000004E-3</v>
      </c>
      <c r="L173" s="154">
        <v>5.8869999999999999E-3</v>
      </c>
      <c r="M173" s="154">
        <v>7.3340000000000002E-3</v>
      </c>
      <c r="N173" s="137" cm="1">
        <f t="array" aca="1" ref="N173:AE173" ca="1">IF(OR(B173="",NOT($J$2)),"",GetStripDefaultProbability(A173,B173,Parameter_Date,CDSRollDate,E173:M173,SpreadCurveMaturities,D173,C173,$J$4,$J$6))</f>
        <v>0</v>
      </c>
      <c r="O173" s="155">
        <f ca="1"/>
        <v>0</v>
      </c>
      <c r="P173" s="155">
        <f ca="1"/>
        <v>1.7363303942592445E-3</v>
      </c>
      <c r="Q173" s="155">
        <f ca="1"/>
        <v>0</v>
      </c>
      <c r="R173" s="155">
        <f ca="1"/>
        <v>1.6493453699979232E-2</v>
      </c>
      <c r="S173" s="155">
        <f ca="1"/>
        <v>0</v>
      </c>
      <c r="T173" s="155">
        <f ca="1"/>
        <v>3.9480237224554515E-2</v>
      </c>
      <c r="U173" s="155">
        <f ca="1"/>
        <v>7.1119656225550942E-2</v>
      </c>
      <c r="V173" s="138">
        <f ca="1"/>
        <v>0.12608841676981331</v>
      </c>
      <c r="W173" s="137">
        <f ca="1"/>
        <v>0</v>
      </c>
      <c r="X173" s="155">
        <f ca="1"/>
        <v>0</v>
      </c>
      <c r="Y173" s="155">
        <f ca="1"/>
        <v>1.9026938085203726E-3</v>
      </c>
      <c r="Z173" s="155">
        <f ca="1"/>
        <v>0</v>
      </c>
      <c r="AA173" s="155">
        <f ca="1"/>
        <v>1.6985084055313848E-2</v>
      </c>
      <c r="AB173" s="155">
        <f ca="1"/>
        <v>0</v>
      </c>
      <c r="AC173" s="155">
        <f ca="1"/>
        <v>4.0280336939051753E-2</v>
      </c>
      <c r="AD173" s="155">
        <f ca="1"/>
        <v>7.2225351941760052E-2</v>
      </c>
      <c r="AE173" s="138">
        <f ca="1"/>
        <v>0.12759960203837117</v>
      </c>
      <c r="AI173" s="135"/>
      <c r="AK173" s="135"/>
      <c r="AM173" s="135"/>
      <c r="AN173" s="135"/>
      <c r="AO173" s="135"/>
      <c r="AR173" s="135"/>
      <c r="AT173" s="135"/>
      <c r="AV173" s="135"/>
      <c r="AW173" s="135"/>
      <c r="AX173" s="135"/>
    </row>
    <row r="174" spans="1:50" s="79" customFormat="1" ht="11.25">
      <c r="A174" s="96">
        <f t="shared" ca="1" si="4"/>
        <v>163</v>
      </c>
      <c r="B174" s="68" t="s">
        <v>251</v>
      </c>
      <c r="C174" s="97">
        <v>0.4</v>
      </c>
      <c r="D174" s="69" t="s">
        <v>67</v>
      </c>
      <c r="E174" s="136" t="s">
        <v>87</v>
      </c>
      <c r="F174" s="154" t="s">
        <v>87</v>
      </c>
      <c r="G174" s="154">
        <v>1.206E-3</v>
      </c>
      <c r="H174" s="154" t="s">
        <v>87</v>
      </c>
      <c r="I174" s="154">
        <v>2.8470000000000001E-3</v>
      </c>
      <c r="J174" s="154" t="s">
        <v>87</v>
      </c>
      <c r="K174" s="154">
        <v>4.6800000000000001E-3</v>
      </c>
      <c r="L174" s="154">
        <v>6.2880000000000002E-3</v>
      </c>
      <c r="M174" s="154">
        <v>7.5170000000000002E-3</v>
      </c>
      <c r="N174" s="137" cm="1">
        <f t="array" aca="1" ref="N174:AE174" ca="1">IF(OR(B174="",NOT($J$2)),"",GetStripDefaultProbability(A174,B174,Parameter_Date,CDSRollDate,E174:M174,SpreadCurveMaturities,D174,C174,$J$4,$J$6))</f>
        <v>0</v>
      </c>
      <c r="O174" s="155">
        <f ca="1"/>
        <v>0</v>
      </c>
      <c r="P174" s="155">
        <f ca="1"/>
        <v>2.1319782706600288E-3</v>
      </c>
      <c r="Q174" s="155">
        <f ca="1"/>
        <v>0</v>
      </c>
      <c r="R174" s="155">
        <f ca="1"/>
        <v>1.4708304994729415E-2</v>
      </c>
      <c r="S174" s="155">
        <f ca="1"/>
        <v>0</v>
      </c>
      <c r="T174" s="155">
        <f ca="1"/>
        <v>4.0506844716867052E-2</v>
      </c>
      <c r="U174" s="155">
        <f ca="1"/>
        <v>7.6395039257413422E-2</v>
      </c>
      <c r="V174" s="138">
        <f ca="1"/>
        <v>0.12876804886836435</v>
      </c>
      <c r="W174" s="137">
        <f ca="1"/>
        <v>0</v>
      </c>
      <c r="X174" s="155">
        <f ca="1"/>
        <v>0</v>
      </c>
      <c r="Y174" s="155">
        <f ca="1"/>
        <v>2.2982757490949135E-3</v>
      </c>
      <c r="Z174" s="155">
        <f ca="1"/>
        <v>0</v>
      </c>
      <c r="AA174" s="155">
        <f ca="1"/>
        <v>1.5200827701281616E-2</v>
      </c>
      <c r="AB174" s="155">
        <f ca="1"/>
        <v>0</v>
      </c>
      <c r="AC174" s="155">
        <f ca="1"/>
        <v>4.1306089281457847E-2</v>
      </c>
      <c r="AD174" s="155">
        <f ca="1"/>
        <v>7.7493921862521242E-2</v>
      </c>
      <c r="AE174" s="138">
        <f ca="1"/>
        <v>0.13027503834503806</v>
      </c>
      <c r="AI174" s="135"/>
      <c r="AK174" s="135"/>
      <c r="AM174" s="135"/>
      <c r="AN174" s="135"/>
      <c r="AO174" s="135"/>
      <c r="AR174" s="135"/>
      <c r="AT174" s="135"/>
      <c r="AV174" s="135"/>
      <c r="AW174" s="135"/>
      <c r="AX174" s="135"/>
    </row>
    <row r="175" spans="1:50" s="79" customFormat="1" ht="11.25">
      <c r="A175" s="96">
        <f t="shared" ca="1" si="4"/>
        <v>164</v>
      </c>
      <c r="B175" s="68" t="s">
        <v>252</v>
      </c>
      <c r="C175" s="97">
        <v>0.4</v>
      </c>
      <c r="D175" s="69" t="s">
        <v>67</v>
      </c>
      <c r="E175" s="136" t="s">
        <v>87</v>
      </c>
      <c r="F175" s="154" t="s">
        <v>87</v>
      </c>
      <c r="G175" s="154">
        <v>5.0299999999999997E-4</v>
      </c>
      <c r="H175" s="154" t="s">
        <v>87</v>
      </c>
      <c r="I175" s="154">
        <v>2.1450000000000002E-3</v>
      </c>
      <c r="J175" s="154" t="s">
        <v>87</v>
      </c>
      <c r="K175" s="154">
        <v>2.9429999999999999E-3</v>
      </c>
      <c r="L175" s="154">
        <v>3.8409999999999998E-3</v>
      </c>
      <c r="M175" s="154">
        <v>4.9890000000000004E-3</v>
      </c>
      <c r="N175" s="137" cm="1">
        <f t="array" aca="1" ref="N175:AE175" ca="1">IF(OR(B175="",NOT($J$2)),"",GetStripDefaultProbability(A175,B175,Parameter_Date,CDSRollDate,E175:M175,SpreadCurveMaturities,D175,C175,$J$4,$J$6))</f>
        <v>0</v>
      </c>
      <c r="O175" s="155">
        <f ca="1"/>
        <v>0</v>
      </c>
      <c r="P175" s="155">
        <f ca="1"/>
        <v>8.8975731887763754E-4</v>
      </c>
      <c r="Q175" s="155">
        <f ca="1"/>
        <v>0</v>
      </c>
      <c r="R175" s="155">
        <f ca="1"/>
        <v>1.1150989101517017E-2</v>
      </c>
      <c r="S175" s="155">
        <f ca="1"/>
        <v>0</v>
      </c>
      <c r="T175" s="155">
        <f ca="1"/>
        <v>2.5439842134898583E-2</v>
      </c>
      <c r="U175" s="155">
        <f ca="1"/>
        <v>4.6851291184206723E-2</v>
      </c>
      <c r="V175" s="138">
        <f ca="1"/>
        <v>8.7641983260165146E-2</v>
      </c>
      <c r="W175" s="137">
        <f ca="1"/>
        <v>0</v>
      </c>
      <c r="X175" s="155">
        <f ca="1"/>
        <v>0</v>
      </c>
      <c r="Y175" s="155">
        <f ca="1"/>
        <v>1.0562618168853399E-3</v>
      </c>
      <c r="Z175" s="155">
        <f ca="1"/>
        <v>0</v>
      </c>
      <c r="AA175" s="155">
        <f ca="1"/>
        <v>1.1645290021411125E-2</v>
      </c>
      <c r="AB175" s="155">
        <f ca="1"/>
        <v>0</v>
      </c>
      <c r="AC175" s="155">
        <f ca="1"/>
        <v>2.6251637304832487E-2</v>
      </c>
      <c r="AD175" s="155">
        <f ca="1"/>
        <v>4.7987358525220958E-2</v>
      </c>
      <c r="AE175" s="138">
        <f ca="1"/>
        <v>8.9208992296361811E-2</v>
      </c>
      <c r="AI175" s="135"/>
      <c r="AK175" s="135"/>
      <c r="AM175" s="135"/>
      <c r="AN175" s="135"/>
      <c r="AO175" s="135"/>
      <c r="AR175" s="135"/>
      <c r="AT175" s="135"/>
      <c r="AV175" s="135"/>
      <c r="AW175" s="135"/>
      <c r="AX175" s="135"/>
    </row>
    <row r="176" spans="1:50" s="79" customFormat="1" ht="11.25">
      <c r="A176" s="96">
        <f t="shared" ca="1" si="4"/>
        <v>165</v>
      </c>
      <c r="B176" s="68" t="s">
        <v>253</v>
      </c>
      <c r="C176" s="97">
        <v>0.4</v>
      </c>
      <c r="D176" s="69" t="s">
        <v>67</v>
      </c>
      <c r="E176" s="136" t="s">
        <v>87</v>
      </c>
      <c r="F176" s="154" t="s">
        <v>87</v>
      </c>
      <c r="G176" s="154">
        <v>1.5280000000000001E-3</v>
      </c>
      <c r="H176" s="154" t="s">
        <v>87</v>
      </c>
      <c r="I176" s="154">
        <v>2.96E-3</v>
      </c>
      <c r="J176" s="154" t="s">
        <v>87</v>
      </c>
      <c r="K176" s="154">
        <v>4.5840000000000004E-3</v>
      </c>
      <c r="L176" s="154">
        <v>5.6340000000000001E-3</v>
      </c>
      <c r="M176" s="154">
        <v>7.4009999999999996E-3</v>
      </c>
      <c r="N176" s="137" cm="1">
        <f t="array" aca="1" ref="N176:AE176" ca="1">IF(OR(B176="",NOT($J$2)),"",GetStripDefaultProbability(A176,B176,Parameter_Date,CDSRollDate,E176:M176,SpreadCurveMaturities,D176,C176,$J$4,$J$6))</f>
        <v>0</v>
      </c>
      <c r="O176" s="155">
        <f ca="1"/>
        <v>0</v>
      </c>
      <c r="P176" s="155">
        <f ca="1"/>
        <v>2.7004495477437329E-3</v>
      </c>
      <c r="Q176" s="155">
        <f ca="1"/>
        <v>0</v>
      </c>
      <c r="R176" s="155">
        <f ca="1"/>
        <v>1.5251399808589583E-2</v>
      </c>
      <c r="S176" s="155">
        <f ca="1"/>
        <v>0</v>
      </c>
      <c r="T176" s="155">
        <f ca="1"/>
        <v>3.9536749971477492E-2</v>
      </c>
      <c r="U176" s="155">
        <f ca="1"/>
        <v>6.7884265251517029E-2</v>
      </c>
      <c r="V176" s="138">
        <f ca="1"/>
        <v>0.1279873937698468</v>
      </c>
      <c r="W176" s="137">
        <f ca="1"/>
        <v>0</v>
      </c>
      <c r="X176" s="155">
        <f ca="1"/>
        <v>0</v>
      </c>
      <c r="Y176" s="155">
        <f ca="1"/>
        <v>2.8666522888733947E-3</v>
      </c>
      <c r="Z176" s="155">
        <f ca="1"/>
        <v>0</v>
      </c>
      <c r="AA176" s="155">
        <f ca="1"/>
        <v>1.5743651035607265E-2</v>
      </c>
      <c r="AB176" s="155">
        <f ca="1"/>
        <v>0</v>
      </c>
      <c r="AC176" s="155">
        <f ca="1"/>
        <v>4.0336802611573019E-2</v>
      </c>
      <c r="AD176" s="155">
        <f ca="1"/>
        <v>6.8994601853623716E-2</v>
      </c>
      <c r="AE176" s="138">
        <f ca="1"/>
        <v>0.12949781166974939</v>
      </c>
      <c r="AI176" s="135"/>
      <c r="AK176" s="135"/>
      <c r="AM176" s="135"/>
      <c r="AN176" s="135"/>
      <c r="AO176" s="135"/>
      <c r="AR176" s="135"/>
      <c r="AT176" s="135"/>
      <c r="AV176" s="135"/>
      <c r="AW176" s="135"/>
      <c r="AX176" s="135"/>
    </row>
    <row r="177" spans="1:50" s="79" customFormat="1" ht="11.25">
      <c r="A177" s="96">
        <f t="shared" ca="1" si="4"/>
        <v>166</v>
      </c>
      <c r="B177" s="68" t="s">
        <v>254</v>
      </c>
      <c r="C177" s="97">
        <v>0.4</v>
      </c>
      <c r="D177" s="69" t="s">
        <v>67</v>
      </c>
      <c r="E177" s="136" t="s">
        <v>87</v>
      </c>
      <c r="F177" s="154" t="s">
        <v>87</v>
      </c>
      <c r="G177" s="154">
        <v>5.3899999999999998E-4</v>
      </c>
      <c r="H177" s="154" t="s">
        <v>87</v>
      </c>
      <c r="I177" s="154">
        <v>1.8E-3</v>
      </c>
      <c r="J177" s="154" t="s">
        <v>87</v>
      </c>
      <c r="K177" s="154">
        <v>2.6059999999999998E-3</v>
      </c>
      <c r="L177" s="154">
        <v>3.2690000000000002E-3</v>
      </c>
      <c r="M177" s="154">
        <v>3.885E-3</v>
      </c>
      <c r="N177" s="137" cm="1">
        <f t="array" aca="1" ref="N177:AE177" ca="1">IF(OR(B177="",NOT($J$2)),"",GetStripDefaultProbability(A177,B177,Parameter_Date,CDSRollDate,E177:M177,SpreadCurveMaturities,D177,C177,$J$4,$J$6))</f>
        <v>0</v>
      </c>
      <c r="O177" s="155">
        <f ca="1"/>
        <v>0</v>
      </c>
      <c r="P177" s="155">
        <f ca="1"/>
        <v>9.5340761220930048E-4</v>
      </c>
      <c r="Q177" s="155">
        <f ca="1"/>
        <v>0</v>
      </c>
      <c r="R177" s="155">
        <f ca="1"/>
        <v>9.348187343328318E-3</v>
      </c>
      <c r="S177" s="155">
        <f ca="1"/>
        <v>0</v>
      </c>
      <c r="T177" s="155">
        <f ca="1"/>
        <v>2.2594606953430296E-2</v>
      </c>
      <c r="U177" s="155">
        <f ca="1"/>
        <v>3.9865134840480487E-2</v>
      </c>
      <c r="V177" s="138">
        <f ca="1"/>
        <v>6.7728506891167495E-2</v>
      </c>
      <c r="W177" s="137">
        <f ca="1"/>
        <v>0</v>
      </c>
      <c r="X177" s="155">
        <f ca="1"/>
        <v>0</v>
      </c>
      <c r="Y177" s="155">
        <f ca="1"/>
        <v>1.1199015027286707E-3</v>
      </c>
      <c r="Z177" s="155">
        <f ca="1"/>
        <v>0</v>
      </c>
      <c r="AA177" s="155">
        <f ca="1"/>
        <v>9.8433894387893739E-3</v>
      </c>
      <c r="AB177" s="155">
        <f ca="1"/>
        <v>0</v>
      </c>
      <c r="AC177" s="155">
        <f ca="1"/>
        <v>2.3408772164989711E-2</v>
      </c>
      <c r="AD177" s="155">
        <f ca="1"/>
        <v>4.100945868797834E-2</v>
      </c>
      <c r="AE177" s="138">
        <f ca="1"/>
        <v>6.9308104724228325E-2</v>
      </c>
      <c r="AI177" s="135"/>
      <c r="AK177" s="135"/>
      <c r="AM177" s="135"/>
      <c r="AN177" s="135"/>
      <c r="AO177" s="135"/>
      <c r="AR177" s="135"/>
      <c r="AT177" s="135"/>
      <c r="AV177" s="135"/>
      <c r="AW177" s="135"/>
      <c r="AX177" s="135"/>
    </row>
    <row r="178" spans="1:50" s="79" customFormat="1" ht="11.25">
      <c r="A178" s="96">
        <f t="shared" ca="1" si="4"/>
        <v>167</v>
      </c>
      <c r="B178" s="68" t="s">
        <v>255</v>
      </c>
      <c r="C178" s="97">
        <v>0.4</v>
      </c>
      <c r="D178" s="69" t="s">
        <v>67</v>
      </c>
      <c r="E178" s="136" t="s">
        <v>87</v>
      </c>
      <c r="F178" s="154" t="s">
        <v>87</v>
      </c>
      <c r="G178" s="154">
        <v>6.2E-4</v>
      </c>
      <c r="H178" s="154" t="s">
        <v>87</v>
      </c>
      <c r="I178" s="154">
        <v>1.565E-3</v>
      </c>
      <c r="J178" s="154" t="s">
        <v>87</v>
      </c>
      <c r="K178" s="154">
        <v>2.1710000000000002E-3</v>
      </c>
      <c r="L178" s="154">
        <v>2.8279999999999998E-3</v>
      </c>
      <c r="M178" s="154">
        <v>3.6359999999999999E-3</v>
      </c>
      <c r="N178" s="137" cm="1">
        <f t="array" aca="1" ref="N178:AE178" ca="1">IF(OR(B178="",NOT($J$2)),"",GetStripDefaultProbability(A178,B178,Parameter_Date,CDSRollDate,E178:M178,SpreadCurveMaturities,D178,C178,$J$4,$J$6))</f>
        <v>0</v>
      </c>
      <c r="O178" s="155">
        <f ca="1"/>
        <v>0</v>
      </c>
      <c r="P178" s="155">
        <f ca="1"/>
        <v>1.0966060543594613E-3</v>
      </c>
      <c r="Q178" s="155">
        <f ca="1"/>
        <v>0</v>
      </c>
      <c r="R178" s="155">
        <f ca="1"/>
        <v>8.1117605196565634E-3</v>
      </c>
      <c r="S178" s="155">
        <f ca="1"/>
        <v>0</v>
      </c>
      <c r="T178" s="155">
        <f ca="1"/>
        <v>1.8790272986395351E-2</v>
      </c>
      <c r="U178" s="155">
        <f ca="1"/>
        <v>3.461790551685362E-2</v>
      </c>
      <c r="V178" s="138">
        <f ca="1"/>
        <v>6.430747869472353E-2</v>
      </c>
      <c r="W178" s="137">
        <f ca="1"/>
        <v>0</v>
      </c>
      <c r="X178" s="155">
        <f ca="1"/>
        <v>0</v>
      </c>
      <c r="Y178" s="155">
        <f ca="1"/>
        <v>1.2630760804510643E-3</v>
      </c>
      <c r="Z178" s="155">
        <f ca="1"/>
        <v>0</v>
      </c>
      <c r="AA178" s="155">
        <f ca="1"/>
        <v>8.6075806739918104E-3</v>
      </c>
      <c r="AB178" s="155">
        <f ca="1"/>
        <v>0</v>
      </c>
      <c r="AC178" s="155">
        <f ca="1"/>
        <v>1.9607607155709528E-2</v>
      </c>
      <c r="AD178" s="155">
        <f ca="1"/>
        <v>3.5768144405213032E-2</v>
      </c>
      <c r="AE178" s="138">
        <f ca="1"/>
        <v>6.5893039586315094E-2</v>
      </c>
      <c r="AI178" s="135"/>
      <c r="AK178" s="135"/>
      <c r="AM178" s="135"/>
      <c r="AN178" s="135"/>
      <c r="AO178" s="135"/>
      <c r="AR178" s="135"/>
      <c r="AT178" s="135"/>
      <c r="AV178" s="135"/>
      <c r="AW178" s="135"/>
      <c r="AX178" s="135"/>
    </row>
    <row r="179" spans="1:50" s="79" customFormat="1" ht="11.25">
      <c r="A179" s="96">
        <f t="shared" ca="1" si="4"/>
        <v>168</v>
      </c>
      <c r="B179" s="68" t="s">
        <v>256</v>
      </c>
      <c r="C179" s="97">
        <v>0.4</v>
      </c>
      <c r="D179" s="69" t="s">
        <v>67</v>
      </c>
      <c r="E179" s="136" t="s">
        <v>87</v>
      </c>
      <c r="F179" s="154" t="s">
        <v>87</v>
      </c>
      <c r="G179" s="154">
        <v>1.0510000000000001E-3</v>
      </c>
      <c r="H179" s="154" t="s">
        <v>87</v>
      </c>
      <c r="I179" s="154">
        <v>2.1979999999999999E-3</v>
      </c>
      <c r="J179" s="154" t="s">
        <v>87</v>
      </c>
      <c r="K179" s="154">
        <v>3.2330000000000002E-3</v>
      </c>
      <c r="L179" s="154">
        <v>4.267E-3</v>
      </c>
      <c r="M179" s="154">
        <v>5.1720000000000004E-3</v>
      </c>
      <c r="N179" s="137" cm="1">
        <f t="array" aca="1" ref="N179:AE179" ca="1">IF(OR(B179="",NOT($J$2)),"",GetStripDefaultProbability(A179,B179,Parameter_Date,CDSRollDate,E179:M179,SpreadCurveMaturities,D179,C179,$J$4,$J$6))</f>
        <v>0</v>
      </c>
      <c r="O179" s="155">
        <f ca="1"/>
        <v>0</v>
      </c>
      <c r="P179" s="155">
        <f ca="1"/>
        <v>1.8582206568561466E-3</v>
      </c>
      <c r="Q179" s="155">
        <f ca="1"/>
        <v>0</v>
      </c>
      <c r="R179" s="155">
        <f ca="1"/>
        <v>1.135446080626179E-2</v>
      </c>
      <c r="S179" s="155">
        <f ca="1"/>
        <v>0</v>
      </c>
      <c r="T179" s="155">
        <f ca="1"/>
        <v>2.7943353994522191E-2</v>
      </c>
      <c r="U179" s="155">
        <f ca="1"/>
        <v>5.2030044686700139E-2</v>
      </c>
      <c r="V179" s="138">
        <f ca="1"/>
        <v>8.9913639810535573E-2</v>
      </c>
      <c r="W179" s="137">
        <f ca="1"/>
        <v>0</v>
      </c>
      <c r="X179" s="155">
        <f ca="1"/>
        <v>0</v>
      </c>
      <c r="Y179" s="155">
        <f ca="1"/>
        <v>2.0245637577536169E-3</v>
      </c>
      <c r="Z179" s="155">
        <f ca="1"/>
        <v>0</v>
      </c>
      <c r="AA179" s="155">
        <f ca="1"/>
        <v>1.1848660015775447E-2</v>
      </c>
      <c r="AB179" s="155">
        <f ca="1"/>
        <v>0</v>
      </c>
      <c r="AC179" s="155">
        <f ca="1"/>
        <v>2.875306377361897E-2</v>
      </c>
      <c r="AD179" s="155">
        <f ca="1"/>
        <v>5.3159884288856318E-2</v>
      </c>
      <c r="AE179" s="138">
        <f ca="1"/>
        <v>9.1429187103956311E-2</v>
      </c>
      <c r="AI179" s="135"/>
      <c r="AK179" s="135"/>
      <c r="AM179" s="135"/>
      <c r="AN179" s="135"/>
      <c r="AO179" s="135"/>
      <c r="AR179" s="135"/>
      <c r="AT179" s="135"/>
      <c r="AV179" s="135"/>
      <c r="AW179" s="135"/>
      <c r="AX179" s="135"/>
    </row>
    <row r="180" spans="1:50" s="79" customFormat="1" ht="11.25">
      <c r="A180" s="96">
        <f t="shared" ca="1" si="4"/>
        <v>169</v>
      </c>
      <c r="B180" s="68" t="s">
        <v>257</v>
      </c>
      <c r="C180" s="97">
        <v>0.4</v>
      </c>
      <c r="D180" s="69" t="s">
        <v>67</v>
      </c>
      <c r="E180" s="136" t="s">
        <v>87</v>
      </c>
      <c r="F180" s="154" t="s">
        <v>87</v>
      </c>
      <c r="G180" s="154">
        <v>3.6499999999999998E-4</v>
      </c>
      <c r="H180" s="154" t="s">
        <v>87</v>
      </c>
      <c r="I180" s="154">
        <v>2.3809999999999999E-3</v>
      </c>
      <c r="J180" s="154" t="s">
        <v>87</v>
      </c>
      <c r="K180" s="154">
        <v>3.0400000000000002E-3</v>
      </c>
      <c r="L180" s="154">
        <v>3.901E-3</v>
      </c>
      <c r="M180" s="154">
        <v>4.914E-3</v>
      </c>
      <c r="N180" s="137" cm="1">
        <f t="array" aca="1" ref="N180:AE180" ca="1">IF(OR(B180="",NOT($J$2)),"",GetStripDefaultProbability(A180,B180,Parameter_Date,CDSRollDate,E180:M180,SpreadCurveMaturities,D180,C180,$J$4,$J$6))</f>
        <v>0</v>
      </c>
      <c r="O180" s="155">
        <f ca="1"/>
        <v>0</v>
      </c>
      <c r="P180" s="155">
        <f ca="1"/>
        <v>6.4572722863587284E-4</v>
      </c>
      <c r="Q180" s="155">
        <f ca="1"/>
        <v>0</v>
      </c>
      <c r="R180" s="155">
        <f ca="1"/>
        <v>1.2398212097109673E-2</v>
      </c>
      <c r="S180" s="155">
        <f ca="1"/>
        <v>0</v>
      </c>
      <c r="T180" s="155">
        <f ca="1"/>
        <v>2.6197001775678963E-2</v>
      </c>
      <c r="U180" s="155">
        <f ca="1"/>
        <v>4.7418807478162739E-2</v>
      </c>
      <c r="V180" s="138">
        <f ca="1"/>
        <v>8.584870327611771E-2</v>
      </c>
      <c r="W180" s="137">
        <f ca="1"/>
        <v>0</v>
      </c>
      <c r="X180" s="155">
        <f ca="1"/>
        <v>0</v>
      </c>
      <c r="Y180" s="155">
        <f ca="1"/>
        <v>8.1227239496206582E-4</v>
      </c>
      <c r="Z180" s="155">
        <f ca="1"/>
        <v>0</v>
      </c>
      <c r="AA180" s="155">
        <f ca="1"/>
        <v>1.2891889561447378E-2</v>
      </c>
      <c r="AB180" s="155">
        <f ca="1"/>
        <v>0</v>
      </c>
      <c r="AC180" s="155">
        <f ca="1"/>
        <v>2.7008166242043719E-2</v>
      </c>
      <c r="AD180" s="155">
        <f ca="1"/>
        <v>4.8553894868591296E-2</v>
      </c>
      <c r="AE180" s="138">
        <f ca="1"/>
        <v>8.7371019821165574E-2</v>
      </c>
      <c r="AI180" s="135"/>
      <c r="AK180" s="135"/>
      <c r="AM180" s="135"/>
      <c r="AN180" s="135"/>
      <c r="AO180" s="135"/>
      <c r="AR180" s="135"/>
      <c r="AT180" s="135"/>
      <c r="AV180" s="135"/>
      <c r="AW180" s="135"/>
      <c r="AX180" s="135"/>
    </row>
    <row r="181" spans="1:50" s="79" customFormat="1" ht="11.25">
      <c r="A181" s="96">
        <f t="shared" ca="1" si="4"/>
        <v>170</v>
      </c>
      <c r="B181" s="68" t="s">
        <v>258</v>
      </c>
      <c r="C181" s="97">
        <v>0.4</v>
      </c>
      <c r="D181" s="69" t="s">
        <v>67</v>
      </c>
      <c r="E181" s="136" t="s">
        <v>87</v>
      </c>
      <c r="F181" s="154" t="s">
        <v>87</v>
      </c>
      <c r="G181" s="154">
        <v>1.371E-3</v>
      </c>
      <c r="H181" s="154" t="s">
        <v>87</v>
      </c>
      <c r="I181" s="154">
        <v>1.9380000000000001E-3</v>
      </c>
      <c r="J181" s="154" t="s">
        <v>87</v>
      </c>
      <c r="K181" s="154">
        <v>3.3289999999999999E-3</v>
      </c>
      <c r="L181" s="154">
        <v>4.4219999999999997E-3</v>
      </c>
      <c r="M181" s="154">
        <v>5.3169999999999997E-3</v>
      </c>
      <c r="N181" s="137" cm="1">
        <f t="array" aca="1" ref="N181:AE181" ca="1">IF(OR(B181="",NOT($J$2)),"",GetStripDefaultProbability(A181,B181,Parameter_Date,CDSRollDate,E181:M181,SpreadCurveMaturities,D181,C181,$J$4,$J$6))</f>
        <v>0</v>
      </c>
      <c r="O181" s="155">
        <f ca="1"/>
        <v>0</v>
      </c>
      <c r="P181" s="155">
        <f ca="1"/>
        <v>2.423315808636084E-3</v>
      </c>
      <c r="Q181" s="155">
        <f ca="1"/>
        <v>0</v>
      </c>
      <c r="R181" s="155">
        <f ca="1"/>
        <v>9.9584496513069887E-3</v>
      </c>
      <c r="S181" s="155">
        <f ca="1"/>
        <v>0</v>
      </c>
      <c r="T181" s="155">
        <f ca="1"/>
        <v>2.8911325542321453E-2</v>
      </c>
      <c r="U181" s="155">
        <f ca="1"/>
        <v>5.4066604155496134E-2</v>
      </c>
      <c r="V181" s="138">
        <f ca="1"/>
        <v>9.2414221972714539E-2</v>
      </c>
      <c r="W181" s="137">
        <f ca="1"/>
        <v>0</v>
      </c>
      <c r="X181" s="155">
        <f ca="1"/>
        <v>0</v>
      </c>
      <c r="Y181" s="155">
        <f ca="1"/>
        <v>2.5895647348751494E-3</v>
      </c>
      <c r="Z181" s="155">
        <f ca="1"/>
        <v>0</v>
      </c>
      <c r="AA181" s="155">
        <f ca="1"/>
        <v>1.0453346691909005E-2</v>
      </c>
      <c r="AB181" s="155">
        <f ca="1"/>
        <v>0</v>
      </c>
      <c r="AC181" s="155">
        <f ca="1"/>
        <v>2.9720229014431498E-2</v>
      </c>
      <c r="AD181" s="155">
        <f ca="1"/>
        <v>5.5194457689339838E-2</v>
      </c>
      <c r="AE181" s="138">
        <f ca="1"/>
        <v>9.3925605100273035E-2</v>
      </c>
      <c r="AI181" s="135"/>
      <c r="AK181" s="135"/>
      <c r="AM181" s="135"/>
      <c r="AN181" s="135"/>
      <c r="AO181" s="135"/>
      <c r="AR181" s="135"/>
      <c r="AT181" s="135"/>
      <c r="AV181" s="135"/>
      <c r="AW181" s="135"/>
      <c r="AX181" s="135"/>
    </row>
    <row r="182" spans="1:50" s="79" customFormat="1" ht="11.25">
      <c r="A182" s="96">
        <f t="shared" ca="1" si="4"/>
        <v>171</v>
      </c>
      <c r="B182" s="68" t="s">
        <v>259</v>
      </c>
      <c r="C182" s="97">
        <v>0.4</v>
      </c>
      <c r="D182" s="69" t="s">
        <v>67</v>
      </c>
      <c r="E182" s="136" t="s">
        <v>87</v>
      </c>
      <c r="F182" s="154" t="s">
        <v>87</v>
      </c>
      <c r="G182" s="154">
        <v>4.4099999999999999E-4</v>
      </c>
      <c r="H182" s="154" t="s">
        <v>87</v>
      </c>
      <c r="I182" s="154">
        <v>1.4480000000000001E-3</v>
      </c>
      <c r="J182" s="154" t="s">
        <v>87</v>
      </c>
      <c r="K182" s="154">
        <v>2.0270000000000002E-3</v>
      </c>
      <c r="L182" s="154">
        <v>2.7499999999999998E-3</v>
      </c>
      <c r="M182" s="154">
        <v>3.6189999999999998E-3</v>
      </c>
      <c r="N182" s="137" cm="1">
        <f t="array" aca="1" ref="N182:AE182" ca="1">IF(OR(B182="",NOT($J$2)),"",GetStripDefaultProbability(A182,B182,Parameter_Date,CDSRollDate,E182:M182,SpreadCurveMaturities,D182,C182,$J$4,$J$6))</f>
        <v>0</v>
      </c>
      <c r="O182" s="155">
        <f ca="1"/>
        <v>0</v>
      </c>
      <c r="P182" s="155">
        <f ca="1"/>
        <v>7.8012793169479622E-4</v>
      </c>
      <c r="Q182" s="155">
        <f ca="1"/>
        <v>0</v>
      </c>
      <c r="R182" s="155">
        <f ca="1"/>
        <v>7.5242140265142643E-3</v>
      </c>
      <c r="S182" s="155">
        <f ca="1"/>
        <v>0</v>
      </c>
      <c r="T182" s="155">
        <f ca="1"/>
        <v>1.7577544629128306E-2</v>
      </c>
      <c r="U182" s="155">
        <f ca="1"/>
        <v>3.3826135049636941E-2</v>
      </c>
      <c r="V182" s="138">
        <f ca="1"/>
        <v>6.437596306126947E-2</v>
      </c>
      <c r="W182" s="137">
        <f ca="1"/>
        <v>0</v>
      </c>
      <c r="X182" s="155">
        <f ca="1"/>
        <v>0</v>
      </c>
      <c r="Y182" s="155">
        <f ca="1"/>
        <v>9.4665069977706295E-4</v>
      </c>
      <c r="Z182" s="155">
        <f ca="1"/>
        <v>0</v>
      </c>
      <c r="AA182" s="155">
        <f ca="1"/>
        <v>8.0203278807279288E-3</v>
      </c>
      <c r="AB182" s="155">
        <f ca="1"/>
        <v>0</v>
      </c>
      <c r="AC182" s="155">
        <f ca="1"/>
        <v>1.8395888984434117E-2</v>
      </c>
      <c r="AD182" s="155">
        <f ca="1"/>
        <v>3.4977547537508369E-2</v>
      </c>
      <c r="AE182" s="138">
        <f ca="1"/>
        <v>6.5961797809018563E-2</v>
      </c>
      <c r="AI182" s="135"/>
      <c r="AK182" s="135"/>
      <c r="AM182" s="135"/>
      <c r="AN182" s="135"/>
      <c r="AO182" s="135"/>
      <c r="AR182" s="135"/>
      <c r="AT182" s="135"/>
      <c r="AV182" s="135"/>
      <c r="AW182" s="135"/>
      <c r="AX182" s="135"/>
    </row>
    <row r="183" spans="1:50" s="79" customFormat="1" ht="11.25">
      <c r="A183" s="96">
        <f t="shared" ca="1" si="4"/>
        <v>172</v>
      </c>
      <c r="B183" s="68" t="s">
        <v>260</v>
      </c>
      <c r="C183" s="97">
        <v>0.4</v>
      </c>
      <c r="D183" s="69" t="s">
        <v>67</v>
      </c>
      <c r="E183" s="136" t="s">
        <v>87</v>
      </c>
      <c r="F183" s="154" t="s">
        <v>87</v>
      </c>
      <c r="G183" s="154">
        <v>7.6599999999999997E-4</v>
      </c>
      <c r="H183" s="154" t="s">
        <v>87</v>
      </c>
      <c r="I183" s="154">
        <v>2.5040000000000001E-3</v>
      </c>
      <c r="J183" s="154" t="s">
        <v>87</v>
      </c>
      <c r="K183" s="154">
        <v>3.2330000000000002E-3</v>
      </c>
      <c r="L183" s="154">
        <v>4.2339999999999999E-3</v>
      </c>
      <c r="M183" s="154">
        <v>5.1450000000000003E-3</v>
      </c>
      <c r="N183" s="137" cm="1">
        <f t="array" aca="1" ref="N183:AE183" ca="1">IF(OR(B183="",NOT($J$2)),"",GetStripDefaultProbability(A183,B183,Parameter_Date,CDSRollDate,E183:M183,SpreadCurveMaturities,D183,C183,$J$4,$J$6))</f>
        <v>0</v>
      </c>
      <c r="O183" s="155">
        <f ca="1"/>
        <v>0</v>
      </c>
      <c r="P183" s="155">
        <f ca="1"/>
        <v>1.3546653687278587E-3</v>
      </c>
      <c r="Q183" s="155">
        <f ca="1"/>
        <v>0</v>
      </c>
      <c r="R183" s="155">
        <f ca="1"/>
        <v>1.2984686299563841E-2</v>
      </c>
      <c r="S183" s="155">
        <f ca="1"/>
        <v>0</v>
      </c>
      <c r="T183" s="155">
        <f ca="1"/>
        <v>2.7807196715891602E-2</v>
      </c>
      <c r="U183" s="155">
        <f ca="1"/>
        <v>5.1458466495289845E-2</v>
      </c>
      <c r="V183" s="138">
        <f ca="1"/>
        <v>8.9317925252644925E-2</v>
      </c>
      <c r="W183" s="137">
        <f ca="1"/>
        <v>0</v>
      </c>
      <c r="X183" s="155">
        <f ca="1"/>
        <v>0</v>
      </c>
      <c r="Y183" s="155">
        <f ca="1"/>
        <v>1.5210923885085048E-3</v>
      </c>
      <c r="Z183" s="155">
        <f ca="1"/>
        <v>0</v>
      </c>
      <c r="AA183" s="155">
        <f ca="1"/>
        <v>1.3478070600024372E-2</v>
      </c>
      <c r="AB183" s="155">
        <f ca="1"/>
        <v>0</v>
      </c>
      <c r="AC183" s="155">
        <f ca="1"/>
        <v>2.8617019912129837E-2</v>
      </c>
      <c r="AD183" s="155">
        <f ca="1"/>
        <v>5.2588513308989504E-2</v>
      </c>
      <c r="AE183" s="138">
        <f ca="1"/>
        <v>9.083446457673694E-2</v>
      </c>
      <c r="AI183" s="135"/>
      <c r="AK183" s="135"/>
      <c r="AM183" s="135"/>
      <c r="AN183" s="135"/>
      <c r="AO183" s="135"/>
      <c r="AR183" s="135"/>
      <c r="AT183" s="135"/>
      <c r="AV183" s="135"/>
      <c r="AW183" s="135"/>
      <c r="AX183" s="135"/>
    </row>
    <row r="184" spans="1:50" s="79" customFormat="1" ht="11.25">
      <c r="A184" s="96">
        <f t="shared" ca="1" si="4"/>
        <v>173</v>
      </c>
      <c r="B184" s="68" t="s">
        <v>261</v>
      </c>
      <c r="C184" s="97">
        <v>0.4</v>
      </c>
      <c r="D184" s="69" t="s">
        <v>67</v>
      </c>
      <c r="E184" s="136" t="s">
        <v>87</v>
      </c>
      <c r="F184" s="154" t="s">
        <v>87</v>
      </c>
      <c r="G184" s="154">
        <v>1.694E-3</v>
      </c>
      <c r="H184" s="154" t="s">
        <v>87</v>
      </c>
      <c r="I184" s="154">
        <v>4.3359999999999996E-3</v>
      </c>
      <c r="J184" s="154" t="s">
        <v>87</v>
      </c>
      <c r="K184" s="154">
        <v>7.3819999999999997E-3</v>
      </c>
      <c r="L184" s="154">
        <v>9.6019999999999994E-3</v>
      </c>
      <c r="M184" s="154">
        <v>1.2803E-2</v>
      </c>
      <c r="N184" s="137">
        <f t="array" aca="1" ref="N184:AE184" ca="1">IF(OR(B184="",NOT($J$2)),"",GetStripDefaultProbability(A184,B184,Parameter_Date,CDSRollDate,E184:M184,SpreadCurveMaturities,D184,C184,$J$4,$J$6))</f>
        <v>0</v>
      </c>
      <c r="O184" s="155">
        <f ca="1"/>
        <v>0</v>
      </c>
      <c r="P184" s="155">
        <f ca="1"/>
        <v>2.9933868792363372E-3</v>
      </c>
      <c r="Q184" s="155">
        <f ca="1"/>
        <v>0</v>
      </c>
      <c r="R184" s="155">
        <f ca="1"/>
        <v>2.2353757582290967E-2</v>
      </c>
      <c r="S184" s="155">
        <f ca="1"/>
        <v>0</v>
      </c>
      <c r="T184" s="155">
        <f ca="1"/>
        <v>6.3506051037837463E-2</v>
      </c>
      <c r="U184" s="155">
        <f ca="1"/>
        <v>0.11477011793811709</v>
      </c>
      <c r="V184" s="138">
        <f ca="1"/>
        <v>0.21580422017911649</v>
      </c>
      <c r="W184" s="137">
        <f ca="1"/>
        <v>0</v>
      </c>
      <c r="X184" s="155">
        <f ca="1"/>
        <v>0</v>
      </c>
      <c r="Y184" s="155">
        <f ca="1"/>
        <v>3.1595408015573367E-3</v>
      </c>
      <c r="Z184" s="155">
        <f ca="1"/>
        <v>0</v>
      </c>
      <c r="AA184" s="155">
        <f ca="1"/>
        <v>2.2842458518095854E-2</v>
      </c>
      <c r="AB184" s="155">
        <f ca="1"/>
        <v>0</v>
      </c>
      <c r="AC184" s="155">
        <f ca="1"/>
        <v>6.4286137580794489E-2</v>
      </c>
      <c r="AD184" s="155">
        <f ca="1"/>
        <v>0.11584522110598194</v>
      </c>
      <c r="AE184" s="138">
        <f ca="1"/>
        <v>0.21719312066207008</v>
      </c>
      <c r="AI184" s="135"/>
      <c r="AK184" s="135"/>
      <c r="AM184" s="135"/>
      <c r="AN184" s="135"/>
      <c r="AO184" s="135"/>
      <c r="AR184" s="135"/>
      <c r="AT184" s="135"/>
      <c r="AV184" s="135"/>
      <c r="AW184" s="135"/>
      <c r="AX184" s="135"/>
    </row>
    <row r="185" spans="1:50" s="79" customFormat="1" ht="11.25">
      <c r="A185" s="96">
        <f t="shared" ca="1" si="4"/>
        <v>174</v>
      </c>
      <c r="B185" s="68" t="s">
        <v>262</v>
      </c>
      <c r="C185" s="97">
        <v>0.4</v>
      </c>
      <c r="D185" s="69" t="s">
        <v>67</v>
      </c>
      <c r="E185" s="136" t="s">
        <v>87</v>
      </c>
      <c r="F185" s="154">
        <v>5.5999999999999995E-4</v>
      </c>
      <c r="G185" s="154">
        <v>6.9999999999999999E-4</v>
      </c>
      <c r="H185" s="154">
        <v>1.1199999999999999E-3</v>
      </c>
      <c r="I185" s="154">
        <v>1.5399999999999999E-3</v>
      </c>
      <c r="J185" s="154" t="s">
        <v>87</v>
      </c>
      <c r="K185" s="154">
        <v>2.3700000000000001E-3</v>
      </c>
      <c r="L185" s="154">
        <v>2.65E-3</v>
      </c>
      <c r="M185" s="154">
        <v>3.0699999999999998E-3</v>
      </c>
      <c r="N185" s="137" cm="1">
        <f t="array" aca="1" ref="N185:AE185" ca="1">IF(OR(B185="",NOT($J$2)),"",GetStripDefaultProbability(A185,B185,Parameter_Date,CDSRollDate,E185:M185,SpreadCurveMaturities,D185,C185,$J$4,$J$6))</f>
        <v>0</v>
      </c>
      <c r="O185" s="155">
        <f ca="1"/>
        <v>5.1991639148973867E-4</v>
      </c>
      <c r="P185" s="155">
        <f ca="1"/>
        <v>1.2411990314684651E-3</v>
      </c>
      <c r="Q185" s="155">
        <f ca="1"/>
        <v>3.8929815541307589E-3</v>
      </c>
      <c r="R185" s="155">
        <f ca="1"/>
        <v>8.008483547132017E-3</v>
      </c>
      <c r="S185" s="155">
        <f ca="1"/>
        <v>0</v>
      </c>
      <c r="T185" s="155">
        <f ca="1"/>
        <v>2.0628872103694795E-2</v>
      </c>
      <c r="U185" s="155">
        <f ca="1"/>
        <v>3.2093949933859389E-2</v>
      </c>
      <c r="V185" s="138">
        <f ca="1"/>
        <v>5.3283898182223122E-2</v>
      </c>
      <c r="W185" s="137">
        <f ca="1"/>
        <v>0</v>
      </c>
      <c r="X185" s="155">
        <f ca="1"/>
        <v>6.1272955152480435E-4</v>
      </c>
      <c r="Y185" s="155">
        <f ca="1"/>
        <v>1.4076449607555164E-3</v>
      </c>
      <c r="Z185" s="155">
        <f ca="1"/>
        <v>4.224961893799839E-3</v>
      </c>
      <c r="AA185" s="155">
        <f ca="1"/>
        <v>8.5043553270872652E-3</v>
      </c>
      <c r="AB185" s="155">
        <f ca="1"/>
        <v>0</v>
      </c>
      <c r="AC185" s="155">
        <f ca="1"/>
        <v>2.1444674745264902E-2</v>
      </c>
      <c r="AD185" s="155">
        <f ca="1"/>
        <v>3.3246549147760374E-2</v>
      </c>
      <c r="AE185" s="138">
        <f ca="1"/>
        <v>5.4887892432176066E-2</v>
      </c>
      <c r="AH185" s="135"/>
      <c r="AI185" s="135"/>
      <c r="AJ185" s="135"/>
      <c r="AK185" s="135"/>
      <c r="AM185" s="135"/>
      <c r="AN185" s="135"/>
      <c r="AO185" s="135"/>
      <c r="AQ185" s="135"/>
      <c r="AR185" s="135"/>
      <c r="AS185" s="135"/>
      <c r="AT185" s="135"/>
      <c r="AV185" s="135"/>
      <c r="AW185" s="135"/>
      <c r="AX185" s="135"/>
    </row>
    <row r="186" spans="1:50" s="79" customFormat="1" ht="11.25">
      <c r="A186" s="96">
        <f t="shared" ca="1" si="4"/>
        <v>175</v>
      </c>
      <c r="B186" s="68" t="s">
        <v>263</v>
      </c>
      <c r="C186" s="97">
        <v>0.4</v>
      </c>
      <c r="D186" s="69" t="s">
        <v>67</v>
      </c>
      <c r="E186" s="136" t="s">
        <v>87</v>
      </c>
      <c r="F186" s="154" t="s">
        <v>87</v>
      </c>
      <c r="G186" s="154">
        <v>3.5379999999999999E-3</v>
      </c>
      <c r="H186" s="154" t="s">
        <v>87</v>
      </c>
      <c r="I186" s="154">
        <v>6.4209999999999996E-3</v>
      </c>
      <c r="J186" s="154" t="s">
        <v>87</v>
      </c>
      <c r="K186" s="154">
        <v>1.0614999999999999E-2</v>
      </c>
      <c r="L186" s="154">
        <v>1.2324E-2</v>
      </c>
      <c r="M186" s="154">
        <v>1.4395E-2</v>
      </c>
      <c r="N186" s="137" cm="1">
        <f t="array" aca="1" ref="N186:AE186" ca="1">IF(OR(B186="",NOT($J$2)),"",GetStripDefaultProbability(A186,B186,Parameter_Date,CDSRollDate,E186:M186,SpreadCurveMaturities,D186,C186,$J$4,$J$6))</f>
        <v>0</v>
      </c>
      <c r="O186" s="155">
        <f ca="1"/>
        <v>0</v>
      </c>
      <c r="P186" s="155">
        <f ca="1"/>
        <v>6.2417313825645637E-3</v>
      </c>
      <c r="Q186" s="155">
        <f ca="1"/>
        <v>0</v>
      </c>
      <c r="R186" s="155">
        <f ca="1"/>
        <v>3.28109539810989E-2</v>
      </c>
      <c r="S186" s="155">
        <f ca="1"/>
        <v>0</v>
      </c>
      <c r="T186" s="155">
        <f ca="1"/>
        <v>9.0105980641804195E-2</v>
      </c>
      <c r="U186" s="155">
        <f ca="1"/>
        <v>0.14334210188622065</v>
      </c>
      <c r="V186" s="138">
        <f ca="1"/>
        <v>0.23232156735816167</v>
      </c>
      <c r="W186" s="137">
        <f ca="1"/>
        <v>0</v>
      </c>
      <c r="X186" s="155">
        <f ca="1"/>
        <v>0</v>
      </c>
      <c r="Y186" s="155">
        <f ca="1"/>
        <v>6.407343959247136E-3</v>
      </c>
      <c r="Z186" s="155">
        <f ca="1"/>
        <v>0</v>
      </c>
      <c r="AA186" s="155">
        <f ca="1"/>
        <v>3.3294427625610412E-2</v>
      </c>
      <c r="AB186" s="155">
        <f ca="1"/>
        <v>0</v>
      </c>
      <c r="AC186" s="155">
        <f ca="1"/>
        <v>9.0891824302805957E-2</v>
      </c>
      <c r="AD186" s="155">
        <f ca="1"/>
        <v>0.14437945709000732</v>
      </c>
      <c r="AE186" s="138">
        <f ca="1"/>
        <v>0.23366395925770267</v>
      </c>
      <c r="AI186" s="135"/>
      <c r="AK186" s="135"/>
      <c r="AM186" s="135"/>
      <c r="AN186" s="135"/>
      <c r="AO186" s="135"/>
      <c r="AR186" s="135"/>
      <c r="AT186" s="135"/>
      <c r="AV186" s="135"/>
      <c r="AW186" s="135"/>
      <c r="AX186" s="135"/>
    </row>
    <row r="187" spans="1:50" s="79" customFormat="1" ht="11.25">
      <c r="A187" s="96">
        <f t="shared" ca="1" si="4"/>
        <v>176</v>
      </c>
      <c r="B187" s="68" t="s">
        <v>264</v>
      </c>
      <c r="C187" s="97">
        <v>0.4</v>
      </c>
      <c r="D187" s="69" t="s">
        <v>67</v>
      </c>
      <c r="E187" s="136" t="s">
        <v>87</v>
      </c>
      <c r="F187" s="154" t="s">
        <v>87</v>
      </c>
      <c r="G187" s="154">
        <v>1.0579999999999999E-3</v>
      </c>
      <c r="H187" s="154" t="s">
        <v>87</v>
      </c>
      <c r="I187" s="154">
        <v>1.954E-3</v>
      </c>
      <c r="J187" s="154" t="s">
        <v>87</v>
      </c>
      <c r="K187" s="154">
        <v>2.6059999999999998E-3</v>
      </c>
      <c r="L187" s="154">
        <v>2.7680000000000001E-3</v>
      </c>
      <c r="M187" s="154">
        <v>3.1749999999999999E-3</v>
      </c>
      <c r="N187" s="137" cm="1">
        <f t="array" aca="1" ref="N187:AE187" ca="1">IF(OR(B187="",NOT($J$2)),"",GetStripDefaultProbability(A187,B187,Parameter_Date,CDSRollDate,E187:M187,SpreadCurveMaturities,D187,C187,$J$4,$J$6))</f>
        <v>0</v>
      </c>
      <c r="O187" s="155">
        <f ca="1"/>
        <v>0</v>
      </c>
      <c r="P187" s="155">
        <f ca="1"/>
        <v>1.8705855105300984E-3</v>
      </c>
      <c r="Q187" s="155">
        <f ca="1"/>
        <v>0</v>
      </c>
      <c r="R187" s="155">
        <f ca="1"/>
        <v>1.0082871994415155E-2</v>
      </c>
      <c r="S187" s="155">
        <f ca="1"/>
        <v>0</v>
      </c>
      <c r="T187" s="155">
        <f ca="1"/>
        <v>2.2439064957709087E-2</v>
      </c>
      <c r="U187" s="155">
        <f ca="1"/>
        <v>3.3090195425752311E-2</v>
      </c>
      <c r="V187" s="138">
        <f ca="1"/>
        <v>5.456205191439234E-2</v>
      </c>
      <c r="W187" s="137">
        <f ca="1"/>
        <v>0</v>
      </c>
      <c r="X187" s="155">
        <f ca="1"/>
        <v>0</v>
      </c>
      <c r="Y187" s="155">
        <f ca="1"/>
        <v>2.0369265508100032E-3</v>
      </c>
      <c r="Z187" s="155">
        <f ca="1"/>
        <v>0</v>
      </c>
      <c r="AA187" s="155">
        <f ca="1"/>
        <v>1.0577706839387413E-2</v>
      </c>
      <c r="AB187" s="155">
        <f ca="1"/>
        <v>0</v>
      </c>
      <c r="AC187" s="155">
        <f ca="1"/>
        <v>2.3253359733666934E-2</v>
      </c>
      <c r="AD187" s="155">
        <f ca="1"/>
        <v>3.4240641706658859E-2</v>
      </c>
      <c r="AE187" s="138">
        <f ca="1"/>
        <v>5.6162351042157388E-2</v>
      </c>
      <c r="AI187" s="135"/>
      <c r="AK187" s="135"/>
      <c r="AM187" s="135"/>
      <c r="AN187" s="135"/>
      <c r="AO187" s="135"/>
      <c r="AR187" s="135"/>
      <c r="AT187" s="135"/>
      <c r="AV187" s="135"/>
      <c r="AW187" s="135"/>
      <c r="AX187" s="135"/>
    </row>
    <row r="188" spans="1:50" s="79" customFormat="1" ht="11.25">
      <c r="A188" s="96">
        <f t="shared" ca="1" si="4"/>
        <v>177</v>
      </c>
      <c r="B188" s="68" t="s">
        <v>265</v>
      </c>
      <c r="C188" s="97">
        <v>0.4</v>
      </c>
      <c r="D188" s="69" t="s">
        <v>67</v>
      </c>
      <c r="E188" s="136" t="s">
        <v>87</v>
      </c>
      <c r="F188" s="154" t="s">
        <v>87</v>
      </c>
      <c r="G188" s="154">
        <v>1.206E-3</v>
      </c>
      <c r="H188" s="154" t="s">
        <v>87</v>
      </c>
      <c r="I188" s="154">
        <v>3.0339999999999998E-3</v>
      </c>
      <c r="J188" s="154" t="s">
        <v>87</v>
      </c>
      <c r="K188" s="154">
        <v>4.8250000000000003E-3</v>
      </c>
      <c r="L188" s="154">
        <v>5.8199999999999997E-3</v>
      </c>
      <c r="M188" s="154">
        <v>6.8149999999999999E-3</v>
      </c>
      <c r="N188" s="137" cm="1">
        <f t="array" aca="1" ref="N188:AE188" ca="1">IF(OR(B188="",NOT($J$2)),"",GetStripDefaultProbability(A188,B188,Parameter_Date,CDSRollDate,E188:M188,SpreadCurveMaturities,D188,C188,$J$4,$J$6))</f>
        <v>0</v>
      </c>
      <c r="O188" s="155">
        <f ca="1"/>
        <v>0</v>
      </c>
      <c r="P188" s="155">
        <f ca="1"/>
        <v>2.1319782706600288E-3</v>
      </c>
      <c r="Q188" s="155">
        <f ca="1"/>
        <v>0</v>
      </c>
      <c r="R188" s="155">
        <f ca="1"/>
        <v>1.5679241335133209E-2</v>
      </c>
      <c r="S188" s="155">
        <f ca="1"/>
        <v>0</v>
      </c>
      <c r="T188" s="155">
        <f ca="1"/>
        <v>4.1689867469585473E-2</v>
      </c>
      <c r="U188" s="155">
        <f ca="1"/>
        <v>7.0033371231393082E-2</v>
      </c>
      <c r="V188" s="138">
        <f ca="1"/>
        <v>0.11606806672990089</v>
      </c>
      <c r="W188" s="137">
        <f ca="1"/>
        <v>0</v>
      </c>
      <c r="X188" s="155">
        <f ca="1"/>
        <v>0</v>
      </c>
      <c r="Y188" s="155">
        <f ca="1"/>
        <v>2.2982757490949135E-3</v>
      </c>
      <c r="Z188" s="155">
        <f ca="1"/>
        <v>0</v>
      </c>
      <c r="AA188" s="155">
        <f ca="1"/>
        <v>1.6171278694912083E-2</v>
      </c>
      <c r="AB188" s="155">
        <f ca="1"/>
        <v>0</v>
      </c>
      <c r="AC188" s="155">
        <f ca="1"/>
        <v>4.2488126592535647E-2</v>
      </c>
      <c r="AD188" s="155">
        <f ca="1"/>
        <v>7.1141471034389947E-2</v>
      </c>
      <c r="AE188" s="138">
        <f ca="1"/>
        <v>0.11758899264472766</v>
      </c>
      <c r="AI188" s="135"/>
      <c r="AK188" s="135"/>
      <c r="AM188" s="135"/>
      <c r="AN188" s="135"/>
      <c r="AO188" s="135"/>
      <c r="AR188" s="135"/>
      <c r="AT188" s="135"/>
      <c r="AV188" s="135"/>
      <c r="AW188" s="135"/>
      <c r="AX188" s="135"/>
    </row>
    <row r="189" spans="1:50" s="79" customFormat="1" ht="11.25">
      <c r="A189" s="96">
        <f t="shared" ca="1" si="4"/>
        <v>178</v>
      </c>
      <c r="B189" s="68" t="s">
        <v>266</v>
      </c>
      <c r="C189" s="97">
        <v>0.4</v>
      </c>
      <c r="D189" s="69" t="s">
        <v>67</v>
      </c>
      <c r="E189" s="136" t="s">
        <v>87</v>
      </c>
      <c r="F189" s="154" t="s">
        <v>87</v>
      </c>
      <c r="G189" s="154">
        <v>2.6489999999999999E-3</v>
      </c>
      <c r="H189" s="154" t="s">
        <v>87</v>
      </c>
      <c r="I189" s="154">
        <v>4.8570000000000002E-3</v>
      </c>
      <c r="J189" s="154" t="s">
        <v>87</v>
      </c>
      <c r="K189" s="154">
        <v>7.2859999999999999E-3</v>
      </c>
      <c r="L189" s="154">
        <v>8.4169999999999991E-3</v>
      </c>
      <c r="M189" s="154">
        <v>9.5029999999999993E-3</v>
      </c>
      <c r="N189" s="137" cm="1">
        <f t="array" aca="1" ref="N189:AE189" ca="1">IF(OR(B189="",NOT($J$2)),"",GetStripDefaultProbability(A189,B189,Parameter_Date,CDSRollDate,E189:M189,SpreadCurveMaturities,D189,C189,$J$4,$J$6))</f>
        <v>0</v>
      </c>
      <c r="O189" s="155">
        <f ca="1"/>
        <v>0</v>
      </c>
      <c r="P189" s="155">
        <f ca="1"/>
        <v>4.6770024288453893E-3</v>
      </c>
      <c r="Q189" s="155">
        <f ca="1"/>
        <v>0</v>
      </c>
      <c r="R189" s="155">
        <f ca="1"/>
        <v>2.4905686499711144E-2</v>
      </c>
      <c r="S189" s="155">
        <f ca="1"/>
        <v>0</v>
      </c>
      <c r="T189" s="155">
        <f ca="1"/>
        <v>6.2182286008190091E-2</v>
      </c>
      <c r="U189" s="155">
        <f ca="1"/>
        <v>9.9307120719593134E-2</v>
      </c>
      <c r="V189" s="138">
        <f ca="1"/>
        <v>0.15708408700379128</v>
      </c>
      <c r="W189" s="137">
        <f ca="1"/>
        <v>0</v>
      </c>
      <c r="X189" s="155">
        <f ca="1"/>
        <v>0</v>
      </c>
      <c r="Y189" s="155">
        <f ca="1"/>
        <v>4.842875771951638E-3</v>
      </c>
      <c r="Z189" s="155">
        <f ca="1"/>
        <v>0</v>
      </c>
      <c r="AA189" s="155">
        <f ca="1"/>
        <v>2.5393111789946854E-2</v>
      </c>
      <c r="AB189" s="155">
        <f ca="1"/>
        <v>0</v>
      </c>
      <c r="AC189" s="155">
        <f ca="1"/>
        <v>6.2963475229129706E-2</v>
      </c>
      <c r="AD189" s="155">
        <f ca="1"/>
        <v>0.10035731634552492</v>
      </c>
      <c r="AE189" s="138">
        <f ca="1"/>
        <v>0.15854409368265221</v>
      </c>
      <c r="AI189" s="135"/>
      <c r="AK189" s="135"/>
      <c r="AM189" s="135"/>
      <c r="AN189" s="135"/>
      <c r="AO189" s="135"/>
      <c r="AR189" s="135"/>
      <c r="AT189" s="135"/>
      <c r="AV189" s="135"/>
      <c r="AW189" s="135"/>
      <c r="AX189" s="135"/>
    </row>
    <row r="190" spans="1:50" s="79" customFormat="1" ht="11.25">
      <c r="A190" s="96">
        <f t="shared" ca="1" si="4"/>
        <v>179</v>
      </c>
      <c r="B190" s="68" t="s">
        <v>267</v>
      </c>
      <c r="C190" s="97">
        <v>0.4</v>
      </c>
      <c r="D190" s="69" t="s">
        <v>67</v>
      </c>
      <c r="E190" s="136" t="s">
        <v>87</v>
      </c>
      <c r="F190" s="154" t="s">
        <v>87</v>
      </c>
      <c r="G190" s="154">
        <v>1.451E-3</v>
      </c>
      <c r="H190" s="154" t="s">
        <v>87</v>
      </c>
      <c r="I190" s="154">
        <v>4.3909999999999999E-3</v>
      </c>
      <c r="J190" s="154" t="s">
        <v>87</v>
      </c>
      <c r="K190" s="154">
        <v>6.803E-3</v>
      </c>
      <c r="L190" s="154">
        <v>8.1539999999999998E-3</v>
      </c>
      <c r="M190" s="154">
        <v>9.9399999999999992E-3</v>
      </c>
      <c r="N190" s="137" cm="1">
        <f t="array" aca="1" ref="N190:AE190" ca="1">IF(OR(B190="",NOT($J$2)),"",GetStripDefaultProbability(A190,B190,Parameter_Date,CDSRollDate,E190:M190,SpreadCurveMaturities,D190,C190,$J$4,$J$6))</f>
        <v>0</v>
      </c>
      <c r="O190" s="155">
        <f ca="1"/>
        <v>0</v>
      </c>
      <c r="P190" s="155">
        <f ca="1"/>
        <v>2.5645399967449967E-3</v>
      </c>
      <c r="Q190" s="155">
        <f ca="1"/>
        <v>0</v>
      </c>
      <c r="R190" s="155">
        <f ca="1"/>
        <v>2.2672371344228948E-2</v>
      </c>
      <c r="S190" s="155">
        <f ca="1"/>
        <v>0</v>
      </c>
      <c r="T190" s="155">
        <f ca="1"/>
        <v>5.8392884026378322E-2</v>
      </c>
      <c r="U190" s="155">
        <f ca="1"/>
        <v>9.6995168521933017E-2</v>
      </c>
      <c r="V190" s="138">
        <f ca="1"/>
        <v>0.16690562673838671</v>
      </c>
      <c r="W190" s="137">
        <f ca="1"/>
        <v>0</v>
      </c>
      <c r="X190" s="155">
        <f ca="1"/>
        <v>0</v>
      </c>
      <c r="Y190" s="155">
        <f ca="1"/>
        <v>2.730765387574885E-3</v>
      </c>
      <c r="Z190" s="155">
        <f ca="1"/>
        <v>0</v>
      </c>
      <c r="AA190" s="155">
        <f ca="1"/>
        <v>2.3160913012974294E-2</v>
      </c>
      <c r="AB190" s="155">
        <f ca="1"/>
        <v>0</v>
      </c>
      <c r="AC190" s="155">
        <f ca="1"/>
        <v>5.9177229766888439E-2</v>
      </c>
      <c r="AD190" s="155">
        <f ca="1"/>
        <v>9.8048059852591352E-2</v>
      </c>
      <c r="AE190" s="138">
        <f ca="1"/>
        <v>0.1683599294935697</v>
      </c>
      <c r="AI190" s="135"/>
      <c r="AK190" s="135"/>
      <c r="AM190" s="135"/>
      <c r="AN190" s="135"/>
      <c r="AO190" s="135"/>
      <c r="AR190" s="135"/>
      <c r="AT190" s="135"/>
      <c r="AV190" s="135"/>
      <c r="AW190" s="135"/>
      <c r="AX190" s="135"/>
    </row>
    <row r="191" spans="1:50" s="79" customFormat="1" ht="11.25">
      <c r="A191" s="96">
        <f t="shared" ca="1" si="4"/>
        <v>180</v>
      </c>
      <c r="B191" s="68" t="s">
        <v>268</v>
      </c>
      <c r="C191" s="97">
        <v>0.4</v>
      </c>
      <c r="D191" s="69" t="s">
        <v>67</v>
      </c>
      <c r="E191" s="136" t="s">
        <v>87</v>
      </c>
      <c r="F191" s="154" t="s">
        <v>87</v>
      </c>
      <c r="G191" s="154">
        <v>1.689E-3</v>
      </c>
      <c r="H191" s="154" t="s">
        <v>87</v>
      </c>
      <c r="I191" s="154">
        <v>2.6540000000000001E-3</v>
      </c>
      <c r="J191" s="154" t="s">
        <v>87</v>
      </c>
      <c r="K191" s="154">
        <v>3.2810000000000001E-3</v>
      </c>
      <c r="L191" s="154">
        <v>3.3289999999999999E-3</v>
      </c>
      <c r="M191" s="154">
        <v>3.4740000000000001E-3</v>
      </c>
      <c r="N191" s="137" cm="1">
        <f t="array" aca="1" ref="N191:AE191" ca="1">IF(OR(B191="",NOT($J$2)),"",GetStripDefaultProbability(A191,B191,Parameter_Date,CDSRollDate,E191:M191,SpreadCurveMaturities,D191,C191,$J$4,$J$6))</f>
        <v>0</v>
      </c>
      <c r="O191" s="155">
        <f ca="1"/>
        <v>0</v>
      </c>
      <c r="P191" s="155">
        <f ca="1"/>
        <v>2.9845647122828112E-3</v>
      </c>
      <c r="Q191" s="155">
        <f ca="1"/>
        <v>0</v>
      </c>
      <c r="R191" s="155">
        <f ca="1"/>
        <v>1.3640712090567164E-2</v>
      </c>
      <c r="S191" s="155">
        <f ca="1"/>
        <v>0</v>
      </c>
      <c r="T191" s="155">
        <f ca="1"/>
        <v>2.802736590979471E-2</v>
      </c>
      <c r="U191" s="155">
        <f ca="1"/>
        <v>3.9298801522064331E-2</v>
      </c>
      <c r="V191" s="138">
        <f ca="1"/>
        <v>5.8145586457562848E-2</v>
      </c>
      <c r="W191" s="137">
        <f ca="1"/>
        <v>0</v>
      </c>
      <c r="X191" s="155">
        <f ca="1"/>
        <v>0</v>
      </c>
      <c r="Y191" s="155">
        <f ca="1"/>
        <v>3.150720104815985E-3</v>
      </c>
      <c r="Z191" s="155">
        <f ca="1"/>
        <v>0</v>
      </c>
      <c r="AA191" s="155">
        <f ca="1"/>
        <v>1.413376846013692E-2</v>
      </c>
      <c r="AB191" s="155">
        <f ca="1"/>
        <v>0</v>
      </c>
      <c r="AC191" s="155">
        <f ca="1"/>
        <v>2.8837005708138963E-2</v>
      </c>
      <c r="AD191" s="155">
        <f ca="1"/>
        <v>4.0441079004882363E-2</v>
      </c>
      <c r="AE191" s="138">
        <f ca="1"/>
        <v>5.9714036408810012E-2</v>
      </c>
      <c r="AI191" s="135"/>
      <c r="AK191" s="135"/>
      <c r="AM191" s="135"/>
      <c r="AN191" s="135"/>
      <c r="AO191" s="135"/>
      <c r="AR191" s="135"/>
      <c r="AT191" s="135"/>
      <c r="AV191" s="135"/>
      <c r="AW191" s="135"/>
      <c r="AX191" s="135"/>
    </row>
    <row r="192" spans="1:50" s="79" customFormat="1" ht="11.25">
      <c r="A192" s="96">
        <f t="shared" ca="1" si="4"/>
        <v>181</v>
      </c>
      <c r="B192" s="68" t="s">
        <v>269</v>
      </c>
      <c r="C192" s="97">
        <v>0.4</v>
      </c>
      <c r="D192" s="69" t="s">
        <v>67</v>
      </c>
      <c r="E192" s="136" t="s">
        <v>87</v>
      </c>
      <c r="F192" s="154" t="s">
        <v>87</v>
      </c>
      <c r="G192" s="154">
        <v>5.1599999999999997E-4</v>
      </c>
      <c r="H192" s="154" t="s">
        <v>87</v>
      </c>
      <c r="I192" s="154">
        <v>1.9E-3</v>
      </c>
      <c r="J192" s="154" t="s">
        <v>87</v>
      </c>
      <c r="K192" s="154">
        <v>2.7499999999999998E-3</v>
      </c>
      <c r="L192" s="154">
        <v>3.5500000000000002E-3</v>
      </c>
      <c r="M192" s="154">
        <v>4.5999999999999999E-3</v>
      </c>
      <c r="N192" s="137" cm="1">
        <f t="array" aca="1" ref="N192:AE192" ca="1">IF(OR(B192="",NOT($J$2)),"",GetStripDefaultProbability(A192,B192,Parameter_Date,CDSRollDate,E192:M192,SpreadCurveMaturities,D192,C192,$J$4,$J$6))</f>
        <v>0</v>
      </c>
      <c r="O192" s="155">
        <f ca="1"/>
        <v>0</v>
      </c>
      <c r="P192" s="155">
        <f ca="1"/>
        <v>9.1274261143514668E-4</v>
      </c>
      <c r="Q192" s="155">
        <f ca="1"/>
        <v>0</v>
      </c>
      <c r="R192" s="155">
        <f ca="1"/>
        <v>9.872585813916479E-3</v>
      </c>
      <c r="S192" s="155">
        <f ca="1"/>
        <v>0</v>
      </c>
      <c r="T192" s="155">
        <f ca="1"/>
        <v>2.3839001496562928E-2</v>
      </c>
      <c r="U192" s="155">
        <f ca="1"/>
        <v>4.3364626155745323E-2</v>
      </c>
      <c r="V192" s="138">
        <f ca="1"/>
        <v>8.1008279443897657E-2</v>
      </c>
      <c r="W192" s="137">
        <f ca="1"/>
        <v>0</v>
      </c>
      <c r="X192" s="155">
        <f ca="1"/>
        <v>0</v>
      </c>
      <c r="Y192" s="155">
        <f ca="1"/>
        <v>1.0792432788799822E-3</v>
      </c>
      <c r="Z192" s="155">
        <f ca="1"/>
        <v>0</v>
      </c>
      <c r="AA192" s="155">
        <f ca="1"/>
        <v>1.0367525775707875E-2</v>
      </c>
      <c r="AB192" s="155">
        <f ca="1"/>
        <v>0</v>
      </c>
      <c r="AC192" s="155">
        <f ca="1"/>
        <v>2.4652130144652618E-2</v>
      </c>
      <c r="AD192" s="155">
        <f ca="1"/>
        <v>4.4505004790126645E-2</v>
      </c>
      <c r="AE192" s="138">
        <f ca="1"/>
        <v>8.2538656642951791E-2</v>
      </c>
      <c r="AI192" s="135"/>
      <c r="AK192" s="135"/>
      <c r="AM192" s="135"/>
      <c r="AN192" s="135"/>
      <c r="AO192" s="135"/>
      <c r="AR192" s="135"/>
      <c r="AT192" s="135"/>
      <c r="AV192" s="135"/>
      <c r="AW192" s="135"/>
      <c r="AX192" s="135"/>
    </row>
    <row r="193" spans="1:50" s="79" customFormat="1" ht="11.25">
      <c r="A193" s="96">
        <f t="shared" ca="1" si="4"/>
        <v>182</v>
      </c>
      <c r="B193" s="68" t="s">
        <v>270</v>
      </c>
      <c r="C193" s="97">
        <v>0.4</v>
      </c>
      <c r="D193" s="69" t="s">
        <v>67</v>
      </c>
      <c r="E193" s="136" t="s">
        <v>87</v>
      </c>
      <c r="F193" s="154" t="s">
        <v>87</v>
      </c>
      <c r="G193" s="154">
        <v>4.7899999999999999E-4</v>
      </c>
      <c r="H193" s="154" t="s">
        <v>87</v>
      </c>
      <c r="I193" s="154">
        <v>1.351E-3</v>
      </c>
      <c r="J193" s="154" t="s">
        <v>87</v>
      </c>
      <c r="K193" s="154">
        <v>2.075E-3</v>
      </c>
      <c r="L193" s="154">
        <v>2.895E-3</v>
      </c>
      <c r="M193" s="154">
        <v>3.9569999999999996E-3</v>
      </c>
      <c r="N193" s="137" cm="1">
        <f t="array" aca="1" ref="N193:AE193" ca="1">IF(OR(B193="",NOT($J$2)),"",GetStripDefaultProbability(A193,B193,Parameter_Date,CDSRollDate,E193:M193,SpreadCurveMaturities,D193,C193,$J$4,$J$6))</f>
        <v>0</v>
      </c>
      <c r="O193" s="155">
        <f ca="1"/>
        <v>0</v>
      </c>
      <c r="P193" s="155">
        <f ca="1"/>
        <v>8.4732155338929083E-4</v>
      </c>
      <c r="Q193" s="155">
        <f ca="1"/>
        <v>0</v>
      </c>
      <c r="R193" s="155">
        <f ca="1"/>
        <v>7.0127875017212959E-3</v>
      </c>
      <c r="S193" s="155">
        <f ca="1"/>
        <v>0</v>
      </c>
      <c r="T193" s="155">
        <f ca="1"/>
        <v>1.8059950104235667E-2</v>
      </c>
      <c r="U193" s="155">
        <f ca="1"/>
        <v>3.5745501325931461E-2</v>
      </c>
      <c r="V193" s="138">
        <f ca="1"/>
        <v>7.0762237108447423E-2</v>
      </c>
      <c r="W193" s="137">
        <f ca="1"/>
        <v>0</v>
      </c>
      <c r="X193" s="155">
        <f ca="1"/>
        <v>0</v>
      </c>
      <c r="Y193" s="155">
        <f ca="1"/>
        <v>1.0138331234285092E-3</v>
      </c>
      <c r="Z193" s="155">
        <f ca="1"/>
        <v>0</v>
      </c>
      <c r="AA193" s="155">
        <f ca="1"/>
        <v>7.5091570052914225E-3</v>
      </c>
      <c r="AB193" s="155">
        <f ca="1"/>
        <v>0</v>
      </c>
      <c r="AC193" s="155">
        <f ca="1"/>
        <v>1.8877892622457537E-2</v>
      </c>
      <c r="AD193" s="155">
        <f ca="1"/>
        <v>3.6895077240100105E-2</v>
      </c>
      <c r="AE193" s="138">
        <f ca="1"/>
        <v>7.2335999275512375E-2</v>
      </c>
      <c r="AI193" s="135"/>
      <c r="AK193" s="135"/>
      <c r="AM193" s="135"/>
      <c r="AN193" s="135"/>
      <c r="AO193" s="135"/>
      <c r="AR193" s="135"/>
      <c r="AT193" s="135"/>
      <c r="AV193" s="135"/>
      <c r="AW193" s="135"/>
      <c r="AX193" s="135"/>
    </row>
    <row r="194" spans="1:50" s="79" customFormat="1" ht="11.25">
      <c r="A194" s="96">
        <f t="shared" ca="1" si="4"/>
        <v>183</v>
      </c>
      <c r="B194" s="68" t="s">
        <v>271</v>
      </c>
      <c r="C194" s="97">
        <v>0.4</v>
      </c>
      <c r="D194" s="69" t="s">
        <v>67</v>
      </c>
      <c r="E194" s="136" t="s">
        <v>87</v>
      </c>
      <c r="F194" s="154" t="s">
        <v>87</v>
      </c>
      <c r="G194" s="154">
        <v>4.7899999999999999E-4</v>
      </c>
      <c r="H194" s="154" t="s">
        <v>87</v>
      </c>
      <c r="I194" s="154">
        <v>1.433E-3</v>
      </c>
      <c r="J194" s="154" t="s">
        <v>87</v>
      </c>
      <c r="K194" s="154">
        <v>2.075E-3</v>
      </c>
      <c r="L194" s="154">
        <v>2.7659999999999998E-3</v>
      </c>
      <c r="M194" s="154">
        <v>3.5569999999999998E-3</v>
      </c>
      <c r="N194" s="137" cm="1">
        <f t="array" aca="1" ref="N194:AE194" ca="1">IF(OR(B194="",NOT($J$2)),"",GetStripDefaultProbability(A194,B194,Parameter_Date,CDSRollDate,E194:M194,SpreadCurveMaturities,D194,C194,$J$4,$J$6))</f>
        <v>0</v>
      </c>
      <c r="O194" s="155">
        <f ca="1"/>
        <v>0</v>
      </c>
      <c r="P194" s="155">
        <f ca="1"/>
        <v>8.4732155338929083E-4</v>
      </c>
      <c r="Q194" s="155">
        <f ca="1"/>
        <v>0</v>
      </c>
      <c r="R194" s="155">
        <f ca="1"/>
        <v>7.4409885664654674E-3</v>
      </c>
      <c r="S194" s="155">
        <f ca="1"/>
        <v>0</v>
      </c>
      <c r="T194" s="155">
        <f ca="1"/>
        <v>1.8014625478155577E-2</v>
      </c>
      <c r="U194" s="155">
        <f ca="1"/>
        <v>3.3990854418045169E-2</v>
      </c>
      <c r="V194" s="138">
        <f ca="1"/>
        <v>6.306684465188872E-2</v>
      </c>
      <c r="W194" s="137">
        <f ca="1"/>
        <v>0</v>
      </c>
      <c r="X194" s="155">
        <f ca="1"/>
        <v>0</v>
      </c>
      <c r="Y194" s="155">
        <f ca="1"/>
        <v>1.0138331234285092E-3</v>
      </c>
      <c r="Z194" s="155">
        <f ca="1"/>
        <v>0</v>
      </c>
      <c r="AA194" s="155">
        <f ca="1"/>
        <v>7.9371440229437651E-3</v>
      </c>
      <c r="AB194" s="155">
        <f ca="1"/>
        <v>0</v>
      </c>
      <c r="AC194" s="155">
        <f ca="1"/>
        <v>1.8832605751112008E-2</v>
      </c>
      <c r="AD194" s="155">
        <f ca="1"/>
        <v>3.5142101350414512E-2</v>
      </c>
      <c r="AE194" s="138">
        <f ca="1"/>
        <v>6.4655188993568036E-2</v>
      </c>
      <c r="AI194" s="135"/>
      <c r="AK194" s="135"/>
      <c r="AM194" s="135"/>
      <c r="AN194" s="135"/>
      <c r="AO194" s="135"/>
      <c r="AR194" s="135"/>
      <c r="AT194" s="135"/>
      <c r="AV194" s="135"/>
      <c r="AW194" s="135"/>
      <c r="AX194" s="135"/>
    </row>
    <row r="195" spans="1:50" s="79" customFormat="1" ht="11.25">
      <c r="A195" s="96">
        <f t="shared" ca="1" si="4"/>
        <v>184</v>
      </c>
      <c r="B195" s="68" t="s">
        <v>272</v>
      </c>
      <c r="C195" s="97">
        <v>0.4</v>
      </c>
      <c r="D195" s="69" t="s">
        <v>67</v>
      </c>
      <c r="E195" s="136" t="s">
        <v>87</v>
      </c>
      <c r="F195" s="154" t="s">
        <v>87</v>
      </c>
      <c r="G195" s="154">
        <v>8.5499999999999997E-4</v>
      </c>
      <c r="H195" s="154" t="s">
        <v>87</v>
      </c>
      <c r="I195" s="154">
        <v>1.8420000000000001E-3</v>
      </c>
      <c r="J195" s="154" t="s">
        <v>87</v>
      </c>
      <c r="K195" s="154">
        <v>2.895E-3</v>
      </c>
      <c r="L195" s="154">
        <v>3.1580000000000002E-3</v>
      </c>
      <c r="M195" s="154">
        <v>3.79E-3</v>
      </c>
      <c r="N195" s="137" cm="1">
        <f t="array" aca="1" ref="N195:AE195" ca="1">IF(OR(B195="",NOT($J$2)),"",GetStripDefaultProbability(A195,B195,Parameter_Date,CDSRollDate,E195:M195,SpreadCurveMaturities,D195,C195,$J$4,$J$6))</f>
        <v>0</v>
      </c>
      <c r="O195" s="155">
        <f ca="1"/>
        <v>0</v>
      </c>
      <c r="P195" s="155">
        <f ca="1"/>
        <v>1.5119430341428153E-3</v>
      </c>
      <c r="Q195" s="155">
        <f ca="1"/>
        <v>0</v>
      </c>
      <c r="R195" s="155">
        <f ca="1"/>
        <v>9.5258320079973924E-3</v>
      </c>
      <c r="S195" s="155">
        <f ca="1"/>
        <v>0</v>
      </c>
      <c r="T195" s="155">
        <f ca="1"/>
        <v>2.5132102409387902E-2</v>
      </c>
      <c r="U195" s="155">
        <f ca="1"/>
        <v>3.8025844720394497E-2</v>
      </c>
      <c r="V195" s="138">
        <f ca="1"/>
        <v>6.5710249410136701E-2</v>
      </c>
      <c r="W195" s="137">
        <f ca="1"/>
        <v>0</v>
      </c>
      <c r="X195" s="155">
        <f ca="1"/>
        <v>0</v>
      </c>
      <c r="Y195" s="155">
        <f ca="1"/>
        <v>1.6783438431703379E-3</v>
      </c>
      <c r="Z195" s="155">
        <f ca="1"/>
        <v>0</v>
      </c>
      <c r="AA195" s="155">
        <f ca="1"/>
        <v>1.0020945303372941E-2</v>
      </c>
      <c r="AB195" s="155">
        <f ca="1"/>
        <v>0</v>
      </c>
      <c r="AC195" s="155">
        <f ca="1"/>
        <v>2.5944153922275004E-2</v>
      </c>
      <c r="AD195" s="155">
        <f ca="1"/>
        <v>3.9171712133675429E-2</v>
      </c>
      <c r="AE195" s="138">
        <f ca="1"/>
        <v>6.729158013755876E-2</v>
      </c>
      <c r="AI195" s="135"/>
      <c r="AK195" s="135"/>
      <c r="AM195" s="135"/>
      <c r="AN195" s="135"/>
      <c r="AO195" s="135"/>
      <c r="AR195" s="135"/>
      <c r="AT195" s="135"/>
      <c r="AV195" s="135"/>
      <c r="AW195" s="135"/>
      <c r="AX195" s="135"/>
    </row>
    <row r="196" spans="1:50" s="79" customFormat="1" ht="11.25">
      <c r="A196" s="96">
        <f t="shared" ca="1" si="4"/>
        <v>185</v>
      </c>
      <c r="B196" s="68" t="s">
        <v>273</v>
      </c>
      <c r="C196" s="97">
        <v>0.4</v>
      </c>
      <c r="D196" s="69" t="s">
        <v>67</v>
      </c>
      <c r="E196" s="136" t="s">
        <v>87</v>
      </c>
      <c r="F196" s="154" t="s">
        <v>87</v>
      </c>
      <c r="G196" s="154">
        <v>4.15E-4</v>
      </c>
      <c r="H196" s="154" t="s">
        <v>87</v>
      </c>
      <c r="I196" s="154">
        <v>1.5920000000000001E-3</v>
      </c>
      <c r="J196" s="154" t="s">
        <v>87</v>
      </c>
      <c r="K196" s="154">
        <v>2.075E-3</v>
      </c>
      <c r="L196" s="154">
        <v>2.7499999999999998E-3</v>
      </c>
      <c r="M196" s="154">
        <v>3.522E-3</v>
      </c>
      <c r="N196" s="137" cm="1">
        <f t="array" aca="1" ref="N196:AE196" ca="1">IF(OR(B196="",NOT($J$2)),"",GetStripDefaultProbability(A196,B196,Parameter_Date,CDSRollDate,E196:M196,SpreadCurveMaturities,D196,C196,$J$4,$J$6))</f>
        <v>0</v>
      </c>
      <c r="O196" s="155">
        <f ca="1"/>
        <v>0</v>
      </c>
      <c r="P196" s="155">
        <f ca="1"/>
        <v>7.34150763480379E-4</v>
      </c>
      <c r="Q196" s="155">
        <f ca="1"/>
        <v>0</v>
      </c>
      <c r="R196" s="155">
        <f ca="1"/>
        <v>8.2792590471812977E-3</v>
      </c>
      <c r="S196" s="155">
        <f ca="1"/>
        <v>0</v>
      </c>
      <c r="T196" s="155">
        <f ca="1"/>
        <v>1.793515465508233E-2</v>
      </c>
      <c r="U196" s="155">
        <f ca="1"/>
        <v>3.3698440350099612E-2</v>
      </c>
      <c r="V196" s="138">
        <f ca="1"/>
        <v>6.2325087376590815E-2</v>
      </c>
      <c r="W196" s="137">
        <f ca="1"/>
        <v>0</v>
      </c>
      <c r="X196" s="155">
        <f ca="1"/>
        <v>0</v>
      </c>
      <c r="Y196" s="155">
        <f ca="1"/>
        <v>9.0068119378550193E-4</v>
      </c>
      <c r="Z196" s="155">
        <f ca="1"/>
        <v>0</v>
      </c>
      <c r="AA196" s="155">
        <f ca="1"/>
        <v>8.7749954732535551E-3</v>
      </c>
      <c r="AB196" s="155">
        <f ca="1"/>
        <v>0</v>
      </c>
      <c r="AC196" s="155">
        <f ca="1"/>
        <v>1.8753201126133545E-2</v>
      </c>
      <c r="AD196" s="155">
        <f ca="1"/>
        <v>3.4849698516942085E-2</v>
      </c>
      <c r="AE196" s="138">
        <f ca="1"/>
        <v>6.3914448008346003E-2</v>
      </c>
      <c r="AI196" s="135"/>
      <c r="AK196" s="135"/>
      <c r="AM196" s="135"/>
      <c r="AN196" s="135"/>
      <c r="AO196" s="135"/>
      <c r="AR196" s="135"/>
      <c r="AT196" s="135"/>
      <c r="AV196" s="135"/>
      <c r="AW196" s="135"/>
      <c r="AX196" s="135"/>
    </row>
    <row r="197" spans="1:50" s="79" customFormat="1" ht="11.25">
      <c r="A197" s="96">
        <f t="shared" ca="1" si="4"/>
        <v>186</v>
      </c>
      <c r="B197" s="68" t="s">
        <v>274</v>
      </c>
      <c r="C197" s="97">
        <v>0.4</v>
      </c>
      <c r="D197" s="69" t="s">
        <v>67</v>
      </c>
      <c r="E197" s="136" t="s">
        <v>87</v>
      </c>
      <c r="F197" s="154" t="s">
        <v>87</v>
      </c>
      <c r="G197" s="154">
        <v>2.2030000000000001E-3</v>
      </c>
      <c r="H197" s="154" t="s">
        <v>87</v>
      </c>
      <c r="I197" s="154">
        <v>3.8249999999999998E-3</v>
      </c>
      <c r="J197" s="154" t="s">
        <v>87</v>
      </c>
      <c r="K197" s="154">
        <v>5.2589999999999998E-3</v>
      </c>
      <c r="L197" s="154">
        <v>6.0720000000000001E-3</v>
      </c>
      <c r="M197" s="154">
        <v>7.2199999999999999E-3</v>
      </c>
      <c r="N197" s="137" cm="1">
        <f t="array" aca="1" ref="N197:AE197" ca="1">IF(OR(B197="",NOT($J$2)),"",GetStripDefaultProbability(A197,B197,Parameter_Date,CDSRollDate,E197:M197,SpreadCurveMaturities,D197,C197,$J$4,$J$6))</f>
        <v>0</v>
      </c>
      <c r="O197" s="155">
        <f ca="1"/>
        <v>0</v>
      </c>
      <c r="P197" s="155">
        <f ca="1"/>
        <v>3.891078569126627E-3</v>
      </c>
      <c r="Q197" s="155">
        <f ca="1"/>
        <v>0</v>
      </c>
      <c r="R197" s="155">
        <f ca="1"/>
        <v>1.9640634483054642E-2</v>
      </c>
      <c r="S197" s="155">
        <f ca="1"/>
        <v>0</v>
      </c>
      <c r="T197" s="155">
        <f ca="1"/>
        <v>4.4939184995579584E-2</v>
      </c>
      <c r="U197" s="155">
        <f ca="1"/>
        <v>7.2191366966922521E-2</v>
      </c>
      <c r="V197" s="138">
        <f ca="1"/>
        <v>0.12216841607840156</v>
      </c>
      <c r="W197" s="137">
        <f ca="1"/>
        <v>0</v>
      </c>
      <c r="X197" s="155">
        <f ca="1"/>
        <v>0</v>
      </c>
      <c r="Y197" s="155">
        <f ca="1"/>
        <v>4.0570828886333787E-3</v>
      </c>
      <c r="Z197" s="155">
        <f ca="1"/>
        <v>0</v>
      </c>
      <c r="AA197" s="155">
        <f ca="1"/>
        <v>2.0130691641291776E-2</v>
      </c>
      <c r="AB197" s="155">
        <f ca="1"/>
        <v>0</v>
      </c>
      <c r="AC197" s="155">
        <f ca="1"/>
        <v>4.5734737481839649E-2</v>
      </c>
      <c r="AD197" s="155">
        <f ca="1"/>
        <v>7.3295320515693096E-2</v>
      </c>
      <c r="AE197" s="138">
        <f ca="1"/>
        <v>0.1236787812853003</v>
      </c>
      <c r="AI197" s="135"/>
      <c r="AK197" s="135"/>
      <c r="AM197" s="135"/>
      <c r="AN197" s="135"/>
      <c r="AO197" s="135"/>
      <c r="AR197" s="135"/>
      <c r="AT197" s="135"/>
      <c r="AV197" s="135"/>
      <c r="AW197" s="135"/>
      <c r="AX197" s="135"/>
    </row>
    <row r="198" spans="1:50" s="79" customFormat="1" ht="11.25">
      <c r="A198" s="96">
        <f t="shared" ca="1" si="4"/>
        <v>187</v>
      </c>
      <c r="B198" s="68" t="s">
        <v>275</v>
      </c>
      <c r="C198" s="97">
        <v>0.4</v>
      </c>
      <c r="D198" s="69" t="s">
        <v>67</v>
      </c>
      <c r="E198" s="136" t="s">
        <v>87</v>
      </c>
      <c r="F198" s="154" t="s">
        <v>87</v>
      </c>
      <c r="G198" s="154">
        <v>4.8999999999999998E-4</v>
      </c>
      <c r="H198" s="154" t="s">
        <v>87</v>
      </c>
      <c r="I198" s="154">
        <v>1.544E-3</v>
      </c>
      <c r="J198" s="154" t="s">
        <v>87</v>
      </c>
      <c r="K198" s="154">
        <v>2.1229999999999999E-3</v>
      </c>
      <c r="L198" s="154">
        <v>2.7989999999999998E-3</v>
      </c>
      <c r="M198" s="154">
        <v>3.6670000000000001E-3</v>
      </c>
      <c r="N198" s="137" cm="1">
        <f t="array" aca="1" ref="N198:AE198" ca="1">IF(OR(B198="",NOT($J$2)),"",GetStripDefaultProbability(A198,B198,Parameter_Date,CDSRollDate,E198:M198,SpreadCurveMaturities,D198,C198,$J$4,$J$6))</f>
        <v>0</v>
      </c>
      <c r="O198" s="155">
        <f ca="1"/>
        <v>0</v>
      </c>
      <c r="P198" s="155">
        <f ca="1"/>
        <v>8.6677150136438286E-4</v>
      </c>
      <c r="Q198" s="155">
        <f ca="1"/>
        <v>0</v>
      </c>
      <c r="R198" s="155">
        <f ca="1"/>
        <v>8.0190165657189061E-3</v>
      </c>
      <c r="S198" s="155">
        <f ca="1"/>
        <v>0</v>
      </c>
      <c r="T198" s="155">
        <f ca="1"/>
        <v>1.8385459478319266E-2</v>
      </c>
      <c r="U198" s="155">
        <f ca="1"/>
        <v>3.4313687536761561E-2</v>
      </c>
      <c r="V198" s="138">
        <f ca="1"/>
        <v>6.5061881056057258E-2</v>
      </c>
      <c r="W198" s="137">
        <f ca="1"/>
        <v>0</v>
      </c>
      <c r="X198" s="155">
        <f ca="1"/>
        <v>0</v>
      </c>
      <c r="Y198" s="155">
        <f ca="1"/>
        <v>1.0332798300223267E-3</v>
      </c>
      <c r="Z198" s="155">
        <f ca="1"/>
        <v>0</v>
      </c>
      <c r="AA198" s="155">
        <f ca="1"/>
        <v>8.5148830804711029E-3</v>
      </c>
      <c r="AB198" s="155">
        <f ca="1"/>
        <v>0</v>
      </c>
      <c r="AC198" s="155">
        <f ca="1"/>
        <v>1.9203130851714545E-2</v>
      </c>
      <c r="AD198" s="155">
        <f ca="1"/>
        <v>3.5464362371649294E-2</v>
      </c>
      <c r="AE198" s="138">
        <f ca="1"/>
        <v>6.6646058365801397E-2</v>
      </c>
      <c r="AI198" s="135"/>
      <c r="AK198" s="135"/>
      <c r="AM198" s="135"/>
      <c r="AN198" s="135"/>
      <c r="AO198" s="135"/>
      <c r="AR198" s="135"/>
      <c r="AT198" s="135"/>
      <c r="AV198" s="135"/>
      <c r="AW198" s="135"/>
      <c r="AX198" s="135"/>
    </row>
    <row r="199" spans="1:50" s="79" customFormat="1" ht="11.25">
      <c r="A199" s="96">
        <f t="shared" ca="1" si="4"/>
        <v>188</v>
      </c>
      <c r="B199" s="68" t="s">
        <v>276</v>
      </c>
      <c r="C199" s="97">
        <v>0.4</v>
      </c>
      <c r="D199" s="69" t="s">
        <v>67</v>
      </c>
      <c r="E199" s="136" t="s">
        <v>87</v>
      </c>
      <c r="F199" s="154" t="s">
        <v>87</v>
      </c>
      <c r="G199" s="154">
        <v>8.1499999999999997E-4</v>
      </c>
      <c r="H199" s="154" t="s">
        <v>87</v>
      </c>
      <c r="I199" s="154">
        <v>1.572E-3</v>
      </c>
      <c r="J199" s="154" t="s">
        <v>87</v>
      </c>
      <c r="K199" s="154">
        <v>1.9780000000000002E-3</v>
      </c>
      <c r="L199" s="154">
        <v>2.5869999999999999E-3</v>
      </c>
      <c r="M199" s="154">
        <v>3.297E-3</v>
      </c>
      <c r="N199" s="137" cm="1">
        <f t="array" aca="1" ref="N199:AE199" ca="1">IF(OR(B199="",NOT($J$2)),"",GetStripDefaultProbability(A199,B199,Parameter_Date,CDSRollDate,E199:M199,SpreadCurveMaturities,D199,C199,$J$4,$J$6))</f>
        <v>0</v>
      </c>
      <c r="O199" s="155">
        <f ca="1"/>
        <v>0</v>
      </c>
      <c r="P199" s="155">
        <f ca="1"/>
        <v>1.4412594847763582E-3</v>
      </c>
      <c r="Q199" s="155">
        <f ca="1"/>
        <v>0</v>
      </c>
      <c r="R199" s="155">
        <f ca="1"/>
        <v>8.1230026311470693E-3</v>
      </c>
      <c r="S199" s="155">
        <f ca="1"/>
        <v>0</v>
      </c>
      <c r="T199" s="155">
        <f ca="1"/>
        <v>1.7017490746663921E-2</v>
      </c>
      <c r="U199" s="155">
        <f ca="1"/>
        <v>3.1598639589498267E-2</v>
      </c>
      <c r="V199" s="138">
        <f ca="1"/>
        <v>5.8258845494171263E-2</v>
      </c>
      <c r="W199" s="137">
        <f ca="1"/>
        <v>0</v>
      </c>
      <c r="X199" s="155">
        <f ca="1"/>
        <v>0</v>
      </c>
      <c r="Y199" s="155">
        <f ca="1"/>
        <v>1.6076720734169436E-3</v>
      </c>
      <c r="Z199" s="155">
        <f ca="1"/>
        <v>0</v>
      </c>
      <c r="AA199" s="155">
        <f ca="1"/>
        <v>8.6188171658809765E-3</v>
      </c>
      <c r="AB199" s="155">
        <f ca="1"/>
        <v>0</v>
      </c>
      <c r="AC199" s="155">
        <f ca="1"/>
        <v>1.7836301619116868E-2</v>
      </c>
      <c r="AD199" s="155">
        <f ca="1"/>
        <v>3.2751866626814397E-2</v>
      </c>
      <c r="AE199" s="138">
        <f ca="1"/>
        <v>5.9855127942325281E-2</v>
      </c>
      <c r="AI199" s="135"/>
      <c r="AK199" s="135"/>
      <c r="AM199" s="135"/>
      <c r="AN199" s="135"/>
      <c r="AO199" s="135"/>
      <c r="AR199" s="135"/>
      <c r="AT199" s="135"/>
      <c r="AV199" s="135"/>
      <c r="AW199" s="135"/>
      <c r="AX199" s="135"/>
    </row>
    <row r="200" spans="1:50" s="79" customFormat="1" ht="11.25">
      <c r="A200" s="96">
        <f t="shared" ca="1" si="4"/>
        <v>189</v>
      </c>
      <c r="B200" s="68" t="s">
        <v>277</v>
      </c>
      <c r="C200" s="97">
        <v>0.4</v>
      </c>
      <c r="D200" s="69" t="s">
        <v>67</v>
      </c>
      <c r="E200" s="136" t="s">
        <v>87</v>
      </c>
      <c r="F200" s="154" t="s">
        <v>87</v>
      </c>
      <c r="G200" s="154">
        <v>4.9200000000000003E-4</v>
      </c>
      <c r="H200" s="154" t="s">
        <v>87</v>
      </c>
      <c r="I200" s="154">
        <v>1.6999999999999999E-3</v>
      </c>
      <c r="J200" s="154" t="s">
        <v>87</v>
      </c>
      <c r="K200" s="154">
        <v>2.4610000000000001E-3</v>
      </c>
      <c r="L200" s="154">
        <v>3.042E-3</v>
      </c>
      <c r="M200" s="154">
        <v>3.7580000000000001E-3</v>
      </c>
      <c r="N200" s="137" cm="1">
        <f t="array" aca="1" ref="N200:AE200" ca="1">IF(OR(B200="",NOT($J$2)),"",GetStripDefaultProbability(A200,B200,Parameter_Date,CDSRollDate,E200:M200,SpreadCurveMaturities,D200,C200,$J$4,$J$6))</f>
        <v>0</v>
      </c>
      <c r="O200" s="155">
        <f ca="1"/>
        <v>0</v>
      </c>
      <c r="P200" s="155">
        <f ca="1"/>
        <v>8.7030781515118338E-4</v>
      </c>
      <c r="Q200" s="155">
        <f ca="1"/>
        <v>0</v>
      </c>
      <c r="R200" s="155">
        <f ca="1"/>
        <v>8.8327570066397687E-3</v>
      </c>
      <c r="S200" s="155">
        <f ca="1"/>
        <v>0</v>
      </c>
      <c r="T200" s="155">
        <f ca="1"/>
        <v>2.1349406425558493E-2</v>
      </c>
      <c r="U200" s="155">
        <f ca="1"/>
        <v>3.7083345027531633E-2</v>
      </c>
      <c r="V200" s="138">
        <f ca="1"/>
        <v>6.5909616874926136E-2</v>
      </c>
      <c r="W200" s="137">
        <f ca="1"/>
        <v>0</v>
      </c>
      <c r="X200" s="155">
        <f ca="1"/>
        <v>0</v>
      </c>
      <c r="Y200" s="155">
        <f ca="1"/>
        <v>1.0368155544661084E-3</v>
      </c>
      <c r="Z200" s="155">
        <f ca="1"/>
        <v>0</v>
      </c>
      <c r="AA200" s="155">
        <f ca="1"/>
        <v>9.3282167529175064E-3</v>
      </c>
      <c r="AB200" s="155">
        <f ca="1"/>
        <v>0</v>
      </c>
      <c r="AC200" s="155">
        <f ca="1"/>
        <v>2.2164608871979352E-2</v>
      </c>
      <c r="AD200" s="155">
        <f ca="1"/>
        <v>3.8230806587954191E-2</v>
      </c>
      <c r="AE200" s="138">
        <f ca="1"/>
        <v>6.749209200220363E-2</v>
      </c>
      <c r="AI200" s="135"/>
      <c r="AK200" s="135"/>
      <c r="AM200" s="135"/>
      <c r="AN200" s="135"/>
      <c r="AO200" s="135"/>
      <c r="AR200" s="135"/>
      <c r="AT200" s="135"/>
      <c r="AV200" s="135"/>
      <c r="AW200" s="135"/>
      <c r="AX200" s="135"/>
    </row>
    <row r="201" spans="1:50" s="79" customFormat="1" ht="11.25">
      <c r="A201" s="96">
        <f t="shared" ca="1" si="4"/>
        <v>190</v>
      </c>
      <c r="B201" s="68" t="s">
        <v>278</v>
      </c>
      <c r="C201" s="97">
        <v>0.4</v>
      </c>
      <c r="D201" s="69" t="s">
        <v>67</v>
      </c>
      <c r="E201" s="136" t="s">
        <v>87</v>
      </c>
      <c r="F201" s="154" t="s">
        <v>87</v>
      </c>
      <c r="G201" s="154">
        <v>2.6540000000000001E-3</v>
      </c>
      <c r="H201" s="154" t="s">
        <v>87</v>
      </c>
      <c r="I201" s="154">
        <v>6.8830000000000002E-3</v>
      </c>
      <c r="J201" s="154" t="s">
        <v>87</v>
      </c>
      <c r="K201" s="154">
        <v>1.0614999999999999E-2</v>
      </c>
      <c r="L201" s="154">
        <v>1.2263E-2</v>
      </c>
      <c r="M201" s="154">
        <v>1.5025999999999999E-2</v>
      </c>
      <c r="N201" s="137" cm="1">
        <f t="array" aca="1" ref="N201:AE201" ca="1">IF(OR(B201="",NOT($J$2)),"",GetStripDefaultProbability(A201,B201,Parameter_Date,CDSRollDate,E201:M201,SpreadCurveMaturities,D201,C201,$J$4,$J$6))</f>
        <v>0</v>
      </c>
      <c r="O201" s="155">
        <f ca="1"/>
        <v>0</v>
      </c>
      <c r="P201" s="155">
        <f ca="1"/>
        <v>4.6858097503414964E-3</v>
      </c>
      <c r="Q201" s="155">
        <f ca="1"/>
        <v>0</v>
      </c>
      <c r="R201" s="155">
        <f ca="1"/>
        <v>3.5310827921239074E-2</v>
      </c>
      <c r="S201" s="155">
        <f ca="1"/>
        <v>0</v>
      </c>
      <c r="T201" s="155">
        <f ca="1"/>
        <v>8.9936094321673155E-2</v>
      </c>
      <c r="U201" s="155">
        <f ca="1"/>
        <v>0.14241033573063977</v>
      </c>
      <c r="V201" s="138">
        <f ca="1"/>
        <v>0.24360373781070954</v>
      </c>
      <c r="W201" s="137">
        <f ca="1"/>
        <v>0</v>
      </c>
      <c r="X201" s="155">
        <f ca="1"/>
        <v>0</v>
      </c>
      <c r="Y201" s="155">
        <f ca="1"/>
        <v>4.8516816256668482E-3</v>
      </c>
      <c r="Z201" s="155">
        <f ca="1"/>
        <v>0</v>
      </c>
      <c r="AA201" s="155">
        <f ca="1"/>
        <v>3.5793051941235499E-2</v>
      </c>
      <c r="AB201" s="155">
        <f ca="1"/>
        <v>0</v>
      </c>
      <c r="AC201" s="155">
        <f ca="1"/>
        <v>9.0721679731495919E-2</v>
      </c>
      <c r="AD201" s="155">
        <f ca="1"/>
        <v>0.14344805138011107</v>
      </c>
      <c r="AE201" s="138">
        <f ca="1"/>
        <v>0.24493477895401683</v>
      </c>
      <c r="AI201" s="135"/>
      <c r="AK201" s="135"/>
      <c r="AM201" s="135"/>
      <c r="AN201" s="135"/>
      <c r="AO201" s="135"/>
      <c r="AR201" s="135"/>
      <c r="AT201" s="135"/>
      <c r="AV201" s="135"/>
      <c r="AW201" s="135"/>
      <c r="AX201" s="135"/>
    </row>
    <row r="202" spans="1:50" s="79" customFormat="1" ht="11.25">
      <c r="A202" s="96">
        <f t="shared" ca="1" si="4"/>
        <v>191</v>
      </c>
      <c r="B202" s="68" t="s">
        <v>279</v>
      </c>
      <c r="C202" s="97">
        <v>0.4</v>
      </c>
      <c r="D202" s="69" t="s">
        <v>67</v>
      </c>
      <c r="E202" s="136" t="s">
        <v>87</v>
      </c>
      <c r="F202" s="154" t="s">
        <v>87</v>
      </c>
      <c r="G202" s="154">
        <v>1.689E-3</v>
      </c>
      <c r="H202" s="154" t="s">
        <v>87</v>
      </c>
      <c r="I202" s="154">
        <v>3.1359999999999999E-3</v>
      </c>
      <c r="J202" s="154" t="s">
        <v>87</v>
      </c>
      <c r="K202" s="154">
        <v>4.1009999999999996E-3</v>
      </c>
      <c r="L202" s="154">
        <v>4.4869999999999997E-3</v>
      </c>
      <c r="M202" s="154">
        <v>4.777E-3</v>
      </c>
      <c r="N202" s="137" cm="1">
        <f t="array" aca="1" ref="N202:AE202" ca="1">IF(OR(B202="",NOT($J$2)),"",GetStripDefaultProbability(A202,B202,Parameter_Date,CDSRollDate,E202:M202,SpreadCurveMaturities,D202,C202,$J$4,$J$6))</f>
        <v>0</v>
      </c>
      <c r="O202" s="155">
        <f ca="1"/>
        <v>0</v>
      </c>
      <c r="P202" s="155">
        <f ca="1"/>
        <v>2.9845647122828112E-3</v>
      </c>
      <c r="Q202" s="155">
        <f ca="1"/>
        <v>0</v>
      </c>
      <c r="R202" s="155">
        <f ca="1"/>
        <v>1.6142685589617622E-2</v>
      </c>
      <c r="S202" s="155">
        <f ca="1"/>
        <v>0</v>
      </c>
      <c r="T202" s="155">
        <f ca="1"/>
        <v>3.5094254610789744E-2</v>
      </c>
      <c r="U202" s="155">
        <f ca="1"/>
        <v>5.3328887690212157E-2</v>
      </c>
      <c r="V202" s="138">
        <f ca="1"/>
        <v>8.0161889360580885E-2</v>
      </c>
      <c r="W202" s="137">
        <f ca="1"/>
        <v>0</v>
      </c>
      <c r="X202" s="155">
        <f ca="1"/>
        <v>0</v>
      </c>
      <c r="Y202" s="155">
        <f ca="1"/>
        <v>3.150720104815985E-3</v>
      </c>
      <c r="Z202" s="155">
        <f ca="1"/>
        <v>0</v>
      </c>
      <c r="AA202" s="155">
        <f ca="1"/>
        <v>1.6634491285146269E-2</v>
      </c>
      <c r="AB202" s="155">
        <f ca="1"/>
        <v>0</v>
      </c>
      <c r="AC202" s="155">
        <f ca="1"/>
        <v>3.5898007788314201E-2</v>
      </c>
      <c r="AD202" s="155">
        <f ca="1"/>
        <v>5.4455749534073061E-2</v>
      </c>
      <c r="AE202" s="138">
        <f ca="1"/>
        <v>8.1693676034867879E-2</v>
      </c>
      <c r="AI202" s="135"/>
      <c r="AK202" s="135"/>
      <c r="AM202" s="135"/>
      <c r="AN202" s="135"/>
      <c r="AO202" s="135"/>
      <c r="AR202" s="135"/>
      <c r="AT202" s="135"/>
      <c r="AV202" s="135"/>
      <c r="AW202" s="135"/>
      <c r="AX202" s="135"/>
    </row>
    <row r="203" spans="1:50" s="79" customFormat="1" ht="11.25">
      <c r="A203" s="96">
        <f t="shared" ref="A203:A266" ca="1" si="5">IF(B203="","",A202+1)</f>
        <v>192</v>
      </c>
      <c r="B203" s="68" t="s">
        <v>280</v>
      </c>
      <c r="C203" s="97">
        <v>0.4</v>
      </c>
      <c r="D203" s="69" t="s">
        <v>67</v>
      </c>
      <c r="E203" s="136" t="s">
        <v>87</v>
      </c>
      <c r="F203" s="154" t="s">
        <v>87</v>
      </c>
      <c r="G203" s="154">
        <v>1.4519999999999999E-3</v>
      </c>
      <c r="H203" s="154" t="s">
        <v>87</v>
      </c>
      <c r="I203" s="154">
        <v>1.9059999999999999E-3</v>
      </c>
      <c r="J203" s="154" t="s">
        <v>87</v>
      </c>
      <c r="K203" s="154">
        <v>3.8119999999999999E-3</v>
      </c>
      <c r="L203" s="154">
        <v>5.2639999999999996E-3</v>
      </c>
      <c r="M203" s="154">
        <v>6.489E-3</v>
      </c>
      <c r="N203" s="137" cm="1">
        <f t="array" aca="1" ref="N203:AE203" ca="1">IF(OR(B203="",NOT($J$2)),"",GetStripDefaultProbability(A203,B203,Parameter_Date,CDSRollDate,E203:M203,SpreadCurveMaturities,D203,C203,$J$4,$J$6))</f>
        <v>0</v>
      </c>
      <c r="O203" s="155">
        <f ca="1"/>
        <v>0</v>
      </c>
      <c r="P203" s="155">
        <f ca="1"/>
        <v>2.5663051735821396E-3</v>
      </c>
      <c r="Q203" s="155">
        <f ca="1"/>
        <v>0</v>
      </c>
      <c r="R203" s="155">
        <f ca="1"/>
        <v>9.781153063557535E-3</v>
      </c>
      <c r="S203" s="155">
        <f ca="1"/>
        <v>0</v>
      </c>
      <c r="T203" s="155">
        <f ca="1"/>
        <v>3.3255752402367E-2</v>
      </c>
      <c r="U203" s="155">
        <f ca="1"/>
        <v>6.4567754091051532E-2</v>
      </c>
      <c r="V203" s="138">
        <f ca="1"/>
        <v>0.11278213084390065</v>
      </c>
      <c r="W203" s="137">
        <f ca="1"/>
        <v>0</v>
      </c>
      <c r="X203" s="155">
        <f ca="1"/>
        <v>0</v>
      </c>
      <c r="Y203" s="155">
        <f ca="1"/>
        <v>2.7325302702371213E-3</v>
      </c>
      <c r="Z203" s="155">
        <f ca="1"/>
        <v>0</v>
      </c>
      <c r="AA203" s="155">
        <f ca="1"/>
        <v>1.0276138730328621E-2</v>
      </c>
      <c r="AB203" s="155">
        <f ca="1"/>
        <v>0</v>
      </c>
      <c r="AC203" s="155">
        <f ca="1"/>
        <v>3.4061037026805963E-2</v>
      </c>
      <c r="AD203" s="155">
        <f ca="1"/>
        <v>6.5682882526422959E-2</v>
      </c>
      <c r="AE203" s="138">
        <f ca="1"/>
        <v>0.11431410613789228</v>
      </c>
      <c r="AI203" s="135"/>
      <c r="AK203" s="135"/>
      <c r="AM203" s="135"/>
      <c r="AN203" s="135"/>
      <c r="AO203" s="135"/>
      <c r="AR203" s="135"/>
      <c r="AT203" s="135"/>
      <c r="AV203" s="135"/>
      <c r="AW203" s="135"/>
      <c r="AX203" s="135"/>
    </row>
    <row r="204" spans="1:50" s="79" customFormat="1" ht="11.25">
      <c r="A204" s="96">
        <f t="shared" ca="1" si="5"/>
        <v>193</v>
      </c>
      <c r="B204" s="68" t="s">
        <v>281</v>
      </c>
      <c r="C204" s="97">
        <v>0.4</v>
      </c>
      <c r="D204" s="69" t="s">
        <v>67</v>
      </c>
      <c r="E204" s="136" t="s">
        <v>87</v>
      </c>
      <c r="F204" s="154" t="s">
        <v>87</v>
      </c>
      <c r="G204" s="154">
        <v>4.7377000000000002E-2</v>
      </c>
      <c r="H204" s="154" t="s">
        <v>87</v>
      </c>
      <c r="I204" s="154">
        <v>4.0816999999999999E-2</v>
      </c>
      <c r="J204" s="154" t="s">
        <v>87</v>
      </c>
      <c r="K204" s="154">
        <v>3.4257999999999997E-2</v>
      </c>
      <c r="L204" s="154">
        <v>3.0977999999999999E-2</v>
      </c>
      <c r="M204" s="154">
        <v>2.7698E-2</v>
      </c>
      <c r="N204" s="137" cm="1">
        <f t="array" aca="1" ref="N204:AE204" ca="1">IF(OR(B204="",NOT($J$2)),"",GetStripDefaultProbability(A204,B204,Parameter_Date,CDSRollDate,E204:M204,SpreadCurveMaturities,D204,C204,$J$4,$J$6))</f>
        <v>0</v>
      </c>
      <c r="O204" s="155">
        <f ca="1"/>
        <v>0</v>
      </c>
      <c r="P204" s="155">
        <f ca="1"/>
        <v>8.0420674543183579E-2</v>
      </c>
      <c r="Q204" s="155">
        <f ca="1"/>
        <v>0</v>
      </c>
      <c r="R204" s="155">
        <f ca="1"/>
        <v>0.18702291734579313</v>
      </c>
      <c r="S204" s="155">
        <f ca="1"/>
        <v>0</v>
      </c>
      <c r="T204" s="155">
        <f ca="1"/>
        <v>0.2432966920088816</v>
      </c>
      <c r="U204" s="155">
        <f ca="1"/>
        <v>0.29103978683965415</v>
      </c>
      <c r="V204" s="138">
        <f ca="1"/>
        <v>0.34461918501462918</v>
      </c>
      <c r="W204" s="137">
        <f ca="1"/>
        <v>0</v>
      </c>
      <c r="X204" s="155">
        <f ca="1"/>
        <v>0</v>
      </c>
      <c r="Y204" s="155">
        <f ca="1"/>
        <v>8.05739249928622E-2</v>
      </c>
      <c r="Z204" s="155">
        <f ca="1"/>
        <v>0</v>
      </c>
      <c r="AA204" s="155">
        <f ca="1"/>
        <v>0.18742930428191507</v>
      </c>
      <c r="AB204" s="155">
        <f ca="1"/>
        <v>0</v>
      </c>
      <c r="AC204" s="155">
        <f ca="1"/>
        <v>0.24392701542765016</v>
      </c>
      <c r="AD204" s="155">
        <f ca="1"/>
        <v>0.29186642478910008</v>
      </c>
      <c r="AE204" s="138">
        <f ca="1"/>
        <v>0.34565937010778336</v>
      </c>
      <c r="AI204" s="135"/>
      <c r="AK204" s="135"/>
      <c r="AM204" s="135"/>
      <c r="AN204" s="135"/>
      <c r="AO204" s="135"/>
      <c r="AR204" s="135"/>
      <c r="AT204" s="135"/>
      <c r="AV204" s="135"/>
      <c r="AW204" s="135"/>
      <c r="AX204" s="135"/>
    </row>
    <row r="205" spans="1:50" s="79" customFormat="1" ht="11.25">
      <c r="A205" s="96">
        <f t="shared" ca="1" si="5"/>
        <v>194</v>
      </c>
      <c r="B205" s="68" t="s">
        <v>282</v>
      </c>
      <c r="C205" s="97">
        <v>0.4</v>
      </c>
      <c r="D205" s="69" t="s">
        <v>67</v>
      </c>
      <c r="E205" s="136" t="s">
        <v>87</v>
      </c>
      <c r="F205" s="154" t="s">
        <v>87</v>
      </c>
      <c r="G205" s="154">
        <v>2.8180000000000002E-3</v>
      </c>
      <c r="H205" s="154" t="s">
        <v>87</v>
      </c>
      <c r="I205" s="154">
        <v>5.391E-3</v>
      </c>
      <c r="J205" s="154" t="s">
        <v>87</v>
      </c>
      <c r="K205" s="154">
        <v>8.8500000000000002E-3</v>
      </c>
      <c r="L205" s="154">
        <v>1.0579E-2</v>
      </c>
      <c r="M205" s="154">
        <v>1.2817E-2</v>
      </c>
      <c r="N205" s="137" cm="1">
        <f t="array" aca="1" ref="N205:AE205" ca="1">IF(OR(B205="",NOT($J$2)),"",GetStripDefaultProbability(A205,B205,Parameter_Date,CDSRollDate,E205:M205,SpreadCurveMaturities,D205,C205,$J$4,$J$6))</f>
        <v>0</v>
      </c>
      <c r="O205" s="155">
        <f ca="1"/>
        <v>0</v>
      </c>
      <c r="P205" s="155">
        <f ca="1"/>
        <v>4.9746470952960475E-3</v>
      </c>
      <c r="Q205" s="155">
        <f ca="1"/>
        <v>0</v>
      </c>
      <c r="R205" s="155">
        <f ca="1"/>
        <v>2.7630425690395866E-2</v>
      </c>
      <c r="S205" s="155">
        <f ca="1"/>
        <v>0</v>
      </c>
      <c r="T205" s="155">
        <f ca="1"/>
        <v>7.5529124295883654E-2</v>
      </c>
      <c r="U205" s="155">
        <f ca="1"/>
        <v>0.12447507667547897</v>
      </c>
      <c r="V205" s="138">
        <f ca="1"/>
        <v>0.21100576058416864</v>
      </c>
      <c r="W205" s="137">
        <f ca="1"/>
        <v>0</v>
      </c>
      <c r="X205" s="155">
        <f ca="1"/>
        <v>0</v>
      </c>
      <c r="Y205" s="155">
        <f ca="1"/>
        <v>5.1404708350950568E-3</v>
      </c>
      <c r="Z205" s="155">
        <f ca="1"/>
        <v>0</v>
      </c>
      <c r="AA205" s="155">
        <f ca="1"/>
        <v>2.8116488951577145E-2</v>
      </c>
      <c r="AB205" s="155">
        <f ca="1"/>
        <v>0</v>
      </c>
      <c r="AC205" s="155">
        <f ca="1"/>
        <v>7.6325365402864609E-2</v>
      </c>
      <c r="AD205" s="155">
        <f ca="1"/>
        <v>0.1255331261259498</v>
      </c>
      <c r="AE205" s="138">
        <f ca="1"/>
        <v>0.21238509170119602</v>
      </c>
      <c r="AI205" s="135"/>
      <c r="AK205" s="135"/>
      <c r="AM205" s="135"/>
      <c r="AN205" s="135"/>
      <c r="AO205" s="135"/>
      <c r="AR205" s="135"/>
      <c r="AT205" s="135"/>
      <c r="AV205" s="135"/>
      <c r="AW205" s="135"/>
      <c r="AX205" s="135"/>
    </row>
    <row r="206" spans="1:50" s="79" customFormat="1" ht="11.25">
      <c r="A206" s="96">
        <f t="shared" ca="1" si="5"/>
        <v>195</v>
      </c>
      <c r="B206" s="68" t="s">
        <v>283</v>
      </c>
      <c r="C206" s="97">
        <v>0.4</v>
      </c>
      <c r="D206" s="69" t="s">
        <v>67</v>
      </c>
      <c r="E206" s="136" t="s">
        <v>87</v>
      </c>
      <c r="F206" s="154" t="s">
        <v>87</v>
      </c>
      <c r="G206" s="154">
        <v>6.6639999999999998E-3</v>
      </c>
      <c r="H206" s="154" t="s">
        <v>87</v>
      </c>
      <c r="I206" s="154">
        <v>1.1985000000000001E-2</v>
      </c>
      <c r="J206" s="154" t="s">
        <v>87</v>
      </c>
      <c r="K206" s="154">
        <v>1.7659999999999999E-2</v>
      </c>
      <c r="L206" s="154">
        <v>1.9762999999999999E-2</v>
      </c>
      <c r="M206" s="154">
        <v>2.2307E-2</v>
      </c>
      <c r="N206" s="137" cm="1">
        <f t="array" aca="1" ref="N206:AE206" ca="1">IF(OR(B206="",NOT($J$2)),"",GetStripDefaultProbability(A206,B206,Parameter_Date,CDSRollDate,E206:M206,SpreadCurveMaturities,D206,C206,$J$4,$J$6))</f>
        <v>0</v>
      </c>
      <c r="O206" s="155">
        <f ca="1"/>
        <v>0</v>
      </c>
      <c r="P206" s="155">
        <f ca="1"/>
        <v>1.1724502814396187E-2</v>
      </c>
      <c r="Q206" s="155">
        <f ca="1"/>
        <v>0</v>
      </c>
      <c r="R206" s="155">
        <f ca="1"/>
        <v>6.0488618338114586E-2</v>
      </c>
      <c r="S206" s="155">
        <f ca="1"/>
        <v>0</v>
      </c>
      <c r="T206" s="155">
        <f ca="1"/>
        <v>0.1455412008283461</v>
      </c>
      <c r="U206" s="155">
        <f ca="1"/>
        <v>0.21979708479812365</v>
      </c>
      <c r="V206" s="138">
        <f ca="1"/>
        <v>0.3364542345745889</v>
      </c>
      <c r="W206" s="137">
        <f ca="1"/>
        <v>0</v>
      </c>
      <c r="X206" s="155">
        <f ca="1"/>
        <v>0</v>
      </c>
      <c r="Y206" s="155">
        <f ca="1"/>
        <v>1.1889201671977823E-2</v>
      </c>
      <c r="Z206" s="155">
        <f ca="1"/>
        <v>0</v>
      </c>
      <c r="AA206" s="155">
        <f ca="1"/>
        <v>6.0958256609610961E-2</v>
      </c>
      <c r="AB206" s="155">
        <f ca="1"/>
        <v>0</v>
      </c>
      <c r="AC206" s="155">
        <f ca="1"/>
        <v>0.14628485495673849</v>
      </c>
      <c r="AD206" s="155">
        <f ca="1"/>
        <v>0.22075010913271598</v>
      </c>
      <c r="AE206" s="138">
        <f ca="1"/>
        <v>0.33762995282942454</v>
      </c>
      <c r="AI206" s="135"/>
      <c r="AK206" s="135"/>
      <c r="AM206" s="135"/>
      <c r="AN206" s="135"/>
      <c r="AO206" s="135"/>
      <c r="AR206" s="135"/>
      <c r="AT206" s="135"/>
      <c r="AV206" s="135"/>
      <c r="AW206" s="135"/>
      <c r="AX206" s="135"/>
    </row>
    <row r="207" spans="1:50" s="79" customFormat="1" ht="11.25">
      <c r="A207" s="96">
        <f t="shared" ca="1" si="5"/>
        <v>196</v>
      </c>
      <c r="B207" s="68" t="s">
        <v>284</v>
      </c>
      <c r="C207" s="97">
        <v>0.4</v>
      </c>
      <c r="D207" s="69" t="s">
        <v>67</v>
      </c>
      <c r="E207" s="136" t="s">
        <v>87</v>
      </c>
      <c r="F207" s="154" t="s">
        <v>87</v>
      </c>
      <c r="G207" s="154">
        <v>4.7100000000000001E-4</v>
      </c>
      <c r="H207" s="154" t="s">
        <v>87</v>
      </c>
      <c r="I207" s="154">
        <v>1.882E-3</v>
      </c>
      <c r="J207" s="154" t="s">
        <v>87</v>
      </c>
      <c r="K207" s="154">
        <v>2.5569999999999998E-3</v>
      </c>
      <c r="L207" s="154">
        <v>3.4259999999999998E-3</v>
      </c>
      <c r="M207" s="154">
        <v>4.3909999999999999E-3</v>
      </c>
      <c r="N207" s="137" cm="1">
        <f t="array" aca="1" ref="N207:AE207" ca="1">IF(OR(B207="",NOT($J$2)),"",GetStripDefaultProbability(A207,B207,Parameter_Date,CDSRollDate,E207:M207,SpreadCurveMaturities,D207,C207,$J$4,$J$6))</f>
        <v>0</v>
      </c>
      <c r="O207" s="155">
        <f ca="1"/>
        <v>0</v>
      </c>
      <c r="P207" s="155">
        <f ca="1"/>
        <v>8.3317590058840096E-4</v>
      </c>
      <c r="Q207" s="155">
        <f ca="1"/>
        <v>0</v>
      </c>
      <c r="R207" s="155">
        <f ca="1"/>
        <v>9.7846471949342151E-3</v>
      </c>
      <c r="S207" s="155">
        <f ca="1"/>
        <v>0</v>
      </c>
      <c r="T207" s="155">
        <f ca="1"/>
        <v>2.2115973572471748E-2</v>
      </c>
      <c r="U207" s="155">
        <f ca="1"/>
        <v>4.1952507654134941E-2</v>
      </c>
      <c r="V207" s="138">
        <f ca="1"/>
        <v>7.7385928502623158E-2</v>
      </c>
      <c r="W207" s="137">
        <f ca="1"/>
        <v>0</v>
      </c>
      <c r="X207" s="155">
        <f ca="1"/>
        <v>0</v>
      </c>
      <c r="Y207" s="155">
        <f ca="1"/>
        <v>9.9968982806619699E-4</v>
      </c>
      <c r="Z207" s="155">
        <f ca="1"/>
        <v>0</v>
      </c>
      <c r="AA207" s="155">
        <f ca="1"/>
        <v>1.0279631115008403E-2</v>
      </c>
      <c r="AB207" s="155">
        <f ca="1"/>
        <v>0</v>
      </c>
      <c r="AC207" s="155">
        <f ca="1"/>
        <v>2.2930537479050606E-2</v>
      </c>
      <c r="AD207" s="155">
        <f ca="1"/>
        <v>4.3094405012928272E-2</v>
      </c>
      <c r="AE207" s="138">
        <f ca="1"/>
        <v>7.8922337924903996E-2</v>
      </c>
      <c r="AI207" s="135"/>
      <c r="AK207" s="135"/>
      <c r="AM207" s="135"/>
      <c r="AN207" s="135"/>
      <c r="AO207" s="135"/>
      <c r="AR207" s="135"/>
      <c r="AT207" s="135"/>
      <c r="AV207" s="135"/>
      <c r="AW207" s="135"/>
      <c r="AX207" s="135"/>
    </row>
    <row r="208" spans="1:50" s="79" customFormat="1" ht="11.25">
      <c r="A208" s="96">
        <f t="shared" ca="1" si="5"/>
        <v>197</v>
      </c>
      <c r="B208" s="68" t="s">
        <v>285</v>
      </c>
      <c r="C208" s="97">
        <v>0.4</v>
      </c>
      <c r="D208" s="69" t="s">
        <v>67</v>
      </c>
      <c r="E208" s="136" t="s">
        <v>87</v>
      </c>
      <c r="F208" s="154" t="s">
        <v>87</v>
      </c>
      <c r="G208" s="154">
        <v>1.122E-3</v>
      </c>
      <c r="H208" s="154" t="s">
        <v>87</v>
      </c>
      <c r="I208" s="154">
        <v>1.936E-3</v>
      </c>
      <c r="J208" s="154" t="s">
        <v>87</v>
      </c>
      <c r="K208" s="154">
        <v>2.9919999999999999E-3</v>
      </c>
      <c r="L208" s="154">
        <v>3.9589999999999998E-3</v>
      </c>
      <c r="M208" s="154">
        <v>5.1029999999999999E-3</v>
      </c>
      <c r="N208" s="137" cm="1">
        <f t="array" aca="1" ref="N208:AE208" ca="1">IF(OR(B208="",NOT($J$2)),"",GetStripDefaultProbability(A208,B208,Parameter_Date,CDSRollDate,E208:M208,SpreadCurveMaturities,D208,C208,$J$4,$J$6))</f>
        <v>0</v>
      </c>
      <c r="O208" s="155">
        <f ca="1"/>
        <v>0</v>
      </c>
      <c r="P208" s="155">
        <f ca="1"/>
        <v>1.9836285539488463E-3</v>
      </c>
      <c r="Q208" s="155">
        <f ca="1"/>
        <v>0</v>
      </c>
      <c r="R208" s="155">
        <f ca="1"/>
        <v>9.9806965220505806E-3</v>
      </c>
      <c r="S208" s="155">
        <f ca="1"/>
        <v>0</v>
      </c>
      <c r="T208" s="155">
        <f ca="1"/>
        <v>2.5915905866368161E-2</v>
      </c>
      <c r="U208" s="155">
        <f ca="1"/>
        <v>4.8386252065264701E-2</v>
      </c>
      <c r="V208" s="138">
        <f ca="1"/>
        <v>8.9602597795709893E-2</v>
      </c>
      <c r="W208" s="137">
        <f ca="1"/>
        <v>0</v>
      </c>
      <c r="X208" s="155">
        <f ca="1"/>
        <v>0</v>
      </c>
      <c r="Y208" s="155">
        <f ca="1"/>
        <v>2.1499507552952268E-3</v>
      </c>
      <c r="Z208" s="155">
        <f ca="1"/>
        <v>0</v>
      </c>
      <c r="AA208" s="155">
        <f ca="1"/>
        <v>1.04755824420244E-2</v>
      </c>
      <c r="AB208" s="155">
        <f ca="1"/>
        <v>0</v>
      </c>
      <c r="AC208" s="155">
        <f ca="1"/>
        <v>2.6727304481740211E-2</v>
      </c>
      <c r="AD208" s="155">
        <f ca="1"/>
        <v>4.9520659184715377E-2</v>
      </c>
      <c r="AE208" s="138">
        <f ca="1"/>
        <v>9.1166939236266731E-2</v>
      </c>
      <c r="AI208" s="135"/>
      <c r="AK208" s="135"/>
      <c r="AM208" s="135"/>
      <c r="AN208" s="135"/>
      <c r="AO208" s="135"/>
      <c r="AR208" s="135"/>
      <c r="AT208" s="135"/>
      <c r="AV208" s="135"/>
      <c r="AW208" s="135"/>
      <c r="AX208" s="135"/>
    </row>
    <row r="209" spans="1:50" s="79" customFormat="1" ht="11.25">
      <c r="A209" s="96">
        <f t="shared" ca="1" si="5"/>
        <v>198</v>
      </c>
      <c r="B209" s="68" t="s">
        <v>286</v>
      </c>
      <c r="C209" s="97">
        <v>0.4</v>
      </c>
      <c r="D209" s="69" t="s">
        <v>67</v>
      </c>
      <c r="E209" s="136" t="s">
        <v>87</v>
      </c>
      <c r="F209" s="154" t="s">
        <v>87</v>
      </c>
      <c r="G209" s="154">
        <v>3.9202000000000001E-2</v>
      </c>
      <c r="H209" s="154" t="s">
        <v>87</v>
      </c>
      <c r="I209" s="154">
        <v>3.9371999999999997E-2</v>
      </c>
      <c r="J209" s="154" t="s">
        <v>87</v>
      </c>
      <c r="K209" s="154">
        <v>3.4451000000000002E-2</v>
      </c>
      <c r="L209" s="154">
        <v>3.1989999999999998E-2</v>
      </c>
      <c r="M209" s="154">
        <v>3.0020999999999999E-2</v>
      </c>
      <c r="N209" s="137" cm="1">
        <f t="array" aca="1" ref="N209:AE209" ca="1">IF(OR(B209="",NOT($J$2)),"",GetStripDefaultProbability(A209,B209,Parameter_Date,CDSRollDate,E209:M209,SpreadCurveMaturities,D209,C209,$J$4,$J$6))</f>
        <v>0</v>
      </c>
      <c r="O209" s="155">
        <f ca="1"/>
        <v>0</v>
      </c>
      <c r="P209" s="155">
        <f ca="1"/>
        <v>6.7021224018984471E-2</v>
      </c>
      <c r="Q209" s="155">
        <f ca="1"/>
        <v>0</v>
      </c>
      <c r="R209" s="155">
        <f ca="1"/>
        <v>0.18278093584700972</v>
      </c>
      <c r="S209" s="155">
        <f ca="1"/>
        <v>0</v>
      </c>
      <c r="T209" s="155">
        <f ca="1"/>
        <v>0.24780380385416112</v>
      </c>
      <c r="U209" s="155">
        <f ca="1"/>
        <v>0.30405517562617146</v>
      </c>
      <c r="V209" s="138">
        <f ca="1"/>
        <v>0.37861133005095993</v>
      </c>
      <c r="W209" s="137">
        <f ca="1"/>
        <v>0</v>
      </c>
      <c r="X209" s="155">
        <f ca="1"/>
        <v>0</v>
      </c>
      <c r="Y209" s="155">
        <f ca="1"/>
        <v>6.7176707524337242E-2</v>
      </c>
      <c r="Z209" s="155">
        <f ca="1"/>
        <v>0</v>
      </c>
      <c r="AA209" s="155">
        <f ca="1"/>
        <v>0.18318944324372965</v>
      </c>
      <c r="AB209" s="155">
        <f ca="1"/>
        <v>0</v>
      </c>
      <c r="AC209" s="155">
        <f ca="1"/>
        <v>0.24843037291091619</v>
      </c>
      <c r="AD209" s="155">
        <f ca="1"/>
        <v>0.30486663780964951</v>
      </c>
      <c r="AE209" s="138">
        <f ca="1"/>
        <v>0.3796215859128208</v>
      </c>
      <c r="AI209" s="135"/>
      <c r="AK209" s="135"/>
      <c r="AM209" s="135"/>
      <c r="AN209" s="135"/>
      <c r="AO209" s="135"/>
      <c r="AR209" s="135"/>
      <c r="AT209" s="135"/>
      <c r="AV209" s="135"/>
      <c r="AW209" s="135"/>
      <c r="AX209" s="135"/>
    </row>
    <row r="210" spans="1:50" s="79" customFormat="1" ht="11.25">
      <c r="A210" s="96">
        <f t="shared" ca="1" si="5"/>
        <v>199</v>
      </c>
      <c r="B210" s="68" t="s">
        <v>287</v>
      </c>
      <c r="C210" s="97">
        <v>0.4</v>
      </c>
      <c r="D210" s="69" t="s">
        <v>67</v>
      </c>
      <c r="E210" s="136" t="s">
        <v>87</v>
      </c>
      <c r="F210" s="154" t="s">
        <v>87</v>
      </c>
      <c r="G210" s="154">
        <v>4.2750000000000002E-3</v>
      </c>
      <c r="H210" s="154" t="s">
        <v>87</v>
      </c>
      <c r="I210" s="154">
        <v>7.5789999999999998E-3</v>
      </c>
      <c r="J210" s="154" t="s">
        <v>87</v>
      </c>
      <c r="K210" s="154">
        <v>1.1918E-2</v>
      </c>
      <c r="L210" s="154">
        <v>1.4062E-2</v>
      </c>
      <c r="M210" s="154">
        <v>1.6954E-2</v>
      </c>
      <c r="N210" s="137" cm="1">
        <f t="array" aca="1" ref="N210:AE210" ca="1">IF(OR(B210="",NOT($J$2)),"",GetStripDefaultProbability(A210,B210,Parameter_Date,CDSRollDate,E210:M210,SpreadCurveMaturities,D210,C210,$J$4,$J$6))</f>
        <v>0</v>
      </c>
      <c r="O210" s="155">
        <f ca="1"/>
        <v>0</v>
      </c>
      <c r="P210" s="155">
        <f ca="1"/>
        <v>7.537078374057038E-3</v>
      </c>
      <c r="Q210" s="155">
        <f ca="1"/>
        <v>0</v>
      </c>
      <c r="R210" s="155">
        <f ca="1"/>
        <v>3.8617728515080052E-2</v>
      </c>
      <c r="S210" s="155">
        <f ca="1"/>
        <v>0</v>
      </c>
      <c r="T210" s="155">
        <f ca="1"/>
        <v>0.10045207948725365</v>
      </c>
      <c r="U210" s="155">
        <f ca="1"/>
        <v>0.16229789936909444</v>
      </c>
      <c r="V210" s="138">
        <f ca="1"/>
        <v>0.27085764682662095</v>
      </c>
      <c r="W210" s="137">
        <f ca="1"/>
        <v>0</v>
      </c>
      <c r="X210" s="155">
        <f ca="1"/>
        <v>0</v>
      </c>
      <c r="Y210" s="155">
        <f ca="1"/>
        <v>7.7024750775577244E-3</v>
      </c>
      <c r="Z210" s="155">
        <f ca="1"/>
        <v>0</v>
      </c>
      <c r="AA210" s="155">
        <f ca="1"/>
        <v>3.9098299498030675E-2</v>
      </c>
      <c r="AB210" s="155">
        <f ca="1"/>
        <v>0</v>
      </c>
      <c r="AC210" s="155">
        <f ca="1"/>
        <v>0.10122973248304235</v>
      </c>
      <c r="AD210" s="155">
        <f ca="1"/>
        <v>0.16331578335342356</v>
      </c>
      <c r="AE210" s="138">
        <f ca="1"/>
        <v>0.27214710637836925</v>
      </c>
      <c r="AI210" s="135"/>
      <c r="AK210" s="135"/>
      <c r="AM210" s="135"/>
      <c r="AN210" s="135"/>
      <c r="AO210" s="135"/>
      <c r="AR210" s="135"/>
      <c r="AT210" s="135"/>
      <c r="AV210" s="135"/>
      <c r="AW210" s="135"/>
      <c r="AX210" s="135"/>
    </row>
    <row r="211" spans="1:50" s="79" customFormat="1" ht="11.25">
      <c r="A211" s="96">
        <f t="shared" ca="1" si="5"/>
        <v>200</v>
      </c>
      <c r="B211" s="68" t="s">
        <v>288</v>
      </c>
      <c r="C211" s="97">
        <v>0.4</v>
      </c>
      <c r="D211" s="69" t="s">
        <v>67</v>
      </c>
      <c r="E211" s="136" t="s">
        <v>87</v>
      </c>
      <c r="F211" s="154" t="s">
        <v>87</v>
      </c>
      <c r="G211" s="154">
        <v>3.6250000000000002E-3</v>
      </c>
      <c r="H211" s="154" t="s">
        <v>87</v>
      </c>
      <c r="I211" s="154">
        <v>7.8189999999999996E-3</v>
      </c>
      <c r="J211" s="154" t="s">
        <v>87</v>
      </c>
      <c r="K211" s="154">
        <v>1.2063000000000001E-2</v>
      </c>
      <c r="L211" s="154">
        <v>1.3636000000000001E-2</v>
      </c>
      <c r="M211" s="154">
        <v>1.5828999999999999E-2</v>
      </c>
      <c r="N211" s="137" cm="1">
        <f t="array" aca="1" ref="N211:AE211" ca="1">IF(OR(B211="",NOT($J$2)),"",GetStripDefaultProbability(A211,B211,Parameter_Date,CDSRollDate,E211:M211,SpreadCurveMaturities,D211,C211,$J$4,$J$6))</f>
        <v>0</v>
      </c>
      <c r="O211" s="155">
        <f ca="1"/>
        <v>0</v>
      </c>
      <c r="P211" s="155">
        <f ca="1"/>
        <v>6.3947291584415256E-3</v>
      </c>
      <c r="Q211" s="155">
        <f ca="1"/>
        <v>0</v>
      </c>
      <c r="R211" s="155">
        <f ca="1"/>
        <v>3.9943006139694703E-2</v>
      </c>
      <c r="S211" s="155">
        <f ca="1"/>
        <v>0</v>
      </c>
      <c r="T211" s="155">
        <f ca="1"/>
        <v>0.10164265970126729</v>
      </c>
      <c r="U211" s="155">
        <f ca="1"/>
        <v>0.15678447845990495</v>
      </c>
      <c r="V211" s="138">
        <f ca="1"/>
        <v>0.25184435878309175</v>
      </c>
      <c r="W211" s="137">
        <f ca="1"/>
        <v>0</v>
      </c>
      <c r="X211" s="155">
        <f ca="1"/>
        <v>0</v>
      </c>
      <c r="Y211" s="155">
        <f ca="1"/>
        <v>6.5603162375925672E-3</v>
      </c>
      <c r="Z211" s="155">
        <f ca="1"/>
        <v>0</v>
      </c>
      <c r="AA211" s="155">
        <f ca="1"/>
        <v>4.0422914649490993E-2</v>
      </c>
      <c r="AB211" s="155">
        <f ca="1"/>
        <v>0</v>
      </c>
      <c r="AC211" s="155">
        <f ca="1"/>
        <v>0.1024195448420292</v>
      </c>
      <c r="AD211" s="155">
        <f ca="1"/>
        <v>0.15780580409394107</v>
      </c>
      <c r="AE211" s="138">
        <f ca="1"/>
        <v>0.25315480757524733</v>
      </c>
      <c r="AI211" s="135"/>
      <c r="AK211" s="135"/>
      <c r="AM211" s="135"/>
      <c r="AN211" s="135"/>
      <c r="AO211" s="135"/>
      <c r="AR211" s="135"/>
      <c r="AT211" s="135"/>
      <c r="AV211" s="135"/>
      <c r="AW211" s="135"/>
      <c r="AX211" s="135"/>
    </row>
    <row r="212" spans="1:50" s="79" customFormat="1" ht="11.25">
      <c r="A212" s="96">
        <f t="shared" ca="1" si="5"/>
        <v>201</v>
      </c>
      <c r="B212" s="68" t="s">
        <v>289</v>
      </c>
      <c r="C212" s="97">
        <v>0.4</v>
      </c>
      <c r="D212" s="69" t="s">
        <v>67</v>
      </c>
      <c r="E212" s="136" t="s">
        <v>87</v>
      </c>
      <c r="F212" s="154" t="s">
        <v>87</v>
      </c>
      <c r="G212" s="154">
        <v>6.7599999999999995E-4</v>
      </c>
      <c r="H212" s="154" t="s">
        <v>87</v>
      </c>
      <c r="I212" s="154">
        <v>1.158E-3</v>
      </c>
      <c r="J212" s="154" t="s">
        <v>87</v>
      </c>
      <c r="K212" s="154">
        <v>1.9300000000000001E-3</v>
      </c>
      <c r="L212" s="154">
        <v>2.4610000000000001E-3</v>
      </c>
      <c r="M212" s="154">
        <v>3.571E-3</v>
      </c>
      <c r="N212" s="137" cm="1">
        <f t="array" aca="1" ref="N212:AE212" ca="1">IF(OR(B212="",NOT($J$2)),"",GetStripDefaultProbability(A212,B212,Parameter_Date,CDSRollDate,E212:M212,SpreadCurveMaturities,D212,C212,$J$4,$J$6))</f>
        <v>0</v>
      </c>
      <c r="O212" s="155">
        <f ca="1"/>
        <v>0</v>
      </c>
      <c r="P212" s="155">
        <f ca="1"/>
        <v>1.1955955335842816E-3</v>
      </c>
      <c r="Q212" s="155">
        <f ca="1"/>
        <v>0</v>
      </c>
      <c r="R212" s="155">
        <f ca="1"/>
        <v>5.9793029827601707E-3</v>
      </c>
      <c r="S212" s="155">
        <f ca="1"/>
        <v>0</v>
      </c>
      <c r="T212" s="155">
        <f ca="1"/>
        <v>1.682963639131041E-2</v>
      </c>
      <c r="U212" s="155">
        <f ca="1"/>
        <v>3.0226530362412407E-2</v>
      </c>
      <c r="V212" s="138">
        <f ca="1"/>
        <v>6.4259574407833475E-2</v>
      </c>
      <c r="W212" s="137">
        <f ca="1"/>
        <v>0</v>
      </c>
      <c r="X212" s="155">
        <f ca="1"/>
        <v>0</v>
      </c>
      <c r="Y212" s="155">
        <f ca="1"/>
        <v>1.36204906283377E-3</v>
      </c>
      <c r="Z212" s="155">
        <f ca="1"/>
        <v>0</v>
      </c>
      <c r="AA212" s="155">
        <f ca="1"/>
        <v>6.476189099385854E-3</v>
      </c>
      <c r="AB212" s="155">
        <f ca="1"/>
        <v>0</v>
      </c>
      <c r="AC212" s="155">
        <f ca="1"/>
        <v>1.7648603743873448E-2</v>
      </c>
      <c r="AD212" s="155">
        <f ca="1"/>
        <v>3.1382054553709682E-2</v>
      </c>
      <c r="AE212" s="138">
        <f ca="1"/>
        <v>6.5844278694905167E-2</v>
      </c>
      <c r="AI212" s="135"/>
      <c r="AK212" s="135"/>
      <c r="AM212" s="135"/>
      <c r="AN212" s="135"/>
      <c r="AO212" s="135"/>
      <c r="AR212" s="135"/>
      <c r="AT212" s="135"/>
      <c r="AV212" s="135"/>
      <c r="AW212" s="135"/>
      <c r="AX212" s="135"/>
    </row>
    <row r="213" spans="1:50" s="79" customFormat="1" ht="11.25">
      <c r="A213" s="96">
        <f t="shared" ca="1" si="5"/>
        <v>202</v>
      </c>
      <c r="B213" s="68" t="s">
        <v>290</v>
      </c>
      <c r="C213" s="97">
        <v>0.4</v>
      </c>
      <c r="D213" s="69" t="s">
        <v>67</v>
      </c>
      <c r="E213" s="136" t="s">
        <v>87</v>
      </c>
      <c r="F213" s="154" t="s">
        <v>87</v>
      </c>
      <c r="G213" s="154">
        <v>5.1699999999999999E-4</v>
      </c>
      <c r="H213" s="154" t="s">
        <v>87</v>
      </c>
      <c r="I213" s="154">
        <v>1.0820000000000001E-3</v>
      </c>
      <c r="J213" s="154" t="s">
        <v>87</v>
      </c>
      <c r="K213" s="154">
        <v>1.882E-3</v>
      </c>
      <c r="L213" s="154">
        <v>2.1879999999999998E-3</v>
      </c>
      <c r="M213" s="154">
        <v>2.7569999999999999E-3</v>
      </c>
      <c r="N213" s="137" cm="1">
        <f t="array" aca="1" ref="N213:AE213" ca="1">IF(OR(B213="",NOT($J$2)),"",GetStripDefaultProbability(A213,B213,Parameter_Date,CDSRollDate,E213:M213,SpreadCurveMaturities,D213,C213,$J$4,$J$6))</f>
        <v>0</v>
      </c>
      <c r="O213" s="155">
        <f ca="1"/>
        <v>0</v>
      </c>
      <c r="P213" s="155">
        <f ca="1"/>
        <v>9.1451068910863853E-4</v>
      </c>
      <c r="Q213" s="155">
        <f ca="1"/>
        <v>0</v>
      </c>
      <c r="R213" s="155">
        <f ca="1"/>
        <v>5.6024190394146078E-3</v>
      </c>
      <c r="S213" s="155">
        <f ca="1"/>
        <v>0</v>
      </c>
      <c r="T213" s="155">
        <f ca="1"/>
        <v>1.6457985428498412E-2</v>
      </c>
      <c r="U213" s="155">
        <f ca="1"/>
        <v>2.6715004902493678E-2</v>
      </c>
      <c r="V213" s="138">
        <f ca="1"/>
        <v>4.8746973104126234E-2</v>
      </c>
      <c r="W213" s="137">
        <f ca="1"/>
        <v>0</v>
      </c>
      <c r="X213" s="155">
        <f ca="1"/>
        <v>0</v>
      </c>
      <c r="Y213" s="155">
        <f ca="1"/>
        <v>1.0810110618951763E-3</v>
      </c>
      <c r="Z213" s="155">
        <f ca="1"/>
        <v>0</v>
      </c>
      <c r="AA213" s="155">
        <f ca="1"/>
        <v>6.0994935509220971E-3</v>
      </c>
      <c r="AB213" s="155">
        <f ca="1"/>
        <v>0</v>
      </c>
      <c r="AC213" s="155">
        <f ca="1"/>
        <v>1.7277262361151569E-2</v>
      </c>
      <c r="AD213" s="155">
        <f ca="1"/>
        <v>2.7874127795807335E-2</v>
      </c>
      <c r="AE213" s="138">
        <f ca="1"/>
        <v>5.0360019341950779E-2</v>
      </c>
      <c r="AI213" s="135"/>
      <c r="AK213" s="135"/>
      <c r="AM213" s="135"/>
      <c r="AN213" s="135"/>
      <c r="AO213" s="135"/>
      <c r="AR213" s="135"/>
      <c r="AT213" s="135"/>
      <c r="AV213" s="135"/>
      <c r="AW213" s="135"/>
      <c r="AX213" s="135"/>
    </row>
    <row r="214" spans="1:50" s="79" customFormat="1" ht="11.25">
      <c r="A214" s="96">
        <f t="shared" ca="1" si="5"/>
        <v>203</v>
      </c>
      <c r="B214" s="68" t="s">
        <v>291</v>
      </c>
      <c r="C214" s="97">
        <v>0.4</v>
      </c>
      <c r="D214" s="69" t="s">
        <v>67</v>
      </c>
      <c r="E214" s="136" t="s">
        <v>87</v>
      </c>
      <c r="F214" s="154" t="s">
        <v>87</v>
      </c>
      <c r="G214" s="154">
        <v>5.7200000000000003E-4</v>
      </c>
      <c r="H214" s="154" t="s">
        <v>87</v>
      </c>
      <c r="I214" s="154">
        <v>2.3140000000000001E-3</v>
      </c>
      <c r="J214" s="154" t="s">
        <v>87</v>
      </c>
      <c r="K214" s="154">
        <v>4.1009999999999996E-3</v>
      </c>
      <c r="L214" s="154">
        <v>5.7629999999999999E-3</v>
      </c>
      <c r="M214" s="154">
        <v>6.9569999999999996E-3</v>
      </c>
      <c r="N214" s="137" cm="1">
        <f t="array" aca="1" ref="N214:AE214" ca="1">IF(OR(B214="",NOT($J$2)),"",GetStripDefaultProbability(A214,B214,Parameter_Date,CDSRollDate,E214:M214,SpreadCurveMaturities,D214,C214,$J$4,$J$6))</f>
        <v>0</v>
      </c>
      <c r="O214" s="155">
        <f ca="1"/>
        <v>0</v>
      </c>
      <c r="P214" s="155">
        <f ca="1"/>
        <v>1.0117501780738669E-3</v>
      </c>
      <c r="Q214" s="155">
        <f ca="1"/>
        <v>0</v>
      </c>
      <c r="R214" s="155">
        <f ca="1"/>
        <v>1.2021872562300473E-2</v>
      </c>
      <c r="S214" s="155">
        <f ca="1"/>
        <v>0</v>
      </c>
      <c r="T214" s="155">
        <f ca="1"/>
        <v>3.5731081044137136E-2</v>
      </c>
      <c r="U214" s="155">
        <f ca="1"/>
        <v>7.0639252333016045E-2</v>
      </c>
      <c r="V214" s="138">
        <f ca="1"/>
        <v>0.12026425085052617</v>
      </c>
      <c r="W214" s="137">
        <f ca="1"/>
        <v>0</v>
      </c>
      <c r="X214" s="155">
        <f ca="1"/>
        <v>0</v>
      </c>
      <c r="Y214" s="155">
        <f ca="1"/>
        <v>1.1782343456623323E-3</v>
      </c>
      <c r="Z214" s="155">
        <f ca="1"/>
        <v>0</v>
      </c>
      <c r="AA214" s="155">
        <f ca="1"/>
        <v>1.2515738149344258E-2</v>
      </c>
      <c r="AB214" s="155">
        <f ca="1"/>
        <v>0</v>
      </c>
      <c r="AC214" s="155">
        <f ca="1"/>
        <v>3.653430375395772E-2</v>
      </c>
      <c r="AD214" s="155">
        <f ca="1"/>
        <v>7.1746194962689191E-2</v>
      </c>
      <c r="AE214" s="138">
        <f ca="1"/>
        <v>0.12178527534981354</v>
      </c>
      <c r="AI214" s="135"/>
      <c r="AK214" s="135"/>
      <c r="AM214" s="135"/>
      <c r="AN214" s="135"/>
      <c r="AO214" s="135"/>
      <c r="AR214" s="135"/>
      <c r="AT214" s="135"/>
      <c r="AV214" s="135"/>
      <c r="AW214" s="135"/>
      <c r="AX214" s="135"/>
    </row>
    <row r="215" spans="1:50" s="79" customFormat="1" ht="11.25">
      <c r="A215" s="96">
        <f t="shared" ca="1" si="5"/>
        <v>204</v>
      </c>
      <c r="B215" s="68" t="s">
        <v>292</v>
      </c>
      <c r="C215" s="97">
        <v>0.4</v>
      </c>
      <c r="D215" s="69" t="s">
        <v>67</v>
      </c>
      <c r="E215" s="136" t="s">
        <v>87</v>
      </c>
      <c r="F215" s="154" t="s">
        <v>87</v>
      </c>
      <c r="G215" s="154">
        <v>1.358E-3</v>
      </c>
      <c r="H215" s="154" t="s">
        <v>87</v>
      </c>
      <c r="I215" s="154">
        <v>2.5469999999999998E-3</v>
      </c>
      <c r="J215" s="154" t="s">
        <v>87</v>
      </c>
      <c r="K215" s="154">
        <v>4.5840000000000004E-3</v>
      </c>
      <c r="L215" s="154">
        <v>5.7549999999999997E-3</v>
      </c>
      <c r="M215" s="154">
        <v>8.0470000000000003E-3</v>
      </c>
      <c r="N215" s="137" cm="1">
        <f t="array" aca="1" ref="N215:AE215" ca="1">IF(OR(B215="",NOT($J$2)),"",GetStripDefaultProbability(A215,B215,Parameter_Date,CDSRollDate,E215:M215,SpreadCurveMaturities,D215,C215,$J$4,$J$6))</f>
        <v>0</v>
      </c>
      <c r="O215" s="155">
        <f ca="1"/>
        <v>0</v>
      </c>
      <c r="P215" s="155">
        <f ca="1"/>
        <v>2.4003650046323655E-3</v>
      </c>
      <c r="Q215" s="155">
        <f ca="1"/>
        <v>0</v>
      </c>
      <c r="R215" s="155">
        <f ca="1"/>
        <v>1.3129054246805771E-2</v>
      </c>
      <c r="S215" s="155">
        <f ca="1"/>
        <v>0</v>
      </c>
      <c r="T215" s="155">
        <f ca="1"/>
        <v>3.9805951882399437E-2</v>
      </c>
      <c r="U215" s="155">
        <f ca="1"/>
        <v>6.9732187251140276E-2</v>
      </c>
      <c r="V215" s="138">
        <f ca="1"/>
        <v>0.14035209701858464</v>
      </c>
      <c r="W215" s="137">
        <f ca="1"/>
        <v>0</v>
      </c>
      <c r="X215" s="155">
        <f ca="1"/>
        <v>0</v>
      </c>
      <c r="Y215" s="155">
        <f ca="1"/>
        <v>2.5666177556865621E-3</v>
      </c>
      <c r="Z215" s="155">
        <f ca="1"/>
        <v>0</v>
      </c>
      <c r="AA215" s="155">
        <f ca="1"/>
        <v>1.3622366381405571E-2</v>
      </c>
      <c r="AB215" s="155">
        <f ca="1"/>
        <v>0</v>
      </c>
      <c r="AC215" s="155">
        <f ca="1"/>
        <v>4.0605780281062764E-2</v>
      </c>
      <c r="AD215" s="155">
        <f ca="1"/>
        <v>7.0841030129401905E-2</v>
      </c>
      <c r="AE215" s="138">
        <f ca="1"/>
        <v>0.14185020106562085</v>
      </c>
      <c r="AI215" s="135"/>
      <c r="AK215" s="135"/>
      <c r="AM215" s="135"/>
      <c r="AN215" s="135"/>
      <c r="AO215" s="135"/>
      <c r="AR215" s="135"/>
      <c r="AT215" s="135"/>
      <c r="AV215" s="135"/>
      <c r="AW215" s="135"/>
      <c r="AX215" s="135"/>
    </row>
    <row r="216" spans="1:50" s="79" customFormat="1" ht="11.25">
      <c r="A216" s="96">
        <f t="shared" ca="1" si="5"/>
        <v>205</v>
      </c>
      <c r="B216" s="68" t="s">
        <v>293</v>
      </c>
      <c r="C216" s="97">
        <v>0.4</v>
      </c>
      <c r="D216" s="69" t="s">
        <v>67</v>
      </c>
      <c r="E216" s="136" t="s">
        <v>87</v>
      </c>
      <c r="F216" s="154" t="s">
        <v>87</v>
      </c>
      <c r="G216" s="154">
        <v>2.9978999999999999E-2</v>
      </c>
      <c r="H216" s="154" t="s">
        <v>87</v>
      </c>
      <c r="I216" s="154">
        <v>2.785E-2</v>
      </c>
      <c r="J216" s="154" t="s">
        <v>87</v>
      </c>
      <c r="K216" s="154">
        <v>2.5090000000000001E-2</v>
      </c>
      <c r="L216" s="154">
        <v>2.1465999999999999E-2</v>
      </c>
      <c r="M216" s="154">
        <v>1.8398999999999999E-2</v>
      </c>
      <c r="N216" s="137" cm="1">
        <f t="array" aca="1" ref="N216:AE216" ca="1">IF(OR(B216="",NOT($J$2)),"",GetStripDefaultProbability(A216,B216,Parameter_Date,CDSRollDate,E216:M216,SpreadCurveMaturities,D216,C216,$J$4,$J$6))</f>
        <v>0</v>
      </c>
      <c r="O216" s="155">
        <f ca="1"/>
        <v>0</v>
      </c>
      <c r="P216" s="155">
        <f ca="1"/>
        <v>5.1669278698411647E-2</v>
      </c>
      <c r="Q216" s="155">
        <f ca="1"/>
        <v>0</v>
      </c>
      <c r="R216" s="155">
        <f ca="1"/>
        <v>0.13253898560057242</v>
      </c>
      <c r="S216" s="155">
        <f ca="1"/>
        <v>0</v>
      </c>
      <c r="T216" s="155">
        <f ca="1"/>
        <v>0.1884476863487129</v>
      </c>
      <c r="U216" s="155">
        <f ca="1"/>
        <v>0.21314660142574715</v>
      </c>
      <c r="V216" s="138">
        <f ca="1"/>
        <v>0.24356777904337734</v>
      </c>
      <c r="W216" s="137">
        <f ca="1"/>
        <v>0</v>
      </c>
      <c r="X216" s="155">
        <f ca="1"/>
        <v>0</v>
      </c>
      <c r="Y216" s="155">
        <f ca="1"/>
        <v>5.1827320648118791E-2</v>
      </c>
      <c r="Z216" s="155">
        <f ca="1"/>
        <v>0</v>
      </c>
      <c r="AA216" s="155">
        <f ca="1"/>
        <v>0.13297260769322627</v>
      </c>
      <c r="AB216" s="155">
        <f ca="1"/>
        <v>0</v>
      </c>
      <c r="AC216" s="155">
        <f ca="1"/>
        <v>0.18912369823268049</v>
      </c>
      <c r="AD216" s="155">
        <f ca="1"/>
        <v>0.21406406176815818</v>
      </c>
      <c r="AE216" s="138">
        <f ca="1"/>
        <v>0.24476218408240968</v>
      </c>
      <c r="AI216" s="135"/>
      <c r="AK216" s="135"/>
      <c r="AM216" s="135"/>
      <c r="AN216" s="135"/>
      <c r="AO216" s="135"/>
      <c r="AR216" s="135"/>
      <c r="AT216" s="135"/>
      <c r="AV216" s="135"/>
      <c r="AW216" s="135"/>
      <c r="AX216" s="135"/>
    </row>
    <row r="217" spans="1:50" s="79" customFormat="1" ht="11.25">
      <c r="A217" s="96">
        <f t="shared" ca="1" si="5"/>
        <v>206</v>
      </c>
      <c r="B217" s="68" t="s">
        <v>294</v>
      </c>
      <c r="C217" s="97">
        <v>0.4</v>
      </c>
      <c r="D217" s="69" t="s">
        <v>67</v>
      </c>
      <c r="E217" s="136" t="s">
        <v>87</v>
      </c>
      <c r="F217" s="154" t="s">
        <v>87</v>
      </c>
      <c r="G217" s="154">
        <v>1.1770000000000001E-3</v>
      </c>
      <c r="H217" s="154" t="s">
        <v>87</v>
      </c>
      <c r="I217" s="154">
        <v>1.9789999999999999E-3</v>
      </c>
      <c r="J217" s="154" t="s">
        <v>87</v>
      </c>
      <c r="K217" s="154">
        <v>2.4610000000000001E-3</v>
      </c>
      <c r="L217" s="154">
        <v>3.2100000000000002E-3</v>
      </c>
      <c r="M217" s="154">
        <v>4.0119999999999999E-3</v>
      </c>
      <c r="N217" s="137" cm="1">
        <f t="array" aca="1" ref="N217:AE217" ca="1">IF(OR(B217="",NOT($J$2)),"",GetStripDefaultProbability(A217,B217,Parameter_Date,CDSRollDate,E217:M217,SpreadCurveMaturities,D217,C217,$J$4,$J$6))</f>
        <v>0</v>
      </c>
      <c r="O217" s="155">
        <f ca="1"/>
        <v>0</v>
      </c>
      <c r="P217" s="155">
        <f ca="1"/>
        <v>2.0807647700651355E-3</v>
      </c>
      <c r="Q217" s="155">
        <f ca="1"/>
        <v>0</v>
      </c>
      <c r="R217" s="155">
        <f ca="1"/>
        <v>1.0197473401305057E-2</v>
      </c>
      <c r="S217" s="155">
        <f ca="1"/>
        <v>0</v>
      </c>
      <c r="T217" s="155">
        <f ca="1"/>
        <v>2.1102735349638246E-2</v>
      </c>
      <c r="U217" s="155">
        <f ca="1"/>
        <v>3.9053240568651115E-2</v>
      </c>
      <c r="V217" s="138">
        <f ca="1"/>
        <v>7.0323045515486515E-2</v>
      </c>
      <c r="W217" s="137">
        <f ca="1"/>
        <v>0</v>
      </c>
      <c r="X217" s="155">
        <f ca="1"/>
        <v>0</v>
      </c>
      <c r="Y217" s="155">
        <f ca="1"/>
        <v>2.2470707833817105E-3</v>
      </c>
      <c r="Z217" s="155">
        <f ca="1"/>
        <v>0</v>
      </c>
      <c r="AA217" s="155">
        <f ca="1"/>
        <v>1.0692250959873695E-2</v>
      </c>
      <c r="AB217" s="155">
        <f ca="1"/>
        <v>0</v>
      </c>
      <c r="AC217" s="155">
        <f ca="1"/>
        <v>2.1918143269715973E-2</v>
      </c>
      <c r="AD217" s="155">
        <f ca="1"/>
        <v>4.0197665343203126E-2</v>
      </c>
      <c r="AE217" s="138">
        <f ca="1"/>
        <v>7.189689189332249E-2</v>
      </c>
      <c r="AI217" s="135"/>
      <c r="AK217" s="135"/>
      <c r="AM217" s="135"/>
      <c r="AN217" s="135"/>
      <c r="AO217" s="135"/>
      <c r="AR217" s="135"/>
      <c r="AT217" s="135"/>
      <c r="AV217" s="135"/>
      <c r="AW217" s="135"/>
      <c r="AX217" s="135"/>
    </row>
    <row r="218" spans="1:50" s="79" customFormat="1" ht="11.25">
      <c r="A218" s="96">
        <f t="shared" ca="1" si="5"/>
        <v>207</v>
      </c>
      <c r="B218" s="68" t="s">
        <v>295</v>
      </c>
      <c r="C218" s="97">
        <v>0.4</v>
      </c>
      <c r="D218" s="69" t="s">
        <v>67</v>
      </c>
      <c r="E218" s="136" t="s">
        <v>87</v>
      </c>
      <c r="F218" s="154" t="s">
        <v>87</v>
      </c>
      <c r="G218" s="154">
        <v>6.0800000000000003E-4</v>
      </c>
      <c r="H218" s="154" t="s">
        <v>87</v>
      </c>
      <c r="I218" s="154">
        <v>1.688E-3</v>
      </c>
      <c r="J218" s="154" t="s">
        <v>87</v>
      </c>
      <c r="K218" s="154">
        <v>2.5089999999999999E-3</v>
      </c>
      <c r="L218" s="154">
        <v>3.3609999999999998E-3</v>
      </c>
      <c r="M218" s="154">
        <v>4.2129999999999997E-3</v>
      </c>
      <c r="N218" s="137" cm="1">
        <f t="array" aca="1" ref="N218:AE218" ca="1">IF(OR(B218="",NOT($J$2)),"",GetStripDefaultProbability(A218,B218,Parameter_Date,CDSRollDate,E218:M218,SpreadCurveMaturities,D218,C218,$J$4,$J$6))</f>
        <v>0</v>
      </c>
      <c r="O218" s="155">
        <f ca="1"/>
        <v>0</v>
      </c>
      <c r="P218" s="155">
        <f ca="1"/>
        <v>1.0753927560869236E-3</v>
      </c>
      <c r="Q218" s="155">
        <f ca="1"/>
        <v>0</v>
      </c>
      <c r="R218" s="155">
        <f ca="1"/>
        <v>8.7550509105021046E-3</v>
      </c>
      <c r="S218" s="155">
        <f ca="1"/>
        <v>0</v>
      </c>
      <c r="T218" s="155">
        <f ca="1"/>
        <v>2.1773640284823093E-2</v>
      </c>
      <c r="U218" s="155">
        <f ca="1"/>
        <v>4.123772931852121E-2</v>
      </c>
      <c r="V218" s="138">
        <f ca="1"/>
        <v>7.4162137342519086E-2</v>
      </c>
      <c r="W218" s="137">
        <f ca="1"/>
        <v>0</v>
      </c>
      <c r="X218" s="155">
        <f ca="1"/>
        <v>0</v>
      </c>
      <c r="Y218" s="155">
        <f ca="1"/>
        <v>1.2418663174301736E-3</v>
      </c>
      <c r="Z218" s="155">
        <f ca="1"/>
        <v>0</v>
      </c>
      <c r="AA218" s="155">
        <f ca="1"/>
        <v>9.2505495000990701E-3</v>
      </c>
      <c r="AB218" s="155">
        <f ca="1"/>
        <v>0</v>
      </c>
      <c r="AC218" s="155">
        <f ca="1"/>
        <v>2.2588489350319763E-2</v>
      </c>
      <c r="AD218" s="155">
        <f ca="1"/>
        <v>4.238072023940187E-2</v>
      </c>
      <c r="AE218" s="138">
        <f ca="1"/>
        <v>7.573011932898599E-2</v>
      </c>
      <c r="AI218" s="135"/>
      <c r="AK218" s="135"/>
      <c r="AM218" s="135"/>
      <c r="AN218" s="135"/>
      <c r="AO218" s="135"/>
      <c r="AR218" s="135"/>
      <c r="AT218" s="135"/>
      <c r="AV218" s="135"/>
      <c r="AW218" s="135"/>
      <c r="AX218" s="135"/>
    </row>
    <row r="219" spans="1:50" s="79" customFormat="1" ht="11.25">
      <c r="A219" s="96">
        <f t="shared" ca="1" si="5"/>
        <v>208</v>
      </c>
      <c r="B219" s="68" t="s">
        <v>296</v>
      </c>
      <c r="C219" s="97">
        <v>0.4</v>
      </c>
      <c r="D219" s="69" t="s">
        <v>67</v>
      </c>
      <c r="E219" s="136" t="s">
        <v>87</v>
      </c>
      <c r="F219" s="154" t="s">
        <v>87</v>
      </c>
      <c r="G219" s="154">
        <v>2.8519999999999999E-3</v>
      </c>
      <c r="H219" s="154" t="s">
        <v>87</v>
      </c>
      <c r="I219" s="154">
        <v>4.0480000000000004E-3</v>
      </c>
      <c r="J219" s="154" t="s">
        <v>87</v>
      </c>
      <c r="K219" s="154">
        <v>6.8999999999999999E-3</v>
      </c>
      <c r="L219" s="154">
        <v>8.3260000000000001E-3</v>
      </c>
      <c r="M219" s="154">
        <v>1.0028E-2</v>
      </c>
      <c r="N219" s="137" cm="1">
        <f t="array" aca="1" ref="N219:AE219" ca="1">IF(OR(B219="",NOT($J$2)),"",GetStripDefaultProbability(A219,B219,Parameter_Date,CDSRollDate,E219:M219,SpreadCurveMaturities,D219,C219,$J$4,$J$6))</f>
        <v>0</v>
      </c>
      <c r="O219" s="155">
        <f ca="1"/>
        <v>0</v>
      </c>
      <c r="P219" s="155">
        <f ca="1"/>
        <v>5.0345176143764547E-3</v>
      </c>
      <c r="Q219" s="155">
        <f ca="1"/>
        <v>0</v>
      </c>
      <c r="R219" s="155">
        <f ca="1"/>
        <v>2.0702709701802657E-2</v>
      </c>
      <c r="S219" s="155">
        <f ca="1"/>
        <v>0</v>
      </c>
      <c r="T219" s="155">
        <f ca="1"/>
        <v>5.9256505725370445E-2</v>
      </c>
      <c r="U219" s="155">
        <f ca="1"/>
        <v>9.908767796049478E-2</v>
      </c>
      <c r="V219" s="138">
        <f ca="1"/>
        <v>0.16804308856912886</v>
      </c>
      <c r="W219" s="137">
        <f ca="1"/>
        <v>0</v>
      </c>
      <c r="X219" s="155">
        <f ca="1"/>
        <v>0</v>
      </c>
      <c r="Y219" s="155">
        <f ca="1"/>
        <v>5.2003313765615067E-3</v>
      </c>
      <c r="Z219" s="155">
        <f ca="1"/>
        <v>0</v>
      </c>
      <c r="AA219" s="155">
        <f ca="1"/>
        <v>2.1192235955212246E-2</v>
      </c>
      <c r="AB219" s="155">
        <f ca="1"/>
        <v>0</v>
      </c>
      <c r="AC219" s="155">
        <f ca="1"/>
        <v>6.0040132080928732E-2</v>
      </c>
      <c r="AD219" s="155">
        <f ca="1"/>
        <v>0.10013812945370937</v>
      </c>
      <c r="AE219" s="138">
        <f ca="1"/>
        <v>0.16949508164026716</v>
      </c>
      <c r="AI219" s="135"/>
      <c r="AK219" s="135"/>
      <c r="AM219" s="135"/>
      <c r="AN219" s="135"/>
      <c r="AO219" s="135"/>
      <c r="AR219" s="135"/>
      <c r="AT219" s="135"/>
      <c r="AV219" s="135"/>
      <c r="AW219" s="135"/>
      <c r="AX219" s="135"/>
    </row>
    <row r="220" spans="1:50" s="79" customFormat="1" ht="11.25">
      <c r="A220" s="96">
        <f t="shared" ca="1" si="5"/>
        <v>209</v>
      </c>
      <c r="B220" s="68" t="s">
        <v>297</v>
      </c>
      <c r="C220" s="97">
        <v>0.4</v>
      </c>
      <c r="D220" s="69" t="s">
        <v>67</v>
      </c>
      <c r="E220" s="136" t="s">
        <v>87</v>
      </c>
      <c r="F220" s="154" t="s">
        <v>87</v>
      </c>
      <c r="G220" s="154">
        <v>1.1709999999999999E-3</v>
      </c>
      <c r="H220" s="154" t="s">
        <v>87</v>
      </c>
      <c r="I220" s="154">
        <v>2.1580000000000002E-3</v>
      </c>
      <c r="J220" s="154" t="s">
        <v>87</v>
      </c>
      <c r="K220" s="154">
        <v>3.3289999999999999E-3</v>
      </c>
      <c r="L220" s="154">
        <v>3.5130000000000001E-3</v>
      </c>
      <c r="M220" s="154">
        <v>4.032E-3</v>
      </c>
      <c r="N220" s="137" cm="1">
        <f t="array" aca="1" ref="N220:AE220" ca="1">IF(OR(B220="",NOT($J$2)),"",GetStripDefaultProbability(A220,B220,Parameter_Date,CDSRollDate,E220:M220,SpreadCurveMaturities,D220,C220,$J$4,$J$6))</f>
        <v>0</v>
      </c>
      <c r="O220" s="155">
        <f ca="1"/>
        <v>0</v>
      </c>
      <c r="P220" s="155">
        <f ca="1"/>
        <v>2.0701685477848564E-3</v>
      </c>
      <c r="Q220" s="155">
        <f ca="1"/>
        <v>0</v>
      </c>
      <c r="R220" s="155">
        <f ca="1"/>
        <v>1.113036112910859E-2</v>
      </c>
      <c r="S220" s="155">
        <f ca="1"/>
        <v>0</v>
      </c>
      <c r="T220" s="155">
        <f ca="1"/>
        <v>2.8812479325130758E-2</v>
      </c>
      <c r="U220" s="155">
        <f ca="1"/>
        <v>4.2019872981071238E-2</v>
      </c>
      <c r="V220" s="138">
        <f ca="1"/>
        <v>6.9058568274379506E-2</v>
      </c>
      <c r="W220" s="137">
        <f ca="1"/>
        <v>0</v>
      </c>
      <c r="X220" s="155">
        <f ca="1"/>
        <v>0</v>
      </c>
      <c r="Y220" s="155">
        <f ca="1"/>
        <v>2.2364763270109611E-3</v>
      </c>
      <c r="Z220" s="155">
        <f ca="1"/>
        <v>0</v>
      </c>
      <c r="AA220" s="155">
        <f ca="1"/>
        <v>1.162467236045428E-2</v>
      </c>
      <c r="AB220" s="155">
        <f ca="1"/>
        <v>0</v>
      </c>
      <c r="AC220" s="155">
        <f ca="1"/>
        <v>2.9621465134757829E-2</v>
      </c>
      <c r="AD220" s="155">
        <f ca="1"/>
        <v>4.3160782967824773E-2</v>
      </c>
      <c r="AE220" s="138">
        <f ca="1"/>
        <v>7.0608845071109871E-2</v>
      </c>
      <c r="AI220" s="135"/>
      <c r="AK220" s="135"/>
      <c r="AM220" s="135"/>
      <c r="AN220" s="135"/>
      <c r="AO220" s="135"/>
      <c r="AR220" s="135"/>
      <c r="AT220" s="135"/>
      <c r="AV220" s="135"/>
      <c r="AW220" s="135"/>
      <c r="AX220" s="135"/>
    </row>
    <row r="221" spans="1:50" s="79" customFormat="1" ht="11.25">
      <c r="A221" s="96">
        <f t="shared" ca="1" si="5"/>
        <v>210</v>
      </c>
      <c r="B221" s="68" t="s">
        <v>298</v>
      </c>
      <c r="C221" s="97">
        <v>0.4</v>
      </c>
      <c r="D221" s="69" t="s">
        <v>67</v>
      </c>
      <c r="E221" s="136" t="s">
        <v>87</v>
      </c>
      <c r="F221" s="154" t="s">
        <v>87</v>
      </c>
      <c r="G221" s="154">
        <v>8.4699999999999999E-4</v>
      </c>
      <c r="H221" s="154" t="s">
        <v>87</v>
      </c>
      <c r="I221" s="154">
        <v>2.3890000000000001E-3</v>
      </c>
      <c r="J221" s="154" t="s">
        <v>87</v>
      </c>
      <c r="K221" s="154">
        <v>3.8119999999999999E-3</v>
      </c>
      <c r="L221" s="154">
        <v>5.0819999999999997E-3</v>
      </c>
      <c r="M221" s="154">
        <v>7.1149999999999998E-3</v>
      </c>
      <c r="N221" s="137" cm="1">
        <f t="array" aca="1" ref="N221:AE221" ca="1">IF(OR(B221="",NOT($J$2)),"",GetStripDefaultProbability(A221,B221,Parameter_Date,CDSRollDate,E221:M221,SpreadCurveMaturities,D221,C221,$J$4,$J$6))</f>
        <v>0</v>
      </c>
      <c r="O221" s="155">
        <f ca="1"/>
        <v>0</v>
      </c>
      <c r="P221" s="155">
        <f ca="1"/>
        <v>1.497806721530992E-3</v>
      </c>
      <c r="Q221" s="155">
        <f ca="1"/>
        <v>0</v>
      </c>
      <c r="R221" s="155">
        <f ca="1"/>
        <v>1.2375594825696279E-2</v>
      </c>
      <c r="S221" s="155">
        <f ca="1"/>
        <v>0</v>
      </c>
      <c r="T221" s="155">
        <f ca="1"/>
        <v>3.3058582903491951E-2</v>
      </c>
      <c r="U221" s="155">
        <f ca="1"/>
        <v>6.1986746067484111E-2</v>
      </c>
      <c r="V221" s="138">
        <f ca="1"/>
        <v>0.12504298188787955</v>
      </c>
      <c r="W221" s="137">
        <f ca="1"/>
        <v>0</v>
      </c>
      <c r="X221" s="155">
        <f ca="1"/>
        <v>0</v>
      </c>
      <c r="Y221" s="155">
        <f ca="1"/>
        <v>1.6642098864404486E-3</v>
      </c>
      <c r="Z221" s="155">
        <f ca="1"/>
        <v>0</v>
      </c>
      <c r="AA221" s="155">
        <f ca="1"/>
        <v>1.2869283595778991E-2</v>
      </c>
      <c r="AB221" s="155">
        <f ca="1"/>
        <v>0</v>
      </c>
      <c r="AC221" s="155">
        <f ca="1"/>
        <v>3.3864031767428693E-2</v>
      </c>
      <c r="AD221" s="155">
        <f ca="1"/>
        <v>6.3104710165132083E-2</v>
      </c>
      <c r="AE221" s="138">
        <f ca="1"/>
        <v>0.12656272551205672</v>
      </c>
      <c r="AI221" s="135"/>
      <c r="AK221" s="135"/>
      <c r="AM221" s="135"/>
      <c r="AN221" s="135"/>
      <c r="AO221" s="135"/>
      <c r="AR221" s="135"/>
      <c r="AT221" s="135"/>
      <c r="AV221" s="135"/>
      <c r="AW221" s="135"/>
      <c r="AX221" s="135"/>
    </row>
    <row r="222" spans="1:50" s="79" customFormat="1" ht="11.25">
      <c r="A222" s="96">
        <f t="shared" ca="1" si="5"/>
        <v>211</v>
      </c>
      <c r="B222" s="68" t="s">
        <v>299</v>
      </c>
      <c r="C222" s="97">
        <v>0.4</v>
      </c>
      <c r="D222" s="69" t="s">
        <v>67</v>
      </c>
      <c r="E222" s="136" t="s">
        <v>87</v>
      </c>
      <c r="F222" s="154" t="s">
        <v>87</v>
      </c>
      <c r="G222" s="154">
        <v>9.6699999999999998E-4</v>
      </c>
      <c r="H222" s="154" t="s">
        <v>87</v>
      </c>
      <c r="I222" s="154">
        <v>2.1649999999999998E-3</v>
      </c>
      <c r="J222" s="154" t="s">
        <v>87</v>
      </c>
      <c r="K222" s="154">
        <v>2.7989999999999998E-3</v>
      </c>
      <c r="L222" s="154">
        <v>3.643E-3</v>
      </c>
      <c r="M222" s="154">
        <v>4.594E-3</v>
      </c>
      <c r="N222" s="137" cm="1">
        <f t="array" aca="1" ref="N222:AE222" ca="1">IF(OR(B222="",NOT($J$2)),"",GetStripDefaultProbability(A222,B222,Parameter_Date,CDSRollDate,E222:M222,SpreadCurveMaturities,D222,C222,$J$4,$J$6))</f>
        <v>0</v>
      </c>
      <c r="O222" s="155">
        <f ca="1"/>
        <v>0</v>
      </c>
      <c r="P222" s="155">
        <f ca="1"/>
        <v>1.709830556587244E-3</v>
      </c>
      <c r="Q222" s="155">
        <f ca="1"/>
        <v>0</v>
      </c>
      <c r="R222" s="155">
        <f ca="1"/>
        <v>1.1193776244980747E-2</v>
      </c>
      <c r="S222" s="155">
        <f ca="1"/>
        <v>0</v>
      </c>
      <c r="T222" s="155">
        <f ca="1"/>
        <v>2.40704051989582E-2</v>
      </c>
      <c r="U222" s="155">
        <f ca="1"/>
        <v>4.4324597434589386E-2</v>
      </c>
      <c r="V222" s="138">
        <f ca="1"/>
        <v>8.0424901200835786E-2</v>
      </c>
      <c r="W222" s="137">
        <f ca="1"/>
        <v>0</v>
      </c>
      <c r="X222" s="155">
        <f ca="1"/>
        <v>0</v>
      </c>
      <c r="Y222" s="155">
        <f ca="1"/>
        <v>1.8761983871263821E-3</v>
      </c>
      <c r="Z222" s="155">
        <f ca="1"/>
        <v>0</v>
      </c>
      <c r="AA222" s="155">
        <f ca="1"/>
        <v>1.1688055776703954E-2</v>
      </c>
      <c r="AB222" s="155">
        <f ca="1"/>
        <v>0</v>
      </c>
      <c r="AC222" s="155">
        <f ca="1"/>
        <v>2.4883341090969124E-2</v>
      </c>
      <c r="AD222" s="155">
        <f ca="1"/>
        <v>4.5463116970431927E-2</v>
      </c>
      <c r="AE222" s="138">
        <f ca="1"/>
        <v>8.1956249887126575E-2</v>
      </c>
      <c r="AI222" s="135"/>
      <c r="AK222" s="135"/>
      <c r="AM222" s="135"/>
      <c r="AN222" s="135"/>
      <c r="AO222" s="135"/>
      <c r="AR222" s="135"/>
      <c r="AT222" s="135"/>
      <c r="AV222" s="135"/>
      <c r="AW222" s="135"/>
      <c r="AX222" s="135"/>
    </row>
    <row r="223" spans="1:50" s="79" customFormat="1" ht="11.25">
      <c r="A223" s="96">
        <f t="shared" ca="1" si="5"/>
        <v>212</v>
      </c>
      <c r="B223" s="68" t="s">
        <v>300</v>
      </c>
      <c r="C223" s="97">
        <v>0.4</v>
      </c>
      <c r="D223" s="69" t="s">
        <v>67</v>
      </c>
      <c r="E223" s="136" t="s">
        <v>87</v>
      </c>
      <c r="F223" s="154" t="s">
        <v>87</v>
      </c>
      <c r="G223" s="154">
        <v>5.0900000000000001E-4</v>
      </c>
      <c r="H223" s="154" t="s">
        <v>87</v>
      </c>
      <c r="I223" s="154">
        <v>1.818E-3</v>
      </c>
      <c r="J223" s="154" t="s">
        <v>87</v>
      </c>
      <c r="K223" s="154">
        <v>2.7499999999999998E-3</v>
      </c>
      <c r="L223" s="154">
        <v>3.4499999999999999E-3</v>
      </c>
      <c r="M223" s="154">
        <v>4.45E-3</v>
      </c>
      <c r="N223" s="137" cm="1">
        <f t="array" aca="1" ref="N223:AE223" ca="1">IF(OR(B223="",NOT($J$2)),"",GetStripDefaultProbability(A223,B223,Parameter_Date,CDSRollDate,E223:M223,SpreadCurveMaturities,D223,C223,$J$4,$J$6))</f>
        <v>0</v>
      </c>
      <c r="O223" s="155">
        <f ca="1"/>
        <v>0</v>
      </c>
      <c r="P223" s="155">
        <f ca="1"/>
        <v>9.0036598067866347E-4</v>
      </c>
      <c r="Q223" s="155">
        <f ca="1"/>
        <v>0</v>
      </c>
      <c r="R223" s="155">
        <f ca="1"/>
        <v>9.4459728325678727E-3</v>
      </c>
      <c r="S223" s="155">
        <f ca="1"/>
        <v>0</v>
      </c>
      <c r="T223" s="155">
        <f ca="1"/>
        <v>2.3886173546508793E-2</v>
      </c>
      <c r="U223" s="155">
        <f ca="1"/>
        <v>4.2093568088015565E-2</v>
      </c>
      <c r="V223" s="138">
        <f ca="1"/>
        <v>7.8319577297201959E-2</v>
      </c>
      <c r="W223" s="137">
        <f ca="1"/>
        <v>0</v>
      </c>
      <c r="X223" s="155">
        <f ca="1"/>
        <v>0</v>
      </c>
      <c r="Y223" s="155">
        <f ca="1"/>
        <v>1.0668687107463493E-3</v>
      </c>
      <c r="Z223" s="155">
        <f ca="1"/>
        <v>0</v>
      </c>
      <c r="AA223" s="155">
        <f ca="1"/>
        <v>9.9411260475397167E-3</v>
      </c>
      <c r="AB223" s="155">
        <f ca="1"/>
        <v>0</v>
      </c>
      <c r="AC223" s="155">
        <f ca="1"/>
        <v>2.4699262900926833E-2</v>
      </c>
      <c r="AD223" s="155">
        <f ca="1"/>
        <v>4.3235517821446412E-2</v>
      </c>
      <c r="AE223" s="138">
        <f ca="1"/>
        <v>7.9854431934164194E-2</v>
      </c>
      <c r="AI223" s="135"/>
      <c r="AK223" s="135"/>
      <c r="AM223" s="135"/>
      <c r="AN223" s="135"/>
      <c r="AO223" s="135"/>
      <c r="AR223" s="135"/>
      <c r="AT223" s="135"/>
      <c r="AV223" s="135"/>
      <c r="AW223" s="135"/>
      <c r="AX223" s="135"/>
    </row>
    <row r="224" spans="1:50" s="79" customFormat="1" ht="11.25">
      <c r="A224" s="96">
        <f t="shared" ca="1" si="5"/>
        <v>213</v>
      </c>
      <c r="B224" s="68" t="s">
        <v>301</v>
      </c>
      <c r="C224" s="97">
        <v>0.4</v>
      </c>
      <c r="D224" s="69" t="s">
        <v>67</v>
      </c>
      <c r="E224" s="136" t="s">
        <v>87</v>
      </c>
      <c r="F224" s="154" t="s">
        <v>87</v>
      </c>
      <c r="G224" s="154">
        <v>3.7399999999999998E-4</v>
      </c>
      <c r="H224" s="154" t="s">
        <v>87</v>
      </c>
      <c r="I224" s="154">
        <v>1.689E-3</v>
      </c>
      <c r="J224" s="154" t="s">
        <v>87</v>
      </c>
      <c r="K224" s="154">
        <v>2.6540000000000001E-3</v>
      </c>
      <c r="L224" s="154">
        <v>3.8119999999999999E-3</v>
      </c>
      <c r="M224" s="154">
        <v>5.0660000000000002E-3</v>
      </c>
      <c r="N224" s="137" cm="1">
        <f t="array" aca="1" ref="N224:AE224" ca="1">IF(OR(B224="",NOT($J$2)),"",GetStripDefaultProbability(A224,B224,Parameter_Date,CDSRollDate,E224:M224,SpreadCurveMaturities,D224,C224,$J$4,$J$6))</f>
        <v>0</v>
      </c>
      <c r="O224" s="155">
        <f ca="1"/>
        <v>0</v>
      </c>
      <c r="P224" s="155">
        <f ca="1"/>
        <v>6.6164403820745399E-4</v>
      </c>
      <c r="Q224" s="155">
        <f ca="1"/>
        <v>0</v>
      </c>
      <c r="R224" s="155">
        <f ca="1"/>
        <v>8.7907426649194154E-3</v>
      </c>
      <c r="S224" s="155">
        <f ca="1"/>
        <v>0</v>
      </c>
      <c r="T224" s="155">
        <f ca="1"/>
        <v>2.3111698766703825E-2</v>
      </c>
      <c r="U224" s="155">
        <f ca="1"/>
        <v>4.706259986654826E-2</v>
      </c>
      <c r="V224" s="138">
        <f ca="1"/>
        <v>8.981025916387908E-2</v>
      </c>
      <c r="W224" s="137">
        <f ca="1"/>
        <v>0</v>
      </c>
      <c r="X224" s="155">
        <f ca="1"/>
        <v>0</v>
      </c>
      <c r="Y224" s="155">
        <f ca="1"/>
        <v>8.2818655192351542E-4</v>
      </c>
      <c r="Z224" s="155">
        <f ca="1"/>
        <v>0</v>
      </c>
      <c r="AA224" s="155">
        <f ca="1"/>
        <v>9.2862234130961507E-3</v>
      </c>
      <c r="AB224" s="155">
        <f ca="1"/>
        <v>0</v>
      </c>
      <c r="AC224" s="155">
        <f ca="1"/>
        <v>2.3925433247956929E-2</v>
      </c>
      <c r="AD224" s="155">
        <f ca="1"/>
        <v>4.8199116951999521E-2</v>
      </c>
      <c r="AE224" s="138">
        <f ca="1"/>
        <v>9.1376989660833519E-2</v>
      </c>
      <c r="AI224" s="135"/>
      <c r="AK224" s="135"/>
      <c r="AM224" s="135"/>
      <c r="AN224" s="135"/>
      <c r="AO224" s="135"/>
      <c r="AR224" s="135"/>
      <c r="AT224" s="135"/>
      <c r="AV224" s="135"/>
      <c r="AW224" s="135"/>
      <c r="AX224" s="135"/>
    </row>
    <row r="225" spans="1:50" s="79" customFormat="1" ht="11.25">
      <c r="A225" s="96">
        <f t="shared" ca="1" si="5"/>
        <v>214</v>
      </c>
      <c r="B225" s="68" t="s">
        <v>302</v>
      </c>
      <c r="C225" s="97">
        <v>0.4</v>
      </c>
      <c r="D225" s="69" t="s">
        <v>67</v>
      </c>
      <c r="E225" s="136" t="s">
        <v>87</v>
      </c>
      <c r="F225" s="154" t="s">
        <v>87</v>
      </c>
      <c r="G225" s="154">
        <v>6.2200000000000005E-4</v>
      </c>
      <c r="H225" s="154" t="s">
        <v>87</v>
      </c>
      <c r="I225" s="154">
        <v>2.343E-3</v>
      </c>
      <c r="J225" s="154" t="s">
        <v>87</v>
      </c>
      <c r="K225" s="154">
        <v>3.2330000000000002E-3</v>
      </c>
      <c r="L225" s="154">
        <v>4.2170000000000003E-3</v>
      </c>
      <c r="M225" s="154">
        <v>5.1539999999999997E-3</v>
      </c>
      <c r="N225" s="137" cm="1">
        <f t="array" aca="1" ref="N225:AE225" ca="1">IF(OR(B225="",NOT($J$2)),"",GetStripDefaultProbability(A225,B225,Parameter_Date,CDSRollDate,E225:M225,SpreadCurveMaturities,D225,C225,$J$4,$J$6))</f>
        <v>0</v>
      </c>
      <c r="O225" s="155">
        <f ca="1"/>
        <v>0</v>
      </c>
      <c r="P225" s="155">
        <f ca="1"/>
        <v>1.1001415605869092E-3</v>
      </c>
      <c r="Q225" s="155">
        <f ca="1"/>
        <v>0</v>
      </c>
      <c r="R225" s="155">
        <f ca="1"/>
        <v>1.2166174842823785E-2</v>
      </c>
      <c r="S225" s="155">
        <f ca="1"/>
        <v>0</v>
      </c>
      <c r="T225" s="155">
        <f ca="1"/>
        <v>2.791870922698414E-2</v>
      </c>
      <c r="U225" s="155">
        <f ca="1"/>
        <v>5.1348685624912904E-2</v>
      </c>
      <c r="V225" s="138">
        <f ca="1"/>
        <v>8.9644313109081941E-2</v>
      </c>
      <c r="W225" s="137">
        <f ca="1"/>
        <v>0</v>
      </c>
      <c r="X225" s="155">
        <f ca="1"/>
        <v>0</v>
      </c>
      <c r="Y225" s="155">
        <f ca="1"/>
        <v>1.2666109974699413E-3</v>
      </c>
      <c r="Z225" s="155">
        <f ca="1"/>
        <v>0</v>
      </c>
      <c r="AA225" s="155">
        <f ca="1"/>
        <v>1.265996829676086E-2</v>
      </c>
      <c r="AB225" s="155">
        <f ca="1"/>
        <v>0</v>
      </c>
      <c r="AC225" s="155">
        <f ca="1"/>
        <v>2.8728439534797534E-2</v>
      </c>
      <c r="AD225" s="155">
        <f ca="1"/>
        <v>5.247929461042411E-2</v>
      </c>
      <c r="AE225" s="138">
        <f ca="1"/>
        <v>9.1160308906526155E-2</v>
      </c>
      <c r="AI225" s="135"/>
      <c r="AK225" s="135"/>
      <c r="AM225" s="135"/>
      <c r="AN225" s="135"/>
      <c r="AO225" s="135"/>
      <c r="AR225" s="135"/>
      <c r="AT225" s="135"/>
      <c r="AV225" s="135"/>
      <c r="AW225" s="135"/>
      <c r="AX225" s="135"/>
    </row>
    <row r="226" spans="1:50" s="79" customFormat="1" ht="11.25">
      <c r="A226" s="96">
        <f t="shared" ca="1" si="5"/>
        <v>215</v>
      </c>
      <c r="B226" s="68" t="s">
        <v>303</v>
      </c>
      <c r="C226" s="97">
        <v>0.4</v>
      </c>
      <c r="D226" s="69" t="s">
        <v>67</v>
      </c>
      <c r="E226" s="136" t="s">
        <v>87</v>
      </c>
      <c r="F226" s="154" t="s">
        <v>87</v>
      </c>
      <c r="G226" s="154">
        <v>7.2400000000000003E-4</v>
      </c>
      <c r="H226" s="154" t="s">
        <v>87</v>
      </c>
      <c r="I226" s="154">
        <v>1.5920000000000001E-3</v>
      </c>
      <c r="J226" s="154" t="s">
        <v>87</v>
      </c>
      <c r="K226" s="154">
        <v>2.5569999999999998E-3</v>
      </c>
      <c r="L226" s="154">
        <v>2.97E-3</v>
      </c>
      <c r="M226" s="154">
        <v>4.0010000000000002E-3</v>
      </c>
      <c r="N226" s="137" cm="1">
        <f t="array" aca="1" ref="N226:AE226" ca="1">IF(OR(B226="",NOT($J$2)),"",GetStripDefaultProbability(A226,B226,Parameter_Date,CDSRollDate,E226:M226,SpreadCurveMaturities,D226,C226,$J$4,$J$6))</f>
        <v>0</v>
      </c>
      <c r="O226" s="155">
        <f ca="1"/>
        <v>0</v>
      </c>
      <c r="P226" s="155">
        <f ca="1"/>
        <v>1.2804359084609418E-3</v>
      </c>
      <c r="Q226" s="155">
        <f ca="1"/>
        <v>0</v>
      </c>
      <c r="R226" s="155">
        <f ca="1"/>
        <v>8.2391538768908923E-3</v>
      </c>
      <c r="S226" s="155">
        <f ca="1"/>
        <v>0</v>
      </c>
      <c r="T226" s="155">
        <f ca="1"/>
        <v>2.2244871473414918E-2</v>
      </c>
      <c r="U226" s="155">
        <f ca="1"/>
        <v>3.6059440825184641E-2</v>
      </c>
      <c r="V226" s="138">
        <f ca="1"/>
        <v>7.0787481936383845E-2</v>
      </c>
      <c r="W226" s="137">
        <f ca="1"/>
        <v>0</v>
      </c>
      <c r="X226" s="155">
        <f ca="1"/>
        <v>0</v>
      </c>
      <c r="Y226" s="155">
        <f ca="1"/>
        <v>1.4468752987969458E-3</v>
      </c>
      <c r="Z226" s="155">
        <f ca="1"/>
        <v>0</v>
      </c>
      <c r="AA226" s="155">
        <f ca="1"/>
        <v>8.7349103505269809E-3</v>
      </c>
      <c r="AB226" s="155">
        <f ca="1"/>
        <v>0</v>
      </c>
      <c r="AC226" s="155">
        <f ca="1"/>
        <v>2.3059328009803592E-2</v>
      </c>
      <c r="AD226" s="155">
        <f ca="1"/>
        <v>3.7207995865250809E-2</v>
      </c>
      <c r="AE226" s="138">
        <f ca="1"/>
        <v>7.2334879610194136E-2</v>
      </c>
      <c r="AI226" s="135"/>
      <c r="AK226" s="135"/>
      <c r="AM226" s="135"/>
      <c r="AN226" s="135"/>
      <c r="AO226" s="135"/>
      <c r="AR226" s="135"/>
      <c r="AT226" s="135"/>
      <c r="AV226" s="135"/>
      <c r="AW226" s="135"/>
      <c r="AX226" s="135"/>
    </row>
    <row r="227" spans="1:50" s="79" customFormat="1" ht="11.25">
      <c r="A227" s="96">
        <f t="shared" ca="1" si="5"/>
        <v>216</v>
      </c>
      <c r="B227" s="68" t="s">
        <v>304</v>
      </c>
      <c r="C227" s="97">
        <v>0.4</v>
      </c>
      <c r="D227" s="69" t="s">
        <v>67</v>
      </c>
      <c r="E227" s="136" t="s">
        <v>87</v>
      </c>
      <c r="F227" s="154" t="s">
        <v>87</v>
      </c>
      <c r="G227" s="154">
        <v>4.4999999999999999E-4</v>
      </c>
      <c r="H227" s="154" t="s">
        <v>87</v>
      </c>
      <c r="I227" s="154">
        <v>1.158E-3</v>
      </c>
      <c r="J227" s="154" t="s">
        <v>87</v>
      </c>
      <c r="K227" s="154">
        <v>2.0270000000000002E-3</v>
      </c>
      <c r="L227" s="154">
        <v>2.6540000000000001E-3</v>
      </c>
      <c r="M227" s="154">
        <v>3.571E-3</v>
      </c>
      <c r="N227" s="137" cm="1">
        <f t="array" aca="1" ref="N227:AE227" ca="1">IF(OR(B227="",NOT($J$2)),"",GetStripDefaultProbability(A227,B227,Parameter_Date,CDSRollDate,E227:M227,SpreadCurveMaturities,D227,C227,$J$4,$J$6))</f>
        <v>0</v>
      </c>
      <c r="O227" s="155">
        <f ca="1"/>
        <v>0</v>
      </c>
      <c r="P227" s="155">
        <f ca="1"/>
        <v>7.9604261595100922E-4</v>
      </c>
      <c r="Q227" s="155">
        <f ca="1"/>
        <v>0</v>
      </c>
      <c r="R227" s="155">
        <f ca="1"/>
        <v>6.008199580844531E-3</v>
      </c>
      <c r="S227" s="155">
        <f ca="1"/>
        <v>0</v>
      </c>
      <c r="T227" s="155">
        <f ca="1"/>
        <v>1.7736457623759416E-2</v>
      </c>
      <c r="U227" s="155">
        <f ca="1"/>
        <v>3.271469234502733E-2</v>
      </c>
      <c r="V227" s="138">
        <f ca="1"/>
        <v>6.3786999463602112E-2</v>
      </c>
      <c r="W227" s="137">
        <f ca="1"/>
        <v>0</v>
      </c>
      <c r="X227" s="155">
        <f ca="1"/>
        <v>0</v>
      </c>
      <c r="Y227" s="155">
        <f ca="1"/>
        <v>9.6256273177741658E-4</v>
      </c>
      <c r="Z227" s="155">
        <f ca="1"/>
        <v>0</v>
      </c>
      <c r="AA227" s="155">
        <f ca="1"/>
        <v>6.5050712527661148E-3</v>
      </c>
      <c r="AB227" s="155">
        <f ca="1"/>
        <v>0</v>
      </c>
      <c r="AC227" s="155">
        <f ca="1"/>
        <v>1.8554669606752228E-2</v>
      </c>
      <c r="AD227" s="155">
        <f ca="1"/>
        <v>3.3867829900640078E-2</v>
      </c>
      <c r="AE227" s="138">
        <f ca="1"/>
        <v>6.5373964990318889E-2</v>
      </c>
      <c r="AI227" s="135"/>
      <c r="AK227" s="135"/>
      <c r="AM227" s="135"/>
      <c r="AN227" s="135"/>
      <c r="AO227" s="135"/>
      <c r="AR227" s="135"/>
      <c r="AT227" s="135"/>
      <c r="AV227" s="135"/>
      <c r="AW227" s="135"/>
      <c r="AX227" s="135"/>
    </row>
    <row r="228" spans="1:50" s="79" customFormat="1" ht="11.25">
      <c r="A228" s="96">
        <f t="shared" ca="1" si="5"/>
        <v>217</v>
      </c>
      <c r="B228" s="68" t="s">
        <v>305</v>
      </c>
      <c r="C228" s="97">
        <v>0.4</v>
      </c>
      <c r="D228" s="69" t="s">
        <v>67</v>
      </c>
      <c r="E228" s="136" t="s">
        <v>87</v>
      </c>
      <c r="F228" s="154" t="s">
        <v>87</v>
      </c>
      <c r="G228" s="154">
        <v>5.31E-4</v>
      </c>
      <c r="H228" s="154" t="s">
        <v>87</v>
      </c>
      <c r="I228" s="154">
        <v>1.6410000000000001E-3</v>
      </c>
      <c r="J228" s="154" t="s">
        <v>87</v>
      </c>
      <c r="K228" s="154">
        <v>2.6540000000000001E-3</v>
      </c>
      <c r="L228" s="154">
        <v>3.764E-3</v>
      </c>
      <c r="M228" s="154">
        <v>4.8250000000000003E-3</v>
      </c>
      <c r="N228" s="137" cm="1">
        <f t="array" aca="1" ref="N228:AE228" ca="1">IF(OR(B228="",NOT($J$2)),"",GetStripDefaultProbability(A228,B228,Parameter_Date,CDSRollDate,E228:M228,SpreadCurveMaturities,D228,C228,$J$4,$J$6))</f>
        <v>0</v>
      </c>
      <c r="O228" s="155">
        <f ca="1"/>
        <v>0</v>
      </c>
      <c r="P228" s="155">
        <f ca="1"/>
        <v>9.3926345047601334E-4</v>
      </c>
      <c r="Q228" s="155">
        <f ca="1"/>
        <v>0</v>
      </c>
      <c r="R228" s="155">
        <f ca="1"/>
        <v>8.51987665061682E-3</v>
      </c>
      <c r="S228" s="155">
        <f ca="1"/>
        <v>0</v>
      </c>
      <c r="T228" s="155">
        <f ca="1"/>
        <v>2.3117722822754039E-2</v>
      </c>
      <c r="U228" s="155">
        <f ca="1"/>
        <v>4.6435918012455168E-2</v>
      </c>
      <c r="V228" s="138">
        <f ca="1"/>
        <v>8.5223673892314666E-2</v>
      </c>
      <c r="W228" s="137">
        <f ca="1"/>
        <v>0</v>
      </c>
      <c r="X228" s="155">
        <f ca="1"/>
        <v>0</v>
      </c>
      <c r="Y228" s="155">
        <f ca="1"/>
        <v>1.1057596981427498E-3</v>
      </c>
      <c r="Z228" s="155">
        <f ca="1"/>
        <v>0</v>
      </c>
      <c r="AA228" s="155">
        <f ca="1"/>
        <v>9.0154927979652077E-3</v>
      </c>
      <c r="AB228" s="155">
        <f ca="1"/>
        <v>0</v>
      </c>
      <c r="AC228" s="155">
        <f ca="1"/>
        <v>2.3931452286053534E-2</v>
      </c>
      <c r="AD228" s="155">
        <f ca="1"/>
        <v>4.7573199051571091E-2</v>
      </c>
      <c r="AE228" s="138">
        <f ca="1"/>
        <v>8.6747031285324683E-2</v>
      </c>
      <c r="AI228" s="135"/>
      <c r="AK228" s="135"/>
      <c r="AM228" s="135"/>
      <c r="AN228" s="135"/>
      <c r="AO228" s="135"/>
      <c r="AR228" s="135"/>
      <c r="AT228" s="135"/>
      <c r="AV228" s="135"/>
      <c r="AW228" s="135"/>
      <c r="AX228" s="135"/>
    </row>
    <row r="229" spans="1:50" s="79" customFormat="1" ht="11.25">
      <c r="A229" s="96">
        <f t="shared" ca="1" si="5"/>
        <v>218</v>
      </c>
      <c r="B229" s="68" t="s">
        <v>306</v>
      </c>
      <c r="C229" s="97">
        <v>0.4</v>
      </c>
      <c r="D229" s="69" t="s">
        <v>67</v>
      </c>
      <c r="E229" s="136" t="s">
        <v>87</v>
      </c>
      <c r="F229" s="154" t="s">
        <v>87</v>
      </c>
      <c r="G229" s="154">
        <v>1.544E-3</v>
      </c>
      <c r="H229" s="154" t="s">
        <v>87</v>
      </c>
      <c r="I229" s="154">
        <v>2.2200000000000002E-3</v>
      </c>
      <c r="J229" s="154" t="s">
        <v>87</v>
      </c>
      <c r="K229" s="154">
        <v>2.9919999999999999E-3</v>
      </c>
      <c r="L229" s="154">
        <v>3.9569999999999996E-3</v>
      </c>
      <c r="M229" s="154">
        <v>5.2110000000000004E-3</v>
      </c>
      <c r="N229" s="137" cm="1">
        <f t="array" aca="1" ref="N229:AE229" ca="1">IF(OR(B229="",NOT($J$2)),"",GetStripDefaultProbability(A229,B229,Parameter_Date,CDSRollDate,E229:M229,SpreadCurveMaturities,D229,C229,$J$4,$J$6))</f>
        <v>0</v>
      </c>
      <c r="O229" s="155">
        <f ca="1"/>
        <v>0</v>
      </c>
      <c r="P229" s="155">
        <f ca="1"/>
        <v>2.7286881883599179E-3</v>
      </c>
      <c r="Q229" s="155">
        <f ca="1"/>
        <v>0</v>
      </c>
      <c r="R229" s="155">
        <f ca="1"/>
        <v>1.1403691284208373E-2</v>
      </c>
      <c r="S229" s="155">
        <f ca="1"/>
        <v>0</v>
      </c>
      <c r="T229" s="155">
        <f ca="1"/>
        <v>2.5697980613623939E-2</v>
      </c>
      <c r="U229" s="155">
        <f ca="1"/>
        <v>4.8138058631414404E-2</v>
      </c>
      <c r="V229" s="138">
        <f ca="1"/>
        <v>9.1490484268135663E-2</v>
      </c>
      <c r="W229" s="137">
        <f ca="1"/>
        <v>0</v>
      </c>
      <c r="X229" s="155">
        <f ca="1"/>
        <v>0</v>
      </c>
      <c r="Y229" s="155">
        <f ca="1"/>
        <v>2.894886223431925E-3</v>
      </c>
      <c r="Z229" s="155">
        <f ca="1"/>
        <v>0</v>
      </c>
      <c r="AA229" s="155">
        <f ca="1"/>
        <v>1.189786588464814E-2</v>
      </c>
      <c r="AB229" s="155">
        <f ca="1"/>
        <v>0</v>
      </c>
      <c r="AC229" s="155">
        <f ca="1"/>
        <v>2.6509560757772221E-2</v>
      </c>
      <c r="AD229" s="155">
        <f ca="1"/>
        <v>4.9271907935372283E-2</v>
      </c>
      <c r="AE229" s="138">
        <f ca="1"/>
        <v>9.3052219677930093E-2</v>
      </c>
      <c r="AI229" s="135"/>
      <c r="AK229" s="135"/>
      <c r="AM229" s="135"/>
      <c r="AN229" s="135"/>
      <c r="AO229" s="135"/>
      <c r="AR229" s="135"/>
      <c r="AT229" s="135"/>
      <c r="AV229" s="135"/>
      <c r="AW229" s="135"/>
      <c r="AX229" s="135"/>
    </row>
    <row r="230" spans="1:50" s="79" customFormat="1" ht="11.25">
      <c r="A230" s="96">
        <f t="shared" ca="1" si="5"/>
        <v>219</v>
      </c>
      <c r="B230" s="68" t="s">
        <v>307</v>
      </c>
      <c r="C230" s="97">
        <v>0.4</v>
      </c>
      <c r="D230" s="69" t="s">
        <v>67</v>
      </c>
      <c r="E230" s="136" t="s">
        <v>87</v>
      </c>
      <c r="F230" s="154" t="s">
        <v>87</v>
      </c>
      <c r="G230" s="154">
        <v>9.8799999999999995E-4</v>
      </c>
      <c r="H230" s="154" t="s">
        <v>87</v>
      </c>
      <c r="I230" s="154">
        <v>2.0430000000000001E-3</v>
      </c>
      <c r="J230" s="154" t="s">
        <v>87</v>
      </c>
      <c r="K230" s="154">
        <v>3.0400000000000002E-3</v>
      </c>
      <c r="L230" s="154">
        <v>3.9370000000000004E-3</v>
      </c>
      <c r="M230" s="154">
        <v>4.9329999999999999E-3</v>
      </c>
      <c r="N230" s="137" cm="1">
        <f t="array" aca="1" ref="N230:AE230" ca="1">IF(OR(B230="",NOT($J$2)),"",GetStripDefaultProbability(A230,B230,Parameter_Date,CDSRollDate,E230:M230,SpreadCurveMaturities,D230,C230,$J$4,$J$6))</f>
        <v>0</v>
      </c>
      <c r="O230" s="155">
        <f ca="1"/>
        <v>0</v>
      </c>
      <c r="P230" s="155">
        <f ca="1"/>
        <v>1.7469301338300935E-3</v>
      </c>
      <c r="Q230" s="155">
        <f ca="1"/>
        <v>0</v>
      </c>
      <c r="R230" s="155">
        <f ca="1"/>
        <v>1.0555688670736085E-2</v>
      </c>
      <c r="S230" s="155">
        <f ca="1"/>
        <v>0</v>
      </c>
      <c r="T230" s="155">
        <f ca="1"/>
        <v>2.6305033062577921E-2</v>
      </c>
      <c r="U230" s="155">
        <f ca="1"/>
        <v>4.8001459027134596E-2</v>
      </c>
      <c r="V230" s="138">
        <f ca="1"/>
        <v>8.6254061741295018E-2</v>
      </c>
      <c r="W230" s="137">
        <f ca="1"/>
        <v>0</v>
      </c>
      <c r="X230" s="155">
        <f ca="1"/>
        <v>0</v>
      </c>
      <c r="Y230" s="155">
        <f ca="1"/>
        <v>1.9132917816381267E-3</v>
      </c>
      <c r="Z230" s="155">
        <f ca="1"/>
        <v>0</v>
      </c>
      <c r="AA230" s="155">
        <f ca="1"/>
        <v>1.1050287166443629E-2</v>
      </c>
      <c r="AB230" s="155">
        <f ca="1"/>
        <v>0</v>
      </c>
      <c r="AC230" s="155">
        <f ca="1"/>
        <v>2.7116107540373413E-2</v>
      </c>
      <c r="AD230" s="155">
        <f ca="1"/>
        <v>4.9136222291973564E-2</v>
      </c>
      <c r="AE230" s="138">
        <f ca="1"/>
        <v>8.7775703251588899E-2</v>
      </c>
      <c r="AI230" s="135"/>
      <c r="AK230" s="135"/>
      <c r="AM230" s="135"/>
      <c r="AN230" s="135"/>
      <c r="AO230" s="135"/>
      <c r="AR230" s="135"/>
      <c r="AT230" s="135"/>
      <c r="AV230" s="135"/>
      <c r="AW230" s="135"/>
      <c r="AX230" s="135"/>
    </row>
    <row r="231" spans="1:50" s="79" customFormat="1" ht="11.25">
      <c r="A231" s="96">
        <f t="shared" ca="1" si="5"/>
        <v>220</v>
      </c>
      <c r="B231" s="68" t="s">
        <v>308</v>
      </c>
      <c r="C231" s="97">
        <v>0.4</v>
      </c>
      <c r="D231" s="69" t="s">
        <v>67</v>
      </c>
      <c r="E231" s="136" t="s">
        <v>87</v>
      </c>
      <c r="F231" s="154" t="s">
        <v>87</v>
      </c>
      <c r="G231" s="154">
        <v>3.7787000000000001E-2</v>
      </c>
      <c r="H231" s="154" t="s">
        <v>87</v>
      </c>
      <c r="I231" s="154">
        <v>3.7137000000000003E-2</v>
      </c>
      <c r="J231" s="154" t="s">
        <v>87</v>
      </c>
      <c r="K231" s="154">
        <v>3.2376000000000002E-2</v>
      </c>
      <c r="L231" s="154">
        <v>2.9519E-2</v>
      </c>
      <c r="M231" s="154">
        <v>2.8091000000000001E-2</v>
      </c>
      <c r="N231" s="137" cm="1">
        <f t="array" aca="1" ref="N231:AE231" ca="1">IF(OR(B231="",NOT($J$2)),"",GetStripDefaultProbability(A231,B231,Parameter_Date,CDSRollDate,E231:M231,SpreadCurveMaturities,D231,C231,$J$4,$J$6))</f>
        <v>0</v>
      </c>
      <c r="O231" s="155">
        <f ca="1"/>
        <v>0</v>
      </c>
      <c r="P231" s="155">
        <f ca="1"/>
        <v>6.4682171021927748E-2</v>
      </c>
      <c r="Q231" s="155">
        <f ca="1"/>
        <v>0</v>
      </c>
      <c r="R231" s="155">
        <f ca="1"/>
        <v>0.17315456663047035</v>
      </c>
      <c r="S231" s="155">
        <f ca="1"/>
        <v>0</v>
      </c>
      <c r="T231" s="155">
        <f ca="1"/>
        <v>0.2346706993005212</v>
      </c>
      <c r="U231" s="155">
        <f ca="1"/>
        <v>0.28297329465656851</v>
      </c>
      <c r="V231" s="138">
        <f ca="1"/>
        <v>0.36055516865911674</v>
      </c>
      <c r="W231" s="137">
        <f ca="1"/>
        <v>0</v>
      </c>
      <c r="X231" s="155">
        <f ca="1"/>
        <v>0</v>
      </c>
      <c r="Y231" s="155">
        <f ca="1"/>
        <v>6.4838044336959388E-2</v>
      </c>
      <c r="Z231" s="155">
        <f ca="1"/>
        <v>0</v>
      </c>
      <c r="AA231" s="155">
        <f ca="1"/>
        <v>0.17356788600871198</v>
      </c>
      <c r="AB231" s="155">
        <f ca="1"/>
        <v>0</v>
      </c>
      <c r="AC231" s="155">
        <f ca="1"/>
        <v>0.23530820805222363</v>
      </c>
      <c r="AD231" s="155">
        <f ca="1"/>
        <v>0.28380933802603214</v>
      </c>
      <c r="AE231" s="138">
        <f ca="1"/>
        <v>0.36162002242003044</v>
      </c>
      <c r="AI231" s="135"/>
      <c r="AK231" s="135"/>
      <c r="AM231" s="135"/>
      <c r="AN231" s="135"/>
      <c r="AO231" s="135"/>
      <c r="AR231" s="135"/>
      <c r="AT231" s="135"/>
      <c r="AV231" s="135"/>
      <c r="AW231" s="135"/>
      <c r="AX231" s="135"/>
    </row>
    <row r="232" spans="1:50" s="79" customFormat="1" ht="11.25">
      <c r="A232" s="96">
        <f t="shared" ca="1" si="5"/>
        <v>221</v>
      </c>
      <c r="B232" s="68" t="s">
        <v>309</v>
      </c>
      <c r="C232" s="97">
        <v>0.4</v>
      </c>
      <c r="D232" s="69" t="s">
        <v>67</v>
      </c>
      <c r="E232" s="136" t="s">
        <v>87</v>
      </c>
      <c r="F232" s="154" t="s">
        <v>87</v>
      </c>
      <c r="G232" s="154">
        <v>1.098E-3</v>
      </c>
      <c r="H232" s="154" t="s">
        <v>87</v>
      </c>
      <c r="I232" s="154">
        <v>2.1949999999999999E-3</v>
      </c>
      <c r="J232" s="154" t="s">
        <v>87</v>
      </c>
      <c r="K232" s="154">
        <v>4.3909999999999999E-3</v>
      </c>
      <c r="L232" s="154">
        <v>5.6239999999999997E-3</v>
      </c>
      <c r="M232" s="154">
        <v>6.9069999999999999E-3</v>
      </c>
      <c r="N232" s="137" cm="1">
        <f t="array" aca="1" ref="N232:AE232" ca="1">IF(OR(B232="",NOT($J$2)),"",GetStripDefaultProbability(A232,B232,Parameter_Date,CDSRollDate,E232:M232,SpreadCurveMaturities,D232,C232,$J$4,$J$6))</f>
        <v>0</v>
      </c>
      <c r="O232" s="155">
        <f ca="1"/>
        <v>0</v>
      </c>
      <c r="P232" s="155">
        <f ca="1"/>
        <v>1.9412389014504816E-3</v>
      </c>
      <c r="Q232" s="155">
        <f ca="1"/>
        <v>0</v>
      </c>
      <c r="R232" s="155">
        <f ca="1"/>
        <v>1.1332622884813959E-2</v>
      </c>
      <c r="S232" s="155">
        <f ca="1"/>
        <v>0</v>
      </c>
      <c r="T232" s="155">
        <f ca="1"/>
        <v>3.8324787445172537E-2</v>
      </c>
      <c r="U232" s="155">
        <f ca="1"/>
        <v>6.8493168813269945E-2</v>
      </c>
      <c r="V232" s="138">
        <f ca="1"/>
        <v>0.1192755245551258</v>
      </c>
      <c r="W232" s="137">
        <f ca="1"/>
        <v>0</v>
      </c>
      <c r="X232" s="155">
        <f ca="1"/>
        <v>0</v>
      </c>
      <c r="Y232" s="155">
        <f ca="1"/>
        <v>2.1075681671435254E-3</v>
      </c>
      <c r="Z232" s="155">
        <f ca="1"/>
        <v>0</v>
      </c>
      <c r="AA232" s="155">
        <f ca="1"/>
        <v>1.1826833010570748E-2</v>
      </c>
      <c r="AB232" s="155">
        <f ca="1"/>
        <v>0</v>
      </c>
      <c r="AC232" s="155">
        <f ca="1"/>
        <v>3.9125849633374288E-2</v>
      </c>
      <c r="AD232" s="155">
        <f ca="1"/>
        <v>6.9604115770184549E-2</v>
      </c>
      <c r="AE232" s="138">
        <f ca="1"/>
        <v>0.12079700586851949</v>
      </c>
      <c r="AI232" s="135"/>
      <c r="AK232" s="135"/>
      <c r="AM232" s="135"/>
      <c r="AN232" s="135"/>
      <c r="AO232" s="135"/>
      <c r="AR232" s="135"/>
      <c r="AT232" s="135"/>
      <c r="AV232" s="135"/>
      <c r="AW232" s="135"/>
      <c r="AX232" s="135"/>
    </row>
    <row r="233" spans="1:50" s="79" customFormat="1" ht="11.25">
      <c r="A233" s="96">
        <f t="shared" ca="1" si="5"/>
        <v>222</v>
      </c>
      <c r="B233" s="68" t="s">
        <v>310</v>
      </c>
      <c r="C233" s="97">
        <v>0.4</v>
      </c>
      <c r="D233" s="69" t="s">
        <v>67</v>
      </c>
      <c r="E233" s="136" t="s">
        <v>87</v>
      </c>
      <c r="F233" s="154" t="s">
        <v>87</v>
      </c>
      <c r="G233" s="154">
        <v>0.128667</v>
      </c>
      <c r="H233" s="154" t="s">
        <v>87</v>
      </c>
      <c r="I233" s="154">
        <v>9.0311000000000002E-2</v>
      </c>
      <c r="J233" s="154" t="s">
        <v>87</v>
      </c>
      <c r="K233" s="154">
        <v>6.6102999999999995E-2</v>
      </c>
      <c r="L233" s="154">
        <v>6.0176E-2</v>
      </c>
      <c r="M233" s="154">
        <v>5.4705999999999998E-2</v>
      </c>
      <c r="N233" s="137" cm="1">
        <f t="array" aca="1" ref="N233:AE233" ca="1">IF(OR(B233="",NOT($J$2)),"",GetStripDefaultProbability(A233,B233,Parameter_Date,CDSRollDate,E233:M233,SpreadCurveMaturities,D233,C233,$J$4,$J$6))</f>
        <v>0</v>
      </c>
      <c r="O233" s="155">
        <f ca="1"/>
        <v>0</v>
      </c>
      <c r="P233" s="155">
        <f ca="1"/>
        <v>0.20361981732748846</v>
      </c>
      <c r="Q233" s="155">
        <f ca="1"/>
        <v>0</v>
      </c>
      <c r="R233" s="155">
        <f ca="1"/>
        <v>0.35616820359194923</v>
      </c>
      <c r="S233" s="155">
        <f ca="1"/>
        <v>0</v>
      </c>
      <c r="T233" s="155">
        <f ca="1"/>
        <v>0.38659099055166934</v>
      </c>
      <c r="U233" s="155">
        <f ca="1"/>
        <v>0.45951897561378219</v>
      </c>
      <c r="V233" s="138">
        <f ca="1"/>
        <v>0.53950320345734304</v>
      </c>
      <c r="W233" s="137">
        <f ca="1"/>
        <v>0</v>
      </c>
      <c r="X233" s="155">
        <f ca="1"/>
        <v>0</v>
      </c>
      <c r="Y233" s="155">
        <f ca="1"/>
        <v>0.20375253629770429</v>
      </c>
      <c r="Z233" s="155">
        <f ca="1"/>
        <v>0</v>
      </c>
      <c r="AA233" s="155">
        <f ca="1"/>
        <v>0.35649003902457399</v>
      </c>
      <c r="AB233" s="155">
        <f ca="1"/>
        <v>0</v>
      </c>
      <c r="AC233" s="155">
        <f ca="1"/>
        <v>0.38705594804663801</v>
      </c>
      <c r="AD233" s="155">
        <f ca="1"/>
        <v>0.46008763290491772</v>
      </c>
      <c r="AE233" s="138">
        <f ca="1"/>
        <v>0.54017815192813645</v>
      </c>
      <c r="AI233" s="135"/>
      <c r="AK233" s="135"/>
      <c r="AM233" s="135"/>
      <c r="AN233" s="135"/>
      <c r="AO233" s="135"/>
      <c r="AR233" s="135"/>
      <c r="AT233" s="135"/>
      <c r="AV233" s="135"/>
      <c r="AW233" s="135"/>
      <c r="AX233" s="135"/>
    </row>
    <row r="234" spans="1:50" s="79" customFormat="1" ht="11.25">
      <c r="A234" s="96">
        <f t="shared" ca="1" si="5"/>
        <v>223</v>
      </c>
      <c r="B234" s="68" t="s">
        <v>311</v>
      </c>
      <c r="C234" s="97">
        <v>0.4</v>
      </c>
      <c r="D234" s="69" t="s">
        <v>67</v>
      </c>
      <c r="E234" s="136" t="s">
        <v>87</v>
      </c>
      <c r="F234" s="154" t="s">
        <v>87</v>
      </c>
      <c r="G234" s="154">
        <v>5.6700000000000001E-4</v>
      </c>
      <c r="H234" s="154" t="s">
        <v>87</v>
      </c>
      <c r="I234" s="154">
        <v>1.255E-3</v>
      </c>
      <c r="J234" s="154" t="s">
        <v>87</v>
      </c>
      <c r="K234" s="154">
        <v>2.0270000000000002E-3</v>
      </c>
      <c r="L234" s="154">
        <v>2.7499999999999998E-3</v>
      </c>
      <c r="M234" s="154">
        <v>3.6670000000000001E-3</v>
      </c>
      <c r="N234" s="137" cm="1">
        <f t="array" aca="1" ref="N234:AE234" ca="1">IF(OR(B234="",NOT($J$2)),"",GetStripDefaultProbability(A234,B234,Parameter_Date,CDSRollDate,E234:M234,SpreadCurveMaturities,D234,C234,$J$4,$J$6))</f>
        <v>0</v>
      </c>
      <c r="O234" s="155">
        <f ca="1"/>
        <v>0</v>
      </c>
      <c r="P234" s="155">
        <f ca="1"/>
        <v>1.0029106128022214E-3</v>
      </c>
      <c r="Q234" s="155">
        <f ca="1"/>
        <v>0</v>
      </c>
      <c r="R234" s="155">
        <f ca="1"/>
        <v>6.5000412501730054E-3</v>
      </c>
      <c r="S234" s="155">
        <f ca="1"/>
        <v>0</v>
      </c>
      <c r="T234" s="155">
        <f ca="1"/>
        <v>1.7667561551196087E-2</v>
      </c>
      <c r="U234" s="155">
        <f ca="1"/>
        <v>3.3917376820924772E-2</v>
      </c>
      <c r="V234" s="138">
        <f ca="1"/>
        <v>6.5419343858823531E-2</v>
      </c>
      <c r="W234" s="137">
        <f ca="1"/>
        <v>0</v>
      </c>
      <c r="X234" s="155">
        <f ca="1"/>
        <v>0</v>
      </c>
      <c r="Y234" s="155">
        <f ca="1"/>
        <v>1.1693962535024305E-3</v>
      </c>
      <c r="Z234" s="155">
        <f ca="1"/>
        <v>0</v>
      </c>
      <c r="AA234" s="155">
        <f ca="1"/>
        <v>6.9966670627252814E-3</v>
      </c>
      <c r="AB234" s="155">
        <f ca="1"/>
        <v>0</v>
      </c>
      <c r="AC234" s="155">
        <f ca="1"/>
        <v>1.8485830923668733E-2</v>
      </c>
      <c r="AD234" s="155">
        <f ca="1"/>
        <v>3.5069019496243858E-2</v>
      </c>
      <c r="AE234" s="138">
        <f ca="1"/>
        <v>6.7003438674414273E-2</v>
      </c>
      <c r="AI234" s="135"/>
      <c r="AK234" s="135"/>
      <c r="AM234" s="135"/>
      <c r="AN234" s="135"/>
      <c r="AO234" s="135"/>
      <c r="AR234" s="135"/>
      <c r="AT234" s="135"/>
      <c r="AV234" s="135"/>
      <c r="AW234" s="135"/>
      <c r="AX234" s="135"/>
    </row>
    <row r="235" spans="1:50" s="79" customFormat="1" ht="11.25">
      <c r="A235" s="96">
        <f t="shared" ca="1" si="5"/>
        <v>224</v>
      </c>
      <c r="B235" s="68" t="s">
        <v>312</v>
      </c>
      <c r="C235" s="97">
        <v>0.4</v>
      </c>
      <c r="D235" s="69" t="s">
        <v>67</v>
      </c>
      <c r="E235" s="136" t="s">
        <v>87</v>
      </c>
      <c r="F235" s="154" t="s">
        <v>87</v>
      </c>
      <c r="G235" s="154">
        <v>7.6000000000000004E-4</v>
      </c>
      <c r="H235" s="154" t="s">
        <v>87</v>
      </c>
      <c r="I235" s="154">
        <v>2.075E-3</v>
      </c>
      <c r="J235" s="154" t="s">
        <v>87</v>
      </c>
      <c r="K235" s="154">
        <v>2.702E-3</v>
      </c>
      <c r="L235" s="154">
        <v>3.6189999999999998E-3</v>
      </c>
      <c r="M235" s="154">
        <v>4.6800000000000001E-3</v>
      </c>
      <c r="N235" s="137" cm="1">
        <f t="array" aca="1" ref="N235:AE235" ca="1">IF(OR(B235="",NOT($J$2)),"",GetStripDefaultProbability(A235,B235,Parameter_Date,CDSRollDate,E235:M235,SpreadCurveMaturities,D235,C235,$J$4,$J$6))</f>
        <v>0</v>
      </c>
      <c r="O235" s="155">
        <f ca="1"/>
        <v>0</v>
      </c>
      <c r="P235" s="155">
        <f ca="1"/>
        <v>1.3440614954148833E-3</v>
      </c>
      <c r="Q235" s="155">
        <f ca="1"/>
        <v>0</v>
      </c>
      <c r="R235" s="155">
        <f ca="1"/>
        <v>1.0752419271939817E-2</v>
      </c>
      <c r="S235" s="155">
        <f ca="1"/>
        <v>0</v>
      </c>
      <c r="T235" s="155">
        <f ca="1"/>
        <v>2.3275509783889259E-2</v>
      </c>
      <c r="U235" s="155">
        <f ca="1"/>
        <v>4.4192514070765521E-2</v>
      </c>
      <c r="V235" s="138">
        <f ca="1"/>
        <v>8.234987230696178E-2</v>
      </c>
      <c r="W235" s="137">
        <f ca="1"/>
        <v>0</v>
      </c>
      <c r="X235" s="155">
        <f ca="1"/>
        <v>0</v>
      </c>
      <c r="Y235" s="155">
        <f ca="1"/>
        <v>1.5104902823799282E-3</v>
      </c>
      <c r="Z235" s="155">
        <f ca="1"/>
        <v>0</v>
      </c>
      <c r="AA235" s="155">
        <f ca="1"/>
        <v>1.1246919426960766E-2</v>
      </c>
      <c r="AB235" s="155">
        <f ca="1"/>
        <v>0</v>
      </c>
      <c r="AC235" s="155">
        <f ca="1"/>
        <v>2.4089107812776622E-2</v>
      </c>
      <c r="AD235" s="155">
        <f ca="1"/>
        <v>4.5331415333917491E-2</v>
      </c>
      <c r="AE235" s="138">
        <f ca="1"/>
        <v>8.387801538015871E-2</v>
      </c>
      <c r="AI235" s="135"/>
      <c r="AK235" s="135"/>
      <c r="AM235" s="135"/>
      <c r="AN235" s="135"/>
      <c r="AO235" s="135"/>
      <c r="AR235" s="135"/>
      <c r="AT235" s="135"/>
      <c r="AV235" s="135"/>
      <c r="AW235" s="135"/>
      <c r="AX235" s="135"/>
    </row>
    <row r="236" spans="1:50" s="79" customFormat="1" ht="11.25">
      <c r="A236" s="96">
        <f t="shared" ca="1" si="5"/>
        <v>225</v>
      </c>
      <c r="B236" s="68" t="s">
        <v>313</v>
      </c>
      <c r="C236" s="97">
        <v>0.4</v>
      </c>
      <c r="D236" s="69" t="s">
        <v>67</v>
      </c>
      <c r="E236" s="136" t="s">
        <v>87</v>
      </c>
      <c r="F236" s="154" t="s">
        <v>87</v>
      </c>
      <c r="G236" s="154">
        <v>1.158E-3</v>
      </c>
      <c r="H236" s="154" t="s">
        <v>87</v>
      </c>
      <c r="I236" s="154">
        <v>3.3089999999999999E-3</v>
      </c>
      <c r="J236" s="154" t="s">
        <v>87</v>
      </c>
      <c r="K236" s="154">
        <v>4.6319999999999998E-3</v>
      </c>
      <c r="L236" s="154">
        <v>6.097E-3</v>
      </c>
      <c r="M236" s="154">
        <v>7.515E-3</v>
      </c>
      <c r="N236" s="137" cm="1">
        <f t="array" aca="1" ref="N236:AE236" ca="1">IF(OR(B236="",NOT($J$2)),"",GetStripDefaultProbability(A236,B236,Parameter_Date,CDSRollDate,E236:M236,SpreadCurveMaturities,D236,C236,$J$4,$J$6))</f>
        <v>0</v>
      </c>
      <c r="O236" s="155">
        <f ca="1"/>
        <v>0</v>
      </c>
      <c r="P236" s="155">
        <f ca="1"/>
        <v>2.0472096832687692E-3</v>
      </c>
      <c r="Q236" s="155">
        <f ca="1"/>
        <v>0</v>
      </c>
      <c r="R236" s="155">
        <f ca="1"/>
        <v>1.7112593150550914E-2</v>
      </c>
      <c r="S236" s="155">
        <f ca="1"/>
        <v>0</v>
      </c>
      <c r="T236" s="155">
        <f ca="1"/>
        <v>3.981032688487296E-2</v>
      </c>
      <c r="U236" s="155">
        <f ca="1"/>
        <v>7.3694287737881337E-2</v>
      </c>
      <c r="V236" s="138">
        <f ca="1"/>
        <v>0.12893179944393263</v>
      </c>
      <c r="W236" s="137">
        <f ca="1"/>
        <v>0</v>
      </c>
      <c r="X236" s="155">
        <f ca="1"/>
        <v>0</v>
      </c>
      <c r="Y236" s="155">
        <f ca="1"/>
        <v>2.2135212886533751E-3</v>
      </c>
      <c r="Z236" s="155">
        <f ca="1"/>
        <v>0</v>
      </c>
      <c r="AA236" s="155">
        <f ca="1"/>
        <v>1.7603914013561872E-2</v>
      </c>
      <c r="AB236" s="155">
        <f ca="1"/>
        <v>0</v>
      </c>
      <c r="AC236" s="155">
        <f ca="1"/>
        <v>4.0610151639186576E-2</v>
      </c>
      <c r="AD236" s="155">
        <f ca="1"/>
        <v>7.477434757807222E-2</v>
      </c>
      <c r="AE236" s="138">
        <f ca="1"/>
        <v>0.1304424942307133</v>
      </c>
      <c r="AI236" s="135"/>
      <c r="AK236" s="135"/>
      <c r="AM236" s="135"/>
      <c r="AN236" s="135"/>
      <c r="AO236" s="135"/>
      <c r="AR236" s="135"/>
      <c r="AT236" s="135"/>
      <c r="AV236" s="135"/>
      <c r="AW236" s="135"/>
      <c r="AX236" s="135"/>
    </row>
    <row r="237" spans="1:50" s="79" customFormat="1" ht="11.25">
      <c r="A237" s="96">
        <f t="shared" ca="1" si="5"/>
        <v>226</v>
      </c>
      <c r="B237" s="68" t="s">
        <v>314</v>
      </c>
      <c r="C237" s="97">
        <v>0.4</v>
      </c>
      <c r="D237" s="69" t="s">
        <v>67</v>
      </c>
      <c r="E237" s="136" t="s">
        <v>87</v>
      </c>
      <c r="F237" s="154" t="s">
        <v>87</v>
      </c>
      <c r="G237" s="154">
        <v>1.062E-3</v>
      </c>
      <c r="H237" s="154" t="s">
        <v>87</v>
      </c>
      <c r="I237" s="154">
        <v>1.9780000000000002E-3</v>
      </c>
      <c r="J237" s="154" t="s">
        <v>87</v>
      </c>
      <c r="K237" s="154">
        <v>3.088E-3</v>
      </c>
      <c r="L237" s="154">
        <v>3.764E-3</v>
      </c>
      <c r="M237" s="154">
        <v>5.4039999999999999E-3</v>
      </c>
      <c r="N237" s="137" cm="1">
        <f t="array" aca="1" ref="N237:AE237" ca="1">IF(OR(B237="",NOT($J$2)),"",GetStripDefaultProbability(A237,B237,Parameter_Date,CDSRollDate,E237:M237,SpreadCurveMaturities,D237,C237,$J$4,$J$6))</f>
        <v>0</v>
      </c>
      <c r="O237" s="155">
        <f ca="1"/>
        <v>0</v>
      </c>
      <c r="P237" s="155">
        <f ca="1"/>
        <v>1.8776510729607843E-3</v>
      </c>
      <c r="Q237" s="155">
        <f ca="1"/>
        <v>0</v>
      </c>
      <c r="R237" s="155">
        <f ca="1"/>
        <v>1.0207374844423689E-2</v>
      </c>
      <c r="S237" s="155">
        <f ca="1"/>
        <v>0</v>
      </c>
      <c r="T237" s="155">
        <f ca="1"/>
        <v>2.6763743705887744E-2</v>
      </c>
      <c r="U237" s="155">
        <f ca="1"/>
        <v>4.5700311085772438E-2</v>
      </c>
      <c r="V237" s="138">
        <f ca="1"/>
        <v>9.57724095571022E-2</v>
      </c>
      <c r="W237" s="137">
        <f ca="1"/>
        <v>0</v>
      </c>
      <c r="X237" s="155">
        <f ca="1"/>
        <v>0</v>
      </c>
      <c r="Y237" s="155">
        <f ca="1"/>
        <v>2.0439909357320429E-3</v>
      </c>
      <c r="Z237" s="155">
        <f ca="1"/>
        <v>0</v>
      </c>
      <c r="AA237" s="155">
        <f ca="1"/>
        <v>1.0702147453578892E-2</v>
      </c>
      <c r="AB237" s="155">
        <f ca="1"/>
        <v>0</v>
      </c>
      <c r="AC237" s="155">
        <f ca="1"/>
        <v>2.7574436084037091E-2</v>
      </c>
      <c r="AD237" s="155">
        <f ca="1"/>
        <v>4.6837814538554956E-2</v>
      </c>
      <c r="AE237" s="138">
        <f ca="1"/>
        <v>9.7331048564765821E-2</v>
      </c>
      <c r="AI237" s="135"/>
      <c r="AK237" s="135"/>
      <c r="AM237" s="135"/>
      <c r="AN237" s="135"/>
      <c r="AO237" s="135"/>
      <c r="AR237" s="135"/>
      <c r="AT237" s="135"/>
      <c r="AV237" s="135"/>
      <c r="AW237" s="135"/>
      <c r="AX237" s="135"/>
    </row>
    <row r="238" spans="1:50" s="79" customFormat="1" ht="11.25">
      <c r="A238" s="96">
        <f t="shared" ca="1" si="5"/>
        <v>227</v>
      </c>
      <c r="B238" s="68" t="s">
        <v>315</v>
      </c>
      <c r="C238" s="97">
        <v>0.4</v>
      </c>
      <c r="D238" s="69" t="s">
        <v>67</v>
      </c>
      <c r="E238" s="136" t="s">
        <v>87</v>
      </c>
      <c r="F238" s="154" t="s">
        <v>87</v>
      </c>
      <c r="G238" s="154">
        <v>1.0319999999999999E-3</v>
      </c>
      <c r="H238" s="154" t="s">
        <v>87</v>
      </c>
      <c r="I238" s="154">
        <v>1.8159999999999999E-3</v>
      </c>
      <c r="J238" s="154" t="s">
        <v>87</v>
      </c>
      <c r="K238" s="154">
        <v>2.6540000000000001E-3</v>
      </c>
      <c r="L238" s="154">
        <v>3.4919999999999999E-3</v>
      </c>
      <c r="M238" s="154">
        <v>4.4229999999999998E-3</v>
      </c>
      <c r="N238" s="137" cm="1">
        <f t="array" aca="1" ref="N238:AE238" ca="1">IF(OR(B238="",NOT($J$2)),"",GetStripDefaultProbability(A238,B238,Parameter_Date,CDSRollDate,E238:M238,SpreadCurveMaturities,D238,C238,$J$4,$J$6))</f>
        <v>0</v>
      </c>
      <c r="O238" s="155">
        <f ca="1"/>
        <v>0</v>
      </c>
      <c r="P238" s="155">
        <f ca="1"/>
        <v>1.8246581450538368E-3</v>
      </c>
      <c r="Q238" s="155">
        <f ca="1"/>
        <v>0</v>
      </c>
      <c r="R238" s="155">
        <f ca="1"/>
        <v>9.3671642149604217E-3</v>
      </c>
      <c r="S238" s="155">
        <f ca="1"/>
        <v>0</v>
      </c>
      <c r="T238" s="155">
        <f ca="1"/>
        <v>2.2952455007931971E-2</v>
      </c>
      <c r="U238" s="155">
        <f ca="1"/>
        <v>4.2680572782749837E-2</v>
      </c>
      <c r="V238" s="138">
        <f ca="1"/>
        <v>7.7732502328494379E-2</v>
      </c>
      <c r="W238" s="137">
        <f ca="1"/>
        <v>0</v>
      </c>
      <c r="X238" s="155">
        <f ca="1"/>
        <v>0</v>
      </c>
      <c r="Y238" s="155">
        <f ca="1"/>
        <v>1.9910068392566815E-3</v>
      </c>
      <c r="Z238" s="155">
        <f ca="1"/>
        <v>0</v>
      </c>
      <c r="AA238" s="155">
        <f ca="1"/>
        <v>9.8623568243998427E-3</v>
      </c>
      <c r="AB238" s="155">
        <f ca="1"/>
        <v>0</v>
      </c>
      <c r="AC238" s="155">
        <f ca="1"/>
        <v>2.3766322137025009E-2</v>
      </c>
      <c r="AD238" s="155">
        <f ca="1"/>
        <v>4.3821532249777584E-2</v>
      </c>
      <c r="AE238" s="138">
        <f ca="1"/>
        <v>7.9268334608912139E-2</v>
      </c>
      <c r="AI238" s="135"/>
      <c r="AK238" s="135"/>
      <c r="AM238" s="135"/>
      <c r="AN238" s="135"/>
      <c r="AO238" s="135"/>
      <c r="AR238" s="135"/>
      <c r="AT238" s="135"/>
      <c r="AV238" s="135"/>
      <c r="AW238" s="135"/>
      <c r="AX238" s="135"/>
    </row>
    <row r="239" spans="1:50" s="79" customFormat="1" ht="11.25">
      <c r="A239" s="96">
        <f t="shared" ca="1" si="5"/>
        <v>228</v>
      </c>
      <c r="B239" s="68" t="s">
        <v>316</v>
      </c>
      <c r="C239" s="97">
        <v>0.4</v>
      </c>
      <c r="D239" s="69" t="s">
        <v>67</v>
      </c>
      <c r="E239" s="136" t="s">
        <v>87</v>
      </c>
      <c r="F239" s="154" t="s">
        <v>87</v>
      </c>
      <c r="G239" s="154">
        <v>6.02E-4</v>
      </c>
      <c r="H239" s="154" t="s">
        <v>87</v>
      </c>
      <c r="I239" s="154">
        <v>2.0270000000000002E-3</v>
      </c>
      <c r="J239" s="154" t="s">
        <v>87</v>
      </c>
      <c r="K239" s="154">
        <v>2.5089999999999999E-3</v>
      </c>
      <c r="L239" s="154">
        <v>3.4740000000000001E-3</v>
      </c>
      <c r="M239" s="154">
        <v>4.4390000000000002E-3</v>
      </c>
      <c r="N239" s="137" cm="1">
        <f t="array" aca="1" ref="N239:AE239" ca="1">IF(OR(B239="",NOT($J$2)),"",GetStripDefaultProbability(A239,B239,Parameter_Date,CDSRollDate,E239:M239,SpreadCurveMaturities,D239,C239,$J$4,$J$6))</f>
        <v>0</v>
      </c>
      <c r="O239" s="155">
        <f ca="1"/>
        <v>0</v>
      </c>
      <c r="P239" s="155">
        <f ca="1"/>
        <v>1.064785939264401E-3</v>
      </c>
      <c r="Q239" s="155">
        <f ca="1"/>
        <v>0</v>
      </c>
      <c r="R239" s="155">
        <f ca="1"/>
        <v>1.0523177457038901E-2</v>
      </c>
      <c r="S239" s="155">
        <f ca="1"/>
        <v>0</v>
      </c>
      <c r="T239" s="155">
        <f ca="1"/>
        <v>2.158473618336354E-2</v>
      </c>
      <c r="U239" s="155">
        <f ca="1"/>
        <v>4.2536860991956971E-2</v>
      </c>
      <c r="V239" s="138">
        <f ca="1"/>
        <v>7.8179032314253161E-2</v>
      </c>
      <c r="W239" s="137">
        <f ca="1"/>
        <v>0</v>
      </c>
      <c r="X239" s="155">
        <f ca="1"/>
        <v>0</v>
      </c>
      <c r="Y239" s="155">
        <f ca="1"/>
        <v>1.2312612682829904E-3</v>
      </c>
      <c r="Z239" s="155">
        <f ca="1"/>
        <v>0</v>
      </c>
      <c r="AA239" s="155">
        <f ca="1"/>
        <v>1.101779220431498E-2</v>
      </c>
      <c r="AB239" s="155">
        <f ca="1"/>
        <v>0</v>
      </c>
      <c r="AC239" s="155">
        <f ca="1"/>
        <v>2.239974260334987E-2</v>
      </c>
      <c r="AD239" s="155">
        <f ca="1"/>
        <v>4.3677682326890288E-2</v>
      </c>
      <c r="AE239" s="138">
        <f ca="1"/>
        <v>7.9714120997825821E-2</v>
      </c>
      <c r="AI239" s="135"/>
      <c r="AK239" s="135"/>
      <c r="AM239" s="135"/>
      <c r="AN239" s="135"/>
      <c r="AO239" s="135"/>
      <c r="AR239" s="135"/>
      <c r="AT239" s="135"/>
      <c r="AV239" s="135"/>
      <c r="AW239" s="135"/>
      <c r="AX239" s="135"/>
    </row>
    <row r="240" spans="1:50" s="79" customFormat="1" ht="11.25">
      <c r="A240" s="96">
        <f t="shared" ca="1" si="5"/>
        <v>229</v>
      </c>
      <c r="B240" s="68" t="s">
        <v>317</v>
      </c>
      <c r="C240" s="97">
        <v>0.4</v>
      </c>
      <c r="D240" s="69" t="s">
        <v>67</v>
      </c>
      <c r="E240" s="136" t="s">
        <v>87</v>
      </c>
      <c r="F240" s="154" t="s">
        <v>87</v>
      </c>
      <c r="G240" s="154">
        <v>9.41E-4</v>
      </c>
      <c r="H240" s="154" t="s">
        <v>87</v>
      </c>
      <c r="I240" s="154">
        <v>2.0409999999999998E-3</v>
      </c>
      <c r="J240" s="154" t="s">
        <v>87</v>
      </c>
      <c r="K240" s="154">
        <v>3.1359999999999999E-3</v>
      </c>
      <c r="L240" s="154">
        <v>4.032E-3</v>
      </c>
      <c r="M240" s="154">
        <v>5.0280000000000004E-3</v>
      </c>
      <c r="N240" s="137" cm="1">
        <f t="array" aca="1" ref="N240:AE240" ca="1">IF(OR(B240="",NOT($J$2)),"",GetStripDefaultProbability(A240,B240,Parameter_Date,CDSRollDate,E240:M240,SpreadCurveMaturities,D240,C240,$J$4,$J$6))</f>
        <v>0</v>
      </c>
      <c r="O240" s="155">
        <f ca="1"/>
        <v>0</v>
      </c>
      <c r="P240" s="155">
        <f ca="1"/>
        <v>1.6638958508615742E-3</v>
      </c>
      <c r="Q240" s="155">
        <f ca="1"/>
        <v>0</v>
      </c>
      <c r="R240" s="155">
        <f ca="1"/>
        <v>1.0551461709691345E-2</v>
      </c>
      <c r="S240" s="155">
        <f ca="1"/>
        <v>0</v>
      </c>
      <c r="T240" s="155">
        <f ca="1"/>
        <v>2.7175909420192101E-2</v>
      </c>
      <c r="U240" s="155">
        <f ca="1"/>
        <v>4.9154177685602485E-2</v>
      </c>
      <c r="V240" s="138">
        <f ca="1"/>
        <v>8.781398002008145E-2</v>
      </c>
      <c r="W240" s="137">
        <f ca="1"/>
        <v>0</v>
      </c>
      <c r="X240" s="155">
        <f ca="1"/>
        <v>0</v>
      </c>
      <c r="Y240" s="155">
        <f ca="1"/>
        <v>1.8302713365467849E-3</v>
      </c>
      <c r="Z240" s="155">
        <f ca="1"/>
        <v>0</v>
      </c>
      <c r="AA240" s="155">
        <f ca="1"/>
        <v>1.1046062318378236E-2</v>
      </c>
      <c r="AB240" s="155">
        <f ca="1"/>
        <v>0</v>
      </c>
      <c r="AC240" s="155">
        <f ca="1"/>
        <v>2.7986258469980263E-2</v>
      </c>
      <c r="AD240" s="155">
        <f ca="1"/>
        <v>5.0287729588496699E-2</v>
      </c>
      <c r="AE240" s="138">
        <f ca="1"/>
        <v>8.9333023831871916E-2</v>
      </c>
      <c r="AI240" s="135"/>
      <c r="AK240" s="135"/>
      <c r="AM240" s="135"/>
      <c r="AN240" s="135"/>
      <c r="AO240" s="135"/>
      <c r="AR240" s="135"/>
      <c r="AT240" s="135"/>
      <c r="AV240" s="135"/>
      <c r="AW240" s="135"/>
      <c r="AX240" s="135"/>
    </row>
    <row r="241" spans="1:50" s="79" customFormat="1" ht="11.25">
      <c r="A241" s="96">
        <f t="shared" ca="1" si="5"/>
        <v>230</v>
      </c>
      <c r="B241" s="68" t="s">
        <v>318</v>
      </c>
      <c r="C241" s="97">
        <v>0.4</v>
      </c>
      <c r="D241" s="69" t="s">
        <v>67</v>
      </c>
      <c r="E241" s="136" t="s">
        <v>87</v>
      </c>
      <c r="F241" s="154" t="s">
        <v>87</v>
      </c>
      <c r="G241" s="154">
        <v>1.0070000000000001E-3</v>
      </c>
      <c r="H241" s="154" t="s">
        <v>87</v>
      </c>
      <c r="I241" s="154">
        <v>2.4489999999999998E-3</v>
      </c>
      <c r="J241" s="154" t="s">
        <v>87</v>
      </c>
      <c r="K241" s="154">
        <v>2.7989999999999998E-3</v>
      </c>
      <c r="L241" s="154">
        <v>3.388E-3</v>
      </c>
      <c r="M241" s="154">
        <v>3.7799999999999999E-3</v>
      </c>
      <c r="N241" s="137" cm="1">
        <f t="array" aca="1" ref="N241:AE241" ca="1">IF(OR(B241="",NOT($J$2)),"",GetStripDefaultProbability(A241,B241,Parameter_Date,CDSRollDate,E241:M241,SpreadCurveMaturities,D241,C241,$J$4,$J$6))</f>
        <v>0</v>
      </c>
      <c r="O241" s="155">
        <f ca="1"/>
        <v>0</v>
      </c>
      <c r="P241" s="155">
        <f ca="1"/>
        <v>1.7804952391329287E-3</v>
      </c>
      <c r="Q241" s="155">
        <f ca="1"/>
        <v>0</v>
      </c>
      <c r="R241" s="155">
        <f ca="1"/>
        <v>1.2666392670431903E-2</v>
      </c>
      <c r="S241" s="155">
        <f ca="1"/>
        <v>0</v>
      </c>
      <c r="T241" s="155">
        <f ca="1"/>
        <v>2.3904945893483576E-2</v>
      </c>
      <c r="U241" s="155">
        <f ca="1"/>
        <v>4.0797547221752661E-2</v>
      </c>
      <c r="V241" s="138">
        <f ca="1"/>
        <v>6.4774206569306214E-2</v>
      </c>
      <c r="W241" s="137">
        <f ca="1"/>
        <v>0</v>
      </c>
      <c r="X241" s="155">
        <f ca="1"/>
        <v>0</v>
      </c>
      <c r="Y241" s="155">
        <f ca="1"/>
        <v>1.9468512932033777E-3</v>
      </c>
      <c r="Z241" s="155">
        <f ca="1"/>
        <v>0</v>
      </c>
      <c r="AA241" s="155">
        <f ca="1"/>
        <v>1.3159936077991485E-2</v>
      </c>
      <c r="AB241" s="155">
        <f ca="1"/>
        <v>0</v>
      </c>
      <c r="AC241" s="155">
        <f ca="1"/>
        <v>2.471801961078457E-2</v>
      </c>
      <c r="AD241" s="155">
        <f ca="1"/>
        <v>4.1939307274863391E-2</v>
      </c>
      <c r="AE241" s="138">
        <f ca="1"/>
        <v>6.6357466702961609E-2</v>
      </c>
      <c r="AI241" s="135"/>
      <c r="AK241" s="135"/>
      <c r="AM241" s="135"/>
      <c r="AN241" s="135"/>
      <c r="AO241" s="135"/>
      <c r="AR241" s="135"/>
      <c r="AT241" s="135"/>
      <c r="AV241" s="135"/>
      <c r="AW241" s="135"/>
      <c r="AX241" s="135"/>
    </row>
    <row r="242" spans="1:50" s="79" customFormat="1" ht="11.25">
      <c r="A242" s="96">
        <f t="shared" ca="1" si="5"/>
        <v>231</v>
      </c>
      <c r="B242" s="68" t="s">
        <v>319</v>
      </c>
      <c r="C242" s="97">
        <v>0.4</v>
      </c>
      <c r="D242" s="69" t="s">
        <v>67</v>
      </c>
      <c r="E242" s="136" t="s">
        <v>87</v>
      </c>
      <c r="F242" s="154" t="s">
        <v>87</v>
      </c>
      <c r="G242" s="154">
        <v>2.0790000000000001E-3</v>
      </c>
      <c r="H242" s="154" t="s">
        <v>87</v>
      </c>
      <c r="I242" s="154">
        <v>3.5140000000000002E-3</v>
      </c>
      <c r="J242" s="154" t="s">
        <v>87</v>
      </c>
      <c r="K242" s="154">
        <v>5.1630000000000001E-3</v>
      </c>
      <c r="L242" s="154">
        <v>6.1060000000000003E-3</v>
      </c>
      <c r="M242" s="154">
        <v>6.9950000000000003E-3</v>
      </c>
      <c r="N242" s="137" cm="1">
        <f t="array" aca="1" ref="N242:AE242" ca="1">IF(OR(B242="",NOT($J$2)),"",GetStripDefaultProbability(A242,B242,Parameter_Date,CDSRollDate,E242:M242,SpreadCurveMaturities,D242,C242,$J$4,$J$6))</f>
        <v>0</v>
      </c>
      <c r="O242" s="155">
        <f ca="1"/>
        <v>0</v>
      </c>
      <c r="P242" s="155">
        <f ca="1"/>
        <v>3.6724613301212239E-3</v>
      </c>
      <c r="Q242" s="155">
        <f ca="1"/>
        <v>0</v>
      </c>
      <c r="R242" s="155">
        <f ca="1"/>
        <v>1.8048210240616203E-2</v>
      </c>
      <c r="S242" s="155">
        <f ca="1"/>
        <v>0</v>
      </c>
      <c r="T242" s="155">
        <f ca="1"/>
        <v>4.4290153904406382E-2</v>
      </c>
      <c r="U242" s="155">
        <f ca="1"/>
        <v>7.2947349745612899E-2</v>
      </c>
      <c r="V242" s="138">
        <f ca="1"/>
        <v>0.11810129259132807</v>
      </c>
      <c r="W242" s="137">
        <f ca="1"/>
        <v>0</v>
      </c>
      <c r="X242" s="155">
        <f ca="1"/>
        <v>0</v>
      </c>
      <c r="Y242" s="155">
        <f ca="1"/>
        <v>3.8385020827768068E-3</v>
      </c>
      <c r="Z242" s="155">
        <f ca="1"/>
        <v>0</v>
      </c>
      <c r="AA242" s="155">
        <f ca="1"/>
        <v>1.8539063411964318E-2</v>
      </c>
      <c r="AB242" s="155">
        <f ca="1"/>
        <v>0</v>
      </c>
      <c r="AC242" s="155">
        <f ca="1"/>
        <v>4.5086247024621273E-2</v>
      </c>
      <c r="AD242" s="155">
        <f ca="1"/>
        <v>7.405080455501023E-2</v>
      </c>
      <c r="AE242" s="138">
        <f ca="1"/>
        <v>0.11961654636779528</v>
      </c>
      <c r="AI242" s="135"/>
      <c r="AK242" s="135"/>
      <c r="AM242" s="135"/>
      <c r="AN242" s="135"/>
      <c r="AO242" s="135"/>
      <c r="AR242" s="135"/>
      <c r="AT242" s="135"/>
      <c r="AV242" s="135"/>
      <c r="AW242" s="135"/>
      <c r="AX242" s="135"/>
    </row>
    <row r="243" spans="1:50" s="79" customFormat="1" ht="11.25">
      <c r="A243" s="96">
        <f t="shared" ca="1" si="5"/>
        <v>232</v>
      </c>
      <c r="B243" s="68" t="s">
        <v>320</v>
      </c>
      <c r="C243" s="97">
        <v>0.4</v>
      </c>
      <c r="D243" s="69" t="s">
        <v>67</v>
      </c>
      <c r="E243" s="136" t="s">
        <v>87</v>
      </c>
      <c r="F243" s="154" t="s">
        <v>87</v>
      </c>
      <c r="G243" s="154">
        <v>6.9099999999999999E-4</v>
      </c>
      <c r="H243" s="154" t="s">
        <v>87</v>
      </c>
      <c r="I243" s="154">
        <v>2.895E-3</v>
      </c>
      <c r="J243" s="154" t="s">
        <v>87</v>
      </c>
      <c r="K243" s="154">
        <v>4.1980000000000003E-3</v>
      </c>
      <c r="L243" s="154">
        <v>5.3080000000000002E-3</v>
      </c>
      <c r="M243" s="154">
        <v>6.5620000000000001E-3</v>
      </c>
      <c r="N243" s="137" cm="1">
        <f t="array" aca="1" ref="N243:AE243" ca="1">IF(OR(B243="",NOT($J$2)),"",GetStripDefaultProbability(A243,B243,Parameter_Date,CDSRollDate,E243:M243,SpreadCurveMaturities,D243,C243,$J$4,$J$6))</f>
        <v>0</v>
      </c>
      <c r="O243" s="155">
        <f ca="1"/>
        <v>0</v>
      </c>
      <c r="P243" s="155">
        <f ca="1"/>
        <v>1.2221089192081536E-3</v>
      </c>
      <c r="Q243" s="155">
        <f ca="1"/>
        <v>0</v>
      </c>
      <c r="R243" s="155">
        <f ca="1"/>
        <v>1.502736369501767E-2</v>
      </c>
      <c r="S243" s="155">
        <f ca="1"/>
        <v>0</v>
      </c>
      <c r="T243" s="155">
        <f ca="1"/>
        <v>3.6241986987469943E-2</v>
      </c>
      <c r="U243" s="155">
        <f ca="1"/>
        <v>6.4228335966369787E-2</v>
      </c>
      <c r="V243" s="138">
        <f ca="1"/>
        <v>0.11317722699761745</v>
      </c>
      <c r="W243" s="137">
        <f ca="1"/>
        <v>0</v>
      </c>
      <c r="X243" s="155">
        <f ca="1"/>
        <v>0</v>
      </c>
      <c r="Y243" s="155">
        <f ca="1"/>
        <v>1.3885580299217715E-3</v>
      </c>
      <c r="Z243" s="155">
        <f ca="1"/>
        <v>0</v>
      </c>
      <c r="AA243" s="155">
        <f ca="1"/>
        <v>1.5519726912077592E-2</v>
      </c>
      <c r="AB243" s="155">
        <f ca="1"/>
        <v>0</v>
      </c>
      <c r="AC243" s="155">
        <f ca="1"/>
        <v>3.7044784119709906E-2</v>
      </c>
      <c r="AD243" s="155">
        <f ca="1"/>
        <v>6.5343243767941983E-2</v>
      </c>
      <c r="AE243" s="138">
        <f ca="1"/>
        <v>0.11470595248582105</v>
      </c>
      <c r="AI243" s="135"/>
      <c r="AK243" s="135"/>
      <c r="AM243" s="135"/>
      <c r="AN243" s="135"/>
      <c r="AO243" s="135"/>
      <c r="AR243" s="135"/>
      <c r="AT243" s="135"/>
      <c r="AV243" s="135"/>
      <c r="AW243" s="135"/>
      <c r="AX243" s="135"/>
    </row>
    <row r="244" spans="1:50" s="79" customFormat="1" ht="11.25">
      <c r="A244" s="96">
        <f t="shared" ca="1" si="5"/>
        <v>233</v>
      </c>
      <c r="B244" s="68" t="s">
        <v>321</v>
      </c>
      <c r="C244" s="97">
        <v>0.4</v>
      </c>
      <c r="D244" s="69" t="s">
        <v>67</v>
      </c>
      <c r="E244" s="136" t="s">
        <v>87</v>
      </c>
      <c r="F244" s="154" t="s">
        <v>87</v>
      </c>
      <c r="G244" s="154">
        <v>2.5040000000000001E-3</v>
      </c>
      <c r="H244" s="154" t="s">
        <v>87</v>
      </c>
      <c r="I244" s="154">
        <v>6.2230000000000002E-3</v>
      </c>
      <c r="J244" s="154" t="s">
        <v>87</v>
      </c>
      <c r="K244" s="154">
        <v>8.3470000000000003E-3</v>
      </c>
      <c r="L244" s="154">
        <v>9.9769999999999998E-3</v>
      </c>
      <c r="M244" s="154">
        <v>1.2248999999999999E-2</v>
      </c>
      <c r="N244" s="137" cm="1">
        <f t="array" aca="1" ref="N244:AE244" ca="1">IF(OR(B244="",NOT($J$2)),"",GetStripDefaultProbability(A244,B244,Parameter_Date,CDSRollDate,E244:M244,SpreadCurveMaturities,D244,C244,$J$4,$J$6))</f>
        <v>0</v>
      </c>
      <c r="O244" s="155">
        <f ca="1"/>
        <v>0</v>
      </c>
      <c r="P244" s="155">
        <f ca="1"/>
        <v>4.4215565094576359E-3</v>
      </c>
      <c r="Q244" s="155">
        <f ca="1"/>
        <v>0</v>
      </c>
      <c r="R244" s="155">
        <f ca="1"/>
        <v>3.1951003330935701E-2</v>
      </c>
      <c r="S244" s="155">
        <f ca="1"/>
        <v>0</v>
      </c>
      <c r="T244" s="155">
        <f ca="1"/>
        <v>7.0650107688719266E-2</v>
      </c>
      <c r="U244" s="155">
        <f ca="1"/>
        <v>0.11698440734143856</v>
      </c>
      <c r="V244" s="138">
        <f ca="1"/>
        <v>0.20217667764683434</v>
      </c>
      <c r="W244" s="137">
        <f ca="1"/>
        <v>0</v>
      </c>
      <c r="X244" s="155">
        <f ca="1"/>
        <v>0</v>
      </c>
      <c r="Y244" s="155">
        <f ca="1"/>
        <v>4.587472423340011E-3</v>
      </c>
      <c r="Z244" s="155">
        <f ca="1"/>
        <v>0</v>
      </c>
      <c r="AA244" s="155">
        <f ca="1"/>
        <v>3.2434906843344047E-2</v>
      </c>
      <c r="AB244" s="155">
        <f ca="1"/>
        <v>0</v>
      </c>
      <c r="AC244" s="155">
        <f ca="1"/>
        <v>7.1424243330958426E-2</v>
      </c>
      <c r="AD244" s="155">
        <f ca="1"/>
        <v>0.1180515189053738</v>
      </c>
      <c r="AE244" s="138">
        <f ca="1"/>
        <v>0.2035718409699887</v>
      </c>
      <c r="AI244" s="135"/>
      <c r="AK244" s="135"/>
      <c r="AM244" s="135"/>
      <c r="AN244" s="135"/>
      <c r="AO244" s="135"/>
      <c r="AR244" s="135"/>
      <c r="AT244" s="135"/>
      <c r="AV244" s="135"/>
      <c r="AW244" s="135"/>
      <c r="AX244" s="135"/>
    </row>
    <row r="245" spans="1:50" s="79" customFormat="1" ht="11.25">
      <c r="A245" s="96">
        <f t="shared" ca="1" si="5"/>
        <v>234</v>
      </c>
      <c r="B245" s="68" t="s">
        <v>322</v>
      </c>
      <c r="C245" s="97">
        <v>0.4</v>
      </c>
      <c r="D245" s="69" t="s">
        <v>67</v>
      </c>
      <c r="E245" s="136" t="s">
        <v>87</v>
      </c>
      <c r="F245" s="154" t="s">
        <v>87</v>
      </c>
      <c r="G245" s="154">
        <v>3.1319999999999998E-3</v>
      </c>
      <c r="H245" s="154" t="s">
        <v>87</v>
      </c>
      <c r="I245" s="154">
        <v>7.0920000000000002E-3</v>
      </c>
      <c r="J245" s="154" t="s">
        <v>87</v>
      </c>
      <c r="K245" s="154">
        <v>1.155E-2</v>
      </c>
      <c r="L245" s="154">
        <v>1.3374E-2</v>
      </c>
      <c r="M245" s="154">
        <v>1.5500999999999999E-2</v>
      </c>
      <c r="N245" s="137" cm="1">
        <f t="array" aca="1" ref="N245:AE245" ca="1">IF(OR(B245="",NOT($J$2)),"",GetStripDefaultProbability(A245,B245,Parameter_Date,CDSRollDate,E245:M245,SpreadCurveMaturities,D245,C245,$J$4,$J$6))</f>
        <v>0</v>
      </c>
      <c r="O245" s="155">
        <f ca="1"/>
        <v>0</v>
      </c>
      <c r="P245" s="155">
        <f ca="1"/>
        <v>5.5274332603850729E-3</v>
      </c>
      <c r="Q245" s="155">
        <f ca="1"/>
        <v>0</v>
      </c>
      <c r="R245" s="155">
        <f ca="1"/>
        <v>3.6307007825127524E-2</v>
      </c>
      <c r="S245" s="155">
        <f ca="1"/>
        <v>0</v>
      </c>
      <c r="T245" s="155">
        <f ca="1"/>
        <v>9.780798111335065E-2</v>
      </c>
      <c r="U245" s="155">
        <f ca="1"/>
        <v>0.15480131559378274</v>
      </c>
      <c r="V245" s="138">
        <f ca="1"/>
        <v>0.24791257665456334</v>
      </c>
      <c r="W245" s="137">
        <f ca="1"/>
        <v>0</v>
      </c>
      <c r="X245" s="155">
        <f ca="1"/>
        <v>0</v>
      </c>
      <c r="Y245" s="155">
        <f ca="1"/>
        <v>5.6931648768339116E-3</v>
      </c>
      <c r="Z245" s="155">
        <f ca="1"/>
        <v>0</v>
      </c>
      <c r="AA245" s="155">
        <f ca="1"/>
        <v>3.6788733879680624E-2</v>
      </c>
      <c r="AB245" s="155">
        <f ca="1"/>
        <v>0</v>
      </c>
      <c r="AC245" s="155">
        <f ca="1"/>
        <v>9.8588504764324236E-2</v>
      </c>
      <c r="AD245" s="155">
        <f ca="1"/>
        <v>0.15582686211795882</v>
      </c>
      <c r="AE245" s="138">
        <f ca="1"/>
        <v>0.24923069486137339</v>
      </c>
      <c r="AI245" s="135"/>
      <c r="AK245" s="135"/>
      <c r="AM245" s="135"/>
      <c r="AN245" s="135"/>
      <c r="AO245" s="135"/>
      <c r="AR245" s="135"/>
      <c r="AT245" s="135"/>
      <c r="AV245" s="135"/>
      <c r="AW245" s="135"/>
      <c r="AX245" s="135"/>
    </row>
    <row r="246" spans="1:50" s="79" customFormat="1" ht="11.25">
      <c r="A246" s="96">
        <f t="shared" ca="1" si="5"/>
        <v>235</v>
      </c>
      <c r="B246" s="68" t="s">
        <v>323</v>
      </c>
      <c r="C246" s="97">
        <v>0.4</v>
      </c>
      <c r="D246" s="69" t="s">
        <v>67</v>
      </c>
      <c r="E246" s="136" t="s">
        <v>87</v>
      </c>
      <c r="F246" s="154" t="s">
        <v>87</v>
      </c>
      <c r="G246" s="154">
        <v>6.3900000000000003E-4</v>
      </c>
      <c r="H246" s="154" t="s">
        <v>87</v>
      </c>
      <c r="I246" s="154">
        <v>1.4480000000000001E-3</v>
      </c>
      <c r="J246" s="154" t="s">
        <v>87</v>
      </c>
      <c r="K246" s="154">
        <v>2.5569999999999998E-3</v>
      </c>
      <c r="L246" s="154">
        <v>3.3289999999999999E-3</v>
      </c>
      <c r="M246" s="154">
        <v>4.3429999999999996E-3</v>
      </c>
      <c r="N246" s="137" cm="1">
        <f t="array" aca="1" ref="N246:AE246" ca="1">IF(OR(B246="",NOT($J$2)),"",GetStripDefaultProbability(A246,B246,Parameter_Date,CDSRollDate,E246:M246,SpreadCurveMaturities,D246,C246,$J$4,$J$6))</f>
        <v>0</v>
      </c>
      <c r="O246" s="155">
        <f ca="1"/>
        <v>0</v>
      </c>
      <c r="P246" s="155">
        <f ca="1"/>
        <v>1.1301928620361945E-3</v>
      </c>
      <c r="Q246" s="155">
        <f ca="1"/>
        <v>0</v>
      </c>
      <c r="R246" s="155">
        <f ca="1"/>
        <v>7.498641160558317E-3</v>
      </c>
      <c r="S246" s="155">
        <f ca="1"/>
        <v>0</v>
      </c>
      <c r="T246" s="155">
        <f ca="1"/>
        <v>2.2336956069502478E-2</v>
      </c>
      <c r="U246" s="155">
        <f ca="1"/>
        <v>4.0895996980160998E-2</v>
      </c>
      <c r="V246" s="138">
        <f ca="1"/>
        <v>7.6872419037600781E-2</v>
      </c>
      <c r="W246" s="137">
        <f ca="1"/>
        <v>0</v>
      </c>
      <c r="X246" s="155">
        <f ca="1"/>
        <v>0</v>
      </c>
      <c r="Y246" s="155">
        <f ca="1"/>
        <v>1.2966572908159613E-3</v>
      </c>
      <c r="Z246" s="155">
        <f ca="1"/>
        <v>0</v>
      </c>
      <c r="AA246" s="155">
        <f ca="1"/>
        <v>7.9947677979733678E-3</v>
      </c>
      <c r="AB246" s="155">
        <f ca="1"/>
        <v>0</v>
      </c>
      <c r="AC246" s="155">
        <f ca="1"/>
        <v>2.3151335900725711E-2</v>
      </c>
      <c r="AD246" s="155">
        <f ca="1"/>
        <v>4.2039869355296355E-2</v>
      </c>
      <c r="AE246" s="138">
        <f ca="1"/>
        <v>7.8409683596215363E-2</v>
      </c>
      <c r="AI246" s="135"/>
      <c r="AK246" s="135"/>
      <c r="AM246" s="135"/>
      <c r="AN246" s="135"/>
      <c r="AO246" s="135"/>
      <c r="AR246" s="135"/>
      <c r="AT246" s="135"/>
      <c r="AV246" s="135"/>
      <c r="AW246" s="135"/>
      <c r="AX246" s="135"/>
    </row>
    <row r="247" spans="1:50" s="79" customFormat="1" ht="11.25">
      <c r="A247" s="96">
        <f t="shared" ca="1" si="5"/>
        <v>236</v>
      </c>
      <c r="B247" s="68" t="s">
        <v>324</v>
      </c>
      <c r="C247" s="97">
        <v>0.4</v>
      </c>
      <c r="D247" s="69" t="s">
        <v>67</v>
      </c>
      <c r="E247" s="136" t="s">
        <v>87</v>
      </c>
      <c r="F247" s="154" t="s">
        <v>87</v>
      </c>
      <c r="G247" s="154">
        <v>6.0999999999999997E-4</v>
      </c>
      <c r="H247" s="154" t="s">
        <v>87</v>
      </c>
      <c r="I247" s="154">
        <v>2.3159999999999999E-3</v>
      </c>
      <c r="J247" s="154" t="s">
        <v>87</v>
      </c>
      <c r="K247" s="154">
        <v>2.702E-3</v>
      </c>
      <c r="L247" s="154">
        <v>3.571E-3</v>
      </c>
      <c r="M247" s="154">
        <v>4.8250000000000003E-3</v>
      </c>
      <c r="N247" s="137" cm="1">
        <f t="array" aca="1" ref="N247:AE247" ca="1">IF(OR(B247="",NOT($J$2)),"",GetStripDefaultProbability(A247,B247,Parameter_Date,CDSRollDate,E247:M247,SpreadCurveMaturities,D247,C247,$J$4,$J$6))</f>
        <v>0</v>
      </c>
      <c r="O247" s="155">
        <f ca="1"/>
        <v>0</v>
      </c>
      <c r="P247" s="155">
        <f ca="1"/>
        <v>1.0789283368597413E-3</v>
      </c>
      <c r="Q247" s="155">
        <f ca="1"/>
        <v>0</v>
      </c>
      <c r="R247" s="155">
        <f ca="1"/>
        <v>1.2027229937749295E-2</v>
      </c>
      <c r="S247" s="155">
        <f ca="1"/>
        <v>0</v>
      </c>
      <c r="T247" s="155">
        <f ca="1"/>
        <v>2.3159977617634775E-2</v>
      </c>
      <c r="U247" s="155">
        <f ca="1"/>
        <v>4.3442604003218754E-2</v>
      </c>
      <c r="V247" s="138">
        <f ca="1"/>
        <v>8.5149800479637938E-2</v>
      </c>
      <c r="W247" s="137">
        <f ca="1"/>
        <v>0</v>
      </c>
      <c r="X247" s="155">
        <f ca="1"/>
        <v>0</v>
      </c>
      <c r="Y247" s="155">
        <f ca="1"/>
        <v>1.2454013090248406E-3</v>
      </c>
      <c r="Z247" s="155">
        <f ca="1"/>
        <v>0</v>
      </c>
      <c r="AA247" s="155">
        <f ca="1"/>
        <v>1.252109284675218E-2</v>
      </c>
      <c r="AB247" s="155">
        <f ca="1"/>
        <v>0</v>
      </c>
      <c r="AC247" s="155">
        <f ca="1"/>
        <v>2.3973671883237069E-2</v>
      </c>
      <c r="AD247" s="155">
        <f ca="1"/>
        <v>4.4581937383949E-2</v>
      </c>
      <c r="AE247" s="138">
        <f ca="1"/>
        <v>8.6721092036400993E-2</v>
      </c>
      <c r="AI247" s="135"/>
      <c r="AK247" s="135"/>
      <c r="AM247" s="135"/>
      <c r="AN247" s="135"/>
      <c r="AO247" s="135"/>
      <c r="AR247" s="135"/>
      <c r="AT247" s="135"/>
      <c r="AV247" s="135"/>
      <c r="AW247" s="135"/>
      <c r="AX247" s="135"/>
    </row>
    <row r="248" spans="1:50" s="79" customFormat="1" ht="11.25">
      <c r="A248" s="96">
        <f t="shared" ca="1" si="5"/>
        <v>237</v>
      </c>
      <c r="B248" s="68" t="s">
        <v>325</v>
      </c>
      <c r="C248" s="97">
        <v>0.4</v>
      </c>
      <c r="D248" s="69" t="s">
        <v>67</v>
      </c>
      <c r="E248" s="136" t="s">
        <v>87</v>
      </c>
      <c r="F248" s="154" t="s">
        <v>87</v>
      </c>
      <c r="G248" s="154">
        <v>2.4285999999999999E-2</v>
      </c>
      <c r="H248" s="154" t="s">
        <v>87</v>
      </c>
      <c r="I248" s="154">
        <v>2.4133999999999999E-2</v>
      </c>
      <c r="J248" s="154" t="s">
        <v>87</v>
      </c>
      <c r="K248" s="154">
        <v>2.1857000000000001E-2</v>
      </c>
      <c r="L248" s="154">
        <v>2.0947E-2</v>
      </c>
      <c r="M248" s="154">
        <v>2.0036000000000002E-2</v>
      </c>
      <c r="N248" s="137" cm="1">
        <f t="array" aca="1" ref="N248:AE248" ca="1">IF(OR(B248="",NOT($J$2)),"",GetStripDefaultProbability(A248,B248,Parameter_Date,CDSRollDate,E248:M248,SpreadCurveMaturities,D248,C248,$J$4,$J$6))</f>
        <v>0</v>
      </c>
      <c r="O248" s="155">
        <f ca="1"/>
        <v>0</v>
      </c>
      <c r="P248" s="155">
        <f ca="1"/>
        <v>4.2080378413099195E-2</v>
      </c>
      <c r="Q248" s="155">
        <f ca="1"/>
        <v>0</v>
      </c>
      <c r="R248" s="155">
        <f ca="1"/>
        <v>0.11631614360942621</v>
      </c>
      <c r="S248" s="155">
        <f ca="1"/>
        <v>0</v>
      </c>
      <c r="T248" s="155">
        <f ca="1"/>
        <v>0.16696077247408458</v>
      </c>
      <c r="U248" s="155">
        <f ca="1"/>
        <v>0.21541597030068582</v>
      </c>
      <c r="V248" s="138">
        <f ca="1"/>
        <v>0.27900826252335409</v>
      </c>
      <c r="W248" s="137">
        <f ca="1"/>
        <v>0</v>
      </c>
      <c r="X248" s="155">
        <f ca="1"/>
        <v>0</v>
      </c>
      <c r="Y248" s="155">
        <f ca="1"/>
        <v>4.2240018379676059E-2</v>
      </c>
      <c r="Z248" s="155">
        <f ca="1"/>
        <v>0</v>
      </c>
      <c r="AA248" s="155">
        <f ca="1"/>
        <v>0.11675787509554469</v>
      </c>
      <c r="AB248" s="155">
        <f ca="1"/>
        <v>0</v>
      </c>
      <c r="AC248" s="155">
        <f ca="1"/>
        <v>0.16765468266096906</v>
      </c>
      <c r="AD248" s="155">
        <f ca="1"/>
        <v>0.21633078458989707</v>
      </c>
      <c r="AE248" s="138">
        <f ca="1"/>
        <v>0.28020891459784858</v>
      </c>
      <c r="AI248" s="135"/>
      <c r="AK248" s="135"/>
      <c r="AM248" s="135"/>
      <c r="AN248" s="135"/>
      <c r="AO248" s="135"/>
      <c r="AR248" s="135"/>
      <c r="AT248" s="135"/>
      <c r="AV248" s="135"/>
      <c r="AW248" s="135"/>
      <c r="AX248" s="135"/>
    </row>
    <row r="249" spans="1:50" s="79" customFormat="1" ht="11.25">
      <c r="A249" s="96">
        <f t="shared" ca="1" si="5"/>
        <v>238</v>
      </c>
      <c r="B249" s="68" t="s">
        <v>326</v>
      </c>
      <c r="C249" s="97">
        <v>0.4</v>
      </c>
      <c r="D249" s="69" t="s">
        <v>67</v>
      </c>
      <c r="E249" s="136" t="s">
        <v>87</v>
      </c>
      <c r="F249" s="154" t="s">
        <v>87</v>
      </c>
      <c r="G249" s="154">
        <v>1.5659999999999999E-3</v>
      </c>
      <c r="H249" s="154" t="s">
        <v>87</v>
      </c>
      <c r="I249" s="154">
        <v>2.3509999999999998E-3</v>
      </c>
      <c r="J249" s="154" t="s">
        <v>87</v>
      </c>
      <c r="K249" s="154">
        <v>2.7499999999999998E-3</v>
      </c>
      <c r="L249" s="154">
        <v>3.5490000000000001E-3</v>
      </c>
      <c r="M249" s="154">
        <v>4.2579999999999996E-3</v>
      </c>
      <c r="N249" s="137" cm="1">
        <f t="array" aca="1" ref="N249:AE249" ca="1">IF(OR(B249="",NOT($J$2)),"",GetStripDefaultProbability(A249,B249,Parameter_Date,CDSRollDate,E249:M249,SpreadCurveMaturities,D249,C249,$J$4,$J$6))</f>
        <v>0</v>
      </c>
      <c r="O249" s="155">
        <f ca="1"/>
        <v>0</v>
      </c>
      <c r="P249" s="155">
        <f ca="1"/>
        <v>2.7675150242473245E-3</v>
      </c>
      <c r="Q249" s="155">
        <f ca="1"/>
        <v>0</v>
      </c>
      <c r="R249" s="155">
        <f ca="1"/>
        <v>1.2082213205001802E-2</v>
      </c>
      <c r="S249" s="155">
        <f ca="1"/>
        <v>0</v>
      </c>
      <c r="T249" s="155">
        <f ca="1"/>
        <v>2.3444713534288453E-2</v>
      </c>
      <c r="U249" s="155">
        <f ca="1"/>
        <v>4.2951296455207455E-2</v>
      </c>
      <c r="V249" s="138">
        <f ca="1"/>
        <v>7.3883945506129978E-2</v>
      </c>
      <c r="W249" s="137">
        <f ca="1"/>
        <v>0</v>
      </c>
      <c r="X249" s="155">
        <f ca="1"/>
        <v>0</v>
      </c>
      <c r="Y249" s="155">
        <f ca="1"/>
        <v>2.9337065887325986E-3</v>
      </c>
      <c r="Z249" s="155">
        <f ca="1"/>
        <v>0</v>
      </c>
      <c r="AA249" s="155">
        <f ca="1"/>
        <v>1.2576048629285075E-2</v>
      </c>
      <c r="AB249" s="155">
        <f ca="1"/>
        <v>0</v>
      </c>
      <c r="AC249" s="155">
        <f ca="1"/>
        <v>2.4258170618784325E-2</v>
      </c>
      <c r="AD249" s="155">
        <f ca="1"/>
        <v>4.409058728365256E-2</v>
      </c>
      <c r="AE249" s="138">
        <f ca="1"/>
        <v>7.5426186705587872E-2</v>
      </c>
      <c r="AI249" s="135"/>
      <c r="AK249" s="135"/>
      <c r="AM249" s="135"/>
      <c r="AN249" s="135"/>
      <c r="AO249" s="135"/>
      <c r="AR249" s="135"/>
      <c r="AT249" s="135"/>
      <c r="AV249" s="135"/>
      <c r="AW249" s="135"/>
      <c r="AX249" s="135"/>
    </row>
    <row r="250" spans="1:50" s="79" customFormat="1" ht="11.25">
      <c r="A250" s="96">
        <f t="shared" ca="1" si="5"/>
        <v>239</v>
      </c>
      <c r="B250" s="68" t="s">
        <v>327</v>
      </c>
      <c r="C250" s="97">
        <v>0.4</v>
      </c>
      <c r="D250" s="69" t="s">
        <v>67</v>
      </c>
      <c r="E250" s="136" t="s">
        <v>87</v>
      </c>
      <c r="F250" s="154" t="s">
        <v>87</v>
      </c>
      <c r="G250" s="154">
        <v>6.9800000000000005E-4</v>
      </c>
      <c r="H250" s="154" t="s">
        <v>87</v>
      </c>
      <c r="I250" s="154">
        <v>1.629E-3</v>
      </c>
      <c r="J250" s="154" t="s">
        <v>87</v>
      </c>
      <c r="K250" s="154">
        <v>2.6540000000000001E-3</v>
      </c>
      <c r="L250" s="154">
        <v>3.637E-3</v>
      </c>
      <c r="M250" s="154">
        <v>4.8650000000000004E-3</v>
      </c>
      <c r="N250" s="137" cm="1">
        <f t="array" aca="1" ref="N250:AE250" ca="1">IF(OR(B250="",NOT($J$2)),"",GetStripDefaultProbability(A250,B250,Parameter_Date,CDSRollDate,E250:M250,SpreadCurveMaturities,D250,C250,$J$4,$J$6))</f>
        <v>0</v>
      </c>
      <c r="O250" s="155">
        <f ca="1"/>
        <v>0</v>
      </c>
      <c r="P250" s="155">
        <f ca="1"/>
        <v>1.2344815933745812E-3</v>
      </c>
      <c r="Q250" s="155">
        <f ca="1"/>
        <v>0</v>
      </c>
      <c r="R250" s="155">
        <f ca="1"/>
        <v>8.4355651426329947E-3</v>
      </c>
      <c r="S250" s="155">
        <f ca="1"/>
        <v>0</v>
      </c>
      <c r="T250" s="155">
        <f ca="1"/>
        <v>2.3102161623479334E-2</v>
      </c>
      <c r="U250" s="155">
        <f ca="1"/>
        <v>4.4745366312257007E-2</v>
      </c>
      <c r="V250" s="138">
        <f ca="1"/>
        <v>8.623475814804249E-2</v>
      </c>
      <c r="W250" s="137">
        <f ca="1"/>
        <v>0</v>
      </c>
      <c r="X250" s="155">
        <f ca="1"/>
        <v>0</v>
      </c>
      <c r="Y250" s="155">
        <f ca="1"/>
        <v>1.4009286421247102E-3</v>
      </c>
      <c r="Z250" s="155">
        <f ca="1"/>
        <v>0</v>
      </c>
      <c r="AA250" s="155">
        <f ca="1"/>
        <v>8.9312234351932585E-3</v>
      </c>
      <c r="AB250" s="155">
        <f ca="1"/>
        <v>0</v>
      </c>
      <c r="AC250" s="155">
        <f ca="1"/>
        <v>2.3915904049058745E-2</v>
      </c>
      <c r="AD250" s="155">
        <f ca="1"/>
        <v>4.5884564913453607E-2</v>
      </c>
      <c r="AE250" s="138">
        <f ca="1"/>
        <v>8.7805914562167464E-2</v>
      </c>
      <c r="AI250" s="135"/>
      <c r="AK250" s="135"/>
      <c r="AM250" s="135"/>
      <c r="AN250" s="135"/>
      <c r="AO250" s="135"/>
      <c r="AR250" s="135"/>
      <c r="AT250" s="135"/>
      <c r="AV250" s="135"/>
      <c r="AW250" s="135"/>
      <c r="AX250" s="135"/>
    </row>
    <row r="251" spans="1:50" s="79" customFormat="1" ht="11.25">
      <c r="A251" s="96">
        <f t="shared" ca="1" si="5"/>
        <v>240</v>
      </c>
      <c r="B251" s="68" t="s">
        <v>328</v>
      </c>
      <c r="C251" s="97">
        <v>0.4</v>
      </c>
      <c r="D251" s="69" t="s">
        <v>67</v>
      </c>
      <c r="E251" s="136" t="s">
        <v>87</v>
      </c>
      <c r="F251" s="154" t="s">
        <v>87</v>
      </c>
      <c r="G251" s="154">
        <v>1.928E-3</v>
      </c>
      <c r="H251" s="154" t="s">
        <v>87</v>
      </c>
      <c r="I251" s="154">
        <v>4.6899999999999997E-3</v>
      </c>
      <c r="J251" s="154" t="s">
        <v>87</v>
      </c>
      <c r="K251" s="154">
        <v>6.7070000000000003E-3</v>
      </c>
      <c r="L251" s="154">
        <v>8.3960000000000007E-3</v>
      </c>
      <c r="M251" s="154">
        <v>9.9319999999999999E-3</v>
      </c>
      <c r="N251" s="137" cm="1">
        <f t="array" aca="1" ref="N251:AE251" ca="1">IF(OR(B251="",NOT($J$2)),"",GetStripDefaultProbability(A251,B251,Parameter_Date,CDSRollDate,E251:M251,SpreadCurveMaturities,D251,C251,$J$4,$J$6))</f>
        <v>0</v>
      </c>
      <c r="O251" s="155">
        <f ca="1"/>
        <v>0</v>
      </c>
      <c r="P251" s="155">
        <f ca="1"/>
        <v>3.406177718706771E-3</v>
      </c>
      <c r="Q251" s="155">
        <f ca="1"/>
        <v>0</v>
      </c>
      <c r="R251" s="155">
        <f ca="1"/>
        <v>2.4148040556297379E-2</v>
      </c>
      <c r="S251" s="155">
        <f ca="1"/>
        <v>0</v>
      </c>
      <c r="T251" s="155">
        <f ca="1"/>
        <v>5.7285194047631216E-2</v>
      </c>
      <c r="U251" s="155">
        <f ca="1"/>
        <v>9.9949052697237528E-2</v>
      </c>
      <c r="V251" s="138">
        <f ca="1"/>
        <v>0.1660502358639141</v>
      </c>
      <c r="W251" s="137">
        <f ca="1"/>
        <v>0</v>
      </c>
      <c r="X251" s="155">
        <f ca="1"/>
        <v>0</v>
      </c>
      <c r="Y251" s="155">
        <f ca="1"/>
        <v>3.5722628482903751E-3</v>
      </c>
      <c r="Z251" s="155">
        <f ca="1"/>
        <v>0</v>
      </c>
      <c r="AA251" s="155">
        <f ca="1"/>
        <v>2.4635844574817822E-2</v>
      </c>
      <c r="AB251" s="155">
        <f ca="1"/>
        <v>0</v>
      </c>
      <c r="AC251" s="155">
        <f ca="1"/>
        <v>5.8070462478636564E-2</v>
      </c>
      <c r="AD251" s="155">
        <f ca="1"/>
        <v>0.10099849983918718</v>
      </c>
      <c r="AE251" s="138">
        <f ca="1"/>
        <v>0.16750374955485647</v>
      </c>
      <c r="AI251" s="135"/>
      <c r="AK251" s="135"/>
      <c r="AM251" s="135"/>
      <c r="AN251" s="135"/>
      <c r="AO251" s="135"/>
      <c r="AR251" s="135"/>
      <c r="AT251" s="135"/>
      <c r="AV251" s="135"/>
      <c r="AW251" s="135"/>
      <c r="AX251" s="135"/>
    </row>
    <row r="252" spans="1:50" s="79" customFormat="1" ht="11.25">
      <c r="A252" s="96">
        <f t="shared" ca="1" si="5"/>
        <v>241</v>
      </c>
      <c r="B252" s="68" t="s">
        <v>329</v>
      </c>
      <c r="C252" s="97">
        <v>0.4</v>
      </c>
      <c r="D252" s="69" t="s">
        <v>67</v>
      </c>
      <c r="E252" s="136" t="s">
        <v>87</v>
      </c>
      <c r="F252" s="154" t="s">
        <v>87</v>
      </c>
      <c r="G252" s="154">
        <v>6.02E-4</v>
      </c>
      <c r="H252" s="154" t="s">
        <v>87</v>
      </c>
      <c r="I252" s="154">
        <v>2.8709999999999999E-3</v>
      </c>
      <c r="J252" s="154" t="s">
        <v>87</v>
      </c>
      <c r="K252" s="154">
        <v>3.8119999999999999E-3</v>
      </c>
      <c r="L252" s="154">
        <v>4.6119999999999998E-3</v>
      </c>
      <c r="M252" s="154">
        <v>5.6470000000000001E-3</v>
      </c>
      <c r="N252" s="137" cm="1">
        <f t="array" aca="1" ref="N252:AE252" ca="1">IF(OR(B252="",NOT($J$2)),"",GetStripDefaultProbability(A252,B252,Parameter_Date,CDSRollDate,E252:M252,SpreadCurveMaturities,D252,C252,$J$4,$J$6))</f>
        <v>0</v>
      </c>
      <c r="O252" s="155">
        <f ca="1"/>
        <v>0</v>
      </c>
      <c r="P252" s="155">
        <f ca="1"/>
        <v>1.064785939264401E-3</v>
      </c>
      <c r="Q252" s="155">
        <f ca="1"/>
        <v>0</v>
      </c>
      <c r="R252" s="155">
        <f ca="1"/>
        <v>1.4914728083980977E-2</v>
      </c>
      <c r="S252" s="155">
        <f ca="1"/>
        <v>0</v>
      </c>
      <c r="T252" s="155">
        <f ca="1"/>
        <v>3.2812335517428681E-2</v>
      </c>
      <c r="U252" s="155">
        <f ca="1"/>
        <v>5.5587748045552776E-2</v>
      </c>
      <c r="V252" s="138">
        <f ca="1"/>
        <v>9.7432625402269268E-2</v>
      </c>
      <c r="W252" s="137">
        <f ca="1"/>
        <v>0</v>
      </c>
      <c r="X252" s="155">
        <f ca="1"/>
        <v>0</v>
      </c>
      <c r="Y252" s="155">
        <f ca="1"/>
        <v>1.2312612682829904E-3</v>
      </c>
      <c r="Z252" s="155">
        <f ca="1"/>
        <v>0</v>
      </c>
      <c r="AA252" s="155">
        <f ca="1"/>
        <v>1.5407147604773463E-2</v>
      </c>
      <c r="AB252" s="155">
        <f ca="1"/>
        <v>0</v>
      </c>
      <c r="AC252" s="155">
        <f ca="1"/>
        <v>3.3617989502025547E-2</v>
      </c>
      <c r="AD252" s="155">
        <f ca="1"/>
        <v>5.6712939317631328E-2</v>
      </c>
      <c r="AE252" s="138">
        <f ca="1"/>
        <v>9.8981884600128245E-2</v>
      </c>
      <c r="AI252" s="135"/>
      <c r="AK252" s="135"/>
      <c r="AM252" s="135"/>
      <c r="AN252" s="135"/>
      <c r="AO252" s="135"/>
      <c r="AR252" s="135"/>
      <c r="AT252" s="135"/>
      <c r="AV252" s="135"/>
      <c r="AW252" s="135"/>
      <c r="AX252" s="135"/>
    </row>
    <row r="253" spans="1:50" s="79" customFormat="1" ht="11.25">
      <c r="A253" s="96">
        <f t="shared" ca="1" si="5"/>
        <v>242</v>
      </c>
      <c r="B253" s="68" t="s">
        <v>330</v>
      </c>
      <c r="C253" s="97">
        <v>0.4</v>
      </c>
      <c r="D253" s="69" t="s">
        <v>67</v>
      </c>
      <c r="E253" s="136" t="s">
        <v>87</v>
      </c>
      <c r="F253" s="154" t="s">
        <v>87</v>
      </c>
      <c r="G253" s="154">
        <v>3.7399999999999998E-4</v>
      </c>
      <c r="H253" s="154" t="s">
        <v>87</v>
      </c>
      <c r="I253" s="154">
        <v>1.255E-3</v>
      </c>
      <c r="J253" s="154" t="s">
        <v>87</v>
      </c>
      <c r="K253" s="154">
        <v>1.9300000000000001E-3</v>
      </c>
      <c r="L253" s="154">
        <v>2.9919999999999999E-3</v>
      </c>
      <c r="M253" s="154">
        <v>3.4740000000000001E-3</v>
      </c>
      <c r="N253" s="137" cm="1">
        <f t="array" aca="1" ref="N253:AE253" ca="1">IF(OR(B253="",NOT($J$2)),"",GetStripDefaultProbability(A253,B253,Parameter_Date,CDSRollDate,E253:M253,SpreadCurveMaturities,D253,C253,$J$4,$J$6))</f>
        <v>0</v>
      </c>
      <c r="O253" s="155">
        <f ca="1"/>
        <v>0</v>
      </c>
      <c r="P253" s="155">
        <f ca="1"/>
        <v>6.6164403820745399E-4</v>
      </c>
      <c r="Q253" s="155">
        <f ca="1"/>
        <v>0</v>
      </c>
      <c r="R253" s="155">
        <f ca="1"/>
        <v>6.5248052836316406E-3</v>
      </c>
      <c r="S253" s="155">
        <f ca="1"/>
        <v>0</v>
      </c>
      <c r="T253" s="155">
        <f ca="1"/>
        <v>1.6815707620707832E-2</v>
      </c>
      <c r="U253" s="155">
        <f ca="1"/>
        <v>3.7252082472180592E-2</v>
      </c>
      <c r="V253" s="138">
        <f ca="1"/>
        <v>6.1222675042990504E-2</v>
      </c>
      <c r="W253" s="137">
        <f ca="1"/>
        <v>0</v>
      </c>
      <c r="X253" s="155">
        <f ca="1"/>
        <v>0</v>
      </c>
      <c r="Y253" s="155">
        <f ca="1"/>
        <v>8.2818655192351542E-4</v>
      </c>
      <c r="Z253" s="155">
        <f ca="1"/>
        <v>0</v>
      </c>
      <c r="AA253" s="155">
        <f ca="1"/>
        <v>7.0214187173150977E-3</v>
      </c>
      <c r="AB253" s="155">
        <f ca="1"/>
        <v>0</v>
      </c>
      <c r="AC253" s="155">
        <f ca="1"/>
        <v>1.7634686575709435E-2</v>
      </c>
      <c r="AD253" s="155">
        <f ca="1"/>
        <v>3.8400205768801654E-2</v>
      </c>
      <c r="AE253" s="138">
        <f ca="1"/>
        <v>6.2816788167184612E-2</v>
      </c>
      <c r="AI253" s="135"/>
      <c r="AK253" s="135"/>
      <c r="AM253" s="135"/>
      <c r="AN253" s="135"/>
      <c r="AO253" s="135"/>
      <c r="AR253" s="135"/>
      <c r="AT253" s="135"/>
      <c r="AV253" s="135"/>
      <c r="AW253" s="135"/>
      <c r="AX253" s="135"/>
    </row>
    <row r="254" spans="1:50" s="79" customFormat="1" ht="11.25">
      <c r="A254" s="96">
        <f t="shared" ca="1" si="5"/>
        <v>243</v>
      </c>
      <c r="B254" s="68" t="s">
        <v>331</v>
      </c>
      <c r="C254" s="97">
        <v>0.4</v>
      </c>
      <c r="D254" s="69" t="s">
        <v>67</v>
      </c>
      <c r="E254" s="136" t="s">
        <v>87</v>
      </c>
      <c r="F254" s="154" t="s">
        <v>87</v>
      </c>
      <c r="G254" s="154">
        <v>1.0859999999999999E-3</v>
      </c>
      <c r="H254" s="154" t="s">
        <v>87</v>
      </c>
      <c r="I254" s="154">
        <v>1.3029999999999999E-3</v>
      </c>
      <c r="J254" s="154" t="s">
        <v>87</v>
      </c>
      <c r="K254" s="154">
        <v>2.1710000000000002E-3</v>
      </c>
      <c r="L254" s="154">
        <v>2.895E-3</v>
      </c>
      <c r="M254" s="154">
        <v>3.3779999999999999E-3</v>
      </c>
      <c r="N254" s="137" cm="1">
        <f t="array" aca="1" ref="N254:AE254" ca="1">IF(OR(B254="",NOT($J$2)),"",GetStripDefaultProbability(A254,B254,Parameter_Date,CDSRollDate,E254:M254,SpreadCurveMaturities,D254,C254,$J$4,$J$6))</f>
        <v>0</v>
      </c>
      <c r="O254" s="155">
        <f ca="1"/>
        <v>0</v>
      </c>
      <c r="P254" s="155">
        <f ca="1"/>
        <v>1.9200434052450976E-3</v>
      </c>
      <c r="Q254" s="155">
        <f ca="1"/>
        <v>0</v>
      </c>
      <c r="R254" s="155">
        <f ca="1"/>
        <v>6.6841025394219766E-3</v>
      </c>
      <c r="S254" s="155">
        <f ca="1"/>
        <v>0</v>
      </c>
      <c r="T254" s="155">
        <f ca="1"/>
        <v>1.8874149085283176E-2</v>
      </c>
      <c r="U254" s="155">
        <f ca="1"/>
        <v>3.5589568139935746E-2</v>
      </c>
      <c r="V254" s="138">
        <f ca="1"/>
        <v>5.9143047889373745E-2</v>
      </c>
      <c r="W254" s="137">
        <f ca="1"/>
        <v>0</v>
      </c>
      <c r="X254" s="155">
        <f ca="1"/>
        <v>0</v>
      </c>
      <c r="Y254" s="155">
        <f ca="1"/>
        <v>2.0863762032231614E-3</v>
      </c>
      <c r="Z254" s="155">
        <f ca="1"/>
        <v>0</v>
      </c>
      <c r="AA254" s="155">
        <f ca="1"/>
        <v>7.1806363443529531E-3</v>
      </c>
      <c r="AB254" s="155">
        <f ca="1"/>
        <v>0</v>
      </c>
      <c r="AC254" s="155">
        <f ca="1"/>
        <v>1.969141338695779E-2</v>
      </c>
      <c r="AD254" s="155">
        <f ca="1"/>
        <v>3.6739071836826342E-2</v>
      </c>
      <c r="AE254" s="138">
        <f ca="1"/>
        <v>6.0738922714177357E-2</v>
      </c>
      <c r="AI254" s="135"/>
      <c r="AK254" s="135"/>
      <c r="AM254" s="135"/>
      <c r="AN254" s="135"/>
      <c r="AO254" s="135"/>
      <c r="AR254" s="135"/>
      <c r="AT254" s="135"/>
      <c r="AV254" s="135"/>
      <c r="AW254" s="135"/>
      <c r="AX254" s="135"/>
    </row>
    <row r="255" spans="1:50" s="79" customFormat="1" ht="11.25">
      <c r="A255" s="96">
        <f t="shared" ca="1" si="5"/>
        <v>244</v>
      </c>
      <c r="B255" s="68" t="s">
        <v>332</v>
      </c>
      <c r="C255" s="97">
        <v>0.4</v>
      </c>
      <c r="D255" s="69" t="s">
        <v>67</v>
      </c>
      <c r="E255" s="136" t="s">
        <v>87</v>
      </c>
      <c r="F255" s="154" t="s">
        <v>87</v>
      </c>
      <c r="G255" s="154">
        <v>6.9499999999999998E-4</v>
      </c>
      <c r="H255" s="154" t="s">
        <v>87</v>
      </c>
      <c r="I255" s="154">
        <v>1.544E-3</v>
      </c>
      <c r="J255" s="154" t="s">
        <v>87</v>
      </c>
      <c r="K255" s="154">
        <v>2.3159999999999999E-3</v>
      </c>
      <c r="L255" s="154">
        <v>3.1849999999999999E-3</v>
      </c>
      <c r="M255" s="154">
        <v>4.4869999999999997E-3</v>
      </c>
      <c r="N255" s="137" cm="1">
        <f t="array" aca="1" ref="N255:AE255" ca="1">IF(OR(B255="",NOT($J$2)),"",GetStripDefaultProbability(A255,B255,Parameter_Date,CDSRollDate,E255:M255,SpreadCurveMaturities,D255,C255,$J$4,$J$6))</f>
        <v>0</v>
      </c>
      <c r="O255" s="155">
        <f ca="1"/>
        <v>0</v>
      </c>
      <c r="P255" s="155">
        <f ca="1"/>
        <v>1.2291790373534228E-3</v>
      </c>
      <c r="Q255" s="155">
        <f ca="1"/>
        <v>0</v>
      </c>
      <c r="R255" s="155">
        <f ca="1"/>
        <v>7.9924542599298931E-3</v>
      </c>
      <c r="S255" s="155">
        <f ca="1"/>
        <v>0</v>
      </c>
      <c r="T255" s="155">
        <f ca="1"/>
        <v>2.0101172763539954E-2</v>
      </c>
      <c r="U255" s="155">
        <f ca="1"/>
        <v>3.9188614684444345E-2</v>
      </c>
      <c r="V255" s="138">
        <f ca="1"/>
        <v>8.01825893701682E-2</v>
      </c>
      <c r="W255" s="137">
        <f ca="1"/>
        <v>0</v>
      </c>
      <c r="X255" s="155">
        <f ca="1"/>
        <v>0</v>
      </c>
      <c r="Y255" s="155">
        <f ca="1"/>
        <v>1.395626969799113E-3</v>
      </c>
      <c r="Z255" s="155">
        <f ca="1"/>
        <v>0</v>
      </c>
      <c r="AA255" s="155">
        <f ca="1"/>
        <v>8.4883340525407913E-3</v>
      </c>
      <c r="AB255" s="155">
        <f ca="1"/>
        <v>0</v>
      </c>
      <c r="AC255" s="155">
        <f ca="1"/>
        <v>2.091741497141586E-2</v>
      </c>
      <c r="AD255" s="155">
        <f ca="1"/>
        <v>4.0334017968087776E-2</v>
      </c>
      <c r="AE255" s="138">
        <f ca="1"/>
        <v>8.1763373555190588E-2</v>
      </c>
      <c r="AI255" s="135"/>
      <c r="AK255" s="135"/>
      <c r="AM255" s="135"/>
      <c r="AN255" s="135"/>
      <c r="AO255" s="135"/>
      <c r="AR255" s="135"/>
      <c r="AT255" s="135"/>
      <c r="AV255" s="135"/>
      <c r="AW255" s="135"/>
      <c r="AX255" s="135"/>
    </row>
    <row r="256" spans="1:50" s="79" customFormat="1" ht="11.25">
      <c r="A256" s="96">
        <f t="shared" ca="1" si="5"/>
        <v>245</v>
      </c>
      <c r="B256" s="68" t="s">
        <v>333</v>
      </c>
      <c r="C256" s="97">
        <v>0.4</v>
      </c>
      <c r="D256" s="69" t="s">
        <v>67</v>
      </c>
      <c r="E256" s="136" t="s">
        <v>87</v>
      </c>
      <c r="F256" s="154" t="s">
        <v>87</v>
      </c>
      <c r="G256" s="154">
        <v>2.0885000000000001E-2</v>
      </c>
      <c r="H256" s="154" t="s">
        <v>87</v>
      </c>
      <c r="I256" s="154">
        <v>1.9042E-2</v>
      </c>
      <c r="J256" s="154" t="s">
        <v>87</v>
      </c>
      <c r="K256" s="154">
        <v>1.5970999999999999E-2</v>
      </c>
      <c r="L256" s="154">
        <v>1.5356E-2</v>
      </c>
      <c r="M256" s="154">
        <v>1.4435E-2</v>
      </c>
      <c r="N256" s="137" cm="1">
        <f t="array" aca="1" ref="N256:AE256" ca="1">IF(OR(B256="",NOT($J$2)),"",GetStripDefaultProbability(A256,B256,Parameter_Date,CDSRollDate,E256:M256,SpreadCurveMaturities,D256,C256,$J$4,$J$6))</f>
        <v>0</v>
      </c>
      <c r="O256" s="155">
        <f ca="1"/>
        <v>0</v>
      </c>
      <c r="P256" s="155">
        <f ca="1"/>
        <v>3.6293675058181374E-2</v>
      </c>
      <c r="Q256" s="155">
        <f ca="1"/>
        <v>0</v>
      </c>
      <c r="R256" s="155">
        <f ca="1"/>
        <v>9.2622641878555512E-2</v>
      </c>
      <c r="S256" s="155">
        <f ca="1"/>
        <v>0</v>
      </c>
      <c r="T256" s="155">
        <f ca="1"/>
        <v>0.12361994332845627</v>
      </c>
      <c r="U256" s="155">
        <f ca="1"/>
        <v>0.16200500806082063</v>
      </c>
      <c r="V256" s="138">
        <f ca="1"/>
        <v>0.2083448676768358</v>
      </c>
      <c r="W256" s="137">
        <f ca="1"/>
        <v>0</v>
      </c>
      <c r="X256" s="155">
        <f ca="1"/>
        <v>0</v>
      </c>
      <c r="Y256" s="155">
        <f ca="1"/>
        <v>3.6454279394952271E-2</v>
      </c>
      <c r="Z256" s="155">
        <f ca="1"/>
        <v>0</v>
      </c>
      <c r="AA256" s="155">
        <f ca="1"/>
        <v>9.3076217154374863E-2</v>
      </c>
      <c r="AB256" s="155">
        <f ca="1"/>
        <v>0</v>
      </c>
      <c r="AC256" s="155">
        <f ca="1"/>
        <v>0.12434995582822572</v>
      </c>
      <c r="AD256" s="155">
        <f ca="1"/>
        <v>0.16298209880429915</v>
      </c>
      <c r="AE256" s="138">
        <f ca="1"/>
        <v>0.20966319398693922</v>
      </c>
      <c r="AI256" s="135"/>
      <c r="AK256" s="135"/>
      <c r="AM256" s="135"/>
      <c r="AN256" s="135"/>
      <c r="AO256" s="135"/>
      <c r="AR256" s="135"/>
      <c r="AT256" s="135"/>
      <c r="AV256" s="135"/>
      <c r="AW256" s="135"/>
      <c r="AX256" s="135"/>
    </row>
    <row r="257" spans="1:50" s="79" customFormat="1" ht="11.25">
      <c r="A257" s="96">
        <f t="shared" ca="1" si="5"/>
        <v>246</v>
      </c>
      <c r="B257" s="68" t="s">
        <v>334</v>
      </c>
      <c r="C257" s="97">
        <v>0.4</v>
      </c>
      <c r="D257" s="69" t="s">
        <v>67</v>
      </c>
      <c r="E257" s="136" t="s">
        <v>87</v>
      </c>
      <c r="F257" s="154" t="s">
        <v>87</v>
      </c>
      <c r="G257" s="154">
        <v>1.3420000000000001E-3</v>
      </c>
      <c r="H257" s="154" t="s">
        <v>87</v>
      </c>
      <c r="I257" s="154">
        <v>2.5339999999999998E-3</v>
      </c>
      <c r="J257" s="154" t="s">
        <v>87</v>
      </c>
      <c r="K257" s="154">
        <v>3.3289999999999999E-3</v>
      </c>
      <c r="L257" s="154">
        <v>3.4290000000000002E-3</v>
      </c>
      <c r="M257" s="154">
        <v>3.5279999999999999E-3</v>
      </c>
      <c r="N257" s="137" cm="1">
        <f t="array" aca="1" ref="N257:AE257" ca="1">IF(OR(B257="",NOT($J$2)),"",GetStripDefaultProbability(A257,B257,Parameter_Date,CDSRollDate,E257:M257,SpreadCurveMaturities,D257,C257,$J$4,$J$6))</f>
        <v>0</v>
      </c>
      <c r="O257" s="155">
        <f ca="1"/>
        <v>0</v>
      </c>
      <c r="P257" s="155">
        <f ca="1"/>
        <v>2.3721171421441367E-3</v>
      </c>
      <c r="Q257" s="155">
        <f ca="1"/>
        <v>0</v>
      </c>
      <c r="R257" s="155">
        <f ca="1"/>
        <v>1.3063616764991792E-2</v>
      </c>
      <c r="S257" s="155">
        <f ca="1"/>
        <v>0</v>
      </c>
      <c r="T257" s="155">
        <f ca="1"/>
        <v>2.8573878148758669E-2</v>
      </c>
      <c r="U257" s="155">
        <f ca="1"/>
        <v>4.0678087293369525E-2</v>
      </c>
      <c r="V257" s="138">
        <f ca="1"/>
        <v>5.9068364881523783E-2</v>
      </c>
      <c r="W257" s="137">
        <f ca="1"/>
        <v>0</v>
      </c>
      <c r="X257" s="155">
        <f ca="1"/>
        <v>0</v>
      </c>
      <c r="Y257" s="155">
        <f ca="1"/>
        <v>2.5383746007928698E-3</v>
      </c>
      <c r="Z257" s="155">
        <f ca="1"/>
        <v>0</v>
      </c>
      <c r="AA257" s="155">
        <f ca="1"/>
        <v>1.3556961610080909E-2</v>
      </c>
      <c r="AB257" s="155">
        <f ca="1"/>
        <v>0</v>
      </c>
      <c r="AC257" s="155">
        <f ca="1"/>
        <v>2.9383062709877006E-2</v>
      </c>
      <c r="AD257" s="155">
        <f ca="1"/>
        <v>4.1819448845621721E-2</v>
      </c>
      <c r="AE257" s="138">
        <f ca="1"/>
        <v>6.0635278149672733E-2</v>
      </c>
      <c r="AI257" s="135"/>
      <c r="AK257" s="135"/>
      <c r="AM257" s="135"/>
      <c r="AN257" s="135"/>
      <c r="AO257" s="135"/>
      <c r="AR257" s="135"/>
      <c r="AT257" s="135"/>
      <c r="AV257" s="135"/>
      <c r="AW257" s="135"/>
      <c r="AX257" s="135"/>
    </row>
    <row r="258" spans="1:50" s="79" customFormat="1" ht="11.25">
      <c r="A258" s="96">
        <f t="shared" ca="1" si="5"/>
        <v>247</v>
      </c>
      <c r="B258" s="68" t="s">
        <v>335</v>
      </c>
      <c r="C258" s="97">
        <v>0.4</v>
      </c>
      <c r="D258" s="69" t="s">
        <v>67</v>
      </c>
      <c r="E258" s="136" t="s">
        <v>87</v>
      </c>
      <c r="F258" s="154" t="s">
        <v>87</v>
      </c>
      <c r="G258" s="154">
        <v>2.846E-3</v>
      </c>
      <c r="H258" s="154" t="s">
        <v>87</v>
      </c>
      <c r="I258" s="154">
        <v>4.3860000000000001E-3</v>
      </c>
      <c r="J258" s="154" t="s">
        <v>87</v>
      </c>
      <c r="K258" s="154">
        <v>7.0930000000000003E-3</v>
      </c>
      <c r="L258" s="154">
        <v>8.5389999999999997E-3</v>
      </c>
      <c r="M258" s="154">
        <v>1.0266000000000001E-2</v>
      </c>
      <c r="N258" s="137" cm="1">
        <f t="array" aca="1" ref="N258:AE258" ca="1">IF(OR(B258="",NOT($J$2)),"",GetStripDefaultProbability(A258,B258,Parameter_Date,CDSRollDate,E258:M258,SpreadCurveMaturities,D258,C258,$J$4,$J$6))</f>
        <v>0</v>
      </c>
      <c r="O258" s="155">
        <f ca="1"/>
        <v>0</v>
      </c>
      <c r="P258" s="155">
        <f ca="1"/>
        <v>5.0239524879724939E-3</v>
      </c>
      <c r="Q258" s="155">
        <f ca="1"/>
        <v>0</v>
      </c>
      <c r="R258" s="155">
        <f ca="1"/>
        <v>2.2448719357242464E-2</v>
      </c>
      <c r="S258" s="155">
        <f ca="1"/>
        <v>0</v>
      </c>
      <c r="T258" s="155">
        <f ca="1"/>
        <v>6.0748796765802138E-2</v>
      </c>
      <c r="U258" s="155">
        <f ca="1"/>
        <v>0.10136873271114433</v>
      </c>
      <c r="V258" s="138">
        <f ca="1"/>
        <v>0.17154981950765547</v>
      </c>
      <c r="W258" s="137">
        <f ca="1"/>
        <v>0</v>
      </c>
      <c r="X258" s="155">
        <f ca="1"/>
        <v>0</v>
      </c>
      <c r="Y258" s="155">
        <f ca="1"/>
        <v>5.1897680108847766E-3</v>
      </c>
      <c r="Z258" s="155">
        <f ca="1"/>
        <v>0</v>
      </c>
      <c r="AA258" s="155">
        <f ca="1"/>
        <v>2.2937372824032409E-2</v>
      </c>
      <c r="AB258" s="155">
        <f ca="1"/>
        <v>0</v>
      </c>
      <c r="AC258" s="155">
        <f ca="1"/>
        <v>6.1531180063529201E-2</v>
      </c>
      <c r="AD258" s="155">
        <f ca="1"/>
        <v>0.10241652452558569</v>
      </c>
      <c r="AE258" s="138">
        <f ca="1"/>
        <v>0.1729961116347406</v>
      </c>
      <c r="AI258" s="135"/>
      <c r="AK258" s="135"/>
      <c r="AM258" s="135"/>
      <c r="AN258" s="135"/>
      <c r="AO258" s="135"/>
      <c r="AR258" s="135"/>
      <c r="AT258" s="135"/>
      <c r="AV258" s="135"/>
      <c r="AW258" s="135"/>
      <c r="AX258" s="135"/>
    </row>
    <row r="259" spans="1:50" s="79" customFormat="1" ht="11.25">
      <c r="A259" s="96">
        <f t="shared" ca="1" si="5"/>
        <v>248</v>
      </c>
      <c r="B259" s="68" t="s">
        <v>336</v>
      </c>
      <c r="C259" s="97">
        <v>0.4</v>
      </c>
      <c r="D259" s="69" t="s">
        <v>67</v>
      </c>
      <c r="E259" s="136" t="s">
        <v>87</v>
      </c>
      <c r="F259" s="154" t="s">
        <v>87</v>
      </c>
      <c r="G259" s="154">
        <v>1.1789999999999999E-3</v>
      </c>
      <c r="H259" s="154" t="s">
        <v>87</v>
      </c>
      <c r="I259" s="154">
        <v>2.5530000000000001E-3</v>
      </c>
      <c r="J259" s="154" t="s">
        <v>87</v>
      </c>
      <c r="K259" s="154">
        <v>4.5840000000000004E-3</v>
      </c>
      <c r="L259" s="154">
        <v>5.6449999999999998E-3</v>
      </c>
      <c r="M259" s="154">
        <v>6.6100000000000004E-3</v>
      </c>
      <c r="N259" s="137" cm="1">
        <f t="array" aca="1" ref="N259:AE259" ca="1">IF(OR(B259="",NOT($J$2)),"",GetStripDefaultProbability(A259,B259,Parameter_Date,CDSRollDate,E259:M259,SpreadCurveMaturities,D259,C259,$J$4,$J$6))</f>
        <v>0</v>
      </c>
      <c r="O259" s="155">
        <f ca="1"/>
        <v>0</v>
      </c>
      <c r="P259" s="155">
        <f ca="1"/>
        <v>2.0842968193343081E-3</v>
      </c>
      <c r="Q259" s="155">
        <f ca="1"/>
        <v>0</v>
      </c>
      <c r="R259" s="155">
        <f ca="1"/>
        <v>1.3184213276268064E-2</v>
      </c>
      <c r="S259" s="155">
        <f ca="1"/>
        <v>0</v>
      </c>
      <c r="T259" s="155">
        <f ca="1"/>
        <v>3.9827693803558439E-2</v>
      </c>
      <c r="U259" s="155">
        <f ca="1"/>
        <v>6.83217830860815E-2</v>
      </c>
      <c r="V259" s="138">
        <f ca="1"/>
        <v>0.11307084433194292</v>
      </c>
      <c r="W259" s="137">
        <f ca="1"/>
        <v>0</v>
      </c>
      <c r="X259" s="155">
        <f ca="1"/>
        <v>0</v>
      </c>
      <c r="Y259" s="155">
        <f ca="1"/>
        <v>2.2506022440186291E-3</v>
      </c>
      <c r="Z259" s="155">
        <f ca="1"/>
        <v>0</v>
      </c>
      <c r="AA259" s="155">
        <f ca="1"/>
        <v>1.367749783820682E-2</v>
      </c>
      <c r="AB259" s="155">
        <f ca="1"/>
        <v>0</v>
      </c>
      <c r="AC259" s="155">
        <f ca="1"/>
        <v>4.062750409147653E-2</v>
      </c>
      <c r="AD259" s="155">
        <f ca="1"/>
        <v>6.9432645500559054E-2</v>
      </c>
      <c r="AE259" s="138">
        <f ca="1"/>
        <v>0.11459721962403657</v>
      </c>
      <c r="AI259" s="135"/>
      <c r="AK259" s="135"/>
      <c r="AM259" s="135"/>
      <c r="AN259" s="135"/>
      <c r="AO259" s="135"/>
      <c r="AR259" s="135"/>
      <c r="AT259" s="135"/>
      <c r="AV259" s="135"/>
      <c r="AW259" s="135"/>
      <c r="AX259" s="135"/>
    </row>
    <row r="260" spans="1:50" s="79" customFormat="1" ht="11.25">
      <c r="A260" s="96">
        <f t="shared" ca="1" si="5"/>
        <v>249</v>
      </c>
      <c r="B260" s="68" t="s">
        <v>337</v>
      </c>
      <c r="C260" s="97">
        <v>0.4</v>
      </c>
      <c r="D260" s="69" t="s">
        <v>67</v>
      </c>
      <c r="E260" s="136" t="s">
        <v>87</v>
      </c>
      <c r="F260" s="154" t="s">
        <v>87</v>
      </c>
      <c r="G260" s="154">
        <v>5.7700000000000004E-4</v>
      </c>
      <c r="H260" s="154" t="s">
        <v>87</v>
      </c>
      <c r="I260" s="154">
        <v>1.15E-3</v>
      </c>
      <c r="J260" s="154" t="s">
        <v>87</v>
      </c>
      <c r="K260" s="154">
        <v>1.9780000000000002E-3</v>
      </c>
      <c r="L260" s="154">
        <v>2.5760000000000002E-3</v>
      </c>
      <c r="M260" s="154">
        <v>3.3579999999999999E-3</v>
      </c>
      <c r="N260" s="137" cm="1">
        <f t="array" aca="1" ref="N260:AE260" ca="1">IF(OR(B260="",NOT($J$2)),"",GetStripDefaultProbability(A260,B260,Parameter_Date,CDSRollDate,E260:M260,SpreadCurveMaturities,D260,C260,$J$4,$J$6))</f>
        <v>0</v>
      </c>
      <c r="O260" s="155">
        <f ca="1"/>
        <v>0</v>
      </c>
      <c r="P260" s="155">
        <f ca="1"/>
        <v>1.0205896657166091E-3</v>
      </c>
      <c r="Q260" s="155">
        <f ca="1"/>
        <v>0</v>
      </c>
      <c r="R260" s="155">
        <f ca="1"/>
        <v>5.9501549413594201E-3</v>
      </c>
      <c r="S260" s="155">
        <f ca="1"/>
        <v>0</v>
      </c>
      <c r="T260" s="155">
        <f ca="1"/>
        <v>1.7281112619412453E-2</v>
      </c>
      <c r="U260" s="155">
        <f ca="1"/>
        <v>3.1719399615376953E-2</v>
      </c>
      <c r="V260" s="138">
        <f ca="1"/>
        <v>5.9761869064860251E-2</v>
      </c>
      <c r="W260" s="137">
        <f ca="1"/>
        <v>0</v>
      </c>
      <c r="X260" s="155">
        <f ca="1"/>
        <v>0</v>
      </c>
      <c r="Y260" s="155">
        <f ca="1"/>
        <v>1.1870723601634658E-3</v>
      </c>
      <c r="Z260" s="155">
        <f ca="1"/>
        <v>0</v>
      </c>
      <c r="AA260" s="155">
        <f ca="1"/>
        <v>6.4470556283362512E-3</v>
      </c>
      <c r="AB260" s="155">
        <f ca="1"/>
        <v>0</v>
      </c>
      <c r="AC260" s="155">
        <f ca="1"/>
        <v>1.8099703898511899E-2</v>
      </c>
      <c r="AD260" s="155">
        <f ca="1"/>
        <v>3.2873498112082622E-2</v>
      </c>
      <c r="AE260" s="138">
        <f ca="1"/>
        <v>6.135633576268662E-2</v>
      </c>
      <c r="AI260" s="135"/>
      <c r="AK260" s="135"/>
      <c r="AM260" s="135"/>
      <c r="AN260" s="135"/>
      <c r="AO260" s="135"/>
      <c r="AR260" s="135"/>
      <c r="AT260" s="135"/>
      <c r="AV260" s="135"/>
      <c r="AW260" s="135"/>
      <c r="AX260" s="135"/>
    </row>
    <row r="261" spans="1:50" s="79" customFormat="1" ht="11.25">
      <c r="A261" s="96">
        <f t="shared" ca="1" si="5"/>
        <v>250</v>
      </c>
      <c r="B261" s="68" t="s">
        <v>338</v>
      </c>
      <c r="C261" s="97">
        <v>0.4</v>
      </c>
      <c r="D261" s="69" t="s">
        <v>67</v>
      </c>
      <c r="E261" s="136" t="s">
        <v>87</v>
      </c>
      <c r="F261" s="154" t="s">
        <v>87</v>
      </c>
      <c r="G261" s="154">
        <v>2.5500000000000002E-3</v>
      </c>
      <c r="H261" s="154" t="s">
        <v>87</v>
      </c>
      <c r="I261" s="154">
        <v>3.8579999999999999E-3</v>
      </c>
      <c r="J261" s="154" t="s">
        <v>87</v>
      </c>
      <c r="K261" s="154">
        <v>4.9699999999999996E-3</v>
      </c>
      <c r="L261" s="154">
        <v>5.5579999999999996E-3</v>
      </c>
      <c r="M261" s="154">
        <v>6.3429999999999997E-3</v>
      </c>
      <c r="N261" s="137" cm="1">
        <f t="array" aca="1" ref="N261:AE261" ca="1">IF(OR(B261="",NOT($J$2)),"",GetStripDefaultProbability(A261,B261,Parameter_Date,CDSRollDate,E261:M261,SpreadCurveMaturities,D261,C261,$J$4,$J$6))</f>
        <v>0</v>
      </c>
      <c r="O261" s="155">
        <f ca="1"/>
        <v>0</v>
      </c>
      <c r="P261" s="155">
        <f ca="1"/>
        <v>4.502601560282149E-3</v>
      </c>
      <c r="Q261" s="155">
        <f ca="1"/>
        <v>0</v>
      </c>
      <c r="R261" s="155">
        <f ca="1"/>
        <v>1.9762940258487016E-2</v>
      </c>
      <c r="S261" s="155">
        <f ca="1"/>
        <v>0</v>
      </c>
      <c r="T261" s="155">
        <f ca="1"/>
        <v>4.2298669112158072E-2</v>
      </c>
      <c r="U261" s="155">
        <f ca="1"/>
        <v>6.5778659308679321E-2</v>
      </c>
      <c r="V261" s="138">
        <f ca="1"/>
        <v>0.10671662404591309</v>
      </c>
      <c r="W261" s="137">
        <f ca="1"/>
        <v>0</v>
      </c>
      <c r="X261" s="155">
        <f ca="1"/>
        <v>0</v>
      </c>
      <c r="Y261" s="155">
        <f ca="1"/>
        <v>4.6685039677595297E-3</v>
      </c>
      <c r="Z261" s="155">
        <f ca="1"/>
        <v>0</v>
      </c>
      <c r="AA261" s="155">
        <f ca="1"/>
        <v>2.0252936279106515E-2</v>
      </c>
      <c r="AB261" s="155">
        <f ca="1"/>
        <v>0</v>
      </c>
      <c r="AC261" s="155">
        <f ca="1"/>
        <v>4.309642111176748E-2</v>
      </c>
      <c r="AD261" s="155">
        <f ca="1"/>
        <v>6.6889941259224761E-2</v>
      </c>
      <c r="AE261" s="138">
        <f ca="1"/>
        <v>0.10824568574982452</v>
      </c>
      <c r="AI261" s="135"/>
      <c r="AK261" s="135"/>
      <c r="AM261" s="135"/>
      <c r="AN261" s="135"/>
      <c r="AO261" s="135"/>
      <c r="AR261" s="135"/>
      <c r="AT261" s="135"/>
      <c r="AV261" s="135"/>
      <c r="AW261" s="135"/>
      <c r="AX261" s="135"/>
    </row>
    <row r="262" spans="1:50" s="79" customFormat="1" ht="11.25">
      <c r="A262" s="96">
        <f t="shared" ca="1" si="5"/>
        <v>251</v>
      </c>
      <c r="B262" s="68" t="s">
        <v>339</v>
      </c>
      <c r="C262" s="97">
        <v>0.4</v>
      </c>
      <c r="D262" s="69" t="s">
        <v>67</v>
      </c>
      <c r="E262" s="136" t="s">
        <v>87</v>
      </c>
      <c r="F262" s="154" t="s">
        <v>87</v>
      </c>
      <c r="G262" s="154">
        <v>2.5166999999999998E-2</v>
      </c>
      <c r="H262" s="154" t="s">
        <v>87</v>
      </c>
      <c r="I262" s="154">
        <v>2.5009E-2</v>
      </c>
      <c r="J262" s="154" t="s">
        <v>87</v>
      </c>
      <c r="K262" s="154">
        <v>2.265E-2</v>
      </c>
      <c r="L262" s="154">
        <v>2.1706E-2</v>
      </c>
      <c r="M262" s="154">
        <v>2.0763E-2</v>
      </c>
      <c r="N262" s="137" cm="1">
        <f t="array" aca="1" ref="N262:AE262" ca="1">IF(OR(B262="",NOT($J$2)),"",GetStripDefaultProbability(A262,B262,Parameter_Date,CDSRollDate,E262:M262,SpreadCurveMaturities,D262,C262,$J$4,$J$6))</f>
        <v>0</v>
      </c>
      <c r="O262" s="155">
        <f ca="1"/>
        <v>0</v>
      </c>
      <c r="P262" s="155">
        <f ca="1"/>
        <v>4.3573855517116344E-2</v>
      </c>
      <c r="Q262" s="155">
        <f ca="1"/>
        <v>0</v>
      </c>
      <c r="R262" s="155">
        <f ca="1"/>
        <v>0.12026817761147901</v>
      </c>
      <c r="S262" s="155">
        <f ca="1"/>
        <v>0</v>
      </c>
      <c r="T262" s="155">
        <f ca="1"/>
        <v>0.17242206360917212</v>
      </c>
      <c r="U262" s="155">
        <f ca="1"/>
        <v>0.2222054826632297</v>
      </c>
      <c r="V262" s="138">
        <f ca="1"/>
        <v>0.28737957562615379</v>
      </c>
      <c r="W262" s="137">
        <f ca="1"/>
        <v>0</v>
      </c>
      <c r="X262" s="155">
        <f ca="1"/>
        <v>0</v>
      </c>
      <c r="Y262" s="155">
        <f ca="1"/>
        <v>4.3733246591571184E-2</v>
      </c>
      <c r="Z262" s="155">
        <f ca="1"/>
        <v>0</v>
      </c>
      <c r="AA262" s="155">
        <f ca="1"/>
        <v>0.12070793357455445</v>
      </c>
      <c r="AB262" s="155">
        <f ca="1"/>
        <v>0</v>
      </c>
      <c r="AC262" s="155">
        <f ca="1"/>
        <v>0.17311142461584728</v>
      </c>
      <c r="AD262" s="155">
        <f ca="1"/>
        <v>0.22311238047355209</v>
      </c>
      <c r="AE262" s="138">
        <f ca="1"/>
        <v>0.28856628713250521</v>
      </c>
      <c r="AI262" s="135"/>
      <c r="AK262" s="135"/>
      <c r="AM262" s="135"/>
      <c r="AN262" s="135"/>
      <c r="AO262" s="135"/>
      <c r="AR262" s="135"/>
      <c r="AT262" s="135"/>
      <c r="AV262" s="135"/>
      <c r="AW262" s="135"/>
      <c r="AX262" s="135"/>
    </row>
    <row r="263" spans="1:50" s="79" customFormat="1" ht="11.25">
      <c r="A263" s="96">
        <f t="shared" ca="1" si="5"/>
        <v>252</v>
      </c>
      <c r="B263" s="68" t="s">
        <v>340</v>
      </c>
      <c r="C263" s="97">
        <v>0.4</v>
      </c>
      <c r="D263" s="69" t="s">
        <v>67</v>
      </c>
      <c r="E263" s="136" t="s">
        <v>87</v>
      </c>
      <c r="F263" s="154" t="s">
        <v>87</v>
      </c>
      <c r="G263" s="154">
        <v>4.4299999999999999E-3</v>
      </c>
      <c r="H263" s="154" t="s">
        <v>87</v>
      </c>
      <c r="I263" s="154">
        <v>7.8539999999999999E-3</v>
      </c>
      <c r="J263" s="154" t="s">
        <v>87</v>
      </c>
      <c r="K263" s="154">
        <v>1.235E-2</v>
      </c>
      <c r="L263" s="154">
        <v>1.4572E-2</v>
      </c>
      <c r="M263" s="154">
        <v>1.7569000000000001E-2</v>
      </c>
      <c r="N263" s="137" cm="1">
        <f t="array" aca="1" ref="N263:AE263" ca="1">IF(OR(B263="",NOT($J$2)),"",GetStripDefaultProbability(A263,B263,Parameter_Date,CDSRollDate,E263:M263,SpreadCurveMaturities,D263,C263,$J$4,$J$6))</f>
        <v>0</v>
      </c>
      <c r="O263" s="155">
        <f ca="1"/>
        <v>0</v>
      </c>
      <c r="P263" s="155">
        <f ca="1"/>
        <v>7.8092927536241863E-3</v>
      </c>
      <c r="Q263" s="155">
        <f ca="1"/>
        <v>0</v>
      </c>
      <c r="R263" s="155">
        <f ca="1"/>
        <v>3.9995486877473119E-2</v>
      </c>
      <c r="S263" s="155">
        <f ca="1"/>
        <v>0</v>
      </c>
      <c r="T263" s="155">
        <f ca="1"/>
        <v>0.10395155523877753</v>
      </c>
      <c r="U263" s="155">
        <f ca="1"/>
        <v>0.16779292389741207</v>
      </c>
      <c r="V263" s="138">
        <f ca="1"/>
        <v>0.27955828328404986</v>
      </c>
      <c r="W263" s="137">
        <f ca="1"/>
        <v>0</v>
      </c>
      <c r="X263" s="155">
        <f ca="1"/>
        <v>0</v>
      </c>
      <c r="Y263" s="155">
        <f ca="1"/>
        <v>7.974644091850891E-3</v>
      </c>
      <c r="Z263" s="155">
        <f ca="1"/>
        <v>0</v>
      </c>
      <c r="AA263" s="155">
        <f ca="1"/>
        <v>4.0475369153455176E-2</v>
      </c>
      <c r="AB263" s="155">
        <f ca="1"/>
        <v>0</v>
      </c>
      <c r="AC263" s="155">
        <f ca="1"/>
        <v>0.10472668312313371</v>
      </c>
      <c r="AD263" s="155">
        <f ca="1"/>
        <v>0.16880513534562314</v>
      </c>
      <c r="AE263" s="138">
        <f ca="1"/>
        <v>0.28083489824759755</v>
      </c>
      <c r="AI263" s="135"/>
      <c r="AK263" s="135"/>
      <c r="AM263" s="135"/>
      <c r="AN263" s="135"/>
      <c r="AO263" s="135"/>
      <c r="AR263" s="135"/>
      <c r="AT263" s="135"/>
      <c r="AV263" s="135"/>
      <c r="AW263" s="135"/>
      <c r="AX263" s="135"/>
    </row>
    <row r="264" spans="1:50" s="79" customFormat="1" ht="11.25">
      <c r="A264" s="96">
        <f t="shared" ca="1" si="5"/>
        <v>253</v>
      </c>
      <c r="B264" s="68" t="s">
        <v>341</v>
      </c>
      <c r="C264" s="97">
        <v>0.4</v>
      </c>
      <c r="D264" s="69" t="s">
        <v>66</v>
      </c>
      <c r="E264" s="136" t="s">
        <v>87</v>
      </c>
      <c r="F264" s="154">
        <v>2.2000000000000001E-3</v>
      </c>
      <c r="G264" s="154">
        <v>2.8999999999999998E-3</v>
      </c>
      <c r="H264" s="154">
        <v>4.7999999999999996E-3</v>
      </c>
      <c r="I264" s="154">
        <v>6.8999999999999999E-3</v>
      </c>
      <c r="J264" s="154">
        <v>9.7000000000000003E-3</v>
      </c>
      <c r="K264" s="154">
        <v>1.2E-2</v>
      </c>
      <c r="L264" s="154">
        <v>1.5100000000000001E-2</v>
      </c>
      <c r="M264" s="154">
        <v>1.7399999999999999E-2</v>
      </c>
      <c r="N264" s="137" cm="1">
        <f t="array" aca="1" ref="N264:AE264" ca="1">IF(OR(B264="",NOT($J$2)),"",GetStripDefaultProbability(A264,B264,Parameter_Date,CDSRollDate,E264:M264,SpreadCurveMaturities,D264,C264,$J$4,$J$6))</f>
        <v>0</v>
      </c>
      <c r="O264" s="155">
        <f ca="1"/>
        <v>2.0446251581440755E-3</v>
      </c>
      <c r="P264" s="155">
        <f ca="1"/>
        <v>5.1418003793949341E-3</v>
      </c>
      <c r="Q264" s="155">
        <f ca="1"/>
        <v>1.659655096241297E-2</v>
      </c>
      <c r="R264" s="155">
        <f ca="1"/>
        <v>3.5437156809770554E-2</v>
      </c>
      <c r="S264" s="155">
        <f ca="1"/>
        <v>6.5364580572652375E-2</v>
      </c>
      <c r="T264" s="155">
        <f ca="1"/>
        <v>9.9568248035912355E-2</v>
      </c>
      <c r="U264" s="155">
        <f ca="1"/>
        <v>0.17038668161771831</v>
      </c>
      <c r="V264" s="138">
        <f ca="1"/>
        <v>0.26706206107013064</v>
      </c>
      <c r="W264" s="137">
        <f ca="1"/>
        <v>0</v>
      </c>
      <c r="X264" s="155">
        <f ca="1"/>
        <v>2.1374560891331829E-3</v>
      </c>
      <c r="Y264" s="155">
        <f ca="1"/>
        <v>5.3075962626325524E-3</v>
      </c>
      <c r="Z264" s="155">
        <f ca="1"/>
        <v>1.6924297484628759E-2</v>
      </c>
      <c r="AA264" s="155">
        <f ca="1"/>
        <v>3.5919317681122109E-2</v>
      </c>
      <c r="AB264" s="155">
        <f ca="1"/>
        <v>6.6018233969528883E-2</v>
      </c>
      <c r="AC264" s="155">
        <f ca="1"/>
        <v>0.10031829526611524</v>
      </c>
      <c r="AD264" s="155">
        <f ca="1"/>
        <v>0.17140800238263099</v>
      </c>
      <c r="AE264" s="138">
        <f ca="1"/>
        <v>0.26836978476798234</v>
      </c>
      <c r="AH264" s="135"/>
      <c r="AI264" s="135"/>
      <c r="AJ264" s="135"/>
      <c r="AK264" s="135"/>
      <c r="AL264" s="135"/>
      <c r="AM264" s="135"/>
      <c r="AN264" s="135"/>
      <c r="AO264" s="135"/>
      <c r="AQ264" s="135"/>
      <c r="AR264" s="135"/>
      <c r="AS264" s="135"/>
      <c r="AT264" s="135"/>
      <c r="AU264" s="135"/>
      <c r="AV264" s="135"/>
      <c r="AW264" s="135"/>
      <c r="AX264" s="135"/>
    </row>
    <row r="265" spans="1:50" s="79" customFormat="1" ht="11.25">
      <c r="A265" s="96">
        <f t="shared" ca="1" si="5"/>
        <v>254</v>
      </c>
      <c r="B265" s="68" t="s">
        <v>342</v>
      </c>
      <c r="C265" s="97">
        <v>0.4</v>
      </c>
      <c r="D265" s="69" t="s">
        <v>66</v>
      </c>
      <c r="E265" s="136" t="s">
        <v>87</v>
      </c>
      <c r="F265" s="154">
        <v>5.4000000000000003E-3</v>
      </c>
      <c r="G265" s="154">
        <v>5.4000000000000003E-3</v>
      </c>
      <c r="H265" s="154">
        <v>8.0999999999999996E-3</v>
      </c>
      <c r="I265" s="154">
        <v>9.7999999999999997E-3</v>
      </c>
      <c r="J265" s="154" t="s">
        <v>87</v>
      </c>
      <c r="K265" s="154">
        <v>1.2500000000000001E-2</v>
      </c>
      <c r="L265" s="154">
        <v>1.4800000000000001E-2</v>
      </c>
      <c r="M265" s="154">
        <v>1.6E-2</v>
      </c>
      <c r="N265" s="137" cm="1">
        <f t="array" aca="1" ref="N265:AE265" ca="1">IF(OR(B265="",NOT($J$2)),"",GetStripDefaultProbability(A265,B265,Parameter_Date,CDSRollDate,E265:M265,SpreadCurveMaturities,D265,C265,$J$4,$J$6))</f>
        <v>0</v>
      </c>
      <c r="O265" s="155">
        <f ca="1"/>
        <v>5.0111721370083018E-3</v>
      </c>
      <c r="P265" s="155">
        <f ca="1"/>
        <v>9.5286836042224321E-3</v>
      </c>
      <c r="Q265" s="155">
        <f ca="1"/>
        <v>2.7816498235587739E-2</v>
      </c>
      <c r="R265" s="155">
        <f ca="1"/>
        <v>4.9744570664037036E-2</v>
      </c>
      <c r="S265" s="155">
        <f ca="1"/>
        <v>0</v>
      </c>
      <c r="T265" s="155">
        <f ca="1"/>
        <v>0.10256536286739004</v>
      </c>
      <c r="U265" s="155">
        <f ca="1"/>
        <v>0.16561104622786116</v>
      </c>
      <c r="V265" s="138">
        <f ca="1"/>
        <v>0.24516481185042482</v>
      </c>
      <c r="W265" s="137">
        <f ca="1"/>
        <v>0</v>
      </c>
      <c r="X265" s="155">
        <f ca="1"/>
        <v>5.1036861449917925E-3</v>
      </c>
      <c r="Y265" s="155">
        <f ca="1"/>
        <v>9.6937484011729858E-3</v>
      </c>
      <c r="Z265" s="155">
        <f ca="1"/>
        <v>2.8140505398634552E-2</v>
      </c>
      <c r="AA265" s="155">
        <f ca="1"/>
        <v>5.0219579616587406E-2</v>
      </c>
      <c r="AB265" s="155">
        <f ca="1"/>
        <v>0</v>
      </c>
      <c r="AC265" s="155">
        <f ca="1"/>
        <v>0.10333967029137803</v>
      </c>
      <c r="AD265" s="155">
        <f ca="1"/>
        <v>0.16662763647601786</v>
      </c>
      <c r="AE265" s="138">
        <f ca="1"/>
        <v>0.24648970820849969</v>
      </c>
      <c r="AH265" s="135"/>
      <c r="AI265" s="135"/>
      <c r="AJ265" s="135"/>
      <c r="AK265" s="135"/>
      <c r="AM265" s="135"/>
      <c r="AN265" s="135"/>
      <c r="AO265" s="135"/>
      <c r="AQ265" s="135"/>
      <c r="AR265" s="135"/>
      <c r="AS265" s="135"/>
      <c r="AT265" s="135"/>
      <c r="AV265" s="135"/>
      <c r="AW265" s="135"/>
      <c r="AX265" s="135"/>
    </row>
    <row r="266" spans="1:50" s="79" customFormat="1" ht="11.25">
      <c r="A266" s="96">
        <f t="shared" ca="1" si="5"/>
        <v>255</v>
      </c>
      <c r="B266" s="68" t="s">
        <v>343</v>
      </c>
      <c r="C266" s="97">
        <v>0.4</v>
      </c>
      <c r="D266" s="69" t="s">
        <v>67</v>
      </c>
      <c r="E266" s="136" t="s">
        <v>87</v>
      </c>
      <c r="F266" s="154" t="s">
        <v>87</v>
      </c>
      <c r="G266" s="154">
        <v>3.7569999999999999E-3</v>
      </c>
      <c r="H266" s="154" t="s">
        <v>87</v>
      </c>
      <c r="I266" s="154">
        <v>8.1030000000000008E-3</v>
      </c>
      <c r="J266" s="154" t="s">
        <v>87</v>
      </c>
      <c r="K266" s="154">
        <v>1.2500000000000001E-2</v>
      </c>
      <c r="L266" s="154">
        <v>1.413E-2</v>
      </c>
      <c r="M266" s="154">
        <v>1.6403000000000001E-2</v>
      </c>
      <c r="N266" s="137" cm="1">
        <f t="array" aca="1" ref="N266:AE266" ca="1">IF(OR(B266="",NOT($J$2)),"",GetStripDefaultProbability(A266,B266,Parameter_Date,CDSRollDate,E266:M266,SpreadCurveMaturities,D266,C266,$J$4,$J$6))</f>
        <v>0</v>
      </c>
      <c r="O266" s="155">
        <f ca="1"/>
        <v>0</v>
      </c>
      <c r="P266" s="155">
        <f ca="1"/>
        <v>6.6268191837418611E-3</v>
      </c>
      <c r="Q266" s="155">
        <f ca="1"/>
        <v>0</v>
      </c>
      <c r="R266" s="155">
        <f ca="1"/>
        <v>4.1369726837286014E-2</v>
      </c>
      <c r="S266" s="155">
        <f ca="1"/>
        <v>0</v>
      </c>
      <c r="T266" s="155">
        <f ca="1"/>
        <v>0.10517957313772031</v>
      </c>
      <c r="U266" s="155">
        <f ca="1"/>
        <v>0.16208749879890527</v>
      </c>
      <c r="V266" s="138">
        <f ca="1"/>
        <v>0.25996781539884806</v>
      </c>
      <c r="W266" s="137">
        <f ca="1"/>
        <v>0</v>
      </c>
      <c r="X266" s="155">
        <f ca="1"/>
        <v>0</v>
      </c>
      <c r="Y266" s="155">
        <f ca="1"/>
        <v>6.7923675844426823E-3</v>
      </c>
      <c r="Z266" s="155">
        <f ca="1"/>
        <v>0</v>
      </c>
      <c r="AA266" s="155">
        <f ca="1"/>
        <v>4.1848922165071745E-2</v>
      </c>
      <c r="AB266" s="155">
        <f ca="1"/>
        <v>0</v>
      </c>
      <c r="AC266" s="155">
        <f ca="1"/>
        <v>0.10595390851815589</v>
      </c>
      <c r="AD266" s="155">
        <f ca="1"/>
        <v>0.16310327176673745</v>
      </c>
      <c r="AE266" s="138">
        <f ca="1"/>
        <v>0.26126605064297614</v>
      </c>
      <c r="AI266" s="135"/>
      <c r="AK266" s="135"/>
      <c r="AM266" s="135"/>
      <c r="AN266" s="135"/>
      <c r="AO266" s="135"/>
      <c r="AR266" s="135"/>
      <c r="AT266" s="135"/>
      <c r="AV266" s="135"/>
      <c r="AW266" s="135"/>
      <c r="AX266" s="135"/>
    </row>
    <row r="267" spans="1:50" s="79" customFormat="1" ht="11.25">
      <c r="A267" s="96">
        <f t="shared" ref="A267:A330" ca="1" si="6">IF(B267="","",A266+1)</f>
        <v>256</v>
      </c>
      <c r="B267" s="68" t="s">
        <v>344</v>
      </c>
      <c r="C267" s="97">
        <v>0.4</v>
      </c>
      <c r="D267" s="69" t="s">
        <v>67</v>
      </c>
      <c r="E267" s="136" t="s">
        <v>87</v>
      </c>
      <c r="F267" s="154" t="s">
        <v>87</v>
      </c>
      <c r="G267" s="154">
        <v>2.745E-3</v>
      </c>
      <c r="H267" s="154" t="s">
        <v>87</v>
      </c>
      <c r="I267" s="154">
        <v>5.0330000000000001E-3</v>
      </c>
      <c r="J267" s="154" t="s">
        <v>87</v>
      </c>
      <c r="K267" s="154">
        <v>7.5500000000000003E-3</v>
      </c>
      <c r="L267" s="154">
        <v>8.7220000000000006E-3</v>
      </c>
      <c r="M267" s="154">
        <v>9.8480000000000009E-3</v>
      </c>
      <c r="N267" s="137" cm="1">
        <f t="array" aca="1" ref="N267:AE267" ca="1">IF(OR(B267="",NOT($J$2)),"",GetStripDefaultProbability(A267,B267,Parameter_Date,CDSRollDate,E267:M267,SpreadCurveMaturities,D267,C267,$J$4,$J$6))</f>
        <v>0</v>
      </c>
      <c r="O267" s="155">
        <f ca="1"/>
        <v>0</v>
      </c>
      <c r="P267" s="155">
        <f ca="1"/>
        <v>4.8460895101534174E-3</v>
      </c>
      <c r="Q267" s="155">
        <f ca="1"/>
        <v>0</v>
      </c>
      <c r="R267" s="155">
        <f ca="1"/>
        <v>2.5798522419305803E-2</v>
      </c>
      <c r="S267" s="155">
        <f ca="1"/>
        <v>0</v>
      </c>
      <c r="T267" s="155">
        <f ca="1"/>
        <v>6.4381292274806268E-2</v>
      </c>
      <c r="U267" s="155">
        <f ca="1"/>
        <v>0.10275903826369115</v>
      </c>
      <c r="V267" s="138">
        <f ca="1"/>
        <v>0.16239969435576085</v>
      </c>
      <c r="W267" s="137">
        <f ca="1"/>
        <v>0</v>
      </c>
      <c r="X267" s="155">
        <f ca="1"/>
        <v>0</v>
      </c>
      <c r="Y267" s="155">
        <f ca="1"/>
        <v>5.0119346744132987E-3</v>
      </c>
      <c r="Z267" s="155">
        <f ca="1"/>
        <v>0</v>
      </c>
      <c r="AA267" s="155">
        <f ca="1"/>
        <v>2.6285501403218392E-2</v>
      </c>
      <c r="AB267" s="155">
        <f ca="1"/>
        <v>0</v>
      </c>
      <c r="AC267" s="155">
        <f ca="1"/>
        <v>6.5160649753883138E-2</v>
      </c>
      <c r="AD267" s="155">
        <f ca="1"/>
        <v>0.10380520900077317</v>
      </c>
      <c r="AE267" s="138">
        <f ca="1"/>
        <v>0.16385183345128995</v>
      </c>
      <c r="AI267" s="135"/>
      <c r="AK267" s="135"/>
      <c r="AM267" s="135"/>
      <c r="AN267" s="135"/>
      <c r="AO267" s="135"/>
      <c r="AR267" s="135"/>
      <c r="AT267" s="135"/>
      <c r="AV267" s="135"/>
      <c r="AW267" s="135"/>
      <c r="AX267" s="135"/>
    </row>
    <row r="268" spans="1:50" s="79" customFormat="1" ht="11.25">
      <c r="A268" s="96">
        <f t="shared" ca="1" si="6"/>
        <v>257</v>
      </c>
      <c r="B268" s="68" t="s">
        <v>345</v>
      </c>
      <c r="C268" s="97">
        <v>0.4</v>
      </c>
      <c r="D268" s="69" t="s">
        <v>67</v>
      </c>
      <c r="E268" s="136" t="s">
        <v>87</v>
      </c>
      <c r="F268" s="154" t="s">
        <v>87</v>
      </c>
      <c r="G268" s="154">
        <v>1.2830000000000001E-3</v>
      </c>
      <c r="H268" s="154" t="s">
        <v>87</v>
      </c>
      <c r="I268" s="154">
        <v>4.1999999999999997E-3</v>
      </c>
      <c r="J268" s="154" t="s">
        <v>87</v>
      </c>
      <c r="K268" s="154">
        <v>5.8999999999999999E-3</v>
      </c>
      <c r="L268" s="154">
        <v>7.7000000000000002E-3</v>
      </c>
      <c r="M268" s="154">
        <v>9.7000000000000003E-3</v>
      </c>
      <c r="N268" s="137" cm="1">
        <f t="array" aca="1" ref="N268:AE268" ca="1">IF(OR(B268="",NOT($J$2)),"",GetStripDefaultProbability(A268,B268,Parameter_Date,CDSRollDate,E268:M268,SpreadCurveMaturities,D268,C268,$J$4,$J$6))</f>
        <v>0</v>
      </c>
      <c r="O268" s="155">
        <f ca="1"/>
        <v>0</v>
      </c>
      <c r="P268" s="155">
        <f ca="1"/>
        <v>2.2679462912498227E-3</v>
      </c>
      <c r="Q268" s="155">
        <f ca="1"/>
        <v>0</v>
      </c>
      <c r="R268" s="155">
        <f ca="1"/>
        <v>2.1708994120287706E-2</v>
      </c>
      <c r="S268" s="155">
        <f ca="1"/>
        <v>0</v>
      </c>
      <c r="T268" s="155">
        <f ca="1"/>
        <v>5.0538074194765636E-2</v>
      </c>
      <c r="U268" s="155">
        <f ca="1"/>
        <v>9.2381702869917426E-2</v>
      </c>
      <c r="V268" s="138">
        <f ca="1"/>
        <v>0.1646675098128304</v>
      </c>
      <c r="W268" s="137">
        <f ca="1"/>
        <v>0</v>
      </c>
      <c r="X268" s="155">
        <f ca="1"/>
        <v>0</v>
      </c>
      <c r="Y268" s="155">
        <f ca="1"/>
        <v>2.4342211102401645E-3</v>
      </c>
      <c r="Z268" s="155">
        <f ca="1"/>
        <v>0</v>
      </c>
      <c r="AA268" s="155">
        <f ca="1"/>
        <v>2.219801735725957E-2</v>
      </c>
      <c r="AB268" s="155">
        <f ca="1"/>
        <v>0</v>
      </c>
      <c r="AC268" s="155">
        <f ca="1"/>
        <v>5.1328962883509299E-2</v>
      </c>
      <c r="AD268" s="155">
        <f ca="1"/>
        <v>9.3439973438702473E-2</v>
      </c>
      <c r="AE268" s="138">
        <f ca="1"/>
        <v>0.16612921586863216</v>
      </c>
      <c r="AI268" s="135"/>
      <c r="AK268" s="135"/>
      <c r="AM268" s="135"/>
      <c r="AN268" s="135"/>
      <c r="AO268" s="135"/>
      <c r="AR268" s="135"/>
      <c r="AT268" s="135"/>
      <c r="AV268" s="135"/>
      <c r="AW268" s="135"/>
      <c r="AX268" s="135"/>
    </row>
    <row r="269" spans="1:50" s="79" customFormat="1" ht="11.25">
      <c r="A269" s="96">
        <f t="shared" ca="1" si="6"/>
        <v>258</v>
      </c>
      <c r="B269" s="68" t="s">
        <v>189</v>
      </c>
      <c r="C269" s="97">
        <v>0.4</v>
      </c>
      <c r="D269" s="69" t="s">
        <v>66</v>
      </c>
      <c r="E269" s="136" t="s">
        <v>87</v>
      </c>
      <c r="F269" s="154">
        <v>6.9999999999999999E-4</v>
      </c>
      <c r="G269" s="154">
        <v>1.4E-3</v>
      </c>
      <c r="H269" s="154">
        <v>2.5000000000000001E-3</v>
      </c>
      <c r="I269" s="154">
        <v>3.5999999999999999E-3</v>
      </c>
      <c r="J269" s="154" t="s">
        <v>87</v>
      </c>
      <c r="K269" s="154">
        <v>5.5999999999999999E-3</v>
      </c>
      <c r="L269" s="154">
        <v>7.0000000000000001E-3</v>
      </c>
      <c r="M269" s="154">
        <v>8.6E-3</v>
      </c>
      <c r="N269" s="137" cm="1">
        <f t="array" aca="1" ref="N269:AE269" ca="1">IF(OR(B269="",NOT($J$2)),"",GetStripDefaultProbability(A269,B269,Parameter_Date,CDSRollDate,E269:M269,SpreadCurveMaturities,D269,C269,$J$4,$J$6))</f>
        <v>0</v>
      </c>
      <c r="O269" s="155">
        <f ca="1"/>
        <v>6.5101642887865907E-4</v>
      </c>
      <c r="P269" s="155">
        <f ca="1"/>
        <v>2.4915204094962951E-3</v>
      </c>
      <c r="Q269" s="155">
        <f ca="1"/>
        <v>8.6837853539136756E-3</v>
      </c>
      <c r="R269" s="155">
        <f ca="1"/>
        <v>1.8617067916775532E-2</v>
      </c>
      <c r="S269" s="155">
        <f ca="1"/>
        <v>0</v>
      </c>
      <c r="T269" s="155">
        <f ca="1"/>
        <v>4.7264430301062754E-2</v>
      </c>
      <c r="U269" s="155">
        <f ca="1"/>
        <v>8.1673161740259514E-2</v>
      </c>
      <c r="V269" s="138">
        <f ca="1"/>
        <v>0.14005391861323457</v>
      </c>
      <c r="W269" s="137">
        <f ca="1"/>
        <v>0</v>
      </c>
      <c r="X269" s="155">
        <f ca="1"/>
        <v>7.4398343160742009E-4</v>
      </c>
      <c r="Y269" s="155">
        <f ca="1"/>
        <v>2.6577579692423914E-3</v>
      </c>
      <c r="Z269" s="155">
        <f ca="1"/>
        <v>9.0141690251233086E-3</v>
      </c>
      <c r="AA269" s="155">
        <f ca="1"/>
        <v>1.9107636730398059E-2</v>
      </c>
      <c r="AB269" s="155">
        <f ca="1"/>
        <v>0</v>
      </c>
      <c r="AC269" s="155">
        <f ca="1"/>
        <v>4.8078288559409432E-2</v>
      </c>
      <c r="AD269" s="155">
        <f ca="1"/>
        <v>8.2775000480753369E-2</v>
      </c>
      <c r="AE269" s="138">
        <f ca="1"/>
        <v>0.14155613890682173</v>
      </c>
      <c r="AH269" s="135"/>
      <c r="AI269" s="135"/>
      <c r="AJ269" s="135"/>
      <c r="AK269" s="135"/>
      <c r="AM269" s="135"/>
      <c r="AN269" s="135"/>
      <c r="AO269" s="135"/>
      <c r="AQ269" s="135"/>
      <c r="AR269" s="135"/>
      <c r="AS269" s="135"/>
      <c r="AT269" s="135"/>
      <c r="AV269" s="135"/>
      <c r="AW269" s="135"/>
      <c r="AX269" s="135"/>
    </row>
    <row r="270" spans="1:50" s="79" customFormat="1" ht="11.25">
      <c r="A270" s="96">
        <f t="shared" ca="1" si="6"/>
        <v>259</v>
      </c>
      <c r="B270" s="68" t="s">
        <v>346</v>
      </c>
      <c r="C270" s="97">
        <v>0.4</v>
      </c>
      <c r="D270" s="69" t="s">
        <v>67</v>
      </c>
      <c r="E270" s="136" t="s">
        <v>87</v>
      </c>
      <c r="F270" s="154" t="s">
        <v>87</v>
      </c>
      <c r="G270" s="154">
        <v>2.875E-3</v>
      </c>
      <c r="H270" s="154" t="s">
        <v>87</v>
      </c>
      <c r="I270" s="154">
        <v>1.1301E-2</v>
      </c>
      <c r="J270" s="154" t="s">
        <v>87</v>
      </c>
      <c r="K270" s="154">
        <v>1.15E-2</v>
      </c>
      <c r="L270" s="154">
        <v>1.0968E-2</v>
      </c>
      <c r="M270" s="154">
        <v>1.0647999999999999E-2</v>
      </c>
      <c r="N270" s="137" cm="1">
        <f t="array" aca="1" ref="N270:AE270" ca="1">IF(OR(B270="",NOT($J$2)),"",GetStripDefaultProbability(A270,B270,Parameter_Date,CDSRollDate,E270:M270,SpreadCurveMaturities,D270,C270,$J$4,$J$6))</f>
        <v>0</v>
      </c>
      <c r="O270" s="155">
        <f ca="1"/>
        <v>0</v>
      </c>
      <c r="P270" s="155">
        <f ca="1"/>
        <v>5.0750162358812467E-3</v>
      </c>
      <c r="Q270" s="155">
        <f ca="1"/>
        <v>0</v>
      </c>
      <c r="R270" s="155">
        <f ca="1"/>
        <v>5.7697590435186519E-2</v>
      </c>
      <c r="S270" s="155">
        <f ca="1"/>
        <v>0</v>
      </c>
      <c r="T270" s="155">
        <f ca="1"/>
        <v>9.4523643229053822E-2</v>
      </c>
      <c r="U270" s="155">
        <f ca="1"/>
        <v>0.12217222117468296</v>
      </c>
      <c r="V270" s="138">
        <f ca="1"/>
        <v>0.16352018581175276</v>
      </c>
      <c r="W270" s="137">
        <f ca="1"/>
        <v>0</v>
      </c>
      <c r="X270" s="155">
        <f ca="1"/>
        <v>0</v>
      </c>
      <c r="Y270" s="155">
        <f ca="1"/>
        <v>5.2408232488688755E-3</v>
      </c>
      <c r="Z270" s="155">
        <f ca="1"/>
        <v>0</v>
      </c>
      <c r="AA270" s="155">
        <f ca="1"/>
        <v>5.8168623871823422E-2</v>
      </c>
      <c r="AB270" s="155">
        <f ca="1"/>
        <v>0</v>
      </c>
      <c r="AC270" s="155">
        <f ca="1"/>
        <v>9.5277892545525544E-2</v>
      </c>
      <c r="AD270" s="155">
        <f ca="1"/>
        <v>0.12319575640496494</v>
      </c>
      <c r="AE270" s="138">
        <f ca="1"/>
        <v>0.16493788657265562</v>
      </c>
      <c r="AI270" s="135"/>
      <c r="AK270" s="135"/>
      <c r="AM270" s="135"/>
      <c r="AN270" s="135"/>
      <c r="AO270" s="135"/>
      <c r="AR270" s="135"/>
      <c r="AT270" s="135"/>
      <c r="AV270" s="135"/>
      <c r="AW270" s="135"/>
      <c r="AX270" s="135"/>
    </row>
    <row r="271" spans="1:50" s="79" customFormat="1" ht="11.25">
      <c r="A271" s="96">
        <f t="shared" ca="1" si="6"/>
        <v>260</v>
      </c>
      <c r="B271" s="68" t="s">
        <v>347</v>
      </c>
      <c r="C271" s="97">
        <v>0.4</v>
      </c>
      <c r="D271" s="69" t="s">
        <v>67</v>
      </c>
      <c r="E271" s="136" t="s">
        <v>87</v>
      </c>
      <c r="F271" s="154" t="s">
        <v>87</v>
      </c>
      <c r="G271" s="154">
        <v>1.9629999999999999E-3</v>
      </c>
      <c r="H271" s="154" t="s">
        <v>87</v>
      </c>
      <c r="I271" s="154">
        <v>4.3169999999999997E-3</v>
      </c>
      <c r="J271" s="154" t="s">
        <v>87</v>
      </c>
      <c r="K271" s="154">
        <v>7.1500000000000001E-3</v>
      </c>
      <c r="L271" s="154">
        <v>8.0300000000000007E-3</v>
      </c>
      <c r="M271" s="154">
        <v>9.2399999999999999E-3</v>
      </c>
      <c r="N271" s="137" cm="1">
        <f t="array" aca="1" ref="N271:AE271" ca="1">IF(OR(B271="",NOT($J$2)),"",GetStripDefaultProbability(A271,B271,Parameter_Date,CDSRollDate,E271:M271,SpreadCurveMaturities,D271,C271,$J$4,$J$6))</f>
        <v>0</v>
      </c>
      <c r="O271" s="155">
        <f ca="1"/>
        <v>0</v>
      </c>
      <c r="P271" s="155">
        <f ca="1"/>
        <v>3.4679053669933735E-3</v>
      </c>
      <c r="Q271" s="155">
        <f ca="1"/>
        <v>0</v>
      </c>
      <c r="R271" s="155">
        <f ca="1"/>
        <v>2.2217512392885497E-2</v>
      </c>
      <c r="S271" s="155">
        <f ca="1"/>
        <v>0</v>
      </c>
      <c r="T271" s="155">
        <f ca="1"/>
        <v>6.1429112690261078E-2</v>
      </c>
      <c r="U271" s="155">
        <f ca="1"/>
        <v>9.4960774144161153E-2</v>
      </c>
      <c r="V271" s="138">
        <f ca="1"/>
        <v>0.15363362873970876</v>
      </c>
      <c r="W271" s="137">
        <f ca="1"/>
        <v>0</v>
      </c>
      <c r="X271" s="155">
        <f ca="1"/>
        <v>0</v>
      </c>
      <c r="Y271" s="155">
        <f ca="1"/>
        <v>3.6339802094637053E-3</v>
      </c>
      <c r="Z271" s="155">
        <f ca="1"/>
        <v>0</v>
      </c>
      <c r="AA271" s="155">
        <f ca="1"/>
        <v>2.2706281434219155E-2</v>
      </c>
      <c r="AB271" s="155">
        <f ca="1"/>
        <v>0</v>
      </c>
      <c r="AC271" s="155">
        <f ca="1"/>
        <v>6.2210929294213457E-2</v>
      </c>
      <c r="AD271" s="155">
        <f ca="1"/>
        <v>9.6016037551009292E-2</v>
      </c>
      <c r="AE271" s="138">
        <f ca="1"/>
        <v>0.15510068375821529</v>
      </c>
      <c r="AI271" s="135"/>
      <c r="AK271" s="135"/>
      <c r="AM271" s="135"/>
      <c r="AN271" s="135"/>
      <c r="AO271" s="135"/>
      <c r="AR271" s="135"/>
      <c r="AT271" s="135"/>
      <c r="AV271" s="135"/>
      <c r="AW271" s="135"/>
      <c r="AX271" s="135"/>
    </row>
    <row r="272" spans="1:50" s="79" customFormat="1" ht="11.25">
      <c r="A272" s="96">
        <f t="shared" ca="1" si="6"/>
        <v>261</v>
      </c>
      <c r="B272" s="68" t="s">
        <v>348</v>
      </c>
      <c r="C272" s="97">
        <v>0.4</v>
      </c>
      <c r="D272" s="69" t="s">
        <v>67</v>
      </c>
      <c r="E272" s="136" t="s">
        <v>87</v>
      </c>
      <c r="F272" s="154" t="s">
        <v>87</v>
      </c>
      <c r="G272" s="154">
        <v>2E-3</v>
      </c>
      <c r="H272" s="154" t="s">
        <v>87</v>
      </c>
      <c r="I272" s="154">
        <v>3.5000000000000001E-3</v>
      </c>
      <c r="J272" s="154" t="s">
        <v>87</v>
      </c>
      <c r="K272" s="154">
        <v>5.0000000000000001E-3</v>
      </c>
      <c r="L272" s="154">
        <v>6.7999999999999996E-3</v>
      </c>
      <c r="M272" s="154">
        <v>8.6999999999999994E-3</v>
      </c>
      <c r="N272" s="137" cm="1">
        <f t="array" aca="1" ref="N272:AE272" ca="1">IF(OR(B272="",NOT($J$2)),"",GetStripDefaultProbability(A272,B272,Parameter_Date,CDSRollDate,E272:M272,SpreadCurveMaturities,D272,C272,$J$4,$J$6))</f>
        <v>0</v>
      </c>
      <c r="O272" s="155">
        <f ca="1"/>
        <v>0</v>
      </c>
      <c r="P272" s="155">
        <f ca="1"/>
        <v>3.5331561876147388E-3</v>
      </c>
      <c r="Q272" s="155">
        <f ca="1"/>
        <v>0</v>
      </c>
      <c r="R272" s="155">
        <f ca="1"/>
        <v>1.7986605596824967E-2</v>
      </c>
      <c r="S272" s="155">
        <f ca="1"/>
        <v>0</v>
      </c>
      <c r="T272" s="155">
        <f ca="1"/>
        <v>4.2858316391797824E-2</v>
      </c>
      <c r="U272" s="155">
        <f ca="1"/>
        <v>8.2147546312060227E-2</v>
      </c>
      <c r="V272" s="138">
        <f ca="1"/>
        <v>0.14924674049070208</v>
      </c>
      <c r="W272" s="137">
        <f ca="1"/>
        <v>0</v>
      </c>
      <c r="X272" s="155">
        <f ca="1"/>
        <v>0</v>
      </c>
      <c r="Y272" s="155">
        <f ca="1"/>
        <v>3.69922015586166E-3</v>
      </c>
      <c r="Z272" s="155">
        <f ca="1"/>
        <v>0</v>
      </c>
      <c r="AA272" s="155">
        <f ca="1"/>
        <v>1.8477489562816363E-2</v>
      </c>
      <c r="AB272" s="155">
        <f ca="1"/>
        <v>0</v>
      </c>
      <c r="AC272" s="155">
        <f ca="1"/>
        <v>4.3655602212871902E-2</v>
      </c>
      <c r="AD272" s="155">
        <f ca="1"/>
        <v>8.3217749767943272E-2</v>
      </c>
      <c r="AE272" s="138">
        <f ca="1"/>
        <v>0.15073171698012755</v>
      </c>
      <c r="AI272" s="135"/>
      <c r="AK272" s="135"/>
      <c r="AM272" s="135"/>
      <c r="AN272" s="135"/>
      <c r="AO272" s="135"/>
      <c r="AR272" s="135"/>
      <c r="AT272" s="135"/>
      <c r="AV272" s="135"/>
      <c r="AW272" s="135"/>
      <c r="AX272" s="135"/>
    </row>
    <row r="273" spans="1:50" s="79" customFormat="1" ht="11.25">
      <c r="A273" s="96">
        <f t="shared" ca="1" si="6"/>
        <v>262</v>
      </c>
      <c r="B273" s="68" t="s">
        <v>349</v>
      </c>
      <c r="C273" s="97">
        <v>0.4</v>
      </c>
      <c r="D273" s="69" t="s">
        <v>67</v>
      </c>
      <c r="E273" s="136" t="s">
        <v>87</v>
      </c>
      <c r="F273" s="154" t="s">
        <v>87</v>
      </c>
      <c r="G273" s="154">
        <v>2.1810000000000002E-3</v>
      </c>
      <c r="H273" s="154" t="s">
        <v>87</v>
      </c>
      <c r="I273" s="154">
        <v>3.9830000000000004E-3</v>
      </c>
      <c r="J273" s="154" t="s">
        <v>87</v>
      </c>
      <c r="K273" s="154">
        <v>5.4999999999999997E-3</v>
      </c>
      <c r="L273" s="154">
        <v>6.0689999999999997E-3</v>
      </c>
      <c r="M273" s="154">
        <v>7.0169999999999998E-3</v>
      </c>
      <c r="N273" s="137" cm="1">
        <f t="array" aca="1" ref="N273:AE273" ca="1">IF(OR(B273="",NOT($J$2)),"",GetStripDefaultProbability(A273,B273,Parameter_Date,CDSRollDate,E273:M273,SpreadCurveMaturities,D273,C273,$J$4,$J$6))</f>
        <v>0</v>
      </c>
      <c r="O273" s="155">
        <f ca="1"/>
        <v>0</v>
      </c>
      <c r="P273" s="155">
        <f ca="1"/>
        <v>3.8522951098965974E-3</v>
      </c>
      <c r="Q273" s="155">
        <f ca="1"/>
        <v>0</v>
      </c>
      <c r="R273" s="155">
        <f ca="1"/>
        <v>2.0460789811607261E-2</v>
      </c>
      <c r="S273" s="155">
        <f ca="1"/>
        <v>0</v>
      </c>
      <c r="T273" s="155">
        <f ca="1"/>
        <v>4.6988961243319749E-2</v>
      </c>
      <c r="U273" s="155">
        <f ca="1"/>
        <v>7.1786294106969128E-2</v>
      </c>
      <c r="V273" s="138">
        <f ca="1"/>
        <v>0.11792823775345718</v>
      </c>
      <c r="W273" s="137">
        <f ca="1"/>
        <v>0</v>
      </c>
      <c r="X273" s="155">
        <f ca="1"/>
        <v>0</v>
      </c>
      <c r="Y273" s="155">
        <f ca="1"/>
        <v>4.0183058927610871E-3</v>
      </c>
      <c r="Z273" s="155">
        <f ca="1"/>
        <v>0</v>
      </c>
      <c r="AA273" s="155">
        <f ca="1"/>
        <v>2.0950436994717547E-2</v>
      </c>
      <c r="AB273" s="155">
        <f ca="1"/>
        <v>0</v>
      </c>
      <c r="AC273" s="155">
        <f ca="1"/>
        <v>4.7782806294205615E-2</v>
      </c>
      <c r="AD273" s="155">
        <f ca="1"/>
        <v>7.2890970368260088E-2</v>
      </c>
      <c r="AE273" s="138">
        <f ca="1"/>
        <v>0.11944184520868739</v>
      </c>
      <c r="AI273" s="135"/>
      <c r="AK273" s="135"/>
      <c r="AM273" s="135"/>
      <c r="AN273" s="135"/>
      <c r="AO273" s="135"/>
      <c r="AR273" s="135"/>
      <c r="AT273" s="135"/>
      <c r="AV273" s="135"/>
      <c r="AW273" s="135"/>
      <c r="AX273" s="135"/>
    </row>
    <row r="274" spans="1:50" s="79" customFormat="1" ht="11.25">
      <c r="A274" s="96">
        <f t="shared" ca="1" si="6"/>
        <v>263</v>
      </c>
      <c r="B274" s="68" t="s">
        <v>206</v>
      </c>
      <c r="C274" s="97">
        <v>0.4</v>
      </c>
      <c r="D274" s="69" t="s">
        <v>66</v>
      </c>
      <c r="E274" s="136" t="s">
        <v>87</v>
      </c>
      <c r="F274" s="154">
        <v>1E-3</v>
      </c>
      <c r="G274" s="154">
        <v>1.6000000000000001E-3</v>
      </c>
      <c r="H274" s="154">
        <v>2.3999999999999998E-3</v>
      </c>
      <c r="I274" s="154">
        <v>3.0999999999999999E-3</v>
      </c>
      <c r="J274" s="154" t="s">
        <v>87</v>
      </c>
      <c r="K274" s="154">
        <v>5.1999999999999998E-3</v>
      </c>
      <c r="L274" s="154">
        <v>6.3E-3</v>
      </c>
      <c r="M274" s="154">
        <v>7.1999999999999998E-3</v>
      </c>
      <c r="N274" s="137" cm="1">
        <f t="array" aca="1" ref="N274:AE274" ca="1">IF(OR(B274="",NOT($J$2)),"",GetStripDefaultProbability(A274,B274,Parameter_Date,CDSRollDate,E274:M274,SpreadCurveMaturities,D274,C274,$J$4,$J$6))</f>
        <v>0</v>
      </c>
      <c r="O274" s="155">
        <f ca="1"/>
        <v>9.2989371787344233E-4</v>
      </c>
      <c r="P274" s="155">
        <f ca="1"/>
        <v>2.8435178916559334E-3</v>
      </c>
      <c r="Q274" s="155">
        <f ca="1"/>
        <v>8.3202093886309836E-3</v>
      </c>
      <c r="R274" s="155">
        <f ca="1"/>
        <v>1.5994045079594565E-2</v>
      </c>
      <c r="S274" s="155">
        <f ca="1"/>
        <v>0</v>
      </c>
      <c r="T274" s="155">
        <f ca="1"/>
        <v>4.3903355683164724E-2</v>
      </c>
      <c r="U274" s="155">
        <f ca="1"/>
        <v>7.362611746838521E-2</v>
      </c>
      <c r="V274" s="138">
        <f ca="1"/>
        <v>0.1179467569170124</v>
      </c>
      <c r="W274" s="137">
        <f ca="1"/>
        <v>0</v>
      </c>
      <c r="X274" s="155">
        <f ca="1"/>
        <v>1.0228340424542903E-3</v>
      </c>
      <c r="Y274" s="155">
        <f ca="1"/>
        <v>3.0096967900550275E-3</v>
      </c>
      <c r="Z274" s="155">
        <f ca="1"/>
        <v>8.6507142316519792E-3</v>
      </c>
      <c r="AA274" s="155">
        <f ca="1"/>
        <v>1.6485925076809904E-2</v>
      </c>
      <c r="AB274" s="155">
        <f ca="1"/>
        <v>0</v>
      </c>
      <c r="AC274" s="155">
        <f ca="1"/>
        <v>4.4720146422251306E-2</v>
      </c>
      <c r="AD274" s="155">
        <f ca="1"/>
        <v>7.4737909464040686E-2</v>
      </c>
      <c r="AE274" s="138">
        <f ca="1"/>
        <v>0.11947776360749729</v>
      </c>
      <c r="AH274" s="135"/>
      <c r="AI274" s="135"/>
      <c r="AJ274" s="135"/>
      <c r="AK274" s="135"/>
      <c r="AM274" s="135"/>
      <c r="AN274" s="135"/>
      <c r="AO274" s="135"/>
      <c r="AQ274" s="135"/>
      <c r="AR274" s="135"/>
      <c r="AS274" s="135"/>
      <c r="AT274" s="135"/>
      <c r="AV274" s="135"/>
      <c r="AW274" s="135"/>
      <c r="AX274" s="135"/>
    </row>
    <row r="275" spans="1:50" s="79" customFormat="1" ht="11.25">
      <c r="A275" s="96">
        <f t="shared" ca="1" si="6"/>
        <v>264</v>
      </c>
      <c r="B275" s="68" t="s">
        <v>350</v>
      </c>
      <c r="C275" s="97">
        <v>0.2</v>
      </c>
      <c r="D275" s="69" t="s">
        <v>67</v>
      </c>
      <c r="E275" s="136" t="s">
        <v>87</v>
      </c>
      <c r="F275" s="154" t="s">
        <v>87</v>
      </c>
      <c r="G275" s="154">
        <v>5.0000000000000001E-3</v>
      </c>
      <c r="H275" s="154" t="s">
        <v>87</v>
      </c>
      <c r="I275" s="154">
        <v>0.01</v>
      </c>
      <c r="J275" s="154" t="s">
        <v>87</v>
      </c>
      <c r="K275" s="154">
        <v>0.02</v>
      </c>
      <c r="L275" s="154">
        <v>2.3E-2</v>
      </c>
      <c r="M275" s="154">
        <v>2.5323999999999999E-2</v>
      </c>
      <c r="N275" s="137" cm="1">
        <f t="array" aca="1" ref="N275:AE275" ca="1">IF(OR(B275="",NOT($J$2)),"",GetStripDefaultProbability(A275,B275,Parameter_Date,CDSRollDate,E275:M275,SpreadCurveMaturities,D275,C275,$J$4,$J$6))</f>
        <v>0</v>
      </c>
      <c r="O275" s="155">
        <f ca="1"/>
        <v>0</v>
      </c>
      <c r="P275" s="155">
        <f ca="1"/>
        <v>6.6145127270081927E-3</v>
      </c>
      <c r="Q275" s="155">
        <f ca="1"/>
        <v>0</v>
      </c>
      <c r="R275" s="155">
        <f ca="1"/>
        <v>3.829609854283067E-2</v>
      </c>
      <c r="S275" s="155">
        <f ca="1"/>
        <v>0</v>
      </c>
      <c r="T275" s="155">
        <f ca="1"/>
        <v>0.12702032280407316</v>
      </c>
      <c r="U275" s="155">
        <f ca="1"/>
        <v>0.19729443536897806</v>
      </c>
      <c r="V275" s="138">
        <f ca="1"/>
        <v>0.29425815296832625</v>
      </c>
      <c r="W275" s="137">
        <f ca="1"/>
        <v>0</v>
      </c>
      <c r="X275" s="155">
        <f ca="1"/>
        <v>0</v>
      </c>
      <c r="Y275" s="155">
        <f ca="1"/>
        <v>6.7386781524091388E-3</v>
      </c>
      <c r="Z275" s="155">
        <f ca="1"/>
        <v>0</v>
      </c>
      <c r="AA275" s="155">
        <f ca="1"/>
        <v>3.8656669894490681E-2</v>
      </c>
      <c r="AB275" s="155">
        <f ca="1"/>
        <v>0</v>
      </c>
      <c r="AC275" s="155">
        <f ca="1"/>
        <v>0.12759255953190118</v>
      </c>
      <c r="AD275" s="155">
        <f ca="1"/>
        <v>0.19803266966883704</v>
      </c>
      <c r="AE275" s="138">
        <f ca="1"/>
        <v>0.29519023824614476</v>
      </c>
      <c r="AI275" s="135"/>
      <c r="AK275" s="135"/>
      <c r="AM275" s="135"/>
      <c r="AN275" s="135"/>
      <c r="AO275" s="135"/>
      <c r="AR275" s="135"/>
      <c r="AT275" s="135"/>
      <c r="AV275" s="135"/>
      <c r="AW275" s="135"/>
      <c r="AX275" s="135"/>
    </row>
    <row r="276" spans="1:50" s="79" customFormat="1" ht="11.25">
      <c r="A276" s="96">
        <f t="shared" ca="1" si="6"/>
        <v>265</v>
      </c>
      <c r="B276" s="68" t="s">
        <v>351</v>
      </c>
      <c r="C276" s="97">
        <v>0.4</v>
      </c>
      <c r="D276" s="69" t="s">
        <v>66</v>
      </c>
      <c r="E276" s="136" t="s">
        <v>87</v>
      </c>
      <c r="F276" s="154">
        <v>1.8749999999999999E-2</v>
      </c>
      <c r="G276" s="154">
        <v>1.8749999999999999E-2</v>
      </c>
      <c r="H276" s="154">
        <v>1.7250000000000001E-2</v>
      </c>
      <c r="I276" s="154">
        <v>1.6500000000000001E-2</v>
      </c>
      <c r="J276" s="154" t="s">
        <v>87</v>
      </c>
      <c r="K276" s="154">
        <v>1.4999999999999999E-2</v>
      </c>
      <c r="L276" s="154">
        <v>1.4999999999999999E-2</v>
      </c>
      <c r="M276" s="154">
        <v>1.4999999999999999E-2</v>
      </c>
      <c r="N276" s="137" cm="1">
        <f t="array" aca="1" ref="N276:AE276" ca="1">IF(OR(B276="",NOT($J$2)),"",GetStripDefaultProbability(A276,B276,Parameter_Date,CDSRollDate,E276:M276,SpreadCurveMaturities,D276,C276,$J$4,$J$6))</f>
        <v>0</v>
      </c>
      <c r="O276" s="155">
        <f ca="1"/>
        <v>1.7292762023018549E-2</v>
      </c>
      <c r="P276" s="155">
        <f ca="1"/>
        <v>3.269782806602417E-2</v>
      </c>
      <c r="Q276" s="155">
        <f ca="1"/>
        <v>5.7714516510323444E-2</v>
      </c>
      <c r="R276" s="155">
        <f ca="1"/>
        <v>8.0976164767657677E-2</v>
      </c>
      <c r="S276" s="155">
        <f ca="1"/>
        <v>0</v>
      </c>
      <c r="T276" s="155">
        <f ca="1"/>
        <v>0.11925095576178435</v>
      </c>
      <c r="U276" s="155">
        <f ca="1"/>
        <v>0.16319381847848902</v>
      </c>
      <c r="V276" s="138">
        <f ca="1"/>
        <v>0.22592562933475202</v>
      </c>
      <c r="W276" s="137">
        <f ca="1"/>
        <v>0</v>
      </c>
      <c r="X276" s="155">
        <f ca="1"/>
        <v>1.7374650880770504E-2</v>
      </c>
      <c r="Y276" s="155">
        <f ca="1"/>
        <v>3.2859031660665394E-2</v>
      </c>
      <c r="Z276" s="155">
        <f ca="1"/>
        <v>5.8028559328090479E-2</v>
      </c>
      <c r="AA276" s="155">
        <f ca="1"/>
        <v>8.143556182644518E-2</v>
      </c>
      <c r="AB276" s="155">
        <f ca="1"/>
        <v>0</v>
      </c>
      <c r="AC276" s="155">
        <f ca="1"/>
        <v>0.11998460756793528</v>
      </c>
      <c r="AD276" s="155">
        <f ca="1"/>
        <v>0.16419140079642802</v>
      </c>
      <c r="AE276" s="138">
        <f ca="1"/>
        <v>0.22725145007692271</v>
      </c>
      <c r="AH276" s="135"/>
      <c r="AI276" s="135"/>
      <c r="AJ276" s="135"/>
      <c r="AK276" s="135"/>
      <c r="AM276" s="135"/>
      <c r="AN276" s="135"/>
      <c r="AO276" s="135"/>
      <c r="AQ276" s="135"/>
      <c r="AR276" s="135"/>
      <c r="AS276" s="135"/>
      <c r="AT276" s="135"/>
      <c r="AV276" s="135"/>
      <c r="AW276" s="135"/>
      <c r="AX276" s="135"/>
    </row>
    <row r="277" spans="1:50" s="79" customFormat="1" ht="11.25">
      <c r="A277" s="96">
        <f t="shared" ca="1" si="6"/>
        <v>266</v>
      </c>
      <c r="B277" s="68" t="s">
        <v>352</v>
      </c>
      <c r="C277" s="97">
        <v>0.4</v>
      </c>
      <c r="D277" s="69" t="s">
        <v>66</v>
      </c>
      <c r="E277" s="136" t="s">
        <v>87</v>
      </c>
      <c r="F277" s="154">
        <v>8.6E-3</v>
      </c>
      <c r="G277" s="154">
        <v>8.6E-3</v>
      </c>
      <c r="H277" s="154">
        <v>8.6E-3</v>
      </c>
      <c r="I277" s="154">
        <v>8.8800000000000007E-3</v>
      </c>
      <c r="J277" s="154" t="s">
        <v>87</v>
      </c>
      <c r="K277" s="154">
        <v>9.4999999999999998E-3</v>
      </c>
      <c r="L277" s="154">
        <v>9.4999999999999998E-3</v>
      </c>
      <c r="M277" s="154">
        <v>9.4999999999999998E-3</v>
      </c>
      <c r="N277" s="137" cm="1">
        <f t="array" aca="1" ref="N277:AE277" ca="1">IF(OR(B277="",NOT($J$2)),"",GetStripDefaultProbability(A277,B277,Parameter_Date,CDSRollDate,E277:M277,SpreadCurveMaturities,D277,C277,$J$4,$J$6))</f>
        <v>0</v>
      </c>
      <c r="O277" s="155">
        <f ca="1"/>
        <v>7.9689208374039699E-3</v>
      </c>
      <c r="P277" s="155">
        <f ca="1"/>
        <v>1.5132397863609426E-2</v>
      </c>
      <c r="Q277" s="155">
        <f ca="1"/>
        <v>2.9282027774209407E-2</v>
      </c>
      <c r="R277" s="155">
        <f ca="1"/>
        <v>4.4689122665884096E-2</v>
      </c>
      <c r="S277" s="155">
        <f ca="1"/>
        <v>0</v>
      </c>
      <c r="T277" s="155">
        <f ca="1"/>
        <v>7.8037249912483508E-2</v>
      </c>
      <c r="U277" s="155">
        <f ca="1"/>
        <v>0.10744044157564026</v>
      </c>
      <c r="V277" s="138">
        <f ca="1"/>
        <v>0.15036799576713744</v>
      </c>
      <c r="W277" s="137">
        <f ca="1"/>
        <v>0</v>
      </c>
      <c r="X277" s="155">
        <f ca="1"/>
        <v>8.0610713713750171E-3</v>
      </c>
      <c r="Y277" s="155">
        <f ca="1"/>
        <v>1.5296528786001184E-2</v>
      </c>
      <c r="Z277" s="155">
        <f ca="1"/>
        <v>2.9605546508822633E-2</v>
      </c>
      <c r="AA277" s="155">
        <f ca="1"/>
        <v>4.5166658710581564E-2</v>
      </c>
      <c r="AB277" s="155">
        <f ca="1"/>
        <v>0</v>
      </c>
      <c r="AC277" s="155">
        <f ca="1"/>
        <v>7.8805232167166728E-2</v>
      </c>
      <c r="AD277" s="155">
        <f ca="1"/>
        <v>0.10850273060366278</v>
      </c>
      <c r="AE277" s="138">
        <f ca="1"/>
        <v>0.15182689861710597</v>
      </c>
      <c r="AH277" s="135"/>
      <c r="AI277" s="135"/>
      <c r="AJ277" s="135"/>
      <c r="AK277" s="135"/>
      <c r="AM277" s="135"/>
      <c r="AN277" s="135"/>
      <c r="AO277" s="135"/>
      <c r="AQ277" s="135"/>
      <c r="AR277" s="135"/>
      <c r="AS277" s="135"/>
      <c r="AT277" s="135"/>
      <c r="AV277" s="135"/>
      <c r="AW277" s="135"/>
      <c r="AX277" s="135"/>
    </row>
    <row r="278" spans="1:50" s="79" customFormat="1" ht="11.25">
      <c r="A278" s="96">
        <f t="shared" ca="1" si="6"/>
        <v>267</v>
      </c>
      <c r="B278" s="68" t="s">
        <v>353</v>
      </c>
      <c r="C278" s="97">
        <v>0.4</v>
      </c>
      <c r="D278" s="69" t="s">
        <v>67</v>
      </c>
      <c r="E278" s="136" t="s">
        <v>87</v>
      </c>
      <c r="F278" s="154" t="s">
        <v>87</v>
      </c>
      <c r="G278" s="154">
        <v>2.643E-3</v>
      </c>
      <c r="H278" s="154" t="s">
        <v>87</v>
      </c>
      <c r="I278" s="154">
        <v>3.9979999999999998E-3</v>
      </c>
      <c r="J278" s="154" t="s">
        <v>87</v>
      </c>
      <c r="K278" s="154">
        <v>5.1500000000000001E-3</v>
      </c>
      <c r="L278" s="154">
        <v>5.7600000000000004E-3</v>
      </c>
      <c r="M278" s="154">
        <v>6.5729999999999998E-3</v>
      </c>
      <c r="N278" s="137" cm="1">
        <f t="array" aca="1" ref="N278:AE278" ca="1">IF(OR(B278="",NOT($J$2)),"",GetStripDefaultProbability(A278,B278,Parameter_Date,CDSRollDate,E278:M278,SpreadCurveMaturities,D278,C278,$J$4,$J$6))</f>
        <v>0</v>
      </c>
      <c r="O278" s="155">
        <f ca="1"/>
        <v>0</v>
      </c>
      <c r="P278" s="155">
        <f ca="1"/>
        <v>4.6664335410994129E-3</v>
      </c>
      <c r="Q278" s="155">
        <f ca="1"/>
        <v>0</v>
      </c>
      <c r="R278" s="155">
        <f ca="1"/>
        <v>2.047363945351055E-2</v>
      </c>
      <c r="S278" s="155">
        <f ca="1"/>
        <v>0</v>
      </c>
      <c r="T278" s="155">
        <f ca="1"/>
        <v>4.3802814189418227E-2</v>
      </c>
      <c r="U278" s="155">
        <f ca="1"/>
        <v>6.8101665290430047E-2</v>
      </c>
      <c r="V278" s="138">
        <f ca="1"/>
        <v>0.11040518239618224</v>
      </c>
      <c r="W278" s="137">
        <f ca="1"/>
        <v>0</v>
      </c>
      <c r="X278" s="155">
        <f ca="1"/>
        <v>0</v>
      </c>
      <c r="Y278" s="155">
        <f ca="1"/>
        <v>4.8323086455172026E-3</v>
      </c>
      <c r="Z278" s="155">
        <f ca="1"/>
        <v>0</v>
      </c>
      <c r="AA278" s="155">
        <f ca="1"/>
        <v>2.0963280213428526E-2</v>
      </c>
      <c r="AB278" s="155">
        <f ca="1"/>
        <v>0</v>
      </c>
      <c r="AC278" s="155">
        <f ca="1"/>
        <v>4.45993132568544E-2</v>
      </c>
      <c r="AD278" s="155">
        <f ca="1"/>
        <v>6.9188246052196534E-2</v>
      </c>
      <c r="AE278" s="138">
        <f ca="1"/>
        <v>0.11193236071366042</v>
      </c>
      <c r="AI278" s="135"/>
      <c r="AK278" s="135"/>
      <c r="AM278" s="135"/>
      <c r="AN278" s="135"/>
      <c r="AO278" s="135"/>
      <c r="AR278" s="135"/>
      <c r="AT278" s="135"/>
      <c r="AV278" s="135"/>
      <c r="AW278" s="135"/>
      <c r="AX278" s="135"/>
    </row>
    <row r="279" spans="1:50" s="79" customFormat="1" ht="11.25">
      <c r="A279" s="96">
        <f t="shared" ca="1" si="6"/>
        <v>268</v>
      </c>
      <c r="B279" s="68" t="s">
        <v>135</v>
      </c>
      <c r="C279" s="97">
        <v>0.4</v>
      </c>
      <c r="D279" s="69" t="s">
        <v>66</v>
      </c>
      <c r="E279" s="136" t="s">
        <v>87</v>
      </c>
      <c r="F279" s="154">
        <v>1.1999999999999999E-3</v>
      </c>
      <c r="G279" s="154">
        <v>1.6999999999999999E-3</v>
      </c>
      <c r="H279" s="154">
        <v>2.8E-3</v>
      </c>
      <c r="I279" s="154">
        <v>3.5000000000000001E-3</v>
      </c>
      <c r="J279" s="154" t="s">
        <v>87</v>
      </c>
      <c r="K279" s="154">
        <v>4.4999999999999997E-3</v>
      </c>
      <c r="L279" s="154">
        <v>5.1999999999999998E-3</v>
      </c>
      <c r="M279" s="154">
        <v>6.1999999999999998E-3</v>
      </c>
      <c r="N279" s="137" cm="1">
        <f t="array" aca="1" ref="N279:AE279" ca="1">IF(OR(B279="",NOT($J$2)),"",GetStripDefaultProbability(A279,B279,Parameter_Date,CDSRollDate,E279:M279,SpreadCurveMaturities,D279,C279,$J$4,$J$6))</f>
        <v>0</v>
      </c>
      <c r="O279" s="155">
        <f ca="1"/>
        <v>1.1157686840057579E-3</v>
      </c>
      <c r="P279" s="155">
        <f ca="1"/>
        <v>3.0185630785608542E-3</v>
      </c>
      <c r="Q279" s="155">
        <f ca="1"/>
        <v>9.7084371942723902E-3</v>
      </c>
      <c r="R279" s="155">
        <f ca="1"/>
        <v>1.8037025458546796E-2</v>
      </c>
      <c r="S279" s="155">
        <f ca="1"/>
        <v>0</v>
      </c>
      <c r="T279" s="155">
        <f ca="1"/>
        <v>3.8000113550588632E-2</v>
      </c>
      <c r="U279" s="155">
        <f ca="1"/>
        <v>6.0903590049894651E-2</v>
      </c>
      <c r="V279" s="138">
        <f ca="1"/>
        <v>0.10220607781433622</v>
      </c>
      <c r="W279" s="137">
        <f ca="1"/>
        <v>0</v>
      </c>
      <c r="X279" s="155">
        <f ca="1"/>
        <v>1.2086910806557993E-3</v>
      </c>
      <c r="Y279" s="155">
        <f ca="1"/>
        <v>3.1847128051830653E-3</v>
      </c>
      <c r="Z279" s="155">
        <f ca="1"/>
        <v>1.0038479371780262E-2</v>
      </c>
      <c r="AA279" s="155">
        <f ca="1"/>
        <v>1.8527884220911672E-2</v>
      </c>
      <c r="AB279" s="155">
        <f ca="1"/>
        <v>0</v>
      </c>
      <c r="AC279" s="155">
        <f ca="1"/>
        <v>3.8821775933010505E-2</v>
      </c>
      <c r="AD279" s="155">
        <f ca="1"/>
        <v>6.2028502047462797E-2</v>
      </c>
      <c r="AE279" s="138">
        <f ca="1"/>
        <v>0.10374569678513823</v>
      </c>
      <c r="AH279" s="135"/>
      <c r="AI279" s="135"/>
      <c r="AJ279" s="135"/>
      <c r="AK279" s="135"/>
      <c r="AM279" s="135"/>
      <c r="AN279" s="135"/>
      <c r="AO279" s="135"/>
      <c r="AQ279" s="135"/>
      <c r="AR279" s="135"/>
      <c r="AS279" s="135"/>
      <c r="AT279" s="135"/>
      <c r="AV279" s="135"/>
      <c r="AW279" s="135"/>
      <c r="AX279" s="135"/>
    </row>
    <row r="280" spans="1:50" s="79" customFormat="1" ht="11.25">
      <c r="A280" s="96">
        <f t="shared" ca="1" si="6"/>
        <v>269</v>
      </c>
      <c r="B280" s="68" t="s">
        <v>208</v>
      </c>
      <c r="C280" s="97">
        <v>0.4</v>
      </c>
      <c r="D280" s="69" t="s">
        <v>66</v>
      </c>
      <c r="E280" s="136" t="s">
        <v>87</v>
      </c>
      <c r="F280" s="154">
        <v>1.1000000000000001E-3</v>
      </c>
      <c r="G280" s="154">
        <v>1.5E-3</v>
      </c>
      <c r="H280" s="154">
        <v>1.9E-3</v>
      </c>
      <c r="I280" s="154">
        <v>2.5999999999999999E-3</v>
      </c>
      <c r="J280" s="154" t="s">
        <v>87</v>
      </c>
      <c r="K280" s="154">
        <v>3.8E-3</v>
      </c>
      <c r="L280" s="154">
        <v>4.7000000000000002E-3</v>
      </c>
      <c r="M280" s="154">
        <v>5.7000000000000002E-3</v>
      </c>
      <c r="N280" s="137" cm="1">
        <f t="array" aca="1" ref="N280:AE280" ca="1">IF(OR(B280="",NOT($J$2)),"",GetStripDefaultProbability(A280,B280,Parameter_Date,CDSRollDate,E280:M280,SpreadCurveMaturities,D280,C280,$J$4,$J$6))</f>
        <v>0</v>
      </c>
      <c r="O280" s="155">
        <f ca="1"/>
        <v>1.0228355227774877E-3</v>
      </c>
      <c r="P280" s="155">
        <f ca="1"/>
        <v>2.6631074892390361E-3</v>
      </c>
      <c r="Q280" s="155">
        <f ca="1"/>
        <v>6.575806954124741E-3</v>
      </c>
      <c r="R280" s="155">
        <f ca="1"/>
        <v>1.3427741540470883E-2</v>
      </c>
      <c r="S280" s="155">
        <f ca="1"/>
        <v>0</v>
      </c>
      <c r="T280" s="155">
        <f ca="1"/>
        <v>3.2195043478884355E-2</v>
      </c>
      <c r="U280" s="155">
        <f ca="1"/>
        <v>5.532011579717111E-2</v>
      </c>
      <c r="V280" s="138">
        <f ca="1"/>
        <v>9.4481122854302879E-2</v>
      </c>
      <c r="W280" s="137">
        <f ca="1"/>
        <v>0</v>
      </c>
      <c r="X280" s="155">
        <f ca="1"/>
        <v>1.1157668979256963E-3</v>
      </c>
      <c r="Y280" s="155">
        <f ca="1"/>
        <v>2.8293164535180271E-3</v>
      </c>
      <c r="Z280" s="155">
        <f ca="1"/>
        <v>6.9068931677103151E-3</v>
      </c>
      <c r="AA280" s="155">
        <f ca="1"/>
        <v>1.3920904368733056E-2</v>
      </c>
      <c r="AB280" s="155">
        <f ca="1"/>
        <v>0</v>
      </c>
      <c r="AC280" s="155">
        <f ca="1"/>
        <v>3.3022145203088105E-2</v>
      </c>
      <c r="AD280" s="155">
        <f ca="1"/>
        <v>5.6452907273260022E-2</v>
      </c>
      <c r="AE280" s="138">
        <f ca="1"/>
        <v>9.6036981456227632E-2</v>
      </c>
      <c r="AH280" s="135"/>
      <c r="AI280" s="135"/>
      <c r="AJ280" s="135"/>
      <c r="AK280" s="135"/>
      <c r="AM280" s="135"/>
      <c r="AN280" s="135"/>
      <c r="AO280" s="135"/>
      <c r="AQ280" s="135"/>
      <c r="AR280" s="135"/>
      <c r="AS280" s="135"/>
      <c r="AT280" s="135"/>
      <c r="AV280" s="135"/>
      <c r="AW280" s="135"/>
      <c r="AX280" s="135"/>
    </row>
    <row r="281" spans="1:50" s="79" customFormat="1" ht="11.25">
      <c r="A281" s="96">
        <f t="shared" ca="1" si="6"/>
        <v>270</v>
      </c>
      <c r="B281" s="68" t="s">
        <v>126</v>
      </c>
      <c r="C281" s="97">
        <v>0.4</v>
      </c>
      <c r="D281" s="69" t="s">
        <v>66</v>
      </c>
      <c r="E281" s="136" t="s">
        <v>87</v>
      </c>
      <c r="F281" s="154">
        <v>1.1000000000000001E-3</v>
      </c>
      <c r="G281" s="154">
        <v>1.6000000000000001E-3</v>
      </c>
      <c r="H281" s="154">
        <v>2E-3</v>
      </c>
      <c r="I281" s="154">
        <v>2.8E-3</v>
      </c>
      <c r="J281" s="154" t="s">
        <v>87</v>
      </c>
      <c r="K281" s="154">
        <v>3.8999999999999998E-3</v>
      </c>
      <c r="L281" s="154">
        <v>4.5999999999999999E-3</v>
      </c>
      <c r="M281" s="154">
        <v>5.5999999999999999E-3</v>
      </c>
      <c r="N281" s="137" cm="1">
        <f t="array" aca="1" ref="N281:AE281" ca="1">IF(OR(B281="",NOT($J$2)),"",GetStripDefaultProbability(A281,B281,Parameter_Date,CDSRollDate,E281:M281,SpreadCurveMaturities,D281,C281,$J$4,$J$6))</f>
        <v>0</v>
      </c>
      <c r="O281" s="155">
        <f ca="1"/>
        <v>1.0228355227774877E-3</v>
      </c>
      <c r="P281" s="155">
        <f ca="1"/>
        <v>2.8417371980472561E-3</v>
      </c>
      <c r="Q281" s="155">
        <f ca="1"/>
        <v>6.9210130096538647E-3</v>
      </c>
      <c r="R281" s="155">
        <f ca="1"/>
        <v>1.4462056276561386E-2</v>
      </c>
      <c r="S281" s="155">
        <f ca="1"/>
        <v>0</v>
      </c>
      <c r="T281" s="155">
        <f ca="1"/>
        <v>3.3030103880776762E-2</v>
      </c>
      <c r="U281" s="155">
        <f ca="1"/>
        <v>5.4095903631779851E-2</v>
      </c>
      <c r="V281" s="138">
        <f ca="1"/>
        <v>9.2813708609119638E-2</v>
      </c>
      <c r="W281" s="137">
        <f ca="1"/>
        <v>0</v>
      </c>
      <c r="X281" s="155">
        <f ca="1"/>
        <v>1.1157668979256963E-3</v>
      </c>
      <c r="Y281" s="155">
        <f ca="1"/>
        <v>3.0079163931993058E-3</v>
      </c>
      <c r="Z281" s="155">
        <f ca="1"/>
        <v>7.2519841737347379E-3</v>
      </c>
      <c r="AA281" s="155">
        <f ca="1"/>
        <v>1.4954702076696691E-2</v>
      </c>
      <c r="AB281" s="155">
        <f ca="1"/>
        <v>0</v>
      </c>
      <c r="AC281" s="155">
        <f ca="1"/>
        <v>3.3856407114224329E-2</v>
      </c>
      <c r="AD281" s="155">
        <f ca="1"/>
        <v>5.5229536467195084E-2</v>
      </c>
      <c r="AE281" s="138">
        <f ca="1"/>
        <v>9.4371622035654856E-2</v>
      </c>
      <c r="AH281" s="135"/>
      <c r="AI281" s="135"/>
      <c r="AJ281" s="135"/>
      <c r="AK281" s="135"/>
      <c r="AM281" s="135"/>
      <c r="AN281" s="135"/>
      <c r="AO281" s="135"/>
      <c r="AQ281" s="135"/>
      <c r="AR281" s="135"/>
      <c r="AS281" s="135"/>
      <c r="AT281" s="135"/>
      <c r="AV281" s="135"/>
      <c r="AW281" s="135"/>
      <c r="AX281" s="135"/>
    </row>
    <row r="282" spans="1:50" s="79" customFormat="1" ht="11.25">
      <c r="A282" s="96">
        <f t="shared" ca="1" si="6"/>
        <v>271</v>
      </c>
      <c r="B282" s="68" t="s">
        <v>354</v>
      </c>
      <c r="C282" s="97">
        <v>0.4</v>
      </c>
      <c r="D282" s="69" t="s">
        <v>67</v>
      </c>
      <c r="E282" s="136" t="s">
        <v>87</v>
      </c>
      <c r="F282" s="154" t="s">
        <v>87</v>
      </c>
      <c r="G282" s="154">
        <v>9.3400000000000004E-4</v>
      </c>
      <c r="H282" s="154" t="s">
        <v>87</v>
      </c>
      <c r="I282" s="154">
        <v>2.264E-3</v>
      </c>
      <c r="J282" s="154" t="s">
        <v>87</v>
      </c>
      <c r="K282" s="154">
        <v>3.5500000000000002E-3</v>
      </c>
      <c r="L282" s="154">
        <v>4.4759999999999999E-3</v>
      </c>
      <c r="M282" s="154">
        <v>5.3509999999999999E-3</v>
      </c>
      <c r="N282" s="137" cm="1">
        <f t="array" aca="1" ref="N282:AE282" ca="1">IF(OR(B282="",NOT($J$2)),"",GetStripDefaultProbability(A282,B282,Parameter_Date,CDSRollDate,E282:M282,SpreadCurveMaturities,D282,C282,$J$4,$J$6))</f>
        <v>0</v>
      </c>
      <c r="O282" s="155">
        <f ca="1"/>
        <v>0</v>
      </c>
      <c r="P282" s="155">
        <f ca="1"/>
        <v>1.6515284563772825E-3</v>
      </c>
      <c r="Q282" s="155">
        <f ca="1"/>
        <v>0</v>
      </c>
      <c r="R282" s="155">
        <f ca="1"/>
        <v>1.1713515437439592E-2</v>
      </c>
      <c r="S282" s="155">
        <f ca="1"/>
        <v>0</v>
      </c>
      <c r="T282" s="155">
        <f ca="1"/>
        <v>3.0768466925170879E-2</v>
      </c>
      <c r="U282" s="155">
        <f ca="1"/>
        <v>5.4402750772818198E-2</v>
      </c>
      <c r="V282" s="138">
        <f ca="1"/>
        <v>9.25896382759821E-2</v>
      </c>
      <c r="W282" s="137">
        <f ca="1"/>
        <v>0</v>
      </c>
      <c r="X282" s="155">
        <f ca="1"/>
        <v>0</v>
      </c>
      <c r="Y282" s="155">
        <f ca="1"/>
        <v>1.8179060031034977E-3</v>
      </c>
      <c r="Z282" s="155">
        <f ca="1"/>
        <v>0</v>
      </c>
      <c r="AA282" s="155">
        <f ca="1"/>
        <v>1.2207535164516892E-2</v>
      </c>
      <c r="AB282" s="155">
        <f ca="1"/>
        <v>0</v>
      </c>
      <c r="AC282" s="155">
        <f ca="1"/>
        <v>3.1575823424100147E-2</v>
      </c>
      <c r="AD282" s="155">
        <f ca="1"/>
        <v>5.5530104129166036E-2</v>
      </c>
      <c r="AE282" s="138">
        <f ca="1"/>
        <v>9.4100729286539342E-2</v>
      </c>
      <c r="AI282" s="135"/>
      <c r="AK282" s="135"/>
      <c r="AM282" s="135"/>
      <c r="AN282" s="135"/>
      <c r="AO282" s="135"/>
      <c r="AR282" s="135"/>
      <c r="AT282" s="135"/>
      <c r="AV282" s="135"/>
      <c r="AW282" s="135"/>
      <c r="AX282" s="135"/>
    </row>
    <row r="283" spans="1:50" s="79" customFormat="1" ht="11.25">
      <c r="A283" s="96">
        <f t="shared" ca="1" si="6"/>
        <v>272</v>
      </c>
      <c r="B283" s="68" t="s">
        <v>209</v>
      </c>
      <c r="C283" s="97">
        <v>0.4</v>
      </c>
      <c r="D283" s="69" t="s">
        <v>66</v>
      </c>
      <c r="E283" s="136" t="s">
        <v>87</v>
      </c>
      <c r="F283" s="154">
        <v>8.0000000000000004E-4</v>
      </c>
      <c r="G283" s="154">
        <v>1E-3</v>
      </c>
      <c r="H283" s="154">
        <v>1.9E-3</v>
      </c>
      <c r="I283" s="154">
        <v>2.3999999999999998E-3</v>
      </c>
      <c r="J283" s="154" t="s">
        <v>87</v>
      </c>
      <c r="K283" s="154">
        <v>3.8E-3</v>
      </c>
      <c r="L283" s="154">
        <v>4.4999999999999997E-3</v>
      </c>
      <c r="M283" s="154">
        <v>5.4000000000000003E-3</v>
      </c>
      <c r="N283" s="137" cm="1">
        <f t="array" aca="1" ref="N283:AE283" ca="1">IF(OR(B283="",NOT($J$2)),"",GetStripDefaultProbability(A283,B283,Parameter_Date,CDSRollDate,E283:M283,SpreadCurveMaturities,D283,C283,$J$4,$J$6))</f>
        <v>0</v>
      </c>
      <c r="O283" s="155">
        <f ca="1"/>
        <v>7.4398417212018231E-4</v>
      </c>
      <c r="P283" s="155">
        <f ca="1"/>
        <v>1.7749275068706938E-3</v>
      </c>
      <c r="Q283" s="155">
        <f ca="1"/>
        <v>6.6026113077128912E-3</v>
      </c>
      <c r="R283" s="155">
        <f ca="1"/>
        <v>1.2405399345356338E-2</v>
      </c>
      <c r="S283" s="155">
        <f ca="1"/>
        <v>0</v>
      </c>
      <c r="T283" s="155">
        <f ca="1"/>
        <v>3.2214377123891746E-2</v>
      </c>
      <c r="U283" s="155">
        <f ca="1"/>
        <v>5.2974733020345832E-2</v>
      </c>
      <c r="V283" s="138">
        <f ca="1"/>
        <v>8.962073421794392E-2</v>
      </c>
      <c r="W283" s="137">
        <f ca="1"/>
        <v>0</v>
      </c>
      <c r="X283" s="155">
        <f ca="1"/>
        <v>8.3694231015207787E-4</v>
      </c>
      <c r="Y283" s="155">
        <f ca="1"/>
        <v>1.9412844888236913E-3</v>
      </c>
      <c r="Z283" s="155">
        <f ca="1"/>
        <v>6.9336885879874854E-3</v>
      </c>
      <c r="AA283" s="155">
        <f ca="1"/>
        <v>1.2899073216949941E-2</v>
      </c>
      <c r="AB283" s="155">
        <f ca="1"/>
        <v>0</v>
      </c>
      <c r="AC283" s="155">
        <f ca="1"/>
        <v>3.3041656034950129E-2</v>
      </c>
      <c r="AD283" s="155">
        <f ca="1"/>
        <v>5.4110310512868076E-2</v>
      </c>
      <c r="AE283" s="138">
        <f ca="1"/>
        <v>9.1185007836247944E-2</v>
      </c>
      <c r="AH283" s="135"/>
      <c r="AI283" s="135"/>
      <c r="AJ283" s="135"/>
      <c r="AK283" s="135"/>
      <c r="AM283" s="135"/>
      <c r="AN283" s="135"/>
      <c r="AO283" s="135"/>
      <c r="AQ283" s="135"/>
      <c r="AR283" s="135"/>
      <c r="AS283" s="135"/>
      <c r="AT283" s="135"/>
      <c r="AV283" s="135"/>
      <c r="AW283" s="135"/>
      <c r="AX283" s="135"/>
    </row>
    <row r="284" spans="1:50" s="79" customFormat="1" ht="11.25">
      <c r="A284" s="96">
        <f t="shared" ca="1" si="6"/>
        <v>273</v>
      </c>
      <c r="B284" s="68" t="s">
        <v>355</v>
      </c>
      <c r="C284" s="97">
        <v>0.2</v>
      </c>
      <c r="D284" s="69" t="s">
        <v>67</v>
      </c>
      <c r="E284" s="136">
        <v>1E-3</v>
      </c>
      <c r="F284" s="154">
        <v>1E-3</v>
      </c>
      <c r="G284" s="154">
        <v>1.2999999999999999E-3</v>
      </c>
      <c r="H284" s="154">
        <v>1.6000000000000001E-3</v>
      </c>
      <c r="I284" s="154">
        <v>2.3E-3</v>
      </c>
      <c r="J284" s="154">
        <v>2.8E-3</v>
      </c>
      <c r="K284" s="154">
        <v>3.3E-3</v>
      </c>
      <c r="L284" s="154">
        <v>4.4000000000000003E-3</v>
      </c>
      <c r="M284" s="154">
        <v>5.4000000000000003E-3</v>
      </c>
      <c r="N284" s="137" cm="1">
        <f t="array" aca="1" ref="N284:AE284" ca="1">IF(OR(B284="",NOT($J$2)),"",GetStripDefaultProbability(A284,B284,Parameter_Date,CDSRollDate,E284:M284,SpreadCurveMaturities,D284,C284,$J$4,$J$6))</f>
        <v>3.7936796104987014E-4</v>
      </c>
      <c r="O284" s="155">
        <f ca="1"/>
        <v>6.9625243807136528E-4</v>
      </c>
      <c r="P284" s="155">
        <f ca="1"/>
        <v>1.7291249070967574E-3</v>
      </c>
      <c r="Q284" s="155">
        <f ca="1"/>
        <v>4.1531515916930495E-3</v>
      </c>
      <c r="R284" s="155">
        <f ca="1"/>
        <v>8.9617080552361061E-3</v>
      </c>
      <c r="S284" s="155">
        <f ca="1"/>
        <v>1.4545846258605333E-2</v>
      </c>
      <c r="T284" s="155">
        <f ca="1"/>
        <v>2.1496622574532664E-2</v>
      </c>
      <c r="U284" s="155">
        <f ca="1"/>
        <v>4.0500081862449466E-2</v>
      </c>
      <c r="V284" s="138">
        <f ca="1"/>
        <v>7.1144902226422002E-2</v>
      </c>
      <c r="W284" s="137">
        <f ca="1"/>
        <v>4.1729666554035649E-4</v>
      </c>
      <c r="X284" s="155">
        <f ca="1"/>
        <v>7.6585086973102179E-4</v>
      </c>
      <c r="Y284" s="155">
        <f ca="1"/>
        <v>1.8539009678184559E-3</v>
      </c>
      <c r="Z284" s="155">
        <f ca="1"/>
        <v>4.40208218618654E-3</v>
      </c>
      <c r="AA284" s="155">
        <f ca="1"/>
        <v>9.3332777410524148E-3</v>
      </c>
      <c r="AB284" s="155">
        <f ca="1"/>
        <v>1.5038450174218343E-2</v>
      </c>
      <c r="AC284" s="155">
        <f ca="1"/>
        <v>2.2107996111304096E-2</v>
      </c>
      <c r="AD284" s="155">
        <f ca="1"/>
        <v>4.1357091715929051E-2</v>
      </c>
      <c r="AE284" s="138">
        <f ca="1"/>
        <v>7.2305245732887213E-2</v>
      </c>
      <c r="AG284" s="135"/>
      <c r="AH284" s="135"/>
      <c r="AI284" s="135"/>
      <c r="AJ284" s="135"/>
      <c r="AK284" s="135"/>
      <c r="AL284" s="135"/>
      <c r="AM284" s="135"/>
      <c r="AN284" s="135"/>
      <c r="AO284" s="135"/>
      <c r="AP284" s="135"/>
      <c r="AQ284" s="135"/>
      <c r="AR284" s="135"/>
      <c r="AS284" s="135"/>
      <c r="AT284" s="135"/>
      <c r="AU284" s="135"/>
      <c r="AV284" s="135"/>
      <c r="AW284" s="135"/>
      <c r="AX284" s="135"/>
    </row>
    <row r="285" spans="1:50" s="79" customFormat="1" ht="11.25">
      <c r="A285" s="96">
        <f t="shared" ca="1" si="6"/>
        <v>274</v>
      </c>
      <c r="B285" s="68" t="s">
        <v>356</v>
      </c>
      <c r="C285" s="97">
        <v>0.4</v>
      </c>
      <c r="D285" s="69" t="s">
        <v>67</v>
      </c>
      <c r="E285" s="136" t="s">
        <v>87</v>
      </c>
      <c r="F285" s="154" t="s">
        <v>87</v>
      </c>
      <c r="G285" s="154">
        <v>8.6899999999999998E-4</v>
      </c>
      <c r="H285" s="154" t="s">
        <v>87</v>
      </c>
      <c r="I285" s="154">
        <v>2.2699999999999999E-3</v>
      </c>
      <c r="J285" s="154" t="s">
        <v>87</v>
      </c>
      <c r="K285" s="154">
        <v>3.2499999999999999E-3</v>
      </c>
      <c r="L285" s="154">
        <v>4.2300000000000003E-3</v>
      </c>
      <c r="M285" s="154">
        <v>5.2620000000000002E-3</v>
      </c>
      <c r="N285" s="137" cm="1">
        <f t="array" aca="1" ref="N285:AE285" ca="1">IF(OR(B285="",NOT($J$2)),"",GetStripDefaultProbability(A285,B285,Parameter_Date,CDSRollDate,E285:M285,SpreadCurveMaturities,D285,C285,$J$4,$J$6))</f>
        <v>0</v>
      </c>
      <c r="O285" s="155">
        <f ca="1"/>
        <v>0</v>
      </c>
      <c r="P285" s="155">
        <f ca="1"/>
        <v>1.5366811032384575E-3</v>
      </c>
      <c r="Q285" s="155">
        <f ca="1"/>
        <v>0</v>
      </c>
      <c r="R285" s="155">
        <f ca="1"/>
        <v>1.1753372469429091E-2</v>
      </c>
      <c r="S285" s="155">
        <f ca="1"/>
        <v>0</v>
      </c>
      <c r="T285" s="155">
        <f ca="1"/>
        <v>2.8079664397773207E-2</v>
      </c>
      <c r="U285" s="155">
        <f ca="1"/>
        <v>5.1508982454533059E-2</v>
      </c>
      <c r="V285" s="138">
        <f ca="1"/>
        <v>9.1688476970684163E-2</v>
      </c>
      <c r="W285" s="137">
        <f ca="1"/>
        <v>0</v>
      </c>
      <c r="X285" s="155">
        <f ca="1"/>
        <v>0</v>
      </c>
      <c r="Y285" s="155">
        <f ca="1"/>
        <v>1.7030777895948868E-3</v>
      </c>
      <c r="Z285" s="155">
        <f ca="1"/>
        <v>0</v>
      </c>
      <c r="AA285" s="155">
        <f ca="1"/>
        <v>1.2247372272915391E-2</v>
      </c>
      <c r="AB285" s="155">
        <f ca="1"/>
        <v>0</v>
      </c>
      <c r="AC285" s="155">
        <f ca="1"/>
        <v>2.8889260632168012E-2</v>
      </c>
      <c r="AD285" s="155">
        <f ca="1"/>
        <v>5.2639432394528063E-2</v>
      </c>
      <c r="AE285" s="138">
        <f ca="1"/>
        <v>9.3248116113557433E-2</v>
      </c>
      <c r="AI285" s="135">
        <v>1.5E-3</v>
      </c>
      <c r="AK285" s="135">
        <v>1.17E-2</v>
      </c>
      <c r="AM285" s="135">
        <v>2.8000000000000001E-2</v>
      </c>
      <c r="AN285" s="135">
        <v>5.1400000000000001E-2</v>
      </c>
      <c r="AO285" s="135">
        <v>9.1499999999999998E-2</v>
      </c>
      <c r="AR285" s="135">
        <v>1.6999999999999999E-3</v>
      </c>
      <c r="AT285" s="135">
        <v>1.2200000000000001E-2</v>
      </c>
      <c r="AV285" s="135">
        <v>2.9399999999999999E-2</v>
      </c>
      <c r="AW285" s="135">
        <v>5.3900000000000003E-2</v>
      </c>
      <c r="AX285" s="135">
        <v>9.5899999999999999E-2</v>
      </c>
    </row>
    <row r="286" spans="1:50" s="79" customFormat="1" ht="11.25">
      <c r="A286" s="96">
        <f t="shared" ca="1" si="6"/>
        <v>275</v>
      </c>
      <c r="B286" s="68" t="s">
        <v>357</v>
      </c>
      <c r="C286" s="97">
        <v>0.4</v>
      </c>
      <c r="D286" s="69" t="s">
        <v>66</v>
      </c>
      <c r="E286" s="136" t="s">
        <v>87</v>
      </c>
      <c r="F286" s="154">
        <v>5.9999999999999995E-4</v>
      </c>
      <c r="G286" s="154">
        <v>8.0000000000000004E-4</v>
      </c>
      <c r="H286" s="154">
        <v>1.2999999999999999E-3</v>
      </c>
      <c r="I286" s="154">
        <v>1.9E-3</v>
      </c>
      <c r="J286" s="154" t="s">
        <v>87</v>
      </c>
      <c r="K286" s="154">
        <v>3.0999999999999999E-3</v>
      </c>
      <c r="L286" s="154">
        <v>4.0000000000000001E-3</v>
      </c>
      <c r="M286" s="154">
        <v>5.0000000000000001E-3</v>
      </c>
      <c r="N286" s="137" cm="1">
        <f t="array" aca="1" ref="N286:AE286" ca="1">IF(OR(B286="",NOT($J$2)),"",GetStripDefaultProbability(A286,B286,Parameter_Date,CDSRollDate,E286:M286,SpreadCurveMaturities,D286,C286,$J$4,$J$6))</f>
        <v>0</v>
      </c>
      <c r="O286" s="155">
        <f ca="1"/>
        <v>5.5804003710946404E-4</v>
      </c>
      <c r="P286" s="155">
        <f ca="1"/>
        <v>1.4208535207560491E-3</v>
      </c>
      <c r="Q286" s="155">
        <f ca="1"/>
        <v>4.5153195104638E-3</v>
      </c>
      <c r="R286" s="155">
        <f ca="1"/>
        <v>9.8514492429528921E-3</v>
      </c>
      <c r="S286" s="155">
        <f ca="1"/>
        <v>0</v>
      </c>
      <c r="T286" s="155">
        <f ca="1"/>
        <v>2.6361546297224647E-2</v>
      </c>
      <c r="U286" s="155">
        <f ca="1"/>
        <v>4.7319584281235616E-2</v>
      </c>
      <c r="V286" s="138">
        <f ca="1"/>
        <v>8.3412874926878766E-2</v>
      </c>
      <c r="W286" s="137">
        <f ca="1"/>
        <v>0</v>
      </c>
      <c r="X286" s="155">
        <f ca="1"/>
        <v>6.5101587709581743E-4</v>
      </c>
      <c r="Y286" s="155">
        <f ca="1"/>
        <v>1.5872695101263323E-3</v>
      </c>
      <c r="Z286" s="155">
        <f ca="1"/>
        <v>4.8470924387247205E-3</v>
      </c>
      <c r="AA286" s="155">
        <f ca="1"/>
        <v>1.034639977038132E-2</v>
      </c>
      <c r="AB286" s="155">
        <f ca="1"/>
        <v>0</v>
      </c>
      <c r="AC286" s="155">
        <f ca="1"/>
        <v>2.7193969195730694E-2</v>
      </c>
      <c r="AD286" s="155">
        <f ca="1"/>
        <v>4.8462432821328227E-2</v>
      </c>
      <c r="AE286" s="138">
        <f ca="1"/>
        <v>8.4989861831077818E-2</v>
      </c>
      <c r="AH286" s="135">
        <v>5.0000000000000001E-4</v>
      </c>
      <c r="AI286" s="135">
        <v>1.4E-3</v>
      </c>
      <c r="AJ286" s="135">
        <v>4.4999999999999997E-3</v>
      </c>
      <c r="AK286" s="135">
        <v>9.7999999999999997E-3</v>
      </c>
      <c r="AM286" s="135">
        <v>2.69E-2</v>
      </c>
      <c r="AN286" s="135">
        <v>4.8599999999999997E-2</v>
      </c>
      <c r="AO286" s="135">
        <v>8.6699999999999999E-2</v>
      </c>
      <c r="AQ286" s="135">
        <v>5.9999999999999995E-4</v>
      </c>
      <c r="AR286" s="135">
        <v>1.6000000000000001E-3</v>
      </c>
      <c r="AS286" s="135">
        <v>4.7999999999999996E-3</v>
      </c>
      <c r="AT286" s="135">
        <v>1.03E-2</v>
      </c>
      <c r="AV286" s="135">
        <v>2.8199999999999999E-2</v>
      </c>
      <c r="AW286" s="135">
        <v>5.0999999999999997E-2</v>
      </c>
      <c r="AX286" s="135">
        <v>9.0899999999999995E-2</v>
      </c>
    </row>
    <row r="287" spans="1:50" s="79" customFormat="1" ht="11.25">
      <c r="A287" s="96">
        <f t="shared" ca="1" si="6"/>
        <v>276</v>
      </c>
      <c r="B287" s="68" t="s">
        <v>358</v>
      </c>
      <c r="C287" s="97">
        <v>0.4</v>
      </c>
      <c r="D287" s="69" t="s">
        <v>66</v>
      </c>
      <c r="E287" s="136" t="s">
        <v>87</v>
      </c>
      <c r="F287" s="154">
        <v>5.0000000000000001E-4</v>
      </c>
      <c r="G287" s="154">
        <v>6.9999999999999999E-4</v>
      </c>
      <c r="H287" s="154">
        <v>1.2999999999999999E-3</v>
      </c>
      <c r="I287" s="154">
        <v>1.6999999999999999E-3</v>
      </c>
      <c r="J287" s="154" t="s">
        <v>87</v>
      </c>
      <c r="K287" s="154">
        <v>2.8999999999999998E-3</v>
      </c>
      <c r="L287" s="154">
        <v>3.8999999999999998E-3</v>
      </c>
      <c r="M287" s="154">
        <v>4.8999999999999998E-3</v>
      </c>
      <c r="N287" s="137" cm="1">
        <f t="array" aca="1" ref="N287:AE287" ca="1">IF(OR(B287="",NOT($J$2)),"",GetStripDefaultProbability(A287,B287,Parameter_Date,CDSRollDate,E287:M287,SpreadCurveMaturities,D287,C287,$J$4,$J$6))</f>
        <v>0</v>
      </c>
      <c r="O287" s="155">
        <f ca="1"/>
        <v>4.6505499562699004E-4</v>
      </c>
      <c r="P287" s="155">
        <f ca="1"/>
        <v>1.2437694058637927E-3</v>
      </c>
      <c r="Q287" s="155">
        <f ca="1"/>
        <v>4.521221577604706E-3</v>
      </c>
      <c r="R287" s="155">
        <f ca="1"/>
        <v>8.8054081602603196E-3</v>
      </c>
      <c r="S287" s="155">
        <f ca="1"/>
        <v>0</v>
      </c>
      <c r="T287" s="155">
        <f ca="1"/>
        <v>2.4665257351973224E-2</v>
      </c>
      <c r="U287" s="155">
        <f ca="1"/>
        <v>4.6188139188370614E-2</v>
      </c>
      <c r="V287" s="138">
        <f ca="1"/>
        <v>8.1841133937254229E-2</v>
      </c>
      <c r="W287" s="137">
        <f ca="1"/>
        <v>0</v>
      </c>
      <c r="X287" s="155">
        <f ca="1"/>
        <v>5.5803964578249321E-4</v>
      </c>
      <c r="Y287" s="155">
        <f ca="1"/>
        <v>1.4102149067779512E-3</v>
      </c>
      <c r="Z287" s="155">
        <f ca="1"/>
        <v>4.8529925388567374E-3</v>
      </c>
      <c r="AA287" s="155">
        <f ca="1"/>
        <v>9.3008815774920928E-3</v>
      </c>
      <c r="AB287" s="155">
        <f ca="1"/>
        <v>0</v>
      </c>
      <c r="AC287" s="155">
        <f ca="1"/>
        <v>2.5499081770342213E-2</v>
      </c>
      <c r="AD287" s="155">
        <f ca="1"/>
        <v>4.7332576691778705E-2</v>
      </c>
      <c r="AE287" s="138">
        <f ca="1"/>
        <v>8.3421475019086033E-2</v>
      </c>
      <c r="AH287" s="135">
        <v>5.0000000000000001E-4</v>
      </c>
      <c r="AI287" s="135">
        <v>1.1999999999999999E-3</v>
      </c>
      <c r="AJ287" s="135">
        <v>4.4999999999999997E-3</v>
      </c>
      <c r="AK287" s="135">
        <v>8.8000000000000005E-3</v>
      </c>
      <c r="AM287" s="135">
        <v>2.52E-2</v>
      </c>
      <c r="AN287" s="135">
        <v>4.7600000000000003E-2</v>
      </c>
      <c r="AO287" s="135">
        <v>8.5300000000000001E-2</v>
      </c>
      <c r="AQ287" s="135">
        <v>5.0000000000000001E-4</v>
      </c>
      <c r="AR287" s="135">
        <v>1.4E-3</v>
      </c>
      <c r="AS287" s="135">
        <v>4.7999999999999996E-3</v>
      </c>
      <c r="AT287" s="135">
        <v>9.2999999999999992E-3</v>
      </c>
      <c r="AV287" s="135">
        <v>2.64E-2</v>
      </c>
      <c r="AW287" s="135">
        <v>4.99E-2</v>
      </c>
      <c r="AX287" s="135">
        <v>8.9399999999999993E-2</v>
      </c>
    </row>
    <row r="288" spans="1:50" s="79" customFormat="1" ht="11.25">
      <c r="A288" s="96">
        <f t="shared" ca="1" si="6"/>
        <v>277</v>
      </c>
      <c r="B288" s="68" t="s">
        <v>359</v>
      </c>
      <c r="C288" s="97">
        <v>0.4</v>
      </c>
      <c r="D288" s="69" t="s">
        <v>66</v>
      </c>
      <c r="E288" s="136" t="s">
        <v>87</v>
      </c>
      <c r="F288" s="154">
        <v>6.9999999999999999E-4</v>
      </c>
      <c r="G288" s="154">
        <v>8.0000000000000004E-4</v>
      </c>
      <c r="H288" s="154">
        <v>1.2999999999999999E-3</v>
      </c>
      <c r="I288" s="154">
        <v>2E-3</v>
      </c>
      <c r="J288" s="154" t="s">
        <v>87</v>
      </c>
      <c r="K288" s="154">
        <v>3.3E-3</v>
      </c>
      <c r="L288" s="154">
        <v>4.0000000000000001E-3</v>
      </c>
      <c r="M288" s="154">
        <v>4.8999999999999998E-3</v>
      </c>
      <c r="N288" s="137" cm="1">
        <f t="array" aca="1" ref="N288:AE288" ca="1">IF(OR(B288="",NOT($J$2)),"",GetStripDefaultProbability(A288,B288,Parameter_Date,CDSRollDate,E288:M288,SpreadCurveMaturities,D288,C288,$J$4,$J$6))</f>
        <v>0</v>
      </c>
      <c r="O288" s="155">
        <f ca="1"/>
        <v>6.5101642887865907E-4</v>
      </c>
      <c r="P288" s="155">
        <f ca="1"/>
        <v>1.4191382420905008E-3</v>
      </c>
      <c r="Q288" s="155">
        <f ca="1"/>
        <v>4.5135659951300866E-3</v>
      </c>
      <c r="R288" s="155">
        <f ca="1"/>
        <v>1.0375535149959147E-2</v>
      </c>
      <c r="S288" s="155">
        <f ca="1"/>
        <v>0</v>
      </c>
      <c r="T288" s="155">
        <f ca="1"/>
        <v>2.8054586184221963E-2</v>
      </c>
      <c r="U288" s="155">
        <f ca="1"/>
        <v>4.7260811839267225E-2</v>
      </c>
      <c r="V288" s="138">
        <f ca="1"/>
        <v>8.1698661198952749E-2</v>
      </c>
      <c r="W288" s="137">
        <f ca="1"/>
        <v>0</v>
      </c>
      <c r="X288" s="155">
        <f ca="1"/>
        <v>7.4398343160742009E-4</v>
      </c>
      <c r="Y288" s="155">
        <f ca="1"/>
        <v>1.58555451730924E-3</v>
      </c>
      <c r="Z288" s="155">
        <f ca="1"/>
        <v>4.8453395078115191E-3</v>
      </c>
      <c r="AA288" s="155">
        <f ca="1"/>
        <v>1.0870223699929515E-2</v>
      </c>
      <c r="AB288" s="155">
        <f ca="1"/>
        <v>0</v>
      </c>
      <c r="AC288" s="155">
        <f ca="1"/>
        <v>2.8885665697079954E-2</v>
      </c>
      <c r="AD288" s="155">
        <f ca="1"/>
        <v>4.8403394884592776E-2</v>
      </c>
      <c r="AE288" s="138">
        <f ca="1"/>
        <v>8.3277802420820279E-2</v>
      </c>
      <c r="AH288" s="135">
        <v>5.9999999999999995E-4</v>
      </c>
      <c r="AI288" s="135">
        <v>1.4E-3</v>
      </c>
      <c r="AJ288" s="135">
        <v>4.4999999999999997E-3</v>
      </c>
      <c r="AK288" s="135">
        <v>1.04E-2</v>
      </c>
      <c r="AM288" s="135">
        <v>2.86E-2</v>
      </c>
      <c r="AN288" s="135">
        <v>4.8399999999999999E-2</v>
      </c>
      <c r="AO288" s="135">
        <v>8.4599999999999995E-2</v>
      </c>
      <c r="AQ288" s="135">
        <v>6.9999999999999999E-4</v>
      </c>
      <c r="AR288" s="135">
        <v>1.6000000000000001E-3</v>
      </c>
      <c r="AS288" s="135">
        <v>4.7999999999999996E-3</v>
      </c>
      <c r="AT288" s="135">
        <v>1.09E-2</v>
      </c>
      <c r="AV288" s="135">
        <v>0.03</v>
      </c>
      <c r="AW288" s="135">
        <v>5.0700000000000002E-2</v>
      </c>
      <c r="AX288" s="135">
        <v>8.8700000000000001E-2</v>
      </c>
    </row>
    <row r="289" spans="1:50" s="79" customFormat="1" ht="11.25">
      <c r="A289" s="96">
        <f t="shared" ca="1" si="6"/>
        <v>278</v>
      </c>
      <c r="B289" s="68" t="s">
        <v>360</v>
      </c>
      <c r="C289" s="97">
        <v>0.4</v>
      </c>
      <c r="D289" s="69" t="s">
        <v>67</v>
      </c>
      <c r="E289" s="136" t="s">
        <v>87</v>
      </c>
      <c r="F289" s="154" t="s">
        <v>87</v>
      </c>
      <c r="G289" s="154">
        <v>5.5000000000000003E-4</v>
      </c>
      <c r="H289" s="154" t="s">
        <v>87</v>
      </c>
      <c r="I289" s="154">
        <v>1.6999999999999999E-3</v>
      </c>
      <c r="J289" s="154" t="s">
        <v>87</v>
      </c>
      <c r="K289" s="154">
        <v>2.7499999999999998E-3</v>
      </c>
      <c r="L289" s="154">
        <v>3.8999999999999998E-3</v>
      </c>
      <c r="M289" s="154">
        <v>5.0000000000000001E-3</v>
      </c>
      <c r="N289" s="137" cm="1">
        <f t="array" aca="1" ref="N289:AE289" ca="1">IF(OR(B289="",NOT($J$2)),"",GetStripDefaultProbability(A289,B289,Parameter_Date,CDSRollDate,E289:M289,SpreadCurveMaturities,D289,C289,$J$4,$J$6))</f>
        <v>0</v>
      </c>
      <c r="O289" s="155">
        <f ca="1"/>
        <v>0</v>
      </c>
      <c r="P289" s="155">
        <f ca="1"/>
        <v>9.7285550999515191E-4</v>
      </c>
      <c r="Q289" s="155">
        <f ca="1"/>
        <v>0</v>
      </c>
      <c r="R289" s="155">
        <f ca="1"/>
        <v>8.8252007694622492E-3</v>
      </c>
      <c r="S289" s="155">
        <f ca="1"/>
        <v>0</v>
      </c>
      <c r="T289" s="155">
        <f ca="1"/>
        <v>2.3947229521821156E-2</v>
      </c>
      <c r="U289" s="155">
        <f ca="1"/>
        <v>4.8087428276361366E-2</v>
      </c>
      <c r="V289" s="138">
        <f ca="1"/>
        <v>8.8196300322705645E-2</v>
      </c>
      <c r="W289" s="137">
        <f ca="1"/>
        <v>0</v>
      </c>
      <c r="X289" s="155">
        <f ca="1"/>
        <v>0</v>
      </c>
      <c r="Y289" s="155">
        <f ca="1"/>
        <v>1.1393461594748633E-3</v>
      </c>
      <c r="Z289" s="155">
        <f ca="1"/>
        <v>0</v>
      </c>
      <c r="AA289" s="155">
        <f ca="1"/>
        <v>9.3206642928377326E-3</v>
      </c>
      <c r="AB289" s="155">
        <f ca="1"/>
        <v>0</v>
      </c>
      <c r="AC289" s="155">
        <f ca="1"/>
        <v>2.476026801744613E-2</v>
      </c>
      <c r="AD289" s="155">
        <f ca="1"/>
        <v>4.9222713606396296E-2</v>
      </c>
      <c r="AE289" s="138">
        <f ca="1"/>
        <v>8.9763838010572972E-2</v>
      </c>
      <c r="AI289" s="135">
        <v>1E-3</v>
      </c>
      <c r="AK289" s="135">
        <v>8.8000000000000005E-3</v>
      </c>
      <c r="AM289" s="135">
        <v>2.3900000000000001E-2</v>
      </c>
      <c r="AN289" s="135">
        <v>4.8000000000000001E-2</v>
      </c>
      <c r="AO289" s="135">
        <v>8.7999999999999995E-2</v>
      </c>
      <c r="AR289" s="135">
        <v>1.1000000000000001E-3</v>
      </c>
      <c r="AT289" s="135">
        <v>9.2999999999999992E-3</v>
      </c>
      <c r="AV289" s="135">
        <v>2.5000000000000001E-2</v>
      </c>
      <c r="AW289" s="135">
        <v>5.0299999999999997E-2</v>
      </c>
      <c r="AX289" s="135">
        <v>9.2299999999999993E-2</v>
      </c>
    </row>
    <row r="290" spans="1:50" s="79" customFormat="1" ht="11.25">
      <c r="A290" s="96">
        <f t="shared" ca="1" si="6"/>
        <v>279</v>
      </c>
      <c r="B290" s="68" t="s">
        <v>127</v>
      </c>
      <c r="C290" s="97">
        <v>0.4</v>
      </c>
      <c r="D290" s="69" t="s">
        <v>66</v>
      </c>
      <c r="E290" s="136" t="s">
        <v>87</v>
      </c>
      <c r="F290" s="154">
        <v>6.9999999999999999E-4</v>
      </c>
      <c r="G290" s="154">
        <v>8.9999999999999998E-4</v>
      </c>
      <c r="H290" s="154">
        <v>1.2999999999999999E-3</v>
      </c>
      <c r="I290" s="154">
        <v>1.8E-3</v>
      </c>
      <c r="J290" s="154" t="s">
        <v>87</v>
      </c>
      <c r="K290" s="154">
        <v>2.8999999999999998E-3</v>
      </c>
      <c r="L290" s="154">
        <v>3.5999999999999999E-3</v>
      </c>
      <c r="M290" s="154">
        <v>4.4000000000000003E-3</v>
      </c>
      <c r="N290" s="137" cm="1">
        <f t="array" aca="1" ref="N290:AE290" ca="1">IF(OR(B290="",NOT($J$2)),"",GetStripDefaultProbability(A290,B290,Parameter_Date,CDSRollDate,E290:M290,SpreadCurveMaturities,D290,C290,$J$4,$J$6))</f>
        <v>0</v>
      </c>
      <c r="O290" s="155">
        <f ca="1"/>
        <v>6.5101642887865907E-4</v>
      </c>
      <c r="P290" s="155">
        <f ca="1"/>
        <v>1.5979062190856208E-3</v>
      </c>
      <c r="Q290" s="155">
        <f ca="1"/>
        <v>4.5094182902363222E-3</v>
      </c>
      <c r="R290" s="155">
        <f ca="1"/>
        <v>9.3194313930058392E-3</v>
      </c>
      <c r="S290" s="155">
        <f ca="1"/>
        <v>0</v>
      </c>
      <c r="T290" s="155">
        <f ca="1"/>
        <v>2.4658641786181712E-2</v>
      </c>
      <c r="U290" s="155">
        <f ca="1"/>
        <v>4.2606854711403241E-2</v>
      </c>
      <c r="V290" s="138">
        <f ca="1"/>
        <v>7.3593534003875138E-2</v>
      </c>
      <c r="W290" s="137">
        <f ca="1"/>
        <v>0</v>
      </c>
      <c r="X290" s="155">
        <f ca="1"/>
        <v>7.4398343160742009E-4</v>
      </c>
      <c r="Y290" s="155">
        <f ca="1"/>
        <v>1.7642927021199739E-3</v>
      </c>
      <c r="Z290" s="155">
        <f ca="1"/>
        <v>4.8411931852367918E-3</v>
      </c>
      <c r="AA290" s="155">
        <f ca="1"/>
        <v>9.8146478628622358E-3</v>
      </c>
      <c r="AB290" s="155">
        <f ca="1"/>
        <v>0</v>
      </c>
      <c r="AC290" s="155">
        <f ca="1"/>
        <v>2.5492357514841468E-2</v>
      </c>
      <c r="AD290" s="155">
        <f ca="1"/>
        <v>4.3754600621571993E-2</v>
      </c>
      <c r="AE290" s="138">
        <f ca="1"/>
        <v>7.5186801308109508E-2</v>
      </c>
      <c r="AH290" s="135">
        <v>5.9999999999999995E-4</v>
      </c>
      <c r="AI290" s="135">
        <v>1.6000000000000001E-3</v>
      </c>
      <c r="AJ290" s="135">
        <v>4.4999999999999997E-3</v>
      </c>
      <c r="AK290" s="135">
        <v>9.2999999999999992E-3</v>
      </c>
      <c r="AM290" s="135">
        <v>2.5100000000000001E-2</v>
      </c>
      <c r="AN290" s="135">
        <v>4.36E-2</v>
      </c>
      <c r="AO290" s="135">
        <v>7.6200000000000004E-2</v>
      </c>
      <c r="AQ290" s="135">
        <v>6.9999999999999999E-4</v>
      </c>
      <c r="AR290" s="135">
        <v>1.6999999999999999E-3</v>
      </c>
      <c r="AS290" s="135">
        <v>4.7999999999999996E-3</v>
      </c>
      <c r="AT290" s="135">
        <v>9.7999999999999997E-3</v>
      </c>
      <c r="AV290" s="135">
        <v>2.63E-2</v>
      </c>
      <c r="AW290" s="135">
        <v>4.58E-2</v>
      </c>
      <c r="AX290" s="135">
        <v>7.9899999999999999E-2</v>
      </c>
    </row>
    <row r="291" spans="1:50" s="79" customFormat="1" ht="11.25">
      <c r="A291" s="96">
        <f t="shared" ca="1" si="6"/>
        <v>280</v>
      </c>
      <c r="B291" s="68" t="s">
        <v>129</v>
      </c>
      <c r="C291" s="97">
        <v>0.4</v>
      </c>
      <c r="D291" s="69" t="s">
        <v>66</v>
      </c>
      <c r="E291" s="136" t="s">
        <v>87</v>
      </c>
      <c r="F291" s="154">
        <v>5.9999999999999995E-4</v>
      </c>
      <c r="G291" s="154">
        <v>6.9999999999999999E-4</v>
      </c>
      <c r="H291" s="154">
        <v>1.1999999999999999E-3</v>
      </c>
      <c r="I291" s="154">
        <v>1.8E-3</v>
      </c>
      <c r="J291" s="154" t="s">
        <v>87</v>
      </c>
      <c r="K291" s="154">
        <v>2.8E-3</v>
      </c>
      <c r="L291" s="154">
        <v>3.5000000000000001E-3</v>
      </c>
      <c r="M291" s="154">
        <v>4.4000000000000003E-3</v>
      </c>
      <c r="N291" s="137" cm="1">
        <f t="array" aca="1" ref="N291:AE291" ca="1">IF(OR(B291="",NOT($J$2)),"",GetStripDefaultProbability(A291,B291,Parameter_Date,CDSRollDate,E291:M291,SpreadCurveMaturities,D291,C291,$J$4,$J$6))</f>
        <v>0</v>
      </c>
      <c r="O291" s="155">
        <f ca="1"/>
        <v>5.5804003710946404E-4</v>
      </c>
      <c r="P291" s="155">
        <f ca="1"/>
        <v>1.2420622443276574E-3</v>
      </c>
      <c r="Q291" s="155">
        <f ca="1"/>
        <v>4.1693301398034732E-3</v>
      </c>
      <c r="R291" s="155">
        <f ca="1"/>
        <v>9.3397365441110214E-3</v>
      </c>
      <c r="S291" s="155">
        <f ca="1"/>
        <v>0</v>
      </c>
      <c r="T291" s="155">
        <f ca="1"/>
        <v>2.3834064570688263E-2</v>
      </c>
      <c r="U291" s="155">
        <f ca="1"/>
        <v>4.146622033462688E-2</v>
      </c>
      <c r="V291" s="138">
        <f ca="1"/>
        <v>7.3658009460431328E-2</v>
      </c>
      <c r="W291" s="137">
        <f ca="1"/>
        <v>0</v>
      </c>
      <c r="X291" s="155">
        <f ca="1"/>
        <v>6.5101587709581743E-4</v>
      </c>
      <c r="Y291" s="155">
        <f ca="1"/>
        <v>1.4085080297483454E-3</v>
      </c>
      <c r="Z291" s="155">
        <f ca="1"/>
        <v>4.5012183786501403E-3</v>
      </c>
      <c r="AA291" s="155">
        <f ca="1"/>
        <v>9.834942863941265E-3</v>
      </c>
      <c r="AB291" s="155">
        <f ca="1"/>
        <v>0</v>
      </c>
      <c r="AC291" s="155">
        <f ca="1"/>
        <v>2.4668499571268931E-2</v>
      </c>
      <c r="AD291" s="155">
        <f ca="1"/>
        <v>4.261527952298616E-2</v>
      </c>
      <c r="AE291" s="138">
        <f ca="1"/>
        <v>7.5251500145872119E-2</v>
      </c>
      <c r="AH291" s="135">
        <v>5.0000000000000001E-4</v>
      </c>
      <c r="AI291" s="135">
        <v>1.1999999999999999E-3</v>
      </c>
      <c r="AJ291" s="135">
        <v>4.1000000000000003E-3</v>
      </c>
      <c r="AK291" s="135">
        <v>9.2999999999999992E-3</v>
      </c>
      <c r="AM291" s="135">
        <v>2.4299999999999999E-2</v>
      </c>
      <c r="AN291" s="135">
        <v>4.2500000000000003E-2</v>
      </c>
      <c r="AO291" s="135">
        <v>7.6499999999999999E-2</v>
      </c>
      <c r="AQ291" s="135">
        <v>5.9999999999999995E-4</v>
      </c>
      <c r="AR291" s="135">
        <v>1.4E-3</v>
      </c>
      <c r="AS291" s="135">
        <v>4.4999999999999997E-3</v>
      </c>
      <c r="AT291" s="135">
        <v>9.7999999999999997E-3</v>
      </c>
      <c r="AV291" s="135">
        <v>2.5399999999999999E-2</v>
      </c>
      <c r="AW291" s="135">
        <v>4.4499999999999998E-2</v>
      </c>
      <c r="AX291" s="135">
        <v>8.0199999999999994E-2</v>
      </c>
    </row>
    <row r="292" spans="1:50" s="79" customFormat="1" ht="11.25">
      <c r="A292" s="96">
        <f t="shared" ca="1" si="6"/>
        <v>281</v>
      </c>
      <c r="B292" s="68" t="s">
        <v>361</v>
      </c>
      <c r="C292" s="97">
        <v>0.4</v>
      </c>
      <c r="D292" s="69" t="s">
        <v>67</v>
      </c>
      <c r="E292" s="136" t="s">
        <v>87</v>
      </c>
      <c r="F292" s="154" t="s">
        <v>87</v>
      </c>
      <c r="G292" s="154">
        <v>3.1260000000000003E-2</v>
      </c>
      <c r="H292" s="154" t="s">
        <v>87</v>
      </c>
      <c r="I292" s="154">
        <v>2.2712E-2</v>
      </c>
      <c r="J292" s="154" t="s">
        <v>87</v>
      </c>
      <c r="K292" s="154">
        <v>1.9E-2</v>
      </c>
      <c r="L292" s="154">
        <v>1.7339E-2</v>
      </c>
      <c r="M292" s="154">
        <v>1.6362000000000002E-2</v>
      </c>
      <c r="N292" s="137" cm="1">
        <f t="array" aca="1" ref="N292:AE292" ca="1">IF(OR(B292="",NOT($J$2)),"",GetStripDefaultProbability(A292,B292,Parameter_Date,CDSRollDate,E292:M292,SpreadCurveMaturities,D292,C292,$J$4,$J$6))</f>
        <v>0</v>
      </c>
      <c r="O292" s="155">
        <f ca="1"/>
        <v>0</v>
      </c>
      <c r="P292" s="155">
        <f ca="1"/>
        <v>5.381656546001079E-2</v>
      </c>
      <c r="Q292" s="155">
        <f ca="1"/>
        <v>0</v>
      </c>
      <c r="R292" s="155">
        <f ca="1"/>
        <v>0.10810634464253865</v>
      </c>
      <c r="S292" s="155">
        <f ca="1"/>
        <v>0</v>
      </c>
      <c r="T292" s="155">
        <f ca="1"/>
        <v>0.143818512358316</v>
      </c>
      <c r="U292" s="155">
        <f ca="1"/>
        <v>0.1772923295976383</v>
      </c>
      <c r="V292" s="138">
        <f ca="1"/>
        <v>0.2294946309736704</v>
      </c>
      <c r="W292" s="137">
        <f ca="1"/>
        <v>0</v>
      </c>
      <c r="X292" s="155">
        <f ca="1"/>
        <v>0</v>
      </c>
      <c r="Y292" s="155">
        <f ca="1"/>
        <v>5.3974249558374265E-2</v>
      </c>
      <c r="Z292" s="155">
        <f ca="1"/>
        <v>0</v>
      </c>
      <c r="AA292" s="155">
        <f ca="1"/>
        <v>0.10855218000210853</v>
      </c>
      <c r="AB292" s="155">
        <f ca="1"/>
        <v>0</v>
      </c>
      <c r="AC292" s="155">
        <f ca="1"/>
        <v>0.14453169972864155</v>
      </c>
      <c r="AD292" s="155">
        <f ca="1"/>
        <v>0.17825159553253411</v>
      </c>
      <c r="AE292" s="138">
        <f ca="1"/>
        <v>0.23077773703663118</v>
      </c>
      <c r="AI292" s="135">
        <v>5.2999999999999999E-2</v>
      </c>
      <c r="AK292" s="135">
        <v>0.1076</v>
      </c>
      <c r="AM292" s="135">
        <v>0.1434</v>
      </c>
      <c r="AN292" s="135">
        <v>0.17699999999999999</v>
      </c>
      <c r="AO292" s="135">
        <v>0.22919999999999999</v>
      </c>
      <c r="AR292" s="135">
        <v>5.5599999999999997E-2</v>
      </c>
      <c r="AT292" s="135">
        <v>0.11260000000000001</v>
      </c>
      <c r="AV292" s="135">
        <v>0.14990000000000001</v>
      </c>
      <c r="AW292" s="135">
        <v>0.18479999999999999</v>
      </c>
      <c r="AX292" s="135">
        <v>0.23899999999999999</v>
      </c>
    </row>
    <row r="293" spans="1:50" s="79" customFormat="1" ht="11.25">
      <c r="A293" s="96">
        <f t="shared" ca="1" si="6"/>
        <v>282</v>
      </c>
      <c r="B293" s="68" t="s">
        <v>362</v>
      </c>
      <c r="C293" s="97">
        <v>0.4</v>
      </c>
      <c r="D293" s="69" t="s">
        <v>66</v>
      </c>
      <c r="E293" s="136" t="s">
        <v>87</v>
      </c>
      <c r="F293" s="154">
        <v>4.5500000000000002E-3</v>
      </c>
      <c r="G293" s="154">
        <v>5.6800000000000002E-3</v>
      </c>
      <c r="H293" s="154">
        <v>7.9500000000000005E-3</v>
      </c>
      <c r="I293" s="154">
        <v>9.8200000000000006E-3</v>
      </c>
      <c r="J293" s="154" t="s">
        <v>87</v>
      </c>
      <c r="K293" s="154">
        <v>1.2500000000000001E-2</v>
      </c>
      <c r="L293" s="154">
        <v>1.2999999999999999E-2</v>
      </c>
      <c r="M293" s="154">
        <v>1.35E-2</v>
      </c>
      <c r="N293" s="137" cm="1">
        <f t="array" aca="1" ref="N293:AE293" ca="1">IF(OR(B293="",NOT($J$2)),"",GetStripDefaultProbability(A293,B293,Parameter_Date,CDSRollDate,E293:M293,SpreadCurveMaturities,D293,C293,$J$4,$J$6))</f>
        <v>0</v>
      </c>
      <c r="O293" s="155">
        <f ca="1"/>
        <v>4.224042842203235E-3</v>
      </c>
      <c r="P293" s="155">
        <f ca="1"/>
        <v>1.0044118708167571E-2</v>
      </c>
      <c r="Q293" s="155">
        <f ca="1"/>
        <v>2.7302951404295506E-2</v>
      </c>
      <c r="R293" s="155">
        <f ca="1"/>
        <v>4.9872819336528873E-2</v>
      </c>
      <c r="S293" s="155">
        <f ca="1"/>
        <v>0</v>
      </c>
      <c r="T293" s="155">
        <f ca="1"/>
        <v>0.10259092585633545</v>
      </c>
      <c r="U293" s="155">
        <f ca="1"/>
        <v>0.14566558176324562</v>
      </c>
      <c r="V293" s="138">
        <f ca="1"/>
        <v>0.20896396260214989</v>
      </c>
      <c r="W293" s="137">
        <f ca="1"/>
        <v>0</v>
      </c>
      <c r="X293" s="155">
        <f ca="1"/>
        <v>4.3166450610373497E-3</v>
      </c>
      <c r="Y293" s="155">
        <f ca="1"/>
        <v>1.0209097606428963E-2</v>
      </c>
      <c r="Z293" s="155">
        <f ca="1"/>
        <v>2.7627129721113253E-2</v>
      </c>
      <c r="AA293" s="155">
        <f ca="1"/>
        <v>5.034776418075837E-2</v>
      </c>
      <c r="AB293" s="155">
        <f ca="1"/>
        <v>0</v>
      </c>
      <c r="AC293" s="155">
        <f ca="1"/>
        <v>0.10336528270728063</v>
      </c>
      <c r="AD293" s="155">
        <f ca="1"/>
        <v>0.14668037745759255</v>
      </c>
      <c r="AE293" s="138">
        <f ca="1"/>
        <v>0.21033628097683588</v>
      </c>
      <c r="AH293" s="135">
        <v>4.1000000000000003E-3</v>
      </c>
      <c r="AI293" s="135">
        <v>9.9000000000000008E-3</v>
      </c>
      <c r="AJ293" s="135">
        <v>2.7099999999999999E-2</v>
      </c>
      <c r="AK293" s="135">
        <v>4.9700000000000001E-2</v>
      </c>
      <c r="AM293" s="135">
        <v>0.10340000000000001</v>
      </c>
      <c r="AN293" s="135">
        <v>0.1464</v>
      </c>
      <c r="AO293" s="135">
        <v>0.20930000000000001</v>
      </c>
      <c r="AQ293" s="135">
        <v>4.3E-3</v>
      </c>
      <c r="AR293" s="135">
        <v>1.04E-2</v>
      </c>
      <c r="AS293" s="135">
        <v>2.8400000000000002E-2</v>
      </c>
      <c r="AT293" s="135">
        <v>5.21E-2</v>
      </c>
      <c r="AV293" s="135">
        <v>0.1084</v>
      </c>
      <c r="AW293" s="135">
        <v>0.1532</v>
      </c>
      <c r="AX293" s="135">
        <v>0.21859999999999999</v>
      </c>
    </row>
    <row r="294" spans="1:50" s="79" customFormat="1" ht="11.25">
      <c r="A294" s="96">
        <f t="shared" ca="1" si="6"/>
        <v>283</v>
      </c>
      <c r="B294" s="68" t="s">
        <v>363</v>
      </c>
      <c r="C294" s="97">
        <v>0.2</v>
      </c>
      <c r="D294" s="69" t="s">
        <v>66</v>
      </c>
      <c r="E294" s="136" t="s">
        <v>87</v>
      </c>
      <c r="F294" s="154">
        <v>1.3500000000000001E-3</v>
      </c>
      <c r="G294" s="154">
        <v>2.32E-3</v>
      </c>
      <c r="H294" s="154">
        <v>3.8500000000000001E-3</v>
      </c>
      <c r="I294" s="154">
        <v>5.3400000000000001E-3</v>
      </c>
      <c r="J294" s="154" t="s">
        <v>87</v>
      </c>
      <c r="K294" s="154">
        <v>7.1999999999999998E-3</v>
      </c>
      <c r="L294" s="154">
        <v>8.0000000000000002E-3</v>
      </c>
      <c r="M294" s="154">
        <v>8.4499999999999992E-3</v>
      </c>
      <c r="N294" s="137" cm="1">
        <f t="array" aca="1" ref="N294:AE294" ca="1">IF(OR(B294="",NOT($J$2)),"",GetStripDefaultProbability(A294,B294,Parameter_Date,CDSRollDate,E294:M294,SpreadCurveMaturities,D294,C294,$J$4,$J$6))</f>
        <v>0</v>
      </c>
      <c r="O294" s="155">
        <f ca="1"/>
        <v>9.4151191622848796E-4</v>
      </c>
      <c r="P294" s="155">
        <f ca="1"/>
        <v>3.0933617290558324E-3</v>
      </c>
      <c r="Q294" s="155">
        <f ca="1"/>
        <v>1.0015477156326447E-2</v>
      </c>
      <c r="R294" s="155">
        <f ca="1"/>
        <v>2.0670992229245511E-2</v>
      </c>
      <c r="S294" s="155">
        <f ca="1"/>
        <v>0</v>
      </c>
      <c r="T294" s="155">
        <f ca="1"/>
        <v>4.5535317313966428E-2</v>
      </c>
      <c r="U294" s="155">
        <f ca="1"/>
        <v>6.9987831052270133E-2</v>
      </c>
      <c r="V294" s="138">
        <f ca="1"/>
        <v>0.10395661973653403</v>
      </c>
      <c r="W294" s="137">
        <f ca="1"/>
        <v>0</v>
      </c>
      <c r="X294" s="155">
        <f ca="1"/>
        <v>1.011216826012018E-3</v>
      </c>
      <c r="Y294" s="155">
        <f ca="1"/>
        <v>3.2179672708401164E-3</v>
      </c>
      <c r="Z294" s="155">
        <f ca="1"/>
        <v>1.0262942352583959E-2</v>
      </c>
      <c r="AA294" s="155">
        <f ca="1"/>
        <v>2.1038171756676105E-2</v>
      </c>
      <c r="AB294" s="155">
        <f ca="1"/>
        <v>0</v>
      </c>
      <c r="AC294" s="155">
        <f ca="1"/>
        <v>4.6145914776037578E-2</v>
      </c>
      <c r="AD294" s="155">
        <f ca="1"/>
        <v>7.0822800699104071E-2</v>
      </c>
      <c r="AE294" s="138">
        <f ca="1"/>
        <v>0.10510594744272728</v>
      </c>
      <c r="AH294" s="135">
        <v>8.9999999999999998E-4</v>
      </c>
      <c r="AI294" s="135">
        <v>3.0000000000000001E-3</v>
      </c>
      <c r="AJ294" s="135">
        <v>9.9000000000000008E-3</v>
      </c>
      <c r="AK294" s="135">
        <v>2.06E-2</v>
      </c>
      <c r="AM294" s="135">
        <v>4.6100000000000002E-2</v>
      </c>
      <c r="AN294" s="135">
        <v>7.0900000000000005E-2</v>
      </c>
      <c r="AO294" s="135">
        <v>0.10489999999999999</v>
      </c>
      <c r="AQ294" s="135">
        <v>1E-3</v>
      </c>
      <c r="AR294" s="135">
        <v>3.2000000000000002E-3</v>
      </c>
      <c r="AS294" s="135">
        <v>1.04E-2</v>
      </c>
      <c r="AT294" s="135">
        <v>2.1700000000000001E-2</v>
      </c>
      <c r="AV294" s="135">
        <v>4.8300000000000003E-2</v>
      </c>
      <c r="AW294" s="135">
        <v>7.4300000000000005E-2</v>
      </c>
      <c r="AX294" s="135">
        <v>0.1099</v>
      </c>
    </row>
    <row r="295" spans="1:50" s="79" customFormat="1" ht="11.25">
      <c r="A295" s="96">
        <f t="shared" ca="1" si="6"/>
        <v>284</v>
      </c>
      <c r="B295" s="68" t="s">
        <v>364</v>
      </c>
      <c r="C295" s="97">
        <v>0.4</v>
      </c>
      <c r="D295" s="69" t="s">
        <v>66</v>
      </c>
      <c r="E295" s="136" t="s">
        <v>87</v>
      </c>
      <c r="F295" s="154">
        <v>5.6999999999999998E-4</v>
      </c>
      <c r="G295" s="154">
        <v>1.24E-3</v>
      </c>
      <c r="H295" s="154">
        <v>1.9499999999999999E-3</v>
      </c>
      <c r="I295" s="154">
        <v>2.6700000000000001E-3</v>
      </c>
      <c r="J295" s="154" t="s">
        <v>87</v>
      </c>
      <c r="K295" s="154">
        <v>4.0000000000000001E-3</v>
      </c>
      <c r="L295" s="154">
        <v>4.9100000000000003E-3</v>
      </c>
      <c r="M295" s="154">
        <v>6.2899999999999996E-3</v>
      </c>
      <c r="N295" s="137" cm="1">
        <f t="array" aca="1" ref="N295:AE295" ca="1">IF(OR(B295="",NOT($J$2)),"",GetStripDefaultProbability(A295,B295,Parameter_Date,CDSRollDate,E295:M295,SpreadCurveMaturities,D295,C295,$J$4,$J$6))</f>
        <v>0</v>
      </c>
      <c r="O295" s="155">
        <f ca="1"/>
        <v>5.3014543294949146E-4</v>
      </c>
      <c r="P295" s="155">
        <f ca="1"/>
        <v>2.2078818473938444E-3</v>
      </c>
      <c r="Q295" s="155">
        <f ca="1"/>
        <v>6.7712909600571303E-3</v>
      </c>
      <c r="R295" s="155">
        <f ca="1"/>
        <v>1.3811169614612595E-2</v>
      </c>
      <c r="S295" s="155">
        <f ca="1"/>
        <v>0</v>
      </c>
      <c r="T295" s="155">
        <f ca="1"/>
        <v>3.3897745658843403E-2</v>
      </c>
      <c r="U295" s="155">
        <f ca="1"/>
        <v>5.7757116501114258E-2</v>
      </c>
      <c r="V295" s="138">
        <f ca="1"/>
        <v>0.10401547006921541</v>
      </c>
      <c r="W295" s="137">
        <f ca="1"/>
        <v>0</v>
      </c>
      <c r="X295" s="155">
        <f ca="1"/>
        <v>6.2312391878127649E-4</v>
      </c>
      <c r="Y295" s="155">
        <f ca="1"/>
        <v>2.3741666762936431E-3</v>
      </c>
      <c r="Z295" s="155">
        <f ca="1"/>
        <v>7.102312023150037E-3</v>
      </c>
      <c r="AA295" s="155">
        <f ca="1"/>
        <v>1.4304140776725816E-2</v>
      </c>
      <c r="AB295" s="155">
        <f ca="1"/>
        <v>0</v>
      </c>
      <c r="AC295" s="155">
        <f ca="1"/>
        <v>3.4723546182035991E-2</v>
      </c>
      <c r="AD295" s="155">
        <f ca="1"/>
        <v>5.8887262190380318E-2</v>
      </c>
      <c r="AE295" s="138">
        <f ca="1"/>
        <v>0.10557224415334554</v>
      </c>
      <c r="AH295" s="135">
        <v>5.0000000000000001E-4</v>
      </c>
      <c r="AI295" s="135">
        <v>2.2000000000000001E-3</v>
      </c>
      <c r="AJ295" s="135">
        <v>6.7000000000000002E-3</v>
      </c>
      <c r="AK295" s="135">
        <v>1.38E-2</v>
      </c>
      <c r="AM295" s="135">
        <v>3.44E-2</v>
      </c>
      <c r="AN295" s="135">
        <v>5.8999999999999997E-2</v>
      </c>
      <c r="AO295" s="135">
        <v>0.1081</v>
      </c>
      <c r="AQ295" s="135">
        <v>5.9999999999999995E-4</v>
      </c>
      <c r="AR295" s="135">
        <v>2.3E-3</v>
      </c>
      <c r="AS295" s="135">
        <v>7.1000000000000004E-3</v>
      </c>
      <c r="AT295" s="135">
        <v>1.4500000000000001E-2</v>
      </c>
      <c r="AV295" s="135">
        <v>3.61E-2</v>
      </c>
      <c r="AW295" s="135">
        <v>6.1899999999999997E-2</v>
      </c>
      <c r="AX295" s="135">
        <v>0.1133</v>
      </c>
    </row>
    <row r="296" spans="1:50" s="79" customFormat="1" ht="11.25">
      <c r="A296" s="96">
        <f t="shared" ca="1" si="6"/>
        <v>285</v>
      </c>
      <c r="B296" s="68" t="s">
        <v>365</v>
      </c>
      <c r="C296" s="97">
        <v>0.4</v>
      </c>
      <c r="D296" s="69" t="s">
        <v>67</v>
      </c>
      <c r="E296" s="136" t="s">
        <v>87</v>
      </c>
      <c r="F296" s="154" t="s">
        <v>87</v>
      </c>
      <c r="G296" s="154">
        <v>6.4400000000000004E-4</v>
      </c>
      <c r="H296" s="154" t="s">
        <v>87</v>
      </c>
      <c r="I296" s="154">
        <v>2.428E-3</v>
      </c>
      <c r="J296" s="154" t="s">
        <v>87</v>
      </c>
      <c r="K296" s="154">
        <v>3.3500000000000001E-3</v>
      </c>
      <c r="L296" s="154">
        <v>4.3699999999999998E-3</v>
      </c>
      <c r="M296" s="154">
        <v>5.3410000000000003E-3</v>
      </c>
      <c r="N296" s="137" cm="1">
        <f t="array" aca="1" ref="N296:AE296" ca="1">IF(OR(B296="",NOT($J$2)),"",GetStripDefaultProbability(A296,B296,Parameter_Date,CDSRollDate,E296:M296,SpreadCurveMaturities,D296,C296,$J$4,$J$6))</f>
        <v>0</v>
      </c>
      <c r="O296" s="155">
        <f ca="1"/>
        <v>0</v>
      </c>
      <c r="P296" s="155">
        <f ca="1"/>
        <v>1.1390313093205817E-3</v>
      </c>
      <c r="Q296" s="155">
        <f ca="1"/>
        <v>0</v>
      </c>
      <c r="R296" s="155">
        <f ca="1"/>
        <v>1.260559988129839E-2</v>
      </c>
      <c r="S296" s="155">
        <f ca="1"/>
        <v>0</v>
      </c>
      <c r="T296" s="155">
        <f ca="1"/>
        <v>2.891808243958105E-2</v>
      </c>
      <c r="U296" s="155">
        <f ca="1"/>
        <v>5.317666844153679E-2</v>
      </c>
      <c r="V296" s="138">
        <f ca="1"/>
        <v>9.2759771617573317E-2</v>
      </c>
      <c r="W296" s="137">
        <f ca="1"/>
        <v>0</v>
      </c>
      <c r="X296" s="155">
        <f ca="1"/>
        <v>0</v>
      </c>
      <c r="Y296" s="155">
        <f ca="1"/>
        <v>1.3054942651321566E-3</v>
      </c>
      <c r="Z296" s="155">
        <f ca="1"/>
        <v>0</v>
      </c>
      <c r="AA296" s="155">
        <f ca="1"/>
        <v>1.3099173677601383E-2</v>
      </c>
      <c r="AB296" s="155">
        <f ca="1"/>
        <v>0</v>
      </c>
      <c r="AC296" s="155">
        <f ca="1"/>
        <v>2.972698028328824E-2</v>
      </c>
      <c r="AD296" s="155">
        <f ca="1"/>
        <v>5.4305032954182431E-2</v>
      </c>
      <c r="AE296" s="138">
        <f ca="1"/>
        <v>9.4317174644833357E-2</v>
      </c>
      <c r="AI296" s="135">
        <v>1.1000000000000001E-3</v>
      </c>
      <c r="AK296" s="135">
        <v>1.2500000000000001E-2</v>
      </c>
      <c r="AM296" s="135">
        <v>2.8799999999999999E-2</v>
      </c>
      <c r="AN296" s="135">
        <v>5.2999999999999999E-2</v>
      </c>
      <c r="AO296" s="135">
        <v>9.2600000000000002E-2</v>
      </c>
      <c r="AR296" s="135">
        <v>1.2999999999999999E-3</v>
      </c>
      <c r="AT296" s="135">
        <v>1.3100000000000001E-2</v>
      </c>
      <c r="AV296" s="135">
        <v>3.0200000000000001E-2</v>
      </c>
      <c r="AW296" s="135">
        <v>5.5599999999999997E-2</v>
      </c>
      <c r="AX296" s="135">
        <v>9.7000000000000003E-2</v>
      </c>
    </row>
    <row r="297" spans="1:50" s="79" customFormat="1" ht="11.25">
      <c r="A297" s="96">
        <f t="shared" ca="1" si="6"/>
        <v>286</v>
      </c>
      <c r="B297" s="68" t="s">
        <v>366</v>
      </c>
      <c r="C297" s="97">
        <v>0.4</v>
      </c>
      <c r="D297" s="69" t="s">
        <v>67</v>
      </c>
      <c r="E297" s="136" t="s">
        <v>87</v>
      </c>
      <c r="F297" s="154" t="s">
        <v>87</v>
      </c>
      <c r="G297" s="154">
        <v>6.2399999999999999E-4</v>
      </c>
      <c r="H297" s="154" t="s">
        <v>87</v>
      </c>
      <c r="I297" s="154">
        <v>2.0999999999999999E-3</v>
      </c>
      <c r="J297" s="154" t="s">
        <v>87</v>
      </c>
      <c r="K297" s="154">
        <v>2.5999999999999999E-3</v>
      </c>
      <c r="L297" s="154">
        <v>3.5999999999999999E-3</v>
      </c>
      <c r="M297" s="154">
        <v>4.5999999999999999E-3</v>
      </c>
      <c r="N297" s="137" cm="1">
        <f t="array" aca="1" ref="N297:AE297" ca="1">IF(OR(B297="",NOT($J$2)),"",GetStripDefaultProbability(A297,B297,Parameter_Date,CDSRollDate,E297:M297,SpreadCurveMaturities,D297,C297,$J$4,$J$6))</f>
        <v>0</v>
      </c>
      <c r="O297" s="155">
        <f ca="1"/>
        <v>0</v>
      </c>
      <c r="P297" s="155">
        <f ca="1"/>
        <v>1.1036770543758623E-3</v>
      </c>
      <c r="Q297" s="155">
        <f ca="1"/>
        <v>0</v>
      </c>
      <c r="R297" s="155">
        <f ca="1"/>
        <v>1.0900593065487074E-2</v>
      </c>
      <c r="S297" s="155">
        <f ca="1"/>
        <v>0</v>
      </c>
      <c r="T297" s="155">
        <f ca="1"/>
        <v>2.236088614752596E-2</v>
      </c>
      <c r="U297" s="155">
        <f ca="1"/>
        <v>4.4056087200933569E-2</v>
      </c>
      <c r="V297" s="138">
        <f ca="1"/>
        <v>8.0933860112893274E-2</v>
      </c>
      <c r="W297" s="137">
        <f ca="1"/>
        <v>0</v>
      </c>
      <c r="X297" s="155">
        <f ca="1"/>
        <v>0</v>
      </c>
      <c r="Y297" s="155">
        <f ca="1"/>
        <v>1.2701459020951766E-3</v>
      </c>
      <c r="Z297" s="155">
        <f ca="1"/>
        <v>0</v>
      </c>
      <c r="AA297" s="155">
        <f ca="1"/>
        <v>1.1395019152143804E-2</v>
      </c>
      <c r="AB297" s="155">
        <f ca="1"/>
        <v>0</v>
      </c>
      <c r="AC297" s="155">
        <f ca="1"/>
        <v>2.3175246045339382E-2</v>
      </c>
      <c r="AD297" s="155">
        <f ca="1"/>
        <v>4.5195077665062366E-2</v>
      </c>
      <c r="AE297" s="138">
        <f ca="1"/>
        <v>8.2464361240848993E-2</v>
      </c>
      <c r="AI297" s="135">
        <v>1.1000000000000001E-3</v>
      </c>
      <c r="AK297" s="135">
        <v>1.0800000000000001E-2</v>
      </c>
      <c r="AM297" s="135">
        <v>2.23E-2</v>
      </c>
      <c r="AN297" s="135">
        <v>4.3900000000000002E-2</v>
      </c>
      <c r="AO297" s="135">
        <v>8.0799999999999997E-2</v>
      </c>
      <c r="AR297" s="135">
        <v>1.2999999999999999E-3</v>
      </c>
      <c r="AT297" s="135">
        <v>1.14E-2</v>
      </c>
      <c r="AV297" s="135">
        <v>2.3400000000000001E-2</v>
      </c>
      <c r="AW297" s="135">
        <v>4.6100000000000002E-2</v>
      </c>
      <c r="AX297" s="135">
        <v>8.4699999999999998E-2</v>
      </c>
    </row>
    <row r="298" spans="1:50" s="79" customFormat="1" ht="11.25">
      <c r="A298" s="96">
        <f t="shared" ca="1" si="6"/>
        <v>287</v>
      </c>
      <c r="B298" s="68" t="s">
        <v>367</v>
      </c>
      <c r="C298" s="97">
        <v>0.4</v>
      </c>
      <c r="D298" s="69" t="s">
        <v>67</v>
      </c>
      <c r="E298" s="136" t="s">
        <v>87</v>
      </c>
      <c r="F298" s="154" t="s">
        <v>87</v>
      </c>
      <c r="G298" s="154">
        <v>1.1999999999999999E-3</v>
      </c>
      <c r="H298" s="154" t="s">
        <v>87</v>
      </c>
      <c r="I298" s="154">
        <v>2E-3</v>
      </c>
      <c r="J298" s="154" t="s">
        <v>87</v>
      </c>
      <c r="K298" s="154">
        <v>3.0000000000000001E-3</v>
      </c>
      <c r="L298" s="154">
        <v>4.0000000000000001E-3</v>
      </c>
      <c r="M298" s="154">
        <v>5.4999999999999997E-3</v>
      </c>
      <c r="N298" s="137" cm="1">
        <f t="array" aca="1" ref="N298:AE298" ca="1">IF(OR(B298="",NOT($J$2)),"",GetStripDefaultProbability(A298,B298,Parameter_Date,CDSRollDate,E298:M298,SpreadCurveMaturities,D298,C298,$J$4,$J$6))</f>
        <v>0</v>
      </c>
      <c r="O298" s="155">
        <f ca="1"/>
        <v>0</v>
      </c>
      <c r="P298" s="155">
        <f ca="1"/>
        <v>2.1213825879108361E-3</v>
      </c>
      <c r="Q298" s="155">
        <f ca="1"/>
        <v>0</v>
      </c>
      <c r="R298" s="155">
        <f ca="1"/>
        <v>1.0303829793561148E-2</v>
      </c>
      <c r="S298" s="155">
        <f ca="1"/>
        <v>0</v>
      </c>
      <c r="T298" s="155">
        <f ca="1"/>
        <v>2.5941042388508584E-2</v>
      </c>
      <c r="U298" s="155">
        <f ca="1"/>
        <v>4.8869211399791834E-2</v>
      </c>
      <c r="V298" s="138">
        <f ca="1"/>
        <v>9.7205483402653226E-2</v>
      </c>
      <c r="W298" s="137">
        <f ca="1"/>
        <v>0</v>
      </c>
      <c r="X298" s="155">
        <f ca="1"/>
        <v>0</v>
      </c>
      <c r="Y298" s="155">
        <f ca="1"/>
        <v>2.2876818321652115E-3</v>
      </c>
      <c r="Z298" s="155">
        <f ca="1"/>
        <v>0</v>
      </c>
      <c r="AA298" s="155">
        <f ca="1"/>
        <v>1.0798554187243514E-2</v>
      </c>
      <c r="AB298" s="155">
        <f ca="1"/>
        <v>0</v>
      </c>
      <c r="AC298" s="155">
        <f ca="1"/>
        <v>2.6752420065531468E-2</v>
      </c>
      <c r="AD298" s="155">
        <f ca="1"/>
        <v>5.0002873375013079E-2</v>
      </c>
      <c r="AE298" s="138">
        <f ca="1"/>
        <v>9.8761705142591083E-2</v>
      </c>
      <c r="AI298" s="135">
        <v>2.0999999999999999E-3</v>
      </c>
      <c r="AK298" s="135">
        <v>1.0200000000000001E-2</v>
      </c>
      <c r="AM298" s="135">
        <v>2.5899999999999999E-2</v>
      </c>
      <c r="AN298" s="135">
        <v>4.87E-2</v>
      </c>
      <c r="AO298" s="135">
        <v>9.7000000000000003E-2</v>
      </c>
      <c r="AR298" s="135">
        <v>2.3E-3</v>
      </c>
      <c r="AT298" s="135">
        <v>1.0699999999999999E-2</v>
      </c>
      <c r="AV298" s="135">
        <v>2.7099999999999999E-2</v>
      </c>
      <c r="AW298" s="135">
        <v>5.11E-2</v>
      </c>
      <c r="AX298" s="135">
        <v>0.1017</v>
      </c>
    </row>
    <row r="299" spans="1:50" s="79" customFormat="1" ht="11.25">
      <c r="A299" s="96">
        <f t="shared" ca="1" si="6"/>
        <v>288</v>
      </c>
      <c r="B299" s="68" t="s">
        <v>368</v>
      </c>
      <c r="C299" s="97">
        <v>0.4</v>
      </c>
      <c r="D299" s="69" t="s">
        <v>67</v>
      </c>
      <c r="E299" s="136" t="s">
        <v>87</v>
      </c>
      <c r="F299" s="154" t="s">
        <v>87</v>
      </c>
      <c r="G299" s="154">
        <v>1.1999999999999999E-3</v>
      </c>
      <c r="H299" s="154" t="s">
        <v>87</v>
      </c>
      <c r="I299" s="154">
        <v>2E-3</v>
      </c>
      <c r="J299" s="154" t="s">
        <v>87</v>
      </c>
      <c r="K299" s="154">
        <v>3.0000000000000001E-3</v>
      </c>
      <c r="L299" s="154">
        <v>4.0000000000000001E-3</v>
      </c>
      <c r="M299" s="154">
        <v>5.4999999999999997E-3</v>
      </c>
      <c r="N299" s="137" cm="1">
        <f t="array" aca="1" ref="N299:AE299" ca="1">IF(OR(B299="",NOT($J$2)),"",GetStripDefaultProbability(A299,B299,Parameter_Date,CDSRollDate,E299:M299,SpreadCurveMaturities,D299,C299,$J$4,$J$6))</f>
        <v>0</v>
      </c>
      <c r="O299" s="155">
        <f ca="1"/>
        <v>0</v>
      </c>
      <c r="P299" s="155">
        <f ca="1"/>
        <v>2.1213825879108361E-3</v>
      </c>
      <c r="Q299" s="155">
        <f ca="1"/>
        <v>0</v>
      </c>
      <c r="R299" s="155">
        <f ca="1"/>
        <v>1.0303829793561148E-2</v>
      </c>
      <c r="S299" s="155">
        <f ca="1"/>
        <v>0</v>
      </c>
      <c r="T299" s="155">
        <f ca="1"/>
        <v>2.5941042388508584E-2</v>
      </c>
      <c r="U299" s="155">
        <f ca="1"/>
        <v>4.8869211399791834E-2</v>
      </c>
      <c r="V299" s="138">
        <f ca="1"/>
        <v>9.7205483402653226E-2</v>
      </c>
      <c r="W299" s="137">
        <f ca="1"/>
        <v>0</v>
      </c>
      <c r="X299" s="155">
        <f ca="1"/>
        <v>0</v>
      </c>
      <c r="Y299" s="155">
        <f ca="1"/>
        <v>2.2876818321652115E-3</v>
      </c>
      <c r="Z299" s="155">
        <f ca="1"/>
        <v>0</v>
      </c>
      <c r="AA299" s="155">
        <f ca="1"/>
        <v>1.0798554187243514E-2</v>
      </c>
      <c r="AB299" s="155">
        <f ca="1"/>
        <v>0</v>
      </c>
      <c r="AC299" s="155">
        <f ca="1"/>
        <v>2.6752420065531468E-2</v>
      </c>
      <c r="AD299" s="155">
        <f ca="1"/>
        <v>5.0002873375013079E-2</v>
      </c>
      <c r="AE299" s="138">
        <f ca="1"/>
        <v>9.8761705142591083E-2</v>
      </c>
      <c r="AI299" s="135">
        <v>2.0999999999999999E-3</v>
      </c>
      <c r="AK299" s="135">
        <v>1.0200000000000001E-2</v>
      </c>
      <c r="AM299" s="135">
        <v>2.5899999999999999E-2</v>
      </c>
      <c r="AN299" s="135">
        <v>4.87E-2</v>
      </c>
      <c r="AO299" s="135">
        <v>9.7000000000000003E-2</v>
      </c>
      <c r="AR299" s="135">
        <v>2.3E-3</v>
      </c>
      <c r="AT299" s="135">
        <v>1.0699999999999999E-2</v>
      </c>
      <c r="AV299" s="135">
        <v>2.7099999999999999E-2</v>
      </c>
      <c r="AW299" s="135">
        <v>5.11E-2</v>
      </c>
      <c r="AX299" s="135">
        <v>0.1017</v>
      </c>
    </row>
    <row r="300" spans="1:50" s="79" customFormat="1" ht="11.25">
      <c r="A300" s="96">
        <f t="shared" ca="1" si="6"/>
        <v>289</v>
      </c>
      <c r="B300" s="68" t="s">
        <v>369</v>
      </c>
      <c r="C300" s="97">
        <v>0.4</v>
      </c>
      <c r="D300" s="69" t="s">
        <v>67</v>
      </c>
      <c r="E300" s="136" t="s">
        <v>87</v>
      </c>
      <c r="F300" s="154" t="s">
        <v>87</v>
      </c>
      <c r="G300" s="154">
        <v>4.8799999999999999E-4</v>
      </c>
      <c r="H300" s="154" t="s">
        <v>87</v>
      </c>
      <c r="I300" s="154">
        <v>1.9499999999999999E-3</v>
      </c>
      <c r="J300" s="154" t="s">
        <v>87</v>
      </c>
      <c r="K300" s="154">
        <v>2.65E-3</v>
      </c>
      <c r="L300" s="154">
        <v>3.5500000000000002E-3</v>
      </c>
      <c r="M300" s="154">
        <v>4.5500000000000002E-3</v>
      </c>
      <c r="N300" s="137" cm="1">
        <f t="array" aca="1" ref="N300:AE300" ca="1">IF(OR(B300="",NOT($J$2)),"",GetStripDefaultProbability(A300,B300,Parameter_Date,CDSRollDate,E300:M300,SpreadCurveMaturities,D300,C300,$J$4,$J$6))</f>
        <v>0</v>
      </c>
      <c r="O300" s="155">
        <f ca="1"/>
        <v>0</v>
      </c>
      <c r="P300" s="155">
        <f ca="1"/>
        <v>8.6323517513620107E-4</v>
      </c>
      <c r="Q300" s="155">
        <f ca="1"/>
        <v>0</v>
      </c>
      <c r="R300" s="155">
        <f ca="1"/>
        <v>1.013689632222059E-2</v>
      </c>
      <c r="S300" s="155">
        <f ca="1"/>
        <v>0</v>
      </c>
      <c r="T300" s="155">
        <f ca="1"/>
        <v>2.2913684692162484E-2</v>
      </c>
      <c r="U300" s="155">
        <f ca="1"/>
        <v>4.3447369534357461E-2</v>
      </c>
      <c r="V300" s="138">
        <f ca="1"/>
        <v>8.0108895664561142E-2</v>
      </c>
      <c r="W300" s="137">
        <f ca="1"/>
        <v>0</v>
      </c>
      <c r="X300" s="155">
        <f ca="1"/>
        <v>0</v>
      </c>
      <c r="Y300" s="155">
        <f ca="1"/>
        <v>1.0297440931393842E-3</v>
      </c>
      <c r="Z300" s="155">
        <f ca="1"/>
        <v>0</v>
      </c>
      <c r="AA300" s="155">
        <f ca="1"/>
        <v>1.0631704161825573E-2</v>
      </c>
      <c r="AB300" s="155">
        <f ca="1"/>
        <v>0</v>
      </c>
      <c r="AC300" s="155">
        <f ca="1"/>
        <v>2.3727584116386202E-2</v>
      </c>
      <c r="AD300" s="155">
        <f ca="1"/>
        <v>4.4587497507200258E-2</v>
      </c>
      <c r="AE300" s="138">
        <f ca="1"/>
        <v>8.164077058810093E-2</v>
      </c>
      <c r="AI300" s="135">
        <v>8.0000000000000004E-4</v>
      </c>
      <c r="AK300" s="135">
        <v>1.01E-2</v>
      </c>
      <c r="AM300" s="135">
        <v>2.2800000000000001E-2</v>
      </c>
      <c r="AN300" s="135">
        <v>4.3299999999999998E-2</v>
      </c>
      <c r="AO300" s="135">
        <v>0.08</v>
      </c>
      <c r="AR300" s="135">
        <v>1E-3</v>
      </c>
      <c r="AT300" s="135">
        <v>1.06E-2</v>
      </c>
      <c r="AV300" s="135">
        <v>2.4E-2</v>
      </c>
      <c r="AW300" s="135">
        <v>4.5499999999999999E-2</v>
      </c>
      <c r="AX300" s="135">
        <v>8.3799999999999999E-2</v>
      </c>
    </row>
    <row r="301" spans="1:50" s="79" customFormat="1" ht="11.25">
      <c r="A301" s="96">
        <f t="shared" ca="1" si="6"/>
        <v>290</v>
      </c>
      <c r="B301" s="68" t="s">
        <v>370</v>
      </c>
      <c r="C301" s="97">
        <v>0.4</v>
      </c>
      <c r="D301" s="69" t="s">
        <v>67</v>
      </c>
      <c r="E301" s="136" t="s">
        <v>87</v>
      </c>
      <c r="F301" s="154" t="s">
        <v>87</v>
      </c>
      <c r="G301" s="154">
        <v>7.2199999999999999E-4</v>
      </c>
      <c r="H301" s="154" t="s">
        <v>87</v>
      </c>
      <c r="I301" s="154">
        <v>1.7849999999999999E-3</v>
      </c>
      <c r="J301" s="154" t="s">
        <v>87</v>
      </c>
      <c r="K301" s="154">
        <v>2.5500000000000002E-3</v>
      </c>
      <c r="L301" s="154">
        <v>3.4719999999999998E-3</v>
      </c>
      <c r="M301" s="154">
        <v>4.3400000000000001E-3</v>
      </c>
      <c r="N301" s="137" cm="1">
        <f t="array" aca="1" ref="N301:AE301" ca="1">IF(OR(B301="",NOT($J$2)),"",GetStripDefaultProbability(A301,B301,Parameter_Date,CDSRollDate,E301:M301,SpreadCurveMaturities,D301,C301,$J$4,$J$6))</f>
        <v>0</v>
      </c>
      <c r="O301" s="155">
        <f ca="1"/>
        <v>0</v>
      </c>
      <c r="P301" s="155">
        <f ca="1"/>
        <v>1.2769010356791233E-3</v>
      </c>
      <c r="Q301" s="155">
        <f ca="1"/>
        <v>0</v>
      </c>
      <c r="R301" s="155">
        <f ca="1"/>
        <v>9.2460589830412054E-3</v>
      </c>
      <c r="S301" s="155">
        <f ca="1"/>
        <v>0</v>
      </c>
      <c r="T301" s="155">
        <f ca="1"/>
        <v>2.2073841671315209E-2</v>
      </c>
      <c r="U301" s="155">
        <f ca="1"/>
        <v>4.2588191362901151E-2</v>
      </c>
      <c r="V301" s="138">
        <f ca="1"/>
        <v>7.6314167103339381E-2</v>
      </c>
      <c r="W301" s="137">
        <f ca="1"/>
        <v>0</v>
      </c>
      <c r="X301" s="155">
        <f ca="1"/>
        <v>0</v>
      </c>
      <c r="Y301" s="155">
        <f ca="1"/>
        <v>1.4433410151181159E-3</v>
      </c>
      <c r="Z301" s="155">
        <f ca="1"/>
        <v>0</v>
      </c>
      <c r="AA301" s="155">
        <f ca="1"/>
        <v>9.7413121299648742E-3</v>
      </c>
      <c r="AB301" s="155">
        <f ca="1"/>
        <v>0</v>
      </c>
      <c r="AC301" s="155">
        <f ca="1"/>
        <v>2.2888440673170418E-2</v>
      </c>
      <c r="AD301" s="155">
        <f ca="1"/>
        <v>4.3729426784822056E-2</v>
      </c>
      <c r="AE301" s="138">
        <f ca="1"/>
        <v>7.7878107828733611E-2</v>
      </c>
      <c r="AI301" s="135">
        <v>1.2999999999999999E-3</v>
      </c>
      <c r="AK301" s="135">
        <v>9.1999999999999998E-3</v>
      </c>
      <c r="AM301" s="135">
        <v>2.1999999999999999E-2</v>
      </c>
      <c r="AN301" s="135">
        <v>4.2500000000000003E-2</v>
      </c>
      <c r="AO301" s="135">
        <v>7.6200000000000004E-2</v>
      </c>
      <c r="AR301" s="135">
        <v>1.4E-3</v>
      </c>
      <c r="AT301" s="135">
        <v>9.7000000000000003E-3</v>
      </c>
      <c r="AV301" s="135">
        <v>2.3099999999999999E-2</v>
      </c>
      <c r="AW301" s="135">
        <v>4.4600000000000001E-2</v>
      </c>
      <c r="AX301" s="135">
        <v>7.9799999999999996E-2</v>
      </c>
    </row>
    <row r="302" spans="1:50" s="79" customFormat="1" ht="11.25">
      <c r="A302" s="96">
        <f t="shared" ca="1" si="6"/>
        <v>291</v>
      </c>
      <c r="B302" s="68" t="s">
        <v>371</v>
      </c>
      <c r="C302" s="97">
        <v>0.4</v>
      </c>
      <c r="D302" s="69" t="s">
        <v>66</v>
      </c>
      <c r="E302" s="136" t="s">
        <v>87</v>
      </c>
      <c r="F302" s="154">
        <v>5.9999999999999995E-4</v>
      </c>
      <c r="G302" s="154">
        <v>5.9999999999999995E-4</v>
      </c>
      <c r="H302" s="154">
        <v>1.1999999999999999E-3</v>
      </c>
      <c r="I302" s="154">
        <v>1.8E-3</v>
      </c>
      <c r="J302" s="154" t="s">
        <v>87</v>
      </c>
      <c r="K302" s="154">
        <v>2.8999999999999998E-3</v>
      </c>
      <c r="L302" s="154">
        <v>3.5000000000000001E-3</v>
      </c>
      <c r="M302" s="154">
        <v>4.4999999999999997E-3</v>
      </c>
      <c r="N302" s="137" cm="1">
        <f t="array" aca="1" ref="N302:AE302" ca="1">IF(OR(B302="",NOT($J$2)),"",GetStripDefaultProbability(A302,B302,Parameter_Date,CDSRollDate,E302:M302,SpreadCurveMaturities,D302,C302,$J$4,$J$6))</f>
        <v>0</v>
      </c>
      <c r="O302" s="155">
        <f ca="1"/>
        <v>5.5804003710946404E-4</v>
      </c>
      <c r="P302" s="155">
        <f ca="1"/>
        <v>1.0632559145480336E-3</v>
      </c>
      <c r="Q302" s="155">
        <f ca="1"/>
        <v>4.173456185380009E-3</v>
      </c>
      <c r="R302" s="155">
        <f ca="1"/>
        <v>9.3439855035715169E-3</v>
      </c>
      <c r="S302" s="155">
        <f ca="1"/>
        <v>0</v>
      </c>
      <c r="T302" s="155">
        <f ca="1"/>
        <v>2.4684434378769771E-2</v>
      </c>
      <c r="U302" s="155">
        <f ca="1"/>
        <v>4.1441460127082386E-2</v>
      </c>
      <c r="V302" s="138">
        <f ca="1"/>
        <v>7.5289096336109695E-2</v>
      </c>
      <c r="W302" s="137">
        <f ca="1"/>
        <v>0</v>
      </c>
      <c r="X302" s="155">
        <f ca="1"/>
        <v>6.5101587709581743E-4</v>
      </c>
      <c r="Y302" s="155">
        <f ca="1"/>
        <v>1.2297314985548757E-3</v>
      </c>
      <c r="Z302" s="155">
        <f ca="1"/>
        <v>4.5053430491142077E-3</v>
      </c>
      <c r="AA302" s="155">
        <f ca="1"/>
        <v>9.8391896994455275E-3</v>
      </c>
      <c r="AB302" s="155">
        <f ca="1"/>
        <v>0</v>
      </c>
      <c r="AC302" s="155">
        <f ca="1"/>
        <v>2.5518265922480188E-2</v>
      </c>
      <c r="AD302" s="155">
        <f ca="1"/>
        <v>4.2590440172246224E-2</v>
      </c>
      <c r="AE302" s="138">
        <f ca="1"/>
        <v>7.6879675311181006E-2</v>
      </c>
      <c r="AH302" s="135">
        <v>5.0000000000000001E-4</v>
      </c>
      <c r="AI302" s="135">
        <v>1E-3</v>
      </c>
      <c r="AJ302" s="135">
        <v>4.1000000000000003E-3</v>
      </c>
      <c r="AK302" s="135">
        <v>9.2999999999999992E-3</v>
      </c>
      <c r="AM302" s="135">
        <v>2.52E-2</v>
      </c>
      <c r="AN302" s="135">
        <v>4.24E-2</v>
      </c>
      <c r="AO302" s="135">
        <v>7.8399999999999997E-2</v>
      </c>
      <c r="AQ302" s="135">
        <v>5.9999999999999995E-4</v>
      </c>
      <c r="AR302" s="135">
        <v>1.1999999999999999E-3</v>
      </c>
      <c r="AS302" s="135">
        <v>4.4999999999999997E-3</v>
      </c>
      <c r="AT302" s="135">
        <v>9.7999999999999997E-3</v>
      </c>
      <c r="AV302" s="135">
        <v>2.64E-2</v>
      </c>
      <c r="AW302" s="135">
        <v>4.4499999999999998E-2</v>
      </c>
      <c r="AX302" s="135">
        <v>8.2100000000000006E-2</v>
      </c>
    </row>
    <row r="303" spans="1:50" s="79" customFormat="1" ht="11.25">
      <c r="A303" s="96">
        <f t="shared" ca="1" si="6"/>
        <v>292</v>
      </c>
      <c r="B303" s="68" t="s">
        <v>372</v>
      </c>
      <c r="C303" s="97">
        <v>0.4</v>
      </c>
      <c r="D303" s="69" t="s">
        <v>67</v>
      </c>
      <c r="E303" s="136" t="s">
        <v>87</v>
      </c>
      <c r="F303" s="154" t="s">
        <v>87</v>
      </c>
      <c r="G303" s="154">
        <v>6.5200000000000002E-4</v>
      </c>
      <c r="H303" s="154" t="s">
        <v>87</v>
      </c>
      <c r="I303" s="154">
        <v>1.8649999999999999E-3</v>
      </c>
      <c r="J303" s="154" t="s">
        <v>87</v>
      </c>
      <c r="K303" s="154">
        <v>2.7000000000000001E-3</v>
      </c>
      <c r="L303" s="154">
        <v>3.3869999999999998E-3</v>
      </c>
      <c r="M303" s="154">
        <v>4.0249999999999999E-3</v>
      </c>
      <c r="N303" s="137" cm="1">
        <f t="array" aca="1" ref="N303:AE303" ca="1">IF(OR(B303="",NOT($J$2)),"",GetStripDefaultProbability(A303,B303,Parameter_Date,CDSRollDate,E303:M303,SpreadCurveMaturities,D303,C303,$J$4,$J$6))</f>
        <v>0</v>
      </c>
      <c r="O303" s="155">
        <f ca="1"/>
        <v>0</v>
      </c>
      <c r="P303" s="155">
        <f ca="1"/>
        <v>1.1531726634717021E-3</v>
      </c>
      <c r="Q303" s="155">
        <f ca="1"/>
        <v>0</v>
      </c>
      <c r="R303" s="155">
        <f ca="1"/>
        <v>9.672302197242244E-3</v>
      </c>
      <c r="S303" s="155">
        <f ca="1"/>
        <v>0</v>
      </c>
      <c r="T303" s="155">
        <f ca="1"/>
        <v>2.3390089252058655E-2</v>
      </c>
      <c r="U303" s="155">
        <f ca="1"/>
        <v>4.1269885471260093E-2</v>
      </c>
      <c r="V303" s="138">
        <f ca="1"/>
        <v>7.0091166948723638E-2</v>
      </c>
      <c r="W303" s="137">
        <f ca="1"/>
        <v>0</v>
      </c>
      <c r="X303" s="155">
        <f ca="1"/>
        <v>0</v>
      </c>
      <c r="Y303" s="155">
        <f ca="1"/>
        <v>1.3196332626037588E-3</v>
      </c>
      <c r="Z303" s="155">
        <f ca="1"/>
        <v>0</v>
      </c>
      <c r="AA303" s="155">
        <f ca="1"/>
        <v>1.0167342275792191E-2</v>
      </c>
      <c r="AB303" s="155">
        <f ca="1"/>
        <v>0</v>
      </c>
      <c r="AC303" s="155">
        <f ca="1"/>
        <v>2.4203591837851368E-2</v>
      </c>
      <c r="AD303" s="155">
        <f ca="1"/>
        <v>4.2412529451669401E-2</v>
      </c>
      <c r="AE303" s="138">
        <f ca="1"/>
        <v>7.1666369350667725E-2</v>
      </c>
      <c r="AI303" s="135">
        <v>1.1000000000000001E-3</v>
      </c>
      <c r="AK303" s="135">
        <v>9.5999999999999992E-3</v>
      </c>
      <c r="AM303" s="135">
        <v>2.3300000000000001E-2</v>
      </c>
      <c r="AN303" s="135">
        <v>4.1200000000000001E-2</v>
      </c>
      <c r="AO303" s="135">
        <v>7.0000000000000007E-2</v>
      </c>
      <c r="AR303" s="135">
        <v>1.2999999999999999E-3</v>
      </c>
      <c r="AT303" s="135">
        <v>1.01E-2</v>
      </c>
      <c r="AV303" s="135">
        <v>2.4500000000000001E-2</v>
      </c>
      <c r="AW303" s="135">
        <v>4.3200000000000002E-2</v>
      </c>
      <c r="AX303" s="135">
        <v>7.3300000000000004E-2</v>
      </c>
    </row>
    <row r="304" spans="1:50" s="79" customFormat="1" ht="11.25">
      <c r="A304" s="96">
        <f t="shared" ca="1" si="6"/>
        <v>293</v>
      </c>
      <c r="B304" s="68" t="s">
        <v>373</v>
      </c>
      <c r="C304" s="97">
        <v>0.4</v>
      </c>
      <c r="D304" s="69" t="s">
        <v>66</v>
      </c>
      <c r="E304" s="136" t="s">
        <v>87</v>
      </c>
      <c r="F304" s="154">
        <v>5.0000000000000001E-4</v>
      </c>
      <c r="G304" s="154">
        <v>5.0000000000000001E-4</v>
      </c>
      <c r="H304" s="154">
        <v>1E-3</v>
      </c>
      <c r="I304" s="154">
        <v>1.5E-3</v>
      </c>
      <c r="J304" s="154" t="s">
        <v>87</v>
      </c>
      <c r="K304" s="154">
        <v>2.5999999999999999E-3</v>
      </c>
      <c r="L304" s="154">
        <v>3.3E-3</v>
      </c>
      <c r="M304" s="154">
        <v>4.0000000000000001E-3</v>
      </c>
      <c r="N304" s="137" cm="1">
        <f t="array" aca="1" ref="N304:AE304" ca="1">IF(OR(B304="",NOT($J$2)),"",GetStripDefaultProbability(A304,B304,Parameter_Date,CDSRollDate,E304:M304,SpreadCurveMaturities,D304,C304,$J$4,$J$6))</f>
        <v>0</v>
      </c>
      <c r="O304" s="155">
        <f ca="1"/>
        <v>4.6505499562699004E-4</v>
      </c>
      <c r="P304" s="155">
        <f ca="1"/>
        <v>8.861251903584666E-4</v>
      </c>
      <c r="Q304" s="155">
        <f ca="1"/>
        <v>3.4787715587528689E-3</v>
      </c>
      <c r="R304" s="155">
        <f ca="1"/>
        <v>7.7908475300331181E-3</v>
      </c>
      <c r="S304" s="155">
        <f ca="1"/>
        <v>0</v>
      </c>
      <c r="T304" s="155">
        <f ca="1"/>
        <v>2.2153570633083763E-2</v>
      </c>
      <c r="U304" s="155">
        <f ca="1"/>
        <v>3.9154165082782022E-2</v>
      </c>
      <c r="V304" s="138">
        <f ca="1"/>
        <v>6.7115799808422416E-2</v>
      </c>
      <c r="W304" s="137">
        <f ca="1"/>
        <v>0</v>
      </c>
      <c r="X304" s="155">
        <f ca="1"/>
        <v>5.5803964578249321E-4</v>
      </c>
      <c r="Y304" s="155">
        <f ca="1"/>
        <v>1.0526302936837428E-3</v>
      </c>
      <c r="Z304" s="155">
        <f ca="1"/>
        <v>3.8108899454333267E-3</v>
      </c>
      <c r="AA304" s="155">
        <f ca="1"/>
        <v>8.2868281008083855E-3</v>
      </c>
      <c r="AB304" s="155">
        <f ca="1"/>
        <v>0</v>
      </c>
      <c r="AC304" s="155">
        <f ca="1"/>
        <v>2.298957696353654E-2</v>
      </c>
      <c r="AD304" s="155">
        <f ca="1"/>
        <v>4.0306222654436619E-2</v>
      </c>
      <c r="AE304" s="138">
        <f ca="1"/>
        <v>6.8720574611343399E-2</v>
      </c>
      <c r="AH304" s="135">
        <v>5.0000000000000001E-4</v>
      </c>
      <c r="AI304" s="135">
        <v>8.9999999999999998E-4</v>
      </c>
      <c r="AJ304" s="135">
        <v>3.5000000000000001E-3</v>
      </c>
      <c r="AK304" s="135">
        <v>7.7999999999999996E-3</v>
      </c>
      <c r="AM304" s="135">
        <v>2.2599999999999999E-2</v>
      </c>
      <c r="AN304" s="135">
        <v>4.02E-2</v>
      </c>
      <c r="AO304" s="135">
        <v>6.9599999999999995E-2</v>
      </c>
      <c r="AQ304" s="135">
        <v>5.0000000000000001E-4</v>
      </c>
      <c r="AR304" s="135">
        <v>1E-3</v>
      </c>
      <c r="AS304" s="135">
        <v>3.8E-3</v>
      </c>
      <c r="AT304" s="135">
        <v>8.3000000000000001E-3</v>
      </c>
      <c r="AV304" s="135">
        <v>2.3699999999999999E-2</v>
      </c>
      <c r="AW304" s="135">
        <v>4.2200000000000001E-2</v>
      </c>
      <c r="AX304" s="135">
        <v>7.2900000000000006E-2</v>
      </c>
    </row>
    <row r="305" spans="1:50" s="79" customFormat="1" ht="11.25">
      <c r="A305" s="96">
        <f t="shared" ca="1" si="6"/>
        <v>294</v>
      </c>
      <c r="B305" s="68" t="s">
        <v>150</v>
      </c>
      <c r="C305" s="97">
        <v>0.4</v>
      </c>
      <c r="D305" s="69" t="s">
        <v>66</v>
      </c>
      <c r="E305" s="136" t="s">
        <v>87</v>
      </c>
      <c r="F305" s="154">
        <v>4.0000000000000002E-4</v>
      </c>
      <c r="G305" s="154">
        <v>5.9999999999999995E-4</v>
      </c>
      <c r="H305" s="154">
        <v>1.1000000000000001E-3</v>
      </c>
      <c r="I305" s="154">
        <v>1.4E-3</v>
      </c>
      <c r="J305" s="154" t="s">
        <v>87</v>
      </c>
      <c r="K305" s="154">
        <v>2.3999999999999998E-3</v>
      </c>
      <c r="L305" s="154">
        <v>3.2000000000000002E-3</v>
      </c>
      <c r="M305" s="154">
        <v>4.1000000000000003E-3</v>
      </c>
      <c r="N305" s="137" cm="1">
        <f t="array" aca="1" ref="N305:AE305" ca="1">IF(OR(B305="",NOT($J$2)),"",GetStripDefaultProbability(A305,B305,Parameter_Date,CDSRollDate,E305:M305,SpreadCurveMaturities,D305,C305,$J$4,$J$6))</f>
        <v>0</v>
      </c>
      <c r="O305" s="155">
        <f ca="1"/>
        <v>3.7206130320088793E-4</v>
      </c>
      <c r="P305" s="155">
        <f ca="1"/>
        <v>1.0666538687098548E-3</v>
      </c>
      <c r="Q305" s="155">
        <f ca="1"/>
        <v>3.8267133109989304E-3</v>
      </c>
      <c r="R305" s="155">
        <f ca="1"/>
        <v>7.2520712473543858E-3</v>
      </c>
      <c r="S305" s="155">
        <f ca="1"/>
        <v>0</v>
      </c>
      <c r="T305" s="155">
        <f ca="1"/>
        <v>2.0439139053449185E-2</v>
      </c>
      <c r="U305" s="155">
        <f ca="1"/>
        <v>3.7997802917473678E-2</v>
      </c>
      <c r="V305" s="138">
        <f ca="1"/>
        <v>6.8831475115969876E-2</v>
      </c>
      <c r="W305" s="137">
        <f ca="1"/>
        <v>0</v>
      </c>
      <c r="X305" s="155">
        <f ca="1"/>
        <v>4.6505473678803977E-4</v>
      </c>
      <c r="Y305" s="155">
        <f ca="1"/>
        <v>1.2331288864307899E-3</v>
      </c>
      <c r="Z305" s="155">
        <f ca="1"/>
        <v>4.1587157364167959E-3</v>
      </c>
      <c r="AA305" s="155">
        <f ca="1"/>
        <v>7.7483211389308693E-3</v>
      </c>
      <c r="AB305" s="155">
        <f ca="1"/>
        <v>0</v>
      </c>
      <c r="AC305" s="155">
        <f ca="1"/>
        <v>2.1276371964193963E-2</v>
      </c>
      <c r="AD305" s="155">
        <f ca="1"/>
        <v>3.9151267413206847E-2</v>
      </c>
      <c r="AE305" s="138">
        <f ca="1"/>
        <v>7.0434214184231236E-2</v>
      </c>
      <c r="AH305" s="135">
        <v>4.0000000000000002E-4</v>
      </c>
      <c r="AI305" s="135">
        <v>1E-3</v>
      </c>
      <c r="AJ305" s="135">
        <v>3.8E-3</v>
      </c>
      <c r="AK305" s="135">
        <v>7.1999999999999998E-3</v>
      </c>
      <c r="AM305" s="135">
        <v>2.0899999999999998E-2</v>
      </c>
      <c r="AN305" s="135">
        <v>3.9100000000000003E-2</v>
      </c>
      <c r="AO305" s="135">
        <v>7.1900000000000006E-2</v>
      </c>
      <c r="AQ305" s="135">
        <v>4.0000000000000002E-4</v>
      </c>
      <c r="AR305" s="135">
        <v>1.1999999999999999E-3</v>
      </c>
      <c r="AS305" s="135">
        <v>4.1000000000000003E-3</v>
      </c>
      <c r="AT305" s="135">
        <v>7.7000000000000002E-3</v>
      </c>
      <c r="AV305" s="135">
        <v>2.1899999999999999E-2</v>
      </c>
      <c r="AW305" s="135">
        <v>4.1000000000000002E-2</v>
      </c>
      <c r="AX305" s="135">
        <v>7.5300000000000006E-2</v>
      </c>
    </row>
    <row r="306" spans="1:50" s="79" customFormat="1" ht="11.25">
      <c r="A306" s="96">
        <f t="shared" ca="1" si="6"/>
        <v>295</v>
      </c>
      <c r="B306" s="68" t="s">
        <v>374</v>
      </c>
      <c r="C306" s="97">
        <v>0.4</v>
      </c>
      <c r="D306" s="69" t="s">
        <v>67</v>
      </c>
      <c r="E306" s="136" t="s">
        <v>87</v>
      </c>
      <c r="F306" s="154" t="s">
        <v>87</v>
      </c>
      <c r="G306" s="154">
        <v>3.8699999999999997E-4</v>
      </c>
      <c r="H306" s="154" t="s">
        <v>87</v>
      </c>
      <c r="I306" s="154">
        <v>1.2999999999999999E-3</v>
      </c>
      <c r="J306" s="154" t="s">
        <v>87</v>
      </c>
      <c r="K306" s="154">
        <v>2E-3</v>
      </c>
      <c r="L306" s="154">
        <v>3.0999999999999999E-3</v>
      </c>
      <c r="M306" s="154">
        <v>3.5999999999999999E-3</v>
      </c>
      <c r="N306" s="137" cm="1">
        <f t="array" aca="1" ref="N306:AE306" ca="1">IF(OR(B306="",NOT($J$2)),"",GetStripDefaultProbability(A306,B306,Parameter_Date,CDSRollDate,E306:M306,SpreadCurveMaturities,D306,C306,$J$4,$J$6))</f>
        <v>0</v>
      </c>
      <c r="O306" s="155">
        <f ca="1"/>
        <v>0</v>
      </c>
      <c r="P306" s="155">
        <f ca="1"/>
        <v>6.8463454104694677E-4</v>
      </c>
      <c r="Q306" s="155">
        <f ca="1"/>
        <v>0</v>
      </c>
      <c r="R306" s="155">
        <f ca="1"/>
        <v>6.7582326122218594E-3</v>
      </c>
      <c r="S306" s="155">
        <f ca="1"/>
        <v>0</v>
      </c>
      <c r="T306" s="155">
        <f ca="1"/>
        <v>1.7422205592084516E-2</v>
      </c>
      <c r="U306" s="155">
        <f ca="1"/>
        <v>3.8580561505994759E-2</v>
      </c>
      <c r="V306" s="138">
        <f ca="1"/>
        <v>6.3393703432245596E-2</v>
      </c>
      <c r="W306" s="137">
        <f ca="1"/>
        <v>0</v>
      </c>
      <c r="X306" s="155">
        <f ca="1"/>
        <v>0</v>
      </c>
      <c r="Y306" s="155">
        <f ca="1"/>
        <v>8.5117322333194689E-4</v>
      </c>
      <c r="Z306" s="155">
        <f ca="1"/>
        <v>0</v>
      </c>
      <c r="AA306" s="155">
        <f ca="1"/>
        <v>7.2547293613595132E-3</v>
      </c>
      <c r="AB306" s="155">
        <f ca="1"/>
        <v>0</v>
      </c>
      <c r="AC306" s="155">
        <f ca="1"/>
        <v>1.8240679342643284E-2</v>
      </c>
      <c r="AD306" s="155">
        <f ca="1"/>
        <v>3.9727131048201025E-2</v>
      </c>
      <c r="AE306" s="138">
        <f ca="1"/>
        <v>6.4984067693823921E-2</v>
      </c>
      <c r="AI306" s="135">
        <v>6.9999999999999999E-4</v>
      </c>
      <c r="AK306" s="135">
        <v>6.7000000000000002E-3</v>
      </c>
      <c r="AM306" s="135">
        <v>1.7399999999999999E-2</v>
      </c>
      <c r="AN306" s="135">
        <v>3.85E-2</v>
      </c>
      <c r="AO306" s="135">
        <v>6.3299999999999995E-2</v>
      </c>
      <c r="AR306" s="135">
        <v>8.0000000000000004E-4</v>
      </c>
      <c r="AT306" s="135">
        <v>7.1999999999999998E-3</v>
      </c>
      <c r="AV306" s="135">
        <v>1.8200000000000001E-2</v>
      </c>
      <c r="AW306" s="135">
        <v>4.0300000000000002E-2</v>
      </c>
      <c r="AX306" s="135">
        <v>6.6299999999999998E-2</v>
      </c>
    </row>
    <row r="307" spans="1:50" s="79" customFormat="1" ht="11.25">
      <c r="A307" s="96">
        <f t="shared" ca="1" si="6"/>
        <v>296</v>
      </c>
      <c r="B307" s="68" t="s">
        <v>186</v>
      </c>
      <c r="C307" s="97">
        <v>0.4</v>
      </c>
      <c r="D307" s="69" t="s">
        <v>66</v>
      </c>
      <c r="E307" s="136" t="s">
        <v>87</v>
      </c>
      <c r="F307" s="154">
        <v>4.0000000000000002E-4</v>
      </c>
      <c r="G307" s="154">
        <v>8.9999999999999998E-4</v>
      </c>
      <c r="H307" s="154">
        <v>1.4E-3</v>
      </c>
      <c r="I307" s="154">
        <v>1.6999999999999999E-3</v>
      </c>
      <c r="J307" s="154" t="s">
        <v>87</v>
      </c>
      <c r="K307" s="154">
        <v>2.5000000000000001E-3</v>
      </c>
      <c r="L307" s="154">
        <v>2.8999999999999998E-3</v>
      </c>
      <c r="M307" s="154">
        <v>3.3999999999999998E-3</v>
      </c>
      <c r="N307" s="137" cm="1">
        <f t="array" aca="1" ref="N307:AE307" ca="1">IF(OR(B307="",NOT($J$2)),"",GetStripDefaultProbability(A307,B307,Parameter_Date,CDSRollDate,E307:M307,SpreadCurveMaturities,D307,C307,$J$4,$J$6))</f>
        <v>0</v>
      </c>
      <c r="O307" s="155">
        <f ca="1"/>
        <v>3.7206130320088793E-4</v>
      </c>
      <c r="P307" s="155">
        <f ca="1"/>
        <v>1.6030771977488811E-3</v>
      </c>
      <c r="Q307" s="155">
        <f ca="1"/>
        <v>4.8647287890087876E-3</v>
      </c>
      <c r="R307" s="155">
        <f ca="1"/>
        <v>8.7887799310476522E-3</v>
      </c>
      <c r="S307" s="155">
        <f ca="1"/>
        <v>0</v>
      </c>
      <c r="T307" s="155">
        <f ca="1"/>
        <v>2.1262309891086462E-2</v>
      </c>
      <c r="U307" s="155">
        <f ca="1"/>
        <v>3.4355836734644707E-2</v>
      </c>
      <c r="V307" s="138">
        <f ca="1"/>
        <v>5.7122487884185502E-2</v>
      </c>
      <c r="W307" s="137">
        <f ca="1"/>
        <v>0</v>
      </c>
      <c r="X307" s="155">
        <f ca="1"/>
        <v>4.6505473678803977E-4</v>
      </c>
      <c r="Y307" s="155">
        <f ca="1"/>
        <v>1.7694628190280115E-3</v>
      </c>
      <c r="Z307" s="155">
        <f ca="1"/>
        <v>5.1963852669225652E-3</v>
      </c>
      <c r="AA307" s="155">
        <f ca="1"/>
        <v>9.2842616603429073E-3</v>
      </c>
      <c r="AB307" s="155">
        <f ca="1"/>
        <v>0</v>
      </c>
      <c r="AC307" s="155">
        <f ca="1"/>
        <v>2.2098513308960621E-2</v>
      </c>
      <c r="AD307" s="155">
        <f ca="1"/>
        <v>3.5511863255582088E-2</v>
      </c>
      <c r="AE307" s="138">
        <f ca="1"/>
        <v>5.8741927771540747E-2</v>
      </c>
      <c r="AH307" s="135">
        <v>4.0000000000000002E-4</v>
      </c>
      <c r="AI307" s="135">
        <v>1.6000000000000001E-3</v>
      </c>
      <c r="AJ307" s="135">
        <v>4.7999999999999996E-3</v>
      </c>
      <c r="AK307" s="135">
        <v>8.8000000000000005E-3</v>
      </c>
      <c r="AM307" s="135">
        <v>2.1600000000000001E-2</v>
      </c>
      <c r="AN307" s="135">
        <v>3.5000000000000003E-2</v>
      </c>
      <c r="AO307" s="135">
        <v>5.8599999999999999E-2</v>
      </c>
      <c r="AQ307" s="135">
        <v>4.0000000000000002E-4</v>
      </c>
      <c r="AR307" s="135">
        <v>1.6999999999999999E-3</v>
      </c>
      <c r="AS307" s="135">
        <v>5.1999999999999998E-3</v>
      </c>
      <c r="AT307" s="135">
        <v>9.2999999999999992E-3</v>
      </c>
      <c r="AV307" s="135">
        <v>2.2599999999999999E-2</v>
      </c>
      <c r="AW307" s="135">
        <v>3.6700000000000003E-2</v>
      </c>
      <c r="AX307" s="135">
        <v>6.1499999999999999E-2</v>
      </c>
    </row>
    <row r="308" spans="1:50" s="79" customFormat="1" ht="11.25">
      <c r="A308" s="96">
        <f t="shared" ca="1" si="6"/>
        <v>297</v>
      </c>
      <c r="B308" s="68" t="s">
        <v>113</v>
      </c>
      <c r="C308" s="97">
        <v>0.4</v>
      </c>
      <c r="D308" s="69" t="s">
        <v>66</v>
      </c>
      <c r="E308" s="136" t="s">
        <v>87</v>
      </c>
      <c r="F308" s="154">
        <v>5.0000000000000001E-4</v>
      </c>
      <c r="G308" s="154">
        <v>6.9999999999999999E-4</v>
      </c>
      <c r="H308" s="154">
        <v>1.1000000000000001E-3</v>
      </c>
      <c r="I308" s="154">
        <v>1.6000000000000001E-3</v>
      </c>
      <c r="J308" s="154" t="s">
        <v>87</v>
      </c>
      <c r="K308" s="154">
        <v>2.3E-3</v>
      </c>
      <c r="L308" s="154">
        <v>2.8999999999999998E-3</v>
      </c>
      <c r="M308" s="154">
        <v>3.7000000000000002E-3</v>
      </c>
      <c r="N308" s="137" cm="1">
        <f t="array" aca="1" ref="N308:AE308" ca="1">IF(OR(B308="",NOT($J$2)),"",GetStripDefaultProbability(A308,B308,Parameter_Date,CDSRollDate,E308:M308,SpreadCurveMaturities,D308,C308,$J$4,$J$6))</f>
        <v>0</v>
      </c>
      <c r="O308" s="155">
        <f ca="1"/>
        <v>4.6505499562699004E-4</v>
      </c>
      <c r="P308" s="155">
        <f ca="1"/>
        <v>1.2437694058637927E-3</v>
      </c>
      <c r="Q308" s="155">
        <f ca="1"/>
        <v>3.8208714895480167E-3</v>
      </c>
      <c r="R308" s="155">
        <f ca="1"/>
        <v>8.2990265810173325E-3</v>
      </c>
      <c r="S308" s="155">
        <f ca="1"/>
        <v>0</v>
      </c>
      <c r="T308" s="155">
        <f ca="1"/>
        <v>1.9598702351606989E-2</v>
      </c>
      <c r="U308" s="155">
        <f ca="1"/>
        <v>3.4443606175442065E-2</v>
      </c>
      <c r="V308" s="138">
        <f ca="1"/>
        <v>6.2223621185982014E-2</v>
      </c>
      <c r="W308" s="137">
        <f ca="1"/>
        <v>0</v>
      </c>
      <c r="X308" s="155">
        <f ca="1"/>
        <v>5.5803964578249321E-4</v>
      </c>
      <c r="Y308" s="155">
        <f ca="1"/>
        <v>1.4102149067779512E-3</v>
      </c>
      <c r="Z308" s="155">
        <f ca="1"/>
        <v>4.1528758618992745E-3</v>
      </c>
      <c r="AA308" s="155">
        <f ca="1"/>
        <v>8.7947531257446254E-3</v>
      </c>
      <c r="AB308" s="155">
        <f ca="1"/>
        <v>0</v>
      </c>
      <c r="AC308" s="155">
        <f ca="1"/>
        <v>2.0436353950032404E-2</v>
      </c>
      <c r="AD308" s="155">
        <f ca="1"/>
        <v>3.5600212331821535E-2</v>
      </c>
      <c r="AE308" s="138">
        <f ca="1"/>
        <v>6.3836495857795938E-2</v>
      </c>
      <c r="AH308" s="135">
        <v>5.0000000000000001E-4</v>
      </c>
      <c r="AI308" s="135">
        <v>1.1999999999999999E-3</v>
      </c>
      <c r="AJ308" s="135">
        <v>3.8E-3</v>
      </c>
      <c r="AK308" s="135">
        <v>8.3000000000000001E-3</v>
      </c>
      <c r="AM308" s="135">
        <v>1.9900000000000001E-2</v>
      </c>
      <c r="AN308" s="135">
        <v>3.5200000000000002E-2</v>
      </c>
      <c r="AO308" s="135">
        <v>6.4699999999999994E-2</v>
      </c>
      <c r="AQ308" s="135">
        <v>5.0000000000000001E-4</v>
      </c>
      <c r="AR308" s="135">
        <v>1.4E-3</v>
      </c>
      <c r="AS308" s="135">
        <v>4.1000000000000003E-3</v>
      </c>
      <c r="AT308" s="135">
        <v>8.8000000000000005E-3</v>
      </c>
      <c r="AV308" s="135">
        <v>2.0799999999999999E-2</v>
      </c>
      <c r="AW308" s="135">
        <v>3.6999999999999998E-2</v>
      </c>
      <c r="AX308" s="135">
        <v>6.7799999999999999E-2</v>
      </c>
    </row>
    <row r="309" spans="1:50" s="79" customFormat="1" ht="11.25">
      <c r="A309" s="96">
        <f t="shared" ca="1" si="6"/>
        <v>298</v>
      </c>
      <c r="B309" s="68" t="s">
        <v>375</v>
      </c>
      <c r="C309" s="97">
        <v>0.4</v>
      </c>
      <c r="D309" s="69" t="s">
        <v>66</v>
      </c>
      <c r="E309" s="136" t="s">
        <v>87</v>
      </c>
      <c r="F309" s="154">
        <v>4.0000000000000002E-4</v>
      </c>
      <c r="G309" s="154">
        <v>5.0000000000000001E-4</v>
      </c>
      <c r="H309" s="154">
        <v>8.9999999999999998E-4</v>
      </c>
      <c r="I309" s="154">
        <v>1.4E-3</v>
      </c>
      <c r="J309" s="154" t="s">
        <v>87</v>
      </c>
      <c r="K309" s="154">
        <v>2.0999999999999999E-3</v>
      </c>
      <c r="L309" s="154">
        <v>2.8E-3</v>
      </c>
      <c r="M309" s="154">
        <v>3.3999999999999998E-3</v>
      </c>
      <c r="N309" s="137" cm="1">
        <f t="array" aca="1" ref="N309:AE309" ca="1">IF(OR(B309="",NOT($J$2)),"",GetStripDefaultProbability(A309,B309,Parameter_Date,CDSRollDate,E309:M309,SpreadCurveMaturities,D309,C309,$J$4,$J$6))</f>
        <v>0</v>
      </c>
      <c r="O309" s="155">
        <f ca="1"/>
        <v>3.7206130320088793E-4</v>
      </c>
      <c r="P309" s="155">
        <f ca="1"/>
        <v>8.8781598165987852E-4</v>
      </c>
      <c r="Q309" s="155">
        <f ca="1"/>
        <v>3.1301268310327535E-3</v>
      </c>
      <c r="R309" s="155">
        <f ca="1"/>
        <v>7.27581169291458E-3</v>
      </c>
      <c r="S309" s="155">
        <f ca="1"/>
        <v>0</v>
      </c>
      <c r="T309" s="155">
        <f ca="1"/>
        <v>1.7919035263801009E-2</v>
      </c>
      <c r="U309" s="155">
        <f ca="1"/>
        <v>3.3320993799919041E-2</v>
      </c>
      <c r="V309" s="138">
        <f ca="1"/>
        <v>5.7298591037311497E-2</v>
      </c>
      <c r="W309" s="137">
        <f ca="1"/>
        <v>0</v>
      </c>
      <c r="X309" s="155">
        <f ca="1"/>
        <v>4.6505473678803977E-4</v>
      </c>
      <c r="Y309" s="155">
        <f ca="1"/>
        <v>1.0543208032058882E-3</v>
      </c>
      <c r="Z309" s="155">
        <f ca="1"/>
        <v>3.4623614132652802E-3</v>
      </c>
      <c r="AA309" s="155">
        <f ca="1"/>
        <v>7.7720497172122371E-3</v>
      </c>
      <c r="AB309" s="155">
        <f ca="1"/>
        <v>0</v>
      </c>
      <c r="AC309" s="155">
        <f ca="1"/>
        <v>1.8758170256157225E-2</v>
      </c>
      <c r="AD309" s="155">
        <f ca="1"/>
        <v>3.4479359395857667E-2</v>
      </c>
      <c r="AE309" s="138">
        <f ca="1"/>
        <v>5.8919799014392704E-2</v>
      </c>
      <c r="AH309" s="135">
        <v>4.0000000000000002E-4</v>
      </c>
      <c r="AI309" s="135">
        <v>8.9999999999999998E-4</v>
      </c>
      <c r="AJ309" s="135">
        <v>3.0999999999999999E-3</v>
      </c>
      <c r="AK309" s="135">
        <v>7.3000000000000001E-3</v>
      </c>
      <c r="AM309" s="135">
        <v>1.8200000000000001E-2</v>
      </c>
      <c r="AN309" s="135">
        <v>3.4200000000000001E-2</v>
      </c>
      <c r="AO309" s="135">
        <v>5.9400000000000001E-2</v>
      </c>
      <c r="AQ309" s="135">
        <v>4.0000000000000002E-4</v>
      </c>
      <c r="AR309" s="135">
        <v>1E-3</v>
      </c>
      <c r="AS309" s="135">
        <v>3.3999999999999998E-3</v>
      </c>
      <c r="AT309" s="135">
        <v>7.7999999999999996E-3</v>
      </c>
      <c r="AV309" s="135">
        <v>1.9099999999999999E-2</v>
      </c>
      <c r="AW309" s="135">
        <v>3.5900000000000001E-2</v>
      </c>
      <c r="AX309" s="135">
        <v>6.2300000000000001E-2</v>
      </c>
    </row>
    <row r="310" spans="1:50" s="79" customFormat="1" ht="11.25">
      <c r="A310" s="96">
        <f t="shared" ca="1" si="6"/>
        <v>299</v>
      </c>
      <c r="B310" s="68" t="s">
        <v>115</v>
      </c>
      <c r="C310" s="97">
        <v>0.4</v>
      </c>
      <c r="D310" s="69" t="s">
        <v>66</v>
      </c>
      <c r="E310" s="136" t="s">
        <v>87</v>
      </c>
      <c r="F310" s="154">
        <v>5.0000000000000001E-4</v>
      </c>
      <c r="G310" s="154">
        <v>5.9999999999999995E-4</v>
      </c>
      <c r="H310" s="154">
        <v>1.1999999999999999E-3</v>
      </c>
      <c r="I310" s="154">
        <v>1.6000000000000001E-3</v>
      </c>
      <c r="J310" s="154" t="s">
        <v>87</v>
      </c>
      <c r="K310" s="154">
        <v>2.3E-3</v>
      </c>
      <c r="L310" s="154">
        <v>2.7000000000000001E-3</v>
      </c>
      <c r="M310" s="154">
        <v>3.3E-3</v>
      </c>
      <c r="N310" s="137" cm="1">
        <f t="array" aca="1" ref="N310:AE310" ca="1">IF(OR(B310="",NOT($J$2)),"",GetStripDefaultProbability(A310,B310,Parameter_Date,CDSRollDate,E310:M310,SpreadCurveMaturities,D310,C310,$J$4,$J$6))</f>
        <v>0</v>
      </c>
      <c r="O310" s="155">
        <f ca="1"/>
        <v>4.6505499562699004E-4</v>
      </c>
      <c r="P310" s="155">
        <f ca="1"/>
        <v>1.0649548260907027E-3</v>
      </c>
      <c r="Q310" s="155">
        <f ca="1"/>
        <v>4.1752021605023781E-3</v>
      </c>
      <c r="R310" s="155">
        <f ca="1"/>
        <v>8.293327816449314E-3</v>
      </c>
      <c r="S310" s="155">
        <f ca="1"/>
        <v>0</v>
      </c>
      <c r="T310" s="155">
        <f ca="1"/>
        <v>1.9592793086473992E-2</v>
      </c>
      <c r="U310" s="155">
        <f ca="1"/>
        <v>3.2043922318438334E-2</v>
      </c>
      <c r="V310" s="138">
        <f ca="1"/>
        <v>5.5546482703504374E-2</v>
      </c>
      <c r="W310" s="137">
        <f ca="1"/>
        <v>0</v>
      </c>
      <c r="X310" s="155">
        <f ca="1"/>
        <v>5.5803964578249321E-4</v>
      </c>
      <c r="Y310" s="155">
        <f ca="1"/>
        <v>1.2314301269625849E-3</v>
      </c>
      <c r="Z310" s="155">
        <f ca="1"/>
        <v>4.5070884423187296E-3</v>
      </c>
      <c r="AA310" s="155">
        <f ca="1"/>
        <v>8.7890572098774378E-3</v>
      </c>
      <c r="AB310" s="155">
        <f ca="1"/>
        <v>0</v>
      </c>
      <c r="AC310" s="155">
        <f ca="1"/>
        <v>2.0430413495651112E-2</v>
      </c>
      <c r="AD310" s="155">
        <f ca="1"/>
        <v>3.3202645574521128E-2</v>
      </c>
      <c r="AE310" s="138">
        <f ca="1"/>
        <v>5.7169267251541256E-2</v>
      </c>
      <c r="AH310" s="135">
        <v>5.0000000000000001E-4</v>
      </c>
      <c r="AI310" s="135">
        <v>1E-3</v>
      </c>
      <c r="AJ310" s="135">
        <v>4.1000000000000003E-3</v>
      </c>
      <c r="AK310" s="135">
        <v>8.3000000000000001E-3</v>
      </c>
      <c r="AM310" s="135">
        <v>1.9900000000000001E-2</v>
      </c>
      <c r="AN310" s="135">
        <v>3.2599999999999997E-2</v>
      </c>
      <c r="AO310" s="135">
        <v>5.7299999999999997E-2</v>
      </c>
      <c r="AQ310" s="135">
        <v>5.0000000000000001E-4</v>
      </c>
      <c r="AR310" s="135">
        <v>1.1999999999999999E-3</v>
      </c>
      <c r="AS310" s="135">
        <v>4.4999999999999997E-3</v>
      </c>
      <c r="AT310" s="135">
        <v>8.8000000000000005E-3</v>
      </c>
      <c r="AV310" s="135">
        <v>2.0799999999999999E-2</v>
      </c>
      <c r="AW310" s="135">
        <v>3.4200000000000001E-2</v>
      </c>
      <c r="AX310" s="135">
        <v>6.0100000000000001E-2</v>
      </c>
    </row>
    <row r="311" spans="1:50" s="79" customFormat="1" ht="11.25">
      <c r="A311" s="96">
        <f t="shared" ca="1" si="6"/>
        <v>300</v>
      </c>
      <c r="B311" s="68" t="s">
        <v>182</v>
      </c>
      <c r="C311" s="97">
        <v>0.4</v>
      </c>
      <c r="D311" s="69" t="s">
        <v>66</v>
      </c>
      <c r="E311" s="136" t="s">
        <v>87</v>
      </c>
      <c r="F311" s="154">
        <v>2.9999999999999997E-4</v>
      </c>
      <c r="G311" s="154">
        <v>5.0000000000000001E-4</v>
      </c>
      <c r="H311" s="154">
        <v>8.9999999999999998E-4</v>
      </c>
      <c r="I311" s="154">
        <v>1.2999999999999999E-3</v>
      </c>
      <c r="J311" s="154" t="s">
        <v>87</v>
      </c>
      <c r="K311" s="154">
        <v>2.0999999999999999E-3</v>
      </c>
      <c r="L311" s="154">
        <v>2.7000000000000001E-3</v>
      </c>
      <c r="M311" s="154">
        <v>3.3999999999999998E-3</v>
      </c>
      <c r="N311" s="137" cm="1">
        <f t="array" aca="1" ref="N311:AE311" ca="1">IF(OR(B311="",NOT($J$2)),"",GetStripDefaultProbability(A311,B311,Parameter_Date,CDSRollDate,E311:M311,SpreadCurveMaturities,D311,C311,$J$4,$J$6))</f>
        <v>0</v>
      </c>
      <c r="O311" s="155">
        <f ca="1"/>
        <v>2.7905895862256891E-4</v>
      </c>
      <c r="P311" s="155">
        <f ca="1"/>
        <v>8.8950690353517547E-4</v>
      </c>
      <c r="Q311" s="155">
        <f ca="1"/>
        <v>3.1318488539382461E-3</v>
      </c>
      <c r="R311" s="155">
        <f ca="1"/>
        <v>6.7508226888735035E-3</v>
      </c>
      <c r="S311" s="155">
        <f ca="1"/>
        <v>0</v>
      </c>
      <c r="T311" s="155">
        <f ca="1"/>
        <v>1.7913738481602937E-2</v>
      </c>
      <c r="U311" s="155">
        <f ca="1"/>
        <v>3.2118509887298252E-2</v>
      </c>
      <c r="V311" s="138">
        <f ca="1"/>
        <v>5.7300992101631198E-2</v>
      </c>
      <c r="W311" s="137">
        <f ca="1"/>
        <v>0</v>
      </c>
      <c r="X311" s="155">
        <f ca="1"/>
        <v>3.7206114936716439E-4</v>
      </c>
      <c r="Y311" s="155">
        <f ca="1"/>
        <v>1.0560114432898171E-3</v>
      </c>
      <c r="Z311" s="155">
        <f ca="1"/>
        <v>3.4640828622398701E-3</v>
      </c>
      <c r="AA311" s="155">
        <f ca="1"/>
        <v>7.2473231420884243E-3</v>
      </c>
      <c r="AB311" s="155">
        <f ca="1"/>
        <v>0</v>
      </c>
      <c r="AC311" s="155">
        <f ca="1"/>
        <v>1.8752964172189968E-2</v>
      </c>
      <c r="AD311" s="155">
        <f ca="1"/>
        <v>3.3278110152246909E-2</v>
      </c>
      <c r="AE311" s="138">
        <f ca="1"/>
        <v>5.8922419661689318E-2</v>
      </c>
      <c r="AH311" s="135">
        <v>2.9999999999999997E-4</v>
      </c>
      <c r="AI311" s="135">
        <v>8.9999999999999998E-4</v>
      </c>
      <c r="AJ311" s="135">
        <v>3.0999999999999999E-3</v>
      </c>
      <c r="AK311" s="135">
        <v>6.7000000000000002E-3</v>
      </c>
      <c r="AM311" s="135">
        <v>1.83E-2</v>
      </c>
      <c r="AN311" s="135">
        <v>3.3000000000000002E-2</v>
      </c>
      <c r="AO311" s="135">
        <v>5.96E-2</v>
      </c>
      <c r="AQ311" s="135">
        <v>4.0000000000000002E-4</v>
      </c>
      <c r="AR311" s="135">
        <v>1E-3</v>
      </c>
      <c r="AS311" s="135">
        <v>3.3999999999999998E-3</v>
      </c>
      <c r="AT311" s="135">
        <v>7.1999999999999998E-3</v>
      </c>
      <c r="AV311" s="135">
        <v>1.9099999999999999E-2</v>
      </c>
      <c r="AW311" s="135">
        <v>3.4599999999999999E-2</v>
      </c>
      <c r="AX311" s="135">
        <v>6.25E-2</v>
      </c>
    </row>
    <row r="312" spans="1:50" s="79" customFormat="1" ht="11.25">
      <c r="A312" s="96">
        <f t="shared" ca="1" si="6"/>
        <v>301</v>
      </c>
      <c r="B312" s="68" t="s">
        <v>376</v>
      </c>
      <c r="C312" s="97">
        <v>0.4</v>
      </c>
      <c r="D312" s="69" t="s">
        <v>67</v>
      </c>
      <c r="E312" s="136" t="s">
        <v>87</v>
      </c>
      <c r="F312" s="154">
        <v>9.5600000000000008E-3</v>
      </c>
      <c r="G312" s="154">
        <v>9.5600000000000008E-3</v>
      </c>
      <c r="H312" s="154">
        <v>9.2700000000000005E-3</v>
      </c>
      <c r="I312" s="154">
        <v>9.0799999999999995E-3</v>
      </c>
      <c r="J312" s="154" t="s">
        <v>87</v>
      </c>
      <c r="K312" s="154">
        <v>8.6E-3</v>
      </c>
      <c r="L312" s="154">
        <v>8.6E-3</v>
      </c>
      <c r="M312" s="154">
        <v>8.6E-3</v>
      </c>
      <c r="N312" s="137" cm="1">
        <f t="array" aca="1" ref="N312:AE312" ca="1">IF(OR(B312="",NOT($J$2)),"",GetStripDefaultProbability(A312,B312,Parameter_Date,CDSRollDate,E312:M312,SpreadCurveMaturities,D312,C312,$J$4,$J$6))</f>
        <v>0</v>
      </c>
      <c r="O312" s="155">
        <f ca="1"/>
        <v>8.8388310322707886E-3</v>
      </c>
      <c r="P312" s="155">
        <f ca="1"/>
        <v>1.6775829591887281E-2</v>
      </c>
      <c r="Q312" s="155">
        <f ca="1"/>
        <v>3.1424842565262345E-2</v>
      </c>
      <c r="R312" s="155">
        <f ca="1"/>
        <v>4.5382213630185464E-2</v>
      </c>
      <c r="S312" s="155">
        <f ca="1"/>
        <v>0</v>
      </c>
      <c r="T312" s="155">
        <f ca="1"/>
        <v>6.9905546882049974E-2</v>
      </c>
      <c r="U312" s="155">
        <f ca="1"/>
        <v>9.6359371732344434E-2</v>
      </c>
      <c r="V312" s="138">
        <f ca="1"/>
        <v>0.13467684828499726</v>
      </c>
      <c r="W312" s="137">
        <f ca="1"/>
        <v>0</v>
      </c>
      <c r="X312" s="155">
        <f ca="1"/>
        <v>8.9306596807289251E-3</v>
      </c>
      <c r="Y312" s="155">
        <f ca="1"/>
        <v>1.6939686631813777E-2</v>
      </c>
      <c r="Z312" s="155">
        <f ca="1"/>
        <v>3.1747647147328584E-2</v>
      </c>
      <c r="AA312" s="155">
        <f ca="1"/>
        <v>4.585940321601889E-2</v>
      </c>
      <c r="AB312" s="155">
        <f ca="1"/>
        <v>0</v>
      </c>
      <c r="AC312" s="155">
        <f ca="1"/>
        <v>7.0680302733196032E-2</v>
      </c>
      <c r="AD312" s="155">
        <f ca="1"/>
        <v>9.7413004393463343E-2</v>
      </c>
      <c r="AE312" s="138">
        <f ca="1"/>
        <v>0.13611785236753748</v>
      </c>
      <c r="AH312" s="135">
        <v>8.6999999999999994E-3</v>
      </c>
      <c r="AI312" s="135">
        <v>1.6500000000000001E-2</v>
      </c>
      <c r="AJ312" s="135">
        <v>3.1199999999999999E-2</v>
      </c>
      <c r="AK312" s="135">
        <v>4.5100000000000001E-2</v>
      </c>
      <c r="AM312" s="135">
        <v>6.9699999999999998E-2</v>
      </c>
      <c r="AN312" s="135">
        <v>9.6100000000000005E-2</v>
      </c>
      <c r="AO312" s="135">
        <v>0.13450000000000001</v>
      </c>
      <c r="AQ312" s="135">
        <v>9.1000000000000004E-3</v>
      </c>
      <c r="AR312" s="135">
        <v>1.7299999999999999E-2</v>
      </c>
      <c r="AS312" s="135">
        <v>3.27E-2</v>
      </c>
      <c r="AT312" s="135">
        <v>4.7300000000000002E-2</v>
      </c>
      <c r="AV312" s="135">
        <v>7.2999999999999995E-2</v>
      </c>
      <c r="AW312" s="135">
        <v>0.1007</v>
      </c>
      <c r="AX312" s="135">
        <v>0.14069999999999999</v>
      </c>
    </row>
    <row r="313" spans="1:50" s="79" customFormat="1" ht="11.25">
      <c r="A313" s="96">
        <f t="shared" ca="1" si="6"/>
        <v>302</v>
      </c>
      <c r="B313" s="68" t="s">
        <v>377</v>
      </c>
      <c r="C313" s="97">
        <v>0.2</v>
      </c>
      <c r="D313" s="69" t="s">
        <v>66</v>
      </c>
      <c r="E313" s="136" t="s">
        <v>87</v>
      </c>
      <c r="F313" s="154">
        <v>2.2499999999999998E-3</v>
      </c>
      <c r="G313" s="154">
        <v>3.0000000000000001E-3</v>
      </c>
      <c r="H313" s="154">
        <v>4.4999999999999997E-3</v>
      </c>
      <c r="I313" s="154">
        <v>5.5900000000000004E-3</v>
      </c>
      <c r="J313" s="154" t="s">
        <v>87</v>
      </c>
      <c r="K313" s="154">
        <v>7.4999999999999997E-3</v>
      </c>
      <c r="L313" s="154">
        <v>8.2000000000000007E-3</v>
      </c>
      <c r="M313" s="154">
        <v>8.8999999999999999E-3</v>
      </c>
      <c r="N313" s="137" cm="1">
        <f t="array" aca="1" ref="N313:AE313" ca="1">IF(OR(B313="",NOT($J$2)),"",GetStripDefaultProbability(A313,B313,Parameter_Date,CDSRollDate,E313:M313,SpreadCurveMaturities,D313,C313,$J$4,$J$6))</f>
        <v>0</v>
      </c>
      <c r="O313" s="155">
        <f ca="1"/>
        <v>1.5686941041033187E-3</v>
      </c>
      <c r="P313" s="155">
        <f ca="1"/>
        <v>3.991690657546787E-3</v>
      </c>
      <c r="Q313" s="155">
        <f ca="1"/>
        <v>1.1679294471384272E-2</v>
      </c>
      <c r="R313" s="155">
        <f ca="1"/>
        <v>2.1558230646399168E-2</v>
      </c>
      <c r="S313" s="155">
        <f ca="1"/>
        <v>0</v>
      </c>
      <c r="T313" s="155">
        <f ca="1"/>
        <v>4.7319529758495849E-2</v>
      </c>
      <c r="U313" s="155">
        <f ca="1"/>
        <v>7.1567259141587236E-2</v>
      </c>
      <c r="V313" s="138">
        <f ca="1"/>
        <v>0.109207383979814</v>
      </c>
      <c r="W313" s="137">
        <f ca="1"/>
        <v>0</v>
      </c>
      <c r="X313" s="155">
        <f ca="1"/>
        <v>1.6383526366819945E-3</v>
      </c>
      <c r="Y313" s="155">
        <f ca="1"/>
        <v>4.1161839152189517E-3</v>
      </c>
      <c r="Z313" s="155">
        <f ca="1"/>
        <v>1.1926343765301328E-2</v>
      </c>
      <c r="AA313" s="155">
        <f ca="1"/>
        <v>2.1925077521828151E-2</v>
      </c>
      <c r="AB313" s="155">
        <f ca="1"/>
        <v>0</v>
      </c>
      <c r="AC313" s="155">
        <f ca="1"/>
        <v>4.7928532198844742E-2</v>
      </c>
      <c r="AD313" s="155">
        <f ca="1"/>
        <v>7.2400423343939702E-2</v>
      </c>
      <c r="AE313" s="138">
        <f ca="1"/>
        <v>0.11034846922470132</v>
      </c>
      <c r="AH313" s="135">
        <v>1.5E-3</v>
      </c>
      <c r="AI313" s="135">
        <v>3.8999999999999998E-3</v>
      </c>
      <c r="AJ313" s="135">
        <v>1.1599999999999999E-2</v>
      </c>
      <c r="AK313" s="135">
        <v>2.1499999999999998E-2</v>
      </c>
      <c r="AM313" s="135">
        <v>4.7800000000000002E-2</v>
      </c>
      <c r="AN313" s="135">
        <v>7.2300000000000003E-2</v>
      </c>
      <c r="AO313" s="135">
        <v>0.1105</v>
      </c>
      <c r="AQ313" s="135">
        <v>1.6000000000000001E-3</v>
      </c>
      <c r="AR313" s="135">
        <v>4.1000000000000003E-3</v>
      </c>
      <c r="AS313" s="135">
        <v>1.2200000000000001E-2</v>
      </c>
      <c r="AT313" s="135">
        <v>2.2499999999999999E-2</v>
      </c>
      <c r="AV313" s="135">
        <v>5.0200000000000002E-2</v>
      </c>
      <c r="AW313" s="135">
        <v>7.5800000000000006E-2</v>
      </c>
      <c r="AX313" s="135">
        <v>0.1157</v>
      </c>
    </row>
    <row r="314" spans="1:50" s="79" customFormat="1" ht="11.25">
      <c r="A314" s="96">
        <f t="shared" ca="1" si="6"/>
        <v>303</v>
      </c>
      <c r="B314" s="68" t="s">
        <v>378</v>
      </c>
      <c r="C314" s="97">
        <v>0.4</v>
      </c>
      <c r="D314" s="69" t="s">
        <v>67</v>
      </c>
      <c r="E314" s="136" t="s">
        <v>87</v>
      </c>
      <c r="F314" s="154" t="s">
        <v>87</v>
      </c>
      <c r="G314" s="154">
        <v>2E-3</v>
      </c>
      <c r="H314" s="154" t="s">
        <v>87</v>
      </c>
      <c r="I314" s="154">
        <v>3.5000000000000001E-3</v>
      </c>
      <c r="J314" s="154" t="s">
        <v>87</v>
      </c>
      <c r="K314" s="154">
        <v>4.4999999999999997E-3</v>
      </c>
      <c r="L314" s="154">
        <v>5.4999999999999997E-3</v>
      </c>
      <c r="M314" s="154">
        <v>6.4999999999999997E-3</v>
      </c>
      <c r="N314" s="137" cm="1">
        <f t="array" aca="1" ref="N314:AE314" ca="1">IF(OR(B314="",NOT($J$2)),"",GetStripDefaultProbability(A314,B314,Parameter_Date,CDSRollDate,E314:M314,SpreadCurveMaturities,D314,C314,$J$4,$J$6))</f>
        <v>0</v>
      </c>
      <c r="O314" s="155">
        <f ca="1"/>
        <v>0</v>
      </c>
      <c r="P314" s="155">
        <f ca="1"/>
        <v>3.5331561876147388E-3</v>
      </c>
      <c r="Q314" s="155">
        <f ca="1"/>
        <v>0</v>
      </c>
      <c r="R314" s="155">
        <f ca="1"/>
        <v>1.7986605596824967E-2</v>
      </c>
      <c r="S314" s="155">
        <f ca="1"/>
        <v>0</v>
      </c>
      <c r="T314" s="155">
        <f ca="1"/>
        <v>3.8400796339108756E-2</v>
      </c>
      <c r="U314" s="155">
        <f ca="1"/>
        <v>6.5844168905297651E-2</v>
      </c>
      <c r="V314" s="138">
        <f ca="1"/>
        <v>0.11067780241428482</v>
      </c>
      <c r="W314" s="137">
        <f ca="1"/>
        <v>0</v>
      </c>
      <c r="X314" s="155">
        <f ca="1"/>
        <v>0</v>
      </c>
      <c r="Y314" s="155">
        <f ca="1"/>
        <v>3.69922015586166E-3</v>
      </c>
      <c r="Z314" s="155">
        <f ca="1"/>
        <v>0</v>
      </c>
      <c r="AA314" s="155">
        <f ca="1"/>
        <v>1.8477489562816363E-2</v>
      </c>
      <c r="AB314" s="155">
        <f ca="1"/>
        <v>0</v>
      </c>
      <c r="AC314" s="155">
        <f ca="1"/>
        <v>3.9201795212966295E-2</v>
      </c>
      <c r="AD314" s="155">
        <f ca="1"/>
        <v>6.6955537358931894E-2</v>
      </c>
      <c r="AE314" s="138">
        <f ca="1"/>
        <v>0.11220554766783497</v>
      </c>
      <c r="AI314" s="135">
        <v>3.5000000000000001E-3</v>
      </c>
      <c r="AK314" s="135">
        <v>1.7899999999999999E-2</v>
      </c>
      <c r="AM314" s="135">
        <v>3.8300000000000001E-2</v>
      </c>
      <c r="AN314" s="135">
        <v>6.5699999999999995E-2</v>
      </c>
      <c r="AO314" s="135">
        <v>0.1105</v>
      </c>
      <c r="AR314" s="135">
        <v>3.5999999999999999E-3</v>
      </c>
      <c r="AT314" s="135">
        <v>1.8800000000000001E-2</v>
      </c>
      <c r="AV314" s="135">
        <v>4.0099999999999997E-2</v>
      </c>
      <c r="AW314" s="135">
        <v>6.8900000000000003E-2</v>
      </c>
      <c r="AX314" s="135">
        <v>0.1157</v>
      </c>
    </row>
    <row r="315" spans="1:50" s="79" customFormat="1" ht="11.25">
      <c r="A315" s="96">
        <f t="shared" ca="1" si="6"/>
        <v>304</v>
      </c>
      <c r="B315" s="68" t="s">
        <v>379</v>
      </c>
      <c r="C315" s="97">
        <v>0.2</v>
      </c>
      <c r="D315" s="69" t="s">
        <v>67</v>
      </c>
      <c r="E315" s="136">
        <v>1.1999999999999999E-3</v>
      </c>
      <c r="F315" s="154">
        <v>1.1999999999999999E-3</v>
      </c>
      <c r="G315" s="154">
        <v>1.6000000000000001E-3</v>
      </c>
      <c r="H315" s="154">
        <v>2E-3</v>
      </c>
      <c r="I315" s="154">
        <v>2.8E-3</v>
      </c>
      <c r="J315" s="154">
        <v>3.3999999999999998E-3</v>
      </c>
      <c r="K315" s="154">
        <v>4.0000000000000001E-3</v>
      </c>
      <c r="L315" s="154">
        <v>5.4000000000000003E-3</v>
      </c>
      <c r="M315" s="154">
        <v>6.6E-3</v>
      </c>
      <c r="N315" s="137" cm="1">
        <f t="array" aca="1" ref="N315:AE315" ca="1">IF(OR(B315="",NOT($J$2)),"",GetStripDefaultProbability(A315,B315,Parameter_Date,CDSRollDate,E315:M315,SpreadCurveMaturities,D315,C315,$J$4,$J$6))</f>
        <v>4.552242007782592E-4</v>
      </c>
      <c r="O315" s="155">
        <f ca="1"/>
        <v>8.3544458725770543E-4</v>
      </c>
      <c r="P315" s="155">
        <f ca="1"/>
        <v>2.1283168625521043E-3</v>
      </c>
      <c r="Q315" s="155">
        <f ca="1"/>
        <v>5.1911423843445936E-3</v>
      </c>
      <c r="R315" s="155">
        <f ca="1"/>
        <v>1.0894740581438467E-2</v>
      </c>
      <c r="S315" s="155">
        <f ca="1"/>
        <v>1.7632782098249256E-2</v>
      </c>
      <c r="T315" s="155">
        <f ca="1"/>
        <v>2.6000106940724077E-2</v>
      </c>
      <c r="U315" s="155">
        <f ca="1"/>
        <v>4.9589480811824349E-2</v>
      </c>
      <c r="V315" s="138">
        <f ca="1"/>
        <v>8.64258597468478E-2</v>
      </c>
      <c r="W315" s="137">
        <f ca="1"/>
        <v>4.9314994870031104E-4</v>
      </c>
      <c r="X315" s="155">
        <f ca="1"/>
        <v>9.0503326303814635E-4</v>
      </c>
      <c r="Y315" s="155">
        <f ca="1"/>
        <v>2.2530430274005919E-3</v>
      </c>
      <c r="Z315" s="155">
        <f ca="1"/>
        <v>5.4398135135439452E-3</v>
      </c>
      <c r="AA315" s="155">
        <f ca="1"/>
        <v>1.1265585515951804E-2</v>
      </c>
      <c r="AB315" s="155">
        <f ca="1"/>
        <v>1.8123842931755951E-2</v>
      </c>
      <c r="AC315" s="155">
        <f ca="1"/>
        <v>2.660866667915629E-2</v>
      </c>
      <c r="AD315" s="155">
        <f ca="1"/>
        <v>5.043783704362248E-2</v>
      </c>
      <c r="AE315" s="138">
        <f ca="1"/>
        <v>8.7601557750686898E-2</v>
      </c>
      <c r="AG315" s="135">
        <v>4.0000000000000002E-4</v>
      </c>
      <c r="AH315" s="135">
        <v>8.0000000000000004E-4</v>
      </c>
      <c r="AI315" s="135">
        <v>2.0999999999999999E-3</v>
      </c>
      <c r="AJ315" s="135">
        <v>5.1000000000000004E-3</v>
      </c>
      <c r="AK315" s="135">
        <v>1.0800000000000001E-2</v>
      </c>
      <c r="AL315" s="135">
        <v>1.7600000000000001E-2</v>
      </c>
      <c r="AM315" s="135">
        <v>2.5899999999999999E-2</v>
      </c>
      <c r="AN315" s="135">
        <v>4.9500000000000002E-2</v>
      </c>
      <c r="AO315" s="135">
        <v>8.6300000000000002E-2</v>
      </c>
      <c r="AP315" s="135">
        <v>5.0000000000000001E-4</v>
      </c>
      <c r="AQ315" s="135">
        <v>8.9999999999999998E-4</v>
      </c>
      <c r="AR315" s="135">
        <v>2.2000000000000001E-3</v>
      </c>
      <c r="AS315" s="135">
        <v>5.4000000000000003E-3</v>
      </c>
      <c r="AT315" s="135">
        <v>1.14E-2</v>
      </c>
      <c r="AU315" s="135">
        <v>1.84E-2</v>
      </c>
      <c r="AV315" s="135">
        <v>2.7199999999999998E-2</v>
      </c>
      <c r="AW315" s="135">
        <v>5.1900000000000002E-2</v>
      </c>
      <c r="AX315" s="135">
        <v>9.0399999999999994E-2</v>
      </c>
    </row>
    <row r="316" spans="1:50" s="79" customFormat="1" ht="11.25">
      <c r="A316" s="96">
        <f t="shared" ca="1" si="6"/>
        <v>305</v>
      </c>
      <c r="B316" s="68" t="s">
        <v>380</v>
      </c>
      <c r="C316" s="97">
        <v>0.2</v>
      </c>
      <c r="D316" s="69" t="s">
        <v>66</v>
      </c>
      <c r="E316" s="136" t="s">
        <v>87</v>
      </c>
      <c r="F316" s="154">
        <v>1.3799999999999999E-3</v>
      </c>
      <c r="G316" s="154">
        <v>2.1199999999999999E-3</v>
      </c>
      <c r="H316" s="154">
        <v>3.1199999999999999E-3</v>
      </c>
      <c r="I316" s="154">
        <v>3.9199999999999999E-3</v>
      </c>
      <c r="J316" s="154" t="s">
        <v>87</v>
      </c>
      <c r="K316" s="154">
        <v>5.1000000000000004E-3</v>
      </c>
      <c r="L316" s="154">
        <v>5.8199999999999997E-3</v>
      </c>
      <c r="M316" s="154">
        <v>6.4999999999999997E-3</v>
      </c>
      <c r="N316" s="137" cm="1">
        <f t="array" aca="1" ref="N316:AE316" ca="1">IF(OR(B316="",NOT($J$2)),"",GetStripDefaultProbability(A316,B316,Parameter_Date,CDSRollDate,E316:M316,SpreadCurveMaturities,D316,C316,$J$4,$J$6))</f>
        <v>0</v>
      </c>
      <c r="O316" s="155">
        <f ca="1"/>
        <v>9.6242433289062124E-4</v>
      </c>
      <c r="P316" s="155">
        <f ca="1"/>
        <v>2.8250318033532507E-3</v>
      </c>
      <c r="Q316" s="155">
        <f ca="1"/>
        <v>8.1104561126527086E-3</v>
      </c>
      <c r="R316" s="155">
        <f ca="1"/>
        <v>1.5161686380263717E-2</v>
      </c>
      <c r="S316" s="155">
        <f ca="1"/>
        <v>0</v>
      </c>
      <c r="T316" s="155">
        <f ca="1"/>
        <v>3.2370095943549226E-2</v>
      </c>
      <c r="U316" s="155">
        <f ca="1"/>
        <v>5.1307961197096796E-2</v>
      </c>
      <c r="V316" s="138">
        <f ca="1"/>
        <v>8.0937336734947629E-2</v>
      </c>
      <c r="W316" s="137">
        <f ca="1"/>
        <v>0</v>
      </c>
      <c r="X316" s="155">
        <f ca="1"/>
        <v>1.0321277186410294E-3</v>
      </c>
      <c r="Y316" s="155">
        <f ca="1"/>
        <v>2.949670884280442E-3</v>
      </c>
      <c r="Z316" s="155">
        <f ca="1"/>
        <v>8.3583975046767067E-3</v>
      </c>
      <c r="AA316" s="155">
        <f ca="1"/>
        <v>1.5530931510066015E-2</v>
      </c>
      <c r="AB316" s="155">
        <f ca="1"/>
        <v>0</v>
      </c>
      <c r="AC316" s="155">
        <f ca="1"/>
        <v>3.2989710751033963E-2</v>
      </c>
      <c r="AD316" s="155">
        <f ca="1"/>
        <v>5.2159647711818025E-2</v>
      </c>
      <c r="AE316" s="138">
        <f ca="1"/>
        <v>8.2118775717721415E-2</v>
      </c>
      <c r="AH316" s="135">
        <v>8.9999999999999998E-4</v>
      </c>
      <c r="AI316" s="135">
        <v>2.8E-3</v>
      </c>
      <c r="AJ316" s="135">
        <v>8.0000000000000002E-3</v>
      </c>
      <c r="AK316" s="135">
        <v>1.5100000000000001E-2</v>
      </c>
      <c r="AM316" s="135">
        <v>3.27E-2</v>
      </c>
      <c r="AN316" s="135">
        <v>5.1999999999999998E-2</v>
      </c>
      <c r="AO316" s="135">
        <v>8.2299999999999998E-2</v>
      </c>
      <c r="AQ316" s="135">
        <v>1E-3</v>
      </c>
      <c r="AR316" s="135">
        <v>2.8999999999999998E-3</v>
      </c>
      <c r="AS316" s="135">
        <v>8.3999999999999995E-3</v>
      </c>
      <c r="AT316" s="135">
        <v>1.5900000000000001E-2</v>
      </c>
      <c r="AV316" s="135">
        <v>3.4299999999999997E-2</v>
      </c>
      <c r="AW316" s="135">
        <v>5.45E-2</v>
      </c>
      <c r="AX316" s="135">
        <v>8.6300000000000002E-2</v>
      </c>
    </row>
    <row r="317" spans="1:50" s="79" customFormat="1" ht="11.25">
      <c r="A317" s="96">
        <f t="shared" ca="1" si="6"/>
        <v>306</v>
      </c>
      <c r="B317" s="68" t="s">
        <v>381</v>
      </c>
      <c r="C317" s="97">
        <v>0.2</v>
      </c>
      <c r="D317" s="69" t="s">
        <v>66</v>
      </c>
      <c r="E317" s="136" t="s">
        <v>87</v>
      </c>
      <c r="F317" s="154">
        <v>1.5100000000000001E-3</v>
      </c>
      <c r="G317" s="154">
        <v>2.1299999999999999E-3</v>
      </c>
      <c r="H317" s="154">
        <v>2.9499999999999999E-3</v>
      </c>
      <c r="I317" s="154">
        <v>3.6900000000000001E-3</v>
      </c>
      <c r="J317" s="154" t="s">
        <v>87</v>
      </c>
      <c r="K317" s="154">
        <v>5.0000000000000001E-3</v>
      </c>
      <c r="L317" s="154">
        <v>5.7000000000000002E-3</v>
      </c>
      <c r="M317" s="154">
        <v>6.3E-3</v>
      </c>
      <c r="N317" s="137" cm="1">
        <f t="array" aca="1" ref="N317:AE317" ca="1">IF(OR(B317="",NOT($J$2)),"",GetStripDefaultProbability(A317,B317,Parameter_Date,CDSRollDate,E317:M317,SpreadCurveMaturities,D317,C317,$J$4,$J$6))</f>
        <v>0</v>
      </c>
      <c r="O317" s="155">
        <f ca="1"/>
        <v>1.053039748218354E-3</v>
      </c>
      <c r="P317" s="155">
        <f ca="1"/>
        <v>2.836693009606539E-3</v>
      </c>
      <c r="Q317" s="155">
        <f ca="1"/>
        <v>7.6629905072199689E-3</v>
      </c>
      <c r="R317" s="155">
        <f ca="1"/>
        <v>1.426863391382116E-2</v>
      </c>
      <c r="S317" s="155">
        <f ca="1"/>
        <v>0</v>
      </c>
      <c r="T317" s="155">
        <f ca="1"/>
        <v>3.1742817029434267E-2</v>
      </c>
      <c r="U317" s="155">
        <f ca="1"/>
        <v>5.027079386963984E-2</v>
      </c>
      <c r="V317" s="138">
        <f ca="1"/>
        <v>7.8509736196284319E-2</v>
      </c>
      <c r="W317" s="137">
        <f ca="1"/>
        <v>0</v>
      </c>
      <c r="X317" s="155">
        <f ca="1"/>
        <v>1.122736512781386E-3</v>
      </c>
      <c r="Y317" s="155">
        <f ca="1"/>
        <v>2.9613306329570044E-3</v>
      </c>
      <c r="Z317" s="155">
        <f ca="1"/>
        <v>7.9110437516293208E-3</v>
      </c>
      <c r="AA317" s="155">
        <f ca="1"/>
        <v>1.463821387554809E-2</v>
      </c>
      <c r="AB317" s="155">
        <f ca="1"/>
        <v>0</v>
      </c>
      <c r="AC317" s="155">
        <f ca="1"/>
        <v>3.2362880990304932E-2</v>
      </c>
      <c r="AD317" s="155">
        <f ca="1"/>
        <v>5.1123535706008028E-2</v>
      </c>
      <c r="AE317" s="138">
        <f ca="1"/>
        <v>7.9694539602648606E-2</v>
      </c>
      <c r="AH317" s="135">
        <v>1E-3</v>
      </c>
      <c r="AI317" s="135">
        <v>2.8E-3</v>
      </c>
      <c r="AJ317" s="135">
        <v>7.6E-3</v>
      </c>
      <c r="AK317" s="135">
        <v>1.4200000000000001E-2</v>
      </c>
      <c r="AM317" s="135">
        <v>3.2099999999999997E-2</v>
      </c>
      <c r="AN317" s="135">
        <v>5.0999999999999997E-2</v>
      </c>
      <c r="AO317" s="135">
        <v>7.9799999999999996E-2</v>
      </c>
      <c r="AQ317" s="135">
        <v>1.1000000000000001E-3</v>
      </c>
      <c r="AR317" s="135">
        <v>2.8999999999999998E-3</v>
      </c>
      <c r="AS317" s="135">
        <v>8.0000000000000002E-3</v>
      </c>
      <c r="AT317" s="135">
        <v>1.49E-2</v>
      </c>
      <c r="AV317" s="135">
        <v>3.3700000000000001E-2</v>
      </c>
      <c r="AW317" s="135">
        <v>5.3499999999999999E-2</v>
      </c>
      <c r="AX317" s="135">
        <v>8.3599999999999994E-2</v>
      </c>
    </row>
    <row r="318" spans="1:50" s="79" customFormat="1" ht="11.25">
      <c r="A318" s="96">
        <f t="shared" ca="1" si="6"/>
        <v>307</v>
      </c>
      <c r="B318" s="68" t="s">
        <v>382</v>
      </c>
      <c r="C318" s="97">
        <v>0.4</v>
      </c>
      <c r="D318" s="69" t="s">
        <v>67</v>
      </c>
      <c r="E318" s="136" t="s">
        <v>87</v>
      </c>
      <c r="F318" s="154" t="s">
        <v>87</v>
      </c>
      <c r="G318" s="154">
        <v>1.2329999999999999E-3</v>
      </c>
      <c r="H318" s="154" t="s">
        <v>87</v>
      </c>
      <c r="I318" s="154">
        <v>2.516E-3</v>
      </c>
      <c r="J318" s="154" t="s">
        <v>87</v>
      </c>
      <c r="K318" s="154">
        <v>3.65E-3</v>
      </c>
      <c r="L318" s="154">
        <v>3.7980000000000002E-3</v>
      </c>
      <c r="M318" s="154">
        <v>3.9950000000000003E-3</v>
      </c>
      <c r="N318" s="137" cm="1">
        <f t="array" aca="1" ref="N318:AE318" ca="1">IF(OR(B318="",NOT($J$2)),"",GetStripDefaultProbability(A318,B318,Parameter_Date,CDSRollDate,E318:M318,SpreadCurveMaturities,D318,C318,$J$4,$J$6))</f>
        <v>0</v>
      </c>
      <c r="O318" s="155">
        <f ca="1"/>
        <v>0</v>
      </c>
      <c r="P318" s="155">
        <f ca="1"/>
        <v>2.1796574615333686E-3</v>
      </c>
      <c r="Q318" s="155">
        <f ca="1"/>
        <v>0</v>
      </c>
      <c r="R318" s="155">
        <f ca="1"/>
        <v>1.2984618522474789E-2</v>
      </c>
      <c r="S318" s="155">
        <f ca="1"/>
        <v>0</v>
      </c>
      <c r="T318" s="155">
        <f ca="1"/>
        <v>3.1479115254186008E-2</v>
      </c>
      <c r="U318" s="155">
        <f ca="1"/>
        <v>4.5209456416744009E-2</v>
      </c>
      <c r="V318" s="138">
        <f ca="1"/>
        <v>6.7186281121101699E-2</v>
      </c>
      <c r="W318" s="137">
        <f ca="1"/>
        <v>0</v>
      </c>
      <c r="X318" s="155">
        <f ca="1"/>
        <v>0</v>
      </c>
      <c r="Y318" s="155">
        <f ca="1"/>
        <v>2.3459469940955158E-3</v>
      </c>
      <c r="Z318" s="155">
        <f ca="1"/>
        <v>0</v>
      </c>
      <c r="AA318" s="155">
        <f ca="1"/>
        <v>1.34780028568523E-2</v>
      </c>
      <c r="AB318" s="155">
        <f ca="1"/>
        <v>0</v>
      </c>
      <c r="AC318" s="155">
        <f ca="1"/>
        <v>3.2285879792922079E-2</v>
      </c>
      <c r="AD318" s="155">
        <f ca="1"/>
        <v>4.6346312675427548E-2</v>
      </c>
      <c r="AE318" s="138">
        <f ca="1"/>
        <v>6.8739675797427457E-2</v>
      </c>
      <c r="AI318" s="135">
        <v>2.0999999999999999E-3</v>
      </c>
      <c r="AK318" s="135">
        <v>1.29E-2</v>
      </c>
      <c r="AM318" s="135">
        <v>3.1399999999999997E-2</v>
      </c>
      <c r="AN318" s="135">
        <v>4.5100000000000001E-2</v>
      </c>
      <c r="AO318" s="135">
        <v>6.7100000000000007E-2</v>
      </c>
      <c r="AR318" s="135">
        <v>2.3E-3</v>
      </c>
      <c r="AT318" s="135">
        <v>1.35E-2</v>
      </c>
      <c r="AV318" s="135">
        <v>3.2899999999999999E-2</v>
      </c>
      <c r="AW318" s="135">
        <v>4.7300000000000002E-2</v>
      </c>
      <c r="AX318" s="135">
        <v>7.0300000000000001E-2</v>
      </c>
    </row>
    <row r="319" spans="1:50" s="79" customFormat="1" ht="11.25">
      <c r="A319" s="96">
        <f t="shared" ca="1" si="6"/>
        <v>308</v>
      </c>
      <c r="B319" s="68" t="s">
        <v>383</v>
      </c>
      <c r="C319" s="97">
        <v>0.2</v>
      </c>
      <c r="D319" s="69" t="s">
        <v>67</v>
      </c>
      <c r="E319" s="136" t="s">
        <v>87</v>
      </c>
      <c r="F319" s="154">
        <v>1.6000000000000001E-3</v>
      </c>
      <c r="G319" s="154">
        <v>1.9E-3</v>
      </c>
      <c r="H319" s="154">
        <v>2.5000000000000001E-3</v>
      </c>
      <c r="I319" s="154">
        <v>3.0000000000000001E-3</v>
      </c>
      <c r="J319" s="154" t="s">
        <v>87</v>
      </c>
      <c r="K319" s="154">
        <v>3.7000000000000002E-3</v>
      </c>
      <c r="L319" s="154">
        <v>3.8999999999999998E-3</v>
      </c>
      <c r="M319" s="154">
        <v>4.0000000000000001E-3</v>
      </c>
      <c r="N319" s="137" cm="1">
        <f t="array" aca="1" ref="N319:AE319" ca="1">IF(OR(B319="",NOT($J$2)),"",GetStripDefaultProbability(A319,B319,Parameter_Date,CDSRollDate,E319:M319,SpreadCurveMaturities,D319,C319,$J$4,$J$6))</f>
        <v>0</v>
      </c>
      <c r="O319" s="155">
        <f ca="1"/>
        <v>1.1137760432816668E-3</v>
      </c>
      <c r="P319" s="155">
        <f ca="1"/>
        <v>2.5238745536843021E-3</v>
      </c>
      <c r="Q319" s="155">
        <f ca="1"/>
        <v>6.4882845396582178E-3</v>
      </c>
      <c r="R319" s="155">
        <f ca="1"/>
        <v>1.160860485568338E-2</v>
      </c>
      <c r="S319" s="155">
        <f ca="1"/>
        <v>0</v>
      </c>
      <c r="T319" s="155">
        <f ca="1"/>
        <v>2.3779303322931433E-2</v>
      </c>
      <c r="U319" s="155">
        <f ca="1"/>
        <v>3.4806064876480969E-2</v>
      </c>
      <c r="V319" s="138">
        <f ca="1"/>
        <v>5.0417350502901637E-2</v>
      </c>
      <c r="W319" s="137">
        <f ca="1"/>
        <v>0</v>
      </c>
      <c r="X319" s="155">
        <f ca="1"/>
        <v>1.1833432252864595E-3</v>
      </c>
      <c r="Y319" s="155">
        <f ca="1"/>
        <v>2.6485512769146569E-3</v>
      </c>
      <c r="Z319" s="155">
        <f ca="1"/>
        <v>6.7366314238509473E-3</v>
      </c>
      <c r="AA319" s="155">
        <f ca="1"/>
        <v>1.1979182141280353E-2</v>
      </c>
      <c r="AB319" s="155">
        <f ca="1"/>
        <v>0</v>
      </c>
      <c r="AC319" s="155">
        <f ca="1"/>
        <v>2.4389250629932024E-2</v>
      </c>
      <c r="AD319" s="155">
        <f ca="1"/>
        <v>3.5650240189166627E-2</v>
      </c>
      <c r="AE319" s="138">
        <f ca="1"/>
        <v>5.1623596665617111E-2</v>
      </c>
      <c r="AH319" s="135">
        <v>1.1000000000000001E-3</v>
      </c>
      <c r="AI319" s="135">
        <v>2.5000000000000001E-3</v>
      </c>
      <c r="AJ319" s="135">
        <v>6.4000000000000003E-3</v>
      </c>
      <c r="AK319" s="135">
        <v>1.15E-2</v>
      </c>
      <c r="AM319" s="135">
        <v>2.3699999999999999E-2</v>
      </c>
      <c r="AN319" s="135">
        <v>3.4700000000000002E-2</v>
      </c>
      <c r="AO319" s="135">
        <v>5.0299999999999997E-2</v>
      </c>
      <c r="AQ319" s="135">
        <v>1.1999999999999999E-3</v>
      </c>
      <c r="AR319" s="135">
        <v>2.5999999999999999E-3</v>
      </c>
      <c r="AS319" s="135">
        <v>6.7000000000000002E-3</v>
      </c>
      <c r="AT319" s="135">
        <v>1.21E-2</v>
      </c>
      <c r="AV319" s="135">
        <v>2.4899999999999999E-2</v>
      </c>
      <c r="AW319" s="135">
        <v>3.6400000000000002E-2</v>
      </c>
      <c r="AX319" s="135">
        <v>5.28E-2</v>
      </c>
    </row>
    <row r="320" spans="1:50" s="79" customFormat="1" ht="11.25">
      <c r="A320" s="96">
        <f t="shared" ca="1" si="6"/>
        <v>309</v>
      </c>
      <c r="B320" s="68" t="s">
        <v>384</v>
      </c>
      <c r="C320" s="97">
        <v>0.4</v>
      </c>
      <c r="D320" s="69" t="s">
        <v>67</v>
      </c>
      <c r="E320" s="136" t="s">
        <v>87</v>
      </c>
      <c r="F320" s="154" t="s">
        <v>87</v>
      </c>
      <c r="G320" s="154" t="s">
        <v>87</v>
      </c>
      <c r="H320" s="154" t="s">
        <v>87</v>
      </c>
      <c r="I320" s="154" t="s">
        <v>87</v>
      </c>
      <c r="J320" s="154" t="s">
        <v>87</v>
      </c>
      <c r="K320" s="154">
        <v>2E-3</v>
      </c>
      <c r="L320" s="154">
        <v>3.6129999999999999E-3</v>
      </c>
      <c r="M320" s="154">
        <v>4.9030000000000002E-3</v>
      </c>
      <c r="N320" s="137" cm="1">
        <f t="array" aca="1" ref="N320:AE320" ca="1">IF(OR(B320="",NOT($J$2)),"",GetStripDefaultProbability(A320,B320,Parameter_Date,CDSRollDate,E320:M320,SpreadCurveMaturities,D320,C320,$J$4,$J$6))</f>
        <v>0</v>
      </c>
      <c r="O320" s="155">
        <f ca="1"/>
        <v>0</v>
      </c>
      <c r="P320" s="155">
        <f ca="1"/>
        <v>0</v>
      </c>
      <c r="Q320" s="155">
        <f ca="1"/>
        <v>0</v>
      </c>
      <c r="R320" s="155">
        <f ca="1"/>
        <v>0</v>
      </c>
      <c r="S320" s="155">
        <f ca="1"/>
        <v>0</v>
      </c>
      <c r="T320" s="155">
        <f ca="1"/>
        <v>1.683176716876067E-2</v>
      </c>
      <c r="U320" s="155">
        <f ca="1"/>
        <v>4.4741892042063025E-2</v>
      </c>
      <c r="V320" s="138">
        <f ca="1"/>
        <v>8.7342677734179364E-2</v>
      </c>
      <c r="W320" s="137">
        <f ca="1"/>
        <v>0</v>
      </c>
      <c r="X320" s="155">
        <f ca="1"/>
        <v>0</v>
      </c>
      <c r="Y320" s="155">
        <f ca="1"/>
        <v>0</v>
      </c>
      <c r="Z320" s="155">
        <f ca="1"/>
        <v>0</v>
      </c>
      <c r="AA320" s="155">
        <f ca="1"/>
        <v>0</v>
      </c>
      <c r="AB320" s="155">
        <f ca="1"/>
        <v>0</v>
      </c>
      <c r="AC320" s="155">
        <f ca="1"/>
        <v>1.7650732746463338E-2</v>
      </c>
      <c r="AD320" s="155">
        <f ca="1"/>
        <v>4.5855709981249659E-2</v>
      </c>
      <c r="AE320" s="138">
        <f ca="1"/>
        <v>8.8916111937363151E-2</v>
      </c>
      <c r="AM320" s="135">
        <v>1.6799999999999999E-2</v>
      </c>
      <c r="AN320" s="135">
        <v>4.4600000000000001E-2</v>
      </c>
      <c r="AO320" s="135">
        <v>8.72E-2</v>
      </c>
      <c r="AV320" s="135">
        <v>1.7600000000000001E-2</v>
      </c>
      <c r="AW320" s="135">
        <v>4.6800000000000001E-2</v>
      </c>
      <c r="AX320" s="135">
        <v>9.1399999999999995E-2</v>
      </c>
    </row>
    <row r="321" spans="1:50" s="79" customFormat="1" ht="11.25">
      <c r="A321" s="96">
        <f t="shared" ca="1" si="6"/>
        <v>310</v>
      </c>
      <c r="B321" s="68" t="s">
        <v>98</v>
      </c>
      <c r="C321" s="97">
        <v>0.4</v>
      </c>
      <c r="D321" s="69" t="s">
        <v>66</v>
      </c>
      <c r="E321" s="136" t="s">
        <v>87</v>
      </c>
      <c r="F321" s="154">
        <v>1.1900000000000001E-3</v>
      </c>
      <c r="G321" s="154">
        <v>1.4300000000000001E-3</v>
      </c>
      <c r="H321" s="154">
        <v>1.91E-3</v>
      </c>
      <c r="I321" s="154">
        <v>2.32E-3</v>
      </c>
      <c r="J321" s="154" t="s">
        <v>87</v>
      </c>
      <c r="K321" s="154">
        <v>3.0999999999999999E-3</v>
      </c>
      <c r="L321" s="154">
        <v>3.5100000000000001E-3</v>
      </c>
      <c r="M321" s="154">
        <v>3.8999999999999998E-3</v>
      </c>
      <c r="N321" s="137" cm="1">
        <f t="array" aca="1" ref="N321:AE321" ca="1">IF(OR(B321="",NOT($J$2)),"",GetStripDefaultProbability(A321,B321,Parameter_Date,CDSRollDate,E321:M321,SpreadCurveMaturities,D321,C321,$J$4,$J$6))</f>
        <v>0</v>
      </c>
      <c r="O321" s="155">
        <f ca="1"/>
        <v>1.1064757568105543E-3</v>
      </c>
      <c r="P321" s="155">
        <f ca="1"/>
        <v>2.5364678481504255E-3</v>
      </c>
      <c r="Q321" s="155">
        <f ca="1"/>
        <v>6.6121366802779358E-3</v>
      </c>
      <c r="R321" s="155">
        <f ca="1"/>
        <v>1.1958410491217819E-2</v>
      </c>
      <c r="S321" s="155">
        <f ca="1"/>
        <v>0</v>
      </c>
      <c r="T321" s="155">
        <f ca="1"/>
        <v>2.6281232329118387E-2</v>
      </c>
      <c r="U321" s="155">
        <f ca="1"/>
        <v>4.1403508828026792E-2</v>
      </c>
      <c r="V321" s="138">
        <f ca="1"/>
        <v>6.5167525291137229E-2</v>
      </c>
      <c r="W321" s="137">
        <f ca="1"/>
        <v>0</v>
      </c>
      <c r="X321" s="155">
        <f ca="1"/>
        <v>1.1993990526423248E-3</v>
      </c>
      <c r="Y321" s="155">
        <f ca="1"/>
        <v>2.702697917293162E-3</v>
      </c>
      <c r="Z321" s="155">
        <f ca="1"/>
        <v>6.9432107859795922E-3</v>
      </c>
      <c r="AA321" s="155">
        <f ca="1"/>
        <v>1.2452307801363416E-2</v>
      </c>
      <c r="AB321" s="155">
        <f ca="1"/>
        <v>0</v>
      </c>
      <c r="AC321" s="155">
        <f ca="1"/>
        <v>2.7112952925810951E-2</v>
      </c>
      <c r="AD321" s="155">
        <f ca="1"/>
        <v>4.2550931821905724E-2</v>
      </c>
      <c r="AE321" s="138">
        <f ca="1"/>
        <v>6.6771819689902978E-2</v>
      </c>
      <c r="AH321" s="135">
        <v>1.1000000000000001E-3</v>
      </c>
      <c r="AI321" s="135">
        <v>2.5000000000000001E-3</v>
      </c>
      <c r="AJ321" s="135">
        <v>6.6E-3</v>
      </c>
      <c r="AK321" s="135">
        <v>1.1900000000000001E-2</v>
      </c>
      <c r="AM321" s="135">
        <v>2.6499999999999999E-2</v>
      </c>
      <c r="AN321" s="135">
        <v>4.19E-2</v>
      </c>
      <c r="AO321" s="135">
        <v>6.6199999999999995E-2</v>
      </c>
      <c r="AQ321" s="135">
        <v>1.1999999999999999E-3</v>
      </c>
      <c r="AR321" s="135">
        <v>2.7000000000000001E-3</v>
      </c>
      <c r="AS321" s="135">
        <v>6.8999999999999999E-3</v>
      </c>
      <c r="AT321" s="135">
        <v>1.2500000000000001E-2</v>
      </c>
      <c r="AV321" s="135">
        <v>2.7900000000000001E-2</v>
      </c>
      <c r="AW321" s="135">
        <v>4.3999999999999997E-2</v>
      </c>
      <c r="AX321" s="135">
        <v>6.9400000000000003E-2</v>
      </c>
    </row>
    <row r="322" spans="1:50" s="79" customFormat="1" ht="11.25">
      <c r="A322" s="96">
        <f t="shared" ca="1" si="6"/>
        <v>311</v>
      </c>
      <c r="B322" s="68" t="s">
        <v>107</v>
      </c>
      <c r="C322" s="97">
        <v>0.4</v>
      </c>
      <c r="D322" s="69" t="s">
        <v>66</v>
      </c>
      <c r="E322" s="136" t="s">
        <v>87</v>
      </c>
      <c r="F322" s="154">
        <v>5.0000000000000001E-4</v>
      </c>
      <c r="G322" s="154">
        <v>8.0000000000000004E-4</v>
      </c>
      <c r="H322" s="154">
        <v>1.1999999999999999E-3</v>
      </c>
      <c r="I322" s="154">
        <v>1.6000000000000001E-3</v>
      </c>
      <c r="J322" s="154" t="s">
        <v>87</v>
      </c>
      <c r="K322" s="154">
        <v>2.5999999999999999E-3</v>
      </c>
      <c r="L322" s="154">
        <v>3.2000000000000002E-3</v>
      </c>
      <c r="M322" s="154">
        <v>3.5999999999999999E-3</v>
      </c>
      <c r="N322" s="137" cm="1">
        <f t="array" aca="1" ref="N322:AE322" ca="1">IF(OR(B322="",NOT($J$2)),"",GetStripDefaultProbability(A322,B322,Parameter_Date,CDSRollDate,E322:M322,SpreadCurveMaturities,D322,C322,$J$4,$J$6))</f>
        <v>0</v>
      </c>
      <c r="O322" s="155">
        <f ca="1"/>
        <v>4.6505499562699004E-4</v>
      </c>
      <c r="P322" s="155">
        <f ca="1"/>
        <v>1.4225689316275103E-3</v>
      </c>
      <c r="Q322" s="155">
        <f ca="1"/>
        <v>4.1669498427368001E-3</v>
      </c>
      <c r="R322" s="155">
        <f ca="1"/>
        <v>8.2849185394021641E-3</v>
      </c>
      <c r="S322" s="155">
        <f ca="1"/>
        <v>0</v>
      </c>
      <c r="T322" s="155">
        <f ca="1"/>
        <v>2.2125999467424107E-2</v>
      </c>
      <c r="U322" s="155">
        <f ca="1"/>
        <v>3.7930546679435628E-2</v>
      </c>
      <c r="V322" s="138">
        <f ca="1"/>
        <v>6.0431177472321074E-2</v>
      </c>
      <c r="W322" s="137">
        <f ca="1"/>
        <v>0</v>
      </c>
      <c r="X322" s="155">
        <f ca="1"/>
        <v>5.5803964578249321E-4</v>
      </c>
      <c r="Y322" s="155">
        <f ca="1"/>
        <v>1.5889846351196946E-3</v>
      </c>
      <c r="Z322" s="155">
        <f ca="1"/>
        <v>4.4988388748716801E-3</v>
      </c>
      <c r="AA322" s="155">
        <f ca="1"/>
        <v>8.7806521364153234E-3</v>
      </c>
      <c r="AB322" s="155">
        <f ca="1"/>
        <v>0</v>
      </c>
      <c r="AC322" s="155">
        <f ca="1"/>
        <v>2.2961781030228723E-2</v>
      </c>
      <c r="AD322" s="155">
        <f ca="1"/>
        <v>3.9083432939950424E-2</v>
      </c>
      <c r="AE322" s="138">
        <f ca="1"/>
        <v>6.2045541964390716E-2</v>
      </c>
      <c r="AH322" s="135">
        <v>5.0000000000000001E-4</v>
      </c>
      <c r="AI322" s="135">
        <v>1.4E-3</v>
      </c>
      <c r="AJ322" s="135">
        <v>4.1000000000000003E-3</v>
      </c>
      <c r="AK322" s="135">
        <v>8.3000000000000001E-3</v>
      </c>
      <c r="AM322" s="135">
        <v>2.2499999999999999E-2</v>
      </c>
      <c r="AN322" s="135">
        <v>3.8800000000000001E-2</v>
      </c>
      <c r="AO322" s="135">
        <v>6.1899999999999997E-2</v>
      </c>
      <c r="AQ322" s="135">
        <v>5.0000000000000001E-4</v>
      </c>
      <c r="AR322" s="135">
        <v>1.6000000000000001E-3</v>
      </c>
      <c r="AS322" s="135">
        <v>4.4999999999999997E-3</v>
      </c>
      <c r="AT322" s="135">
        <v>8.8000000000000005E-3</v>
      </c>
      <c r="AV322" s="135">
        <v>2.3599999999999999E-2</v>
      </c>
      <c r="AW322" s="135">
        <v>4.07E-2</v>
      </c>
      <c r="AX322" s="135">
        <v>6.4899999999999999E-2</v>
      </c>
    </row>
    <row r="323" spans="1:50" s="79" customFormat="1" ht="11.25">
      <c r="A323" s="96">
        <f t="shared" ca="1" si="6"/>
        <v>312</v>
      </c>
      <c r="B323" s="68" t="s">
        <v>385</v>
      </c>
      <c r="C323" s="97">
        <v>0.4</v>
      </c>
      <c r="D323" s="69" t="s">
        <v>67</v>
      </c>
      <c r="E323" s="136" t="s">
        <v>87</v>
      </c>
      <c r="F323" s="154" t="s">
        <v>87</v>
      </c>
      <c r="G323" s="154">
        <v>5.9999999999999995E-4</v>
      </c>
      <c r="H323" s="154" t="s">
        <v>87</v>
      </c>
      <c r="I323" s="154">
        <v>1.1999999999999999E-3</v>
      </c>
      <c r="J323" s="154" t="s">
        <v>87</v>
      </c>
      <c r="K323" s="154">
        <v>2.0999999999999999E-3</v>
      </c>
      <c r="L323" s="154">
        <v>3.0000000000000001E-3</v>
      </c>
      <c r="M323" s="154">
        <v>4.1000000000000003E-3</v>
      </c>
      <c r="N323" s="137" cm="1">
        <f t="array" aca="1" ref="N323:AE323" ca="1">IF(OR(B323="",NOT($J$2)),"",GetStripDefaultProbability(A323,B323,Parameter_Date,CDSRollDate,E323:M323,SpreadCurveMaturities,D323,C323,$J$4,$J$6))</f>
        <v>0</v>
      </c>
      <c r="O323" s="155">
        <f ca="1"/>
        <v>0</v>
      </c>
      <c r="P323" s="155">
        <f ca="1"/>
        <v>1.0612503088222036E-3</v>
      </c>
      <c r="Q323" s="155">
        <f ca="1"/>
        <v>0</v>
      </c>
      <c r="R323" s="155">
        <f ca="1"/>
        <v>6.2084733739914411E-3</v>
      </c>
      <c r="S323" s="155">
        <f ca="1"/>
        <v>0</v>
      </c>
      <c r="T323" s="155">
        <f ca="1"/>
        <v>1.8353535802916321E-2</v>
      </c>
      <c r="U323" s="155">
        <f ca="1"/>
        <v>3.7178146484859287E-2</v>
      </c>
      <c r="V323" s="138">
        <f ca="1"/>
        <v>7.3411360212066179E-2</v>
      </c>
      <c r="W323" s="137">
        <f ca="1"/>
        <v>0</v>
      </c>
      <c r="X323" s="155">
        <f ca="1"/>
        <v>0</v>
      </c>
      <c r="Y323" s="155">
        <f ca="1"/>
        <v>1.227726227069903E-3</v>
      </c>
      <c r="Z323" s="155">
        <f ca="1"/>
        <v>0</v>
      </c>
      <c r="AA323" s="155">
        <f ca="1"/>
        <v>6.7052449340427867E-3</v>
      </c>
      <c r="AB323" s="155">
        <f ca="1"/>
        <v>0</v>
      </c>
      <c r="AC323" s="155">
        <f ca="1"/>
        <v>1.9171233768265128E-2</v>
      </c>
      <c r="AD323" s="155">
        <f ca="1"/>
        <v>3.8326428229594978E-2</v>
      </c>
      <c r="AE323" s="138">
        <f ca="1"/>
        <v>7.4980523329691295E-2</v>
      </c>
      <c r="AI323" s="135">
        <v>1E-3</v>
      </c>
      <c r="AK323" s="135">
        <v>6.1999999999999998E-3</v>
      </c>
      <c r="AM323" s="135">
        <v>1.83E-2</v>
      </c>
      <c r="AN323" s="135">
        <v>3.7100000000000001E-2</v>
      </c>
      <c r="AO323" s="135">
        <v>7.3300000000000004E-2</v>
      </c>
      <c r="AR323" s="135">
        <v>1.1999999999999999E-3</v>
      </c>
      <c r="AT323" s="135">
        <v>6.7000000000000002E-3</v>
      </c>
      <c r="AV323" s="135">
        <v>1.9099999999999999E-2</v>
      </c>
      <c r="AW323" s="135">
        <v>3.8899999999999997E-2</v>
      </c>
      <c r="AX323" s="135">
        <v>7.6799999999999993E-2</v>
      </c>
    </row>
    <row r="324" spans="1:50" s="79" customFormat="1" ht="11.25">
      <c r="A324" s="96">
        <f t="shared" ca="1" si="6"/>
        <v>313</v>
      </c>
      <c r="B324" s="68" t="s">
        <v>141</v>
      </c>
      <c r="C324" s="97">
        <v>0.4</v>
      </c>
      <c r="D324" s="69" t="s">
        <v>66</v>
      </c>
      <c r="E324" s="136" t="s">
        <v>87</v>
      </c>
      <c r="F324" s="154">
        <v>2.9999999999999997E-4</v>
      </c>
      <c r="G324" s="154">
        <v>5.0000000000000001E-4</v>
      </c>
      <c r="H324" s="154">
        <v>1E-3</v>
      </c>
      <c r="I324" s="154">
        <v>1.5E-3</v>
      </c>
      <c r="J324" s="154" t="s">
        <v>87</v>
      </c>
      <c r="K324" s="154">
        <v>2.3E-3</v>
      </c>
      <c r="L324" s="154">
        <v>2.8999999999999998E-3</v>
      </c>
      <c r="M324" s="154">
        <v>3.3999999999999998E-3</v>
      </c>
      <c r="N324" s="137" cm="1">
        <f t="array" aca="1" ref="N324:AE324" ca="1">IF(OR(B324="",NOT($J$2)),"",GetStripDefaultProbability(A324,B324,Parameter_Date,CDSRollDate,E324:M324,SpreadCurveMaturities,D324,C324,$J$4,$J$6))</f>
        <v>0</v>
      </c>
      <c r="O324" s="155">
        <f ca="1"/>
        <v>2.7905895862256891E-4</v>
      </c>
      <c r="P324" s="155">
        <f ca="1"/>
        <v>8.8950690353517547E-4</v>
      </c>
      <c r="Q324" s="155">
        <f ca="1"/>
        <v>3.4822317726515006E-3</v>
      </c>
      <c r="R324" s="155">
        <f ca="1"/>
        <v>7.7943826317999898E-3</v>
      </c>
      <c r="S324" s="155">
        <f ca="1"/>
        <v>0</v>
      </c>
      <c r="T324" s="155">
        <f ca="1"/>
        <v>1.9614427206725682E-2</v>
      </c>
      <c r="U324" s="155">
        <f ca="1"/>
        <v>3.4460683371405954E-2</v>
      </c>
      <c r="V324" s="138">
        <f ca="1"/>
        <v>5.7231864739494931E-2</v>
      </c>
      <c r="W324" s="137">
        <f ca="1"/>
        <v>0</v>
      </c>
      <c r="X324" s="155">
        <f ca="1"/>
        <v>3.7206114936716439E-4</v>
      </c>
      <c r="Y324" s="155">
        <f ca="1"/>
        <v>1.0560114432898171E-3</v>
      </c>
      <c r="Z324" s="155">
        <f ca="1"/>
        <v>3.8143490061200991E-3</v>
      </c>
      <c r="AA324" s="155">
        <f ca="1"/>
        <v>8.2903614354675748E-3</v>
      </c>
      <c r="AB324" s="155">
        <f ca="1"/>
        <v>0</v>
      </c>
      <c r="AC324" s="155">
        <f ca="1"/>
        <v>2.0452262209120775E-2</v>
      </c>
      <c r="AD324" s="155">
        <f ca="1"/>
        <v>3.5617523618067026E-2</v>
      </c>
      <c r="AE324" s="138">
        <f ca="1"/>
        <v>5.8852307836441242E-2</v>
      </c>
      <c r="AH324" s="135">
        <v>2.9999999999999997E-4</v>
      </c>
      <c r="AI324" s="135">
        <v>8.9999999999999998E-4</v>
      </c>
      <c r="AJ324" s="135">
        <v>3.5000000000000001E-3</v>
      </c>
      <c r="AK324" s="135">
        <v>7.7999999999999996E-3</v>
      </c>
      <c r="AM324" s="135">
        <v>0.02</v>
      </c>
      <c r="AN324" s="135">
        <v>3.5299999999999998E-2</v>
      </c>
      <c r="AO324" s="135">
        <v>5.8999999999999997E-2</v>
      </c>
      <c r="AQ324" s="135">
        <v>4.0000000000000002E-4</v>
      </c>
      <c r="AR324" s="135">
        <v>1E-3</v>
      </c>
      <c r="AS324" s="135">
        <v>3.8E-3</v>
      </c>
      <c r="AT324" s="135">
        <v>8.3000000000000001E-3</v>
      </c>
      <c r="AV324" s="135">
        <v>2.0899999999999998E-2</v>
      </c>
      <c r="AW324" s="135">
        <v>3.6999999999999998E-2</v>
      </c>
      <c r="AX324" s="135">
        <v>6.1800000000000001E-2</v>
      </c>
    </row>
    <row r="325" spans="1:50" s="79" customFormat="1" ht="11.25">
      <c r="A325" s="96">
        <f t="shared" ca="1" si="6"/>
        <v>314</v>
      </c>
      <c r="B325" s="68" t="s">
        <v>386</v>
      </c>
      <c r="C325" s="97">
        <v>0.4</v>
      </c>
      <c r="D325" s="69" t="s">
        <v>67</v>
      </c>
      <c r="E325" s="136" t="s">
        <v>87</v>
      </c>
      <c r="F325" s="154" t="s">
        <v>87</v>
      </c>
      <c r="G325" s="154">
        <v>4.9600000000000002E-4</v>
      </c>
      <c r="H325" s="154" t="s">
        <v>87</v>
      </c>
      <c r="I325" s="154">
        <v>1.2899999999999999E-3</v>
      </c>
      <c r="J325" s="154" t="s">
        <v>87</v>
      </c>
      <c r="K325" s="154">
        <v>2.15E-3</v>
      </c>
      <c r="L325" s="154">
        <v>2.6740000000000002E-3</v>
      </c>
      <c r="M325" s="154">
        <v>3.199E-3</v>
      </c>
      <c r="N325" s="137" cm="1">
        <f t="array" aca="1" ref="N325:AE325" ca="1">IF(OR(B325="",NOT($J$2)),"",GetStripDefaultProbability(A325,B325,Parameter_Date,CDSRollDate,E325:M325,SpreadCurveMaturities,D325,C325,$J$4,$J$6))</f>
        <v>0</v>
      </c>
      <c r="O325" s="155">
        <f ca="1"/>
        <v>0</v>
      </c>
      <c r="P325" s="155">
        <f ca="1"/>
        <v>8.7738040544427243E-4</v>
      </c>
      <c r="Q325" s="155">
        <f ca="1"/>
        <v>0</v>
      </c>
      <c r="R325" s="155">
        <f ca="1"/>
        <v>6.6919886509649862E-3</v>
      </c>
      <c r="S325" s="155">
        <f ca="1"/>
        <v>0</v>
      </c>
      <c r="T325" s="155">
        <f ca="1"/>
        <v>1.8769266413871999E-2</v>
      </c>
      <c r="U325" s="155">
        <f ca="1"/>
        <v>3.2770631846642972E-2</v>
      </c>
      <c r="V325" s="138">
        <f ca="1"/>
        <v>5.6154722729843787E-2</v>
      </c>
      <c r="W325" s="137">
        <f ca="1"/>
        <v>0</v>
      </c>
      <c r="X325" s="155">
        <f ca="1"/>
        <v>0</v>
      </c>
      <c r="Y325" s="155">
        <f ca="1"/>
        <v>1.0438869661218986E-3</v>
      </c>
      <c r="Z325" s="155">
        <f ca="1"/>
        <v>0</v>
      </c>
      <c r="AA325" s="155">
        <f ca="1"/>
        <v>7.1885185138680363E-3</v>
      </c>
      <c r="AB325" s="155">
        <f ca="1"/>
        <v>0</v>
      </c>
      <c r="AC325" s="155">
        <f ca="1"/>
        <v>1.958661808139095E-2</v>
      </c>
      <c r="AD325" s="155">
        <f ca="1"/>
        <v>3.392337174397686E-2</v>
      </c>
      <c r="AE325" s="138">
        <f ca="1"/>
        <v>5.775536510952195E-2</v>
      </c>
      <c r="AI325" s="135">
        <v>8.9999999999999998E-4</v>
      </c>
      <c r="AK325" s="135">
        <v>6.7000000000000002E-3</v>
      </c>
      <c r="AM325" s="135">
        <v>1.8700000000000001E-2</v>
      </c>
      <c r="AN325" s="135">
        <v>3.27E-2</v>
      </c>
      <c r="AO325" s="135">
        <v>5.6000000000000001E-2</v>
      </c>
      <c r="AR325" s="135">
        <v>1E-3</v>
      </c>
      <c r="AT325" s="135">
        <v>7.1999999999999998E-3</v>
      </c>
      <c r="AV325" s="135">
        <v>1.9599999999999999E-2</v>
      </c>
      <c r="AW325" s="135">
        <v>3.4299999999999997E-2</v>
      </c>
      <c r="AX325" s="135">
        <v>5.8799999999999998E-2</v>
      </c>
    </row>
    <row r="326" spans="1:50" s="79" customFormat="1" ht="11.25">
      <c r="A326" s="96">
        <f t="shared" ca="1" si="6"/>
        <v>315</v>
      </c>
      <c r="B326" s="68" t="s">
        <v>387</v>
      </c>
      <c r="C326" s="97">
        <v>0.4</v>
      </c>
      <c r="D326" s="69" t="s">
        <v>67</v>
      </c>
      <c r="E326" s="136" t="s">
        <v>87</v>
      </c>
      <c r="F326" s="154">
        <v>5.1000000000000004E-3</v>
      </c>
      <c r="G326" s="154">
        <v>5.1000000000000004E-3</v>
      </c>
      <c r="H326" s="154">
        <v>5.1000000000000004E-3</v>
      </c>
      <c r="I326" s="154">
        <v>5.5700000000000003E-3</v>
      </c>
      <c r="J326" s="154" t="s">
        <v>87</v>
      </c>
      <c r="K326" s="154">
        <v>6.0000000000000001E-3</v>
      </c>
      <c r="L326" s="154">
        <v>6.2100000000000002E-3</v>
      </c>
      <c r="M326" s="154">
        <v>6.3E-3</v>
      </c>
      <c r="N326" s="137" cm="1">
        <f t="array" aca="1" ref="N326:AE326" ca="1">IF(OR(B326="",NOT($J$2)),"",GetStripDefaultProbability(A326,B326,Parameter_Date,CDSRollDate,E326:M326,SpreadCurveMaturities,D326,C326,$J$4,$J$6))</f>
        <v>0</v>
      </c>
      <c r="O326" s="155">
        <f ca="1"/>
        <v>4.7250064741137798E-3</v>
      </c>
      <c r="P326" s="155">
        <f ca="1"/>
        <v>8.9847555022402048E-3</v>
      </c>
      <c r="Q326" s="155">
        <f ca="1"/>
        <v>1.7430097280952905E-2</v>
      </c>
      <c r="R326" s="155">
        <f ca="1"/>
        <v>2.8280058915632011E-2</v>
      </c>
      <c r="S326" s="155">
        <f ca="1"/>
        <v>0</v>
      </c>
      <c r="T326" s="155">
        <f ca="1"/>
        <v>5.0095338900820852E-2</v>
      </c>
      <c r="U326" s="155">
        <f ca="1"/>
        <v>7.173347829829102E-2</v>
      </c>
      <c r="V326" s="138">
        <f ca="1"/>
        <v>0.10206853165762142</v>
      </c>
      <c r="W326" s="137">
        <f ca="1"/>
        <v>0</v>
      </c>
      <c r="X326" s="155">
        <f ca="1"/>
        <v>4.8173763948285986E-3</v>
      </c>
      <c r="Y326" s="155">
        <f ca="1"/>
        <v>9.1499109463203387E-3</v>
      </c>
      <c r="Z326" s="155">
        <f ca="1"/>
        <v>1.7757566000687897E-2</v>
      </c>
      <c r="AA326" s="155">
        <f ca="1"/>
        <v>2.8765797441442698E-2</v>
      </c>
      <c r="AB326" s="155">
        <f ca="1"/>
        <v>0</v>
      </c>
      <c r="AC326" s="155">
        <f ca="1"/>
        <v>5.088659638201054E-2</v>
      </c>
      <c r="AD326" s="155">
        <f ca="1"/>
        <v>7.2815824415580099E-2</v>
      </c>
      <c r="AE326" s="138">
        <f ca="1"/>
        <v>0.10356383767040656</v>
      </c>
      <c r="AH326" s="135">
        <v>4.5999999999999999E-3</v>
      </c>
      <c r="AI326" s="135">
        <v>8.8000000000000005E-3</v>
      </c>
      <c r="AJ326" s="135">
        <v>1.7299999999999999E-2</v>
      </c>
      <c r="AK326" s="135">
        <v>2.81E-2</v>
      </c>
      <c r="AM326" s="135">
        <v>4.99E-2</v>
      </c>
      <c r="AN326" s="135">
        <v>7.1599999999999997E-2</v>
      </c>
      <c r="AO326" s="135">
        <v>0.1019</v>
      </c>
      <c r="AQ326" s="135">
        <v>4.8999999999999998E-3</v>
      </c>
      <c r="AR326" s="135">
        <v>9.2999999999999992E-3</v>
      </c>
      <c r="AS326" s="135">
        <v>1.8100000000000002E-2</v>
      </c>
      <c r="AT326" s="135">
        <v>2.9499999999999998E-2</v>
      </c>
      <c r="AV326" s="135">
        <v>5.2400000000000002E-2</v>
      </c>
      <c r="AW326" s="135">
        <v>7.4999999999999997E-2</v>
      </c>
      <c r="AX326" s="135">
        <v>0.1067</v>
      </c>
    </row>
    <row r="327" spans="1:50" s="79" customFormat="1" ht="11.25">
      <c r="A327" s="96">
        <f t="shared" ca="1" si="6"/>
        <v>316</v>
      </c>
      <c r="B327" s="68" t="s">
        <v>388</v>
      </c>
      <c r="C327" s="97">
        <v>0.4</v>
      </c>
      <c r="D327" s="69" t="s">
        <v>67</v>
      </c>
      <c r="E327" s="136" t="s">
        <v>87</v>
      </c>
      <c r="F327" s="154" t="s">
        <v>87</v>
      </c>
      <c r="G327" s="154">
        <v>1.225E-3</v>
      </c>
      <c r="H327" s="154" t="s">
        <v>87</v>
      </c>
      <c r="I327" s="154">
        <v>2.4499999999999999E-3</v>
      </c>
      <c r="J327" s="154" t="s">
        <v>87</v>
      </c>
      <c r="K327" s="154">
        <v>4.8999999999999998E-3</v>
      </c>
      <c r="L327" s="154">
        <v>5.6350000000000003E-3</v>
      </c>
      <c r="M327" s="154">
        <v>6.3699999999999998E-3</v>
      </c>
      <c r="N327" s="137" cm="1">
        <f t="array" aca="1" ref="N327:AE327" ca="1">IF(OR(B327="",NOT($J$2)),"",GetStripDefaultProbability(A327,B327,Parameter_Date,CDSRollDate,E327:M327,SpreadCurveMaturities,D327,C327,$J$4,$J$6))</f>
        <v>0</v>
      </c>
      <c r="O327" s="155">
        <f ca="1"/>
        <v>0</v>
      </c>
      <c r="P327" s="155">
        <f ca="1"/>
        <v>2.1655305295348315E-3</v>
      </c>
      <c r="Q327" s="155">
        <f ca="1"/>
        <v>0</v>
      </c>
      <c r="R327" s="155">
        <f ca="1"/>
        <v>1.2642494209117117E-2</v>
      </c>
      <c r="S327" s="155">
        <f ca="1"/>
        <v>0</v>
      </c>
      <c r="T327" s="155">
        <f ca="1"/>
        <v>4.2706397069410817E-2</v>
      </c>
      <c r="U327" s="155">
        <f ca="1"/>
        <v>6.7889266660983938E-2</v>
      </c>
      <c r="V327" s="138">
        <f ca="1"/>
        <v>0.10817212843031399</v>
      </c>
      <c r="W327" s="137">
        <f ca="1"/>
        <v>0</v>
      </c>
      <c r="X327" s="155">
        <f ca="1"/>
        <v>0</v>
      </c>
      <c r="Y327" s="155">
        <f ca="1"/>
        <v>2.3318224164156076E-3</v>
      </c>
      <c r="Z327" s="155">
        <f ca="1"/>
        <v>0</v>
      </c>
      <c r="AA327" s="155">
        <f ca="1"/>
        <v>1.3136049562856522E-2</v>
      </c>
      <c r="AB327" s="155">
        <f ca="1"/>
        <v>0</v>
      </c>
      <c r="AC327" s="155">
        <f ca="1"/>
        <v>4.3503809437220764E-2</v>
      </c>
      <c r="AD327" s="155">
        <f ca="1"/>
        <v>6.9001611558539566E-2</v>
      </c>
      <c r="AE327" s="138">
        <f ca="1"/>
        <v>0.10970258337838046</v>
      </c>
      <c r="AI327" s="135">
        <v>2.0999999999999999E-3</v>
      </c>
      <c r="AK327" s="135">
        <v>1.26E-2</v>
      </c>
      <c r="AM327" s="135">
        <v>4.2599999999999999E-2</v>
      </c>
      <c r="AN327" s="135">
        <v>6.7699999999999996E-2</v>
      </c>
      <c r="AO327" s="135">
        <v>0.108</v>
      </c>
      <c r="AR327" s="135">
        <v>2.3E-3</v>
      </c>
      <c r="AT327" s="135">
        <v>1.32E-2</v>
      </c>
      <c r="AV327" s="135">
        <v>4.4600000000000001E-2</v>
      </c>
      <c r="AW327" s="135">
        <v>7.0999999999999994E-2</v>
      </c>
      <c r="AX327" s="135">
        <v>0.11310000000000001</v>
      </c>
    </row>
    <row r="328" spans="1:50" s="79" customFormat="1" ht="11.25">
      <c r="A328" s="96">
        <f t="shared" ca="1" si="6"/>
        <v>317</v>
      </c>
      <c r="B328" s="68" t="s">
        <v>389</v>
      </c>
      <c r="C328" s="97">
        <v>0.2</v>
      </c>
      <c r="D328" s="69" t="s">
        <v>66</v>
      </c>
      <c r="E328" s="136" t="s">
        <v>87</v>
      </c>
      <c r="F328" s="154">
        <v>9.3999999999999997E-4</v>
      </c>
      <c r="G328" s="154">
        <v>1.01E-3</v>
      </c>
      <c r="H328" s="154">
        <v>2.0100000000000001E-3</v>
      </c>
      <c r="I328" s="154">
        <v>3.0100000000000001E-3</v>
      </c>
      <c r="J328" s="154" t="s">
        <v>87</v>
      </c>
      <c r="K328" s="154">
        <v>4.7999999999999996E-3</v>
      </c>
      <c r="L328" s="154">
        <v>5.4999999999999997E-3</v>
      </c>
      <c r="M328" s="154">
        <v>6.1999999999999998E-3</v>
      </c>
      <c r="N328" s="137" cm="1">
        <f t="array" aca="1" ref="N328:AE328" ca="1">IF(OR(B328="",NOT($J$2)),"",GetStripDefaultProbability(A328,B328,Parameter_Date,CDSRollDate,E328:M328,SpreadCurveMaturities,D328,C328,$J$4,$J$6))</f>
        <v>0</v>
      </c>
      <c r="O328" s="155">
        <f ca="1"/>
        <v>6.5566502143743488E-4</v>
      </c>
      <c r="P328" s="155">
        <f ca="1"/>
        <v>1.3430717092215438E-3</v>
      </c>
      <c r="Q328" s="155">
        <f ca="1"/>
        <v>5.2415450448183298E-3</v>
      </c>
      <c r="R328" s="155">
        <f ca="1"/>
        <v>1.1709693404617694E-2</v>
      </c>
      <c r="S328" s="155">
        <f ca="1"/>
        <v>0</v>
      </c>
      <c r="T328" s="155">
        <f ca="1"/>
        <v>3.0578466731734144E-2</v>
      </c>
      <c r="U328" s="155">
        <f ca="1"/>
        <v>4.8643273771622808E-2</v>
      </c>
      <c r="V328" s="138">
        <f ca="1"/>
        <v>7.7448005142491616E-2</v>
      </c>
      <c r="W328" s="137">
        <f ca="1"/>
        <v>0</v>
      </c>
      <c r="X328" s="155">
        <f ca="1"/>
        <v>7.2539061511855962E-4</v>
      </c>
      <c r="Y328" s="155">
        <f ca="1"/>
        <v>1.4678960235701144E-3</v>
      </c>
      <c r="Z328" s="155">
        <f ca="1"/>
        <v>5.4902035749526679E-3</v>
      </c>
      <c r="AA328" s="155">
        <f ca="1"/>
        <v>1.2080232789129064E-2</v>
      </c>
      <c r="AB328" s="155">
        <f ca="1"/>
        <v>0</v>
      </c>
      <c r="AC328" s="155">
        <f ca="1"/>
        <v>3.1199758687429968E-2</v>
      </c>
      <c r="AD328" s="155">
        <f ca="1"/>
        <v>4.9498314108687325E-2</v>
      </c>
      <c r="AE328" s="138">
        <f ca="1"/>
        <v>7.8635241457421623E-2</v>
      </c>
      <c r="AH328" s="135">
        <v>5.9999999999999995E-4</v>
      </c>
      <c r="AI328" s="135">
        <v>1.2999999999999999E-3</v>
      </c>
      <c r="AJ328" s="135">
        <v>5.1999999999999998E-3</v>
      </c>
      <c r="AK328" s="135">
        <v>1.17E-2</v>
      </c>
      <c r="AM328" s="135">
        <v>3.1099999999999999E-2</v>
      </c>
      <c r="AN328" s="135">
        <v>4.9599999999999998E-2</v>
      </c>
      <c r="AO328" s="135">
        <v>7.9200000000000007E-2</v>
      </c>
      <c r="AQ328" s="135">
        <v>6.9999999999999999E-4</v>
      </c>
      <c r="AR328" s="135">
        <v>1.4E-3</v>
      </c>
      <c r="AS328" s="135">
        <v>5.4999999999999997E-3</v>
      </c>
      <c r="AT328" s="135">
        <v>1.23E-2</v>
      </c>
      <c r="AV328" s="135">
        <v>3.27E-2</v>
      </c>
      <c r="AW328" s="135">
        <v>5.1999999999999998E-2</v>
      </c>
      <c r="AX328" s="135">
        <v>8.3000000000000004E-2</v>
      </c>
    </row>
    <row r="329" spans="1:50" s="79" customFormat="1" ht="11.25">
      <c r="A329" s="96">
        <f t="shared" ca="1" si="6"/>
        <v>318</v>
      </c>
      <c r="B329" s="68" t="s">
        <v>390</v>
      </c>
      <c r="C329" s="97">
        <v>0.2</v>
      </c>
      <c r="D329" s="69" t="s">
        <v>66</v>
      </c>
      <c r="E329" s="136" t="s">
        <v>87</v>
      </c>
      <c r="F329" s="154">
        <v>1.2700000000000001E-3</v>
      </c>
      <c r="G329" s="154">
        <v>1.7899999999999999E-3</v>
      </c>
      <c r="H329" s="154">
        <v>2.5899999999999999E-3</v>
      </c>
      <c r="I329" s="154">
        <v>3.2799999999999999E-3</v>
      </c>
      <c r="J329" s="154" t="s">
        <v>87</v>
      </c>
      <c r="K329" s="154">
        <v>4.5999999999999999E-3</v>
      </c>
      <c r="L329" s="154">
        <v>5.3200000000000001E-3</v>
      </c>
      <c r="M329" s="154">
        <v>5.8999999999999999E-3</v>
      </c>
      <c r="N329" s="137" cm="1">
        <f t="array" aca="1" ref="N329:AE329" ca="1">IF(OR(B329="",NOT($J$2)),"",GetStripDefaultProbability(A329,B329,Parameter_Date,CDSRollDate,E329:M329,SpreadCurveMaturities,D329,C329,$J$4,$J$6))</f>
        <v>0</v>
      </c>
      <c r="O329" s="155">
        <f ca="1"/>
        <v>8.8574333218494061E-4</v>
      </c>
      <c r="P329" s="155">
        <f ca="1"/>
        <v>2.3843304794792797E-3</v>
      </c>
      <c r="Q329" s="155">
        <f ca="1"/>
        <v>6.7337709478526575E-3</v>
      </c>
      <c r="R329" s="155">
        <f ca="1"/>
        <v>1.2698181893479488E-2</v>
      </c>
      <c r="S329" s="155">
        <f ca="1"/>
        <v>0</v>
      </c>
      <c r="T329" s="155">
        <f ca="1"/>
        <v>2.924567827312452E-2</v>
      </c>
      <c r="U329" s="155">
        <f ca="1"/>
        <v>4.7016024933289713E-2</v>
      </c>
      <c r="V329" s="138">
        <f ca="1"/>
        <v>7.372195367575618E-2</v>
      </c>
      <c r="W329" s="137">
        <f ca="1"/>
        <v>0</v>
      </c>
      <c r="X329" s="155">
        <f ca="1"/>
        <v>9.5545229895976913E-4</v>
      </c>
      <c r="Y329" s="155">
        <f ca="1"/>
        <v>2.5090246446282105E-3</v>
      </c>
      <c r="Z329" s="155">
        <f ca="1"/>
        <v>6.9820564681380981E-3</v>
      </c>
      <c r="AA329" s="155">
        <f ca="1"/>
        <v>1.3068350664267592E-2</v>
      </c>
      <c r="AB329" s="155">
        <f ca="1"/>
        <v>0</v>
      </c>
      <c r="AC329" s="155">
        <f ca="1"/>
        <v>2.9867490562671462E-2</v>
      </c>
      <c r="AD329" s="155">
        <f ca="1"/>
        <v>4.7871876663119095E-2</v>
      </c>
      <c r="AE329" s="138">
        <f ca="1"/>
        <v>7.4913534130523041E-2</v>
      </c>
      <c r="AH329" s="135">
        <v>8.9999999999999998E-4</v>
      </c>
      <c r="AI329" s="135">
        <v>2.3E-3</v>
      </c>
      <c r="AJ329" s="135">
        <v>6.7000000000000002E-3</v>
      </c>
      <c r="AK329" s="135">
        <v>1.2699999999999999E-2</v>
      </c>
      <c r="AM329" s="135">
        <v>2.9600000000000001E-2</v>
      </c>
      <c r="AN329" s="135">
        <v>4.7800000000000002E-2</v>
      </c>
      <c r="AO329" s="135">
        <v>7.51E-2</v>
      </c>
      <c r="AQ329" s="135">
        <v>8.9999999999999998E-4</v>
      </c>
      <c r="AR329" s="135">
        <v>2.5000000000000001E-3</v>
      </c>
      <c r="AS329" s="135">
        <v>7.0000000000000001E-3</v>
      </c>
      <c r="AT329" s="135">
        <v>1.3299999999999999E-2</v>
      </c>
      <c r="AV329" s="135">
        <v>3.1099999999999999E-2</v>
      </c>
      <c r="AW329" s="135">
        <v>5.0099999999999999E-2</v>
      </c>
      <c r="AX329" s="135">
        <v>7.8700000000000006E-2</v>
      </c>
    </row>
    <row r="330" spans="1:50" s="79" customFormat="1" ht="11.25">
      <c r="A330" s="96">
        <f t="shared" ca="1" si="6"/>
        <v>319</v>
      </c>
      <c r="B330" s="68" t="s">
        <v>391</v>
      </c>
      <c r="C330" s="97">
        <v>0.2</v>
      </c>
      <c r="D330" s="69" t="s">
        <v>66</v>
      </c>
      <c r="E330" s="136" t="s">
        <v>87</v>
      </c>
      <c r="F330" s="154">
        <v>9.3999999999999997E-4</v>
      </c>
      <c r="G330" s="154">
        <v>1.66E-3</v>
      </c>
      <c r="H330" s="154">
        <v>2.5699999999999998E-3</v>
      </c>
      <c r="I330" s="154">
        <v>3.4299999999999999E-3</v>
      </c>
      <c r="J330" s="154" t="s">
        <v>87</v>
      </c>
      <c r="K330" s="154">
        <v>4.7999999999999996E-3</v>
      </c>
      <c r="L330" s="154">
        <v>5.5700000000000003E-3</v>
      </c>
      <c r="M330" s="154">
        <v>6.1999999999999998E-3</v>
      </c>
      <c r="N330" s="137" cm="1">
        <f t="array" aca="1" ref="N330:AE330" ca="1">IF(OR(B330="",NOT($J$2)),"",GetStripDefaultProbability(A330,B330,Parameter_Date,CDSRollDate,E330:M330,SpreadCurveMaturities,D330,C330,$J$4,$J$6))</f>
        <v>0</v>
      </c>
      <c r="O330" s="155">
        <f ca="1"/>
        <v>6.5566502143743488E-4</v>
      </c>
      <c r="P330" s="155">
        <f ca="1"/>
        <v>2.2144526376741691E-3</v>
      </c>
      <c r="Q330" s="155">
        <f ca="1"/>
        <v>6.6899785385010624E-3</v>
      </c>
      <c r="R330" s="155">
        <f ca="1"/>
        <v>1.3299103637017917E-2</v>
      </c>
      <c r="S330" s="155">
        <f ca="1"/>
        <v>0</v>
      </c>
      <c r="T330" s="155">
        <f ca="1"/>
        <v>3.0526105091480016E-2</v>
      </c>
      <c r="U330" s="155">
        <f ca="1"/>
        <v>4.9210353038420918E-2</v>
      </c>
      <c r="V330" s="138">
        <f ca="1"/>
        <v>7.7383080543439786E-2</v>
      </c>
      <c r="W330" s="137">
        <f ca="1"/>
        <v>0</v>
      </c>
      <c r="X330" s="155">
        <f ca="1"/>
        <v>7.2539061511855962E-4</v>
      </c>
      <c r="Y330" s="155">
        <f ca="1"/>
        <v>2.339168036217365E-3</v>
      </c>
      <c r="Z330" s="155">
        <f ca="1"/>
        <v>6.9382750055261289E-3</v>
      </c>
      <c r="AA330" s="155">
        <f ca="1"/>
        <v>1.3669047104438392E-2</v>
      </c>
      <c r="AB330" s="155">
        <f ca="1"/>
        <v>0</v>
      </c>
      <c r="AC330" s="155">
        <f ca="1"/>
        <v>3.1147154853438774E-2</v>
      </c>
      <c r="AD330" s="155">
        <f ca="1"/>
        <v>5.0064373353122082E-2</v>
      </c>
      <c r="AE330" s="138">
        <f ca="1"/>
        <v>7.8569903663757601E-2</v>
      </c>
      <c r="AH330" s="135">
        <v>5.9999999999999995E-4</v>
      </c>
      <c r="AI330" s="135">
        <v>2.2000000000000001E-3</v>
      </c>
      <c r="AJ330" s="135">
        <v>6.6E-3</v>
      </c>
      <c r="AK330" s="135">
        <v>1.3299999999999999E-2</v>
      </c>
      <c r="AM330" s="135">
        <v>3.09E-2</v>
      </c>
      <c r="AN330" s="135">
        <v>0.05</v>
      </c>
      <c r="AO330" s="135">
        <v>7.8799999999999995E-2</v>
      </c>
      <c r="AQ330" s="135">
        <v>6.9999999999999999E-4</v>
      </c>
      <c r="AR330" s="135">
        <v>2.3E-3</v>
      </c>
      <c r="AS330" s="135">
        <v>7.0000000000000001E-3</v>
      </c>
      <c r="AT330" s="135">
        <v>1.3899999999999999E-2</v>
      </c>
      <c r="AV330" s="135">
        <v>3.2399999999999998E-2</v>
      </c>
      <c r="AW330" s="135">
        <v>5.2499999999999998E-2</v>
      </c>
      <c r="AX330" s="135">
        <v>8.2600000000000007E-2</v>
      </c>
    </row>
    <row r="331" spans="1:50" s="79" customFormat="1" ht="11.25">
      <c r="A331" s="96">
        <f t="shared" ref="A331:A361" ca="1" si="7">IF(B331="","",A330+1)</f>
        <v>320</v>
      </c>
      <c r="B331" s="68" t="s">
        <v>392</v>
      </c>
      <c r="C331" s="97">
        <v>0.2</v>
      </c>
      <c r="D331" s="69" t="s">
        <v>66</v>
      </c>
      <c r="E331" s="136" t="s">
        <v>87</v>
      </c>
      <c r="F331" s="154">
        <v>1.1100000000000001E-3</v>
      </c>
      <c r="G331" s="154">
        <v>1.73E-3</v>
      </c>
      <c r="H331" s="154">
        <v>2.5899999999999999E-3</v>
      </c>
      <c r="I331" s="154">
        <v>3.3500000000000001E-3</v>
      </c>
      <c r="J331" s="154" t="s">
        <v>87</v>
      </c>
      <c r="K331" s="154">
        <v>4.7999999999999996E-3</v>
      </c>
      <c r="L331" s="154">
        <v>5.5799999999999999E-3</v>
      </c>
      <c r="M331" s="154">
        <v>6.1999999999999998E-3</v>
      </c>
      <c r="N331" s="137" cm="1">
        <f t="array" aca="1" ref="N331:AE331" ca="1">IF(OR(B331="",NOT($J$2)),"",GetStripDefaultProbability(A331,B331,Parameter_Date,CDSRollDate,E331:M331,SpreadCurveMaturities,D331,C331,$J$4,$J$6))</f>
        <v>0</v>
      </c>
      <c r="O331" s="155">
        <f ca="1"/>
        <v>7.7419682672918988E-4</v>
      </c>
      <c r="P331" s="155">
        <f ca="1"/>
        <v>2.3060332499106329E-3</v>
      </c>
      <c r="Q331" s="155">
        <f ca="1"/>
        <v>6.7378663504154002E-3</v>
      </c>
      <c r="R331" s="155">
        <f ca="1"/>
        <v>1.297794285657361E-2</v>
      </c>
      <c r="S331" s="155">
        <f ca="1"/>
        <v>0</v>
      </c>
      <c r="T331" s="155">
        <f ca="1"/>
        <v>3.0516580517083836E-2</v>
      </c>
      <c r="U331" s="155">
        <f ca="1"/>
        <v>4.9290115465439044E-2</v>
      </c>
      <c r="V331" s="138">
        <f ca="1"/>
        <v>7.7373399447278057E-2</v>
      </c>
      <c r="W331" s="137">
        <f ca="1"/>
        <v>0</v>
      </c>
      <c r="X331" s="155">
        <f ca="1"/>
        <v>8.4391387662108297E-4</v>
      </c>
      <c r="Y331" s="155">
        <f ca="1"/>
        <v>2.4307372016023621E-3</v>
      </c>
      <c r="Z331" s="155">
        <f ca="1"/>
        <v>6.9861508469827305E-3</v>
      </c>
      <c r="AA331" s="155">
        <f ca="1"/>
        <v>1.3348006736679352E-2</v>
      </c>
      <c r="AB331" s="155">
        <f ca="1"/>
        <v>0</v>
      </c>
      <c r="AC331" s="155">
        <f ca="1"/>
        <v>3.1137615177568301E-2</v>
      </c>
      <c r="AD331" s="155">
        <f ca="1"/>
        <v>5.0144110125407204E-2</v>
      </c>
      <c r="AE331" s="138">
        <f ca="1"/>
        <v>7.856028136737947E-2</v>
      </c>
      <c r="AH331" s="135">
        <v>8.0000000000000004E-4</v>
      </c>
      <c r="AI331" s="135">
        <v>2.3E-3</v>
      </c>
      <c r="AJ331" s="135">
        <v>6.7000000000000002E-3</v>
      </c>
      <c r="AK331" s="135">
        <v>1.29E-2</v>
      </c>
      <c r="AM331" s="135">
        <v>3.09E-2</v>
      </c>
      <c r="AN331" s="135">
        <v>5.0099999999999999E-2</v>
      </c>
      <c r="AO331" s="135">
        <v>7.8899999999999998E-2</v>
      </c>
      <c r="AQ331" s="135">
        <v>8.0000000000000004E-4</v>
      </c>
      <c r="AR331" s="135">
        <v>2.3999999999999998E-3</v>
      </c>
      <c r="AS331" s="135">
        <v>7.0000000000000001E-3</v>
      </c>
      <c r="AT331" s="135">
        <v>1.3599999999999999E-2</v>
      </c>
      <c r="AV331" s="135">
        <v>3.2500000000000001E-2</v>
      </c>
      <c r="AW331" s="135">
        <v>5.2600000000000001E-2</v>
      </c>
      <c r="AX331" s="135">
        <v>8.2600000000000007E-2</v>
      </c>
    </row>
    <row r="332" spans="1:50" s="79" customFormat="1" ht="11.25">
      <c r="A332" s="96">
        <f t="shared" ca="1" si="7"/>
        <v>321</v>
      </c>
      <c r="B332" s="68" t="s">
        <v>393</v>
      </c>
      <c r="C332" s="97">
        <v>0.2</v>
      </c>
      <c r="D332" s="69" t="s">
        <v>66</v>
      </c>
      <c r="E332" s="136" t="s">
        <v>87</v>
      </c>
      <c r="F332" s="154">
        <v>1.06E-3</v>
      </c>
      <c r="G332" s="154">
        <v>1.5299999999999999E-3</v>
      </c>
      <c r="H332" s="154">
        <v>2.47E-3</v>
      </c>
      <c r="I332" s="154">
        <v>3.29E-3</v>
      </c>
      <c r="J332" s="154" t="s">
        <v>87</v>
      </c>
      <c r="K332" s="154">
        <v>4.7000000000000002E-3</v>
      </c>
      <c r="L332" s="154">
        <v>5.4200000000000003E-3</v>
      </c>
      <c r="M332" s="154">
        <v>6.0000000000000001E-3</v>
      </c>
      <c r="N332" s="137" cm="1">
        <f t="array" aca="1" ref="N332:AE332" ca="1">IF(OR(B332="",NOT($J$2)),"",GetStripDefaultProbability(A332,B332,Parameter_Date,CDSRollDate,E332:M332,SpreadCurveMaturities,D332,C332,$J$4,$J$6))</f>
        <v>0</v>
      </c>
      <c r="O332" s="155">
        <f ca="1"/>
        <v>7.393359903289376E-4</v>
      </c>
      <c r="P332" s="155">
        <f ca="1"/>
        <v>2.038635635445929E-3</v>
      </c>
      <c r="Q332" s="155">
        <f ca="1"/>
        <v>6.4303007096775389E-3</v>
      </c>
      <c r="R332" s="155">
        <f ca="1"/>
        <v>1.275836707525102E-2</v>
      </c>
      <c r="S332" s="155">
        <f ca="1"/>
        <v>0</v>
      </c>
      <c r="T332" s="155">
        <f ca="1"/>
        <v>2.9899811903719264E-2</v>
      </c>
      <c r="U332" s="155">
        <f ca="1"/>
        <v>4.7905543815147889E-2</v>
      </c>
      <c r="V332" s="138">
        <f ca="1"/>
        <v>7.4951596400739451E-2</v>
      </c>
      <c r="W332" s="137">
        <f ca="1"/>
        <v>0</v>
      </c>
      <c r="X332" s="155">
        <f ca="1"/>
        <v>8.0905555784493988E-4</v>
      </c>
      <c r="Y332" s="155">
        <f ca="1"/>
        <v>2.163373009747116E-3</v>
      </c>
      <c r="Z332" s="155">
        <f ca="1"/>
        <v>6.6786620880503467E-3</v>
      </c>
      <c r="AA332" s="155">
        <f ca="1"/>
        <v>1.3128513280829313E-2</v>
      </c>
      <c r="AB332" s="155">
        <f ca="1"/>
        <v>0</v>
      </c>
      <c r="AC332" s="155">
        <f ca="1"/>
        <v>3.0521302674813011E-2</v>
      </c>
      <c r="AD332" s="155">
        <f ca="1"/>
        <v>4.876075315989048E-2</v>
      </c>
      <c r="AE332" s="138">
        <f ca="1"/>
        <v>7.6141645111202694E-2</v>
      </c>
      <c r="AH332" s="135">
        <v>6.9999999999999999E-4</v>
      </c>
      <c r="AI332" s="135">
        <v>2E-3</v>
      </c>
      <c r="AJ332" s="135">
        <v>6.4000000000000003E-3</v>
      </c>
      <c r="AK332" s="135">
        <v>1.2699999999999999E-2</v>
      </c>
      <c r="AM332" s="135">
        <v>3.0300000000000001E-2</v>
      </c>
      <c r="AN332" s="135">
        <v>4.87E-2</v>
      </c>
      <c r="AO332" s="135">
        <v>7.6300000000000007E-2</v>
      </c>
      <c r="AQ332" s="135">
        <v>8.0000000000000004E-4</v>
      </c>
      <c r="AR332" s="135">
        <v>2.0999999999999999E-3</v>
      </c>
      <c r="AS332" s="135">
        <v>6.7000000000000002E-3</v>
      </c>
      <c r="AT332" s="135">
        <v>1.34E-2</v>
      </c>
      <c r="AV332" s="135">
        <v>3.1800000000000002E-2</v>
      </c>
      <c r="AW332" s="135">
        <v>5.11E-2</v>
      </c>
      <c r="AX332" s="135">
        <v>0.08</v>
      </c>
    </row>
    <row r="333" spans="1:50" s="79" customFormat="1" ht="11.25">
      <c r="A333" s="96">
        <f t="shared" ca="1" si="7"/>
        <v>322</v>
      </c>
      <c r="B333" s="68" t="s">
        <v>112</v>
      </c>
      <c r="C333" s="97">
        <v>0.4</v>
      </c>
      <c r="D333" s="69" t="s">
        <v>66</v>
      </c>
      <c r="E333" s="136" t="s">
        <v>87</v>
      </c>
      <c r="F333" s="154">
        <v>1.15E-3</v>
      </c>
      <c r="G333" s="154">
        <v>1.81E-3</v>
      </c>
      <c r="H333" s="154">
        <v>2.8E-3</v>
      </c>
      <c r="I333" s="154">
        <v>3.5000000000000001E-3</v>
      </c>
      <c r="J333" s="154" t="s">
        <v>87</v>
      </c>
      <c r="K333" s="154">
        <v>4.5999999999999999E-3</v>
      </c>
      <c r="L333" s="154">
        <v>5.1999999999999998E-3</v>
      </c>
      <c r="M333" s="154">
        <v>5.7000000000000002E-3</v>
      </c>
      <c r="N333" s="137" cm="1">
        <f t="array" aca="1" ref="N333:AE333" ca="1">IF(OR(B333="",NOT($J$2)),"",GetStripDefaultProbability(A333,B333,Parameter_Date,CDSRollDate,E333:M333,SpreadCurveMaturities,D333,C333,$J$4,$J$6))</f>
        <v>0</v>
      </c>
      <c r="O333" s="155">
        <f ca="1"/>
        <v>1.0693031837868405E-3</v>
      </c>
      <c r="P333" s="155">
        <f ca="1"/>
        <v>3.2159117106301816E-3</v>
      </c>
      <c r="Q333" s="155">
        <f ca="1"/>
        <v>9.7044457131680861E-3</v>
      </c>
      <c r="R333" s="155">
        <f ca="1"/>
        <v>1.8032917170507035E-2</v>
      </c>
      <c r="S333" s="155">
        <f ca="1"/>
        <v>0</v>
      </c>
      <c r="T333" s="155">
        <f ca="1"/>
        <v>3.8833654047241262E-2</v>
      </c>
      <c r="U333" s="155">
        <f ca="1"/>
        <v>6.0865409669501935E-2</v>
      </c>
      <c r="V333" s="138">
        <f ca="1"/>
        <v>9.4018655382655525E-2</v>
      </c>
      <c r="W333" s="137">
        <f ca="1"/>
        <v>0</v>
      </c>
      <c r="X333" s="155">
        <f ca="1"/>
        <v>1.1622300733186153E-3</v>
      </c>
      <c r="Y333" s="155">
        <f ca="1"/>
        <v>3.3820285485609558E-3</v>
      </c>
      <c r="Z333" s="155">
        <f ca="1"/>
        <v>1.0034489220950848E-2</v>
      </c>
      <c r="AA333" s="155">
        <f ca="1"/>
        <v>1.8523777986476642E-2</v>
      </c>
      <c r="AB333" s="155">
        <f ca="1"/>
        <v>0</v>
      </c>
      <c r="AC333" s="155">
        <f ca="1"/>
        <v>3.9654613654276916E-2</v>
      </c>
      <c r="AD333" s="155">
        <f ca="1"/>
        <v>6.1990291108670936E-2</v>
      </c>
      <c r="AE333" s="138">
        <f ca="1"/>
        <v>9.5572318519983601E-2</v>
      </c>
      <c r="AH333" s="135">
        <v>1E-3</v>
      </c>
      <c r="AI333" s="135">
        <v>3.2000000000000002E-3</v>
      </c>
      <c r="AJ333" s="135">
        <v>9.5999999999999992E-3</v>
      </c>
      <c r="AK333" s="135">
        <v>1.7999999999999999E-2</v>
      </c>
      <c r="AM333" s="135">
        <v>3.9199999999999999E-2</v>
      </c>
      <c r="AN333" s="135">
        <v>6.1600000000000002E-2</v>
      </c>
      <c r="AO333" s="135">
        <v>9.5399999999999999E-2</v>
      </c>
      <c r="AQ333" s="135">
        <v>1.1000000000000001E-3</v>
      </c>
      <c r="AR333" s="135">
        <v>3.3E-3</v>
      </c>
      <c r="AS333" s="135">
        <v>1.01E-2</v>
      </c>
      <c r="AT333" s="135">
        <v>1.89E-2</v>
      </c>
      <c r="AV333" s="135">
        <v>4.1099999999999998E-2</v>
      </c>
      <c r="AW333" s="135">
        <v>6.4600000000000005E-2</v>
      </c>
      <c r="AX333" s="135">
        <v>9.9900000000000003E-2</v>
      </c>
    </row>
    <row r="334" spans="1:50" s="79" customFormat="1" ht="11.25">
      <c r="A334" s="96">
        <f t="shared" ca="1" si="7"/>
        <v>323</v>
      </c>
      <c r="B334" s="68" t="s">
        <v>394</v>
      </c>
      <c r="C334" s="97">
        <v>0.2</v>
      </c>
      <c r="D334" s="69" t="s">
        <v>67</v>
      </c>
      <c r="E334" s="136" t="s">
        <v>87</v>
      </c>
      <c r="F334" s="154">
        <v>1.6299999999999999E-3</v>
      </c>
      <c r="G334" s="154">
        <v>1.8400000000000001E-3</v>
      </c>
      <c r="H334" s="154">
        <v>2.2399999999999998E-3</v>
      </c>
      <c r="I334" s="154">
        <v>2.8E-3</v>
      </c>
      <c r="J334" s="154" t="s">
        <v>87</v>
      </c>
      <c r="K334" s="154">
        <v>4.5999999999999999E-3</v>
      </c>
      <c r="L334" s="154">
        <v>4.9399999999999999E-3</v>
      </c>
      <c r="M334" s="154">
        <v>5.4999999999999997E-3</v>
      </c>
      <c r="N334" s="137" cm="1">
        <f t="array" aca="1" ref="N334:AE334" ca="1">IF(OR(B334="",NOT($J$2)),"",GetStripDefaultProbability(A334,B334,Parameter_Date,CDSRollDate,E334:M334,SpreadCurveMaturities,D334,C334,$J$4,$J$6))</f>
        <v>0</v>
      </c>
      <c r="O334" s="155">
        <f ca="1"/>
        <v>1.1346475103697351E-3</v>
      </c>
      <c r="P334" s="155">
        <f ca="1"/>
        <v>2.4428531113326324E-3</v>
      </c>
      <c r="Q334" s="155">
        <f ca="1"/>
        <v>5.8051987668507055E-3</v>
      </c>
      <c r="R334" s="155">
        <f ca="1"/>
        <v>1.0844584628916687E-2</v>
      </c>
      <c r="S334" s="155">
        <f ca="1"/>
        <v>0</v>
      </c>
      <c r="T334" s="155">
        <f ca="1"/>
        <v>2.9950005492322851E-2</v>
      </c>
      <c r="U334" s="155">
        <f ca="1"/>
        <v>4.4466230000594686E-2</v>
      </c>
      <c r="V334" s="138">
        <f ca="1"/>
        <v>7.0408736030547536E-2</v>
      </c>
      <c r="W334" s="137">
        <f ca="1"/>
        <v>0</v>
      </c>
      <c r="X334" s="155">
        <f ca="1"/>
        <v>1.2042131390685995E-3</v>
      </c>
      <c r="Y334" s="155">
        <f ca="1"/>
        <v>2.567539961605303E-3</v>
      </c>
      <c r="Z334" s="155">
        <f ca="1"/>
        <v>6.0537164011748024E-3</v>
      </c>
      <c r="AA334" s="155">
        <f ca="1"/>
        <v>1.1215448368394498E-2</v>
      </c>
      <c r="AB334" s="155">
        <f ca="1"/>
        <v>0</v>
      </c>
      <c r="AC334" s="155">
        <f ca="1"/>
        <v>3.0556097315503683E-2</v>
      </c>
      <c r="AD334" s="155">
        <f ca="1"/>
        <v>4.5319646676558856E-2</v>
      </c>
      <c r="AE334" s="138">
        <f ca="1"/>
        <v>7.1569999169884935E-2</v>
      </c>
      <c r="AH334" s="135">
        <v>1.1000000000000001E-3</v>
      </c>
      <c r="AI334" s="135">
        <v>2.3999999999999998E-3</v>
      </c>
      <c r="AJ334" s="135">
        <v>5.7999999999999996E-3</v>
      </c>
      <c r="AK334" s="135">
        <v>1.0800000000000001E-2</v>
      </c>
      <c r="AM334" s="135">
        <v>2.98E-2</v>
      </c>
      <c r="AN334" s="135">
        <v>4.4400000000000002E-2</v>
      </c>
      <c r="AO334" s="135">
        <v>7.0300000000000001E-2</v>
      </c>
      <c r="AQ334" s="135">
        <v>1.1999999999999999E-3</v>
      </c>
      <c r="AR334" s="135">
        <v>2.5000000000000001E-3</v>
      </c>
      <c r="AS334" s="135">
        <v>6.0000000000000001E-3</v>
      </c>
      <c r="AT334" s="135">
        <v>1.1299999999999999E-2</v>
      </c>
      <c r="AV334" s="135">
        <v>3.1300000000000001E-2</v>
      </c>
      <c r="AW334" s="135">
        <v>4.65E-2</v>
      </c>
      <c r="AX334" s="135">
        <v>7.3700000000000002E-2</v>
      </c>
    </row>
    <row r="335" spans="1:50" s="79" customFormat="1" ht="11.25">
      <c r="A335" s="96">
        <f t="shared" ca="1" si="7"/>
        <v>324</v>
      </c>
      <c r="B335" s="68" t="s">
        <v>395</v>
      </c>
      <c r="C335" s="97">
        <v>0.4</v>
      </c>
      <c r="D335" s="69" t="s">
        <v>67</v>
      </c>
      <c r="E335" s="136" t="s">
        <v>87</v>
      </c>
      <c r="F335" s="154" t="s">
        <v>87</v>
      </c>
      <c r="G335" s="154">
        <v>1.75E-3</v>
      </c>
      <c r="H335" s="154" t="s">
        <v>87</v>
      </c>
      <c r="I335" s="154">
        <v>3.2499999999999999E-3</v>
      </c>
      <c r="J335" s="154" t="s">
        <v>87</v>
      </c>
      <c r="K335" s="154">
        <v>4.2500000000000003E-3</v>
      </c>
      <c r="L335" s="154">
        <v>4.6499999999999996E-3</v>
      </c>
      <c r="M335" s="154">
        <v>4.9500000000000004E-3</v>
      </c>
      <c r="N335" s="137" cm="1">
        <f t="array" aca="1" ref="N335:AE335" ca="1">IF(OR(B335="",NOT($J$2)),"",GetStripDefaultProbability(A335,B335,Parameter_Date,CDSRollDate,E335:M335,SpreadCurveMaturities,D335,C335,$J$4,$J$6))</f>
        <v>0</v>
      </c>
      <c r="O335" s="155">
        <f ca="1"/>
        <v>0</v>
      </c>
      <c r="P335" s="155">
        <f ca="1"/>
        <v>3.0921898606319775E-3</v>
      </c>
      <c r="Q335" s="155">
        <f ca="1"/>
        <v>0</v>
      </c>
      <c r="R335" s="155">
        <f ca="1"/>
        <v>1.6725507971011355E-2</v>
      </c>
      <c r="S335" s="155">
        <f ca="1"/>
        <v>0</v>
      </c>
      <c r="T335" s="155">
        <f ca="1"/>
        <v>3.6350799916140542E-2</v>
      </c>
      <c r="U335" s="155">
        <f ca="1"/>
        <v>5.5221034145349401E-2</v>
      </c>
      <c r="V335" s="138">
        <f ca="1"/>
        <v>8.2956504628652783E-2</v>
      </c>
      <c r="W335" s="137">
        <f ca="1"/>
        <v>0</v>
      </c>
      <c r="X335" s="155">
        <f ca="1"/>
        <v>0</v>
      </c>
      <c r="Y335" s="155">
        <f ca="1"/>
        <v>3.2583273171491456E-3</v>
      </c>
      <c r="Z335" s="155">
        <f ca="1"/>
        <v>0</v>
      </c>
      <c r="AA335" s="155">
        <f ca="1"/>
        <v>1.7217022328224862E-2</v>
      </c>
      <c r="AB335" s="155">
        <f ca="1"/>
        <v>0</v>
      </c>
      <c r="AC335" s="155">
        <f ca="1"/>
        <v>3.7153506408724501E-2</v>
      </c>
      <c r="AD335" s="155">
        <f ca="1"/>
        <v>5.6345616902035878E-2</v>
      </c>
      <c r="AE335" s="138">
        <f ca="1"/>
        <v>8.4483637490078922E-2</v>
      </c>
      <c r="AI335" s="135">
        <v>3.0000000000000001E-3</v>
      </c>
      <c r="AK335" s="135">
        <v>1.66E-2</v>
      </c>
      <c r="AM335" s="135">
        <v>3.6200000000000003E-2</v>
      </c>
      <c r="AN335" s="135">
        <v>5.5100000000000003E-2</v>
      </c>
      <c r="AO335" s="135">
        <v>8.2799999999999999E-2</v>
      </c>
      <c r="AR335" s="135">
        <v>3.2000000000000002E-3</v>
      </c>
      <c r="AT335" s="135">
        <v>1.7500000000000002E-2</v>
      </c>
      <c r="AV335" s="135">
        <v>3.7999999999999999E-2</v>
      </c>
      <c r="AW335" s="135">
        <v>5.7799999999999997E-2</v>
      </c>
      <c r="AX335" s="135">
        <v>8.6800000000000002E-2</v>
      </c>
    </row>
    <row r="336" spans="1:50" s="79" customFormat="1" ht="11.25">
      <c r="A336" s="96">
        <f t="shared" ca="1" si="7"/>
        <v>325</v>
      </c>
      <c r="B336" s="68" t="s">
        <v>396</v>
      </c>
      <c r="C336" s="97">
        <v>0.2</v>
      </c>
      <c r="D336" s="69" t="s">
        <v>67</v>
      </c>
      <c r="E336" s="136" t="s">
        <v>87</v>
      </c>
      <c r="F336" s="154" t="s">
        <v>87</v>
      </c>
      <c r="G336" s="154">
        <v>1.013E-3</v>
      </c>
      <c r="H336" s="154" t="s">
        <v>87</v>
      </c>
      <c r="I336" s="154">
        <v>2.0270000000000002E-3</v>
      </c>
      <c r="J336" s="154" t="s">
        <v>87</v>
      </c>
      <c r="K336" s="154">
        <v>3.6679999999999998E-3</v>
      </c>
      <c r="L336" s="154">
        <v>4.1850000000000004E-3</v>
      </c>
      <c r="M336" s="154">
        <v>4.7229999999999998E-3</v>
      </c>
      <c r="N336" s="137" cm="1">
        <f t="array" aca="1" ref="N336:AE336" ca="1">IF(OR(B336="",NOT($J$2)),"",GetStripDefaultProbability(A336,B336,Parameter_Date,CDSRollDate,E336:M336,SpreadCurveMaturities,D336,C336,$J$4,$J$6))</f>
        <v>0</v>
      </c>
      <c r="O336" s="155">
        <f ca="1"/>
        <v>0</v>
      </c>
      <c r="P336" s="155">
        <f ca="1"/>
        <v>1.3436196649425636E-3</v>
      </c>
      <c r="Q336" s="155">
        <f ca="1"/>
        <v>0</v>
      </c>
      <c r="R336" s="155">
        <f ca="1"/>
        <v>7.8601315140440775E-3</v>
      </c>
      <c r="S336" s="155">
        <f ca="1"/>
        <v>0</v>
      </c>
      <c r="T336" s="155">
        <f ca="1"/>
        <v>2.4029524992996709E-2</v>
      </c>
      <c r="U336" s="155">
        <f ca="1"/>
        <v>3.8119045092461223E-2</v>
      </c>
      <c r="V336" s="138">
        <f ca="1"/>
        <v>6.1202216703949874E-2</v>
      </c>
      <c r="W336" s="137">
        <f ca="1"/>
        <v>0</v>
      </c>
      <c r="X336" s="155">
        <f ca="1"/>
        <v>0</v>
      </c>
      <c r="Y336" s="155">
        <f ca="1"/>
        <v>1.4684439108115788E-3</v>
      </c>
      <c r="Z336" s="155">
        <f ca="1"/>
        <v>0</v>
      </c>
      <c r="AA336" s="155">
        <f ca="1"/>
        <v>8.2321142136437819E-3</v>
      </c>
      <c r="AB336" s="155">
        <f ca="1"/>
        <v>0</v>
      </c>
      <c r="AC336" s="155">
        <f ca="1"/>
        <v>2.4639315960369057E-2</v>
      </c>
      <c r="AD336" s="155">
        <f ca="1"/>
        <v>3.8978602743032886E-2</v>
      </c>
      <c r="AE336" s="138">
        <f ca="1"/>
        <v>6.2374980802783586E-2</v>
      </c>
      <c r="AI336" s="135">
        <v>1.2999999999999999E-3</v>
      </c>
      <c r="AK336" s="135">
        <v>7.7999999999999996E-3</v>
      </c>
      <c r="AM336" s="135">
        <v>2.3900000000000001E-2</v>
      </c>
      <c r="AN336" s="135">
        <v>3.7999999999999999E-2</v>
      </c>
      <c r="AO336" s="135">
        <v>6.1100000000000002E-2</v>
      </c>
      <c r="AR336" s="135">
        <v>1.4E-3</v>
      </c>
      <c r="AT336" s="135">
        <v>8.2000000000000007E-3</v>
      </c>
      <c r="AV336" s="135">
        <v>2.5100000000000001E-2</v>
      </c>
      <c r="AW336" s="135">
        <v>3.9899999999999998E-2</v>
      </c>
      <c r="AX336" s="135">
        <v>6.4100000000000004E-2</v>
      </c>
    </row>
    <row r="337" spans="1:50" s="79" customFormat="1" ht="11.25">
      <c r="A337" s="96">
        <f t="shared" ca="1" si="7"/>
        <v>326</v>
      </c>
      <c r="B337" s="68" t="s">
        <v>397</v>
      </c>
      <c r="C337" s="97">
        <v>0.2</v>
      </c>
      <c r="D337" s="69" t="s">
        <v>66</v>
      </c>
      <c r="E337" s="136" t="s">
        <v>87</v>
      </c>
      <c r="F337" s="154">
        <v>5.0000000000000001E-4</v>
      </c>
      <c r="G337" s="154">
        <v>1E-3</v>
      </c>
      <c r="H337" s="154">
        <v>1.6000000000000001E-3</v>
      </c>
      <c r="I337" s="154">
        <v>2.2000000000000001E-3</v>
      </c>
      <c r="J337" s="154" t="s">
        <v>87</v>
      </c>
      <c r="K337" s="154">
        <v>3.3E-3</v>
      </c>
      <c r="L337" s="154">
        <v>3.8999999999999998E-3</v>
      </c>
      <c r="M337" s="154">
        <v>4.4999999999999997E-3</v>
      </c>
      <c r="N337" s="137" cm="1">
        <f t="array" aca="1" ref="N337:AE337" ca="1">IF(OR(B337="",NOT($J$2)),"",GetStripDefaultProbability(A337,B337,Parameter_Date,CDSRollDate,E337:M337,SpreadCurveMaturities,D337,C337,$J$4,$J$6))</f>
        <v>0</v>
      </c>
      <c r="O337" s="155">
        <f ca="1"/>
        <v>3.4881152822985317E-4</v>
      </c>
      <c r="P337" s="155">
        <f ca="1"/>
        <v>1.3353103439676106E-3</v>
      </c>
      <c r="Q337" s="155">
        <f ca="1"/>
        <v>4.171194999109451E-3</v>
      </c>
      <c r="R337" s="155">
        <f ca="1"/>
        <v>8.5523725463151345E-3</v>
      </c>
      <c r="S337" s="155">
        <f ca="1"/>
        <v>0</v>
      </c>
      <c r="T337" s="155">
        <f ca="1"/>
        <v>2.107496298502276E-2</v>
      </c>
      <c r="U337" s="155">
        <f ca="1"/>
        <v>3.4686802205025069E-2</v>
      </c>
      <c r="V337" s="138">
        <f ca="1"/>
        <v>5.6736494738971244E-2</v>
      </c>
      <c r="W337" s="137">
        <f ca="1"/>
        <v>0</v>
      </c>
      <c r="X337" s="155">
        <f ca="1"/>
        <v>4.1855902826515301E-4</v>
      </c>
      <c r="Y337" s="155">
        <f ca="1"/>
        <v>1.4601356284241751E-3</v>
      </c>
      <c r="Z337" s="155">
        <f ca="1"/>
        <v>4.4201210833212379E-3</v>
      </c>
      <c r="AA337" s="155">
        <f ca="1"/>
        <v>8.9240957041766267E-3</v>
      </c>
      <c r="AB337" s="155">
        <f ca="1"/>
        <v>0</v>
      </c>
      <c r="AC337" s="155">
        <f ca="1"/>
        <v>2.1702232895338236E-2</v>
      </c>
      <c r="AD337" s="155">
        <f ca="1"/>
        <v>3.5553680166183543E-2</v>
      </c>
      <c r="AE337" s="138">
        <f ca="1"/>
        <v>5.7951073457892188E-2</v>
      </c>
      <c r="AH337" s="135">
        <v>2.9999999999999997E-4</v>
      </c>
      <c r="AI337" s="135">
        <v>1.2999999999999999E-3</v>
      </c>
      <c r="AJ337" s="135">
        <v>4.1000000000000003E-3</v>
      </c>
      <c r="AK337" s="135">
        <v>8.5000000000000006E-3</v>
      </c>
      <c r="AM337" s="135">
        <v>2.1399999999999999E-2</v>
      </c>
      <c r="AN337" s="135">
        <v>3.5400000000000001E-2</v>
      </c>
      <c r="AO337" s="135">
        <v>5.8200000000000002E-2</v>
      </c>
      <c r="AQ337" s="135">
        <v>4.0000000000000002E-4</v>
      </c>
      <c r="AR337" s="135">
        <v>1.4E-3</v>
      </c>
      <c r="AS337" s="135">
        <v>4.4000000000000003E-3</v>
      </c>
      <c r="AT337" s="135">
        <v>8.8999999999999999E-3</v>
      </c>
      <c r="AV337" s="135">
        <v>2.2499999999999999E-2</v>
      </c>
      <c r="AW337" s="135">
        <v>3.7100000000000001E-2</v>
      </c>
      <c r="AX337" s="135">
        <v>6.0999999999999999E-2</v>
      </c>
    </row>
    <row r="338" spans="1:50" s="79" customFormat="1" ht="11.25">
      <c r="A338" s="96">
        <f t="shared" ca="1" si="7"/>
        <v>327</v>
      </c>
      <c r="B338" s="68" t="s">
        <v>398</v>
      </c>
      <c r="C338" s="97">
        <v>0.4</v>
      </c>
      <c r="D338" s="69" t="s">
        <v>67</v>
      </c>
      <c r="E338" s="136" t="s">
        <v>87</v>
      </c>
      <c r="F338" s="154" t="s">
        <v>87</v>
      </c>
      <c r="G338" s="154">
        <v>1.3649999999999999E-3</v>
      </c>
      <c r="H338" s="154" t="s">
        <v>87</v>
      </c>
      <c r="I338" s="154">
        <v>3.6960000000000001E-3</v>
      </c>
      <c r="J338" s="154" t="s">
        <v>87</v>
      </c>
      <c r="K338" s="154">
        <v>4.3E-3</v>
      </c>
      <c r="L338" s="154">
        <v>4.3499999999999997E-3</v>
      </c>
      <c r="M338" s="154">
        <v>4.4000000000000003E-3</v>
      </c>
      <c r="N338" s="137" cm="1">
        <f t="array" aca="1" ref="N338:AE338" ca="1">IF(OR(B338="",NOT($J$2)),"",GetStripDefaultProbability(A338,B338,Parameter_Date,CDSRollDate,E338:M338,SpreadCurveMaturities,D338,C338,$J$4,$J$6))</f>
        <v>0</v>
      </c>
      <c r="O338" s="155">
        <f ca="1"/>
        <v>0</v>
      </c>
      <c r="P338" s="155">
        <f ca="1"/>
        <v>2.4127231949515604E-3</v>
      </c>
      <c r="Q338" s="155">
        <f ca="1"/>
        <v>0</v>
      </c>
      <c r="R338" s="155">
        <f ca="1"/>
        <v>1.9089570258126853E-2</v>
      </c>
      <c r="S338" s="155">
        <f ca="1"/>
        <v>0</v>
      </c>
      <c r="T338" s="155">
        <f ca="1"/>
        <v>3.6589091975827492E-2</v>
      </c>
      <c r="U338" s="155">
        <f ca="1"/>
        <v>5.1040468249840432E-2</v>
      </c>
      <c r="V338" s="138">
        <f ca="1"/>
        <v>7.2598235234348496E-2</v>
      </c>
      <c r="W338" s="137">
        <f ca="1"/>
        <v>0</v>
      </c>
      <c r="X338" s="155">
        <f ca="1"/>
        <v>0</v>
      </c>
      <c r="Y338" s="155">
        <f ca="1"/>
        <v>2.5789738864561151E-3</v>
      </c>
      <c r="Z338" s="155">
        <f ca="1"/>
        <v>0</v>
      </c>
      <c r="AA338" s="155">
        <f ca="1"/>
        <v>1.9579902879599098E-2</v>
      </c>
      <c r="AB338" s="155">
        <f ca="1"/>
        <v>0</v>
      </c>
      <c r="AC338" s="155">
        <f ca="1"/>
        <v>3.7391599974418321E-2</v>
      </c>
      <c r="AD338" s="155">
        <f ca="1"/>
        <v>5.2146942134938645E-2</v>
      </c>
      <c r="AE338" s="138">
        <f ca="1"/>
        <v>7.4142617499533547E-2</v>
      </c>
      <c r="AI338" s="135">
        <v>2.3999999999999998E-3</v>
      </c>
      <c r="AK338" s="135">
        <v>1.9E-2</v>
      </c>
      <c r="AM338" s="135">
        <v>3.6499999999999998E-2</v>
      </c>
      <c r="AN338" s="135">
        <v>5.0900000000000001E-2</v>
      </c>
      <c r="AO338" s="135">
        <v>7.2499999999999995E-2</v>
      </c>
      <c r="AR338" s="135">
        <v>2.5000000000000001E-3</v>
      </c>
      <c r="AT338" s="135">
        <v>1.9900000000000001E-2</v>
      </c>
      <c r="AV338" s="135">
        <v>3.8300000000000001E-2</v>
      </c>
      <c r="AW338" s="135">
        <v>5.3400000000000003E-2</v>
      </c>
      <c r="AX338" s="135">
        <v>7.5999999999999998E-2</v>
      </c>
    </row>
    <row r="339" spans="1:50" s="79" customFormat="1" ht="11.25">
      <c r="A339" s="96">
        <f t="shared" ca="1" si="7"/>
        <v>328</v>
      </c>
      <c r="B339" s="68" t="s">
        <v>399</v>
      </c>
      <c r="C339" s="97">
        <v>0.2</v>
      </c>
      <c r="D339" s="69" t="s">
        <v>67</v>
      </c>
      <c r="E339" s="136" t="s">
        <v>87</v>
      </c>
      <c r="F339" s="154" t="s">
        <v>87</v>
      </c>
      <c r="G339" s="154">
        <v>1.029E-3</v>
      </c>
      <c r="H339" s="154" t="s">
        <v>87</v>
      </c>
      <c r="I339" s="154">
        <v>2.5209999999999998E-3</v>
      </c>
      <c r="J339" s="154" t="s">
        <v>87</v>
      </c>
      <c r="K339" s="154">
        <v>3.5500000000000002E-3</v>
      </c>
      <c r="L339" s="154">
        <v>3.5500000000000002E-3</v>
      </c>
      <c r="M339" s="154">
        <v>3.9500000000000004E-3</v>
      </c>
      <c r="N339" s="137" cm="1">
        <f t="array" aca="1" ref="N339:AE339" ca="1">IF(OR(B339="",NOT($J$2)),"",GetStripDefaultProbability(A339,B339,Parameter_Date,CDSRollDate,E339:M339,SpreadCurveMaturities,D339,C339,$J$4,$J$6))</f>
        <v>0</v>
      </c>
      <c r="O339" s="155">
        <f ca="1"/>
        <v>0</v>
      </c>
      <c r="P339" s="155">
        <f ca="1"/>
        <v>1.36482730913845E-3</v>
      </c>
      <c r="Q339" s="155">
        <f ca="1"/>
        <v>0</v>
      </c>
      <c r="R339" s="155">
        <f ca="1"/>
        <v>9.7908348475764795E-3</v>
      </c>
      <c r="S339" s="155">
        <f ca="1"/>
        <v>0</v>
      </c>
      <c r="T339" s="155">
        <f ca="1"/>
        <v>2.3021754219508916E-2</v>
      </c>
      <c r="U339" s="155">
        <f ca="1"/>
        <v>3.1709081832480779E-2</v>
      </c>
      <c r="V339" s="138">
        <f ca="1"/>
        <v>5.0575513226375213E-2</v>
      </c>
      <c r="W339" s="137">
        <f ca="1"/>
        <v>0</v>
      </c>
      <c r="X339" s="155">
        <f ca="1"/>
        <v>0</v>
      </c>
      <c r="Y339" s="155">
        <f ca="1"/>
        <v>1.4896489042307559E-3</v>
      </c>
      <c r="Z339" s="155">
        <f ca="1"/>
        <v>0</v>
      </c>
      <c r="AA339" s="155">
        <f ca="1"/>
        <v>1.0162093669104255E-2</v>
      </c>
      <c r="AB339" s="155">
        <f ca="1"/>
        <v>0</v>
      </c>
      <c r="AC339" s="155">
        <f ca="1"/>
        <v>2.3632174846828669E-2</v>
      </c>
      <c r="AD339" s="155">
        <f ca="1"/>
        <v>3.2572960389564032E-2</v>
      </c>
      <c r="AE339" s="138">
        <f ca="1"/>
        <v>5.1761552405923394E-2</v>
      </c>
      <c r="AI339" s="135">
        <v>1.2999999999999999E-3</v>
      </c>
      <c r="AK339" s="135">
        <v>9.7000000000000003E-3</v>
      </c>
      <c r="AM339" s="135">
        <v>2.29E-2</v>
      </c>
      <c r="AN339" s="135">
        <v>3.1600000000000003E-2</v>
      </c>
      <c r="AO339" s="135">
        <v>5.0500000000000003E-2</v>
      </c>
      <c r="AR339" s="135">
        <v>1.5E-3</v>
      </c>
      <c r="AT339" s="135">
        <v>1.0200000000000001E-2</v>
      </c>
      <c r="AV339" s="135">
        <v>2.41E-2</v>
      </c>
      <c r="AW339" s="135">
        <v>3.32E-2</v>
      </c>
      <c r="AX339" s="135">
        <v>5.2900000000000003E-2</v>
      </c>
    </row>
    <row r="340" spans="1:50" s="79" customFormat="1" ht="11.25">
      <c r="A340" s="96">
        <f t="shared" ca="1" si="7"/>
        <v>329</v>
      </c>
      <c r="B340" s="68" t="s">
        <v>400</v>
      </c>
      <c r="C340" s="97">
        <v>0.2</v>
      </c>
      <c r="D340" s="69" t="s">
        <v>67</v>
      </c>
      <c r="E340" s="136" t="s">
        <v>87</v>
      </c>
      <c r="F340" s="154" t="s">
        <v>87</v>
      </c>
      <c r="G340" s="154">
        <v>6.6299999999999996E-4</v>
      </c>
      <c r="H340" s="154" t="s">
        <v>87</v>
      </c>
      <c r="I340" s="154">
        <v>1.534E-3</v>
      </c>
      <c r="J340" s="154" t="s">
        <v>87</v>
      </c>
      <c r="K340" s="154">
        <v>2.65E-3</v>
      </c>
      <c r="L340" s="154">
        <v>3.4399999999999999E-3</v>
      </c>
      <c r="M340" s="154">
        <v>4.2770000000000004E-3</v>
      </c>
      <c r="N340" s="137" cm="1">
        <f t="array" aca="1" ref="N340:AE340" ca="1">IF(OR(B340="",NOT($J$2)),"",GetStripDefaultProbability(A340,B340,Parameter_Date,CDSRollDate,E340:M340,SpreadCurveMaturities,D340,C340,$J$4,$J$6))</f>
        <v>0</v>
      </c>
      <c r="O340" s="155">
        <f ca="1"/>
        <v>0</v>
      </c>
      <c r="P340" s="155">
        <f ca="1"/>
        <v>8.795905797289727E-4</v>
      </c>
      <c r="Q340" s="155">
        <f ca="1"/>
        <v>0</v>
      </c>
      <c r="R340" s="155">
        <f ca="1"/>
        <v>5.9629624497599121E-3</v>
      </c>
      <c r="S340" s="155">
        <f ca="1"/>
        <v>0</v>
      </c>
      <c r="T340" s="155">
        <f ca="1"/>
        <v>1.7377195339218776E-2</v>
      </c>
      <c r="U340" s="155">
        <f ca="1"/>
        <v>3.1772794715050123E-2</v>
      </c>
      <c r="V340" s="138">
        <f ca="1"/>
        <v>5.6770284842330265E-2</v>
      </c>
      <c r="W340" s="137">
        <f ca="1"/>
        <v>0</v>
      </c>
      <c r="X340" s="155">
        <f ca="1"/>
        <v>0</v>
      </c>
      <c r="Y340" s="155">
        <f ca="1"/>
        <v>1.0044728256246582E-3</v>
      </c>
      <c r="Z340" s="155">
        <f ca="1"/>
        <v>0</v>
      </c>
      <c r="AA340" s="155">
        <f ca="1"/>
        <v>6.3356564543661786E-3</v>
      </c>
      <c r="AB340" s="155">
        <f ca="1"/>
        <v>0</v>
      </c>
      <c r="AC340" s="155">
        <f ca="1"/>
        <v>1.7991142713599251E-2</v>
      </c>
      <c r="AD340" s="155">
        <f ca="1"/>
        <v>3.2637993371024354E-2</v>
      </c>
      <c r="AE340" s="138">
        <f ca="1"/>
        <v>5.7968262841347706E-2</v>
      </c>
      <c r="AI340" s="135">
        <v>8.9999999999999998E-4</v>
      </c>
      <c r="AK340" s="135">
        <v>5.8999999999999999E-3</v>
      </c>
      <c r="AM340" s="135">
        <v>1.7299999999999999E-2</v>
      </c>
      <c r="AN340" s="135">
        <v>3.1699999999999999E-2</v>
      </c>
      <c r="AO340" s="135">
        <v>5.67E-2</v>
      </c>
      <c r="AR340" s="135">
        <v>1E-3</v>
      </c>
      <c r="AT340" s="135">
        <v>6.3E-3</v>
      </c>
      <c r="AV340" s="135">
        <v>1.8200000000000001E-2</v>
      </c>
      <c r="AW340" s="135">
        <v>3.32E-2</v>
      </c>
      <c r="AX340" s="135">
        <v>5.9400000000000001E-2</v>
      </c>
    </row>
    <row r="341" spans="1:50" s="79" customFormat="1" ht="11.25">
      <c r="A341" s="96">
        <f t="shared" ca="1" si="7"/>
        <v>330</v>
      </c>
      <c r="B341" s="68" t="s">
        <v>401</v>
      </c>
      <c r="C341" s="97">
        <v>0.4</v>
      </c>
      <c r="D341" s="69" t="s">
        <v>66</v>
      </c>
      <c r="E341" s="136" t="s">
        <v>87</v>
      </c>
      <c r="F341" s="154">
        <v>5.0000000000000001E-4</v>
      </c>
      <c r="G341" s="154">
        <v>6.9999999999999999E-4</v>
      </c>
      <c r="H341" s="154">
        <v>1.1000000000000001E-3</v>
      </c>
      <c r="I341" s="154">
        <v>1.6000000000000001E-3</v>
      </c>
      <c r="J341" s="154" t="s">
        <v>87</v>
      </c>
      <c r="K341" s="154">
        <v>2.5999999999999999E-3</v>
      </c>
      <c r="L341" s="154">
        <v>3.3E-3</v>
      </c>
      <c r="M341" s="154">
        <v>4.1000000000000003E-3</v>
      </c>
      <c r="N341" s="137" cm="1">
        <f t="array" aca="1" ref="N341:AE341" ca="1">IF(OR(B341="",NOT($J$2)),"",GetStripDefaultProbability(A341,B341,Parameter_Date,CDSRollDate,E341:M341,SpreadCurveMaturities,D341,C341,$J$4,$J$6))</f>
        <v>0</v>
      </c>
      <c r="O341" s="155">
        <f ca="1"/>
        <v>4.6505499562699004E-4</v>
      </c>
      <c r="P341" s="155">
        <f ca="1"/>
        <v>1.2437694058637927E-3</v>
      </c>
      <c r="Q341" s="155">
        <f ca="1"/>
        <v>3.8208714895480167E-3</v>
      </c>
      <c r="R341" s="155">
        <f ca="1"/>
        <v>8.2990265810173325E-3</v>
      </c>
      <c r="S341" s="155">
        <f ca="1"/>
        <v>0</v>
      </c>
      <c r="T341" s="155">
        <f ca="1"/>
        <v>2.2140798409383433E-2</v>
      </c>
      <c r="U341" s="155">
        <f ca="1"/>
        <v>3.9139912162463264E-2</v>
      </c>
      <c r="V341" s="138">
        <f ca="1"/>
        <v>6.8763183571464159E-2</v>
      </c>
      <c r="W341" s="137">
        <f ca="1"/>
        <v>0</v>
      </c>
      <c r="X341" s="155">
        <f ca="1"/>
        <v>5.5803964578249321E-4</v>
      </c>
      <c r="Y341" s="155">
        <f ca="1"/>
        <v>1.4102149067779512E-3</v>
      </c>
      <c r="Z341" s="155">
        <f ca="1"/>
        <v>4.1528758618992745E-3</v>
      </c>
      <c r="AA341" s="155">
        <f ca="1"/>
        <v>8.7947531257446254E-3</v>
      </c>
      <c r="AB341" s="155">
        <f ca="1"/>
        <v>0</v>
      </c>
      <c r="AC341" s="155">
        <f ca="1"/>
        <v>2.2976650050123171E-2</v>
      </c>
      <c r="AD341" s="155">
        <f ca="1"/>
        <v>4.0291749371941132E-2</v>
      </c>
      <c r="AE341" s="138">
        <f ca="1"/>
        <v>7.0365194012640631E-2</v>
      </c>
      <c r="AH341" s="135">
        <v>5.0000000000000001E-4</v>
      </c>
      <c r="AI341" s="135">
        <v>1.1999999999999999E-3</v>
      </c>
      <c r="AJ341" s="135">
        <v>3.8E-3</v>
      </c>
      <c r="AK341" s="135">
        <v>8.3000000000000001E-3</v>
      </c>
      <c r="AM341" s="135">
        <v>2.2599999999999999E-2</v>
      </c>
      <c r="AN341" s="135">
        <v>4.02E-2</v>
      </c>
      <c r="AO341" s="135">
        <v>7.1400000000000005E-2</v>
      </c>
      <c r="AQ341" s="135">
        <v>5.0000000000000001E-4</v>
      </c>
      <c r="AR341" s="135">
        <v>1.4E-3</v>
      </c>
      <c r="AS341" s="135">
        <v>4.1000000000000003E-3</v>
      </c>
      <c r="AT341" s="135">
        <v>8.8000000000000005E-3</v>
      </c>
      <c r="AV341" s="135">
        <v>2.3699999999999999E-2</v>
      </c>
      <c r="AW341" s="135">
        <v>4.2099999999999999E-2</v>
      </c>
      <c r="AX341" s="135">
        <v>7.4800000000000005E-2</v>
      </c>
    </row>
    <row r="342" spans="1:50" s="79" customFormat="1" ht="11.25">
      <c r="A342" s="96">
        <f t="shared" ca="1" si="7"/>
        <v>331</v>
      </c>
      <c r="B342" s="68" t="s">
        <v>402</v>
      </c>
      <c r="C342" s="97">
        <v>0.4</v>
      </c>
      <c r="D342" s="69" t="s">
        <v>66</v>
      </c>
      <c r="E342" s="136" t="s">
        <v>87</v>
      </c>
      <c r="F342" s="154">
        <v>8.0000000000000004E-4</v>
      </c>
      <c r="G342" s="154">
        <v>1.2700000000000001E-3</v>
      </c>
      <c r="H342" s="154">
        <v>1.8699999999999999E-3</v>
      </c>
      <c r="I342" s="154">
        <v>2.3E-3</v>
      </c>
      <c r="J342" s="154" t="s">
        <v>87</v>
      </c>
      <c r="K342" s="154">
        <v>2.8E-3</v>
      </c>
      <c r="L342" s="154">
        <v>3.2000000000000002E-3</v>
      </c>
      <c r="M342" s="154">
        <v>3.7000000000000002E-3</v>
      </c>
      <c r="N342" s="137" cm="1">
        <f t="array" aca="1" ref="N342:AE342" ca="1">IF(OR(B342="",NOT($J$2)),"",GetStripDefaultProbability(A342,B342,Parameter_Date,CDSRollDate,E342:M342,SpreadCurveMaturities,D342,C342,$J$4,$J$6))</f>
        <v>0</v>
      </c>
      <c r="O342" s="155">
        <f ca="1"/>
        <v>7.4398417212018231E-4</v>
      </c>
      <c r="P342" s="155">
        <f ca="1"/>
        <v>2.2574629962492931E-3</v>
      </c>
      <c r="Q342" s="155">
        <f ca="1"/>
        <v>6.4861659878150402E-3</v>
      </c>
      <c r="R342" s="155">
        <f ca="1"/>
        <v>1.1871612072474225E-2</v>
      </c>
      <c r="S342" s="155">
        <f ca="1"/>
        <v>0</v>
      </c>
      <c r="T342" s="155">
        <f ca="1"/>
        <v>2.3765422676043313E-2</v>
      </c>
      <c r="U342" s="155">
        <f ca="1"/>
        <v>3.7814895071246912E-2</v>
      </c>
      <c r="V342" s="138">
        <f ca="1"/>
        <v>6.1973780826712899E-2</v>
      </c>
      <c r="W342" s="137">
        <f ca="1"/>
        <v>0</v>
      </c>
      <c r="X342" s="155">
        <f ca="1"/>
        <v>8.3694231015207787E-4</v>
      </c>
      <c r="Y342" s="155">
        <f ca="1"/>
        <v>2.4237395623178948E-3</v>
      </c>
      <c r="Z342" s="155">
        <f ca="1"/>
        <v>6.8172820767253839E-3</v>
      </c>
      <c r="AA342" s="155">
        <f ca="1"/>
        <v>1.2365552770955079E-2</v>
      </c>
      <c r="AB342" s="155">
        <f ca="1"/>
        <v>0</v>
      </c>
      <c r="AC342" s="155">
        <f ca="1"/>
        <v>2.4599053030508911E-2</v>
      </c>
      <c r="AD342" s="155">
        <f ca="1"/>
        <v>3.8966155475386621E-2</v>
      </c>
      <c r="AE342" s="138">
        <f ca="1"/>
        <v>6.3583931398702331E-2</v>
      </c>
      <c r="AH342" s="135">
        <v>6.9999999999999999E-4</v>
      </c>
      <c r="AI342" s="135">
        <v>2.2000000000000001E-3</v>
      </c>
      <c r="AJ342" s="135">
        <v>6.4000000000000003E-3</v>
      </c>
      <c r="AK342" s="135">
        <v>1.18E-2</v>
      </c>
      <c r="AM342" s="135">
        <v>2.3900000000000001E-2</v>
      </c>
      <c r="AN342" s="135">
        <v>3.8199999999999998E-2</v>
      </c>
      <c r="AO342" s="135">
        <v>6.3299999999999995E-2</v>
      </c>
      <c r="AQ342" s="135">
        <v>8.0000000000000004E-4</v>
      </c>
      <c r="AR342" s="135">
        <v>2.3999999999999998E-3</v>
      </c>
      <c r="AS342" s="135">
        <v>6.7999999999999996E-3</v>
      </c>
      <c r="AT342" s="135">
        <v>1.24E-2</v>
      </c>
      <c r="AV342" s="135">
        <v>2.5100000000000001E-2</v>
      </c>
      <c r="AW342" s="135">
        <v>4.0099999999999997E-2</v>
      </c>
      <c r="AX342" s="135">
        <v>6.6299999999999998E-2</v>
      </c>
    </row>
    <row r="343" spans="1:50" s="79" customFormat="1" ht="11.25">
      <c r="A343" s="96">
        <f t="shared" ca="1" si="7"/>
        <v>332</v>
      </c>
      <c r="B343" s="68" t="s">
        <v>403</v>
      </c>
      <c r="C343" s="97">
        <v>0.2</v>
      </c>
      <c r="D343" s="69" t="s">
        <v>67</v>
      </c>
      <c r="E343" s="136" t="s">
        <v>87</v>
      </c>
      <c r="F343" s="154" t="s">
        <v>87</v>
      </c>
      <c r="G343" s="154">
        <v>1.683E-3</v>
      </c>
      <c r="H343" s="154" t="s">
        <v>87</v>
      </c>
      <c r="I343" s="154">
        <v>3.1979999999999999E-3</v>
      </c>
      <c r="J343" s="154" t="s">
        <v>87</v>
      </c>
      <c r="K343" s="154">
        <v>5.0499999999999998E-3</v>
      </c>
      <c r="L343" s="154">
        <v>6.9020000000000001E-3</v>
      </c>
      <c r="M343" s="154">
        <v>6.8859999999999998E-3</v>
      </c>
      <c r="N343" s="137" cm="1">
        <f t="array" aca="1" ref="N343:AE343" ca="1">IF(OR(B343="",NOT($J$2)),"",GetStripDefaultProbability(A343,B343,Parameter_Date,CDSRollDate,E343:M343,SpreadCurveMaturities,D343,C343,$J$4,$J$6))</f>
        <v>0</v>
      </c>
      <c r="O343" s="155">
        <f ca="1"/>
        <v>0</v>
      </c>
      <c r="P343" s="155">
        <f ca="1"/>
        <v>2.2313073677624473E-3</v>
      </c>
      <c r="Q343" s="155">
        <f ca="1"/>
        <v>0</v>
      </c>
      <c r="R343" s="155">
        <f ca="1"/>
        <v>1.2369683922719532E-2</v>
      </c>
      <c r="S343" s="155">
        <f ca="1"/>
        <v>0</v>
      </c>
      <c r="T343" s="155">
        <f ca="1"/>
        <v>3.2776058044618028E-2</v>
      </c>
      <c r="U343" s="155">
        <f ca="1"/>
        <v>6.318500375350522E-2</v>
      </c>
      <c r="V343" s="138">
        <f ca="1"/>
        <v>8.7074528353160208E-2</v>
      </c>
      <c r="W343" s="137">
        <f ca="1"/>
        <v>0</v>
      </c>
      <c r="X343" s="155">
        <f ca="1"/>
        <v>0</v>
      </c>
      <c r="Y343" s="155">
        <f ca="1"/>
        <v>2.3560206595953925E-3</v>
      </c>
      <c r="Z343" s="155">
        <f ca="1"/>
        <v>0</v>
      </c>
      <c r="AA343" s="155">
        <f ca="1"/>
        <v>1.2739975857135821E-2</v>
      </c>
      <c r="AB343" s="155">
        <f ca="1"/>
        <v>0</v>
      </c>
      <c r="AC343" s="155">
        <f ca="1"/>
        <v>3.338038413677169E-2</v>
      </c>
      <c r="AD343" s="155">
        <f ca="1"/>
        <v>6.4004358355343682E-2</v>
      </c>
      <c r="AE343" s="138">
        <f ca="1"/>
        <v>8.8236554988770366E-2</v>
      </c>
      <c r="AI343" s="135">
        <v>2.2000000000000001E-3</v>
      </c>
      <c r="AK343" s="135">
        <v>1.23E-2</v>
      </c>
      <c r="AM343" s="135">
        <v>3.27E-2</v>
      </c>
      <c r="AN343" s="135">
        <v>6.3E-2</v>
      </c>
      <c r="AO343" s="135">
        <v>8.6900000000000005E-2</v>
      </c>
      <c r="AR343" s="135">
        <v>2.3E-3</v>
      </c>
      <c r="AT343" s="135">
        <v>1.29E-2</v>
      </c>
      <c r="AV343" s="135">
        <v>3.4299999999999997E-2</v>
      </c>
      <c r="AW343" s="135">
        <v>6.6100000000000006E-2</v>
      </c>
      <c r="AX343" s="135">
        <v>9.11E-2</v>
      </c>
    </row>
    <row r="344" spans="1:50" s="79" customFormat="1" ht="11.25">
      <c r="A344" s="96">
        <f t="shared" ca="1" si="7"/>
        <v>333</v>
      </c>
      <c r="B344" s="68" t="s">
        <v>404</v>
      </c>
      <c r="C344" s="97">
        <v>0.2</v>
      </c>
      <c r="D344" s="69" t="s">
        <v>67</v>
      </c>
      <c r="E344" s="136" t="s">
        <v>87</v>
      </c>
      <c r="F344" s="154" t="s">
        <v>87</v>
      </c>
      <c r="G344" s="154">
        <v>2.872E-3</v>
      </c>
      <c r="H344" s="154" t="s">
        <v>87</v>
      </c>
      <c r="I344" s="154">
        <v>4.6160000000000003E-3</v>
      </c>
      <c r="J344" s="154" t="s">
        <v>87</v>
      </c>
      <c r="K344" s="154">
        <v>5.9500000000000004E-3</v>
      </c>
      <c r="L344" s="154">
        <v>6.3600000000000002E-3</v>
      </c>
      <c r="M344" s="154">
        <v>7.1809999999999999E-3</v>
      </c>
      <c r="N344" s="137" cm="1">
        <f t="array" aca="1" ref="N344:AE344" ca="1">IF(OR(B344="",NOT($J$2)),"",GetStripDefaultProbability(A344,B344,Parameter_Date,CDSRollDate,E344:M344,SpreadCurveMaturities,D344,C344,$J$4,$J$6))</f>
        <v>0</v>
      </c>
      <c r="O344" s="155">
        <f ca="1"/>
        <v>0</v>
      </c>
      <c r="P344" s="155">
        <f ca="1"/>
        <v>3.8046951822795494E-3</v>
      </c>
      <c r="Q344" s="155">
        <f ca="1"/>
        <v>0</v>
      </c>
      <c r="R344" s="155">
        <f ca="1"/>
        <v>1.7768572173839647E-2</v>
      </c>
      <c r="S344" s="155">
        <f ca="1"/>
        <v>0</v>
      </c>
      <c r="T344" s="155">
        <f ca="1"/>
        <v>3.8067039902313193E-2</v>
      </c>
      <c r="U344" s="155">
        <f ca="1"/>
        <v>5.6373703903451755E-2</v>
      </c>
      <c r="V344" s="138">
        <f ca="1"/>
        <v>9.075020780174603E-2</v>
      </c>
      <c r="W344" s="137">
        <f ca="1"/>
        <v>0</v>
      </c>
      <c r="X344" s="155">
        <f ca="1"/>
        <v>0</v>
      </c>
      <c r="Y344" s="155">
        <f ca="1"/>
        <v>3.9292118129424791E-3</v>
      </c>
      <c r="Z344" s="155">
        <f ca="1"/>
        <v>0</v>
      </c>
      <c r="AA344" s="155">
        <f ca="1"/>
        <v>1.8136839904783986E-2</v>
      </c>
      <c r="AB344" s="155">
        <f ca="1"/>
        <v>0</v>
      </c>
      <c r="AC344" s="155">
        <f ca="1"/>
        <v>3.8668060163963736E-2</v>
      </c>
      <c r="AD344" s="155">
        <f ca="1"/>
        <v>5.7199015785937224E-2</v>
      </c>
      <c r="AE344" s="138">
        <f ca="1"/>
        <v>9.1916799223578427E-2</v>
      </c>
      <c r="AI344" s="135">
        <v>3.7000000000000002E-3</v>
      </c>
      <c r="AK344" s="135">
        <v>1.77E-2</v>
      </c>
      <c r="AM344" s="135">
        <v>3.7900000000000003E-2</v>
      </c>
      <c r="AN344" s="135">
        <v>5.62E-2</v>
      </c>
      <c r="AO344" s="135">
        <v>9.06E-2</v>
      </c>
      <c r="AR344" s="135">
        <v>3.8999999999999998E-3</v>
      </c>
      <c r="AT344" s="135">
        <v>1.8499999999999999E-2</v>
      </c>
      <c r="AV344" s="135">
        <v>3.9800000000000002E-2</v>
      </c>
      <c r="AW344" s="135">
        <v>5.8999999999999997E-2</v>
      </c>
      <c r="AX344" s="135">
        <v>9.4899999999999998E-2</v>
      </c>
    </row>
    <row r="345" spans="1:50" s="79" customFormat="1" ht="11.25">
      <c r="A345" s="96">
        <f t="shared" ca="1" si="7"/>
        <v>334</v>
      </c>
      <c r="B345" s="68" t="s">
        <v>405</v>
      </c>
      <c r="C345" s="97">
        <v>0.2</v>
      </c>
      <c r="D345" s="69" t="s">
        <v>66</v>
      </c>
      <c r="E345" s="136" t="s">
        <v>87</v>
      </c>
      <c r="F345" s="154">
        <v>1.15E-3</v>
      </c>
      <c r="G345" s="154">
        <v>1.66E-3</v>
      </c>
      <c r="H345" s="154">
        <v>2.82E-3</v>
      </c>
      <c r="I345" s="154">
        <v>3.8899999999999998E-3</v>
      </c>
      <c r="J345" s="154" t="s">
        <v>87</v>
      </c>
      <c r="K345" s="154">
        <v>5.4999999999999997E-3</v>
      </c>
      <c r="L345" s="154">
        <v>6.2100000000000002E-3</v>
      </c>
      <c r="M345" s="154">
        <v>6.62E-3</v>
      </c>
      <c r="N345" s="137" cm="1">
        <f t="array" aca="1" ref="N345:AE345" ca="1">IF(OR(B345="",NOT($J$2)),"",GetStripDefaultProbability(A345,B345,Parameter_Date,CDSRollDate,E345:M345,SpreadCurveMaturities,D345,C345,$J$4,$J$6))</f>
        <v>0</v>
      </c>
      <c r="O345" s="155">
        <f ca="1"/>
        <v>8.0208462035769035E-4</v>
      </c>
      <c r="P345" s="155">
        <f ca="1"/>
        <v>2.2116935589291398E-3</v>
      </c>
      <c r="Q345" s="155">
        <f ca="1"/>
        <v>7.3425301445564362E-3</v>
      </c>
      <c r="R345" s="155">
        <f ca="1"/>
        <v>1.5086425736926978E-2</v>
      </c>
      <c r="S345" s="155">
        <f ca="1"/>
        <v>0</v>
      </c>
      <c r="T345" s="155">
        <f ca="1"/>
        <v>3.4935173522358309E-2</v>
      </c>
      <c r="U345" s="155">
        <f ca="1"/>
        <v>5.4715836195509016E-2</v>
      </c>
      <c r="V345" s="138">
        <f ca="1"/>
        <v>8.2324857724189071E-2</v>
      </c>
      <c r="W345" s="137">
        <f ca="1"/>
        <v>0</v>
      </c>
      <c r="X345" s="155">
        <f ca="1"/>
        <v>8.7179965329831077E-4</v>
      </c>
      <c r="Y345" s="155">
        <f ca="1"/>
        <v>2.3364093023453547E-3</v>
      </c>
      <c r="Z345" s="155">
        <f ca="1"/>
        <v>7.590663494042027E-3</v>
      </c>
      <c r="AA345" s="155">
        <f ca="1"/>
        <v>1.5455699084202412E-2</v>
      </c>
      <c r="AB345" s="155">
        <f ca="1"/>
        <v>0</v>
      </c>
      <c r="AC345" s="155">
        <f ca="1"/>
        <v>3.5553308319027921E-2</v>
      </c>
      <c r="AD345" s="155">
        <f ca="1"/>
        <v>5.5564942126199113E-2</v>
      </c>
      <c r="AE345" s="138">
        <f ca="1"/>
        <v>8.350453457244722E-2</v>
      </c>
      <c r="AH345" s="135">
        <v>8.0000000000000004E-4</v>
      </c>
      <c r="AI345" s="135">
        <v>2.2000000000000001E-3</v>
      </c>
      <c r="AJ345" s="135">
        <v>7.3000000000000001E-3</v>
      </c>
      <c r="AK345" s="135">
        <v>1.5100000000000001E-2</v>
      </c>
      <c r="AM345" s="135">
        <v>3.5400000000000001E-2</v>
      </c>
      <c r="AN345" s="135">
        <v>5.5500000000000001E-2</v>
      </c>
      <c r="AO345" s="135">
        <v>8.3299999999999999E-2</v>
      </c>
      <c r="AQ345" s="135">
        <v>8.0000000000000004E-4</v>
      </c>
      <c r="AR345" s="135">
        <v>2.3E-3</v>
      </c>
      <c r="AS345" s="135">
        <v>7.6E-3</v>
      </c>
      <c r="AT345" s="135">
        <v>1.5800000000000002E-2</v>
      </c>
      <c r="AV345" s="135">
        <v>3.7100000000000001E-2</v>
      </c>
      <c r="AW345" s="135">
        <v>5.8200000000000002E-2</v>
      </c>
      <c r="AX345" s="135">
        <v>8.7300000000000003E-2</v>
      </c>
    </row>
    <row r="346" spans="1:50" s="79" customFormat="1" ht="11.25">
      <c r="A346" s="96">
        <f t="shared" ca="1" si="7"/>
        <v>335</v>
      </c>
      <c r="B346" s="68" t="s">
        <v>406</v>
      </c>
      <c r="C346" s="97">
        <v>0.2</v>
      </c>
      <c r="D346" s="69" t="s">
        <v>66</v>
      </c>
      <c r="E346" s="136" t="s">
        <v>87</v>
      </c>
      <c r="F346" s="154">
        <v>1.49E-3</v>
      </c>
      <c r="G346" s="154">
        <v>2.1800000000000001E-3</v>
      </c>
      <c r="H346" s="154">
        <v>3.0999999999999999E-3</v>
      </c>
      <c r="I346" s="154">
        <v>3.98E-3</v>
      </c>
      <c r="J346" s="154" t="s">
        <v>87</v>
      </c>
      <c r="K346" s="154">
        <v>5.3E-3</v>
      </c>
      <c r="L346" s="154">
        <v>5.8999999999999999E-3</v>
      </c>
      <c r="M346" s="154">
        <v>6.3E-3</v>
      </c>
      <c r="N346" s="137" cm="1">
        <f t="array" aca="1" ref="N346:AE346" ca="1">IF(OR(B346="",NOT($J$2)),"",GetStripDefaultProbability(A346,B346,Parameter_Date,CDSRollDate,E346:M346,SpreadCurveMaturities,D346,C346,$J$4,$J$6))</f>
        <v>0</v>
      </c>
      <c r="O346" s="155">
        <f ca="1"/>
        <v>1.0390994499390738E-3</v>
      </c>
      <c r="P346" s="155">
        <f ca="1"/>
        <v>2.9039419326373217E-3</v>
      </c>
      <c r="Q346" s="155">
        <f ca="1"/>
        <v>8.0545841782323491E-3</v>
      </c>
      <c r="R346" s="155">
        <f ca="1"/>
        <v>1.5395595589505762E-2</v>
      </c>
      <c r="S346" s="155">
        <f ca="1"/>
        <v>0</v>
      </c>
      <c r="T346" s="155">
        <f ca="1"/>
        <v>3.3631076088955658E-2</v>
      </c>
      <c r="U346" s="155">
        <f ca="1"/>
        <v>5.1970217653541262E-2</v>
      </c>
      <c r="V346" s="138">
        <f ca="1"/>
        <v>7.8412839753115304E-2</v>
      </c>
      <c r="W346" s="137">
        <f ca="1"/>
        <v>0</v>
      </c>
      <c r="X346" s="155">
        <f ca="1"/>
        <v>1.1087972349269615E-3</v>
      </c>
      <c r="Y346" s="155">
        <f ca="1"/>
        <v>3.028571150411663E-3</v>
      </c>
      <c r="Z346" s="155">
        <f ca="1"/>
        <v>8.3025395364586529E-3</v>
      </c>
      <c r="AA346" s="155">
        <f ca="1"/>
        <v>1.5764753019821387E-2</v>
      </c>
      <c r="AB346" s="155">
        <f ca="1"/>
        <v>0</v>
      </c>
      <c r="AC346" s="155">
        <f ca="1"/>
        <v>3.4249885650746492E-2</v>
      </c>
      <c r="AD346" s="155">
        <f ca="1"/>
        <v>5.2821291579010832E-2</v>
      </c>
      <c r="AE346" s="138">
        <f ca="1"/>
        <v>7.9597214409021455E-2</v>
      </c>
      <c r="AH346" s="135">
        <v>1E-3</v>
      </c>
      <c r="AI346" s="135">
        <v>2.8999999999999998E-3</v>
      </c>
      <c r="AJ346" s="135">
        <v>8.0000000000000002E-3</v>
      </c>
      <c r="AK346" s="135">
        <v>1.5299999999999999E-2</v>
      </c>
      <c r="AM346" s="135">
        <v>3.4000000000000002E-2</v>
      </c>
      <c r="AN346" s="135">
        <v>5.2600000000000001E-2</v>
      </c>
      <c r="AO346" s="135">
        <v>7.9200000000000007E-2</v>
      </c>
      <c r="AQ346" s="135">
        <v>1.1000000000000001E-3</v>
      </c>
      <c r="AR346" s="135">
        <v>3.0000000000000001E-3</v>
      </c>
      <c r="AS346" s="135">
        <v>8.3999999999999995E-3</v>
      </c>
      <c r="AT346" s="135">
        <v>1.61E-2</v>
      </c>
      <c r="AV346" s="135">
        <v>3.5700000000000003E-2</v>
      </c>
      <c r="AW346" s="135">
        <v>5.5199999999999999E-2</v>
      </c>
      <c r="AX346" s="135">
        <v>8.3000000000000004E-2</v>
      </c>
    </row>
    <row r="347" spans="1:50" s="79" customFormat="1" ht="11.25">
      <c r="A347" s="96">
        <f t="shared" ca="1" si="7"/>
        <v>336</v>
      </c>
      <c r="B347" s="68" t="s">
        <v>407</v>
      </c>
      <c r="C347" s="97">
        <v>0.2</v>
      </c>
      <c r="D347" s="69" t="s">
        <v>66</v>
      </c>
      <c r="E347" s="136" t="s">
        <v>87</v>
      </c>
      <c r="F347" s="154">
        <v>1.39E-3</v>
      </c>
      <c r="G347" s="154">
        <v>2.0899999999999998E-3</v>
      </c>
      <c r="H347" s="154">
        <v>3.0500000000000002E-3</v>
      </c>
      <c r="I347" s="154">
        <v>3.8999999999999998E-3</v>
      </c>
      <c r="J347" s="154" t="s">
        <v>87</v>
      </c>
      <c r="K347" s="154">
        <v>5.3E-3</v>
      </c>
      <c r="L347" s="154">
        <v>6.0000000000000001E-3</v>
      </c>
      <c r="M347" s="154">
        <v>6.6E-3</v>
      </c>
      <c r="N347" s="137" cm="1">
        <f t="array" aca="1" ref="N347:AE347" ca="1">IF(OR(B347="",NOT($J$2)),"",GetStripDefaultProbability(A347,B347,Parameter_Date,CDSRollDate,E347:M347,SpreadCurveMaturities,D347,C347,$J$4,$J$6))</f>
        <v>0</v>
      </c>
      <c r="O347" s="155">
        <f ca="1"/>
        <v>9.6939504119430975E-4</v>
      </c>
      <c r="P347" s="155">
        <f ca="1"/>
        <v>2.7847065339127175E-3</v>
      </c>
      <c r="Q347" s="155">
        <f ca="1"/>
        <v>7.9279291173388611E-3</v>
      </c>
      <c r="R347" s="155">
        <f ca="1"/>
        <v>1.5089519639184479E-2</v>
      </c>
      <c r="S347" s="155">
        <f ca="1"/>
        <v>0</v>
      </c>
      <c r="T347" s="155">
        <f ca="1"/>
        <v>3.3637113193183632E-2</v>
      </c>
      <c r="U347" s="155">
        <f ca="1"/>
        <v>5.2863869645008776E-2</v>
      </c>
      <c r="V347" s="138">
        <f ca="1"/>
        <v>8.2110417702538574E-2</v>
      </c>
      <c r="W347" s="137">
        <f ca="1"/>
        <v>0</v>
      </c>
      <c r="X347" s="155">
        <f ca="1"/>
        <v>1.0390979185826987E-3</v>
      </c>
      <c r="Y347" s="155">
        <f ca="1"/>
        <v>2.9093506551665094E-3</v>
      </c>
      <c r="Z347" s="155">
        <f ca="1"/>
        <v>8.175916135381045E-3</v>
      </c>
      <c r="AA347" s="155">
        <f ca="1"/>
        <v>1.5458791826444163E-2</v>
      </c>
      <c r="AB347" s="155">
        <f ca="1"/>
        <v>0</v>
      </c>
      <c r="AC347" s="155">
        <f ca="1"/>
        <v>3.425595038270568E-2</v>
      </c>
      <c r="AD347" s="155">
        <f ca="1"/>
        <v>5.3714331737249599E-2</v>
      </c>
      <c r="AE347" s="138">
        <f ca="1"/>
        <v>8.3290286782630618E-2</v>
      </c>
      <c r="AH347" s="135">
        <v>8.9999999999999998E-4</v>
      </c>
      <c r="AI347" s="135">
        <v>2.7000000000000001E-3</v>
      </c>
      <c r="AJ347" s="135">
        <v>7.9000000000000008E-3</v>
      </c>
      <c r="AK347" s="135">
        <v>1.4999999999999999E-2</v>
      </c>
      <c r="AM347" s="135">
        <v>3.4000000000000002E-2</v>
      </c>
      <c r="AN347" s="135">
        <v>5.3600000000000002E-2</v>
      </c>
      <c r="AO347" s="135">
        <v>8.3400000000000002E-2</v>
      </c>
      <c r="AQ347" s="135">
        <v>1E-3</v>
      </c>
      <c r="AR347" s="135">
        <v>2.8999999999999998E-3</v>
      </c>
      <c r="AS347" s="135">
        <v>8.3000000000000001E-3</v>
      </c>
      <c r="AT347" s="135">
        <v>1.5800000000000002E-2</v>
      </c>
      <c r="AV347" s="135">
        <v>3.5700000000000003E-2</v>
      </c>
      <c r="AW347" s="135">
        <v>5.62E-2</v>
      </c>
      <c r="AX347" s="135">
        <v>8.7400000000000005E-2</v>
      </c>
    </row>
    <row r="348" spans="1:50" s="79" customFormat="1" ht="11.25">
      <c r="A348" s="96">
        <f t="shared" ca="1" si="7"/>
        <v>337</v>
      </c>
      <c r="B348" s="68" t="s">
        <v>408</v>
      </c>
      <c r="C348" s="97">
        <v>0.4</v>
      </c>
      <c r="D348" s="69" t="s">
        <v>67</v>
      </c>
      <c r="E348" s="136" t="s">
        <v>87</v>
      </c>
      <c r="F348" s="154" t="s">
        <v>87</v>
      </c>
      <c r="G348" s="154">
        <v>2.5000000000000001E-3</v>
      </c>
      <c r="H348" s="154" t="s">
        <v>87</v>
      </c>
      <c r="I348" s="154">
        <v>3.7000000000000002E-3</v>
      </c>
      <c r="J348" s="154" t="s">
        <v>87</v>
      </c>
      <c r="K348" s="154">
        <v>5.0000000000000001E-3</v>
      </c>
      <c r="L348" s="154">
        <v>5.7999999999999996E-3</v>
      </c>
      <c r="M348" s="154">
        <v>7.0000000000000001E-3</v>
      </c>
      <c r="N348" s="137" cm="1">
        <f t="array" aca="1" ref="N348:AE348" ca="1">IF(OR(B348="",NOT($J$2)),"",GetStripDefaultProbability(A348,B348,Parameter_Date,CDSRollDate,E348:M348,SpreadCurveMaturities,D348,C348,$J$4,$J$6))</f>
        <v>0</v>
      </c>
      <c r="O348" s="155">
        <f ca="1"/>
        <v>0</v>
      </c>
      <c r="P348" s="155">
        <f ca="1"/>
        <v>4.4145088047529146E-3</v>
      </c>
      <c r="Q348" s="155">
        <f ca="1"/>
        <v>0</v>
      </c>
      <c r="R348" s="155">
        <f ca="1"/>
        <v>1.89527065023255E-2</v>
      </c>
      <c r="S348" s="155">
        <f ca="1"/>
        <v>0</v>
      </c>
      <c r="T348" s="155">
        <f ca="1"/>
        <v>4.2667346982701138E-2</v>
      </c>
      <c r="U348" s="155">
        <f ca="1"/>
        <v>6.8989127792148386E-2</v>
      </c>
      <c r="V348" s="138">
        <f ca="1"/>
        <v>0.11887679129318574</v>
      </c>
      <c r="W348" s="137">
        <f ca="1"/>
        <v>0</v>
      </c>
      <c r="X348" s="155">
        <f ca="1"/>
        <v>0</v>
      </c>
      <c r="Y348" s="155">
        <f ca="1"/>
        <v>4.5804258931253505E-3</v>
      </c>
      <c r="Z348" s="155">
        <f ca="1"/>
        <v>0</v>
      </c>
      <c r="AA348" s="155">
        <f ca="1"/>
        <v>1.9443107538600901E-2</v>
      </c>
      <c r="AB348" s="155">
        <f ca="1"/>
        <v>0</v>
      </c>
      <c r="AC348" s="155">
        <f ca="1"/>
        <v>4.3464791878727427E-2</v>
      </c>
      <c r="AD348" s="155">
        <f ca="1"/>
        <v>7.0096779715659197E-2</v>
      </c>
      <c r="AE348" s="138">
        <f ca="1"/>
        <v>0.12039262238753135</v>
      </c>
      <c r="AI348" s="135">
        <v>4.3E-3</v>
      </c>
      <c r="AK348" s="135">
        <v>1.8800000000000001E-2</v>
      </c>
      <c r="AM348" s="135">
        <v>4.2500000000000003E-2</v>
      </c>
      <c r="AN348" s="135">
        <v>6.88E-2</v>
      </c>
      <c r="AO348" s="135">
        <v>0.1187</v>
      </c>
      <c r="AR348" s="135">
        <v>4.5999999999999999E-3</v>
      </c>
      <c r="AT348" s="135">
        <v>1.9800000000000002E-2</v>
      </c>
      <c r="AV348" s="135">
        <v>4.4600000000000001E-2</v>
      </c>
      <c r="AW348" s="135">
        <v>7.22E-2</v>
      </c>
      <c r="AX348" s="135">
        <v>0.12429999999999999</v>
      </c>
    </row>
    <row r="349" spans="1:50" s="79" customFormat="1" ht="11.25">
      <c r="A349" s="96">
        <f t="shared" ca="1" si="7"/>
        <v>338</v>
      </c>
      <c r="B349" s="68" t="s">
        <v>409</v>
      </c>
      <c r="C349" s="97">
        <v>0.2</v>
      </c>
      <c r="D349" s="69" t="s">
        <v>66</v>
      </c>
      <c r="E349" s="136" t="s">
        <v>87</v>
      </c>
      <c r="F349" s="154">
        <v>1.2199999999999999E-3</v>
      </c>
      <c r="G349" s="154">
        <v>1.82E-3</v>
      </c>
      <c r="H349" s="154">
        <v>2.6700000000000001E-3</v>
      </c>
      <c r="I349" s="154">
        <v>3.4399999999999999E-3</v>
      </c>
      <c r="J349" s="154" t="s">
        <v>87</v>
      </c>
      <c r="K349" s="154">
        <v>4.7999999999999996E-3</v>
      </c>
      <c r="L349" s="154">
        <v>5.4999999999999997E-3</v>
      </c>
      <c r="M349" s="154">
        <v>6.1000000000000004E-3</v>
      </c>
      <c r="N349" s="137" cm="1">
        <f t="array" aca="1" ref="N349:AE349" ca="1">IF(OR(B349="",NOT($J$2)),"",GetStripDefaultProbability(A349,B349,Parameter_Date,CDSRollDate,E349:M349,SpreadCurveMaturities,D349,C349,$J$4,$J$6))</f>
        <v>0</v>
      </c>
      <c r="O349" s="155">
        <f ca="1"/>
        <v>8.5088638666830363E-4</v>
      </c>
      <c r="P349" s="155">
        <f ca="1"/>
        <v>2.4251920953957118E-3</v>
      </c>
      <c r="Q349" s="155">
        <f ca="1"/>
        <v>6.9432060800724837E-3</v>
      </c>
      <c r="R349" s="155">
        <f ca="1"/>
        <v>1.332144074535313E-2</v>
      </c>
      <c r="S349" s="155">
        <f ca="1"/>
        <v>0</v>
      </c>
      <c r="T349" s="155">
        <f ca="1"/>
        <v>3.0508766258840136E-2</v>
      </c>
      <c r="U349" s="155">
        <f ca="1"/>
        <v>4.857008487287573E-2</v>
      </c>
      <c r="V349" s="138">
        <f ca="1"/>
        <v>7.6134196650945452E-2</v>
      </c>
      <c r="W349" s="137">
        <f ca="1"/>
        <v>0</v>
      </c>
      <c r="X349" s="155">
        <f ca="1"/>
        <v>9.2059788383858088E-4</v>
      </c>
      <c r="Y349" s="155">
        <f ca="1"/>
        <v>2.5498811531464716E-3</v>
      </c>
      <c r="Z349" s="155">
        <f ca="1"/>
        <v>7.1914392481027267E-3</v>
      </c>
      <c r="AA349" s="155">
        <f ca="1"/>
        <v>1.3691375837890929E-2</v>
      </c>
      <c r="AB349" s="155">
        <f ca="1"/>
        <v>0</v>
      </c>
      <c r="AC349" s="155">
        <f ca="1"/>
        <v>3.1129758854727907E-2</v>
      </c>
      <c r="AD349" s="155">
        <f ca="1"/>
        <v>4.9424531058279153E-2</v>
      </c>
      <c r="AE349" s="138">
        <f ca="1"/>
        <v>7.73224543726726E-2</v>
      </c>
      <c r="AH349" s="135">
        <v>8.0000000000000004E-4</v>
      </c>
      <c r="AI349" s="135">
        <v>2.3999999999999998E-3</v>
      </c>
      <c r="AJ349" s="135">
        <v>6.8999999999999999E-3</v>
      </c>
      <c r="AK349" s="135">
        <v>1.3299999999999999E-2</v>
      </c>
      <c r="AM349" s="135">
        <v>3.09E-2</v>
      </c>
      <c r="AN349" s="135">
        <v>4.9299999999999997E-2</v>
      </c>
      <c r="AO349" s="135">
        <v>7.7499999999999999E-2</v>
      </c>
      <c r="AQ349" s="135">
        <v>8.9999999999999998E-4</v>
      </c>
      <c r="AR349" s="135">
        <v>2.5000000000000001E-3</v>
      </c>
      <c r="AS349" s="135">
        <v>7.1999999999999998E-3</v>
      </c>
      <c r="AT349" s="135">
        <v>1.3899999999999999E-2</v>
      </c>
      <c r="AV349" s="135">
        <v>3.2399999999999998E-2</v>
      </c>
      <c r="AW349" s="135">
        <v>5.1700000000000003E-2</v>
      </c>
      <c r="AX349" s="135">
        <v>8.1199999999999994E-2</v>
      </c>
    </row>
    <row r="350" spans="1:50" s="79" customFormat="1" ht="11.25">
      <c r="A350" s="96">
        <f t="shared" ca="1" si="7"/>
        <v>339</v>
      </c>
      <c r="B350" s="68" t="s">
        <v>410</v>
      </c>
      <c r="C350" s="97">
        <v>0.2</v>
      </c>
      <c r="D350" s="69" t="s">
        <v>66</v>
      </c>
      <c r="E350" s="136" t="s">
        <v>87</v>
      </c>
      <c r="F350" s="154">
        <v>1.42E-3</v>
      </c>
      <c r="G350" s="154">
        <v>1.7700000000000001E-3</v>
      </c>
      <c r="H350" s="154">
        <v>2.66E-3</v>
      </c>
      <c r="I350" s="154">
        <v>3.4199999999999999E-3</v>
      </c>
      <c r="J350" s="154" t="s">
        <v>87</v>
      </c>
      <c r="K350" s="154">
        <v>4.5999999999999999E-3</v>
      </c>
      <c r="L350" s="154">
        <v>5.2399999999999999E-3</v>
      </c>
      <c r="M350" s="154">
        <v>5.7999999999999996E-3</v>
      </c>
      <c r="N350" s="137" cm="1">
        <f t="array" aca="1" ref="N350:AE350" ca="1">IF(OR(B350="",NOT($J$2)),"",GetStripDefaultProbability(A350,B350,Parameter_Date,CDSRollDate,E350:M350,SpreadCurveMaturities,D350,C350,$J$4,$J$6))</f>
        <v>0</v>
      </c>
      <c r="O350" s="155">
        <f ca="1"/>
        <v>9.9030687433698805E-4</v>
      </c>
      <c r="P350" s="155">
        <f ca="1"/>
        <v>2.3555512715635052E-3</v>
      </c>
      <c r="Q350" s="155">
        <f ca="1"/>
        <v>6.9158924042043157E-3</v>
      </c>
      <c r="R350" s="155">
        <f ca="1"/>
        <v>1.3242389448018921E-2</v>
      </c>
      <c r="S350" s="155">
        <f ca="1"/>
        <v>0</v>
      </c>
      <c r="T350" s="155">
        <f ca="1"/>
        <v>2.9244057438648996E-2</v>
      </c>
      <c r="U350" s="155">
        <f ca="1"/>
        <v>4.6301321021852915E-2</v>
      </c>
      <c r="V350" s="138">
        <f ca="1"/>
        <v>7.2485525416247976E-2</v>
      </c>
      <c r="W350" s="137">
        <f ca="1"/>
        <v>0</v>
      </c>
      <c r="X350" s="155">
        <f ca="1"/>
        <v>1.0600082257428145E-3</v>
      </c>
      <c r="Y350" s="155">
        <f ca="1"/>
        <v>2.4802490338765582E-3</v>
      </c>
      <c r="Z350" s="155">
        <f ca="1"/>
        <v>7.1641323998238304E-3</v>
      </c>
      <c r="AA350" s="155">
        <f ca="1"/>
        <v>1.3612354179234565E-2</v>
      </c>
      <c r="AB350" s="155">
        <f ca="1"/>
        <v>0</v>
      </c>
      <c r="AC350" s="155">
        <f ca="1"/>
        <v>2.9865830666292004E-2</v>
      </c>
      <c r="AD350" s="155">
        <f ca="1"/>
        <v>4.7157587485051611E-2</v>
      </c>
      <c r="AE350" s="138">
        <f ca="1"/>
        <v>7.3678439687001052E-2</v>
      </c>
      <c r="AH350" s="135">
        <v>1E-3</v>
      </c>
      <c r="AI350" s="135">
        <v>2.3E-3</v>
      </c>
      <c r="AJ350" s="135">
        <v>6.8999999999999999E-3</v>
      </c>
      <c r="AK350" s="135">
        <v>1.32E-2</v>
      </c>
      <c r="AM350" s="135">
        <v>2.9600000000000001E-2</v>
      </c>
      <c r="AN350" s="135">
        <v>4.6899999999999997E-2</v>
      </c>
      <c r="AO350" s="135">
        <v>7.3700000000000002E-2</v>
      </c>
      <c r="AQ350" s="135">
        <v>1E-3</v>
      </c>
      <c r="AR350" s="135">
        <v>2.3999999999999998E-3</v>
      </c>
      <c r="AS350" s="135">
        <v>7.1999999999999998E-3</v>
      </c>
      <c r="AT350" s="135">
        <v>1.3899999999999999E-2</v>
      </c>
      <c r="AV350" s="135">
        <v>3.1E-2</v>
      </c>
      <c r="AW350" s="135">
        <v>4.9200000000000001E-2</v>
      </c>
      <c r="AX350" s="135">
        <v>7.7200000000000005E-2</v>
      </c>
    </row>
    <row r="351" spans="1:50" s="79" customFormat="1" ht="11.25">
      <c r="A351" s="96">
        <f t="shared" ca="1" si="7"/>
        <v>340</v>
      </c>
      <c r="B351" s="68" t="s">
        <v>124</v>
      </c>
      <c r="C351" s="97">
        <v>0.4</v>
      </c>
      <c r="D351" s="69" t="s">
        <v>66</v>
      </c>
      <c r="E351" s="136" t="s">
        <v>87</v>
      </c>
      <c r="F351" s="154">
        <v>1.8500000000000001E-3</v>
      </c>
      <c r="G351" s="154">
        <v>2.0699999999999998E-3</v>
      </c>
      <c r="H351" s="154">
        <v>2.81E-3</v>
      </c>
      <c r="I351" s="154">
        <v>3.2599999999999999E-3</v>
      </c>
      <c r="J351" s="154" t="s">
        <v>87</v>
      </c>
      <c r="K351" s="154">
        <v>4.1000000000000003E-3</v>
      </c>
      <c r="L351" s="154">
        <v>4.5999999999999999E-3</v>
      </c>
      <c r="M351" s="154">
        <v>5.0000000000000001E-3</v>
      </c>
      <c r="N351" s="137" cm="1">
        <f t="array" aca="1" ref="N351:AE351" ca="1">IF(OR(B351="",NOT($J$2)),"",GetStripDefaultProbability(A351,B351,Parameter_Date,CDSRollDate,E351:M351,SpreadCurveMaturities,D351,C351,$J$4,$J$6))</f>
        <v>0</v>
      </c>
      <c r="O351" s="155">
        <f ca="1"/>
        <v>1.7196236251293406E-3</v>
      </c>
      <c r="P351" s="155">
        <f ca="1"/>
        <v>3.6674543526901138E-3</v>
      </c>
      <c r="Q351" s="155">
        <f ca="1"/>
        <v>9.714584926525327E-3</v>
      </c>
      <c r="R351" s="155">
        <f ca="1"/>
        <v>1.6750335007815531E-2</v>
      </c>
      <c r="S351" s="155">
        <f ca="1"/>
        <v>0</v>
      </c>
      <c r="T351" s="155">
        <f ca="1"/>
        <v>3.4604517584042149E-2</v>
      </c>
      <c r="U351" s="155">
        <f ca="1"/>
        <v>5.39199292002569E-2</v>
      </c>
      <c r="V351" s="138">
        <f ca="1"/>
        <v>8.2789304547370879E-2</v>
      </c>
      <c r="W351" s="137">
        <f ca="1"/>
        <v>0</v>
      </c>
      <c r="X351" s="155">
        <f ca="1"/>
        <v>1.8124869276887612E-3</v>
      </c>
      <c r="Y351" s="155">
        <f ca="1"/>
        <v>3.8334959397758883E-3</v>
      </c>
      <c r="Z351" s="155">
        <f ca="1"/>
        <v>1.0044625055157907E-2</v>
      </c>
      <c r="AA351" s="155">
        <f ca="1"/>
        <v>1.7241836954587031E-2</v>
      </c>
      <c r="AB351" s="155">
        <f ca="1"/>
        <v>0</v>
      </c>
      <c r="AC351" s="155">
        <f ca="1"/>
        <v>3.5428799501515007E-2</v>
      </c>
      <c r="AD351" s="155">
        <f ca="1"/>
        <v>5.5052342435575108E-2</v>
      </c>
      <c r="AE351" s="138">
        <f ca="1"/>
        <v>8.4362098165927102E-2</v>
      </c>
      <c r="AH351" s="135">
        <v>1.6999999999999999E-3</v>
      </c>
      <c r="AI351" s="135">
        <v>3.5999999999999999E-3</v>
      </c>
      <c r="AJ351" s="135">
        <v>9.5999999999999992E-3</v>
      </c>
      <c r="AK351" s="135">
        <v>1.67E-2</v>
      </c>
      <c r="AM351" s="135">
        <v>3.4799999999999998E-2</v>
      </c>
      <c r="AN351" s="135">
        <v>5.45E-2</v>
      </c>
      <c r="AO351" s="135">
        <v>8.3799999999999999E-2</v>
      </c>
      <c r="AQ351" s="135">
        <v>1.8E-3</v>
      </c>
      <c r="AR351" s="135">
        <v>3.8E-3</v>
      </c>
      <c r="AS351" s="135">
        <v>1.01E-2</v>
      </c>
      <c r="AT351" s="135">
        <v>1.7500000000000002E-2</v>
      </c>
      <c r="AV351" s="135">
        <v>3.6600000000000001E-2</v>
      </c>
      <c r="AW351" s="135">
        <v>5.7099999999999998E-2</v>
      </c>
      <c r="AX351" s="135">
        <v>8.7800000000000003E-2</v>
      </c>
    </row>
    <row r="352" spans="1:50" s="79" customFormat="1" ht="11.25">
      <c r="A352" s="96">
        <f t="shared" ca="1" si="7"/>
        <v>341</v>
      </c>
      <c r="B352" s="68" t="s">
        <v>411</v>
      </c>
      <c r="C352" s="97">
        <v>0.4</v>
      </c>
      <c r="D352" s="69" t="s">
        <v>67</v>
      </c>
      <c r="E352" s="136" t="s">
        <v>87</v>
      </c>
      <c r="F352" s="154">
        <v>1.41E-3</v>
      </c>
      <c r="G352" s="154">
        <v>2.1900000000000001E-3</v>
      </c>
      <c r="H352" s="154">
        <v>3.2100000000000002E-3</v>
      </c>
      <c r="I352" s="154">
        <v>3.7299999999999998E-3</v>
      </c>
      <c r="J352" s="154" t="s">
        <v>87</v>
      </c>
      <c r="K352" s="154">
        <v>4.4999999999999997E-3</v>
      </c>
      <c r="L352" s="154">
        <v>4.8900000000000002E-3</v>
      </c>
      <c r="M352" s="154">
        <v>5.2700000000000004E-3</v>
      </c>
      <c r="N352" s="137" cm="1">
        <f t="array" aca="1" ref="N352:AE352" ca="1">IF(OR(B352="",NOT($J$2)),"",GetStripDefaultProbability(A352,B352,Parameter_Date,CDSRollDate,E352:M352,SpreadCurveMaturities,D352,C352,$J$4,$J$6))</f>
        <v>0</v>
      </c>
      <c r="O352" s="155">
        <f ca="1"/>
        <v>1.3085594739854489E-3</v>
      </c>
      <c r="P352" s="155">
        <f ca="1"/>
        <v>3.8868088620600538E-3</v>
      </c>
      <c r="Q352" s="155">
        <f ca="1"/>
        <v>1.1118572075604183E-2</v>
      </c>
      <c r="R352" s="155">
        <f ca="1"/>
        <v>1.9191433321674389E-2</v>
      </c>
      <c r="S352" s="155">
        <f ca="1"/>
        <v>0</v>
      </c>
      <c r="T352" s="155">
        <f ca="1"/>
        <v>3.8281198491290302E-2</v>
      </c>
      <c r="U352" s="155">
        <f ca="1"/>
        <v>5.7778260301626028E-2</v>
      </c>
      <c r="V352" s="138">
        <f ca="1"/>
        <v>8.8106633988834893E-2</v>
      </c>
      <c r="W352" s="137">
        <f ca="1"/>
        <v>0</v>
      </c>
      <c r="X352" s="155">
        <f ca="1"/>
        <v>1.4012963136370571E-3</v>
      </c>
      <c r="Y352" s="155">
        <f ca="1"/>
        <v>4.0528138931120727E-3</v>
      </c>
      <c r="Z352" s="155">
        <f ca="1"/>
        <v>1.1448144286496986E-2</v>
      </c>
      <c r="AA352" s="155">
        <f ca="1"/>
        <v>1.9681715024358448E-2</v>
      </c>
      <c r="AB352" s="155">
        <f ca="1"/>
        <v>0</v>
      </c>
      <c r="AC352" s="155">
        <f ca="1"/>
        <v>3.908229698845811E-2</v>
      </c>
      <c r="AD352" s="155">
        <f ca="1"/>
        <v>5.8898876665062549E-2</v>
      </c>
      <c r="AE352" s="138">
        <f ca="1"/>
        <v>8.9625190450250303E-2</v>
      </c>
      <c r="AH352" s="135">
        <v>1.2999999999999999E-3</v>
      </c>
      <c r="AI352" s="135">
        <v>3.8E-3</v>
      </c>
      <c r="AJ352" s="135">
        <v>1.0999999999999999E-2</v>
      </c>
      <c r="AK352" s="135">
        <v>1.9099999999999999E-2</v>
      </c>
      <c r="AM352" s="135">
        <v>3.8199999999999998E-2</v>
      </c>
      <c r="AN352" s="135">
        <v>5.7599999999999998E-2</v>
      </c>
      <c r="AO352" s="135">
        <v>8.7999999999999995E-2</v>
      </c>
      <c r="AQ352" s="135">
        <v>1.4E-3</v>
      </c>
      <c r="AR352" s="135">
        <v>4.0000000000000001E-3</v>
      </c>
      <c r="AS352" s="135">
        <v>1.1599999999999999E-2</v>
      </c>
      <c r="AT352" s="135">
        <v>0.02</v>
      </c>
      <c r="AV352" s="135">
        <v>0.04</v>
      </c>
      <c r="AW352" s="135">
        <v>6.0400000000000002E-2</v>
      </c>
      <c r="AX352" s="135">
        <v>9.2200000000000004E-2</v>
      </c>
    </row>
    <row r="353" spans="1:53" s="79" customFormat="1" ht="11.25">
      <c r="A353" s="96">
        <f t="shared" ca="1" si="7"/>
        <v>342</v>
      </c>
      <c r="B353" s="68" t="s">
        <v>412</v>
      </c>
      <c r="C353" s="97">
        <v>0.4</v>
      </c>
      <c r="D353" s="69" t="s">
        <v>66</v>
      </c>
      <c r="E353" s="136" t="s">
        <v>87</v>
      </c>
      <c r="F353" s="154">
        <v>1.0200000000000001E-3</v>
      </c>
      <c r="G353" s="154">
        <v>1.5399999999999999E-3</v>
      </c>
      <c r="H353" s="154">
        <v>2.0500000000000002E-3</v>
      </c>
      <c r="I353" s="154">
        <v>2.7599999999999999E-3</v>
      </c>
      <c r="J353" s="154" t="s">
        <v>87</v>
      </c>
      <c r="K353" s="154">
        <v>4.3E-3</v>
      </c>
      <c r="L353" s="154">
        <v>5.0000000000000001E-3</v>
      </c>
      <c r="M353" s="154">
        <v>5.4000000000000003E-3</v>
      </c>
      <c r="N353" s="137" cm="1">
        <f t="array" aca="1" ref="N353:AE353" ca="1">IF(OR(B353="",NOT($J$2)),"",GetStripDefaultProbability(A353,B353,Parameter_Date,CDSRollDate,E353:M353,SpreadCurveMaturities,D353,C353,$J$4,$J$6))</f>
        <v>0</v>
      </c>
      <c r="O353" s="155">
        <f ca="1"/>
        <v>9.4848277039671913E-4</v>
      </c>
      <c r="P353" s="155">
        <f ca="1"/>
        <v>2.7359817652823359E-3</v>
      </c>
      <c r="Q353" s="155">
        <f ca="1"/>
        <v>7.0997710291730298E-3</v>
      </c>
      <c r="R353" s="155">
        <f ca="1"/>
        <v>1.4251122747488298E-2</v>
      </c>
      <c r="S353" s="155">
        <f ca="1"/>
        <v>0</v>
      </c>
      <c r="T353" s="155">
        <f ca="1"/>
        <v>3.6388986254023981E-2</v>
      </c>
      <c r="U353" s="155">
        <f ca="1"/>
        <v>5.8688274387001638E-2</v>
      </c>
      <c r="V353" s="138">
        <f ca="1"/>
        <v>8.9335285129523601E-2</v>
      </c>
      <c r="W353" s="137">
        <f ca="1"/>
        <v>0</v>
      </c>
      <c r="X353" s="155">
        <f ca="1"/>
        <v>1.0414213074283474E-3</v>
      </c>
      <c r="Y353" s="155">
        <f ca="1"/>
        <v>2.902178584873405E-3</v>
      </c>
      <c r="Z353" s="155">
        <f ca="1"/>
        <v>7.4306826171577356E-3</v>
      </c>
      <c r="AA353" s="155">
        <f ca="1"/>
        <v>1.4743873988052103E-2</v>
      </c>
      <c r="AB353" s="155">
        <f ca="1"/>
        <v>0</v>
      </c>
      <c r="AC353" s="155">
        <f ca="1"/>
        <v>3.7212560388871552E-2</v>
      </c>
      <c r="AD353" s="155">
        <f ca="1"/>
        <v>5.9817031868753645E-2</v>
      </c>
      <c r="AE353" s="138">
        <f ca="1"/>
        <v>9.089868188395045E-2</v>
      </c>
      <c r="AH353" s="135">
        <v>8.9999999999999998E-4</v>
      </c>
      <c r="AI353" s="135">
        <v>2.7000000000000001E-3</v>
      </c>
      <c r="AJ353" s="135">
        <v>7.0000000000000001E-3</v>
      </c>
      <c r="AK353" s="135">
        <v>1.4200000000000001E-2</v>
      </c>
      <c r="AM353" s="135">
        <v>3.6999999999999998E-2</v>
      </c>
      <c r="AN353" s="135">
        <v>5.9799999999999999E-2</v>
      </c>
      <c r="AO353" s="135">
        <v>9.0800000000000006E-2</v>
      </c>
      <c r="AQ353" s="135">
        <v>1E-3</v>
      </c>
      <c r="AR353" s="135">
        <v>2.8999999999999998E-3</v>
      </c>
      <c r="AS353" s="135">
        <v>7.4000000000000003E-3</v>
      </c>
      <c r="AT353" s="135">
        <v>1.49E-2</v>
      </c>
      <c r="AV353" s="135">
        <v>3.8800000000000001E-2</v>
      </c>
      <c r="AW353" s="135">
        <v>6.2700000000000006E-2</v>
      </c>
      <c r="AX353" s="135">
        <v>9.5200000000000007E-2</v>
      </c>
    </row>
    <row r="354" spans="1:53" s="79" customFormat="1" ht="11.25">
      <c r="A354" s="96">
        <f t="shared" ca="1" si="7"/>
        <v>343</v>
      </c>
      <c r="B354" s="68" t="s">
        <v>176</v>
      </c>
      <c r="C354" s="97">
        <v>0.4</v>
      </c>
      <c r="D354" s="69" t="s">
        <v>66</v>
      </c>
      <c r="E354" s="136" t="s">
        <v>87</v>
      </c>
      <c r="F354" s="154">
        <v>1.65E-3</v>
      </c>
      <c r="G354" s="154">
        <v>2.5300000000000001E-3</v>
      </c>
      <c r="H354" s="154">
        <v>3.2299999999999998E-3</v>
      </c>
      <c r="I354" s="154">
        <v>3.5400000000000002E-3</v>
      </c>
      <c r="J354" s="154" t="s">
        <v>87</v>
      </c>
      <c r="K354" s="154">
        <v>4.1999999999999997E-3</v>
      </c>
      <c r="L354" s="154">
        <v>4.5999999999999999E-3</v>
      </c>
      <c r="M354" s="154">
        <v>5.0000000000000001E-3</v>
      </c>
      <c r="N354" s="137" cm="1">
        <f t="array" aca="1" ref="N354:AE354" ca="1">IF(OR(B354="",NOT($J$2)),"",GetStripDefaultProbability(A354,B354,Parameter_Date,CDSRollDate,E354:M354,SpreadCurveMaturities,D354,C354,$J$4,$J$6))</f>
        <v>0</v>
      </c>
      <c r="O354" s="155">
        <f ca="1"/>
        <v>1.5338609761123001E-3</v>
      </c>
      <c r="P354" s="155">
        <f ca="1"/>
        <v>4.4920611665246746E-3</v>
      </c>
      <c r="Q354" s="155">
        <f ca="1"/>
        <v>1.1161877087716654E-2</v>
      </c>
      <c r="R354" s="155">
        <f ca="1"/>
        <v>1.8152136471375813E-2</v>
      </c>
      <c r="S354" s="155">
        <f ca="1"/>
        <v>0</v>
      </c>
      <c r="T354" s="155">
        <f ca="1"/>
        <v>3.5390645553673661E-2</v>
      </c>
      <c r="U354" s="155">
        <f ca="1"/>
        <v>5.3832872601589199E-2</v>
      </c>
      <c r="V354" s="138">
        <f ca="1"/>
        <v>8.2700088893029822E-2</v>
      </c>
      <c r="W354" s="137">
        <f ca="1"/>
        <v>0</v>
      </c>
      <c r="X354" s="155">
        <f ca="1"/>
        <v>1.6267426001351781E-3</v>
      </c>
      <c r="Y354" s="155">
        <f ca="1"/>
        <v>4.6579653305909297E-3</v>
      </c>
      <c r="Z354" s="155">
        <f ca="1"/>
        <v>1.1491434865996464E-2</v>
      </c>
      <c r="AA354" s="155">
        <f ca="1"/>
        <v>1.8642937692620487E-2</v>
      </c>
      <c r="AB354" s="155">
        <f ca="1"/>
        <v>0</v>
      </c>
      <c r="AC354" s="155">
        <f ca="1"/>
        <v>3.6213889662664256E-2</v>
      </c>
      <c r="AD354" s="155">
        <f ca="1"/>
        <v>5.4964586279956151E-2</v>
      </c>
      <c r="AE354" s="138">
        <f ca="1"/>
        <v>8.4272052116189489E-2</v>
      </c>
      <c r="AH354" s="135">
        <v>1.5E-3</v>
      </c>
      <c r="AI354" s="135">
        <v>4.4000000000000003E-3</v>
      </c>
      <c r="AJ354" s="135">
        <v>1.11E-2</v>
      </c>
      <c r="AK354" s="135">
        <v>1.8100000000000002E-2</v>
      </c>
      <c r="AM354" s="135">
        <v>3.5499999999999997E-2</v>
      </c>
      <c r="AN354" s="135">
        <v>5.4199999999999998E-2</v>
      </c>
      <c r="AO354" s="135">
        <v>8.3500000000000005E-2</v>
      </c>
      <c r="AQ354" s="135">
        <v>1.6000000000000001E-3</v>
      </c>
      <c r="AR354" s="135">
        <v>4.5999999999999999E-3</v>
      </c>
      <c r="AS354" s="135">
        <v>1.1599999999999999E-2</v>
      </c>
      <c r="AT354" s="135">
        <v>1.89E-2</v>
      </c>
      <c r="AV354" s="135">
        <v>3.73E-2</v>
      </c>
      <c r="AW354" s="135">
        <v>5.6800000000000003E-2</v>
      </c>
      <c r="AX354" s="135">
        <v>8.7499999999999994E-2</v>
      </c>
    </row>
    <row r="355" spans="1:53" s="79" customFormat="1" ht="11.25">
      <c r="A355" s="96">
        <f t="shared" ca="1" si="7"/>
        <v>344</v>
      </c>
      <c r="B355" s="68" t="s">
        <v>413</v>
      </c>
      <c r="C355" s="97">
        <v>0.4</v>
      </c>
      <c r="D355" s="69" t="s">
        <v>66</v>
      </c>
      <c r="E355" s="136" t="s">
        <v>87</v>
      </c>
      <c r="F355" s="154">
        <v>1.06E-3</v>
      </c>
      <c r="G355" s="154">
        <v>1.6900000000000001E-3</v>
      </c>
      <c r="H355" s="154">
        <v>2.0100000000000001E-3</v>
      </c>
      <c r="I355" s="154">
        <v>2.5400000000000002E-3</v>
      </c>
      <c r="J355" s="154" t="s">
        <v>87</v>
      </c>
      <c r="K355" s="154">
        <v>3.5999999999999999E-3</v>
      </c>
      <c r="L355" s="154">
        <v>4.15E-3</v>
      </c>
      <c r="M355" s="154">
        <v>4.5999999999999999E-3</v>
      </c>
      <c r="N355" s="137" cm="1">
        <f t="array" aca="1" ref="N355:AE355" ca="1">IF(OR(B355="",NOT($J$2)),"",GetStripDefaultProbability(A355,B355,Parameter_Date,CDSRollDate,E355:M355,SpreadCurveMaturities,D355,C355,$J$4,$J$6))</f>
        <v>0</v>
      </c>
      <c r="O355" s="155">
        <f ca="1"/>
        <v>9.8565983812348712E-4</v>
      </c>
      <c r="P355" s="155">
        <f ca="1"/>
        <v>3.003206310136064E-3</v>
      </c>
      <c r="Q355" s="155">
        <f ca="1"/>
        <v>6.9528084922467759E-3</v>
      </c>
      <c r="R355" s="155">
        <f ca="1"/>
        <v>1.3093754045948036E-2</v>
      </c>
      <c r="S355" s="155">
        <f ca="1"/>
        <v>0</v>
      </c>
      <c r="T355" s="155">
        <f ca="1"/>
        <v>3.0488237917518313E-2</v>
      </c>
      <c r="U355" s="155">
        <f ca="1"/>
        <v>4.8846048129615349E-2</v>
      </c>
      <c r="V355" s="138">
        <f ca="1"/>
        <v>7.6523446567897335E-2</v>
      </c>
      <c r="W355" s="137">
        <f ca="1"/>
        <v>0</v>
      </c>
      <c r="X355" s="155">
        <f ca="1"/>
        <v>1.078594796507959E-3</v>
      </c>
      <c r="Y355" s="155">
        <f ca="1"/>
        <v>3.1693585960101966E-3</v>
      </c>
      <c r="Z355" s="155">
        <f ca="1"/>
        <v>7.2837690595981552E-3</v>
      </c>
      <c r="AA355" s="155">
        <f ca="1"/>
        <v>1.3587083826183233E-2</v>
      </c>
      <c r="AB355" s="155">
        <f ca="1"/>
        <v>0</v>
      </c>
      <c r="AC355" s="155">
        <f ca="1"/>
        <v>3.1316587251089434E-2</v>
      </c>
      <c r="AD355" s="155">
        <f ca="1"/>
        <v>4.9985442867918728E-2</v>
      </c>
      <c r="AE355" s="138">
        <f ca="1"/>
        <v>7.8108770391041249E-2</v>
      </c>
      <c r="AH355" s="135">
        <v>1E-3</v>
      </c>
      <c r="AI355" s="135">
        <v>3.0000000000000001E-3</v>
      </c>
      <c r="AJ355" s="135">
        <v>6.8999999999999999E-3</v>
      </c>
      <c r="AK355" s="135">
        <v>1.2999999999999999E-2</v>
      </c>
      <c r="AM355" s="135">
        <v>3.09E-2</v>
      </c>
      <c r="AN355" s="135">
        <v>4.9599999999999998E-2</v>
      </c>
      <c r="AO355" s="135">
        <v>7.7899999999999997E-2</v>
      </c>
      <c r="AQ355" s="135">
        <v>1E-3</v>
      </c>
      <c r="AR355" s="135">
        <v>3.0999999999999999E-3</v>
      </c>
      <c r="AS355" s="135">
        <v>7.1999999999999998E-3</v>
      </c>
      <c r="AT355" s="135">
        <v>1.37E-2</v>
      </c>
      <c r="AV355" s="135">
        <v>3.2399999999999998E-2</v>
      </c>
      <c r="AW355" s="135">
        <v>5.21E-2</v>
      </c>
      <c r="AX355" s="135">
        <v>8.1699999999999995E-2</v>
      </c>
    </row>
    <row r="356" spans="1:53" s="79" customFormat="1" ht="11.25">
      <c r="A356" s="96">
        <f t="shared" ca="1" si="7"/>
        <v>345</v>
      </c>
      <c r="B356" s="68" t="s">
        <v>414</v>
      </c>
      <c r="C356" s="97">
        <v>0.2</v>
      </c>
      <c r="D356" s="69" t="s">
        <v>66</v>
      </c>
      <c r="E356" s="136" t="s">
        <v>87</v>
      </c>
      <c r="F356" s="154">
        <v>1.09E-3</v>
      </c>
      <c r="G356" s="154">
        <v>1.56E-3</v>
      </c>
      <c r="H356" s="154">
        <v>2.1900000000000001E-3</v>
      </c>
      <c r="I356" s="154">
        <v>2.7299999999999998E-3</v>
      </c>
      <c r="J356" s="154" t="s">
        <v>87</v>
      </c>
      <c r="K356" s="154">
        <v>3.5000000000000001E-3</v>
      </c>
      <c r="L356" s="154">
        <v>4.0000000000000001E-3</v>
      </c>
      <c r="M356" s="154">
        <v>4.5999999999999999E-3</v>
      </c>
      <c r="N356" s="137" cm="1">
        <f t="array" aca="1" ref="N356:AE356" ca="1">IF(OR(B356="",NOT($J$2)),"",GetStripDefaultProbability(A356,B356,Parameter_Date,CDSRollDate,E356:M356,SpreadCurveMaturities,D356,C356,$J$4,$J$6))</f>
        <v>0</v>
      </c>
      <c r="O356" s="155">
        <f ca="1"/>
        <v>7.6025263808943144E-4</v>
      </c>
      <c r="P356" s="155">
        <f ca="1"/>
        <v>2.0784534589518566E-3</v>
      </c>
      <c r="Q356" s="155">
        <f ca="1"/>
        <v>5.6945172293896285E-3</v>
      </c>
      <c r="R356" s="155">
        <f ca="1"/>
        <v>1.0572464590290043E-2</v>
      </c>
      <c r="S356" s="155">
        <f ca="1"/>
        <v>0</v>
      </c>
      <c r="T356" s="155">
        <f ca="1"/>
        <v>2.2298084246434535E-2</v>
      </c>
      <c r="U356" s="155">
        <f ca="1"/>
        <v>3.5491428688251503E-2</v>
      </c>
      <c r="V356" s="138">
        <f ca="1"/>
        <v>5.7887785023085336E-2</v>
      </c>
      <c r="W356" s="137">
        <f ca="1"/>
        <v>0</v>
      </c>
      <c r="X356" s="155">
        <f ca="1"/>
        <v>8.2997069548162994E-4</v>
      </c>
      <c r="Y356" s="155">
        <f ca="1"/>
        <v>2.2031858563366091E-3</v>
      </c>
      <c r="Z356" s="155">
        <f ca="1"/>
        <v>5.9430625306317042E-3</v>
      </c>
      <c r="AA356" s="155">
        <f ca="1"/>
        <v>1.0943430355651595E-2</v>
      </c>
      <c r="AB356" s="155">
        <f ca="1"/>
        <v>0</v>
      </c>
      <c r="AC356" s="155">
        <f ca="1"/>
        <v>2.2924228295430837E-2</v>
      </c>
      <c r="AD356" s="155">
        <f ca="1"/>
        <v>3.6356915425117875E-2</v>
      </c>
      <c r="AE356" s="138">
        <f ca="1"/>
        <v>5.9100043538664271E-2</v>
      </c>
      <c r="AH356" s="135">
        <v>6.9999999999999999E-4</v>
      </c>
      <c r="AI356" s="135">
        <v>2E-3</v>
      </c>
      <c r="AJ356" s="135">
        <v>5.5999999999999999E-3</v>
      </c>
      <c r="AK356" s="135">
        <v>1.0500000000000001E-2</v>
      </c>
      <c r="AM356" s="135">
        <v>2.2499999999999999E-2</v>
      </c>
      <c r="AN356" s="135">
        <v>3.5900000000000001E-2</v>
      </c>
      <c r="AO356" s="135">
        <v>5.91E-2</v>
      </c>
      <c r="AQ356" s="135">
        <v>8.0000000000000004E-4</v>
      </c>
      <c r="AR356" s="135">
        <v>2.2000000000000001E-3</v>
      </c>
      <c r="AS356" s="135">
        <v>5.8999999999999999E-3</v>
      </c>
      <c r="AT356" s="135">
        <v>1.11E-2</v>
      </c>
      <c r="AV356" s="135">
        <v>2.3599999999999999E-2</v>
      </c>
      <c r="AW356" s="135">
        <v>3.7699999999999997E-2</v>
      </c>
      <c r="AX356" s="135">
        <v>6.2E-2</v>
      </c>
    </row>
    <row r="357" spans="1:53" s="79" customFormat="1" ht="11.25">
      <c r="A357" s="96">
        <f t="shared" ca="1" si="7"/>
        <v>346</v>
      </c>
      <c r="B357" s="68" t="s">
        <v>415</v>
      </c>
      <c r="C357" s="97">
        <v>0.4</v>
      </c>
      <c r="D357" s="69" t="s">
        <v>66</v>
      </c>
      <c r="E357" s="136" t="s">
        <v>87</v>
      </c>
      <c r="F357" s="154">
        <v>1.74E-3</v>
      </c>
      <c r="G357" s="154">
        <v>2.0899999999999998E-3</v>
      </c>
      <c r="H357" s="154">
        <v>2.7799999999999999E-3</v>
      </c>
      <c r="I357" s="154">
        <v>3.3300000000000001E-3</v>
      </c>
      <c r="J357" s="154" t="s">
        <v>87</v>
      </c>
      <c r="K357" s="154">
        <v>4.0000000000000001E-3</v>
      </c>
      <c r="L357" s="154">
        <v>4.45E-3</v>
      </c>
      <c r="M357" s="154">
        <v>5.0000000000000001E-3</v>
      </c>
      <c r="N357" s="137" cm="1">
        <f t="array" aca="1" ref="N357:AE357" ca="1">IF(OR(B357="",NOT($J$2)),"",GetStripDefaultProbability(A357,B357,Parameter_Date,CDSRollDate,E357:M357,SpreadCurveMaturities,D357,C357,$J$4,$J$6))</f>
        <v>0</v>
      </c>
      <c r="O357" s="155">
        <f ca="1"/>
        <v>1.6174584429273775E-3</v>
      </c>
      <c r="P357" s="155">
        <f ca="1"/>
        <v>3.7051540314536613E-3</v>
      </c>
      <c r="Q357" s="155">
        <f ca="1"/>
        <v>9.6110986163255863E-3</v>
      </c>
      <c r="R357" s="155">
        <f ca="1"/>
        <v>1.7121189311790297E-2</v>
      </c>
      <c r="S357" s="155">
        <f ca="1"/>
        <v>0</v>
      </c>
      <c r="T357" s="155">
        <f ca="1"/>
        <v>3.3772823917089245E-2</v>
      </c>
      <c r="U357" s="155">
        <f ca="1"/>
        <v>5.2186870593168844E-2</v>
      </c>
      <c r="V357" s="138">
        <f ca="1"/>
        <v>8.2849282382641998E-2</v>
      </c>
      <c r="W357" s="137">
        <f ca="1"/>
        <v>0</v>
      </c>
      <c r="X357" s="155">
        <f ca="1"/>
        <v>1.7103318378942634E-3</v>
      </c>
      <c r="Y357" s="155">
        <f ca="1"/>
        <v>3.8711893357959992E-3</v>
      </c>
      <c r="Z357" s="155">
        <f ca="1"/>
        <v>9.9411732346257331E-3</v>
      </c>
      <c r="AA357" s="155">
        <f ca="1"/>
        <v>1.7612505877746654E-2</v>
      </c>
      <c r="AB357" s="155">
        <f ca="1"/>
        <v>0</v>
      </c>
      <c r="AC357" s="155">
        <f ca="1"/>
        <v>3.4597747308836579E-2</v>
      </c>
      <c r="AD357" s="155">
        <f ca="1"/>
        <v>5.3320999356627596E-2</v>
      </c>
      <c r="AE357" s="138">
        <f ca="1"/>
        <v>8.442209659704214E-2</v>
      </c>
      <c r="AH357" s="135">
        <v>1.6000000000000001E-3</v>
      </c>
      <c r="AI357" s="135">
        <v>3.5999999999999999E-3</v>
      </c>
      <c r="AJ357" s="135">
        <v>9.4999999999999998E-3</v>
      </c>
      <c r="AK357" s="135">
        <v>1.7000000000000001E-2</v>
      </c>
      <c r="AM357" s="135">
        <v>3.39E-2</v>
      </c>
      <c r="AN357" s="135">
        <v>5.2600000000000001E-2</v>
      </c>
      <c r="AO357" s="135">
        <v>8.4099999999999994E-2</v>
      </c>
      <c r="AQ357" s="135">
        <v>1.6999999999999999E-3</v>
      </c>
      <c r="AR357" s="135">
        <v>3.8E-3</v>
      </c>
      <c r="AS357" s="135">
        <v>0.01</v>
      </c>
      <c r="AT357" s="135">
        <v>1.7899999999999999E-2</v>
      </c>
      <c r="AV357" s="135">
        <v>3.56E-2</v>
      </c>
      <c r="AW357" s="135">
        <v>5.5199999999999999E-2</v>
      </c>
      <c r="AX357" s="135">
        <v>8.8099999999999998E-2</v>
      </c>
    </row>
    <row r="358" spans="1:53" s="79" customFormat="1" ht="11.25">
      <c r="A358" s="96">
        <f t="shared" ca="1" si="7"/>
        <v>347</v>
      </c>
      <c r="B358" s="68" t="s">
        <v>416</v>
      </c>
      <c r="C358" s="97">
        <v>0.2</v>
      </c>
      <c r="D358" s="69" t="s">
        <v>66</v>
      </c>
      <c r="E358" s="136" t="s">
        <v>87</v>
      </c>
      <c r="F358" s="154">
        <v>1.42E-3</v>
      </c>
      <c r="G358" s="154">
        <v>1.8400000000000001E-3</v>
      </c>
      <c r="H358" s="154">
        <v>2.5500000000000002E-3</v>
      </c>
      <c r="I358" s="154">
        <v>3.3500000000000001E-3</v>
      </c>
      <c r="J358" s="154" t="s">
        <v>87</v>
      </c>
      <c r="K358" s="154">
        <v>4.7999999999999996E-3</v>
      </c>
      <c r="L358" s="154">
        <v>5.4999999999999997E-3</v>
      </c>
      <c r="M358" s="154">
        <v>6.0000000000000001E-3</v>
      </c>
      <c r="N358" s="137" cm="1">
        <f t="array" aca="1" ref="N358:AE358" ca="1">IF(OR(B358="",NOT($J$2)),"",GetStripDefaultProbability(A358,B358,Parameter_Date,CDSRollDate,E358:M358,SpreadCurveMaturities,D358,C358,$J$4,$J$6))</f>
        <v>0</v>
      </c>
      <c r="O358" s="155">
        <f ca="1"/>
        <v>9.9030687433698805E-4</v>
      </c>
      <c r="P358" s="155">
        <f ca="1"/>
        <v>2.4493488744117276E-3</v>
      </c>
      <c r="Q358" s="155">
        <f ca="1"/>
        <v>6.6252678563544221E-3</v>
      </c>
      <c r="R358" s="155">
        <f ca="1"/>
        <v>1.2973153866395415E-2</v>
      </c>
      <c r="S358" s="155">
        <f ca="1"/>
        <v>0</v>
      </c>
      <c r="T358" s="155">
        <f ca="1"/>
        <v>3.0511631027234309E-2</v>
      </c>
      <c r="U358" s="155">
        <f ca="1"/>
        <v>4.8573526869748584E-2</v>
      </c>
      <c r="V358" s="138">
        <f ca="1"/>
        <v>7.4900246505926305E-2</v>
      </c>
      <c r="W358" s="137">
        <f ca="1"/>
        <v>0</v>
      </c>
      <c r="X358" s="155">
        <f ca="1"/>
        <v>1.0600082257428145E-3</v>
      </c>
      <c r="Y358" s="155">
        <f ca="1"/>
        <v>2.5740349127694184E-3</v>
      </c>
      <c r="Z358" s="155">
        <f ca="1"/>
        <v>6.8735804990254223E-3</v>
      </c>
      <c r="AA358" s="155">
        <f ca="1"/>
        <v>1.3343219542033102E-2</v>
      </c>
      <c r="AB358" s="155">
        <f ca="1"/>
        <v>0</v>
      </c>
      <c r="AC358" s="155">
        <f ca="1"/>
        <v>3.1132652748171674E-2</v>
      </c>
      <c r="AD358" s="155">
        <f ca="1"/>
        <v>4.9428064720609899E-2</v>
      </c>
      <c r="AE358" s="138">
        <f ca="1"/>
        <v>7.609013956744215E-2</v>
      </c>
      <c r="AH358" s="135">
        <v>1E-3</v>
      </c>
      <c r="AI358" s="135">
        <v>2.3999999999999998E-3</v>
      </c>
      <c r="AJ358" s="135">
        <v>6.6E-3</v>
      </c>
      <c r="AK358" s="135">
        <v>1.29E-2</v>
      </c>
      <c r="AM358" s="135">
        <v>3.09E-2</v>
      </c>
      <c r="AN358" s="135">
        <v>4.9399999999999999E-2</v>
      </c>
      <c r="AO358" s="135">
        <v>7.6100000000000001E-2</v>
      </c>
      <c r="AQ358" s="135">
        <v>1E-3</v>
      </c>
      <c r="AR358" s="135">
        <v>2.5000000000000001E-3</v>
      </c>
      <c r="AS358" s="135">
        <v>6.8999999999999999E-3</v>
      </c>
      <c r="AT358" s="135">
        <v>1.3599999999999999E-2</v>
      </c>
      <c r="AV358" s="135">
        <v>3.2500000000000001E-2</v>
      </c>
      <c r="AW358" s="135">
        <v>5.1799999999999999E-2</v>
      </c>
      <c r="AX358" s="135">
        <v>7.9799999999999996E-2</v>
      </c>
    </row>
    <row r="359" spans="1:53" s="79" customFormat="1" ht="11.25">
      <c r="A359" s="96">
        <f t="shared" ca="1" si="7"/>
        <v>348</v>
      </c>
      <c r="B359" s="68" t="s">
        <v>417</v>
      </c>
      <c r="C359" s="97">
        <v>0.2</v>
      </c>
      <c r="D359" s="69" t="s">
        <v>67</v>
      </c>
      <c r="E359" s="136" t="s">
        <v>87</v>
      </c>
      <c r="F359" s="154" t="s">
        <v>87</v>
      </c>
      <c r="G359" s="154">
        <v>1.4400000000000001E-3</v>
      </c>
      <c r="H359" s="154" t="s">
        <v>87</v>
      </c>
      <c r="I359" s="154">
        <v>2.2910000000000001E-3</v>
      </c>
      <c r="J359" s="154" t="s">
        <v>87</v>
      </c>
      <c r="K359" s="154">
        <v>3.5999999999999999E-3</v>
      </c>
      <c r="L359" s="154">
        <v>4.5820000000000001E-3</v>
      </c>
      <c r="M359" s="154">
        <v>5.5259999999999997E-3</v>
      </c>
      <c r="N359" s="137" cm="1">
        <f t="array" aca="1" ref="N359:AE359" ca="1">IF(OR(B359="",NOT($J$2)),"",GetStripDefaultProbability(A359,B359,Parameter_Date,CDSRollDate,E359:M359,SpreadCurveMaturities,D359,C359,$J$4,$J$6))</f>
        <v>0</v>
      </c>
      <c r="O359" s="155">
        <f ca="1"/>
        <v>0</v>
      </c>
      <c r="P359" s="155">
        <f ca="1"/>
        <v>1.9094454896813051E-3</v>
      </c>
      <c r="Q359" s="155">
        <f ca="1"/>
        <v>0</v>
      </c>
      <c r="R359" s="155">
        <f ca="1"/>
        <v>8.8513362458151335E-3</v>
      </c>
      <c r="S359" s="155">
        <f ca="1"/>
        <v>0</v>
      </c>
      <c r="T359" s="155">
        <f ca="1"/>
        <v>2.3415478736040884E-2</v>
      </c>
      <c r="U359" s="155">
        <f ca="1"/>
        <v>4.1948306518603817E-2</v>
      </c>
      <c r="V359" s="138">
        <f ca="1"/>
        <v>7.2367672383204518E-2</v>
      </c>
      <c r="W359" s="137">
        <f ca="1"/>
        <v>0</v>
      </c>
      <c r="X359" s="155">
        <f ca="1"/>
        <v>0</v>
      </c>
      <c r="Y359" s="155">
        <f ca="1"/>
        <v>2.0341990117396236E-3</v>
      </c>
      <c r="Z359" s="155">
        <f ca="1"/>
        <v>0</v>
      </c>
      <c r="AA359" s="155">
        <f ca="1"/>
        <v>9.2229473133100814E-3</v>
      </c>
      <c r="AB359" s="155">
        <f ca="1"/>
        <v>0</v>
      </c>
      <c r="AC359" s="155">
        <f ca="1"/>
        <v>2.4025653362366284E-2</v>
      </c>
      <c r="AD359" s="155">
        <f ca="1"/>
        <v>4.2804064457592883E-2</v>
      </c>
      <c r="AE359" s="138">
        <f ca="1"/>
        <v>7.3526488381786215E-2</v>
      </c>
      <c r="AI359" s="135">
        <v>1.9E-3</v>
      </c>
      <c r="AK359" s="135">
        <v>8.8000000000000005E-3</v>
      </c>
      <c r="AM359" s="135">
        <v>2.3300000000000001E-2</v>
      </c>
      <c r="AN359" s="135">
        <v>4.1799999999999997E-2</v>
      </c>
      <c r="AO359" s="135">
        <v>7.22E-2</v>
      </c>
      <c r="AR359" s="135">
        <v>2E-3</v>
      </c>
      <c r="AT359" s="135">
        <v>9.1999999999999998E-3</v>
      </c>
      <c r="AV359" s="135">
        <v>2.4500000000000001E-2</v>
      </c>
      <c r="AW359" s="135">
        <v>4.3900000000000002E-2</v>
      </c>
      <c r="AX359" s="135">
        <v>7.5700000000000003E-2</v>
      </c>
    </row>
    <row r="360" spans="1:53" s="79" customFormat="1" ht="11.25">
      <c r="A360" s="96">
        <f t="shared" ca="1" si="7"/>
        <v>349</v>
      </c>
      <c r="B360" s="68" t="s">
        <v>418</v>
      </c>
      <c r="C360" s="97">
        <v>0.4</v>
      </c>
      <c r="D360" s="69" t="s">
        <v>67</v>
      </c>
      <c r="E360" s="136" t="s">
        <v>87</v>
      </c>
      <c r="F360" s="154" t="s">
        <v>87</v>
      </c>
      <c r="G360" s="154">
        <v>3.7332999999999998E-2</v>
      </c>
      <c r="H360" s="154" t="s">
        <v>87</v>
      </c>
      <c r="I360" s="154">
        <v>3.1806000000000001E-2</v>
      </c>
      <c r="J360" s="154" t="s">
        <v>87</v>
      </c>
      <c r="K360" s="154">
        <v>2.8000000000000001E-2</v>
      </c>
      <c r="L360" s="154">
        <v>2.4181999999999999E-2</v>
      </c>
      <c r="M360" s="154">
        <v>2.0872999999999999E-2</v>
      </c>
      <c r="N360" s="137" cm="1">
        <f t="array" aca="1" ref="N360:AE360" ca="1">IF(OR(B360="",NOT($J$2)),"",GetStripDefaultProbability(A360,B360,Parameter_Date,CDSRollDate,E360:M360,SpreadCurveMaturities,D360,C360,$J$4,$J$6))</f>
        <v>0</v>
      </c>
      <c r="O360" s="155">
        <f ca="1"/>
        <v>0</v>
      </c>
      <c r="P360" s="155">
        <f ca="1"/>
        <v>6.3930447467830054E-2</v>
      </c>
      <c r="Q360" s="155">
        <f ca="1"/>
        <v>0</v>
      </c>
      <c r="R360" s="155">
        <f ca="1"/>
        <v>0.14910351068721728</v>
      </c>
      <c r="S360" s="155">
        <f ca="1"/>
        <v>0</v>
      </c>
      <c r="T360" s="155">
        <f ca="1"/>
        <v>0.20623361080104241</v>
      </c>
      <c r="U360" s="155">
        <f ca="1"/>
        <v>0.23536207937335452</v>
      </c>
      <c r="V360" s="138">
        <f ca="1"/>
        <v>0.27032344488526328</v>
      </c>
      <c r="W360" s="137">
        <f ca="1"/>
        <v>0</v>
      </c>
      <c r="X360" s="155">
        <f ca="1"/>
        <v>0</v>
      </c>
      <c r="Y360" s="155">
        <f ca="1"/>
        <v>6.4086446059674063E-2</v>
      </c>
      <c r="Z360" s="155">
        <f ca="1"/>
        <v>0</v>
      </c>
      <c r="AA360" s="155">
        <f ca="1"/>
        <v>0.14952885258751836</v>
      </c>
      <c r="AB360" s="155">
        <f ca="1"/>
        <v>0</v>
      </c>
      <c r="AC360" s="155">
        <f ca="1"/>
        <v>0.20689480725527976</v>
      </c>
      <c r="AD360" s="155">
        <f ca="1"/>
        <v>0.23622414463214991</v>
      </c>
      <c r="AE360" s="138">
        <f ca="1"/>
        <v>0.27149613201875422</v>
      </c>
      <c r="AI360" s="135">
        <v>6.3E-2</v>
      </c>
      <c r="AK360" s="135">
        <v>0.1484</v>
      </c>
      <c r="AM360" s="135">
        <v>0.20569999999999999</v>
      </c>
      <c r="AN360" s="135">
        <v>0.23499999999999999</v>
      </c>
      <c r="AO360" s="135">
        <v>0.27010000000000001</v>
      </c>
      <c r="AR360" s="135">
        <v>6.6000000000000003E-2</v>
      </c>
      <c r="AT360" s="135">
        <v>0.1552</v>
      </c>
      <c r="AV360" s="135">
        <v>0.21460000000000001</v>
      </c>
      <c r="AW360" s="135">
        <v>0.24479999999999999</v>
      </c>
      <c r="AX360" s="135">
        <v>0.28079999999999999</v>
      </c>
    </row>
    <row r="361" spans="1:53" s="79" customFormat="1" ht="10.5" customHeight="1" thickBot="1">
      <c r="A361" s="96">
        <f t="shared" ca="1" si="7"/>
        <v>350</v>
      </c>
      <c r="B361" s="68" t="s">
        <v>419</v>
      </c>
      <c r="C361" s="97">
        <v>0.4</v>
      </c>
      <c r="D361" s="69" t="s">
        <v>67</v>
      </c>
      <c r="E361" s="136" t="s">
        <v>87</v>
      </c>
      <c r="F361" s="154" t="s">
        <v>87</v>
      </c>
      <c r="G361" s="154">
        <v>1.75E-3</v>
      </c>
      <c r="H361" s="154" t="s">
        <v>87</v>
      </c>
      <c r="I361" s="154">
        <v>2.7499999999999998E-3</v>
      </c>
      <c r="J361" s="154" t="s">
        <v>87</v>
      </c>
      <c r="K361" s="154">
        <v>3.3999999999999998E-3</v>
      </c>
      <c r="L361" s="154">
        <v>3.4499999999999999E-3</v>
      </c>
      <c r="M361" s="154">
        <v>3.5999999999999999E-3</v>
      </c>
      <c r="N361" s="137" cm="1">
        <f t="array" aca="1" ref="N361:AE361" ca="1">IF(OR(B361="",NOT($J$2)),"",GetStripDefaultProbability(A361,B361,Parameter_Date,CDSRollDate,E361:M361,SpreadCurveMaturities,D361,C361,$J$4,$J$6))</f>
        <v>0</v>
      </c>
      <c r="O361" s="155">
        <f ca="1"/>
        <v>0</v>
      </c>
      <c r="P361" s="155">
        <f ca="1"/>
        <v>3.0921898606319775E-3</v>
      </c>
      <c r="Q361" s="155">
        <f ca="1"/>
        <v>0</v>
      </c>
      <c r="R361" s="155">
        <f ca="1"/>
        <v>1.4131131064005209E-2</v>
      </c>
      <c r="S361" s="155">
        <f ca="1"/>
        <v>0</v>
      </c>
      <c r="T361" s="155">
        <f ca="1"/>
        <v>2.9031755283783878E-2</v>
      </c>
      <c r="U361" s="155">
        <f ca="1"/>
        <v>4.0701254729858971E-2</v>
      </c>
      <c r="V361" s="138">
        <f ca="1"/>
        <v>6.019511960514301E-2</v>
      </c>
      <c r="W361" s="137">
        <f ca="1"/>
        <v>0</v>
      </c>
      <c r="X361" s="155">
        <f ca="1"/>
        <v>0</v>
      </c>
      <c r="Y361" s="155">
        <f ca="1"/>
        <v>3.2583273171491456E-3</v>
      </c>
      <c r="Z361" s="155">
        <f ca="1"/>
        <v>0</v>
      </c>
      <c r="AA361" s="155">
        <f ca="1"/>
        <v>1.4623942285371783E-2</v>
      </c>
      <c r="AB361" s="155">
        <f ca="1"/>
        <v>0</v>
      </c>
      <c r="AC361" s="155">
        <f ca="1"/>
        <v>2.9840558439600318E-2</v>
      </c>
      <c r="AD361" s="155">
        <f ca="1"/>
        <v>4.1841883573402905E-2</v>
      </c>
      <c r="AE361" s="138">
        <f ca="1"/>
        <v>6.1760156512767228E-2</v>
      </c>
      <c r="AI361" s="135">
        <v>3.0000000000000001E-3</v>
      </c>
      <c r="AK361" s="135">
        <v>1.41E-2</v>
      </c>
      <c r="AM361" s="135">
        <v>2.8899999999999999E-2</v>
      </c>
      <c r="AN361" s="135">
        <v>4.0599999999999997E-2</v>
      </c>
      <c r="AO361" s="135">
        <v>6.0100000000000001E-2</v>
      </c>
      <c r="AR361" s="135">
        <v>3.2000000000000002E-3</v>
      </c>
      <c r="AT361" s="135">
        <v>1.47E-2</v>
      </c>
      <c r="AV361" s="135">
        <v>3.04E-2</v>
      </c>
      <c r="AW361" s="135">
        <v>4.2599999999999999E-2</v>
      </c>
      <c r="AX361" s="135">
        <v>6.3E-2</v>
      </c>
    </row>
    <row r="362" spans="1:53" ht="10.5" customHeight="1">
      <c r="A362" s="94">
        <v>351</v>
      </c>
      <c r="B362" s="62" t="s">
        <v>510</v>
      </c>
      <c r="C362" s="95">
        <v>0.4</v>
      </c>
      <c r="D362" s="63" t="s">
        <v>66</v>
      </c>
      <c r="E362" s="130"/>
      <c r="F362" s="131"/>
      <c r="G362" s="131"/>
      <c r="H362" s="131"/>
      <c r="I362" s="131">
        <v>3.0899999999999999E-3</v>
      </c>
      <c r="J362" s="131"/>
      <c r="K362" s="131">
        <v>4.5950000000000001E-3</v>
      </c>
      <c r="L362" s="131">
        <v>6.3160000000000004E-3</v>
      </c>
      <c r="M362" s="131"/>
      <c r="N362" s="132" cm="1">
        <f t="array" aca="1" ref="N362:AE362" ca="1">IF(OR(B362="",NOT($J$2)),"",GetStripDefaultProbability(A362,B362,Parameter_Date,CDSRollDate,E362:M362,SpreadCurveMaturities,D362,C362,$J$4,$J$6))</f>
        <v>0</v>
      </c>
      <c r="O362" s="133">
        <f ca="1"/>
        <v>0</v>
      </c>
      <c r="P362" s="133">
        <f ca="1"/>
        <v>0</v>
      </c>
      <c r="Q362" s="133">
        <f ca="1"/>
        <v>0</v>
      </c>
      <c r="R362" s="133">
        <f ca="1"/>
        <v>1.5762428991176969E-2</v>
      </c>
      <c r="S362" s="133">
        <f ca="1"/>
        <v>0</v>
      </c>
      <c r="T362" s="133">
        <f ca="1"/>
        <v>3.8643306107434383E-2</v>
      </c>
      <c r="U362" s="133">
        <f ca="1"/>
        <v>7.383427666155562E-2</v>
      </c>
      <c r="V362" s="134">
        <f ca="1"/>
        <v>0</v>
      </c>
      <c r="W362" s="132">
        <f ca="1"/>
        <v>0</v>
      </c>
      <c r="X362" s="133">
        <f ca="1"/>
        <v>0</v>
      </c>
      <c r="Y362" s="133">
        <f ca="1"/>
        <v>0</v>
      </c>
      <c r="Z362" s="133">
        <f ca="1"/>
        <v>0</v>
      </c>
      <c r="AA362" s="133">
        <f ca="1"/>
        <v>1.6254424767463527E-2</v>
      </c>
      <c r="AB362" s="133">
        <f ca="1"/>
        <v>0</v>
      </c>
      <c r="AC362" s="133">
        <f ca="1"/>
        <v>3.9463609360901764E-2</v>
      </c>
      <c r="AD362" s="133">
        <f ca="1"/>
        <v>7.4944248653739054E-2</v>
      </c>
      <c r="AE362" s="134">
        <f ca="1"/>
        <v>0</v>
      </c>
    </row>
    <row r="363" spans="1:53" ht="10.5" customHeight="1">
      <c r="A363" s="96">
        <v>352</v>
      </c>
      <c r="B363" s="68" t="s">
        <v>511</v>
      </c>
      <c r="C363" s="97">
        <v>0.4</v>
      </c>
      <c r="D363" s="69" t="s">
        <v>66</v>
      </c>
      <c r="E363" s="136"/>
      <c r="F363" s="154"/>
      <c r="G363" s="154"/>
      <c r="H363" s="154"/>
      <c r="I363" s="154">
        <v>2.9420000000000002E-3</v>
      </c>
      <c r="J363" s="154"/>
      <c r="K363" s="154">
        <v>4.9529999999999999E-3</v>
      </c>
      <c r="L363" s="154">
        <v>7.0489999999999997E-3</v>
      </c>
      <c r="M363" s="154"/>
      <c r="N363" s="137" cm="1">
        <f t="array" aca="1" ref="N363:AE363" ca="1">IF(OR(B363="",NOT($J$2)),"",GetStripDefaultProbability(A363,B363,Parameter_Date,CDSRollDate,E363:M363,SpreadCurveMaturities,D363,C363,$J$4,$J$6))</f>
        <v>0</v>
      </c>
      <c r="O363" s="155">
        <f ca="1"/>
        <v>0</v>
      </c>
      <c r="P363" s="155">
        <f ca="1"/>
        <v>0</v>
      </c>
      <c r="Q363" s="155">
        <f ca="1"/>
        <v>0</v>
      </c>
      <c r="R363" s="155">
        <f ca="1"/>
        <v>1.5013058615148678E-2</v>
      </c>
      <c r="S363" s="155">
        <f ca="1"/>
        <v>0</v>
      </c>
      <c r="T363" s="155">
        <f ca="1"/>
        <v>4.1662897331408599E-2</v>
      </c>
      <c r="U363" s="155">
        <f ca="1"/>
        <v>8.2310683454998257E-2</v>
      </c>
      <c r="V363" s="138">
        <f ca="1"/>
        <v>0</v>
      </c>
      <c r="W363" s="137">
        <f ca="1"/>
        <v>0</v>
      </c>
      <c r="X363" s="155">
        <f ca="1"/>
        <v>0</v>
      </c>
      <c r="Y363" s="155">
        <f ca="1"/>
        <v>0</v>
      </c>
      <c r="Z363" s="155">
        <f ca="1"/>
        <v>0</v>
      </c>
      <c r="AA363" s="155">
        <f ca="1"/>
        <v>1.5505428982968694E-2</v>
      </c>
      <c r="AB363" s="155">
        <f ca="1"/>
        <v>0</v>
      </c>
      <c r="AC363" s="155">
        <f ca="1"/>
        <v>4.2480669343365696E-2</v>
      </c>
      <c r="AD363" s="155">
        <f ca="1"/>
        <v>8.3410611201126472E-2</v>
      </c>
      <c r="AE363" s="138">
        <f ca="1"/>
        <v>0</v>
      </c>
      <c r="AZ363" s="135"/>
      <c r="BA363" s="135"/>
    </row>
    <row r="364" spans="1:53" ht="10.5" customHeight="1">
      <c r="A364" s="96">
        <v>353</v>
      </c>
      <c r="B364" s="68" t="s">
        <v>529</v>
      </c>
      <c r="C364" s="97">
        <v>0.4</v>
      </c>
      <c r="D364" s="69" t="s">
        <v>66</v>
      </c>
      <c r="E364" s="136"/>
      <c r="F364" s="154"/>
      <c r="G364" s="154"/>
      <c r="H364" s="154"/>
      <c r="I364" s="154">
        <v>3.0409999999999999E-3</v>
      </c>
      <c r="J364" s="154"/>
      <c r="K364" s="154">
        <v>5.1590000000000004E-3</v>
      </c>
      <c r="L364" s="154">
        <v>6.8450000000000004E-3</v>
      </c>
      <c r="M364" s="154"/>
      <c r="N364" s="137" cm="1">
        <f t="array" aca="1" ref="N364:AE364" ca="1">IF(OR(B364="",NOT($J$2)),"",GetStripDefaultProbability(A364,B364,Parameter_Date,CDSRollDate,E364:M364,SpreadCurveMaturities,D364,C364,$J$4,$J$6))</f>
        <v>0</v>
      </c>
      <c r="O364" s="155">
        <f ca="1"/>
        <v>0</v>
      </c>
      <c r="P364" s="155">
        <f ca="1"/>
        <v>0</v>
      </c>
      <c r="Q364" s="155">
        <f ca="1"/>
        <v>0</v>
      </c>
      <c r="R364" s="155">
        <f ca="1"/>
        <v>1.5514388481348229E-2</v>
      </c>
      <c r="S364" s="155">
        <f ca="1"/>
        <v>0</v>
      </c>
      <c r="T364" s="155">
        <f ca="1"/>
        <v>4.3370993247139333E-2</v>
      </c>
      <c r="U364" s="155">
        <f ca="1"/>
        <v>7.9826234955508002E-2</v>
      </c>
      <c r="V364" s="138">
        <f ca="1"/>
        <v>0</v>
      </c>
      <c r="W364" s="137">
        <f ca="1"/>
        <v>0</v>
      </c>
      <c r="X364" s="155">
        <f ca="1"/>
        <v>0</v>
      </c>
      <c r="Y364" s="155">
        <f ca="1"/>
        <v>0</v>
      </c>
      <c r="Z364" s="155">
        <f ca="1"/>
        <v>0</v>
      </c>
      <c r="AA364" s="155">
        <f ca="1"/>
        <v>1.6006508246915074E-2</v>
      </c>
      <c r="AB364" s="155">
        <f ca="1"/>
        <v>0</v>
      </c>
      <c r="AC364" s="155">
        <f ca="1"/>
        <v>4.4187141394290363E-2</v>
      </c>
      <c r="AD364" s="155">
        <f ca="1"/>
        <v>8.0929476922430466E-2</v>
      </c>
      <c r="AE364" s="138">
        <f ca="1"/>
        <v>0</v>
      </c>
      <c r="AI364" s="135" t="s">
        <v>618</v>
      </c>
      <c r="AM364" s="135" t="s">
        <v>622</v>
      </c>
      <c r="AN364" s="135"/>
      <c r="AQ364" s="135" t="s">
        <v>626</v>
      </c>
      <c r="AR364" s="135"/>
      <c r="AU364" s="135" t="s">
        <v>664</v>
      </c>
      <c r="AV364" s="135"/>
    </row>
    <row r="365" spans="1:53" ht="10.5" customHeight="1">
      <c r="A365" s="96">
        <v>354</v>
      </c>
      <c r="B365" s="68" t="s">
        <v>611</v>
      </c>
      <c r="C365" s="97">
        <v>0.4</v>
      </c>
      <c r="D365" s="69" t="s">
        <v>66</v>
      </c>
      <c r="E365" s="136"/>
      <c r="F365" s="154"/>
      <c r="G365" s="154"/>
      <c r="H365" s="154"/>
      <c r="I365" s="154">
        <v>9.8239999999999994E-3</v>
      </c>
      <c r="J365" s="154"/>
      <c r="K365" s="154">
        <v>1.4659E-2</v>
      </c>
      <c r="L365" s="154">
        <v>1.8731999999999999E-2</v>
      </c>
      <c r="M365" s="154"/>
      <c r="N365" s="137" cm="1">
        <f t="array" aca="1" ref="N365:AE365" ca="1">IF(OR(B365="",NOT($J$2)),"",GetStripDefaultProbability(A365,B365,Parameter_Date,CDSRollDate,E365:M365,SpreadCurveMaturities,D365,C365,$J$4,$J$6))</f>
        <v>0</v>
      </c>
      <c r="O365" s="155">
        <f ca="1"/>
        <v>0</v>
      </c>
      <c r="P365" s="155">
        <f ca="1"/>
        <v>0</v>
      </c>
      <c r="Q365" s="155">
        <f ca="1"/>
        <v>0</v>
      </c>
      <c r="R365" s="155">
        <f ca="1"/>
        <v>4.9250647709156992E-2</v>
      </c>
      <c r="S365" s="155">
        <f ca="1"/>
        <v>0</v>
      </c>
      <c r="T365" s="155">
        <f ca="1"/>
        <v>0.11915723927165234</v>
      </c>
      <c r="U365" s="155">
        <f ca="1"/>
        <v>0.20665151600832554</v>
      </c>
      <c r="V365" s="138">
        <f ca="1"/>
        <v>0</v>
      </c>
      <c r="W365" s="137">
        <f ca="1"/>
        <v>0</v>
      </c>
      <c r="X365" s="155">
        <f ca="1"/>
        <v>0</v>
      </c>
      <c r="Y365" s="155">
        <f ca="1"/>
        <v>0</v>
      </c>
      <c r="Z365" s="155">
        <f ca="1"/>
        <v>0</v>
      </c>
      <c r="AA365" s="155">
        <f ca="1"/>
        <v>4.9725903561439022E-2</v>
      </c>
      <c r="AB365" s="155">
        <f ca="1"/>
        <v>0</v>
      </c>
      <c r="AC365" s="155">
        <f ca="1"/>
        <v>0.11991937863138646</v>
      </c>
      <c r="AD365" s="155">
        <f ca="1"/>
        <v>0.2076296336071165</v>
      </c>
      <c r="AE365" s="138">
        <f ca="1"/>
        <v>0</v>
      </c>
      <c r="AG365" s="135"/>
      <c r="AH365" s="135"/>
      <c r="AI365" s="135"/>
      <c r="AJ365" s="135"/>
      <c r="AK365" s="135"/>
      <c r="AM365" s="135" t="s">
        <v>623</v>
      </c>
      <c r="AN365" s="135">
        <f ca="1">0.00359635/AG366</f>
        <v>0.78057033849393798</v>
      </c>
      <c r="AO365" s="135"/>
      <c r="AP365" s="135"/>
      <c r="AQ365" s="135" t="s">
        <v>623</v>
      </c>
      <c r="AR365" s="135">
        <f ca="1">0.00094748/AG366</f>
        <v>0.20564594222370913</v>
      </c>
      <c r="AU365" s="135" t="s">
        <v>623</v>
      </c>
      <c r="AV365" s="566">
        <f ca="1">AX365/AG366</f>
        <v>14.640061764529777</v>
      </c>
      <c r="AX365" s="571">
        <v>6.7451686965780799E-2</v>
      </c>
    </row>
    <row r="366" spans="1:53" ht="10.5" customHeight="1">
      <c r="A366" s="96">
        <v>355</v>
      </c>
      <c r="B366" s="68" t="s">
        <v>512</v>
      </c>
      <c r="C366" s="97">
        <v>0.4</v>
      </c>
      <c r="D366" s="69" t="s">
        <v>66</v>
      </c>
      <c r="E366" s="136"/>
      <c r="F366" s="154"/>
      <c r="G366" s="154"/>
      <c r="H366" s="154"/>
      <c r="I366" s="154">
        <v>4.7670000000000004E-3</v>
      </c>
      <c r="J366" s="154"/>
      <c r="K366" s="154">
        <v>1.0057999999999999E-2</v>
      </c>
      <c r="L366" s="154">
        <v>1.5502E-2</v>
      </c>
      <c r="M366" s="154"/>
      <c r="N366" s="137" cm="1">
        <f t="array" aca="1" ref="N366:AE366" ca="1">IF(OR(B366="",NOT($J$2)),"",GetStripDefaultProbability(A366,B366,Parameter_Date,CDSRollDate,E366:M366,SpreadCurveMaturities,D366,C366,$J$4,$J$6))</f>
        <v>0</v>
      </c>
      <c r="O366" s="155">
        <f ca="1"/>
        <v>0</v>
      </c>
      <c r="P366" s="155">
        <f ca="1"/>
        <v>0</v>
      </c>
      <c r="Q366" s="155">
        <f ca="1"/>
        <v>0</v>
      </c>
      <c r="R366" s="155">
        <f ca="1"/>
        <v>2.4214756310494301E-2</v>
      </c>
      <c r="S366" s="155">
        <f ca="1"/>
        <v>0</v>
      </c>
      <c r="T366" s="155">
        <f ca="1"/>
        <v>8.3535660069599893E-2</v>
      </c>
      <c r="U366" s="155">
        <f ca="1"/>
        <v>0.17591742722655646</v>
      </c>
      <c r="V366" s="138">
        <f ca="1"/>
        <v>0</v>
      </c>
      <c r="W366" s="137">
        <f ca="1"/>
        <v>0</v>
      </c>
      <c r="X366" s="155">
        <f ca="1"/>
        <v>0</v>
      </c>
      <c r="Y366" s="155">
        <f ca="1"/>
        <v>0</v>
      </c>
      <c r="Z366" s="155">
        <f ca="1"/>
        <v>0</v>
      </c>
      <c r="AA366" s="155">
        <f ca="1"/>
        <v>2.4702526979462069E-2</v>
      </c>
      <c r="AB366" s="155">
        <f ca="1"/>
        <v>0</v>
      </c>
      <c r="AC366" s="155">
        <f ca="1"/>
        <v>8.4329048071941193E-2</v>
      </c>
      <c r="AD366" s="155">
        <f ca="1"/>
        <v>0.17694037791350403</v>
      </c>
      <c r="AE366" s="138">
        <f ca="1"/>
        <v>0</v>
      </c>
      <c r="AF366" s="135" t="s">
        <v>619</v>
      </c>
      <c r="AG366" s="135">
        <v>4.6073362292230243E-3</v>
      </c>
      <c r="AK366" s="135"/>
      <c r="AM366" s="135" t="s">
        <v>625</v>
      </c>
      <c r="AN366" s="135">
        <f ca="1">0.00928509/AG367</f>
        <v>1.1634497154520191</v>
      </c>
      <c r="AQ366" s="135" t="s">
        <v>625</v>
      </c>
      <c r="AR366" s="135">
        <f ca="1">0.00224398/AG367</f>
        <v>0.2811774460430671</v>
      </c>
      <c r="AU366" s="135" t="s">
        <v>625</v>
      </c>
      <c r="AV366" s="566">
        <f ca="1">AX366/AG367</f>
        <v>13.956070813439366</v>
      </c>
      <c r="AX366" s="570">
        <v>0.11137857685479124</v>
      </c>
    </row>
    <row r="367" spans="1:53" ht="10.5" customHeight="1">
      <c r="A367" s="96">
        <v>356</v>
      </c>
      <c r="B367" s="68" t="s">
        <v>513</v>
      </c>
      <c r="C367" s="97">
        <v>0.4</v>
      </c>
      <c r="D367" s="69" t="s">
        <v>66</v>
      </c>
      <c r="E367" s="136"/>
      <c r="F367" s="154"/>
      <c r="G367" s="154"/>
      <c r="H367" s="154"/>
      <c r="I367" s="154">
        <v>6.8230000000000001E-3</v>
      </c>
      <c r="J367" s="154"/>
      <c r="K367" s="154">
        <v>1.3924000000000001E-2</v>
      </c>
      <c r="L367" s="154">
        <v>2.0253E-2</v>
      </c>
      <c r="M367" s="154"/>
      <c r="N367" s="137" cm="1">
        <f t="array" aca="1" ref="N367:AE367" ca="1">IF(OR(B367="",NOT($J$2)),"",GetStripDefaultProbability(A367,B367,Parameter_Date,CDSRollDate,E367:M367,SpreadCurveMaturities,D367,C367,$J$4,$J$6))</f>
        <v>0</v>
      </c>
      <c r="O367" s="155">
        <f ca="1"/>
        <v>0</v>
      </c>
      <c r="P367" s="155">
        <f ca="1"/>
        <v>0</v>
      </c>
      <c r="Q367" s="155">
        <f ca="1"/>
        <v>0</v>
      </c>
      <c r="R367" s="155">
        <f ca="1"/>
        <v>3.4480818343918362E-2</v>
      </c>
      <c r="S367" s="155">
        <f ca="1"/>
        <v>0</v>
      </c>
      <c r="T367" s="155">
        <f ca="1"/>
        <v>0.11428667544506599</v>
      </c>
      <c r="U367" s="155">
        <f ca="1"/>
        <v>0.22492784846217706</v>
      </c>
      <c r="V367" s="138">
        <f ca="1"/>
        <v>0</v>
      </c>
      <c r="W367" s="137">
        <f ca="1"/>
        <v>0</v>
      </c>
      <c r="X367" s="155">
        <f ca="1"/>
        <v>0</v>
      </c>
      <c r="Y367" s="155">
        <f ca="1"/>
        <v>0</v>
      </c>
      <c r="Z367" s="155">
        <f ca="1"/>
        <v>0</v>
      </c>
      <c r="AA367" s="155">
        <f ca="1"/>
        <v>3.4963457264995945E-2</v>
      </c>
      <c r="AB367" s="155">
        <f ca="1"/>
        <v>0</v>
      </c>
      <c r="AC367" s="155">
        <f ca="1"/>
        <v>0.11505782275410059</v>
      </c>
      <c r="AD367" s="155">
        <f ca="1"/>
        <v>0.22589993544687614</v>
      </c>
      <c r="AE367" s="138">
        <f ca="1"/>
        <v>0</v>
      </c>
      <c r="AF367" s="135" t="s">
        <v>620</v>
      </c>
      <c r="AG367" s="135">
        <v>7.9806543219554538E-3</v>
      </c>
      <c r="AK367" s="135"/>
      <c r="AM367" s="135" t="s">
        <v>624</v>
      </c>
      <c r="AN367" s="135">
        <f ca="1">0.01555165/AG368</f>
        <v>1.6944089896016694</v>
      </c>
      <c r="AQ367" s="135" t="s">
        <v>624</v>
      </c>
      <c r="AR367" s="135">
        <f ca="1">0.00370112/AG368</f>
        <v>0.4032505232303023</v>
      </c>
      <c r="AU367" s="135" t="s">
        <v>665</v>
      </c>
      <c r="AV367" s="566">
        <f ca="1">AX367/AG368</f>
        <v>17.13745523167152</v>
      </c>
      <c r="AX367" s="569">
        <v>0.15729124862367397</v>
      </c>
    </row>
    <row r="368" spans="1:53" ht="10.5" customHeight="1">
      <c r="A368" s="96">
        <v>357</v>
      </c>
      <c r="B368" s="68" t="s">
        <v>514</v>
      </c>
      <c r="C368" s="97">
        <v>0.4</v>
      </c>
      <c r="D368" s="69" t="s">
        <v>66</v>
      </c>
      <c r="E368" s="136"/>
      <c r="F368" s="154"/>
      <c r="G368" s="154"/>
      <c r="H368" s="154"/>
      <c r="I368" s="154">
        <v>2.196E-3</v>
      </c>
      <c r="J368" s="154"/>
      <c r="K368" s="154">
        <v>3.117E-3</v>
      </c>
      <c r="L368" s="154">
        <v>4.3610000000000003E-3</v>
      </c>
      <c r="M368" s="154"/>
      <c r="N368" s="137" cm="1">
        <f t="array" aca="1" ref="N368:AE368" ca="1">IF(OR(B368="",NOT($J$2)),"",GetStripDefaultProbability(A368,B368,Parameter_Date,CDSRollDate,E368:M368,SpreadCurveMaturities,D368,C368,$J$4,$J$6))</f>
        <v>0</v>
      </c>
      <c r="O368" s="155">
        <f ca="1"/>
        <v>0</v>
      </c>
      <c r="P368" s="155">
        <f ca="1"/>
        <v>0</v>
      </c>
      <c r="Q368" s="155">
        <f ca="1"/>
        <v>0</v>
      </c>
      <c r="R368" s="155">
        <f ca="1"/>
        <v>1.1227306249532831E-2</v>
      </c>
      <c r="S368" s="155">
        <f ca="1"/>
        <v>0</v>
      </c>
      <c r="T368" s="155">
        <f ca="1"/>
        <v>2.6333539787454785E-2</v>
      </c>
      <c r="U368" s="155">
        <f ca="1"/>
        <v>5.1419135457837717E-2</v>
      </c>
      <c r="V368" s="138">
        <f ca="1"/>
        <v>0</v>
      </c>
      <c r="W368" s="137">
        <f ca="1"/>
        <v>0</v>
      </c>
      <c r="X368" s="155">
        <f ca="1"/>
        <v>0</v>
      </c>
      <c r="Y368" s="155">
        <f ca="1"/>
        <v>0</v>
      </c>
      <c r="Z368" s="155">
        <f ca="1"/>
        <v>0</v>
      </c>
      <c r="AA368" s="155">
        <f ca="1"/>
        <v>1.1721569020381906E-2</v>
      </c>
      <c r="AB368" s="155">
        <f ca="1"/>
        <v>0</v>
      </c>
      <c r="AC368" s="155">
        <f ca="1"/>
        <v>2.7164671481308522E-2</v>
      </c>
      <c r="AD368" s="155">
        <f ca="1"/>
        <v>5.2556222424358978E-2</v>
      </c>
      <c r="AE368" s="138">
        <f ca="1"/>
        <v>0</v>
      </c>
      <c r="AF368" s="135" t="s">
        <v>621</v>
      </c>
      <c r="AG368" s="135">
        <v>9.1782149973460448E-3</v>
      </c>
      <c r="AK368" s="135"/>
      <c r="AZ368" s="135"/>
      <c r="BA368" s="135"/>
    </row>
    <row r="369" spans="1:48" ht="10.5" customHeight="1">
      <c r="A369" s="96">
        <v>358</v>
      </c>
      <c r="B369" s="68" t="s">
        <v>515</v>
      </c>
      <c r="C369" s="97">
        <v>0.4</v>
      </c>
      <c r="D369" s="69" t="s">
        <v>66</v>
      </c>
      <c r="E369" s="136"/>
      <c r="F369" s="154"/>
      <c r="G369" s="154"/>
      <c r="H369" s="154"/>
      <c r="I369" s="154">
        <v>2.016E-3</v>
      </c>
      <c r="J369" s="154"/>
      <c r="K369" s="154">
        <v>3.4150000000000001E-3</v>
      </c>
      <c r="L369" s="154">
        <v>5.3829999999999998E-3</v>
      </c>
      <c r="M369" s="154"/>
      <c r="N369" s="137" cm="1">
        <f t="array" aca="1" ref="N369:AE369" ca="1">IF(OR(B369="",NOT($J$2)),"",GetStripDefaultProbability(A369,B369,Parameter_Date,CDSRollDate,E369:M369,SpreadCurveMaturities,D369,C369,$J$4,$J$6))</f>
        <v>0</v>
      </c>
      <c r="O369" s="155">
        <f ca="1"/>
        <v>0</v>
      </c>
      <c r="P369" s="155">
        <f ca="1"/>
        <v>0</v>
      </c>
      <c r="Q369" s="155">
        <f ca="1"/>
        <v>0</v>
      </c>
      <c r="R369" s="155">
        <f ca="1"/>
        <v>1.0311718662780578E-2</v>
      </c>
      <c r="S369" s="155">
        <f ca="1"/>
        <v>0</v>
      </c>
      <c r="T369" s="155">
        <f ca="1"/>
        <v>2.8867990547740474E-2</v>
      </c>
      <c r="U369" s="155">
        <f ca="1"/>
        <v>6.345165907067285E-2</v>
      </c>
      <c r="V369" s="138">
        <f ca="1"/>
        <v>0</v>
      </c>
      <c r="W369" s="137">
        <f ca="1"/>
        <v>0</v>
      </c>
      <c r="X369" s="155">
        <f ca="1"/>
        <v>0</v>
      </c>
      <c r="Y369" s="155">
        <f ca="1"/>
        <v>0</v>
      </c>
      <c r="Z369" s="155">
        <f ca="1"/>
        <v>0</v>
      </c>
      <c r="AA369" s="155">
        <f ca="1"/>
        <v>1.0806439113017596E-2</v>
      </c>
      <c r="AB369" s="155">
        <f ca="1"/>
        <v>0</v>
      </c>
      <c r="AC369" s="155">
        <f ca="1"/>
        <v>2.9697426838212304E-2</v>
      </c>
      <c r="AD369" s="155">
        <f ca="1"/>
        <v>6.4575639705647503E-2</v>
      </c>
      <c r="AE369" s="138">
        <f ca="1"/>
        <v>0</v>
      </c>
      <c r="AG369" s="135"/>
      <c r="AK369" s="135"/>
    </row>
    <row r="370" spans="1:48" ht="10.5" customHeight="1">
      <c r="A370" s="96">
        <v>359</v>
      </c>
      <c r="B370" s="68" t="s">
        <v>530</v>
      </c>
      <c r="C370" s="97">
        <v>0.4</v>
      </c>
      <c r="D370" s="69" t="s">
        <v>66</v>
      </c>
      <c r="E370" s="136"/>
      <c r="F370" s="154"/>
      <c r="G370" s="154"/>
      <c r="H370" s="154"/>
      <c r="I370" s="154">
        <v>2.222E-3</v>
      </c>
      <c r="J370" s="154"/>
      <c r="K370" s="154">
        <v>4.2570000000000004E-3</v>
      </c>
      <c r="L370" s="154">
        <v>6.2550000000000001E-3</v>
      </c>
      <c r="M370" s="154"/>
      <c r="N370" s="137" cm="1">
        <f t="array" aca="1" ref="N370:AE370" ca="1">IF(OR(B370="",NOT($J$2)),"",GetStripDefaultProbability(A370,B370,Parameter_Date,CDSRollDate,E370:M370,SpreadCurveMaturities,D370,C370,$J$4,$J$6))</f>
        <v>0</v>
      </c>
      <c r="O370" s="155">
        <f ca="1"/>
        <v>0</v>
      </c>
      <c r="P370" s="155">
        <f ca="1"/>
        <v>0</v>
      </c>
      <c r="Q370" s="155">
        <f ca="1"/>
        <v>0</v>
      </c>
      <c r="R370" s="155">
        <f ca="1"/>
        <v>1.1359489051508742E-2</v>
      </c>
      <c r="S370" s="155">
        <f ca="1"/>
        <v>0</v>
      </c>
      <c r="T370" s="155">
        <f ca="1"/>
        <v>3.5929805666865877E-2</v>
      </c>
      <c r="U370" s="155">
        <f ca="1"/>
        <v>7.3397266560961349E-2</v>
      </c>
      <c r="V370" s="138">
        <f ca="1"/>
        <v>0</v>
      </c>
      <c r="W370" s="137">
        <f ca="1"/>
        <v>0</v>
      </c>
      <c r="X370" s="155">
        <f ca="1"/>
        <v>0</v>
      </c>
      <c r="Y370" s="155">
        <f ca="1"/>
        <v>0</v>
      </c>
      <c r="Z370" s="155">
        <f ca="1"/>
        <v>0</v>
      </c>
      <c r="AA370" s="155">
        <f ca="1"/>
        <v>1.1853685747513443E-2</v>
      </c>
      <c r="AB370" s="155">
        <f ca="1"/>
        <v>0</v>
      </c>
      <c r="AC370" s="155">
        <f ca="1"/>
        <v>3.6753204392209859E-2</v>
      </c>
      <c r="AD370" s="155">
        <f ca="1"/>
        <v>7.4509347021074257E-2</v>
      </c>
      <c r="AE370" s="138">
        <f ca="1"/>
        <v>0</v>
      </c>
      <c r="AG370" s="135"/>
      <c r="AK370" s="135"/>
    </row>
    <row r="371" spans="1:48" ht="10.5" customHeight="1">
      <c r="A371" s="96">
        <v>360</v>
      </c>
      <c r="B371" s="68" t="s">
        <v>531</v>
      </c>
      <c r="C371" s="97">
        <v>0.4</v>
      </c>
      <c r="D371" s="69" t="s">
        <v>66</v>
      </c>
      <c r="E371" s="136"/>
      <c r="F371" s="154"/>
      <c r="G371" s="154"/>
      <c r="H371" s="154"/>
      <c r="I371" s="154">
        <v>7.633E-3</v>
      </c>
      <c r="J371" s="154"/>
      <c r="K371" s="154">
        <v>1.1407E-2</v>
      </c>
      <c r="L371" s="154">
        <v>1.4759E-2</v>
      </c>
      <c r="M371" s="154"/>
      <c r="N371" s="137" cm="1">
        <f t="array" aca="1" ref="N371:AE371" ca="1">IF(OR(B371="",NOT($J$2)),"",GetStripDefaultProbability(A371,B371,Parameter_Date,CDSRollDate,E371:M371,SpreadCurveMaturities,D371,C371,$J$4,$J$6))</f>
        <v>0</v>
      </c>
      <c r="O371" s="155">
        <f ca="1"/>
        <v>0</v>
      </c>
      <c r="P371" s="155">
        <f ca="1"/>
        <v>0</v>
      </c>
      <c r="Q371" s="155">
        <f ca="1"/>
        <v>0</v>
      </c>
      <c r="R371" s="155">
        <f ca="1"/>
        <v>3.8496474699211358E-2</v>
      </c>
      <c r="S371" s="155">
        <f ca="1"/>
        <v>0</v>
      </c>
      <c r="T371" s="155">
        <f ca="1"/>
        <v>9.3746216408620131E-2</v>
      </c>
      <c r="U371" s="155">
        <f ca="1"/>
        <v>0.16584680770199156</v>
      </c>
      <c r="V371" s="138">
        <f ca="1"/>
        <v>0</v>
      </c>
      <c r="W371" s="137">
        <f ca="1"/>
        <v>0</v>
      </c>
      <c r="X371" s="155">
        <f ca="1"/>
        <v>0</v>
      </c>
      <c r="Y371" s="155">
        <f ca="1"/>
        <v>0</v>
      </c>
      <c r="Z371" s="155">
        <f ca="1"/>
        <v>0</v>
      </c>
      <c r="AA371" s="155">
        <f ca="1"/>
        <v>3.8977106294005859E-2</v>
      </c>
      <c r="AB371" s="155">
        <f ca="1"/>
        <v>0</v>
      </c>
      <c r="AC371" s="155">
        <f ca="1"/>
        <v>9.4527641534320583E-2</v>
      </c>
      <c r="AD371" s="155">
        <f ca="1"/>
        <v>0.16686802366168219</v>
      </c>
      <c r="AE371" s="138">
        <f ca="1"/>
        <v>0</v>
      </c>
      <c r="AG371" s="135"/>
      <c r="AH371" s="516" t="s">
        <v>55</v>
      </c>
      <c r="AI371" s="516" t="s">
        <v>57</v>
      </c>
      <c r="AJ371" s="516" t="s">
        <v>59</v>
      </c>
      <c r="AK371" s="135"/>
      <c r="AL371" s="516" t="s">
        <v>55</v>
      </c>
      <c r="AM371" s="516" t="s">
        <v>57</v>
      </c>
      <c r="AN371" s="516" t="s">
        <v>59</v>
      </c>
      <c r="AP371" s="516" t="s">
        <v>55</v>
      </c>
      <c r="AQ371" s="516" t="s">
        <v>57</v>
      </c>
      <c r="AR371" s="516" t="s">
        <v>59</v>
      </c>
      <c r="AT371" s="516" t="s">
        <v>55</v>
      </c>
      <c r="AU371" s="516" t="s">
        <v>57</v>
      </c>
      <c r="AV371" s="516" t="s">
        <v>59</v>
      </c>
    </row>
    <row r="372" spans="1:48" ht="10.5" customHeight="1">
      <c r="A372" s="96">
        <v>361</v>
      </c>
      <c r="B372" s="68" t="s">
        <v>532</v>
      </c>
      <c r="C372" s="97">
        <v>0.4</v>
      </c>
      <c r="D372" s="69" t="s">
        <v>66</v>
      </c>
      <c r="E372" s="136"/>
      <c r="F372" s="154"/>
      <c r="G372" s="154"/>
      <c r="H372" s="154"/>
      <c r="I372" s="154">
        <v>2.836E-3</v>
      </c>
      <c r="J372" s="154"/>
      <c r="K372" s="154">
        <v>5.025E-3</v>
      </c>
      <c r="L372" s="154">
        <v>7.2620000000000002E-3</v>
      </c>
      <c r="M372" s="154"/>
      <c r="N372" s="137" cm="1">
        <f t="array" aca="1" ref="N372:AE372" ca="1">IF(OR(B372="",NOT($J$2)),"",GetStripDefaultProbability(A372,B372,Parameter_Date,CDSRollDate,E372:M372,SpreadCurveMaturities,D372,C372,$J$4,$J$6))</f>
        <v>0</v>
      </c>
      <c r="O372" s="155">
        <f ca="1"/>
        <v>0</v>
      </c>
      <c r="P372" s="155">
        <f ca="1"/>
        <v>0</v>
      </c>
      <c r="Q372" s="155">
        <f ca="1"/>
        <v>0</v>
      </c>
      <c r="R372" s="155">
        <f ca="1"/>
        <v>1.4476003973996954E-2</v>
      </c>
      <c r="S372" s="155">
        <f ca="1"/>
        <v>0</v>
      </c>
      <c r="T372" s="155">
        <f ca="1"/>
        <v>4.2281764826521684E-2</v>
      </c>
      <c r="U372" s="155">
        <f ca="1"/>
        <v>8.4793205721701126E-2</v>
      </c>
      <c r="V372" s="138">
        <f ca="1"/>
        <v>0</v>
      </c>
      <c r="W372" s="137">
        <f ca="1"/>
        <v>0</v>
      </c>
      <c r="X372" s="155">
        <f ca="1"/>
        <v>0</v>
      </c>
      <c r="Y372" s="155">
        <f ca="1"/>
        <v>0</v>
      </c>
      <c r="Z372" s="155">
        <f ca="1"/>
        <v>0</v>
      </c>
      <c r="AA372" s="155">
        <f ca="1"/>
        <v>1.4968642802068666E-2</v>
      </c>
      <c r="AB372" s="155">
        <f ca="1"/>
        <v>0</v>
      </c>
      <c r="AC372" s="155">
        <f ca="1"/>
        <v>4.3099040447302062E-2</v>
      </c>
      <c r="AD372" s="155">
        <f ca="1"/>
        <v>8.5890155328498419E-2</v>
      </c>
      <c r="AE372" s="138">
        <f ca="1"/>
        <v>0</v>
      </c>
      <c r="AG372" s="135"/>
      <c r="AH372" s="135">
        <v>3.0899999999999999E-3</v>
      </c>
      <c r="AI372" s="135">
        <v>4.5950000000000001E-3</v>
      </c>
      <c r="AJ372" s="135">
        <v>6.3160000000000004E-3</v>
      </c>
      <c r="AK372" s="135"/>
      <c r="AL372" s="135">
        <f t="shared" ref="AL372:AL403" ca="1" si="8">AH372*$AN$365</f>
        <v>2.4119623459462683E-3</v>
      </c>
      <c r="AM372" s="135">
        <f t="shared" ref="AM372:AM403" ca="1" si="9">AI372*$AN$366</f>
        <v>5.3460514425020282E-3</v>
      </c>
      <c r="AN372" s="135">
        <f t="shared" ref="AN372:AN403" ca="1" si="10">AJ372*$AN$367</f>
        <v>1.0701887178324146E-2</v>
      </c>
      <c r="AP372" s="516">
        <f t="shared" ref="AP372:AP403" ca="1" si="11">AH372*$AR$365</f>
        <v>6.3544596147126122E-4</v>
      </c>
      <c r="AQ372" s="516">
        <f t="shared" ref="AQ372:AQ403" ca="1" si="12">AI372*$AR$366</f>
        <v>1.2920103645678934E-3</v>
      </c>
      <c r="AR372" s="516">
        <f t="shared" ref="AR372:AR403" ca="1" si="13">AJ372*$AR$367</f>
        <v>2.5469303047225894E-3</v>
      </c>
      <c r="AT372" s="516">
        <f ca="1">AH372*$AV$365</f>
        <v>4.5237790852397007E-2</v>
      </c>
      <c r="AU372" s="516">
        <f ca="1">AI372*$AV$366</f>
        <v>6.4128145387753882E-2</v>
      </c>
      <c r="AV372" s="516">
        <f ca="1">AJ372*$AV$367</f>
        <v>0.10824016724323733</v>
      </c>
    </row>
    <row r="373" spans="1:48" ht="10.5" customHeight="1">
      <c r="A373" s="96">
        <v>362</v>
      </c>
      <c r="B373" s="68" t="s">
        <v>516</v>
      </c>
      <c r="C373" s="97">
        <v>0.4</v>
      </c>
      <c r="D373" s="69" t="s">
        <v>66</v>
      </c>
      <c r="E373" s="136"/>
      <c r="F373" s="154"/>
      <c r="G373" s="154"/>
      <c r="H373" s="154"/>
      <c r="I373" s="154">
        <v>2.2030000000000001E-3</v>
      </c>
      <c r="J373" s="154"/>
      <c r="K373" s="154">
        <v>3.3639999999999998E-3</v>
      </c>
      <c r="L373" s="154">
        <v>4.9129999999999998E-3</v>
      </c>
      <c r="M373" s="154"/>
      <c r="N373" s="137" cm="1">
        <f t="array" aca="1" ref="N373:AE373" ca="1">IF(OR(B373="",NOT($J$2)),"",GetStripDefaultProbability(A373,B373,Parameter_Date,CDSRollDate,E373:M373,SpreadCurveMaturities,D373,C373,$J$4,$J$6))</f>
        <v>0</v>
      </c>
      <c r="O373" s="155">
        <f ca="1"/>
        <v>0</v>
      </c>
      <c r="P373" s="155">
        <f ca="1"/>
        <v>0</v>
      </c>
      <c r="Q373" s="155">
        <f ca="1"/>
        <v>0</v>
      </c>
      <c r="R373" s="155">
        <f ca="1"/>
        <v>1.1262895633066372E-2</v>
      </c>
      <c r="S373" s="155">
        <f ca="1"/>
        <v>0</v>
      </c>
      <c r="T373" s="155">
        <f ca="1"/>
        <v>2.8415747647928202E-2</v>
      </c>
      <c r="U373" s="155">
        <f ca="1"/>
        <v>5.7880080982865234E-2</v>
      </c>
      <c r="V373" s="138">
        <f ca="1"/>
        <v>0</v>
      </c>
      <c r="W373" s="137">
        <f ca="1"/>
        <v>0</v>
      </c>
      <c r="X373" s="155">
        <f ca="1"/>
        <v>0</v>
      </c>
      <c r="Y373" s="155">
        <f ca="1"/>
        <v>0</v>
      </c>
      <c r="Z373" s="155">
        <f ca="1"/>
        <v>0</v>
      </c>
      <c r="AA373" s="155">
        <f ca="1"/>
        <v>1.1757140613719019E-2</v>
      </c>
      <c r="AB373" s="155">
        <f ca="1"/>
        <v>0</v>
      </c>
      <c r="AC373" s="155">
        <f ca="1"/>
        <v>2.9245298705198319E-2</v>
      </c>
      <c r="AD373" s="155">
        <f ca="1"/>
        <v>5.9010093413174869E-2</v>
      </c>
      <c r="AE373" s="138">
        <f ca="1"/>
        <v>0</v>
      </c>
      <c r="AG373" s="135"/>
      <c r="AH373" s="135">
        <v>2.9420000000000002E-3</v>
      </c>
      <c r="AI373" s="135">
        <v>4.9529999999999999E-3</v>
      </c>
      <c r="AJ373" s="135">
        <v>7.0489999999999997E-3</v>
      </c>
      <c r="AK373" s="135"/>
      <c r="AL373" s="135">
        <f t="shared" ca="1" si="8"/>
        <v>2.2964379358491657E-3</v>
      </c>
      <c r="AM373" s="135">
        <f t="shared" ca="1" si="9"/>
        <v>5.7625664406338508E-3</v>
      </c>
      <c r="AN373" s="135">
        <f t="shared" ca="1" si="10"/>
        <v>1.1943888967702166E-2</v>
      </c>
      <c r="AP373" s="516">
        <f t="shared" ca="1" si="11"/>
        <v>6.0501036202215228E-4</v>
      </c>
      <c r="AQ373" s="516">
        <f t="shared" ca="1" si="12"/>
        <v>1.3926718902513113E-3</v>
      </c>
      <c r="AR373" s="516">
        <f t="shared" ca="1" si="13"/>
        <v>2.8425129382504007E-3</v>
      </c>
      <c r="AT373" s="516">
        <f t="shared" ref="AT373:AT436" ca="1" si="14">AH373*$AV$365</f>
        <v>4.3071061711246611E-2</v>
      </c>
      <c r="AU373" s="516">
        <f t="shared" ref="AU373:AU436" ca="1" si="15">AI373*$AV$366</f>
        <v>6.9124418738965174E-2</v>
      </c>
      <c r="AV373" s="516">
        <f t="shared" ref="AV373:AV436" ca="1" si="16">AJ373*$AV$367</f>
        <v>0.12080192192805254</v>
      </c>
    </row>
    <row r="374" spans="1:48" ht="10.5" customHeight="1">
      <c r="A374" s="96">
        <v>363</v>
      </c>
      <c r="B374" s="68" t="s">
        <v>612</v>
      </c>
      <c r="C374" s="97">
        <v>0.4</v>
      </c>
      <c r="D374" s="69" t="s">
        <v>66</v>
      </c>
      <c r="E374" s="136"/>
      <c r="F374" s="154"/>
      <c r="G374" s="154"/>
      <c r="H374" s="154"/>
      <c r="I374" s="154">
        <v>5.3819999999999996E-3</v>
      </c>
      <c r="J374" s="154"/>
      <c r="K374" s="154">
        <v>8.8269999999999998E-3</v>
      </c>
      <c r="L374" s="154">
        <v>1.2491E-2</v>
      </c>
      <c r="M374" s="154"/>
      <c r="N374" s="137" cm="1">
        <f t="array" aca="1" ref="N374:AE374" ca="1">IF(OR(B374="",NOT($J$2)),"",GetStripDefaultProbability(A374,B374,Parameter_Date,CDSRollDate,E374:M374,SpreadCurveMaturities,D374,C374,$J$4,$J$6))</f>
        <v>0</v>
      </c>
      <c r="O374" s="155">
        <f ca="1"/>
        <v>0</v>
      </c>
      <c r="P374" s="155">
        <f ca="1"/>
        <v>0</v>
      </c>
      <c r="Q374" s="155">
        <f ca="1"/>
        <v>0</v>
      </c>
      <c r="R374" s="155">
        <f ca="1"/>
        <v>2.7296663604259641E-2</v>
      </c>
      <c r="S374" s="155">
        <f ca="1"/>
        <v>0</v>
      </c>
      <c r="T374" s="155">
        <f ca="1"/>
        <v>7.3312008657674288E-2</v>
      </c>
      <c r="U374" s="155">
        <f ca="1"/>
        <v>0.14253188528128402</v>
      </c>
      <c r="V374" s="138">
        <f ca="1"/>
        <v>0</v>
      </c>
      <c r="W374" s="137">
        <f ca="1"/>
        <v>0</v>
      </c>
      <c r="X374" s="155">
        <f ca="1"/>
        <v>0</v>
      </c>
      <c r="Y374" s="155">
        <f ca="1"/>
        <v>0</v>
      </c>
      <c r="Z374" s="155">
        <f ca="1"/>
        <v>0</v>
      </c>
      <c r="AA374" s="155">
        <f ca="1"/>
        <v>2.778289370477105E-2</v>
      </c>
      <c r="AB374" s="155">
        <f ca="1"/>
        <v>0</v>
      </c>
      <c r="AC374" s="155">
        <f ca="1"/>
        <v>7.4083926973165126E-2</v>
      </c>
      <c r="AD374" s="155">
        <f ca="1"/>
        <v>0.14358356467386635</v>
      </c>
      <c r="AE374" s="138">
        <f ca="1"/>
        <v>0</v>
      </c>
      <c r="AG374" s="135"/>
      <c r="AH374" s="135">
        <v>3.0409999999999999E-3</v>
      </c>
      <c r="AI374" s="135">
        <v>5.1590000000000004E-3</v>
      </c>
      <c r="AJ374" s="135">
        <v>6.8450000000000004E-3</v>
      </c>
      <c r="AK374" s="135"/>
      <c r="AL374" s="135">
        <f t="shared" ca="1" si="8"/>
        <v>2.3737143993600653E-3</v>
      </c>
      <c r="AM374" s="135">
        <f t="shared" ca="1" si="9"/>
        <v>6.0022370820169675E-3</v>
      </c>
      <c r="AN374" s="135">
        <f t="shared" ca="1" si="10"/>
        <v>1.1598229533823428E-2</v>
      </c>
      <c r="AP374" s="516">
        <f t="shared" ca="1" si="11"/>
        <v>6.2536931030229945E-4</v>
      </c>
      <c r="AQ374" s="516">
        <f t="shared" ca="1" si="12"/>
        <v>1.4505944441361833E-3</v>
      </c>
      <c r="AR374" s="516">
        <f t="shared" ca="1" si="13"/>
        <v>2.7602498315114194E-3</v>
      </c>
      <c r="AT374" s="516">
        <f t="shared" ca="1" si="14"/>
        <v>4.4520427825935051E-2</v>
      </c>
      <c r="AU374" s="516">
        <f t="shared" ca="1" si="15"/>
        <v>7.1999369326533696E-2</v>
      </c>
      <c r="AV374" s="516">
        <f t="shared" ca="1" si="16"/>
        <v>0.11730588106079157</v>
      </c>
    </row>
    <row r="375" spans="1:48" ht="10.5" customHeight="1">
      <c r="A375" s="96">
        <v>364</v>
      </c>
      <c r="B375" s="68" t="s">
        <v>517</v>
      </c>
      <c r="C375" s="97">
        <v>0.4</v>
      </c>
      <c r="D375" s="69" t="s">
        <v>66</v>
      </c>
      <c r="E375" s="136"/>
      <c r="F375" s="154"/>
      <c r="G375" s="154"/>
      <c r="H375" s="154"/>
      <c r="I375" s="154">
        <v>2.905E-3</v>
      </c>
      <c r="J375" s="154"/>
      <c r="K375" s="154">
        <v>4.709E-2</v>
      </c>
      <c r="L375" s="154">
        <v>6.6230000000000004E-3</v>
      </c>
      <c r="M375" s="154"/>
      <c r="N375" s="137" cm="1">
        <f t="array" aca="1" ref="N375:AE375" ca="1">IF(OR(B375="",NOT($J$2)),"",GetStripDefaultProbability(A375,B375,Parameter_Date,CDSRollDate,E375:M375,SpreadCurveMaturities,D375,C375,$J$4,$J$6))</f>
        <v>0</v>
      </c>
      <c r="O375" s="155">
        <f ca="1"/>
        <v>0</v>
      </c>
      <c r="P375" s="155">
        <f ca="1"/>
        <v>0</v>
      </c>
      <c r="Q375" s="155">
        <f ca="1"/>
        <v>0</v>
      </c>
      <c r="R375" s="155">
        <f ca="1"/>
        <v>1.4825628725747664E-2</v>
      </c>
      <c r="S375" s="155">
        <f ca="1"/>
        <v>0</v>
      </c>
      <c r="T375" s="155">
        <f ca="1"/>
        <v>0.36899051185013509</v>
      </c>
      <c r="U375" s="155">
        <f ca="1"/>
        <v>6.0926362865059591E-2</v>
      </c>
      <c r="V375" s="138">
        <f ca="1"/>
        <v>0</v>
      </c>
      <c r="W375" s="137">
        <f ca="1"/>
        <v>0</v>
      </c>
      <c r="X375" s="155">
        <f ca="1"/>
        <v>0</v>
      </c>
      <c r="Y375" s="155">
        <f ca="1"/>
        <v>0</v>
      </c>
      <c r="Z375" s="155">
        <f ca="1"/>
        <v>0</v>
      </c>
      <c r="AA375" s="155">
        <f ca="1"/>
        <v>1.5318092785058135E-2</v>
      </c>
      <c r="AB375" s="155">
        <f ca="1"/>
        <v>0</v>
      </c>
      <c r="AC375" s="155">
        <f ca="1"/>
        <v>0.36961805926373548</v>
      </c>
      <c r="AD375" s="155">
        <f ca="1"/>
        <v>6.1933762405979698E-2</v>
      </c>
      <c r="AE375" s="138">
        <f ca="1"/>
        <v>0</v>
      </c>
      <c r="AG375" s="135"/>
      <c r="AH375" s="135">
        <v>9.8239999999999994E-3</v>
      </c>
      <c r="AI375" s="135">
        <v>1.4659E-2</v>
      </c>
      <c r="AJ375" s="135">
        <v>1.8731999999999999E-2</v>
      </c>
      <c r="AK375" s="135"/>
      <c r="AL375" s="135">
        <f t="shared" ca="1" si="8"/>
        <v>7.6683230053644462E-3</v>
      </c>
      <c r="AM375" s="135">
        <f t="shared" ca="1" si="9"/>
        <v>1.7055009378811149E-2</v>
      </c>
      <c r="AN375" s="135">
        <f t="shared" ca="1" si="10"/>
        <v>3.1739669193218467E-2</v>
      </c>
      <c r="AP375" s="516">
        <f t="shared" ca="1" si="11"/>
        <v>2.0202657364057183E-3</v>
      </c>
      <c r="AQ375" s="516">
        <f t="shared" ca="1" si="12"/>
        <v>4.1217801815453207E-3</v>
      </c>
      <c r="AR375" s="516">
        <f t="shared" ca="1" si="13"/>
        <v>7.5536888011500224E-3</v>
      </c>
      <c r="AT375" s="516">
        <f t="shared" ca="1" si="14"/>
        <v>0.14382396677474052</v>
      </c>
      <c r="AU375" s="516">
        <f t="shared" ca="1" si="15"/>
        <v>0.20458204205420766</v>
      </c>
      <c r="AV375" s="516">
        <f t="shared" ca="1" si="16"/>
        <v>0.32101881139967092</v>
      </c>
    </row>
    <row r="376" spans="1:48" ht="10.5" customHeight="1">
      <c r="A376" s="96">
        <v>365</v>
      </c>
      <c r="B376" s="68" t="s">
        <v>518</v>
      </c>
      <c r="C376" s="97">
        <v>0.4</v>
      </c>
      <c r="D376" s="69" t="s">
        <v>66</v>
      </c>
      <c r="E376" s="136"/>
      <c r="F376" s="154"/>
      <c r="G376" s="154"/>
      <c r="H376" s="154"/>
      <c r="I376" s="154">
        <v>5.1570000000000001E-3</v>
      </c>
      <c r="J376" s="154"/>
      <c r="K376" s="154">
        <v>9.7490000000000007E-3</v>
      </c>
      <c r="L376" s="154">
        <v>1.2806E-2</v>
      </c>
      <c r="M376" s="154"/>
      <c r="N376" s="137" cm="1">
        <f t="array" aca="1" ref="N376:AE376" ca="1">IF(OR(B376="",NOT($J$2)),"",GetStripDefaultProbability(A376,B376,Parameter_Date,CDSRollDate,E376:M376,SpreadCurveMaturities,D376,C376,$J$4,$J$6))</f>
        <v>0</v>
      </c>
      <c r="O376" s="155">
        <f ca="1"/>
        <v>0</v>
      </c>
      <c r="P376" s="155">
        <f ca="1"/>
        <v>0</v>
      </c>
      <c r="Q376" s="155">
        <f ca="1"/>
        <v>0</v>
      </c>
      <c r="R376" s="155">
        <f ca="1"/>
        <v>2.617023787732542E-2</v>
      </c>
      <c r="S376" s="155">
        <f ca="1"/>
        <v>0</v>
      </c>
      <c r="T376" s="155">
        <f ca="1"/>
        <v>8.0908452425079269E-2</v>
      </c>
      <c r="U376" s="155">
        <f ca="1"/>
        <v>0.1456751590000418</v>
      </c>
      <c r="V376" s="138">
        <f ca="1"/>
        <v>0</v>
      </c>
      <c r="W376" s="137">
        <f ca="1"/>
        <v>0</v>
      </c>
      <c r="X376" s="155">
        <f ca="1"/>
        <v>0</v>
      </c>
      <c r="Y376" s="155">
        <f ca="1"/>
        <v>0</v>
      </c>
      <c r="Z376" s="155">
        <f ca="1"/>
        <v>0</v>
      </c>
      <c r="AA376" s="155">
        <f ca="1"/>
        <v>2.6657031049984181E-2</v>
      </c>
      <c r="AB376" s="155">
        <f ca="1"/>
        <v>0</v>
      </c>
      <c r="AC376" s="155">
        <f ca="1"/>
        <v>8.1702548672398567E-2</v>
      </c>
      <c r="AD376" s="155">
        <f ca="1"/>
        <v>0.14672075177597099</v>
      </c>
      <c r="AE376" s="138">
        <f ca="1"/>
        <v>0</v>
      </c>
      <c r="AG376" s="135"/>
      <c r="AH376" s="135">
        <v>4.7670000000000004E-3</v>
      </c>
      <c r="AI376" s="135">
        <v>1.0057999999999999E-2</v>
      </c>
      <c r="AJ376" s="135">
        <v>1.5502E-2</v>
      </c>
      <c r="AK376" s="135"/>
      <c r="AL376" s="135">
        <f t="shared" ca="1" si="8"/>
        <v>3.7209788036006025E-3</v>
      </c>
      <c r="AM376" s="135">
        <f t="shared" ca="1" si="9"/>
        <v>1.1701977238016407E-2</v>
      </c>
      <c r="AN376" s="135">
        <f t="shared" ca="1" si="10"/>
        <v>2.6266728156805079E-2</v>
      </c>
      <c r="AP376" s="516">
        <f t="shared" ca="1" si="11"/>
        <v>9.8031420658042153E-4</v>
      </c>
      <c r="AQ376" s="516">
        <f t="shared" ca="1" si="12"/>
        <v>2.8280827523011688E-3</v>
      </c>
      <c r="AR376" s="516">
        <f t="shared" ca="1" si="13"/>
        <v>6.2511896111161463E-3</v>
      </c>
      <c r="AT376" s="516">
        <f t="shared" ca="1" si="14"/>
        <v>6.9789174431513459E-2</v>
      </c>
      <c r="AU376" s="516">
        <f t="shared" ca="1" si="15"/>
        <v>0.14037016024157314</v>
      </c>
      <c r="AV376" s="516">
        <f t="shared" ca="1" si="16"/>
        <v>0.26566483100137189</v>
      </c>
    </row>
    <row r="377" spans="1:48" ht="10.5" customHeight="1">
      <c r="A377" s="96">
        <v>366</v>
      </c>
      <c r="B377" s="68" t="s">
        <v>533</v>
      </c>
      <c r="C377" s="97">
        <v>0.4</v>
      </c>
      <c r="D377" s="69" t="s">
        <v>66</v>
      </c>
      <c r="E377" s="136"/>
      <c r="F377" s="154"/>
      <c r="G377" s="154"/>
      <c r="H377" s="154"/>
      <c r="I377" s="154">
        <v>5.1190000000000003E-3</v>
      </c>
      <c r="J377" s="154"/>
      <c r="K377" s="154">
        <v>1.0839E-2</v>
      </c>
      <c r="L377" s="154">
        <v>1.6057999999999999E-2</v>
      </c>
      <c r="M377" s="154"/>
      <c r="N377" s="137" cm="1">
        <f t="array" aca="1" ref="N377:AE377" ca="1">IF(OR(B377="",NOT($J$2)),"",GetStripDefaultProbability(A377,B377,Parameter_Date,CDSRollDate,E377:M377,SpreadCurveMaturities,D377,C377,$J$4,$J$6))</f>
        <v>0</v>
      </c>
      <c r="O377" s="155">
        <f ca="1"/>
        <v>0</v>
      </c>
      <c r="P377" s="155">
        <f ca="1"/>
        <v>0</v>
      </c>
      <c r="Q377" s="155">
        <f ca="1"/>
        <v>0</v>
      </c>
      <c r="R377" s="155">
        <f ca="1"/>
        <v>2.5979871765985263E-2</v>
      </c>
      <c r="S377" s="155">
        <f ca="1"/>
        <v>0</v>
      </c>
      <c r="T377" s="155">
        <f ca="1"/>
        <v>8.9824158836665613E-2</v>
      </c>
      <c r="U377" s="155">
        <f ca="1"/>
        <v>0.18152090339696847</v>
      </c>
      <c r="V377" s="138">
        <f ca="1"/>
        <v>0</v>
      </c>
      <c r="W377" s="137">
        <f ca="1"/>
        <v>0</v>
      </c>
      <c r="X377" s="155">
        <f ca="1"/>
        <v>0</v>
      </c>
      <c r="Y377" s="155">
        <f ca="1"/>
        <v>0</v>
      </c>
      <c r="Z377" s="155">
        <f ca="1"/>
        <v>0</v>
      </c>
      <c r="AA377" s="155">
        <f ca="1"/>
        <v>2.6466760097901831E-2</v>
      </c>
      <c r="AB377" s="155">
        <f ca="1"/>
        <v>0</v>
      </c>
      <c r="AC377" s="155">
        <f ca="1"/>
        <v>9.0613135412616952E-2</v>
      </c>
      <c r="AD377" s="155">
        <f ca="1"/>
        <v>0.18253686703432093</v>
      </c>
      <c r="AE377" s="138">
        <f ca="1"/>
        <v>0</v>
      </c>
      <c r="AG377" s="135"/>
      <c r="AH377" s="135">
        <v>6.8230000000000001E-3</v>
      </c>
      <c r="AI377" s="135">
        <v>1.3924000000000001E-2</v>
      </c>
      <c r="AJ377" s="135">
        <v>2.0253E-2</v>
      </c>
      <c r="AK377" s="135"/>
      <c r="AL377" s="135">
        <f t="shared" ca="1" si="8"/>
        <v>5.3258314195441386E-3</v>
      </c>
      <c r="AM377" s="135">
        <f t="shared" ca="1" si="9"/>
        <v>1.6199873837953915E-2</v>
      </c>
      <c r="AN377" s="135">
        <f t="shared" ca="1" si="10"/>
        <v>3.431686526640261E-2</v>
      </c>
      <c r="AP377" s="516">
        <f t="shared" ca="1" si="11"/>
        <v>1.4031222637923674E-3</v>
      </c>
      <c r="AQ377" s="516">
        <f t="shared" ca="1" si="12"/>
        <v>3.9151147587036667E-3</v>
      </c>
      <c r="AR377" s="516">
        <f t="shared" ca="1" si="13"/>
        <v>8.1670328469833128E-3</v>
      </c>
      <c r="AT377" s="516">
        <f t="shared" ca="1" si="14"/>
        <v>9.9889141419386679E-2</v>
      </c>
      <c r="AU377" s="516">
        <f t="shared" ca="1" si="15"/>
        <v>0.19432433000632973</v>
      </c>
      <c r="AV377" s="516">
        <f t="shared" ca="1" si="16"/>
        <v>0.34708488080704331</v>
      </c>
    </row>
    <row r="378" spans="1:48" ht="10.5" customHeight="1">
      <c r="A378" s="96">
        <v>367</v>
      </c>
      <c r="B378" s="68" t="s">
        <v>519</v>
      </c>
      <c r="C378" s="97">
        <v>0.4</v>
      </c>
      <c r="D378" s="69" t="s">
        <v>66</v>
      </c>
      <c r="E378" s="136"/>
      <c r="F378" s="154"/>
      <c r="G378" s="154"/>
      <c r="H378" s="154"/>
      <c r="I378" s="154">
        <v>1.5269999999999999E-3</v>
      </c>
      <c r="J378" s="154"/>
      <c r="K378" s="154">
        <v>2.49E-3</v>
      </c>
      <c r="L378" s="154">
        <v>3.63E-3</v>
      </c>
      <c r="M378" s="154"/>
      <c r="N378" s="137" cm="1">
        <f t="array" aca="1" ref="N378:AE378" ca="1">IF(OR(B378="",NOT($J$2)),"",GetStripDefaultProbability(A378,B378,Parameter_Date,CDSRollDate,E378:M378,SpreadCurveMaturities,D378,C378,$J$4,$J$6))</f>
        <v>0</v>
      </c>
      <c r="O378" s="155">
        <f ca="1"/>
        <v>0</v>
      </c>
      <c r="P378" s="155">
        <f ca="1"/>
        <v>0</v>
      </c>
      <c r="Q378" s="155">
        <f ca="1"/>
        <v>0</v>
      </c>
      <c r="R378" s="155">
        <f ca="1"/>
        <v>7.8201665199822967E-3</v>
      </c>
      <c r="S378" s="155">
        <f ca="1"/>
        <v>0</v>
      </c>
      <c r="T378" s="155">
        <f ca="1"/>
        <v>2.1104873268717905E-2</v>
      </c>
      <c r="U378" s="155">
        <f ca="1"/>
        <v>4.3002947169444306E-2</v>
      </c>
      <c r="V378" s="138">
        <f ca="1"/>
        <v>0</v>
      </c>
      <c r="W378" s="137">
        <f ca="1"/>
        <v>0</v>
      </c>
      <c r="X378" s="155">
        <f ca="1"/>
        <v>0</v>
      </c>
      <c r="Y378" s="155">
        <f ca="1"/>
        <v>0</v>
      </c>
      <c r="Z378" s="155">
        <f ca="1"/>
        <v>0</v>
      </c>
      <c r="AA378" s="155">
        <f ca="1"/>
        <v>8.3161324348758336E-3</v>
      </c>
      <c r="AB378" s="155">
        <f ca="1"/>
        <v>0</v>
      </c>
      <c r="AC378" s="155">
        <f ca="1"/>
        <v>2.1940807654864947E-2</v>
      </c>
      <c r="AD378" s="155">
        <f ca="1"/>
        <v>4.4150538424630015E-2</v>
      </c>
      <c r="AE378" s="138">
        <f ca="1"/>
        <v>0</v>
      </c>
      <c r="AG378" s="135"/>
      <c r="AH378" s="135">
        <v>2.196E-3</v>
      </c>
      <c r="AI378" s="135">
        <v>3.117E-3</v>
      </c>
      <c r="AJ378" s="135">
        <v>4.3610000000000003E-3</v>
      </c>
      <c r="AK378" s="135"/>
      <c r="AL378" s="135">
        <f t="shared" ca="1" si="8"/>
        <v>1.7141324633326879E-3</v>
      </c>
      <c r="AM378" s="135">
        <f t="shared" ca="1" si="9"/>
        <v>3.6264727630639436E-3</v>
      </c>
      <c r="AN378" s="135">
        <f t="shared" ca="1" si="10"/>
        <v>7.3893176036528806E-3</v>
      </c>
      <c r="AP378" s="516">
        <f t="shared" ca="1" si="11"/>
        <v>4.5159848912326527E-4</v>
      </c>
      <c r="AQ378" s="516">
        <f t="shared" ca="1" si="12"/>
        <v>8.7643009931624011E-4</v>
      </c>
      <c r="AR378" s="516">
        <f t="shared" ca="1" si="13"/>
        <v>1.7585755318073484E-3</v>
      </c>
      <c r="AT378" s="516">
        <f t="shared" ca="1" si="14"/>
        <v>3.214957563490739E-2</v>
      </c>
      <c r="AU378" s="516">
        <f t="shared" ca="1" si="15"/>
        <v>4.3501072725490503E-2</v>
      </c>
      <c r="AV378" s="516">
        <f t="shared" ca="1" si="16"/>
        <v>7.4736442265319503E-2</v>
      </c>
    </row>
    <row r="379" spans="1:48" ht="10.5" customHeight="1">
      <c r="A379" s="96">
        <v>368</v>
      </c>
      <c r="B379" s="68" t="s">
        <v>534</v>
      </c>
      <c r="C379" s="97">
        <v>0.4</v>
      </c>
      <c r="D379" s="69" t="s">
        <v>66</v>
      </c>
      <c r="E379" s="136"/>
      <c r="F379" s="154"/>
      <c r="G379" s="154"/>
      <c r="H379" s="154"/>
      <c r="I379" s="154">
        <v>5.0749999999999997E-3</v>
      </c>
      <c r="J379" s="154"/>
      <c r="K379" s="154">
        <v>8.8369999999999994E-3</v>
      </c>
      <c r="L379" s="154">
        <v>1.3018E-2</v>
      </c>
      <c r="M379" s="154"/>
      <c r="N379" s="137" cm="1">
        <f t="array" aca="1" ref="N379:AE379" ca="1">IF(OR(B379="",NOT($J$2)),"",GetStripDefaultProbability(A379,B379,Parameter_Date,CDSRollDate,E379:M379,SpreadCurveMaturities,D379,C379,$J$4,$J$6))</f>
        <v>0</v>
      </c>
      <c r="O379" s="155">
        <f ca="1"/>
        <v>0</v>
      </c>
      <c r="P379" s="155">
        <f ca="1"/>
        <v>0</v>
      </c>
      <c r="Q379" s="155">
        <f ca="1"/>
        <v>0</v>
      </c>
      <c r="R379" s="155">
        <f ca="1"/>
        <v>2.575940256929421E-2</v>
      </c>
      <c r="S379" s="155">
        <f ca="1"/>
        <v>0</v>
      </c>
      <c r="T379" s="155">
        <f ca="1"/>
        <v>7.3465709375778232E-2</v>
      </c>
      <c r="U379" s="155">
        <f ca="1"/>
        <v>0.14858091308881416</v>
      </c>
      <c r="V379" s="138">
        <f ca="1"/>
        <v>0</v>
      </c>
      <c r="W379" s="137">
        <f ca="1"/>
        <v>0</v>
      </c>
      <c r="X379" s="155">
        <f ca="1"/>
        <v>0</v>
      </c>
      <c r="Y379" s="155">
        <f ca="1"/>
        <v>0</v>
      </c>
      <c r="Z379" s="155">
        <f ca="1"/>
        <v>0</v>
      </c>
      <c r="AA379" s="155">
        <f ca="1"/>
        <v>2.6246401108274031E-2</v>
      </c>
      <c r="AB379" s="155">
        <f ca="1"/>
        <v>0</v>
      </c>
      <c r="AC379" s="155">
        <f ca="1"/>
        <v>7.423749966069404E-2</v>
      </c>
      <c r="AD379" s="155">
        <f ca="1"/>
        <v>0.14962875039073142</v>
      </c>
      <c r="AE379" s="138">
        <f ca="1"/>
        <v>0</v>
      </c>
      <c r="AG379" s="135"/>
      <c r="AH379" s="135">
        <v>2.016E-3</v>
      </c>
      <c r="AI379" s="135">
        <v>3.4150000000000001E-3</v>
      </c>
      <c r="AJ379" s="135">
        <v>5.3829999999999998E-3</v>
      </c>
      <c r="AK379" s="135"/>
      <c r="AL379" s="135">
        <f t="shared" ca="1" si="8"/>
        <v>1.5736298024037791E-3</v>
      </c>
      <c r="AM379" s="135">
        <f t="shared" ca="1" si="9"/>
        <v>3.9731807782686455E-3</v>
      </c>
      <c r="AN379" s="135">
        <f t="shared" ca="1" si="10"/>
        <v>9.1210035910257864E-3</v>
      </c>
      <c r="AP379" s="516">
        <f t="shared" ca="1" si="11"/>
        <v>4.1458221952299764E-4</v>
      </c>
      <c r="AQ379" s="516">
        <f t="shared" ca="1" si="12"/>
        <v>9.6022097823707415E-4</v>
      </c>
      <c r="AR379" s="516">
        <f t="shared" ca="1" si="13"/>
        <v>2.1706975665487173E-3</v>
      </c>
      <c r="AT379" s="516">
        <f t="shared" ca="1" si="14"/>
        <v>2.951436451729203E-2</v>
      </c>
      <c r="AU379" s="516">
        <f t="shared" ca="1" si="15"/>
        <v>4.7659981827895437E-2</v>
      </c>
      <c r="AV379" s="516">
        <f t="shared" ca="1" si="16"/>
        <v>9.2250921512087788E-2</v>
      </c>
    </row>
    <row r="380" spans="1:48" ht="10.5" customHeight="1">
      <c r="A380" s="96">
        <v>369</v>
      </c>
      <c r="B380" s="68" t="s">
        <v>535</v>
      </c>
      <c r="C380" s="97">
        <v>0.4</v>
      </c>
      <c r="D380" s="69" t="s">
        <v>66</v>
      </c>
      <c r="E380" s="136"/>
      <c r="F380" s="154"/>
      <c r="G380" s="154"/>
      <c r="H380" s="154"/>
      <c r="I380" s="154">
        <v>4.0559999999999997E-3</v>
      </c>
      <c r="J380" s="154"/>
      <c r="K380" s="154">
        <v>7.1669999999999998E-3</v>
      </c>
      <c r="L380" s="154">
        <v>1.0695E-2</v>
      </c>
      <c r="M380" s="154"/>
      <c r="N380" s="137" cm="1">
        <f t="array" aca="1" ref="N380:AE380" ca="1">IF(OR(B380="",NOT($J$2)),"",GetStripDefaultProbability(A380,B380,Parameter_Date,CDSRollDate,E380:M380,SpreadCurveMaturities,D380,C380,$J$4,$J$6))</f>
        <v>0</v>
      </c>
      <c r="O380" s="155">
        <f ca="1"/>
        <v>0</v>
      </c>
      <c r="P380" s="155">
        <f ca="1"/>
        <v>0</v>
      </c>
      <c r="Q380" s="155">
        <f ca="1"/>
        <v>0</v>
      </c>
      <c r="R380" s="155">
        <f ca="1"/>
        <v>2.0639905377308976E-2</v>
      </c>
      <c r="S380" s="155">
        <f ca="1"/>
        <v>0</v>
      </c>
      <c r="T380" s="155">
        <f ca="1"/>
        <v>5.9904640024257438E-2</v>
      </c>
      <c r="U380" s="155">
        <f ca="1"/>
        <v>0.12328262771769283</v>
      </c>
      <c r="V380" s="138">
        <f ca="1"/>
        <v>0</v>
      </c>
      <c r="W380" s="137">
        <f ca="1"/>
        <v>0</v>
      </c>
      <c r="X380" s="155">
        <f ca="1"/>
        <v>0</v>
      </c>
      <c r="Y380" s="155">
        <f ca="1"/>
        <v>0</v>
      </c>
      <c r="Z380" s="155">
        <f ca="1"/>
        <v>0</v>
      </c>
      <c r="AA380" s="155">
        <f ca="1"/>
        <v>2.1129463024987194E-2</v>
      </c>
      <c r="AB380" s="155">
        <f ca="1"/>
        <v>0</v>
      </c>
      <c r="AC380" s="155">
        <f ca="1"/>
        <v>6.0687726492877125E-2</v>
      </c>
      <c r="AD380" s="155">
        <f ca="1"/>
        <v>0.12435574325799037</v>
      </c>
      <c r="AE380" s="138">
        <f ca="1"/>
        <v>0</v>
      </c>
      <c r="AG380" s="135"/>
      <c r="AH380" s="135">
        <v>2.222E-3</v>
      </c>
      <c r="AI380" s="135">
        <v>4.2570000000000004E-3</v>
      </c>
      <c r="AJ380" s="135">
        <v>6.2550000000000001E-3</v>
      </c>
      <c r="AK380" s="135"/>
      <c r="AL380" s="135">
        <f t="shared" ca="1" si="8"/>
        <v>1.7344272921335302E-3</v>
      </c>
      <c r="AM380" s="135">
        <f t="shared" ca="1" si="9"/>
        <v>4.9528054386792459E-3</v>
      </c>
      <c r="AN380" s="135">
        <f t="shared" ca="1" si="10"/>
        <v>1.0598528229958442E-2</v>
      </c>
      <c r="AP380" s="516">
        <f t="shared" ca="1" si="11"/>
        <v>4.569452836210817E-4</v>
      </c>
      <c r="AQ380" s="516">
        <f t="shared" ca="1" si="12"/>
        <v>1.1969723878053368E-3</v>
      </c>
      <c r="AR380" s="516">
        <f t="shared" ca="1" si="13"/>
        <v>2.5223320228055408E-3</v>
      </c>
      <c r="AT380" s="516">
        <f t="shared" ca="1" si="14"/>
        <v>3.2530217240785163E-2</v>
      </c>
      <c r="AU380" s="516">
        <f t="shared" ca="1" si="15"/>
        <v>5.9410993452811388E-2</v>
      </c>
      <c r="AV380" s="516">
        <f t="shared" ca="1" si="16"/>
        <v>0.10719478247410537</v>
      </c>
    </row>
    <row r="381" spans="1:48" ht="10.5" customHeight="1">
      <c r="A381" s="96">
        <v>370</v>
      </c>
      <c r="B381" s="68" t="s">
        <v>613</v>
      </c>
      <c r="C381" s="97">
        <v>0.4</v>
      </c>
      <c r="D381" s="69" t="s">
        <v>66</v>
      </c>
      <c r="E381" s="136"/>
      <c r="F381" s="154"/>
      <c r="G381" s="154"/>
      <c r="H381" s="154"/>
      <c r="I381" s="154">
        <v>1.191E-3</v>
      </c>
      <c r="J381" s="154"/>
      <c r="K381" s="154">
        <v>1.908E-3</v>
      </c>
      <c r="L381" s="154">
        <v>2.9069999999999999E-3</v>
      </c>
      <c r="M381" s="154"/>
      <c r="N381" s="137" cm="1">
        <f t="array" aca="1" ref="N381:AE381" ca="1">IF(OR(B381="",NOT($J$2)),"",GetStripDefaultProbability(A381,B381,Parameter_Date,CDSRollDate,E381:M381,SpreadCurveMaturities,D381,C381,$J$4,$J$6))</f>
        <v>0</v>
      </c>
      <c r="O381" s="155">
        <f ca="1"/>
        <v>0</v>
      </c>
      <c r="P381" s="155">
        <f ca="1"/>
        <v>0</v>
      </c>
      <c r="Q381" s="155">
        <f ca="1"/>
        <v>0</v>
      </c>
      <c r="R381" s="155">
        <f ca="1"/>
        <v>6.1046069085071153E-3</v>
      </c>
      <c r="S381" s="155">
        <f ca="1"/>
        <v>0</v>
      </c>
      <c r="T381" s="155">
        <f ca="1"/>
        <v>1.6200582568594246E-2</v>
      </c>
      <c r="U381" s="155">
        <f ca="1"/>
        <v>3.4566916986549345E-2</v>
      </c>
      <c r="V381" s="138">
        <f ca="1"/>
        <v>0</v>
      </c>
      <c r="W381" s="137">
        <f ca="1"/>
        <v>0</v>
      </c>
      <c r="X381" s="155">
        <f ca="1"/>
        <v>0</v>
      </c>
      <c r="Y381" s="155">
        <f ca="1"/>
        <v>0</v>
      </c>
      <c r="Z381" s="155">
        <f ca="1"/>
        <v>0</v>
      </c>
      <c r="AA381" s="155">
        <f ca="1"/>
        <v>6.6014303887760306E-3</v>
      </c>
      <c r="AB381" s="155">
        <f ca="1"/>
        <v>0</v>
      </c>
      <c r="AC381" s="155">
        <f ca="1"/>
        <v>1.704049003336694E-2</v>
      </c>
      <c r="AD381" s="155">
        <f ca="1"/>
        <v>3.5724085631643643E-2</v>
      </c>
      <c r="AE381" s="138">
        <f ca="1"/>
        <v>0</v>
      </c>
      <c r="AG381" s="135"/>
      <c r="AH381" s="135">
        <v>7.633E-3</v>
      </c>
      <c r="AI381" s="135">
        <v>1.1407E-2</v>
      </c>
      <c r="AJ381" s="135">
        <v>1.4759E-2</v>
      </c>
      <c r="AK381" s="135"/>
      <c r="AL381" s="135">
        <f t="shared" ca="1" si="8"/>
        <v>5.9580933937242288E-3</v>
      </c>
      <c r="AM381" s="135">
        <f t="shared" ca="1" si="9"/>
        <v>1.3271470904161182E-2</v>
      </c>
      <c r="AN381" s="135">
        <f t="shared" ca="1" si="10"/>
        <v>2.5007782277531039E-2</v>
      </c>
      <c r="AP381" s="516">
        <f t="shared" ca="1" si="11"/>
        <v>1.5696954769935719E-3</v>
      </c>
      <c r="AQ381" s="516">
        <f t="shared" ca="1" si="12"/>
        <v>3.2073911270132666E-3</v>
      </c>
      <c r="AR381" s="516">
        <f t="shared" ca="1" si="13"/>
        <v>5.9515744723560313E-3</v>
      </c>
      <c r="AT381" s="516">
        <f t="shared" ca="1" si="14"/>
        <v>0.11174759144865579</v>
      </c>
      <c r="AU381" s="516">
        <f t="shared" ca="1" si="15"/>
        <v>0.15919689976890286</v>
      </c>
      <c r="AV381" s="516">
        <f t="shared" ca="1" si="16"/>
        <v>0.25293170176423996</v>
      </c>
    </row>
    <row r="382" spans="1:48" ht="10.5" customHeight="1">
      <c r="A382" s="96">
        <v>371</v>
      </c>
      <c r="B382" s="68" t="s">
        <v>520</v>
      </c>
      <c r="C382" s="97">
        <v>0.4</v>
      </c>
      <c r="D382" s="69" t="s">
        <v>66</v>
      </c>
      <c r="E382" s="136"/>
      <c r="F382" s="154"/>
      <c r="G382" s="154"/>
      <c r="H382" s="154"/>
      <c r="I382" s="154">
        <v>1.2049999999999999E-3</v>
      </c>
      <c r="J382" s="154"/>
      <c r="K382" s="154">
        <v>1.9740000000000001E-3</v>
      </c>
      <c r="L382" s="154">
        <v>3.055E-3</v>
      </c>
      <c r="M382" s="154"/>
      <c r="N382" s="137" cm="1">
        <f t="array" aca="1" ref="N382:AE382" ca="1">IF(OR(B382="",NOT($J$2)),"",GetStripDefaultProbability(A382,B382,Parameter_Date,CDSRollDate,E382:M382,SpreadCurveMaturities,D382,C382,$J$4,$J$6))</f>
        <v>0</v>
      </c>
      <c r="O382" s="155">
        <f ca="1"/>
        <v>0</v>
      </c>
      <c r="P382" s="155">
        <f ca="1"/>
        <v>0</v>
      </c>
      <c r="Q382" s="155">
        <f ca="1"/>
        <v>0</v>
      </c>
      <c r="R382" s="155">
        <f ca="1"/>
        <v>6.1761467823127081E-3</v>
      </c>
      <c r="S382" s="155">
        <f ca="1"/>
        <v>0</v>
      </c>
      <c r="T382" s="155">
        <f ca="1"/>
        <v>1.6759778123378921E-2</v>
      </c>
      <c r="U382" s="155">
        <f ca="1"/>
        <v>3.6319280281351674E-2</v>
      </c>
      <c r="V382" s="138">
        <f ca="1"/>
        <v>0</v>
      </c>
      <c r="W382" s="137">
        <f ca="1"/>
        <v>0</v>
      </c>
      <c r="X382" s="155">
        <f ca="1"/>
        <v>0</v>
      </c>
      <c r="Y382" s="155">
        <f ca="1"/>
        <v>0</v>
      </c>
      <c r="Z382" s="155">
        <f ca="1"/>
        <v>0</v>
      </c>
      <c r="AA382" s="155">
        <f ca="1"/>
        <v>6.6729345016784958E-3</v>
      </c>
      <c r="AB382" s="155">
        <f ca="1"/>
        <v>0</v>
      </c>
      <c r="AC382" s="155">
        <f ca="1"/>
        <v>1.7599279809868529E-2</v>
      </c>
      <c r="AD382" s="155">
        <f ca="1"/>
        <v>3.7474659010757194E-2</v>
      </c>
      <c r="AE382" s="138">
        <f ca="1"/>
        <v>0</v>
      </c>
      <c r="AG382" s="135"/>
      <c r="AH382" s="135">
        <v>2.836E-3</v>
      </c>
      <c r="AI382" s="135">
        <v>5.025E-3</v>
      </c>
      <c r="AJ382" s="135">
        <v>7.2620000000000002E-3</v>
      </c>
      <c r="AK382" s="135"/>
      <c r="AL382" s="135">
        <f t="shared" ca="1" si="8"/>
        <v>2.2136974799688079E-3</v>
      </c>
      <c r="AM382" s="135">
        <f t="shared" ca="1" si="9"/>
        <v>5.846334820146396E-3</v>
      </c>
      <c r="AN382" s="135">
        <f t="shared" ca="1" si="10"/>
        <v>1.2304798082487323E-2</v>
      </c>
      <c r="AP382" s="516">
        <f t="shared" ca="1" si="11"/>
        <v>5.8321189214643912E-4</v>
      </c>
      <c r="AQ382" s="516">
        <f t="shared" ca="1" si="12"/>
        <v>1.4129166663664121E-3</v>
      </c>
      <c r="AR382" s="516">
        <f t="shared" ca="1" si="13"/>
        <v>2.9284052996984555E-3</v>
      </c>
      <c r="AT382" s="516">
        <f t="shared" ca="1" si="14"/>
        <v>4.1519215164206445E-2</v>
      </c>
      <c r="AU382" s="516">
        <f t="shared" ca="1" si="15"/>
        <v>7.0129255837532808E-2</v>
      </c>
      <c r="AV382" s="516">
        <f t="shared" ca="1" si="16"/>
        <v>0.12445219989239859</v>
      </c>
    </row>
    <row r="383" spans="1:48" ht="10.5" customHeight="1">
      <c r="A383" s="96">
        <v>372</v>
      </c>
      <c r="B383" s="68" t="s">
        <v>614</v>
      </c>
      <c r="C383" s="97">
        <v>0.4</v>
      </c>
      <c r="D383" s="69" t="s">
        <v>66</v>
      </c>
      <c r="E383" s="136"/>
      <c r="F383" s="154"/>
      <c r="G383" s="154"/>
      <c r="H383" s="154"/>
      <c r="I383" s="154">
        <v>1.1557E-2</v>
      </c>
      <c r="J383" s="154"/>
      <c r="K383" s="154">
        <v>1.7305000000000001E-2</v>
      </c>
      <c r="L383" s="154">
        <v>2.0903000000000001E-2</v>
      </c>
      <c r="M383" s="154"/>
      <c r="N383" s="137" cm="1">
        <f t="array" aca="1" ref="N383:AE383" ca="1">IF(OR(B383="",NOT($J$2)),"",GetStripDefaultProbability(A383,B383,Parameter_Date,CDSRollDate,E383:M383,SpreadCurveMaturities,D383,C383,$J$4,$J$6))</f>
        <v>0</v>
      </c>
      <c r="O383" s="155">
        <f ca="1"/>
        <v>0</v>
      </c>
      <c r="P383" s="155">
        <f ca="1"/>
        <v>0</v>
      </c>
      <c r="Q383" s="155">
        <f ca="1"/>
        <v>0</v>
      </c>
      <c r="R383" s="155">
        <f ca="1"/>
        <v>5.768324918693446E-2</v>
      </c>
      <c r="S383" s="155">
        <f ca="1"/>
        <v>0</v>
      </c>
      <c r="T383" s="155">
        <f ca="1"/>
        <v>0.13943675139353162</v>
      </c>
      <c r="U383" s="155">
        <f ca="1"/>
        <v>0.22745308232155215</v>
      </c>
      <c r="V383" s="138">
        <f ca="1"/>
        <v>0</v>
      </c>
      <c r="W383" s="137">
        <f ca="1"/>
        <v>0</v>
      </c>
      <c r="X383" s="155">
        <f ca="1"/>
        <v>0</v>
      </c>
      <c r="Y383" s="155">
        <f ca="1"/>
        <v>0</v>
      </c>
      <c r="Z383" s="155">
        <f ca="1"/>
        <v>0</v>
      </c>
      <c r="AA383" s="155">
        <f ca="1"/>
        <v>5.8154289792418545E-2</v>
      </c>
      <c r="AB383" s="155">
        <f ca="1"/>
        <v>0</v>
      </c>
      <c r="AC383" s="155">
        <f ca="1"/>
        <v>0.14018359475304443</v>
      </c>
      <c r="AD383" s="155">
        <f ca="1"/>
        <v>0.22840571790203057</v>
      </c>
      <c r="AE383" s="138">
        <f ca="1"/>
        <v>0</v>
      </c>
      <c r="AG383" s="135"/>
      <c r="AH383" s="135">
        <v>2.2030000000000001E-3</v>
      </c>
      <c r="AI383" s="135">
        <v>3.3639999999999998E-3</v>
      </c>
      <c r="AJ383" s="135">
        <v>4.9129999999999998E-3</v>
      </c>
      <c r="AK383" s="135"/>
      <c r="AL383" s="135">
        <f t="shared" ca="1" si="8"/>
        <v>1.7195964557021454E-3</v>
      </c>
      <c r="AM383" s="135">
        <f t="shared" ca="1" si="9"/>
        <v>3.9138448427805924E-3</v>
      </c>
      <c r="AN383" s="135">
        <f t="shared" ca="1" si="10"/>
        <v>8.324631365913002E-3</v>
      </c>
      <c r="AP383" s="516">
        <f t="shared" ca="1" si="11"/>
        <v>4.5303801071883121E-4</v>
      </c>
      <c r="AQ383" s="516">
        <f t="shared" ca="1" si="12"/>
        <v>9.4588092848887765E-4</v>
      </c>
      <c r="AR383" s="516">
        <f t="shared" ca="1" si="13"/>
        <v>1.9811698206304751E-3</v>
      </c>
      <c r="AT383" s="516">
        <f t="shared" ca="1" si="14"/>
        <v>3.2252056067259102E-2</v>
      </c>
      <c r="AU383" s="516">
        <f t="shared" ca="1" si="15"/>
        <v>4.6948222216410027E-2</v>
      </c>
      <c r="AV383" s="516">
        <f t="shared" ca="1" si="16"/>
        <v>8.4196317553202171E-2</v>
      </c>
    </row>
    <row r="384" spans="1:48" ht="10.5" customHeight="1">
      <c r="A384" s="96">
        <v>373</v>
      </c>
      <c r="B384" s="68" t="s">
        <v>536</v>
      </c>
      <c r="C384" s="97">
        <v>0.4</v>
      </c>
      <c r="D384" s="69" t="s">
        <v>66</v>
      </c>
      <c r="E384" s="136"/>
      <c r="F384" s="154"/>
      <c r="G384" s="154"/>
      <c r="H384" s="154"/>
      <c r="I384" s="154">
        <v>3.4970000000000001E-3</v>
      </c>
      <c r="J384" s="154"/>
      <c r="K384" s="154">
        <v>6.7010000000000004E-3</v>
      </c>
      <c r="L384" s="154">
        <v>1.042E-2</v>
      </c>
      <c r="M384" s="154"/>
      <c r="N384" s="137" cm="1">
        <f t="array" aca="1" ref="N384:AE384" ca="1">IF(OR(B384="",NOT($J$2)),"",GetStripDefaultProbability(A384,B384,Parameter_Date,CDSRollDate,E384:M384,SpreadCurveMaturities,D384,C384,$J$4,$J$6))</f>
        <v>0</v>
      </c>
      <c r="O384" s="155">
        <f ca="1"/>
        <v>0</v>
      </c>
      <c r="P384" s="155">
        <f ca="1"/>
        <v>0</v>
      </c>
      <c r="Q384" s="155">
        <f ca="1"/>
        <v>0</v>
      </c>
      <c r="R384" s="155">
        <f ca="1"/>
        <v>1.7820321066336242E-2</v>
      </c>
      <c r="S384" s="155">
        <f ca="1"/>
        <v>0</v>
      </c>
      <c r="T384" s="155">
        <f ca="1"/>
        <v>5.6146300161932339E-2</v>
      </c>
      <c r="U384" s="155">
        <f ca="1"/>
        <v>0.12049539198371695</v>
      </c>
      <c r="V384" s="138">
        <f ca="1"/>
        <v>0</v>
      </c>
      <c r="W384" s="137">
        <f ca="1"/>
        <v>0</v>
      </c>
      <c r="X384" s="155">
        <f ca="1"/>
        <v>0</v>
      </c>
      <c r="Y384" s="155">
        <f ca="1"/>
        <v>0</v>
      </c>
      <c r="Z384" s="155">
        <f ca="1"/>
        <v>0</v>
      </c>
      <c r="AA384" s="155">
        <f ca="1"/>
        <v>1.831128815377181E-2</v>
      </c>
      <c r="AB384" s="155">
        <f ca="1"/>
        <v>0</v>
      </c>
      <c r="AC384" s="155">
        <f ca="1"/>
        <v>5.6932517275857575E-2</v>
      </c>
      <c r="AD384" s="155">
        <f ca="1"/>
        <v>0.12157301620319438</v>
      </c>
      <c r="AE384" s="138">
        <f ca="1"/>
        <v>0</v>
      </c>
      <c r="AG384" s="135"/>
      <c r="AH384" s="135">
        <v>5.3819999999999996E-3</v>
      </c>
      <c r="AI384" s="135">
        <v>8.8269999999999998E-3</v>
      </c>
      <c r="AJ384" s="135">
        <v>1.2491E-2</v>
      </c>
      <c r="AK384" s="135"/>
      <c r="AL384" s="135">
        <f t="shared" ca="1" si="8"/>
        <v>4.2010295617743738E-3</v>
      </c>
      <c r="AM384" s="135">
        <f t="shared" ca="1" si="9"/>
        <v>1.0269770638294973E-2</v>
      </c>
      <c r="AN384" s="135">
        <f t="shared" ca="1" si="10"/>
        <v>2.1164862689114453E-2</v>
      </c>
      <c r="AP384" s="516">
        <f t="shared" ca="1" si="11"/>
        <v>1.1067864610480025E-3</v>
      </c>
      <c r="AQ384" s="516">
        <f t="shared" ca="1" si="12"/>
        <v>2.4819533162221533E-3</v>
      </c>
      <c r="AR384" s="516">
        <f t="shared" ca="1" si="13"/>
        <v>5.0370022856697063E-3</v>
      </c>
      <c r="AT384" s="516">
        <f t="shared" ca="1" si="14"/>
        <v>7.8792812416699262E-2</v>
      </c>
      <c r="AU384" s="516">
        <f t="shared" ca="1" si="15"/>
        <v>0.12319023707022927</v>
      </c>
      <c r="AV384" s="516">
        <f t="shared" ca="1" si="16"/>
        <v>0.21406395329880898</v>
      </c>
    </row>
    <row r="385" spans="1:48" ht="10.5" customHeight="1">
      <c r="A385" s="96">
        <v>374</v>
      </c>
      <c r="B385" s="68" t="s">
        <v>521</v>
      </c>
      <c r="C385" s="97">
        <v>0.4</v>
      </c>
      <c r="D385" s="69" t="s">
        <v>66</v>
      </c>
      <c r="E385" s="136"/>
      <c r="F385" s="154"/>
      <c r="G385" s="154"/>
      <c r="H385" s="154"/>
      <c r="I385" s="154">
        <v>2.7599999999999999E-3</v>
      </c>
      <c r="J385" s="154"/>
      <c r="K385" s="154">
        <v>4.8069999999999996E-3</v>
      </c>
      <c r="L385" s="154">
        <v>6.9220000000000002E-3</v>
      </c>
      <c r="M385" s="154"/>
      <c r="N385" s="137" cm="1">
        <f t="array" aca="1" ref="N385:AE385" ca="1">IF(OR(B385="",NOT($J$2)),"",GetStripDefaultProbability(A385,B385,Parameter_Date,CDSRollDate,E385:M385,SpreadCurveMaturities,D385,C385,$J$4,$J$6))</f>
        <v>0</v>
      </c>
      <c r="O385" s="155">
        <f ca="1"/>
        <v>0</v>
      </c>
      <c r="P385" s="155">
        <f ca="1"/>
        <v>0</v>
      </c>
      <c r="Q385" s="155">
        <f ca="1"/>
        <v>0</v>
      </c>
      <c r="R385" s="155">
        <f ca="1"/>
        <v>1.4090769350456167E-2</v>
      </c>
      <c r="S385" s="155">
        <f ca="1"/>
        <v>0</v>
      </c>
      <c r="T385" s="155">
        <f ca="1"/>
        <v>4.0467760343892989E-2</v>
      </c>
      <c r="U385" s="155">
        <f ca="1"/>
        <v>8.0916374679469549E-2</v>
      </c>
      <c r="V385" s="138">
        <f ca="1"/>
        <v>0</v>
      </c>
      <c r="W385" s="137">
        <f ca="1"/>
        <v>0</v>
      </c>
      <c r="X385" s="155">
        <f ca="1"/>
        <v>0</v>
      </c>
      <c r="Y385" s="155">
        <f ca="1"/>
        <v>0</v>
      </c>
      <c r="Z385" s="155">
        <f ca="1"/>
        <v>0</v>
      </c>
      <c r="AA385" s="155">
        <f ca="1"/>
        <v>1.4583600747605452E-2</v>
      </c>
      <c r="AB385" s="155">
        <f ca="1"/>
        <v>0</v>
      </c>
      <c r="AC385" s="155">
        <f ca="1"/>
        <v>4.1286735494955318E-2</v>
      </c>
      <c r="AD385" s="155">
        <f ca="1"/>
        <v>8.2018314107963008E-2</v>
      </c>
      <c r="AE385" s="138">
        <f ca="1"/>
        <v>0</v>
      </c>
      <c r="AG385" s="135"/>
      <c r="AH385" s="135">
        <v>2.905E-3</v>
      </c>
      <c r="AI385" s="135">
        <v>4.709E-2</v>
      </c>
      <c r="AJ385" s="135">
        <v>6.6230000000000004E-3</v>
      </c>
      <c r="AK385" s="135"/>
      <c r="AL385" s="135">
        <f t="shared" ca="1" si="8"/>
        <v>2.26755683332489E-3</v>
      </c>
      <c r="AM385" s="135">
        <f t="shared" ca="1" si="9"/>
        <v>5.4786847100635583E-2</v>
      </c>
      <c r="AN385" s="135">
        <f t="shared" ca="1" si="10"/>
        <v>1.1222070738131857E-2</v>
      </c>
      <c r="AP385" s="516">
        <f t="shared" ca="1" si="11"/>
        <v>5.9740146215987505E-4</v>
      </c>
      <c r="AQ385" s="516">
        <f t="shared" ca="1" si="12"/>
        <v>1.324064593416803E-2</v>
      </c>
      <c r="AR385" s="516">
        <f t="shared" ca="1" si="13"/>
        <v>2.6707282153542924E-3</v>
      </c>
      <c r="AT385" s="516">
        <f t="shared" ca="1" si="14"/>
        <v>4.2529379425959003E-2</v>
      </c>
      <c r="AU385" s="516">
        <f t="shared" ca="1" si="15"/>
        <v>0.65719137460485977</v>
      </c>
      <c r="AV385" s="516">
        <f t="shared" ca="1" si="16"/>
        <v>0.11350136599936049</v>
      </c>
    </row>
    <row r="386" spans="1:48" ht="10.5" customHeight="1">
      <c r="A386" s="96">
        <v>375</v>
      </c>
      <c r="B386" s="68" t="s">
        <v>537</v>
      </c>
      <c r="C386" s="97">
        <v>0.4</v>
      </c>
      <c r="D386" s="69" t="s">
        <v>66</v>
      </c>
      <c r="E386" s="136"/>
      <c r="F386" s="154"/>
      <c r="G386" s="154"/>
      <c r="H386" s="154"/>
      <c r="I386" s="154">
        <v>8.0549999999999997E-3</v>
      </c>
      <c r="J386" s="154"/>
      <c r="K386" s="154">
        <v>1.2508999999999999E-2</v>
      </c>
      <c r="L386" s="154">
        <v>1.5117E-2</v>
      </c>
      <c r="M386" s="154"/>
      <c r="N386" s="137" cm="1">
        <f t="array" aca="1" ref="N386:AE386" ca="1">IF(OR(B386="",NOT($J$2)),"",GetStripDefaultProbability(A386,B386,Parameter_Date,CDSRollDate,E386:M386,SpreadCurveMaturities,D386,C386,$J$4,$J$6))</f>
        <v>0</v>
      </c>
      <c r="O386" s="155">
        <f ca="1"/>
        <v>0</v>
      </c>
      <c r="P386" s="155">
        <f ca="1"/>
        <v>0</v>
      </c>
      <c r="Q386" s="155">
        <f ca="1"/>
        <v>0</v>
      </c>
      <c r="R386" s="155">
        <f ca="1"/>
        <v>4.0564953224730638E-2</v>
      </c>
      <c r="S386" s="155">
        <f ca="1"/>
        <v>0</v>
      </c>
      <c r="T386" s="155">
        <f ca="1"/>
        <v>0.10251795133564257</v>
      </c>
      <c r="U386" s="155">
        <f ca="1"/>
        <v>0.16903902876411436</v>
      </c>
      <c r="V386" s="138">
        <f ca="1"/>
        <v>0</v>
      </c>
      <c r="W386" s="137">
        <f ca="1"/>
        <v>0</v>
      </c>
      <c r="X386" s="155">
        <f ca="1"/>
        <v>0</v>
      </c>
      <c r="Y386" s="155">
        <f ca="1"/>
        <v>0</v>
      </c>
      <c r="Z386" s="155">
        <f ca="1"/>
        <v>0</v>
      </c>
      <c r="AA386" s="155">
        <f ca="1"/>
        <v>4.1044550838685079E-2</v>
      </c>
      <c r="AB386" s="155">
        <f ca="1"/>
        <v>0</v>
      </c>
      <c r="AC386" s="155">
        <f ca="1"/>
        <v>0.10329340486311878</v>
      </c>
      <c r="AD386" s="155">
        <f ca="1"/>
        <v>0.17005410440908741</v>
      </c>
      <c r="AE386" s="138">
        <f ca="1"/>
        <v>0</v>
      </c>
      <c r="AG386" s="135"/>
      <c r="AH386" s="135">
        <v>5.1570000000000001E-3</v>
      </c>
      <c r="AI386" s="135">
        <v>9.7490000000000007E-3</v>
      </c>
      <c r="AJ386" s="135">
        <v>1.2806E-2</v>
      </c>
      <c r="AK386" s="135"/>
      <c r="AL386" s="135">
        <f t="shared" ca="1" si="8"/>
        <v>4.0254012356132386E-3</v>
      </c>
      <c r="AM386" s="135">
        <f t="shared" ca="1" si="9"/>
        <v>1.1342471275941736E-2</v>
      </c>
      <c r="AN386" s="135">
        <f t="shared" ca="1" si="10"/>
        <v>2.1698601520838978E-2</v>
      </c>
      <c r="AP386" s="516">
        <f t="shared" ca="1" si="11"/>
        <v>1.060516124047668E-3</v>
      </c>
      <c r="AQ386" s="516">
        <f t="shared" ca="1" si="12"/>
        <v>2.7411989214738614E-3</v>
      </c>
      <c r="AR386" s="516">
        <f t="shared" ca="1" si="13"/>
        <v>5.1640262004872513E-3</v>
      </c>
      <c r="AT386" s="516">
        <f t="shared" ca="1" si="14"/>
        <v>7.5498798519680069E-2</v>
      </c>
      <c r="AU386" s="516">
        <f t="shared" ca="1" si="15"/>
        <v>0.13605773436022039</v>
      </c>
      <c r="AV386" s="516">
        <f t="shared" ca="1" si="16"/>
        <v>0.21946225169678549</v>
      </c>
    </row>
    <row r="387" spans="1:48" ht="10.5" customHeight="1">
      <c r="A387" s="96">
        <v>376</v>
      </c>
      <c r="B387" s="68" t="s">
        <v>522</v>
      </c>
      <c r="C387" s="97">
        <v>0.4</v>
      </c>
      <c r="D387" s="69" t="s">
        <v>66</v>
      </c>
      <c r="E387" s="136"/>
      <c r="F387" s="154"/>
      <c r="G387" s="154"/>
      <c r="H387" s="154"/>
      <c r="I387" s="154">
        <v>3.4320000000000002E-3</v>
      </c>
      <c r="J387" s="154"/>
      <c r="K387" s="154">
        <v>5.6519999999999999E-3</v>
      </c>
      <c r="L387" s="154">
        <v>8.0560000000000007E-3</v>
      </c>
      <c r="M387" s="154"/>
      <c r="N387" s="137" cm="1">
        <f t="array" aca="1" ref="N387:AE387" ca="1">IF(OR(B387="",NOT($J$2)),"",GetStripDefaultProbability(A387,B387,Parameter_Date,CDSRollDate,E387:M387,SpreadCurveMaturities,D387,C387,$J$4,$J$6))</f>
        <v>0</v>
      </c>
      <c r="O387" s="155">
        <f ca="1"/>
        <v>0</v>
      </c>
      <c r="P387" s="155">
        <f ca="1"/>
        <v>0</v>
      </c>
      <c r="Q387" s="155">
        <f ca="1"/>
        <v>0</v>
      </c>
      <c r="R387" s="155">
        <f ca="1"/>
        <v>1.7491947815600151E-2</v>
      </c>
      <c r="S387" s="155">
        <f ca="1"/>
        <v>0</v>
      </c>
      <c r="T387" s="155">
        <f ca="1"/>
        <v>4.742482071579246E-2</v>
      </c>
      <c r="U387" s="155">
        <f ca="1"/>
        <v>9.3670953665358936E-2</v>
      </c>
      <c r="V387" s="138">
        <f ca="1"/>
        <v>0</v>
      </c>
      <c r="W387" s="137">
        <f ca="1"/>
        <v>0</v>
      </c>
      <c r="X387" s="155">
        <f ca="1"/>
        <v>0</v>
      </c>
      <c r="Y387" s="155">
        <f ca="1"/>
        <v>0</v>
      </c>
      <c r="Z387" s="155">
        <f ca="1"/>
        <v>0</v>
      </c>
      <c r="AA387" s="155">
        <f ca="1"/>
        <v>1.7983079048633721E-2</v>
      </c>
      <c r="AB387" s="155">
        <f ca="1"/>
        <v>0</v>
      </c>
      <c r="AC387" s="155">
        <f ca="1"/>
        <v>4.8236950875731988E-2</v>
      </c>
      <c r="AD387" s="155">
        <f ca="1"/>
        <v>9.4755490312585788E-2</v>
      </c>
      <c r="AE387" s="138">
        <f ca="1"/>
        <v>0</v>
      </c>
      <c r="AG387" s="135"/>
      <c r="AH387" s="135">
        <v>5.1190000000000003E-3</v>
      </c>
      <c r="AI387" s="135">
        <v>1.0839E-2</v>
      </c>
      <c r="AJ387" s="135">
        <v>1.6057999999999999E-2</v>
      </c>
      <c r="AK387" s="135"/>
      <c r="AL387" s="135">
        <f t="shared" ca="1" si="8"/>
        <v>3.9957395627504685E-3</v>
      </c>
      <c r="AM387" s="135">
        <f t="shared" ca="1" si="9"/>
        <v>1.2610631465784436E-2</v>
      </c>
      <c r="AN387" s="135">
        <f t="shared" ca="1" si="10"/>
        <v>2.7208819555023606E-2</v>
      </c>
      <c r="AP387" s="516">
        <f t="shared" ca="1" si="11"/>
        <v>1.0527015782431672E-3</v>
      </c>
      <c r="AQ387" s="516">
        <f t="shared" ca="1" si="12"/>
        <v>3.0476823376608042E-3</v>
      </c>
      <c r="AR387" s="516">
        <f t="shared" ca="1" si="13"/>
        <v>6.4753969020321942E-3</v>
      </c>
      <c r="AT387" s="516">
        <f t="shared" ca="1" si="14"/>
        <v>7.4942476172627934E-2</v>
      </c>
      <c r="AU387" s="516">
        <f t="shared" ca="1" si="15"/>
        <v>0.15126985154686928</v>
      </c>
      <c r="AV387" s="516">
        <f t="shared" ca="1" si="16"/>
        <v>0.27519325611018125</v>
      </c>
    </row>
    <row r="388" spans="1:48" ht="10.5" customHeight="1">
      <c r="A388" s="96">
        <v>377</v>
      </c>
      <c r="B388" s="68" t="s">
        <v>523</v>
      </c>
      <c r="C388" s="97">
        <v>0.4</v>
      </c>
      <c r="D388" s="69" t="s">
        <v>66</v>
      </c>
      <c r="E388" s="136"/>
      <c r="F388" s="154"/>
      <c r="G388" s="154"/>
      <c r="H388" s="154"/>
      <c r="I388" s="154">
        <v>2.0699999999999998E-3</v>
      </c>
      <c r="J388" s="154"/>
      <c r="K388" s="154">
        <v>3.297E-3</v>
      </c>
      <c r="L388" s="154">
        <v>4.411E-3</v>
      </c>
      <c r="M388" s="154"/>
      <c r="N388" s="137" cm="1">
        <f t="array" aca="1" ref="N388:AE388" ca="1">IF(OR(B388="",NOT($J$2)),"",GetStripDefaultProbability(A388,B388,Parameter_Date,CDSRollDate,E388:M388,SpreadCurveMaturities,D388,C388,$J$4,$J$6))</f>
        <v>0</v>
      </c>
      <c r="O388" s="155">
        <f ca="1"/>
        <v>0</v>
      </c>
      <c r="P388" s="155">
        <f ca="1"/>
        <v>0</v>
      </c>
      <c r="Q388" s="155">
        <f ca="1"/>
        <v>0</v>
      </c>
      <c r="R388" s="155">
        <f ca="1"/>
        <v>1.0586482294046795E-2</v>
      </c>
      <c r="S388" s="155">
        <f ca="1"/>
        <v>0</v>
      </c>
      <c r="T388" s="155">
        <f ca="1"/>
        <v>2.786645801627774E-2</v>
      </c>
      <c r="U388" s="155">
        <f ca="1"/>
        <v>5.1972689400589522E-2</v>
      </c>
      <c r="V388" s="138">
        <f ca="1"/>
        <v>0</v>
      </c>
      <c r="W388" s="137">
        <f ca="1"/>
        <v>0</v>
      </c>
      <c r="X388" s="155">
        <f ca="1"/>
        <v>0</v>
      </c>
      <c r="Y388" s="155">
        <f ca="1"/>
        <v>0</v>
      </c>
      <c r="Z388" s="155">
        <f ca="1"/>
        <v>0</v>
      </c>
      <c r="AA388" s="155">
        <f ca="1"/>
        <v>1.1081065396787881E-2</v>
      </c>
      <c r="AB388" s="155">
        <f ca="1"/>
        <v>0</v>
      </c>
      <c r="AC388" s="155">
        <f ca="1"/>
        <v>2.8696603367435514E-2</v>
      </c>
      <c r="AD388" s="155">
        <f ca="1"/>
        <v>5.3109394872462801E-2</v>
      </c>
      <c r="AE388" s="138">
        <f ca="1"/>
        <v>0</v>
      </c>
      <c r="AG388" s="135"/>
      <c r="AH388" s="135">
        <v>1.5269999999999999E-3</v>
      </c>
      <c r="AI388" s="135">
        <v>2.49E-3</v>
      </c>
      <c r="AJ388" s="135">
        <v>3.63E-3</v>
      </c>
      <c r="AK388" s="135"/>
      <c r="AL388" s="135">
        <f t="shared" ca="1" si="8"/>
        <v>1.1919309068802433E-3</v>
      </c>
      <c r="AM388" s="135">
        <f t="shared" ca="1" si="9"/>
        <v>2.8969897914755279E-3</v>
      </c>
      <c r="AN388" s="135">
        <f t="shared" ca="1" si="10"/>
        <v>6.1507046322540598E-3</v>
      </c>
      <c r="AP388" s="516">
        <f t="shared" ca="1" si="11"/>
        <v>3.1402135377560386E-4</v>
      </c>
      <c r="AQ388" s="516">
        <f t="shared" ca="1" si="12"/>
        <v>7.0013184064723715E-4</v>
      </c>
      <c r="AR388" s="516">
        <f t="shared" ca="1" si="13"/>
        <v>1.4637993993259974E-3</v>
      </c>
      <c r="AT388" s="516">
        <f t="shared" ca="1" si="14"/>
        <v>2.235537431443697E-2</v>
      </c>
      <c r="AU388" s="516">
        <f t="shared" ca="1" si="15"/>
        <v>3.4750616325464022E-2</v>
      </c>
      <c r="AV388" s="516">
        <f t="shared" ca="1" si="16"/>
        <v>6.220896249096762E-2</v>
      </c>
    </row>
    <row r="389" spans="1:48" ht="10.5" customHeight="1">
      <c r="A389" s="96">
        <v>378</v>
      </c>
      <c r="B389" s="68" t="s">
        <v>524</v>
      </c>
      <c r="C389" s="97">
        <v>0.4</v>
      </c>
      <c r="D389" s="69" t="s">
        <v>66</v>
      </c>
      <c r="E389" s="136"/>
      <c r="F389" s="154"/>
      <c r="G389" s="154"/>
      <c r="H389" s="154"/>
      <c r="I389" s="154">
        <v>2.3649999999999999E-3</v>
      </c>
      <c r="J389" s="154"/>
      <c r="K389" s="154">
        <v>3.4499999999999999E-3</v>
      </c>
      <c r="L389" s="154">
        <v>4.6579999999999998E-3</v>
      </c>
      <c r="M389" s="154"/>
      <c r="N389" s="137" cm="1">
        <f t="array" aca="1" ref="N389:AE389" ca="1">IF(OR(B389="",NOT($J$2)),"",GetStripDefaultProbability(A389,B389,Parameter_Date,CDSRollDate,E389:M389,SpreadCurveMaturities,D389,C389,$J$4,$J$6))</f>
        <v>0</v>
      </c>
      <c r="O389" s="155">
        <f ca="1"/>
        <v>0</v>
      </c>
      <c r="P389" s="155">
        <f ca="1"/>
        <v>0</v>
      </c>
      <c r="Q389" s="155">
        <f ca="1"/>
        <v>0</v>
      </c>
      <c r="R389" s="155">
        <f ca="1"/>
        <v>1.2086184578954051E-2</v>
      </c>
      <c r="S389" s="155">
        <f ca="1"/>
        <v>0</v>
      </c>
      <c r="T389" s="155">
        <f ca="1"/>
        <v>2.9121113962225276E-2</v>
      </c>
      <c r="U389" s="155">
        <f ca="1"/>
        <v>5.480894505546563E-2</v>
      </c>
      <c r="V389" s="138">
        <f ca="1"/>
        <v>0</v>
      </c>
      <c r="W389" s="137">
        <f ca="1"/>
        <v>0</v>
      </c>
      <c r="X389" s="155">
        <f ca="1"/>
        <v>0</v>
      </c>
      <c r="Y389" s="155">
        <f ca="1"/>
        <v>0</v>
      </c>
      <c r="Z389" s="155">
        <f ca="1"/>
        <v>0</v>
      </c>
      <c r="AA389" s="155">
        <f ca="1"/>
        <v>1.2580018017975481E-2</v>
      </c>
      <c r="AB389" s="155">
        <f ca="1"/>
        <v>0</v>
      </c>
      <c r="AC389" s="155">
        <f ca="1"/>
        <v>2.9949913528038996E-2</v>
      </c>
      <c r="AD389" s="155">
        <f ca="1"/>
        <v>5.5941952291243657E-2</v>
      </c>
      <c r="AE389" s="138">
        <f ca="1"/>
        <v>0</v>
      </c>
      <c r="AG389" s="135"/>
      <c r="AH389" s="135">
        <v>5.0749999999999997E-3</v>
      </c>
      <c r="AI389" s="135">
        <v>8.8369999999999994E-3</v>
      </c>
      <c r="AJ389" s="135">
        <v>1.3018E-2</v>
      </c>
      <c r="AK389" s="135"/>
      <c r="AL389" s="135">
        <f t="shared" ca="1" si="8"/>
        <v>3.9613944678567352E-3</v>
      </c>
      <c r="AM389" s="135">
        <f t="shared" ca="1" si="9"/>
        <v>1.0281405135449492E-2</v>
      </c>
      <c r="AN389" s="135">
        <f t="shared" ca="1" si="10"/>
        <v>2.2057816226634532E-2</v>
      </c>
      <c r="AP389" s="516">
        <f t="shared" ca="1" si="11"/>
        <v>1.0436531567853237E-3</v>
      </c>
      <c r="AQ389" s="516">
        <f t="shared" ca="1" si="12"/>
        <v>2.4847650906825837E-3</v>
      </c>
      <c r="AR389" s="516">
        <f t="shared" ca="1" si="13"/>
        <v>5.2495153114120756E-3</v>
      </c>
      <c r="AT389" s="516">
        <f t="shared" ca="1" si="14"/>
        <v>7.4298313454988621E-2</v>
      </c>
      <c r="AU389" s="516">
        <f t="shared" ca="1" si="15"/>
        <v>0.12332979777836367</v>
      </c>
      <c r="AV389" s="516">
        <f t="shared" ca="1" si="16"/>
        <v>0.22309539220589986</v>
      </c>
    </row>
    <row r="390" spans="1:48" ht="10.5" customHeight="1">
      <c r="A390" s="96">
        <v>379</v>
      </c>
      <c r="B390" s="68" t="s">
        <v>538</v>
      </c>
      <c r="C390" s="97">
        <v>0.4</v>
      </c>
      <c r="D390" s="69" t="s">
        <v>66</v>
      </c>
      <c r="E390" s="136"/>
      <c r="F390" s="154"/>
      <c r="G390" s="154"/>
      <c r="H390" s="154"/>
      <c r="I390" s="154">
        <v>2.9680000000000002E-3</v>
      </c>
      <c r="J390" s="154"/>
      <c r="K390" s="154">
        <v>4.8170000000000001E-3</v>
      </c>
      <c r="L390" s="154">
        <v>7.1079999999999997E-3</v>
      </c>
      <c r="M390" s="154"/>
      <c r="N390" s="137" cm="1">
        <f t="array" aca="1" ref="N390:AE390" ca="1">IF(OR(B390="",NOT($J$2)),"",GetStripDefaultProbability(A390,B390,Parameter_Date,CDSRollDate,E390:M390,SpreadCurveMaturities,D390,C390,$J$4,$J$6))</f>
        <v>0</v>
      </c>
      <c r="O390" s="155">
        <f ca="1"/>
        <v>0</v>
      </c>
      <c r="P390" s="155">
        <f ca="1"/>
        <v>0</v>
      </c>
      <c r="Q390" s="155">
        <f ca="1"/>
        <v>0</v>
      </c>
      <c r="R390" s="155">
        <f ca="1"/>
        <v>1.5144745208790389E-2</v>
      </c>
      <c r="S390" s="155">
        <f ca="1"/>
        <v>0</v>
      </c>
      <c r="T390" s="155">
        <f ca="1"/>
        <v>4.0520455591233295E-2</v>
      </c>
      <c r="U390" s="155">
        <f ca="1"/>
        <v>8.3048869751125687E-2</v>
      </c>
      <c r="V390" s="138">
        <f ca="1"/>
        <v>0</v>
      </c>
      <c r="W390" s="137">
        <f ca="1"/>
        <v>0</v>
      </c>
      <c r="X390" s="155">
        <f ca="1"/>
        <v>0</v>
      </c>
      <c r="Y390" s="155">
        <f ca="1"/>
        <v>0</v>
      </c>
      <c r="Z390" s="155">
        <f ca="1"/>
        <v>0</v>
      </c>
      <c r="AA390" s="155">
        <f ca="1"/>
        <v>1.5637049749812282E-2</v>
      </c>
      <c r="AB390" s="155">
        <f ca="1"/>
        <v>0</v>
      </c>
      <c r="AC390" s="155">
        <f ca="1"/>
        <v>4.1339231283908595E-2</v>
      </c>
      <c r="AD390" s="155">
        <f ca="1"/>
        <v>8.4147491481344483E-2</v>
      </c>
      <c r="AE390" s="138">
        <f ca="1"/>
        <v>0</v>
      </c>
      <c r="AG390" s="135"/>
      <c r="AH390" s="135">
        <v>4.0559999999999997E-3</v>
      </c>
      <c r="AI390" s="135">
        <v>7.1669999999999998E-3</v>
      </c>
      <c r="AJ390" s="135">
        <v>1.0695E-2</v>
      </c>
      <c r="AK390" s="135"/>
      <c r="AL390" s="135">
        <f t="shared" ca="1" si="8"/>
        <v>3.1659932929314124E-3</v>
      </c>
      <c r="AM390" s="135">
        <f t="shared" ca="1" si="9"/>
        <v>8.3384441106446206E-3</v>
      </c>
      <c r="AN390" s="135">
        <f t="shared" ca="1" si="10"/>
        <v>1.8121704143789854E-2</v>
      </c>
      <c r="AP390" s="516">
        <f t="shared" ca="1" si="11"/>
        <v>8.3409994165936413E-4</v>
      </c>
      <c r="AQ390" s="516">
        <f t="shared" ca="1" si="12"/>
        <v>2.015198755790662E-3</v>
      </c>
      <c r="AR390" s="516">
        <f t="shared" ca="1" si="13"/>
        <v>4.3127643459480829E-3</v>
      </c>
      <c r="AT390" s="516">
        <f t="shared" ca="1" si="14"/>
        <v>5.9380090516932771E-2</v>
      </c>
      <c r="AU390" s="516">
        <f t="shared" ca="1" si="15"/>
        <v>0.10002315951991993</v>
      </c>
      <c r="AV390" s="516">
        <f t="shared" ca="1" si="16"/>
        <v>0.18328508370272689</v>
      </c>
    </row>
    <row r="391" spans="1:48" ht="10.5" customHeight="1">
      <c r="A391" s="96">
        <v>380</v>
      </c>
      <c r="B391" s="68" t="s">
        <v>539</v>
      </c>
      <c r="C391" s="97">
        <v>0.4</v>
      </c>
      <c r="D391" s="69" t="s">
        <v>66</v>
      </c>
      <c r="E391" s="136"/>
      <c r="F391" s="154"/>
      <c r="G391" s="154"/>
      <c r="H391" s="154"/>
      <c r="I391" s="154">
        <v>5.1580000000000003E-3</v>
      </c>
      <c r="J391" s="154"/>
      <c r="K391" s="154">
        <v>8.1840000000000003E-3</v>
      </c>
      <c r="L391" s="154">
        <v>1.0449999999999999E-2</v>
      </c>
      <c r="M391" s="154"/>
      <c r="N391" s="137" cm="1">
        <f t="array" aca="1" ref="N391:AE391" ca="1">IF(OR(B391="",NOT($J$2)),"",GetStripDefaultProbability(A391,B391,Parameter_Date,CDSRollDate,E391:M391,SpreadCurveMaturities,D391,C391,$J$4,$J$6))</f>
        <v>0</v>
      </c>
      <c r="O391" s="155">
        <f ca="1"/>
        <v>0</v>
      </c>
      <c r="P391" s="155">
        <f ca="1"/>
        <v>0</v>
      </c>
      <c r="Q391" s="155">
        <f ca="1"/>
        <v>0</v>
      </c>
      <c r="R391" s="155">
        <f ca="1"/>
        <v>2.6175247022528159E-2</v>
      </c>
      <c r="S391" s="155">
        <f ca="1"/>
        <v>0</v>
      </c>
      <c r="T391" s="155">
        <f ca="1"/>
        <v>6.8074732085650291E-2</v>
      </c>
      <c r="U391" s="155">
        <f ca="1"/>
        <v>0.1197076634119093</v>
      </c>
      <c r="V391" s="138">
        <f ca="1"/>
        <v>0</v>
      </c>
      <c r="W391" s="137">
        <f ca="1"/>
        <v>0</v>
      </c>
      <c r="X391" s="155">
        <f ca="1"/>
        <v>0</v>
      </c>
      <c r="Y391" s="155">
        <f ca="1"/>
        <v>0</v>
      </c>
      <c r="Z391" s="155">
        <f ca="1"/>
        <v>0</v>
      </c>
      <c r="AA391" s="155">
        <f ca="1"/>
        <v>2.6662037691196128E-2</v>
      </c>
      <c r="AB391" s="155">
        <f ca="1"/>
        <v>0</v>
      </c>
      <c r="AC391" s="155">
        <f ca="1"/>
        <v>6.8851012980265636E-2</v>
      </c>
      <c r="AD391" s="155">
        <f ca="1"/>
        <v>0.12077836794247088</v>
      </c>
      <c r="AE391" s="138">
        <f ca="1"/>
        <v>0</v>
      </c>
      <c r="AG391" s="135"/>
      <c r="AH391" s="135">
        <v>1.191E-3</v>
      </c>
      <c r="AI391" s="135">
        <v>1.908E-3</v>
      </c>
      <c r="AJ391" s="135">
        <v>2.9069999999999999E-3</v>
      </c>
      <c r="AK391" s="135"/>
      <c r="AL391" s="135">
        <f t="shared" ca="1" si="8"/>
        <v>9.2965927314628011E-4</v>
      </c>
      <c r="AM391" s="135">
        <f t="shared" ca="1" si="9"/>
        <v>2.2198620570824524E-3</v>
      </c>
      <c r="AN391" s="135">
        <f t="shared" ca="1" si="10"/>
        <v>4.9256469327720528E-3</v>
      </c>
      <c r="AP391" s="516">
        <f t="shared" ca="1" si="11"/>
        <v>2.4492431718843756E-4</v>
      </c>
      <c r="AQ391" s="516">
        <f t="shared" ca="1" si="12"/>
        <v>5.3648656705017198E-4</v>
      </c>
      <c r="AR391" s="516">
        <f t="shared" ca="1" si="13"/>
        <v>1.1722492710304888E-3</v>
      </c>
      <c r="AT391" s="516">
        <f t="shared" ca="1" si="14"/>
        <v>1.7436313561554964E-2</v>
      </c>
      <c r="AU391" s="516">
        <f t="shared" ca="1" si="15"/>
        <v>2.6628183112042309E-2</v>
      </c>
      <c r="AV391" s="516">
        <f t="shared" ca="1" si="16"/>
        <v>4.9818582358469109E-2</v>
      </c>
    </row>
    <row r="392" spans="1:48" ht="10.5" customHeight="1">
      <c r="A392" s="96">
        <v>381</v>
      </c>
      <c r="B392" s="68" t="s">
        <v>540</v>
      </c>
      <c r="C392" s="97">
        <v>0.4</v>
      </c>
      <c r="D392" s="69" t="s">
        <v>66</v>
      </c>
      <c r="E392" s="136"/>
      <c r="F392" s="154"/>
      <c r="G392" s="154"/>
      <c r="H392" s="154"/>
      <c r="I392" s="154">
        <v>5.8869999999999999E-3</v>
      </c>
      <c r="J392" s="154"/>
      <c r="K392" s="154">
        <v>1.0245000000000001E-2</v>
      </c>
      <c r="L392" s="154">
        <v>1.4839E-2</v>
      </c>
      <c r="M392" s="154"/>
      <c r="N392" s="137" cm="1">
        <f t="array" aca="1" ref="N392:AE392" ca="1">IF(OR(B392="",NOT($J$2)),"",GetStripDefaultProbability(A392,B392,Parameter_Date,CDSRollDate,E392:M392,SpreadCurveMaturities,D392,C392,$J$4,$J$6))</f>
        <v>0</v>
      </c>
      <c r="O392" s="155">
        <f ca="1"/>
        <v>0</v>
      </c>
      <c r="P392" s="155">
        <f ca="1"/>
        <v>0</v>
      </c>
      <c r="Q392" s="155">
        <f ca="1"/>
        <v>0</v>
      </c>
      <c r="R392" s="155">
        <f ca="1"/>
        <v>2.9820249675126642E-2</v>
      </c>
      <c r="S392" s="155">
        <f ca="1"/>
        <v>0</v>
      </c>
      <c r="T392" s="155">
        <f ca="1"/>
        <v>8.4776686929381895E-2</v>
      </c>
      <c r="U392" s="155">
        <f ca="1"/>
        <v>0.16800310097613169</v>
      </c>
      <c r="V392" s="138">
        <f ca="1"/>
        <v>0</v>
      </c>
      <c r="W392" s="137">
        <f ca="1"/>
        <v>0</v>
      </c>
      <c r="X392" s="155">
        <f ca="1"/>
        <v>0</v>
      </c>
      <c r="Y392" s="155">
        <f ca="1"/>
        <v>0</v>
      </c>
      <c r="Z392" s="155">
        <f ca="1"/>
        <v>0</v>
      </c>
      <c r="AA392" s="155">
        <f ca="1"/>
        <v>3.030521829802646E-2</v>
      </c>
      <c r="AB392" s="155">
        <f ca="1"/>
        <v>0</v>
      </c>
      <c r="AC392" s="155">
        <f ca="1"/>
        <v>8.5566989707595908E-2</v>
      </c>
      <c r="AD392" s="155">
        <f ca="1"/>
        <v>0.16902925397744439</v>
      </c>
      <c r="AE392" s="138">
        <f ca="1"/>
        <v>0</v>
      </c>
      <c r="AG392" s="135"/>
      <c r="AH392" s="135">
        <v>1.2049999999999999E-3</v>
      </c>
      <c r="AI392" s="135">
        <v>1.9740000000000001E-3</v>
      </c>
      <c r="AJ392" s="135">
        <v>3.055E-3</v>
      </c>
      <c r="AK392" s="135"/>
      <c r="AL392" s="135">
        <f t="shared" ca="1" si="8"/>
        <v>9.4058725788519518E-4</v>
      </c>
      <c r="AM392" s="135">
        <f t="shared" ca="1" si="9"/>
        <v>2.2966497383022861E-3</v>
      </c>
      <c r="AN392" s="135">
        <f t="shared" ca="1" si="10"/>
        <v>5.1764194632331001E-3</v>
      </c>
      <c r="AP392" s="516">
        <f t="shared" ca="1" si="11"/>
        <v>2.478033603795695E-4</v>
      </c>
      <c r="AQ392" s="516">
        <f t="shared" ca="1" si="12"/>
        <v>5.5504427848901449E-4</v>
      </c>
      <c r="AR392" s="516">
        <f t="shared" ca="1" si="13"/>
        <v>1.2319303484685734E-3</v>
      </c>
      <c r="AT392" s="516">
        <f t="shared" ca="1" si="14"/>
        <v>1.7641274426258381E-2</v>
      </c>
      <c r="AU392" s="516">
        <f t="shared" ca="1" si="15"/>
        <v>2.7549283785729309E-2</v>
      </c>
      <c r="AV392" s="516">
        <f t="shared" ca="1" si="16"/>
        <v>5.2354925732756491E-2</v>
      </c>
    </row>
    <row r="393" spans="1:48" ht="10.5" customHeight="1">
      <c r="A393" s="96">
        <v>382</v>
      </c>
      <c r="B393" s="68" t="s">
        <v>525</v>
      </c>
      <c r="C393" s="97">
        <v>0.4</v>
      </c>
      <c r="D393" s="69" t="s">
        <v>66</v>
      </c>
      <c r="E393" s="136"/>
      <c r="F393" s="154"/>
      <c r="G393" s="154"/>
      <c r="H393" s="154"/>
      <c r="I393" s="154">
        <v>4.9649999999999998E-3</v>
      </c>
      <c r="J393" s="154"/>
      <c r="K393" s="154">
        <v>8.1279999999999998E-3</v>
      </c>
      <c r="L393" s="154">
        <v>1.1226999999999999E-2</v>
      </c>
      <c r="M393" s="154"/>
      <c r="N393" s="137" cm="1">
        <f t="array" aca="1" ref="N393:AE393" ca="1">IF(OR(B393="",NOT($J$2)),"",GetStripDefaultProbability(A393,B393,Parameter_Date,CDSRollDate,E393:M393,SpreadCurveMaturities,D393,C393,$J$4,$J$6))</f>
        <v>0</v>
      </c>
      <c r="O393" s="155">
        <f ca="1"/>
        <v>0</v>
      </c>
      <c r="P393" s="155">
        <f ca="1"/>
        <v>0</v>
      </c>
      <c r="Q393" s="155">
        <f ca="1"/>
        <v>0</v>
      </c>
      <c r="R393" s="155">
        <f ca="1"/>
        <v>2.5208016889270324E-2</v>
      </c>
      <c r="S393" s="155">
        <f ca="1"/>
        <v>0</v>
      </c>
      <c r="T393" s="155">
        <f ca="1"/>
        <v>6.7655694265252531E-2</v>
      </c>
      <c r="U393" s="155">
        <f ca="1"/>
        <v>0.12865033812162663</v>
      </c>
      <c r="V393" s="138">
        <f ca="1"/>
        <v>0</v>
      </c>
      <c r="W393" s="137">
        <f ca="1"/>
        <v>0</v>
      </c>
      <c r="X393" s="155">
        <f ca="1"/>
        <v>0</v>
      </c>
      <c r="Y393" s="155">
        <f ca="1"/>
        <v>0</v>
      </c>
      <c r="Z393" s="155">
        <f ca="1"/>
        <v>0</v>
      </c>
      <c r="AA393" s="155">
        <f ca="1"/>
        <v>2.5695291052107772E-2</v>
      </c>
      <c r="AB393" s="155">
        <f ca="1"/>
        <v>0</v>
      </c>
      <c r="AC393" s="155">
        <f ca="1"/>
        <v>6.8432324212641338E-2</v>
      </c>
      <c r="AD393" s="155">
        <f ca="1"/>
        <v>0.12971499508107742</v>
      </c>
      <c r="AE393" s="138">
        <f ca="1"/>
        <v>0</v>
      </c>
      <c r="AG393" s="135"/>
      <c r="AH393" s="135">
        <v>1.1557E-2</v>
      </c>
      <c r="AI393" s="135">
        <v>1.7305000000000001E-2</v>
      </c>
      <c r="AJ393" s="135">
        <v>2.0903000000000001E-2</v>
      </c>
      <c r="AK393" s="135"/>
      <c r="AL393" s="135">
        <f t="shared" ca="1" si="8"/>
        <v>9.0210514019744403E-3</v>
      </c>
      <c r="AM393" s="135">
        <f t="shared" ca="1" si="9"/>
        <v>2.0133497325897191E-2</v>
      </c>
      <c r="AN393" s="135">
        <f t="shared" ca="1" si="10"/>
        <v>3.5418231109643698E-2</v>
      </c>
      <c r="AP393" s="516">
        <f t="shared" ca="1" si="11"/>
        <v>2.3766501542794062E-3</v>
      </c>
      <c r="AQ393" s="516">
        <f t="shared" ca="1" si="12"/>
        <v>4.8657757037752769E-3</v>
      </c>
      <c r="AR393" s="516">
        <f t="shared" ca="1" si="13"/>
        <v>8.4291456870830093E-3</v>
      </c>
      <c r="AT393" s="516">
        <f t="shared" ca="1" si="14"/>
        <v>0.16919519381267062</v>
      </c>
      <c r="AU393" s="516">
        <f t="shared" ca="1" si="15"/>
        <v>0.24150980542656825</v>
      </c>
      <c r="AV393" s="516">
        <f t="shared" ca="1" si="16"/>
        <v>0.35822422670762982</v>
      </c>
    </row>
    <row r="394" spans="1:48" ht="10.5" customHeight="1">
      <c r="A394" s="96">
        <v>383</v>
      </c>
      <c r="B394" s="68" t="s">
        <v>526</v>
      </c>
      <c r="C394" s="97">
        <v>0.4</v>
      </c>
      <c r="D394" s="69" t="s">
        <v>66</v>
      </c>
      <c r="E394" s="136"/>
      <c r="F394" s="154"/>
      <c r="G394" s="154"/>
      <c r="H394" s="154"/>
      <c r="I394" s="154">
        <v>6.7450000000000001E-3</v>
      </c>
      <c r="J394" s="154"/>
      <c r="K394" s="154">
        <v>1.1979999999999999E-2</v>
      </c>
      <c r="L394" s="154">
        <v>1.6924999999999999E-2</v>
      </c>
      <c r="M394" s="154"/>
      <c r="N394" s="137" cm="1">
        <f t="array" aca="1" ref="N394:AE394" ca="1">IF(OR(B394="",NOT($J$2)),"",GetStripDefaultProbability(A394,B394,Parameter_Date,CDSRollDate,E394:M394,SpreadCurveMaturities,D394,C394,$J$4,$J$6))</f>
        <v>0</v>
      </c>
      <c r="O394" s="155">
        <f ca="1"/>
        <v>0</v>
      </c>
      <c r="P394" s="155">
        <f ca="1"/>
        <v>0</v>
      </c>
      <c r="Q394" s="155">
        <f ca="1"/>
        <v>0</v>
      </c>
      <c r="R394" s="155">
        <f ca="1"/>
        <v>3.4093268902219864E-2</v>
      </c>
      <c r="S394" s="155">
        <f ca="1"/>
        <v>0</v>
      </c>
      <c r="T394" s="155">
        <f ca="1"/>
        <v>9.8636069900032597E-2</v>
      </c>
      <c r="U394" s="155">
        <f ca="1"/>
        <v>0.18981898839787847</v>
      </c>
      <c r="V394" s="138">
        <f ca="1"/>
        <v>0</v>
      </c>
      <c r="W394" s="137">
        <f ca="1"/>
        <v>0</v>
      </c>
      <c r="X394" s="155">
        <f ca="1"/>
        <v>0</v>
      </c>
      <c r="Y394" s="155">
        <f ca="1"/>
        <v>0</v>
      </c>
      <c r="Z394" s="155">
        <f ca="1"/>
        <v>0</v>
      </c>
      <c r="AA394" s="155">
        <f ca="1"/>
        <v>3.4576101549498861E-2</v>
      </c>
      <c r="AB394" s="155">
        <f ca="1"/>
        <v>0</v>
      </c>
      <c r="AC394" s="155">
        <f ca="1"/>
        <v>9.9416501235871535E-2</v>
      </c>
      <c r="AD394" s="155">
        <f ca="1"/>
        <v>0.19082254508333474</v>
      </c>
      <c r="AE394" s="138">
        <f ca="1"/>
        <v>0</v>
      </c>
      <c r="AG394" s="135"/>
      <c r="AH394" s="135">
        <v>3.4970000000000001E-3</v>
      </c>
      <c r="AI394" s="135">
        <v>6.7010000000000004E-3</v>
      </c>
      <c r="AJ394" s="135">
        <v>1.042E-2</v>
      </c>
      <c r="AK394" s="135"/>
      <c r="AL394" s="135">
        <f t="shared" ca="1" si="8"/>
        <v>2.729654473713301E-3</v>
      </c>
      <c r="AM394" s="135">
        <f t="shared" ca="1" si="9"/>
        <v>7.7962765432439806E-3</v>
      </c>
      <c r="AN394" s="135">
        <f t="shared" ca="1" si="10"/>
        <v>1.7655741671649395E-2</v>
      </c>
      <c r="AP394" s="516">
        <f t="shared" ca="1" si="11"/>
        <v>7.1914385995631091E-4</v>
      </c>
      <c r="AQ394" s="516">
        <f t="shared" ca="1" si="12"/>
        <v>1.8841700659345928E-3</v>
      </c>
      <c r="AR394" s="516">
        <f t="shared" ca="1" si="13"/>
        <v>4.2018704520597498E-3</v>
      </c>
      <c r="AT394" s="516">
        <f t="shared" ca="1" si="14"/>
        <v>5.1196295990560636E-2</v>
      </c>
      <c r="AU394" s="516">
        <f t="shared" ca="1" si="15"/>
        <v>9.3519630520857197E-2</v>
      </c>
      <c r="AV394" s="516">
        <f t="shared" ca="1" si="16"/>
        <v>0.17857228351401724</v>
      </c>
    </row>
    <row r="395" spans="1:48" ht="10.5" customHeight="1">
      <c r="A395" s="96">
        <v>384</v>
      </c>
      <c r="B395" s="68" t="s">
        <v>527</v>
      </c>
      <c r="C395" s="97">
        <v>0.4</v>
      </c>
      <c r="D395" s="69" t="s">
        <v>66</v>
      </c>
      <c r="E395" s="136"/>
      <c r="F395" s="154"/>
      <c r="G395" s="154"/>
      <c r="H395" s="154"/>
      <c r="I395" s="154">
        <v>1.9369999999999999E-3</v>
      </c>
      <c r="J395" s="154"/>
      <c r="K395" s="154">
        <v>3.101E-3</v>
      </c>
      <c r="L395" s="154">
        <v>4.6010000000000001E-3</v>
      </c>
      <c r="M395" s="154"/>
      <c r="N395" s="137" cm="1">
        <f t="array" aca="1" ref="N395:AE395" ca="1">IF(OR(B395="",NOT($J$2)),"",GetStripDefaultProbability(A395,B395,Parameter_Date,CDSRollDate,E395:M395,SpreadCurveMaturities,D395,C395,$J$4,$J$6))</f>
        <v>0</v>
      </c>
      <c r="O395" s="155">
        <f ca="1"/>
        <v>0</v>
      </c>
      <c r="P395" s="155">
        <f ca="1"/>
        <v>0</v>
      </c>
      <c r="Q395" s="155">
        <f ca="1"/>
        <v>0</v>
      </c>
      <c r="R395" s="155">
        <f ca="1"/>
        <v>9.909614661096855E-3</v>
      </c>
      <c r="S395" s="155">
        <f ca="1"/>
        <v>0</v>
      </c>
      <c r="T395" s="155">
        <f ca="1"/>
        <v>2.6227772073850408E-2</v>
      </c>
      <c r="U395" s="155">
        <f ca="1"/>
        <v>5.4308230896447762E-2</v>
      </c>
      <c r="V395" s="138">
        <f ca="1"/>
        <v>0</v>
      </c>
      <c r="W395" s="137">
        <f ca="1"/>
        <v>0</v>
      </c>
      <c r="X395" s="155">
        <f ca="1"/>
        <v>0</v>
      </c>
      <c r="Y395" s="155">
        <f ca="1"/>
        <v>0</v>
      </c>
      <c r="Z395" s="155">
        <f ca="1"/>
        <v>0</v>
      </c>
      <c r="AA395" s="155">
        <f ca="1"/>
        <v>1.0404536113142404E-2</v>
      </c>
      <c r="AB395" s="155">
        <f ca="1"/>
        <v>0</v>
      </c>
      <c r="AC395" s="155">
        <f ca="1"/>
        <v>2.7059342070384962E-2</v>
      </c>
      <c r="AD395" s="155">
        <f ca="1"/>
        <v>5.5442785326148103E-2</v>
      </c>
      <c r="AE395" s="138">
        <f ca="1"/>
        <v>0</v>
      </c>
      <c r="AG395" s="135"/>
      <c r="AH395" s="135">
        <v>2.7599999999999999E-3</v>
      </c>
      <c r="AI395" s="135">
        <v>4.8069999999999996E-3</v>
      </c>
      <c r="AJ395" s="135">
        <v>6.9220000000000002E-3</v>
      </c>
      <c r="AK395" s="135"/>
      <c r="AL395" s="135">
        <f t="shared" ca="1" si="8"/>
        <v>2.1543741342432685E-3</v>
      </c>
      <c r="AM395" s="135">
        <f t="shared" ca="1" si="9"/>
        <v>5.5927027821778552E-3</v>
      </c>
      <c r="AN395" s="135">
        <f t="shared" ca="1" si="10"/>
        <v>1.1728699026022756E-2</v>
      </c>
      <c r="AP395" s="516">
        <f t="shared" ca="1" si="11"/>
        <v>5.6758280053743719E-4</v>
      </c>
      <c r="AQ395" s="516">
        <f t="shared" ca="1" si="12"/>
        <v>1.3516199831290234E-3</v>
      </c>
      <c r="AR395" s="516">
        <f t="shared" ca="1" si="13"/>
        <v>2.7913001218001525E-3</v>
      </c>
      <c r="AT395" s="516">
        <f t="shared" ca="1" si="14"/>
        <v>4.0406570470102182E-2</v>
      </c>
      <c r="AU395" s="516">
        <f t="shared" ca="1" si="15"/>
        <v>6.7086832400203023E-2</v>
      </c>
      <c r="AV395" s="516">
        <f t="shared" ca="1" si="16"/>
        <v>0.11862546511363027</v>
      </c>
    </row>
    <row r="396" spans="1:48" ht="10.5" customHeight="1">
      <c r="A396" s="96">
        <v>385</v>
      </c>
      <c r="B396" s="68" t="s">
        <v>541</v>
      </c>
      <c r="C396" s="97">
        <v>0.4</v>
      </c>
      <c r="D396" s="69" t="s">
        <v>66</v>
      </c>
      <c r="E396" s="136"/>
      <c r="F396" s="154"/>
      <c r="G396" s="154"/>
      <c r="H396" s="154"/>
      <c r="I396" s="154">
        <v>4.7990000000000003E-3</v>
      </c>
      <c r="J396" s="154"/>
      <c r="K396" s="154">
        <v>8.7480000000000006E-3</v>
      </c>
      <c r="L396" s="154">
        <v>1.2120000000000001E-2</v>
      </c>
      <c r="M396" s="154"/>
      <c r="N396" s="137" cm="1">
        <f t="array" aca="1" ref="N396:AE396" ca="1">IF(OR(B396="",NOT($J$2)),"",GetStripDefaultProbability(A396,B396,Parameter_Date,CDSRollDate,E396:M396,SpreadCurveMaturities,D396,C396,$J$4,$J$6))</f>
        <v>0</v>
      </c>
      <c r="O396" s="155">
        <f ca="1"/>
        <v>0</v>
      </c>
      <c r="P396" s="155">
        <f ca="1"/>
        <v>0</v>
      </c>
      <c r="Q396" s="155">
        <f ca="1"/>
        <v>0</v>
      </c>
      <c r="R396" s="155">
        <f ca="1"/>
        <v>2.4375350072114332E-2</v>
      </c>
      <c r="S396" s="155">
        <f ca="1"/>
        <v>0</v>
      </c>
      <c r="T396" s="155">
        <f ca="1"/>
        <v>7.2797994205735961E-2</v>
      </c>
      <c r="U396" s="155">
        <f ca="1"/>
        <v>0.13853999146911089</v>
      </c>
      <c r="V396" s="138">
        <f ca="1"/>
        <v>0</v>
      </c>
      <c r="W396" s="137">
        <f ca="1"/>
        <v>0</v>
      </c>
      <c r="X396" s="155">
        <f ca="1"/>
        <v>0</v>
      </c>
      <c r="Y396" s="155">
        <f ca="1"/>
        <v>0</v>
      </c>
      <c r="Z396" s="155">
        <f ca="1"/>
        <v>0</v>
      </c>
      <c r="AA396" s="155">
        <f ca="1"/>
        <v>2.4863040464299324E-2</v>
      </c>
      <c r="AB396" s="155">
        <f ca="1"/>
        <v>0</v>
      </c>
      <c r="AC396" s="155">
        <f ca="1"/>
        <v>7.3570340688156044E-2</v>
      </c>
      <c r="AD396" s="155">
        <f ca="1"/>
        <v>0.1395960723834635</v>
      </c>
      <c r="AE396" s="138">
        <f ca="1"/>
        <v>0</v>
      </c>
      <c r="AG396" s="135"/>
      <c r="AH396" s="135">
        <v>8.0549999999999997E-3</v>
      </c>
      <c r="AI396" s="135">
        <v>1.2508999999999999E-2</v>
      </c>
      <c r="AJ396" s="135">
        <v>1.5117E-2</v>
      </c>
      <c r="AK396" s="135"/>
      <c r="AL396" s="135">
        <f t="shared" ca="1" si="8"/>
        <v>6.28749407656867E-3</v>
      </c>
      <c r="AM396" s="135">
        <f t="shared" ca="1" si="9"/>
        <v>1.4553592490589306E-2</v>
      </c>
      <c r="AN396" s="135">
        <f t="shared" ca="1" si="10"/>
        <v>2.5614380695808438E-2</v>
      </c>
      <c r="AP396" s="516">
        <f t="shared" ca="1" si="11"/>
        <v>1.6564780646119771E-3</v>
      </c>
      <c r="AQ396" s="516">
        <f t="shared" ca="1" si="12"/>
        <v>3.5172486725527263E-3</v>
      </c>
      <c r="AR396" s="516">
        <f t="shared" ca="1" si="13"/>
        <v>6.0959381596724796E-3</v>
      </c>
      <c r="AT396" s="516">
        <f t="shared" ca="1" si="14"/>
        <v>0.11792569751328735</v>
      </c>
      <c r="AU396" s="516">
        <f t="shared" ca="1" si="15"/>
        <v>0.17457648980531301</v>
      </c>
      <c r="AV396" s="516">
        <f t="shared" ca="1" si="16"/>
        <v>0.25906691073717836</v>
      </c>
    </row>
    <row r="397" spans="1:48" ht="10.5" customHeight="1">
      <c r="A397" s="96">
        <v>386</v>
      </c>
      <c r="B397" s="68" t="s">
        <v>528</v>
      </c>
      <c r="C397" s="97">
        <v>0.4</v>
      </c>
      <c r="D397" s="69" t="s">
        <v>66</v>
      </c>
      <c r="E397" s="136"/>
      <c r="F397" s="154"/>
      <c r="G397" s="154"/>
      <c r="H397" s="154"/>
      <c r="I397" s="154">
        <v>4.2960000000000003E-3</v>
      </c>
      <c r="J397" s="154"/>
      <c r="K397" s="154">
        <v>6.79E-3</v>
      </c>
      <c r="L397" s="154">
        <v>9.9900000000000006E-3</v>
      </c>
      <c r="M397" s="154"/>
      <c r="N397" s="137" cm="1">
        <f t="array" aca="1" ref="N397:AE397" ca="1">IF(OR(B397="",NOT($J$2)),"",GetStripDefaultProbability(A397,B397,Parameter_Date,CDSRollDate,E397:M397,SpreadCurveMaturities,D397,C397,$J$4,$J$6))</f>
        <v>0</v>
      </c>
      <c r="O397" s="155">
        <f ca="1"/>
        <v>0</v>
      </c>
      <c r="P397" s="155">
        <f ca="1"/>
        <v>0</v>
      </c>
      <c r="Q397" s="155">
        <f ca="1"/>
        <v>0</v>
      </c>
      <c r="R397" s="155">
        <f ca="1"/>
        <v>2.1848032656404337E-2</v>
      </c>
      <c r="S397" s="155">
        <f ca="1"/>
        <v>0</v>
      </c>
      <c r="T397" s="155">
        <f ca="1"/>
        <v>5.6733254158680135E-2</v>
      </c>
      <c r="U397" s="155">
        <f ca="1"/>
        <v>0.1153070141791982</v>
      </c>
      <c r="V397" s="138">
        <f ca="1"/>
        <v>0</v>
      </c>
      <c r="W397" s="137">
        <f ca="1"/>
        <v>0</v>
      </c>
      <c r="X397" s="155">
        <f ca="1"/>
        <v>0</v>
      </c>
      <c r="Y397" s="155">
        <f ca="1"/>
        <v>0</v>
      </c>
      <c r="Z397" s="155">
        <f ca="1"/>
        <v>0</v>
      </c>
      <c r="AA397" s="155">
        <f ca="1"/>
        <v>2.2336986391477742E-2</v>
      </c>
      <c r="AB397" s="155">
        <f ca="1"/>
        <v>0</v>
      </c>
      <c r="AC397" s="155">
        <f ca="1"/>
        <v>5.7518982347982806E-2</v>
      </c>
      <c r="AD397" s="155">
        <f ca="1"/>
        <v>0.11638651579163251</v>
      </c>
      <c r="AE397" s="138">
        <f ca="1"/>
        <v>0</v>
      </c>
      <c r="AG397" s="135"/>
      <c r="AH397" s="135">
        <v>3.4320000000000002E-3</v>
      </c>
      <c r="AI397" s="135">
        <v>5.6519999999999999E-3</v>
      </c>
      <c r="AJ397" s="135">
        <v>8.0560000000000007E-3</v>
      </c>
      <c r="AK397" s="135"/>
      <c r="AL397" s="135">
        <f t="shared" ca="1" si="8"/>
        <v>2.6789174017111954E-3</v>
      </c>
      <c r="AM397" s="135">
        <f t="shared" ca="1" si="9"/>
        <v>6.5758177917348117E-3</v>
      </c>
      <c r="AN397" s="135">
        <f t="shared" ca="1" si="10"/>
        <v>1.3650158820231051E-2</v>
      </c>
      <c r="AP397" s="516">
        <f t="shared" ca="1" si="11"/>
        <v>7.0577687371176979E-4</v>
      </c>
      <c r="AQ397" s="516">
        <f t="shared" ca="1" si="12"/>
        <v>1.5892149250354153E-3</v>
      </c>
      <c r="AR397" s="516">
        <f t="shared" ca="1" si="13"/>
        <v>3.2485862151433158E-3</v>
      </c>
      <c r="AT397" s="516">
        <f t="shared" ca="1" si="14"/>
        <v>5.0244691975866201E-2</v>
      </c>
      <c r="AU397" s="516">
        <f t="shared" ca="1" si="15"/>
        <v>7.8879712237559296E-2</v>
      </c>
      <c r="AV397" s="516">
        <f t="shared" ca="1" si="16"/>
        <v>0.13805933934634579</v>
      </c>
    </row>
    <row r="398" spans="1:48" ht="10.5" customHeight="1">
      <c r="A398" s="96">
        <v>387</v>
      </c>
      <c r="B398" s="68" t="s">
        <v>542</v>
      </c>
      <c r="C398" s="97">
        <v>0.4</v>
      </c>
      <c r="D398" s="69" t="s">
        <v>66</v>
      </c>
      <c r="E398" s="136"/>
      <c r="F398" s="154"/>
      <c r="G398" s="154"/>
      <c r="H398" s="154"/>
      <c r="I398" s="154">
        <v>1.0371E-2</v>
      </c>
      <c r="J398" s="154"/>
      <c r="K398" s="154">
        <v>1.6621E-2</v>
      </c>
      <c r="L398" s="154">
        <v>1.9375E-2</v>
      </c>
      <c r="M398" s="154"/>
      <c r="N398" s="137" cm="1">
        <f t="array" aca="1" ref="N398:AE398" ca="1">IF(OR(B398="",NOT($J$2)),"",GetStripDefaultProbability(A398,B398,Parameter_Date,CDSRollDate,E398:M398,SpreadCurveMaturities,D398,C398,$J$4,$J$6))</f>
        <v>0</v>
      </c>
      <c r="O398" s="155">
        <f ca="1"/>
        <v>0</v>
      </c>
      <c r="P398" s="155">
        <f ca="1"/>
        <v>0</v>
      </c>
      <c r="Q398" s="155">
        <f ca="1"/>
        <v>0</v>
      </c>
      <c r="R398" s="155">
        <f ca="1"/>
        <v>5.1920421365929448E-2</v>
      </c>
      <c r="S398" s="155">
        <f ca="1"/>
        <v>0</v>
      </c>
      <c r="T398" s="155">
        <f ca="1"/>
        <v>0.13450847254844533</v>
      </c>
      <c r="U398" s="155">
        <f ca="1"/>
        <v>0.2120560273556894</v>
      </c>
      <c r="V398" s="138">
        <f ca="1"/>
        <v>0</v>
      </c>
      <c r="W398" s="137">
        <f ca="1"/>
        <v>0</v>
      </c>
      <c r="X398" s="155">
        <f ca="1"/>
        <v>0</v>
      </c>
      <c r="Y398" s="155">
        <f ca="1"/>
        <v>0</v>
      </c>
      <c r="Z398" s="155">
        <f ca="1"/>
        <v>0</v>
      </c>
      <c r="AA398" s="155">
        <f ca="1"/>
        <v>5.239434266506271E-2</v>
      </c>
      <c r="AB398" s="155">
        <f ca="1"/>
        <v>0</v>
      </c>
      <c r="AC398" s="155">
        <f ca="1"/>
        <v>0.1352605775079786</v>
      </c>
      <c r="AD398" s="155">
        <f ca="1"/>
        <v>0.21302399098114921</v>
      </c>
      <c r="AE398" s="138">
        <f ca="1"/>
        <v>0</v>
      </c>
      <c r="AG398" s="135"/>
      <c r="AH398" s="135">
        <v>2.0699999999999998E-3</v>
      </c>
      <c r="AI398" s="135">
        <v>3.297E-3</v>
      </c>
      <c r="AJ398" s="135">
        <v>4.411E-3</v>
      </c>
      <c r="AK398" s="135"/>
      <c r="AL398" s="135">
        <f t="shared" ca="1" si="8"/>
        <v>1.6157806006824515E-3</v>
      </c>
      <c r="AM398" s="135">
        <f t="shared" ca="1" si="9"/>
        <v>3.835893711845307E-3</v>
      </c>
      <c r="AN398" s="135">
        <f t="shared" ca="1" si="10"/>
        <v>7.4740380531329639E-3</v>
      </c>
      <c r="AP398" s="516">
        <f t="shared" ca="1" si="11"/>
        <v>4.2568710040307784E-4</v>
      </c>
      <c r="AQ398" s="516">
        <f t="shared" ca="1" si="12"/>
        <v>9.2704203960399228E-4</v>
      </c>
      <c r="AR398" s="516">
        <f t="shared" ca="1" si="13"/>
        <v>1.7787380579688634E-3</v>
      </c>
      <c r="AT398" s="516">
        <f t="shared" ca="1" si="14"/>
        <v>3.0304927852576637E-2</v>
      </c>
      <c r="AU398" s="516">
        <f t="shared" ca="1" si="15"/>
        <v>4.6013165471909589E-2</v>
      </c>
      <c r="AV398" s="516">
        <f t="shared" ca="1" si="16"/>
        <v>7.5593315026903071E-2</v>
      </c>
    </row>
    <row r="399" spans="1:48" ht="10.5" customHeight="1">
      <c r="A399" s="96">
        <v>388</v>
      </c>
      <c r="B399" s="68" t="s">
        <v>543</v>
      </c>
      <c r="C399" s="97">
        <v>0.4</v>
      </c>
      <c r="D399" s="69" t="s">
        <v>66</v>
      </c>
      <c r="E399" s="136"/>
      <c r="F399" s="154"/>
      <c r="G399" s="154"/>
      <c r="H399" s="154"/>
      <c r="I399" s="154">
        <v>2.5300000000000001E-3</v>
      </c>
      <c r="J399" s="154"/>
      <c r="K399" s="154">
        <v>3.9699999999999996E-3</v>
      </c>
      <c r="L399" s="154">
        <v>5.692E-3</v>
      </c>
      <c r="M399" s="154"/>
      <c r="N399" s="137" cm="1">
        <f t="array" aca="1" ref="N399:AE399" ca="1">IF(OR(B399="",NOT($J$2)),"",GetStripDefaultProbability(A399,B399,Parameter_Date,CDSRollDate,E399:M399,SpreadCurveMaturities,D399,C399,$J$4,$J$6))</f>
        <v>0</v>
      </c>
      <c r="O399" s="155">
        <f ca="1"/>
        <v>0</v>
      </c>
      <c r="P399" s="155">
        <f ca="1"/>
        <v>0</v>
      </c>
      <c r="Q399" s="155">
        <f ca="1"/>
        <v>0</v>
      </c>
      <c r="R399" s="155">
        <f ca="1"/>
        <v>1.292402832310291E-2</v>
      </c>
      <c r="S399" s="155">
        <f ca="1"/>
        <v>0</v>
      </c>
      <c r="T399" s="155">
        <f ca="1"/>
        <v>3.3476083754100938E-2</v>
      </c>
      <c r="U399" s="155">
        <f ca="1"/>
        <v>6.682077725901403E-2</v>
      </c>
      <c r="V399" s="138">
        <f ca="1"/>
        <v>0</v>
      </c>
      <c r="W399" s="137">
        <f ca="1"/>
        <v>0</v>
      </c>
      <c r="X399" s="155">
        <f ca="1"/>
        <v>0</v>
      </c>
      <c r="Y399" s="155">
        <f ca="1"/>
        <v>0</v>
      </c>
      <c r="Z399" s="155">
        <f ca="1"/>
        <v>0</v>
      </c>
      <c r="AA399" s="155">
        <f ca="1"/>
        <v>1.3417442945026337E-2</v>
      </c>
      <c r="AB399" s="155">
        <f ca="1"/>
        <v>0</v>
      </c>
      <c r="AC399" s="155">
        <f ca="1"/>
        <v>3.4301245762941357E-2</v>
      </c>
      <c r="AD399" s="155">
        <f ca="1"/>
        <v>6.7939970566179952E-2</v>
      </c>
      <c r="AE399" s="138">
        <f ca="1"/>
        <v>0</v>
      </c>
      <c r="AG399" s="135"/>
      <c r="AH399" s="135">
        <v>2.3649999999999999E-3</v>
      </c>
      <c r="AI399" s="135">
        <v>3.4499999999999999E-3</v>
      </c>
      <c r="AJ399" s="135">
        <v>4.6579999999999998E-3</v>
      </c>
      <c r="AK399" s="135"/>
      <c r="AL399" s="135">
        <f t="shared" ca="1" si="8"/>
        <v>1.8460488505381632E-3</v>
      </c>
      <c r="AM399" s="135">
        <f t="shared" ca="1" si="9"/>
        <v>4.0139015183094659E-3</v>
      </c>
      <c r="AN399" s="135">
        <f t="shared" ca="1" si="10"/>
        <v>7.892557073564576E-3</v>
      </c>
      <c r="AP399" s="516">
        <f t="shared" ca="1" si="11"/>
        <v>4.8635265335907209E-4</v>
      </c>
      <c r="AQ399" s="516">
        <f t="shared" ca="1" si="12"/>
        <v>9.7006218884858146E-4</v>
      </c>
      <c r="AR399" s="516">
        <f t="shared" ca="1" si="13"/>
        <v>1.878340937206748E-3</v>
      </c>
      <c r="AT399" s="516">
        <f t="shared" ca="1" si="14"/>
        <v>3.4623746073112922E-2</v>
      </c>
      <c r="AU399" s="516">
        <f t="shared" ca="1" si="15"/>
        <v>4.8148444306365813E-2</v>
      </c>
      <c r="AV399" s="516">
        <f t="shared" ca="1" si="16"/>
        <v>7.9826266469125939E-2</v>
      </c>
    </row>
    <row r="400" spans="1:48" ht="10.5" customHeight="1">
      <c r="A400" s="96">
        <v>389</v>
      </c>
      <c r="B400" s="68" t="s">
        <v>544</v>
      </c>
      <c r="C400" s="97">
        <v>0.4</v>
      </c>
      <c r="D400" s="69" t="s">
        <v>66</v>
      </c>
      <c r="E400" s="136"/>
      <c r="F400" s="154"/>
      <c r="G400" s="154"/>
      <c r="H400" s="154"/>
      <c r="I400" s="154">
        <v>3.9449999999999997E-3</v>
      </c>
      <c r="J400" s="154"/>
      <c r="K400" s="154">
        <v>6.7390000000000002E-3</v>
      </c>
      <c r="L400" s="154">
        <v>9.7630000000000008E-3</v>
      </c>
      <c r="M400" s="154"/>
      <c r="N400" s="137" cm="1">
        <f t="array" aca="1" ref="N400:AE400" ca="1">IF(OR(B400="",NOT($J$2)),"",GetStripDefaultProbability(A400,B400,Parameter_Date,CDSRollDate,E400:M400,SpreadCurveMaturities,D400,C400,$J$4,$J$6))</f>
        <v>0</v>
      </c>
      <c r="O400" s="155">
        <f ca="1"/>
        <v>0</v>
      </c>
      <c r="P400" s="155">
        <f ca="1"/>
        <v>0</v>
      </c>
      <c r="Q400" s="155">
        <f ca="1"/>
        <v>0</v>
      </c>
      <c r="R400" s="155">
        <f ca="1"/>
        <v>2.0080653815319427E-2</v>
      </c>
      <c r="S400" s="155">
        <f ca="1"/>
        <v>0</v>
      </c>
      <c r="T400" s="155">
        <f ca="1"/>
        <v>5.6376984974804034E-2</v>
      </c>
      <c r="U400" s="155">
        <f ca="1"/>
        <v>0.11280691703989787</v>
      </c>
      <c r="V400" s="138">
        <f ca="1"/>
        <v>0</v>
      </c>
      <c r="W400" s="137">
        <f ca="1"/>
        <v>0</v>
      </c>
      <c r="X400" s="155">
        <f ca="1"/>
        <v>0</v>
      </c>
      <c r="Y400" s="155">
        <f ca="1"/>
        <v>0</v>
      </c>
      <c r="Z400" s="155">
        <f ca="1"/>
        <v>0</v>
      </c>
      <c r="AA400" s="155">
        <f ca="1"/>
        <v>2.0570491018888415E-2</v>
      </c>
      <c r="AB400" s="155">
        <f ca="1"/>
        <v>0</v>
      </c>
      <c r="AC400" s="155">
        <f ca="1"/>
        <v>5.7163009931446296E-2</v>
      </c>
      <c r="AD400" s="155">
        <f ca="1"/>
        <v>0.1138891656342842</v>
      </c>
      <c r="AE400" s="138">
        <f ca="1"/>
        <v>0</v>
      </c>
      <c r="AG400" s="135"/>
      <c r="AH400" s="135">
        <v>2.9680000000000002E-3</v>
      </c>
      <c r="AI400" s="135">
        <v>4.8170000000000001E-3</v>
      </c>
      <c r="AJ400" s="135">
        <v>7.1079999999999997E-3</v>
      </c>
      <c r="AK400" s="135"/>
      <c r="AL400" s="135">
        <f t="shared" ca="1" si="8"/>
        <v>2.316732764650008E-3</v>
      </c>
      <c r="AM400" s="135">
        <f t="shared" ca="1" si="9"/>
        <v>5.6043372793323767E-3</v>
      </c>
      <c r="AN400" s="135">
        <f t="shared" ca="1" si="10"/>
        <v>1.2043859098088666E-2</v>
      </c>
      <c r="AP400" s="516">
        <f t="shared" ca="1" si="11"/>
        <v>6.1035715651996871E-4</v>
      </c>
      <c r="AQ400" s="516">
        <f t="shared" ca="1" si="12"/>
        <v>1.3544317575894542E-3</v>
      </c>
      <c r="AR400" s="516">
        <f t="shared" ca="1" si="13"/>
        <v>2.8663047191209885E-3</v>
      </c>
      <c r="AT400" s="516">
        <f t="shared" ca="1" si="14"/>
        <v>4.3451703317124384E-2</v>
      </c>
      <c r="AU400" s="516">
        <f t="shared" ca="1" si="15"/>
        <v>6.7226393108337432E-2</v>
      </c>
      <c r="AV400" s="516">
        <f t="shared" ca="1" si="16"/>
        <v>0.12181303178672116</v>
      </c>
    </row>
    <row r="401" spans="1:48" ht="10.5" customHeight="1">
      <c r="A401" s="96">
        <v>390</v>
      </c>
      <c r="B401" s="68" t="s">
        <v>560</v>
      </c>
      <c r="C401" s="97">
        <v>0.4</v>
      </c>
      <c r="D401" s="69" t="s">
        <v>66</v>
      </c>
      <c r="E401" s="136"/>
      <c r="F401" s="154"/>
      <c r="G401" s="154"/>
      <c r="H401" s="154"/>
      <c r="I401" s="154">
        <v>1.738E-3</v>
      </c>
      <c r="J401" s="154"/>
      <c r="K401" s="154">
        <v>2.9610000000000001E-3</v>
      </c>
      <c r="L401" s="154">
        <v>4.1469999999999996E-3</v>
      </c>
      <c r="M401" s="154"/>
      <c r="N401" s="137" cm="1">
        <f t="array" aca="1" ref="N401:AE401" ca="1">IF(OR(B401="",NOT($J$2)),"",GetStripDefaultProbability(A401,B401,Parameter_Date,CDSRollDate,E401:M401,SpreadCurveMaturities,D401,C401,$J$4,$J$6))</f>
        <v>0</v>
      </c>
      <c r="O401" s="155">
        <f ca="1"/>
        <v>0</v>
      </c>
      <c r="P401" s="155">
        <f ca="1"/>
        <v>0</v>
      </c>
      <c r="Q401" s="155">
        <f ca="1"/>
        <v>0</v>
      </c>
      <c r="R401" s="155">
        <f ca="1"/>
        <v>8.8960084414687612E-3</v>
      </c>
      <c r="S401" s="155">
        <f ca="1"/>
        <v>0</v>
      </c>
      <c r="T401" s="155">
        <f ca="1"/>
        <v>2.5067364688791782E-2</v>
      </c>
      <c r="U401" s="155">
        <f ca="1"/>
        <v>4.8988805978659511E-2</v>
      </c>
      <c r="V401" s="138">
        <f ca="1"/>
        <v>0</v>
      </c>
      <c r="W401" s="137">
        <f ca="1"/>
        <v>0</v>
      </c>
      <c r="X401" s="155">
        <f ca="1"/>
        <v>0</v>
      </c>
      <c r="Y401" s="155">
        <f ca="1"/>
        <v>0</v>
      </c>
      <c r="Z401" s="155">
        <f ca="1"/>
        <v>0</v>
      </c>
      <c r="AA401" s="155">
        <f ca="1"/>
        <v>9.3914365698680724E-3</v>
      </c>
      <c r="AB401" s="155">
        <f ca="1"/>
        <v>0</v>
      </c>
      <c r="AC401" s="155">
        <f ca="1"/>
        <v>2.5900081122565033E-2</v>
      </c>
      <c r="AD401" s="155">
        <f ca="1"/>
        <v>5.0129513260016023E-2</v>
      </c>
      <c r="AE401" s="138">
        <f ca="1"/>
        <v>0</v>
      </c>
      <c r="AG401" s="135"/>
      <c r="AH401" s="135">
        <v>5.1580000000000003E-3</v>
      </c>
      <c r="AI401" s="135">
        <v>8.1840000000000003E-3</v>
      </c>
      <c r="AJ401" s="135">
        <v>1.0449999999999999E-2</v>
      </c>
      <c r="AK401" s="135"/>
      <c r="AL401" s="135">
        <f t="shared" ca="1" si="8"/>
        <v>4.0261818059517326E-3</v>
      </c>
      <c r="AM401" s="135">
        <f t="shared" ca="1" si="9"/>
        <v>9.5216724712593251E-3</v>
      </c>
      <c r="AN401" s="135">
        <f t="shared" ca="1" si="10"/>
        <v>1.7706573941337445E-2</v>
      </c>
      <c r="AP401" s="516">
        <f t="shared" ca="1" si="11"/>
        <v>1.0607217699898917E-3</v>
      </c>
      <c r="AQ401" s="516">
        <f t="shared" ca="1" si="12"/>
        <v>2.3011562184164611E-3</v>
      </c>
      <c r="AR401" s="516">
        <f t="shared" ca="1" si="13"/>
        <v>4.2139679677566586E-3</v>
      </c>
      <c r="AT401" s="516">
        <f t="shared" ca="1" si="14"/>
        <v>7.5513438581444589E-2</v>
      </c>
      <c r="AU401" s="516">
        <f t="shared" ca="1" si="15"/>
        <v>0.11421648353718777</v>
      </c>
      <c r="AV401" s="516">
        <f t="shared" ca="1" si="16"/>
        <v>0.17908640717096738</v>
      </c>
    </row>
    <row r="402" spans="1:48" ht="10.5" customHeight="1">
      <c r="A402" s="96">
        <v>391</v>
      </c>
      <c r="B402" s="68" t="s">
        <v>545</v>
      </c>
      <c r="C402" s="97">
        <v>0.4</v>
      </c>
      <c r="D402" s="69" t="s">
        <v>66</v>
      </c>
      <c r="E402" s="136"/>
      <c r="F402" s="154"/>
      <c r="G402" s="154"/>
      <c r="H402" s="154"/>
      <c r="I402" s="154">
        <v>2.8939999999999999E-3</v>
      </c>
      <c r="J402" s="154"/>
      <c r="K402" s="154">
        <v>5.0400000000000002E-3</v>
      </c>
      <c r="L402" s="154">
        <v>7.5799999999999999E-3</v>
      </c>
      <c r="M402" s="154"/>
      <c r="N402" s="137" cm="1">
        <f t="array" aca="1" ref="N402:AE402" ca="1">IF(OR(B402="",NOT($J$2)),"",GetStripDefaultProbability(A402,B402,Parameter_Date,CDSRollDate,E402:M402,SpreadCurveMaturities,D402,C402,$J$4,$J$6))</f>
        <v>0</v>
      </c>
      <c r="O402" s="155">
        <f ca="1"/>
        <v>0</v>
      </c>
      <c r="P402" s="155">
        <f ca="1"/>
        <v>0</v>
      </c>
      <c r="Q402" s="155">
        <f ca="1"/>
        <v>0</v>
      </c>
      <c r="R402" s="155">
        <f ca="1"/>
        <v>1.4769899589221369E-2</v>
      </c>
      <c r="S402" s="155">
        <f ca="1"/>
        <v>0</v>
      </c>
      <c r="T402" s="155">
        <f ca="1"/>
        <v>4.2398371257748924E-2</v>
      </c>
      <c r="U402" s="155">
        <f ca="1"/>
        <v>8.848974279051447E-2</v>
      </c>
      <c r="V402" s="138">
        <f ca="1"/>
        <v>0</v>
      </c>
      <c r="W402" s="137">
        <f ca="1"/>
        <v>0</v>
      </c>
      <c r="X402" s="155">
        <f ca="1"/>
        <v>0</v>
      </c>
      <c r="Y402" s="155">
        <f ca="1"/>
        <v>0</v>
      </c>
      <c r="Z402" s="155">
        <f ca="1"/>
        <v>0</v>
      </c>
      <c r="AA402" s="155">
        <f ca="1"/>
        <v>1.5262391506146278E-2</v>
      </c>
      <c r="AB402" s="155">
        <f ca="1"/>
        <v>0</v>
      </c>
      <c r="AC402" s="155">
        <f ca="1"/>
        <v>4.3215504118737202E-2</v>
      </c>
      <c r="AD402" s="155">
        <f ca="1"/>
        <v>8.9581415843400181E-2</v>
      </c>
      <c r="AE402" s="138">
        <f ca="1"/>
        <v>0</v>
      </c>
      <c r="AG402" s="135"/>
      <c r="AH402" s="135">
        <v>5.8869999999999999E-3</v>
      </c>
      <c r="AI402" s="135">
        <v>1.0245000000000001E-2</v>
      </c>
      <c r="AJ402" s="135">
        <v>1.4839E-2</v>
      </c>
      <c r="AK402" s="135"/>
      <c r="AL402" s="135">
        <f t="shared" ca="1" si="8"/>
        <v>4.5952175827138125E-3</v>
      </c>
      <c r="AM402" s="135">
        <f t="shared" ca="1" si="9"/>
        <v>1.1919542334805936E-2</v>
      </c>
      <c r="AN402" s="135">
        <f t="shared" ca="1" si="10"/>
        <v>2.5143334996699171E-2</v>
      </c>
      <c r="AP402" s="516">
        <f t="shared" ca="1" si="11"/>
        <v>1.2106376618709756E-3</v>
      </c>
      <c r="AQ402" s="516">
        <f t="shared" ca="1" si="12"/>
        <v>2.8806629347112225E-3</v>
      </c>
      <c r="AR402" s="516">
        <f t="shared" ca="1" si="13"/>
        <v>5.9838345142144561E-3</v>
      </c>
      <c r="AT402" s="516">
        <f t="shared" ca="1" si="14"/>
        <v>8.6186043607786797E-2</v>
      </c>
      <c r="AU402" s="516">
        <f t="shared" ca="1" si="15"/>
        <v>0.14297994548368631</v>
      </c>
      <c r="AV402" s="516">
        <f t="shared" ca="1" si="16"/>
        <v>0.25430269818277368</v>
      </c>
    </row>
    <row r="403" spans="1:48" ht="10.5" customHeight="1">
      <c r="A403" s="96">
        <v>392</v>
      </c>
      <c r="B403" s="68" t="s">
        <v>546</v>
      </c>
      <c r="C403" s="97">
        <v>0.4</v>
      </c>
      <c r="D403" s="69" t="s">
        <v>66</v>
      </c>
      <c r="E403" s="136"/>
      <c r="F403" s="154"/>
      <c r="G403" s="154"/>
      <c r="H403" s="154"/>
      <c r="I403" s="154">
        <v>1.31E-3</v>
      </c>
      <c r="J403" s="154"/>
      <c r="K403" s="154">
        <v>2.2300000000000002E-3</v>
      </c>
      <c r="L403" s="154">
        <v>3.3579999999999999E-3</v>
      </c>
      <c r="M403" s="154"/>
      <c r="N403" s="137" cm="1">
        <f t="array" aca="1" ref="N403:AE403" ca="1">IF(OR(B403="",NOT($J$2)),"",GetStripDefaultProbability(A403,B403,Parameter_Date,CDSRollDate,E403:M403,SpreadCurveMaturities,D403,C403,$J$4,$J$6))</f>
        <v>0</v>
      </c>
      <c r="O403" s="155">
        <f ca="1"/>
        <v>0</v>
      </c>
      <c r="P403" s="155">
        <f ca="1"/>
        <v>0</v>
      </c>
      <c r="Q403" s="155">
        <f ca="1"/>
        <v>0</v>
      </c>
      <c r="R403" s="155">
        <f ca="1"/>
        <v>6.7125343674701021E-3</v>
      </c>
      <c r="S403" s="155">
        <f ca="1"/>
        <v>0</v>
      </c>
      <c r="T403" s="155">
        <f ca="1"/>
        <v>1.8922469774619421E-2</v>
      </c>
      <c r="U403" s="155">
        <f ca="1"/>
        <v>3.985818382468187E-2</v>
      </c>
      <c r="V403" s="138">
        <f ca="1"/>
        <v>0</v>
      </c>
      <c r="W403" s="137">
        <f ca="1"/>
        <v>0</v>
      </c>
      <c r="X403" s="155">
        <f ca="1"/>
        <v>0</v>
      </c>
      <c r="Y403" s="155">
        <f ca="1"/>
        <v>0</v>
      </c>
      <c r="Z403" s="155">
        <f ca="1"/>
        <v>0</v>
      </c>
      <c r="AA403" s="155">
        <f ca="1"/>
        <v>7.2090539600391246E-3</v>
      </c>
      <c r="AB403" s="155">
        <f ca="1"/>
        <v>0</v>
      </c>
      <c r="AC403" s="155">
        <f ca="1"/>
        <v>1.9760295904507008E-2</v>
      </c>
      <c r="AD403" s="155">
        <f ca="1"/>
        <v>4.1009610103953653E-2</v>
      </c>
      <c r="AE403" s="138">
        <f ca="1"/>
        <v>0</v>
      </c>
      <c r="AG403" s="135"/>
      <c r="AH403" s="135">
        <v>4.9649999999999998E-3</v>
      </c>
      <c r="AI403" s="135">
        <v>8.1279999999999998E-3</v>
      </c>
      <c r="AJ403" s="135">
        <v>1.1226999999999999E-2</v>
      </c>
      <c r="AK403" s="135"/>
      <c r="AL403" s="135">
        <f t="shared" ca="1" si="8"/>
        <v>3.8755317306224018E-3</v>
      </c>
      <c r="AM403" s="135">
        <f t="shared" ca="1" si="9"/>
        <v>9.4565192871940117E-3</v>
      </c>
      <c r="AN403" s="135">
        <f t="shared" ca="1" si="10"/>
        <v>1.9023129726257942E-2</v>
      </c>
      <c r="AP403" s="516">
        <f t="shared" ca="1" si="11"/>
        <v>1.0210321031407159E-3</v>
      </c>
      <c r="AQ403" s="516">
        <f t="shared" ca="1" si="12"/>
        <v>2.2854102814380494E-3</v>
      </c>
      <c r="AR403" s="516">
        <f t="shared" ca="1" si="13"/>
        <v>4.5272936243066038E-3</v>
      </c>
      <c r="AT403" s="516">
        <f t="shared" ca="1" si="14"/>
        <v>7.2687906660890339E-2</v>
      </c>
      <c r="AU403" s="516">
        <f t="shared" ca="1" si="15"/>
        <v>0.11343494357163517</v>
      </c>
      <c r="AV403" s="516">
        <f t="shared" ca="1" si="16"/>
        <v>0.19240220988597614</v>
      </c>
    </row>
    <row r="404" spans="1:48" ht="10.5" customHeight="1">
      <c r="A404" s="96">
        <v>393</v>
      </c>
      <c r="B404" s="68" t="s">
        <v>561</v>
      </c>
      <c r="C404" s="97">
        <v>0.4</v>
      </c>
      <c r="D404" s="69" t="s">
        <v>66</v>
      </c>
      <c r="E404" s="136"/>
      <c r="F404" s="154"/>
      <c r="G404" s="154"/>
      <c r="H404" s="154"/>
      <c r="I404" s="154">
        <v>2.1749999999999999E-3</v>
      </c>
      <c r="J404" s="154"/>
      <c r="K404" s="154">
        <v>3.539E-3</v>
      </c>
      <c r="L404" s="154">
        <v>4.816E-3</v>
      </c>
      <c r="M404" s="154"/>
      <c r="N404" s="137" cm="1">
        <f t="array" aca="1" ref="N404:AE404" ca="1">IF(OR(B404="",NOT($J$2)),"",GetStripDefaultProbability(A404,B404,Parameter_Date,CDSRollDate,E404:M404,SpreadCurveMaturities,D404,C404,$J$4,$J$6))</f>
        <v>0</v>
      </c>
      <c r="O404" s="155">
        <f ca="1"/>
        <v>0</v>
      </c>
      <c r="P404" s="155">
        <f ca="1"/>
        <v>0</v>
      </c>
      <c r="Q404" s="155">
        <f ca="1"/>
        <v>0</v>
      </c>
      <c r="R404" s="155">
        <f ca="1"/>
        <v>1.1120530555082997E-2</v>
      </c>
      <c r="S404" s="155">
        <f ca="1"/>
        <v>0</v>
      </c>
      <c r="T404" s="155">
        <f ca="1"/>
        <v>2.9893950473867448E-2</v>
      </c>
      <c r="U404" s="155">
        <f ca="1"/>
        <v>5.667816495768363E-2</v>
      </c>
      <c r="V404" s="138">
        <f ca="1"/>
        <v>0</v>
      </c>
      <c r="W404" s="137">
        <f ca="1"/>
        <v>0</v>
      </c>
      <c r="X404" s="155">
        <f ca="1"/>
        <v>0</v>
      </c>
      <c r="Y404" s="155">
        <f ca="1"/>
        <v>0</v>
      </c>
      <c r="Z404" s="155">
        <f ca="1"/>
        <v>0</v>
      </c>
      <c r="AA404" s="155">
        <f ca="1"/>
        <v>1.1614846700414572E-2</v>
      </c>
      <c r="AB404" s="155">
        <f ca="1"/>
        <v>0</v>
      </c>
      <c r="AC404" s="155">
        <f ca="1"/>
        <v>3.0722387259748851E-2</v>
      </c>
      <c r="AD404" s="155">
        <f ca="1"/>
        <v>5.7809561639456719E-2</v>
      </c>
      <c r="AE404" s="138">
        <f ca="1"/>
        <v>0</v>
      </c>
      <c r="AG404" s="135"/>
      <c r="AH404" s="135">
        <v>6.7450000000000001E-3</v>
      </c>
      <c r="AI404" s="135">
        <v>1.1979999999999999E-2</v>
      </c>
      <c r="AJ404" s="135">
        <v>1.6924999999999999E-2</v>
      </c>
      <c r="AK404" s="135"/>
      <c r="AL404" s="135">
        <f t="shared" ref="AL404:AL435" ca="1" si="17">AH404*$AN$365</f>
        <v>5.2649469331416121E-3</v>
      </c>
      <c r="AM404" s="135">
        <f t="shared" ref="AM404:AM435" ca="1" si="18">AI404*$AN$366</f>
        <v>1.3938127591115188E-2</v>
      </c>
      <c r="AN404" s="135">
        <f t="shared" ref="AN404:AN435" ca="1" si="19">AJ404*$AN$367</f>
        <v>2.8677872149008254E-2</v>
      </c>
      <c r="AP404" s="516">
        <f t="shared" ref="AP404:AP435" ca="1" si="20">AH404*$AR$365</f>
        <v>1.387081880298918E-3</v>
      </c>
      <c r="AQ404" s="516">
        <f t="shared" ref="AQ404:AQ435" ca="1" si="21">AI404*$AR$366</f>
        <v>3.3685058035959436E-3</v>
      </c>
      <c r="AR404" s="516">
        <f t="shared" ref="AR404:AR435" ca="1" si="22">AJ404*$AR$367</f>
        <v>6.8250151056728665E-3</v>
      </c>
      <c r="AT404" s="516">
        <f t="shared" ca="1" si="14"/>
        <v>9.8747216601753354E-2</v>
      </c>
      <c r="AU404" s="516">
        <f t="shared" ca="1" si="15"/>
        <v>0.16719372834500359</v>
      </c>
      <c r="AV404" s="516">
        <f t="shared" ca="1" si="16"/>
        <v>0.29005142979604048</v>
      </c>
    </row>
    <row r="405" spans="1:48" ht="10.5" customHeight="1">
      <c r="A405" s="96">
        <v>394</v>
      </c>
      <c r="B405" s="68" t="s">
        <v>547</v>
      </c>
      <c r="C405" s="97">
        <v>0.4</v>
      </c>
      <c r="D405" s="69" t="s">
        <v>66</v>
      </c>
      <c r="E405" s="136"/>
      <c r="F405" s="154"/>
      <c r="G405" s="154"/>
      <c r="H405" s="154"/>
      <c r="I405" s="154">
        <v>1.6999999999999999E-3</v>
      </c>
      <c r="J405" s="154"/>
      <c r="K405" s="154">
        <v>2.6360000000000001E-2</v>
      </c>
      <c r="L405" s="154">
        <v>3.9090000000000001E-3</v>
      </c>
      <c r="M405" s="154"/>
      <c r="N405" s="137" cm="1">
        <f t="array" aca="1" ref="N405:AE405" ca="1">IF(OR(B405="",NOT($J$2)),"",GetStripDefaultProbability(A405,B405,Parameter_Date,CDSRollDate,E405:M405,SpreadCurveMaturities,D405,C405,$J$4,$J$6))</f>
        <v>0</v>
      </c>
      <c r="O405" s="155">
        <f ca="1"/>
        <v>0</v>
      </c>
      <c r="P405" s="155">
        <f ca="1"/>
        <v>0</v>
      </c>
      <c r="Q405" s="155">
        <f ca="1"/>
        <v>0</v>
      </c>
      <c r="R405" s="155">
        <f ca="1"/>
        <v>8.702339603506748E-3</v>
      </c>
      <c r="S405" s="155">
        <f ca="1"/>
        <v>0</v>
      </c>
      <c r="T405" s="155">
        <f ca="1"/>
        <v>0.21494429250913005</v>
      </c>
      <c r="U405" s="155">
        <f ca="1"/>
        <v>3.8907099621175334E-2</v>
      </c>
      <c r="V405" s="138">
        <f ca="1"/>
        <v>0</v>
      </c>
      <c r="W405" s="137">
        <f ca="1"/>
        <v>0</v>
      </c>
      <c r="X405" s="155">
        <f ca="1"/>
        <v>0</v>
      </c>
      <c r="Y405" s="155">
        <f ca="1"/>
        <v>0</v>
      </c>
      <c r="Z405" s="155">
        <f ca="1"/>
        <v>0</v>
      </c>
      <c r="AA405" s="155">
        <f ca="1"/>
        <v>9.1978645421461058E-3</v>
      </c>
      <c r="AB405" s="155">
        <f ca="1"/>
        <v>0</v>
      </c>
      <c r="AC405" s="155">
        <f ca="1"/>
        <v>0.21566671528711978</v>
      </c>
      <c r="AD405" s="155">
        <f ca="1"/>
        <v>3.9991524921991539E-2</v>
      </c>
      <c r="AE405" s="138">
        <f ca="1"/>
        <v>0</v>
      </c>
      <c r="AG405" s="135"/>
      <c r="AH405" s="135">
        <v>1.9369999999999999E-3</v>
      </c>
      <c r="AI405" s="135">
        <v>3.101E-3</v>
      </c>
      <c r="AJ405" s="135">
        <v>4.6010000000000001E-3</v>
      </c>
      <c r="AK405" s="135"/>
      <c r="AL405" s="135">
        <f t="shared" ca="1" si="17"/>
        <v>1.5119647456627579E-3</v>
      </c>
      <c r="AM405" s="135">
        <f t="shared" ca="1" si="18"/>
        <v>3.6078575676167114E-3</v>
      </c>
      <c r="AN405" s="135">
        <f t="shared" ca="1" si="19"/>
        <v>7.7959757611572814E-3</v>
      </c>
      <c r="AP405" s="516">
        <f t="shared" ca="1" si="20"/>
        <v>3.9833619008732457E-4</v>
      </c>
      <c r="AQ405" s="516">
        <f t="shared" ca="1" si="21"/>
        <v>8.7193126017955113E-4</v>
      </c>
      <c r="AR405" s="516">
        <f t="shared" ca="1" si="22"/>
        <v>1.8553556573826209E-3</v>
      </c>
      <c r="AT405" s="516">
        <f t="shared" ca="1" si="14"/>
        <v>2.8357799637894178E-2</v>
      </c>
      <c r="AU405" s="516">
        <f t="shared" ca="1" si="15"/>
        <v>4.3277775592475476E-2</v>
      </c>
      <c r="AV405" s="516">
        <f t="shared" ca="1" si="16"/>
        <v>7.8849431520920665E-2</v>
      </c>
    </row>
    <row r="406" spans="1:48" ht="10.5" customHeight="1">
      <c r="A406" s="96">
        <v>395</v>
      </c>
      <c r="B406" s="68" t="s">
        <v>615</v>
      </c>
      <c r="C406" s="97">
        <v>0.4</v>
      </c>
      <c r="D406" s="69" t="s">
        <v>66</v>
      </c>
      <c r="E406" s="136"/>
      <c r="F406" s="154"/>
      <c r="G406" s="154"/>
      <c r="H406" s="154"/>
      <c r="I406" s="154">
        <v>1.7680000000000001E-2</v>
      </c>
      <c r="J406" s="154"/>
      <c r="K406" s="154">
        <v>2.5177000000000001E-2</v>
      </c>
      <c r="L406" s="154">
        <v>3.0232999999999999E-2</v>
      </c>
      <c r="M406" s="154"/>
      <c r="N406" s="137" cm="1">
        <f t="array" aca="1" ref="N406:AE406" ca="1">IF(OR(B406="",NOT($J$2)),"",GetStripDefaultProbability(A406,B406,Parameter_Date,CDSRollDate,E406:M406,SpreadCurveMaturities,D406,C406,$J$4,$J$6))</f>
        <v>0</v>
      </c>
      <c r="O406" s="155">
        <f ca="1"/>
        <v>0</v>
      </c>
      <c r="P406" s="155">
        <f ca="1"/>
        <v>0</v>
      </c>
      <c r="Q406" s="155">
        <f ca="1"/>
        <v>0</v>
      </c>
      <c r="R406" s="155">
        <f ca="1"/>
        <v>8.6882022403050874E-2</v>
      </c>
      <c r="S406" s="155">
        <f ca="1"/>
        <v>0</v>
      </c>
      <c r="T406" s="155">
        <f ca="1"/>
        <v>0.19714863870954746</v>
      </c>
      <c r="U406" s="155">
        <f ca="1"/>
        <v>0.31458077375794613</v>
      </c>
      <c r="V406" s="138">
        <f ca="1"/>
        <v>0</v>
      </c>
      <c r="W406" s="137">
        <f ca="1"/>
        <v>0</v>
      </c>
      <c r="X406" s="155">
        <f ca="1"/>
        <v>0</v>
      </c>
      <c r="Y406" s="155">
        <f ca="1"/>
        <v>0</v>
      </c>
      <c r="Z406" s="155">
        <f ca="1"/>
        <v>0</v>
      </c>
      <c r="AA406" s="155">
        <f ca="1"/>
        <v>8.7338467271153242E-2</v>
      </c>
      <c r="AB406" s="155">
        <f ca="1"/>
        <v>0</v>
      </c>
      <c r="AC406" s="155">
        <f ca="1"/>
        <v>0.19784997707593699</v>
      </c>
      <c r="AD406" s="155">
        <f ca="1"/>
        <v>0.31543891245772726</v>
      </c>
      <c r="AE406" s="138">
        <f ca="1"/>
        <v>0</v>
      </c>
      <c r="AG406" s="135"/>
      <c r="AH406" s="135">
        <v>4.7990000000000003E-3</v>
      </c>
      <c r="AI406" s="135">
        <v>8.7480000000000006E-3</v>
      </c>
      <c r="AJ406" s="135">
        <v>1.2120000000000001E-2</v>
      </c>
      <c r="AK406" s="135"/>
      <c r="AL406" s="135">
        <f t="shared" ca="1" si="17"/>
        <v>3.7459570544324085E-3</v>
      </c>
      <c r="AM406" s="135">
        <f t="shared" ca="1" si="18"/>
        <v>1.0177858110774264E-2</v>
      </c>
      <c r="AN406" s="135">
        <f t="shared" ca="1" si="19"/>
        <v>2.0536236953972234E-2</v>
      </c>
      <c r="AP406" s="516">
        <f t="shared" ca="1" si="20"/>
        <v>9.8689487673158023E-4</v>
      </c>
      <c r="AQ406" s="516">
        <f t="shared" ca="1" si="21"/>
        <v>2.4597402979847512E-3</v>
      </c>
      <c r="AR406" s="516">
        <f t="shared" ca="1" si="22"/>
        <v>4.8873963415512643E-3</v>
      </c>
      <c r="AT406" s="516">
        <f t="shared" ca="1" si="14"/>
        <v>7.0257656407978403E-2</v>
      </c>
      <c r="AU406" s="516">
        <f t="shared" ca="1" si="15"/>
        <v>0.12208770747596759</v>
      </c>
      <c r="AV406" s="516">
        <f t="shared" ca="1" si="16"/>
        <v>0.20770595740785883</v>
      </c>
    </row>
    <row r="407" spans="1:48" ht="10.5" customHeight="1">
      <c r="A407" s="96">
        <v>396</v>
      </c>
      <c r="B407" s="68" t="s">
        <v>562</v>
      </c>
      <c r="C407" s="97">
        <v>0.4</v>
      </c>
      <c r="D407" s="69" t="s">
        <v>66</v>
      </c>
      <c r="E407" s="136"/>
      <c r="F407" s="154"/>
      <c r="G407" s="154"/>
      <c r="H407" s="154"/>
      <c r="I407" s="154">
        <v>1.828E-3</v>
      </c>
      <c r="J407" s="154"/>
      <c r="K407" s="154">
        <v>3.0709999999999999E-3</v>
      </c>
      <c r="L407" s="154">
        <v>4.3569999999999998E-3</v>
      </c>
      <c r="M407" s="154"/>
      <c r="N407" s="137" cm="1">
        <f t="array" aca="1" ref="N407:AE407" ca="1">IF(OR(B407="",NOT($J$2)),"",GetStripDefaultProbability(A407,B407,Parameter_Date,CDSRollDate,E407:M407,SpreadCurveMaturities,D407,C407,$J$4,$J$6))</f>
        <v>0</v>
      </c>
      <c r="O407" s="155">
        <f ca="1"/>
        <v>0</v>
      </c>
      <c r="P407" s="155">
        <f ca="1"/>
        <v>0</v>
      </c>
      <c r="Q407" s="155">
        <f ca="1"/>
        <v>0</v>
      </c>
      <c r="R407" s="155">
        <f ca="1"/>
        <v>9.3545495113387389E-3</v>
      </c>
      <c r="S407" s="155">
        <f ca="1"/>
        <v>0</v>
      </c>
      <c r="T407" s="155">
        <f ca="1"/>
        <v>2.5986706417459482E-2</v>
      </c>
      <c r="U407" s="155">
        <f ca="1"/>
        <v>5.1437194531233077E-2</v>
      </c>
      <c r="V407" s="138">
        <f ca="1"/>
        <v>0</v>
      </c>
      <c r="W407" s="137">
        <f ca="1"/>
        <v>0</v>
      </c>
      <c r="X407" s="155">
        <f ca="1"/>
        <v>0</v>
      </c>
      <c r="Y407" s="155">
        <f ca="1"/>
        <v>0</v>
      </c>
      <c r="Z407" s="155">
        <f ca="1"/>
        <v>0</v>
      </c>
      <c r="AA407" s="155">
        <f ca="1"/>
        <v>9.8497484265545054E-3</v>
      </c>
      <c r="AB407" s="155">
        <f ca="1"/>
        <v>0</v>
      </c>
      <c r="AC407" s="155">
        <f ca="1"/>
        <v>2.6818606088729324E-2</v>
      </c>
      <c r="AD407" s="155">
        <f ca="1"/>
        <v>5.2575090011789949E-2</v>
      </c>
      <c r="AE407" s="138">
        <f ca="1"/>
        <v>0</v>
      </c>
      <c r="AG407" s="135"/>
      <c r="AH407" s="135">
        <v>4.2960000000000003E-3</v>
      </c>
      <c r="AI407" s="135">
        <v>6.79E-3</v>
      </c>
      <c r="AJ407" s="135">
        <v>9.9900000000000006E-3</v>
      </c>
      <c r="AK407" s="135"/>
      <c r="AL407" s="135">
        <f t="shared" ca="1" si="17"/>
        <v>3.3533301741699578E-3</v>
      </c>
      <c r="AM407" s="135">
        <f t="shared" ca="1" si="18"/>
        <v>7.8998235679192102E-3</v>
      </c>
      <c r="AN407" s="135">
        <f t="shared" ca="1" si="19"/>
        <v>1.6927145806120678E-2</v>
      </c>
      <c r="AP407" s="516">
        <f t="shared" ca="1" si="20"/>
        <v>8.8345496779305445E-4</v>
      </c>
      <c r="AQ407" s="516">
        <f t="shared" ca="1" si="21"/>
        <v>1.9091948586324257E-3</v>
      </c>
      <c r="AR407" s="516">
        <f t="shared" ca="1" si="22"/>
        <v>4.0284727270707204E-3</v>
      </c>
      <c r="AT407" s="516">
        <f t="shared" ca="1" si="14"/>
        <v>6.2893705340419923E-2</v>
      </c>
      <c r="AU407" s="516">
        <f t="shared" ca="1" si="15"/>
        <v>9.4761720823253293E-2</v>
      </c>
      <c r="AV407" s="516">
        <f t="shared" ca="1" si="16"/>
        <v>0.1712031777643985</v>
      </c>
    </row>
    <row r="408" spans="1:48" ht="10.5" customHeight="1">
      <c r="A408" s="96">
        <v>397</v>
      </c>
      <c r="B408" s="68" t="s">
        <v>548</v>
      </c>
      <c r="C408" s="97">
        <v>0.4</v>
      </c>
      <c r="D408" s="69" t="s">
        <v>66</v>
      </c>
      <c r="E408" s="136"/>
      <c r="F408" s="154"/>
      <c r="G408" s="154"/>
      <c r="H408" s="154"/>
      <c r="I408" s="154">
        <v>1.338E-3</v>
      </c>
      <c r="J408" s="154"/>
      <c r="K408" s="154">
        <v>2.0349999999999999E-3</v>
      </c>
      <c r="L408" s="154">
        <v>2.843E-3</v>
      </c>
      <c r="M408" s="154"/>
      <c r="N408" s="137" cm="1">
        <f t="array" aca="1" ref="N408:AE408" ca="1">IF(OR(B408="",NOT($J$2)),"",GetStripDefaultProbability(A408,B408,Parameter_Date,CDSRollDate,E408:M408,SpreadCurveMaturities,D408,C408,$J$4,$J$6))</f>
        <v>0</v>
      </c>
      <c r="O408" s="155">
        <f ca="1"/>
        <v>0</v>
      </c>
      <c r="P408" s="155">
        <f ca="1"/>
        <v>0</v>
      </c>
      <c r="Q408" s="155">
        <f ca="1"/>
        <v>0</v>
      </c>
      <c r="R408" s="155">
        <f ca="1"/>
        <v>6.8555229507399895E-3</v>
      </c>
      <c r="S408" s="155">
        <f ca="1"/>
        <v>0</v>
      </c>
      <c r="T408" s="155">
        <f ca="1"/>
        <v>1.7265673490850841E-2</v>
      </c>
      <c r="U408" s="155">
        <f ca="1"/>
        <v>3.3749549075488439E-2</v>
      </c>
      <c r="V408" s="138">
        <f ca="1"/>
        <v>0</v>
      </c>
      <c r="W408" s="137">
        <f ca="1"/>
        <v>0</v>
      </c>
      <c r="X408" s="155">
        <f ca="1"/>
        <v>0</v>
      </c>
      <c r="Y408" s="155">
        <f ca="1"/>
        <v>0</v>
      </c>
      <c r="Z408" s="155">
        <f ca="1"/>
        <v>0</v>
      </c>
      <c r="AA408" s="155">
        <f ca="1"/>
        <v>7.3519710669509575E-3</v>
      </c>
      <c r="AB408" s="155">
        <f ca="1"/>
        <v>0</v>
      </c>
      <c r="AC408" s="155">
        <f ca="1"/>
        <v>1.8104603116541718E-2</v>
      </c>
      <c r="AD408" s="155">
        <f ca="1"/>
        <v>3.4906997341335733E-2</v>
      </c>
      <c r="AE408" s="138">
        <f ca="1"/>
        <v>0</v>
      </c>
      <c r="AG408" s="135"/>
      <c r="AH408" s="135">
        <v>1.0371E-2</v>
      </c>
      <c r="AI408" s="135">
        <v>1.6621E-2</v>
      </c>
      <c r="AJ408" s="135">
        <v>1.9375E-2</v>
      </c>
      <c r="AK408" s="135"/>
      <c r="AL408" s="135">
        <f t="shared" ca="1" si="17"/>
        <v>8.0952949805206311E-3</v>
      </c>
      <c r="AM408" s="135">
        <f t="shared" ca="1" si="18"/>
        <v>1.933769772052801E-2</v>
      </c>
      <c r="AN408" s="135">
        <f t="shared" ca="1" si="19"/>
        <v>3.2829174173532344E-2</v>
      </c>
      <c r="AP408" s="516">
        <f t="shared" ca="1" si="20"/>
        <v>2.1327540668020875E-3</v>
      </c>
      <c r="AQ408" s="516">
        <f t="shared" ca="1" si="21"/>
        <v>4.6734503306818187E-3</v>
      </c>
      <c r="AR408" s="516">
        <f t="shared" ca="1" si="22"/>
        <v>7.8129788875871079E-3</v>
      </c>
      <c r="AT408" s="516">
        <f t="shared" ca="1" si="14"/>
        <v>0.15183208055993833</v>
      </c>
      <c r="AU408" s="516">
        <f t="shared" ca="1" si="15"/>
        <v>0.23196385299017572</v>
      </c>
      <c r="AV408" s="516">
        <f t="shared" ca="1" si="16"/>
        <v>0.33203819511363569</v>
      </c>
    </row>
    <row r="409" spans="1:48" ht="10.5" customHeight="1">
      <c r="A409" s="96">
        <v>398</v>
      </c>
      <c r="B409" s="68" t="s">
        <v>563</v>
      </c>
      <c r="C409" s="97">
        <v>0.4</v>
      </c>
      <c r="D409" s="69" t="s">
        <v>66</v>
      </c>
      <c r="E409" s="136"/>
      <c r="F409" s="154"/>
      <c r="G409" s="154"/>
      <c r="H409" s="154"/>
      <c r="I409" s="154">
        <v>4.5620000000000001E-3</v>
      </c>
      <c r="J409" s="154"/>
      <c r="K409" s="154">
        <v>7.5360000000000002E-3</v>
      </c>
      <c r="L409" s="154">
        <v>1.0989000000000001E-2</v>
      </c>
      <c r="M409" s="154"/>
      <c r="N409" s="137" cm="1">
        <f t="array" aca="1" ref="N409:AE409" ca="1">IF(OR(B409="",NOT($J$2)),"",GetStripDefaultProbability(A409,B409,Parameter_Date,CDSRollDate,E409:M409,SpreadCurveMaturities,D409,C409,$J$4,$J$6))</f>
        <v>0</v>
      </c>
      <c r="O409" s="155">
        <f ca="1"/>
        <v>0</v>
      </c>
      <c r="P409" s="155">
        <f ca="1"/>
        <v>0</v>
      </c>
      <c r="Q409" s="155">
        <f ca="1"/>
        <v>0</v>
      </c>
      <c r="R409" s="155">
        <f ca="1"/>
        <v>2.3185340942842969E-2</v>
      </c>
      <c r="S409" s="155">
        <f ca="1"/>
        <v>0</v>
      </c>
      <c r="T409" s="155">
        <f ca="1"/>
        <v>6.2855716173571663E-2</v>
      </c>
      <c r="U409" s="155">
        <f ca="1"/>
        <v>0.12633348751462459</v>
      </c>
      <c r="V409" s="138">
        <f ca="1"/>
        <v>0</v>
      </c>
      <c r="W409" s="137">
        <f ca="1"/>
        <v>0</v>
      </c>
      <c r="X409" s="155">
        <f ca="1"/>
        <v>0</v>
      </c>
      <c r="Y409" s="155">
        <f ca="1"/>
        <v>0</v>
      </c>
      <c r="Z409" s="155">
        <f ca="1"/>
        <v>0</v>
      </c>
      <c r="AA409" s="155">
        <f ca="1"/>
        <v>2.3673626190897745E-2</v>
      </c>
      <c r="AB409" s="155">
        <f ca="1"/>
        <v>0</v>
      </c>
      <c r="AC409" s="155">
        <f ca="1"/>
        <v>6.3636344436484471E-2</v>
      </c>
      <c r="AD409" s="155">
        <f ca="1"/>
        <v>0.12740227990995023</v>
      </c>
      <c r="AE409" s="138">
        <f ca="1"/>
        <v>0</v>
      </c>
      <c r="AG409" s="135"/>
      <c r="AH409" s="135">
        <v>2.5300000000000001E-3</v>
      </c>
      <c r="AI409" s="135">
        <v>3.9699999999999996E-3</v>
      </c>
      <c r="AJ409" s="135">
        <v>5.692E-3</v>
      </c>
      <c r="AK409" s="135"/>
      <c r="AL409" s="135">
        <f t="shared" ca="1" si="17"/>
        <v>1.9748429563896633E-3</v>
      </c>
      <c r="AM409" s="135">
        <f t="shared" ca="1" si="18"/>
        <v>4.6188953703445151E-3</v>
      </c>
      <c r="AN409" s="135">
        <f t="shared" ca="1" si="19"/>
        <v>9.6445759688127027E-3</v>
      </c>
      <c r="AP409" s="516">
        <f t="shared" ca="1" si="20"/>
        <v>5.2028423382598416E-4</v>
      </c>
      <c r="AQ409" s="516">
        <f t="shared" ca="1" si="21"/>
        <v>1.1162744607909763E-3</v>
      </c>
      <c r="AR409" s="516">
        <f t="shared" ca="1" si="22"/>
        <v>2.2953019782268806E-3</v>
      </c>
      <c r="AT409" s="516">
        <f t="shared" ca="1" si="14"/>
        <v>3.7039356264260338E-2</v>
      </c>
      <c r="AU409" s="516">
        <f t="shared" ca="1" si="15"/>
        <v>5.5405601129354276E-2</v>
      </c>
      <c r="AV409" s="516">
        <f t="shared" ca="1" si="16"/>
        <v>9.7546395178674292E-2</v>
      </c>
    </row>
    <row r="410" spans="1:48" ht="10.5" customHeight="1">
      <c r="A410" s="96">
        <v>399</v>
      </c>
      <c r="B410" s="68" t="s">
        <v>549</v>
      </c>
      <c r="C410" s="97">
        <v>0.4</v>
      </c>
      <c r="D410" s="69" t="s">
        <v>66</v>
      </c>
      <c r="E410" s="136"/>
      <c r="F410" s="154"/>
      <c r="G410" s="154"/>
      <c r="H410" s="154"/>
      <c r="I410" s="154">
        <v>2.6589999999999999E-3</v>
      </c>
      <c r="J410" s="154"/>
      <c r="K410" s="154">
        <v>4.2420000000000001E-3</v>
      </c>
      <c r="L410" s="154">
        <v>5.659E-3</v>
      </c>
      <c r="M410" s="154"/>
      <c r="N410" s="137" cm="1">
        <f t="array" aca="1" ref="N410:AE410" ca="1">IF(OR(B410="",NOT($J$2)),"",GetStripDefaultProbability(A410,B410,Parameter_Date,CDSRollDate,E410:M410,SpreadCurveMaturities,D410,C410,$J$4,$J$6))</f>
        <v>0</v>
      </c>
      <c r="O410" s="155">
        <f ca="1"/>
        <v>0</v>
      </c>
      <c r="P410" s="155">
        <f ca="1"/>
        <v>0</v>
      </c>
      <c r="Q410" s="155">
        <f ca="1"/>
        <v>0</v>
      </c>
      <c r="R410" s="155">
        <f ca="1"/>
        <v>1.3578584430824048E-2</v>
      </c>
      <c r="S410" s="155">
        <f ca="1"/>
        <v>0</v>
      </c>
      <c r="T410" s="155">
        <f ca="1"/>
        <v>3.5743755896285201E-2</v>
      </c>
      <c r="U410" s="155">
        <f ca="1"/>
        <v>6.6314768191012452E-2</v>
      </c>
      <c r="V410" s="138">
        <f ca="1"/>
        <v>0</v>
      </c>
      <c r="W410" s="137">
        <f ca="1"/>
        <v>0</v>
      </c>
      <c r="X410" s="155">
        <f ca="1"/>
        <v>0</v>
      </c>
      <c r="Y410" s="155">
        <f ca="1"/>
        <v>0</v>
      </c>
      <c r="Z410" s="155">
        <f ca="1"/>
        <v>0</v>
      </c>
      <c r="AA410" s="155">
        <f ca="1"/>
        <v>1.4071671856493717E-2</v>
      </c>
      <c r="AB410" s="155">
        <f ca="1"/>
        <v>0</v>
      </c>
      <c r="AC410" s="155">
        <f ca="1"/>
        <v>3.6566913233347598E-2</v>
      </c>
      <c r="AD410" s="155">
        <f ca="1"/>
        <v>6.7434411266941052E-2</v>
      </c>
      <c r="AE410" s="138">
        <f ca="1"/>
        <v>0</v>
      </c>
      <c r="AG410" s="135"/>
      <c r="AH410" s="135">
        <v>3.9449999999999997E-3</v>
      </c>
      <c r="AI410" s="135">
        <v>6.7390000000000002E-3</v>
      </c>
      <c r="AJ410" s="135">
        <v>9.7630000000000008E-3</v>
      </c>
      <c r="AK410" s="135"/>
      <c r="AL410" s="135">
        <f t="shared" ca="1" si="17"/>
        <v>3.079349985358585E-3</v>
      </c>
      <c r="AM410" s="135">
        <f t="shared" ca="1" si="18"/>
        <v>7.8404876324311579E-3</v>
      </c>
      <c r="AN410" s="135">
        <f t="shared" ca="1" si="19"/>
        <v>1.6542514965481099E-2</v>
      </c>
      <c r="AP410" s="516">
        <f t="shared" ca="1" si="20"/>
        <v>8.1127324207253243E-4</v>
      </c>
      <c r="AQ410" s="516">
        <f t="shared" ca="1" si="21"/>
        <v>1.8948548088842292E-3</v>
      </c>
      <c r="AR410" s="516">
        <f t="shared" ca="1" si="22"/>
        <v>3.9369348582974414E-3</v>
      </c>
      <c r="AT410" s="516">
        <f t="shared" ca="1" si="14"/>
        <v>5.7755043661069969E-2</v>
      </c>
      <c r="AU410" s="516">
        <f t="shared" ca="1" si="15"/>
        <v>9.4049961211767896E-2</v>
      </c>
      <c r="AV410" s="516">
        <f t="shared" ca="1" si="16"/>
        <v>0.16731297542680906</v>
      </c>
    </row>
    <row r="411" spans="1:48" ht="10.5" customHeight="1">
      <c r="A411" s="96">
        <v>400</v>
      </c>
      <c r="B411" s="68" t="s">
        <v>550</v>
      </c>
      <c r="C411" s="97">
        <v>0.4</v>
      </c>
      <c r="D411" s="69" t="s">
        <v>66</v>
      </c>
      <c r="E411" s="136"/>
      <c r="F411" s="154"/>
      <c r="G411" s="154"/>
      <c r="H411" s="154"/>
      <c r="I411" s="154">
        <v>1.866E-3</v>
      </c>
      <c r="J411" s="154"/>
      <c r="K411" s="154">
        <v>3.0259999999999999E-2</v>
      </c>
      <c r="L411" s="154">
        <v>4.2849999999999997E-3</v>
      </c>
      <c r="M411" s="154"/>
      <c r="N411" s="137" cm="1">
        <f t="array" aca="1" ref="N411:AE411" ca="1">IF(OR(B411="",NOT($J$2)),"",GetStripDefaultProbability(A411,B411,Parameter_Date,CDSRollDate,E411:M411,SpreadCurveMaturities,D411,C411,$J$4,$J$6))</f>
        <v>0</v>
      </c>
      <c r="O411" s="155">
        <f ca="1"/>
        <v>0</v>
      </c>
      <c r="P411" s="155">
        <f ca="1"/>
        <v>0</v>
      </c>
      <c r="Q411" s="155">
        <f ca="1"/>
        <v>0</v>
      </c>
      <c r="R411" s="155">
        <f ca="1"/>
        <v>9.5480931586517936E-3</v>
      </c>
      <c r="S411" s="155">
        <f ca="1"/>
        <v>0</v>
      </c>
      <c r="T411" s="155">
        <f ca="1"/>
        <v>0.24496366968129868</v>
      </c>
      <c r="U411" s="155">
        <f ca="1"/>
        <v>4.1836452766669363E-2</v>
      </c>
      <c r="V411" s="138">
        <f ca="1"/>
        <v>0</v>
      </c>
      <c r="W411" s="137">
        <f ca="1"/>
        <v>0</v>
      </c>
      <c r="X411" s="155">
        <f ca="1"/>
        <v>0</v>
      </c>
      <c r="Y411" s="155">
        <f ca="1"/>
        <v>0</v>
      </c>
      <c r="Z411" s="155">
        <f ca="1"/>
        <v>0</v>
      </c>
      <c r="AA411" s="155">
        <f ca="1"/>
        <v>1.0043195326208121E-2</v>
      </c>
      <c r="AB411" s="155">
        <f ca="1"/>
        <v>0</v>
      </c>
      <c r="AC411" s="155">
        <f ca="1"/>
        <v>0.24566790242603842</v>
      </c>
      <c r="AD411" s="155">
        <f ca="1"/>
        <v>4.2907284380099053E-2</v>
      </c>
      <c r="AE411" s="138">
        <f ca="1"/>
        <v>0</v>
      </c>
      <c r="AG411" s="135"/>
      <c r="AH411" s="135">
        <v>1.738E-3</v>
      </c>
      <c r="AI411" s="135">
        <v>2.9610000000000001E-3</v>
      </c>
      <c r="AJ411" s="135">
        <v>4.1469999999999996E-3</v>
      </c>
      <c r="AK411" s="135"/>
      <c r="AL411" s="135">
        <f t="shared" ca="1" si="17"/>
        <v>1.3566312483024642E-3</v>
      </c>
      <c r="AM411" s="135">
        <f t="shared" ca="1" si="18"/>
        <v>3.4449746074534287E-3</v>
      </c>
      <c r="AN411" s="135">
        <f t="shared" ca="1" si="19"/>
        <v>7.0267140798781222E-3</v>
      </c>
      <c r="AP411" s="516">
        <f t="shared" ca="1" si="20"/>
        <v>3.5741264758480646E-4</v>
      </c>
      <c r="AQ411" s="516">
        <f t="shared" ca="1" si="21"/>
        <v>8.3256641773352168E-4</v>
      </c>
      <c r="AR411" s="516">
        <f t="shared" ca="1" si="22"/>
        <v>1.6722799198360635E-3</v>
      </c>
      <c r="AT411" s="516">
        <f t="shared" ca="1" si="14"/>
        <v>2.5444427346752754E-2</v>
      </c>
      <c r="AU411" s="516">
        <f t="shared" ca="1" si="15"/>
        <v>4.1323925678593963E-2</v>
      </c>
      <c r="AV411" s="516">
        <f t="shared" ca="1" si="16"/>
        <v>7.106902684574179E-2</v>
      </c>
    </row>
    <row r="412" spans="1:48" ht="10.5" customHeight="1">
      <c r="A412" s="96">
        <v>401</v>
      </c>
      <c r="B412" s="68" t="s">
        <v>551</v>
      </c>
      <c r="C412" s="97">
        <v>0.4</v>
      </c>
      <c r="D412" s="69" t="s">
        <v>66</v>
      </c>
      <c r="E412" s="136"/>
      <c r="F412" s="154"/>
      <c r="G412" s="154"/>
      <c r="H412" s="154"/>
      <c r="I412" s="154">
        <v>3.153E-3</v>
      </c>
      <c r="J412" s="154"/>
      <c r="K412" s="154">
        <v>4.9170000000000004E-3</v>
      </c>
      <c r="L412" s="154">
        <v>6.8279999999999999E-3</v>
      </c>
      <c r="M412" s="154"/>
      <c r="N412" s="137" cm="1">
        <f t="array" aca="1" ref="N412:AE412" ca="1">IF(OR(B412="",NOT($J$2)),"",GetStripDefaultProbability(A412,B412,Parameter_Date,CDSRollDate,E412:M412,SpreadCurveMaturities,D412,C412,$J$4,$J$6))</f>
        <v>0</v>
      </c>
      <c r="O412" s="155">
        <f ca="1"/>
        <v>0</v>
      </c>
      <c r="P412" s="155">
        <f ca="1"/>
        <v>0</v>
      </c>
      <c r="Q412" s="155">
        <f ca="1"/>
        <v>0</v>
      </c>
      <c r="R412" s="155">
        <f ca="1"/>
        <v>1.6081248310358509E-2</v>
      </c>
      <c r="S412" s="155">
        <f ca="1"/>
        <v>0</v>
      </c>
      <c r="T412" s="155">
        <f ca="1"/>
        <v>4.1329595855749246E-2</v>
      </c>
      <c r="U412" s="155">
        <f ca="1"/>
        <v>7.9699245549072706E-2</v>
      </c>
      <c r="V412" s="138">
        <f ca="1"/>
        <v>0</v>
      </c>
      <c r="W412" s="137">
        <f ca="1"/>
        <v>0</v>
      </c>
      <c r="X412" s="155">
        <f ca="1"/>
        <v>0</v>
      </c>
      <c r="Y412" s="155">
        <f ca="1"/>
        <v>0</v>
      </c>
      <c r="Z412" s="155">
        <f ca="1"/>
        <v>0</v>
      </c>
      <c r="AA412" s="155">
        <f ca="1"/>
        <v>1.6573084716903885E-2</v>
      </c>
      <c r="AB412" s="155">
        <f ca="1"/>
        <v>0</v>
      </c>
      <c r="AC412" s="155">
        <f ca="1"/>
        <v>4.2147514678942954E-2</v>
      </c>
      <c r="AD412" s="155">
        <f ca="1"/>
        <v>8.0802069565738432E-2</v>
      </c>
      <c r="AE412" s="138">
        <f ca="1"/>
        <v>0</v>
      </c>
      <c r="AG412" s="135"/>
      <c r="AH412" s="135">
        <v>2.8939999999999999E-3</v>
      </c>
      <c r="AI412" s="135">
        <v>5.0400000000000002E-3</v>
      </c>
      <c r="AJ412" s="135">
        <v>7.5799999999999999E-3</v>
      </c>
      <c r="AK412" s="135"/>
      <c r="AL412" s="135">
        <f t="shared" ca="1" si="17"/>
        <v>2.2589705596014562E-3</v>
      </c>
      <c r="AM412" s="135">
        <f t="shared" ca="1" si="18"/>
        <v>5.863786565878177E-3</v>
      </c>
      <c r="AN412" s="135">
        <f t="shared" ca="1" si="19"/>
        <v>1.2843620141180654E-2</v>
      </c>
      <c r="AP412" s="516">
        <f t="shared" ca="1" si="20"/>
        <v>5.9513935679541424E-4</v>
      </c>
      <c r="AQ412" s="516">
        <f t="shared" ca="1" si="21"/>
        <v>1.4171343280570583E-3</v>
      </c>
      <c r="AR412" s="516">
        <f t="shared" ca="1" si="22"/>
        <v>3.0566389660856915E-3</v>
      </c>
      <c r="AT412" s="516">
        <f t="shared" ca="1" si="14"/>
        <v>4.2368338746549175E-2</v>
      </c>
      <c r="AU412" s="516">
        <f t="shared" ca="1" si="15"/>
        <v>7.0338596899734401E-2</v>
      </c>
      <c r="AV412" s="516">
        <f t="shared" ca="1" si="16"/>
        <v>0.12990191065607012</v>
      </c>
    </row>
    <row r="413" spans="1:48" ht="10.5" customHeight="1">
      <c r="A413" s="96">
        <v>402</v>
      </c>
      <c r="B413" s="68" t="s">
        <v>552</v>
      </c>
      <c r="C413" s="97">
        <v>0.4</v>
      </c>
      <c r="D413" s="69" t="s">
        <v>66</v>
      </c>
      <c r="E413" s="136"/>
      <c r="F413" s="154"/>
      <c r="G413" s="154"/>
      <c r="H413" s="154"/>
      <c r="I413" s="154">
        <v>6.7999999999999996E-3</v>
      </c>
      <c r="J413" s="154"/>
      <c r="K413" s="154">
        <v>1.1743E-2</v>
      </c>
      <c r="L413" s="154">
        <v>1.5325E-2</v>
      </c>
      <c r="M413" s="154"/>
      <c r="N413" s="137" cm="1">
        <f t="array" aca="1" ref="N413:AE413" ca="1">IF(OR(B413="",NOT($J$2)),"",GetStripDefaultProbability(A413,B413,Parameter_Date,CDSRollDate,E413:M413,SpreadCurveMaturities,D413,C413,$J$4,$J$6))</f>
        <v>0</v>
      </c>
      <c r="O413" s="155">
        <f ca="1"/>
        <v>0</v>
      </c>
      <c r="P413" s="155">
        <f ca="1"/>
        <v>0</v>
      </c>
      <c r="Q413" s="155">
        <f ca="1"/>
        <v>0</v>
      </c>
      <c r="R413" s="155">
        <f ca="1"/>
        <v>3.4366556621590383E-2</v>
      </c>
      <c r="S413" s="155">
        <f ca="1"/>
        <v>0</v>
      </c>
      <c r="T413" s="155">
        <f ca="1"/>
        <v>9.6701869883663139E-2</v>
      </c>
      <c r="U413" s="155">
        <f ca="1"/>
        <v>0.17222680131899393</v>
      </c>
      <c r="V413" s="138">
        <f ca="1"/>
        <v>0</v>
      </c>
      <c r="W413" s="137">
        <f ca="1"/>
        <v>0</v>
      </c>
      <c r="X413" s="155">
        <f ca="1"/>
        <v>0</v>
      </c>
      <c r="Y413" s="155">
        <f ca="1"/>
        <v>0</v>
      </c>
      <c r="Z413" s="155">
        <f ca="1"/>
        <v>0</v>
      </c>
      <c r="AA413" s="155">
        <f ca="1"/>
        <v>3.484925265917016E-2</v>
      </c>
      <c r="AB413" s="155">
        <f ca="1"/>
        <v>0</v>
      </c>
      <c r="AC413" s="155">
        <f ca="1"/>
        <v>9.7483312944321554E-2</v>
      </c>
      <c r="AD413" s="155">
        <f ca="1"/>
        <v>0.17324398454640122</v>
      </c>
      <c r="AE413" s="138">
        <f ca="1"/>
        <v>0</v>
      </c>
      <c r="AG413" s="135"/>
      <c r="AH413" s="135">
        <v>1.31E-3</v>
      </c>
      <c r="AI413" s="135">
        <v>2.2300000000000002E-3</v>
      </c>
      <c r="AJ413" s="135">
        <v>3.3579999999999999E-3</v>
      </c>
      <c r="AK413" s="135"/>
      <c r="AL413" s="135">
        <f t="shared" ca="1" si="17"/>
        <v>1.0225471434270588E-3</v>
      </c>
      <c r="AM413" s="135">
        <f t="shared" ca="1" si="18"/>
        <v>2.5944928654580029E-3</v>
      </c>
      <c r="AN413" s="135">
        <f t="shared" ca="1" si="19"/>
        <v>5.689825387082406E-3</v>
      </c>
      <c r="AP413" s="516">
        <f t="shared" ca="1" si="20"/>
        <v>2.6939618431305894E-4</v>
      </c>
      <c r="AQ413" s="516">
        <f t="shared" ca="1" si="21"/>
        <v>6.2702570467603966E-4</v>
      </c>
      <c r="AR413" s="516">
        <f t="shared" ca="1" si="22"/>
        <v>1.354115257007355E-3</v>
      </c>
      <c r="AT413" s="516">
        <f t="shared" ca="1" si="14"/>
        <v>1.9178480911534009E-2</v>
      </c>
      <c r="AU413" s="516">
        <f t="shared" ca="1" si="15"/>
        <v>3.112203791396979E-2</v>
      </c>
      <c r="AV413" s="516">
        <f t="shared" ca="1" si="16"/>
        <v>5.7547574667952961E-2</v>
      </c>
    </row>
    <row r="414" spans="1:48" ht="10.5" customHeight="1">
      <c r="A414" s="96">
        <v>403</v>
      </c>
      <c r="B414" s="68" t="s">
        <v>553</v>
      </c>
      <c r="C414" s="97">
        <v>0.4</v>
      </c>
      <c r="D414" s="69" t="s">
        <v>66</v>
      </c>
      <c r="E414" s="136"/>
      <c r="F414" s="154"/>
      <c r="G414" s="154"/>
      <c r="H414" s="154"/>
      <c r="I414" s="154">
        <v>1.8079999999999999E-3</v>
      </c>
      <c r="J414" s="154"/>
      <c r="K414" s="154">
        <v>3.0379999999999999E-3</v>
      </c>
      <c r="L414" s="154">
        <v>4.2700000000000004E-3</v>
      </c>
      <c r="M414" s="154"/>
      <c r="N414" s="137" cm="1">
        <f t="array" aca="1" ref="N414:AE414" ca="1">IF(OR(B414="",NOT($J$2)),"",GetStripDefaultProbability(A414,B414,Parameter_Date,CDSRollDate,E414:M414,SpreadCurveMaturities,D414,C414,$J$4,$J$6))</f>
        <v>0</v>
      </c>
      <c r="O414" s="155">
        <f ca="1"/>
        <v>0</v>
      </c>
      <c r="P414" s="155">
        <f ca="1"/>
        <v>0</v>
      </c>
      <c r="Q414" s="155">
        <f ca="1"/>
        <v>0</v>
      </c>
      <c r="R414" s="155">
        <f ca="1"/>
        <v>9.2526695114024671E-3</v>
      </c>
      <c r="S414" s="155">
        <f ca="1"/>
        <v>0</v>
      </c>
      <c r="T414" s="155">
        <f ca="1"/>
        <v>2.5710203511581153E-2</v>
      </c>
      <c r="U414" s="155">
        <f ca="1"/>
        <v>5.0417008086825033E-2</v>
      </c>
      <c r="V414" s="138">
        <f ca="1"/>
        <v>0</v>
      </c>
      <c r="W414" s="137">
        <f ca="1"/>
        <v>0</v>
      </c>
      <c r="X414" s="155">
        <f ca="1"/>
        <v>0</v>
      </c>
      <c r="Y414" s="155">
        <f ca="1"/>
        <v>0</v>
      </c>
      <c r="Z414" s="155">
        <f ca="1"/>
        <v>0</v>
      </c>
      <c r="AA414" s="155">
        <f ca="1"/>
        <v>9.7479193538211328E-3</v>
      </c>
      <c r="AB414" s="155">
        <f ca="1"/>
        <v>0</v>
      </c>
      <c r="AC414" s="155">
        <f ca="1"/>
        <v>2.654233957835217E-2</v>
      </c>
      <c r="AD414" s="155">
        <f ca="1"/>
        <v>5.1556035402608891E-2</v>
      </c>
      <c r="AE414" s="138">
        <f ca="1"/>
        <v>0</v>
      </c>
      <c r="AG414" s="135"/>
      <c r="AH414" s="135">
        <v>2.1749999999999999E-3</v>
      </c>
      <c r="AI414" s="135">
        <v>3.539E-3</v>
      </c>
      <c r="AJ414" s="135">
        <v>4.816E-3</v>
      </c>
      <c r="AK414" s="135"/>
      <c r="AL414" s="135">
        <f t="shared" ca="1" si="17"/>
        <v>1.697740486224315E-3</v>
      </c>
      <c r="AM414" s="135">
        <f t="shared" ca="1" si="18"/>
        <v>4.1174485429846955E-3</v>
      </c>
      <c r="AN414" s="135">
        <f t="shared" ca="1" si="19"/>
        <v>8.1602736939216398E-3</v>
      </c>
      <c r="AP414" s="516">
        <f t="shared" ca="1" si="20"/>
        <v>4.4727992433656733E-4</v>
      </c>
      <c r="AQ414" s="516">
        <f t="shared" ca="1" si="21"/>
        <v>9.9508698154641452E-4</v>
      </c>
      <c r="AR414" s="516">
        <f t="shared" ca="1" si="22"/>
        <v>1.9420545198771358E-3</v>
      </c>
      <c r="AT414" s="516">
        <f t="shared" ca="1" si="14"/>
        <v>3.1842134337852261E-2</v>
      </c>
      <c r="AU414" s="516">
        <f t="shared" ca="1" si="15"/>
        <v>4.9390534608761916E-2</v>
      </c>
      <c r="AV414" s="516">
        <f t="shared" ca="1" si="16"/>
        <v>8.2533984395730037E-2</v>
      </c>
    </row>
    <row r="415" spans="1:48" ht="10.5" customHeight="1">
      <c r="A415" s="96">
        <v>404</v>
      </c>
      <c r="B415" s="68" t="s">
        <v>554</v>
      </c>
      <c r="C415" s="97">
        <v>0.4</v>
      </c>
      <c r="D415" s="69" t="s">
        <v>66</v>
      </c>
      <c r="E415" s="136"/>
      <c r="F415" s="154"/>
      <c r="G415" s="154"/>
      <c r="H415" s="154"/>
      <c r="I415" s="154">
        <v>1.957E-3</v>
      </c>
      <c r="J415" s="154"/>
      <c r="K415" s="154">
        <v>2.7009999999999998E-3</v>
      </c>
      <c r="L415" s="154">
        <v>3.7780000000000001E-3</v>
      </c>
      <c r="M415" s="154"/>
      <c r="N415" s="137" cm="1">
        <f t="array" aca="1" ref="N415:AE415" ca="1">IF(OR(B415="",NOT($J$2)),"",GetStripDefaultProbability(A415,B415,Parameter_Date,CDSRollDate,E415:M415,SpreadCurveMaturities,D415,C415,$J$4,$J$6))</f>
        <v>0</v>
      </c>
      <c r="O415" s="155">
        <f ca="1"/>
        <v>0</v>
      </c>
      <c r="P415" s="155">
        <f ca="1"/>
        <v>0</v>
      </c>
      <c r="Q415" s="155">
        <f ca="1"/>
        <v>0</v>
      </c>
      <c r="R415" s="155">
        <f ca="1"/>
        <v>1.0011428306572534E-2</v>
      </c>
      <c r="S415" s="155">
        <f ca="1"/>
        <v>0</v>
      </c>
      <c r="T415" s="155">
        <f ca="1"/>
        <v>2.2846326433125119E-2</v>
      </c>
      <c r="U415" s="155">
        <f ca="1"/>
        <v>4.4649787140437325E-2</v>
      </c>
      <c r="V415" s="138">
        <f ca="1"/>
        <v>0</v>
      </c>
      <c r="W415" s="137">
        <f ca="1"/>
        <v>0</v>
      </c>
      <c r="X415" s="155">
        <f ca="1"/>
        <v>0</v>
      </c>
      <c r="Y415" s="155">
        <f ca="1"/>
        <v>0</v>
      </c>
      <c r="Z415" s="155">
        <f ca="1"/>
        <v>0</v>
      </c>
      <c r="AA415" s="155">
        <f ca="1"/>
        <v>1.0506298864462194E-2</v>
      </c>
      <c r="AB415" s="155">
        <f ca="1"/>
        <v>0</v>
      </c>
      <c r="AC415" s="155">
        <f ca="1"/>
        <v>2.3680350459758803E-2</v>
      </c>
      <c r="AD415" s="155">
        <f ca="1"/>
        <v>4.5794611554784925E-2</v>
      </c>
      <c r="AE415" s="138">
        <f ca="1"/>
        <v>0</v>
      </c>
      <c r="AG415" s="135"/>
      <c r="AH415" s="135">
        <v>1.6999999999999999E-3</v>
      </c>
      <c r="AI415" s="135">
        <v>2.6360000000000001E-2</v>
      </c>
      <c r="AJ415" s="135">
        <v>3.9090000000000001E-3</v>
      </c>
      <c r="AK415" s="135"/>
      <c r="AL415" s="135">
        <f t="shared" ca="1" si="17"/>
        <v>1.3269695754396945E-3</v>
      </c>
      <c r="AM415" s="135">
        <f t="shared" ca="1" si="18"/>
        <v>3.0668534499315225E-2</v>
      </c>
      <c r="AN415" s="135">
        <f t="shared" ca="1" si="19"/>
        <v>6.6234447403529257E-3</v>
      </c>
      <c r="AP415" s="516">
        <f t="shared" ca="1" si="20"/>
        <v>3.4959810178030549E-4</v>
      </c>
      <c r="AQ415" s="516">
        <f t="shared" ca="1" si="21"/>
        <v>7.4118374776952489E-3</v>
      </c>
      <c r="AR415" s="516">
        <f t="shared" ca="1" si="22"/>
        <v>1.5763062953072517E-3</v>
      </c>
      <c r="AT415" s="516">
        <f t="shared" ca="1" si="14"/>
        <v>2.4888104999700619E-2</v>
      </c>
      <c r="AU415" s="516">
        <f t="shared" ca="1" si="15"/>
        <v>0.36788202664226172</v>
      </c>
      <c r="AV415" s="516">
        <f t="shared" ca="1" si="16"/>
        <v>6.6990312500603971E-2</v>
      </c>
    </row>
    <row r="416" spans="1:48" ht="10.5" customHeight="1">
      <c r="A416" s="96">
        <v>405</v>
      </c>
      <c r="B416" s="68" t="s">
        <v>555</v>
      </c>
      <c r="C416" s="97">
        <v>0.4</v>
      </c>
      <c r="D416" s="69" t="s">
        <v>66</v>
      </c>
      <c r="E416" s="136"/>
      <c r="F416" s="154"/>
      <c r="G416" s="154"/>
      <c r="H416" s="154"/>
      <c r="I416" s="154">
        <v>2.3579999999999999E-3</v>
      </c>
      <c r="J416" s="154"/>
      <c r="K416" s="154">
        <v>4.816E-3</v>
      </c>
      <c r="L416" s="154">
        <v>7.6169999999999996E-3</v>
      </c>
      <c r="M416" s="154"/>
      <c r="N416" s="137" cm="1">
        <f t="array" aca="1" ref="N416:AE416" ca="1">IF(OR(B416="",NOT($J$2)),"",GetStripDefaultProbability(A416,B416,Parameter_Date,CDSRollDate,E416:M416,SpreadCurveMaturities,D416,C416,$J$4,$J$6))</f>
        <v>0</v>
      </c>
      <c r="O416" s="155">
        <f ca="1"/>
        <v>0</v>
      </c>
      <c r="P416" s="155">
        <f ca="1"/>
        <v>0</v>
      </c>
      <c r="Q416" s="155">
        <f ca="1"/>
        <v>0</v>
      </c>
      <c r="R416" s="155">
        <f ca="1"/>
        <v>1.2050624272797239E-2</v>
      </c>
      <c r="S416" s="155">
        <f ca="1"/>
        <v>0</v>
      </c>
      <c r="T416" s="155">
        <f ca="1"/>
        <v>4.0603254581897508E-2</v>
      </c>
      <c r="U416" s="155">
        <f ca="1"/>
        <v>8.9122823650853222E-2</v>
      </c>
      <c r="V416" s="138">
        <f ca="1"/>
        <v>0</v>
      </c>
      <c r="W416" s="137">
        <f ca="1"/>
        <v>0</v>
      </c>
      <c r="X416" s="155">
        <f ca="1"/>
        <v>0</v>
      </c>
      <c r="Y416" s="155">
        <f ca="1"/>
        <v>0</v>
      </c>
      <c r="Z416" s="155">
        <f ca="1"/>
        <v>0</v>
      </c>
      <c r="AA416" s="155">
        <f ca="1"/>
        <v>1.2544475487601958E-2</v>
      </c>
      <c r="AB416" s="155">
        <f ca="1"/>
        <v>0</v>
      </c>
      <c r="AC416" s="155">
        <f ca="1"/>
        <v>4.142236648615738E-2</v>
      </c>
      <c r="AD416" s="155">
        <f ca="1"/>
        <v>9.0214208961787112E-2</v>
      </c>
      <c r="AE416" s="138">
        <f ca="1"/>
        <v>0</v>
      </c>
      <c r="AG416" s="135"/>
      <c r="AH416" s="135">
        <v>1.7680000000000001E-2</v>
      </c>
      <c r="AI416" s="135">
        <v>2.5177000000000001E-2</v>
      </c>
      <c r="AJ416" s="135">
        <v>3.0232999999999999E-2</v>
      </c>
      <c r="AK416" s="135"/>
      <c r="AL416" s="135">
        <f t="shared" ca="1" si="17"/>
        <v>1.3800483584572825E-2</v>
      </c>
      <c r="AM416" s="135">
        <f t="shared" ca="1" si="18"/>
        <v>2.9292173485935488E-2</v>
      </c>
      <c r="AN416" s="135">
        <f t="shared" ca="1" si="19"/>
        <v>5.1227066982627273E-2</v>
      </c>
      <c r="AP416" s="516">
        <f t="shared" ca="1" si="20"/>
        <v>3.6358202585151777E-3</v>
      </c>
      <c r="AQ416" s="516">
        <f t="shared" ca="1" si="21"/>
        <v>7.0792045590263005E-3</v>
      </c>
      <c r="AR416" s="516">
        <f t="shared" ca="1" si="22"/>
        <v>1.2191473068821729E-2</v>
      </c>
      <c r="AT416" s="516">
        <f t="shared" ca="1" si="14"/>
        <v>0.25883629199688646</v>
      </c>
      <c r="AU416" s="516">
        <f t="shared" ca="1" si="15"/>
        <v>0.35137199486996296</v>
      </c>
      <c r="AV416" s="516">
        <f t="shared" ca="1" si="16"/>
        <v>0.51811668401912503</v>
      </c>
    </row>
    <row r="417" spans="1:48" ht="10.5" customHeight="1">
      <c r="A417" s="96">
        <v>406</v>
      </c>
      <c r="B417" s="68" t="s">
        <v>556</v>
      </c>
      <c r="C417" s="97">
        <v>0.4</v>
      </c>
      <c r="D417" s="69" t="s">
        <v>66</v>
      </c>
      <c r="E417" s="136"/>
      <c r="F417" s="154"/>
      <c r="G417" s="154"/>
      <c r="H417" s="154"/>
      <c r="I417" s="154">
        <v>2.2920000000000002E-3</v>
      </c>
      <c r="J417" s="154"/>
      <c r="K417" s="154">
        <v>3.6840000000000002E-3</v>
      </c>
      <c r="L417" s="154">
        <v>5.0730000000000003E-3</v>
      </c>
      <c r="M417" s="154"/>
      <c r="N417" s="137" cm="1">
        <f t="array" aca="1" ref="N417:AE417" ca="1">IF(OR(B417="",NOT($J$2)),"",GetStripDefaultProbability(A417,B417,Parameter_Date,CDSRollDate,E417:M417,SpreadCurveMaturities,D417,C417,$J$4,$J$6))</f>
        <v>0</v>
      </c>
      <c r="O417" s="155">
        <f ca="1"/>
        <v>0</v>
      </c>
      <c r="P417" s="155">
        <f ca="1"/>
        <v>0</v>
      </c>
      <c r="Q417" s="155">
        <f ca="1"/>
        <v>0</v>
      </c>
      <c r="R417" s="155">
        <f ca="1"/>
        <v>1.1715279642435128E-2</v>
      </c>
      <c r="S417" s="155">
        <f ca="1"/>
        <v>0</v>
      </c>
      <c r="T417" s="155">
        <f ca="1"/>
        <v>3.1100687947850036E-2</v>
      </c>
      <c r="U417" s="155">
        <f ca="1"/>
        <v>5.9652201586042897E-2</v>
      </c>
      <c r="V417" s="138">
        <f ca="1"/>
        <v>0</v>
      </c>
      <c r="W417" s="137">
        <f ca="1"/>
        <v>0</v>
      </c>
      <c r="X417" s="155">
        <f ca="1"/>
        <v>0</v>
      </c>
      <c r="Y417" s="155">
        <f ca="1"/>
        <v>0</v>
      </c>
      <c r="Z417" s="155">
        <f ca="1"/>
        <v>0</v>
      </c>
      <c r="AA417" s="155">
        <f ca="1"/>
        <v>1.2209298487596887E-2</v>
      </c>
      <c r="AB417" s="155">
        <f ca="1"/>
        <v>0</v>
      </c>
      <c r="AC417" s="155">
        <f ca="1"/>
        <v>3.1928030125500606E-2</v>
      </c>
      <c r="AD417" s="155">
        <f ca="1"/>
        <v>6.078006880458664E-2</v>
      </c>
      <c r="AE417" s="138">
        <f ca="1"/>
        <v>0</v>
      </c>
      <c r="AG417" s="135"/>
      <c r="AH417" s="135">
        <v>1.828E-3</v>
      </c>
      <c r="AI417" s="135">
        <v>3.0709999999999999E-3</v>
      </c>
      <c r="AJ417" s="135">
        <v>4.3569999999999998E-3</v>
      </c>
      <c r="AK417" s="135"/>
      <c r="AL417" s="135">
        <f t="shared" ca="1" si="17"/>
        <v>1.4268825787669187E-3</v>
      </c>
      <c r="AM417" s="135">
        <f t="shared" ca="1" si="18"/>
        <v>3.5729540761531508E-3</v>
      </c>
      <c r="AN417" s="135">
        <f t="shared" ca="1" si="19"/>
        <v>7.3825399676944736E-3</v>
      </c>
      <c r="AP417" s="516">
        <f t="shared" ca="1" si="20"/>
        <v>3.7592078238494027E-4</v>
      </c>
      <c r="AQ417" s="516">
        <f t="shared" ca="1" si="21"/>
        <v>8.6349593679825901E-4</v>
      </c>
      <c r="AR417" s="516">
        <f t="shared" ca="1" si="22"/>
        <v>1.756962529714427E-3</v>
      </c>
      <c r="AT417" s="516">
        <f t="shared" ca="1" si="14"/>
        <v>2.6762032905560434E-2</v>
      </c>
      <c r="AU417" s="516">
        <f t="shared" ca="1" si="15"/>
        <v>4.285909346807229E-2</v>
      </c>
      <c r="AV417" s="516">
        <f t="shared" ca="1" si="16"/>
        <v>7.4667892444392814E-2</v>
      </c>
    </row>
    <row r="418" spans="1:48" ht="10.5" customHeight="1">
      <c r="A418" s="96">
        <v>407</v>
      </c>
      <c r="B418" s="68" t="s">
        <v>564</v>
      </c>
      <c r="C418" s="97">
        <v>0.4</v>
      </c>
      <c r="D418" s="69" t="s">
        <v>66</v>
      </c>
      <c r="E418" s="136"/>
      <c r="F418" s="154"/>
      <c r="G418" s="154"/>
      <c r="H418" s="154"/>
      <c r="I418" s="154">
        <v>1.598E-3</v>
      </c>
      <c r="J418" s="154"/>
      <c r="K418" s="154">
        <v>2.627E-3</v>
      </c>
      <c r="L418" s="154">
        <v>3.8070000000000001E-3</v>
      </c>
      <c r="M418" s="154"/>
      <c r="N418" s="137" cm="1">
        <f t="array" aca="1" ref="N418:AE418" ca="1">IF(OR(B418="",NOT($J$2)),"",GetStripDefaultProbability(A418,B418,Parameter_Date,CDSRollDate,E418:M418,SpreadCurveMaturities,D418,C418,$J$4,$J$6))</f>
        <v>0</v>
      </c>
      <c r="O418" s="155">
        <f ca="1"/>
        <v>0</v>
      </c>
      <c r="P418" s="155">
        <f ca="1"/>
        <v>0</v>
      </c>
      <c r="Q418" s="155">
        <f ca="1"/>
        <v>0</v>
      </c>
      <c r="R418" s="155">
        <f ca="1"/>
        <v>8.1823077542686473E-3</v>
      </c>
      <c r="S418" s="155">
        <f ca="1"/>
        <v>0</v>
      </c>
      <c r="T418" s="155">
        <f ca="1"/>
        <v>2.2257539516396974E-2</v>
      </c>
      <c r="U418" s="155">
        <f ca="1"/>
        <v>4.5062976035121105E-2</v>
      </c>
      <c r="V418" s="138">
        <f ca="1"/>
        <v>0</v>
      </c>
      <c r="W418" s="137">
        <f ca="1"/>
        <v>0</v>
      </c>
      <c r="X418" s="155">
        <f ca="1"/>
        <v>0</v>
      </c>
      <c r="Y418" s="155">
        <f ca="1"/>
        <v>0</v>
      </c>
      <c r="Z418" s="155">
        <f ca="1"/>
        <v>0</v>
      </c>
      <c r="AA418" s="155">
        <f ca="1"/>
        <v>8.6780926438583261E-3</v>
      </c>
      <c r="AB418" s="155">
        <f ca="1"/>
        <v>0</v>
      </c>
      <c r="AC418" s="155">
        <f ca="1"/>
        <v>2.3092534186329172E-2</v>
      </c>
      <c r="AD418" s="155">
        <f ca="1"/>
        <v>4.6208227214819098E-2</v>
      </c>
      <c r="AE418" s="138">
        <f ca="1"/>
        <v>0</v>
      </c>
      <c r="AG418" s="135"/>
      <c r="AH418" s="135">
        <v>1.338E-3</v>
      </c>
      <c r="AI418" s="135">
        <v>2.0349999999999999E-3</v>
      </c>
      <c r="AJ418" s="135">
        <v>2.843E-3</v>
      </c>
      <c r="AK418" s="135"/>
      <c r="AL418" s="135">
        <f t="shared" ca="1" si="17"/>
        <v>1.044403112904889E-3</v>
      </c>
      <c r="AM418" s="135">
        <f t="shared" ca="1" si="18"/>
        <v>2.3676201709448589E-3</v>
      </c>
      <c r="AN418" s="135">
        <f t="shared" ca="1" si="19"/>
        <v>4.8172047574375461E-3</v>
      </c>
      <c r="AP418" s="516">
        <f t="shared" ca="1" si="20"/>
        <v>2.7515427069532282E-4</v>
      </c>
      <c r="AQ418" s="516">
        <f t="shared" ca="1" si="21"/>
        <v>5.7219610269764148E-4</v>
      </c>
      <c r="AR418" s="516">
        <f t="shared" ca="1" si="22"/>
        <v>1.1464412375437494E-3</v>
      </c>
      <c r="AT418" s="516">
        <f t="shared" ca="1" si="14"/>
        <v>1.9588402640940843E-2</v>
      </c>
      <c r="AU418" s="516">
        <f t="shared" ca="1" si="15"/>
        <v>2.8400604105349107E-2</v>
      </c>
      <c r="AV418" s="516">
        <f t="shared" ca="1" si="16"/>
        <v>4.8721785223642136E-2</v>
      </c>
    </row>
    <row r="419" spans="1:48" ht="10.5" customHeight="1">
      <c r="A419" s="96">
        <v>408</v>
      </c>
      <c r="B419" s="68" t="s">
        <v>557</v>
      </c>
      <c r="C419" s="97">
        <v>0.4</v>
      </c>
      <c r="D419" s="69" t="s">
        <v>66</v>
      </c>
      <c r="E419" s="136"/>
      <c r="F419" s="154"/>
      <c r="G419" s="154"/>
      <c r="H419" s="154"/>
      <c r="I419" s="154">
        <v>4.0590000000000001E-3</v>
      </c>
      <c r="J419" s="154"/>
      <c r="K419" s="154">
        <v>6.953E-3</v>
      </c>
      <c r="L419" s="154">
        <v>1.0121E-2</v>
      </c>
      <c r="M419" s="154"/>
      <c r="N419" s="137" cm="1">
        <f t="array" aca="1" ref="N419:AE419" ca="1">IF(OR(B419="",NOT($J$2)),"",GetStripDefaultProbability(A419,B419,Parameter_Date,CDSRollDate,E419:M419,SpreadCurveMaturities,D419,C419,$J$4,$J$6))</f>
        <v>0</v>
      </c>
      <c r="O419" s="155">
        <f ca="1"/>
        <v>0</v>
      </c>
      <c r="P419" s="155">
        <f ca="1"/>
        <v>0</v>
      </c>
      <c r="Q419" s="155">
        <f ca="1"/>
        <v>0</v>
      </c>
      <c r="R419" s="155">
        <f ca="1"/>
        <v>2.0655015956980716E-2</v>
      </c>
      <c r="S419" s="155">
        <f ca="1"/>
        <v>0</v>
      </c>
      <c r="T419" s="155">
        <f ca="1"/>
        <v>5.8130320646625822E-2</v>
      </c>
      <c r="U419" s="155">
        <f ca="1"/>
        <v>0.11679672810762287</v>
      </c>
      <c r="V419" s="138">
        <f ca="1"/>
        <v>0</v>
      </c>
      <c r="W419" s="137">
        <f ca="1"/>
        <v>0</v>
      </c>
      <c r="X419" s="155">
        <f ca="1"/>
        <v>0</v>
      </c>
      <c r="Y419" s="155">
        <f ca="1"/>
        <v>0</v>
      </c>
      <c r="Z419" s="155">
        <f ca="1"/>
        <v>0</v>
      </c>
      <c r="AA419" s="155">
        <f ca="1"/>
        <v>2.1144566051244595E-2</v>
      </c>
      <c r="AB419" s="155">
        <f ca="1"/>
        <v>0</v>
      </c>
      <c r="AC419" s="155">
        <f ca="1"/>
        <v>5.8914885098825476E-2</v>
      </c>
      <c r="AD419" s="155">
        <f ca="1"/>
        <v>0.11787520675699659</v>
      </c>
      <c r="AE419" s="138">
        <f ca="1"/>
        <v>0</v>
      </c>
      <c r="AG419" s="135"/>
      <c r="AH419" s="135">
        <v>4.5620000000000001E-3</v>
      </c>
      <c r="AI419" s="135">
        <v>7.5360000000000002E-3</v>
      </c>
      <c r="AJ419" s="135">
        <v>1.0989000000000001E-2</v>
      </c>
      <c r="AK419" s="135"/>
      <c r="AL419" s="135">
        <f t="shared" ca="1" si="17"/>
        <v>3.5609618842093451E-3</v>
      </c>
      <c r="AM419" s="135">
        <f t="shared" ca="1" si="18"/>
        <v>8.7677570556464156E-3</v>
      </c>
      <c r="AN419" s="135">
        <f t="shared" ca="1" si="19"/>
        <v>1.8619860386732745E-2</v>
      </c>
      <c r="AP419" s="516">
        <f t="shared" ca="1" si="20"/>
        <v>9.3815678842456109E-4</v>
      </c>
      <c r="AQ419" s="516">
        <f t="shared" ca="1" si="21"/>
        <v>2.1189532333805538E-3</v>
      </c>
      <c r="AR419" s="516">
        <f t="shared" ca="1" si="22"/>
        <v>4.4313199997777922E-3</v>
      </c>
      <c r="AT419" s="516">
        <f t="shared" ca="1" si="14"/>
        <v>6.678796176978484E-2</v>
      </c>
      <c r="AU419" s="516">
        <f t="shared" ca="1" si="15"/>
        <v>0.10517294965007906</v>
      </c>
      <c r="AV419" s="516">
        <f t="shared" ca="1" si="16"/>
        <v>0.18832349554083835</v>
      </c>
    </row>
    <row r="420" spans="1:48" ht="10.5" customHeight="1">
      <c r="A420" s="96">
        <v>409</v>
      </c>
      <c r="B420" s="68" t="s">
        <v>558</v>
      </c>
      <c r="C420" s="97">
        <v>0.4</v>
      </c>
      <c r="D420" s="69" t="s">
        <v>66</v>
      </c>
      <c r="E420" s="136"/>
      <c r="F420" s="154"/>
      <c r="G420" s="154"/>
      <c r="H420" s="154"/>
      <c r="I420" s="154">
        <v>3.114E-3</v>
      </c>
      <c r="J420" s="154"/>
      <c r="K420" s="154">
        <v>5.1929999999999997E-3</v>
      </c>
      <c r="L420" s="154">
        <v>7.737E-3</v>
      </c>
      <c r="M420" s="154"/>
      <c r="N420" s="137" cm="1">
        <f t="array" aca="1" ref="N420:AE420" ca="1">IF(OR(B420="",NOT($J$2)),"",GetStripDefaultProbability(A420,B420,Parameter_Date,CDSRollDate,E420:M420,SpreadCurveMaturities,D420,C420,$J$4,$J$6))</f>
        <v>0</v>
      </c>
      <c r="O420" s="155">
        <f ca="1"/>
        <v>0</v>
      </c>
      <c r="P420" s="155">
        <f ca="1"/>
        <v>0</v>
      </c>
      <c r="Q420" s="155">
        <f ca="1"/>
        <v>0</v>
      </c>
      <c r="R420" s="155">
        <f ca="1"/>
        <v>1.5883895894250544E-2</v>
      </c>
      <c r="S420" s="155">
        <f ca="1"/>
        <v>0</v>
      </c>
      <c r="T420" s="155">
        <f ca="1"/>
        <v>4.3643799459180732E-2</v>
      </c>
      <c r="U420" s="155">
        <f ca="1"/>
        <v>9.0213632827677803E-2</v>
      </c>
      <c r="V420" s="138">
        <f ca="1"/>
        <v>0</v>
      </c>
      <c r="W420" s="137">
        <f ca="1"/>
        <v>0</v>
      </c>
      <c r="X420" s="155">
        <f ca="1"/>
        <v>0</v>
      </c>
      <c r="Y420" s="155">
        <f ca="1"/>
        <v>0</v>
      </c>
      <c r="Z420" s="155">
        <f ca="1"/>
        <v>0</v>
      </c>
      <c r="AA420" s="155">
        <f ca="1"/>
        <v>1.637583095227646E-2</v>
      </c>
      <c r="AB420" s="155">
        <f ca="1"/>
        <v>0</v>
      </c>
      <c r="AC420" s="155">
        <f ca="1"/>
        <v>4.4459652383454284E-2</v>
      </c>
      <c r="AD420" s="155">
        <f ca="1"/>
        <v>9.1302709229174939E-2</v>
      </c>
      <c r="AE420" s="138">
        <f ca="1"/>
        <v>0</v>
      </c>
      <c r="AG420" s="135"/>
      <c r="AH420" s="135">
        <v>2.6589999999999999E-3</v>
      </c>
      <c r="AI420" s="135">
        <v>4.2420000000000001E-3</v>
      </c>
      <c r="AJ420" s="135">
        <v>5.659E-3</v>
      </c>
      <c r="AK420" s="135"/>
      <c r="AL420" s="135">
        <f t="shared" ca="1" si="17"/>
        <v>2.0755365300553809E-3</v>
      </c>
      <c r="AM420" s="135">
        <f t="shared" ca="1" si="18"/>
        <v>4.935353692947465E-3</v>
      </c>
      <c r="AN420" s="135">
        <f t="shared" ca="1" si="19"/>
        <v>9.588660472155848E-3</v>
      </c>
      <c r="AP420" s="516">
        <f t="shared" ca="1" si="20"/>
        <v>5.4681256037284257E-4</v>
      </c>
      <c r="AQ420" s="516">
        <f t="shared" ca="1" si="21"/>
        <v>1.1927547261146906E-3</v>
      </c>
      <c r="AR420" s="516">
        <f t="shared" ca="1" si="22"/>
        <v>2.2819947109602805E-3</v>
      </c>
      <c r="AT420" s="516">
        <f t="shared" ca="1" si="14"/>
        <v>3.8927924231884674E-2</v>
      </c>
      <c r="AU420" s="516">
        <f t="shared" ca="1" si="15"/>
        <v>5.9201652390609795E-2</v>
      </c>
      <c r="AV420" s="516">
        <f t="shared" ca="1" si="16"/>
        <v>9.6980859156029137E-2</v>
      </c>
    </row>
    <row r="421" spans="1:48" ht="10.5" customHeight="1">
      <c r="A421" s="96">
        <v>410</v>
      </c>
      <c r="B421" s="68" t="s">
        <v>559</v>
      </c>
      <c r="C421" s="97">
        <v>0.4</v>
      </c>
      <c r="D421" s="69" t="s">
        <v>66</v>
      </c>
      <c r="E421" s="136"/>
      <c r="F421" s="154"/>
      <c r="G421" s="154"/>
      <c r="H421" s="154"/>
      <c r="I421" s="154">
        <v>1.8439999999999999E-3</v>
      </c>
      <c r="J421" s="154"/>
      <c r="K421" s="154">
        <v>2.6050000000000001E-3</v>
      </c>
      <c r="L421" s="154">
        <v>3.6050000000000001E-3</v>
      </c>
      <c r="M421" s="154"/>
      <c r="N421" s="137" cm="1">
        <f t="array" aca="1" ref="N421:AE421" ca="1">IF(OR(B421="",NOT($J$2)),"",GetStripDefaultProbability(A421,B421,Parameter_Date,CDSRollDate,E421:M421,SpreadCurveMaturities,D421,C421,$J$4,$J$6))</f>
        <v>0</v>
      </c>
      <c r="O421" s="155">
        <f ca="1"/>
        <v>0</v>
      </c>
      <c r="P421" s="155">
        <f ca="1"/>
        <v>0</v>
      </c>
      <c r="Q421" s="155">
        <f ca="1"/>
        <v>0</v>
      </c>
      <c r="R421" s="155">
        <f ca="1"/>
        <v>9.4360461011460117E-3</v>
      </c>
      <c r="S421" s="155">
        <f ca="1"/>
        <v>0</v>
      </c>
      <c r="T421" s="155">
        <f ca="1"/>
        <v>2.2046200579982522E-2</v>
      </c>
      <c r="U421" s="155">
        <f ca="1"/>
        <v>4.2631785279651613E-2</v>
      </c>
      <c r="V421" s="138">
        <f ca="1"/>
        <v>0</v>
      </c>
      <c r="W421" s="137">
        <f ca="1"/>
        <v>0</v>
      </c>
      <c r="X421" s="155">
        <f ca="1"/>
        <v>0</v>
      </c>
      <c r="Y421" s="155">
        <f ca="1"/>
        <v>0</v>
      </c>
      <c r="Z421" s="155">
        <f ca="1"/>
        <v>0</v>
      </c>
      <c r="AA421" s="155">
        <f ca="1"/>
        <v>9.9312042782546683E-3</v>
      </c>
      <c r="AB421" s="155">
        <f ca="1"/>
        <v>0</v>
      </c>
      <c r="AC421" s="155">
        <f ca="1"/>
        <v>2.2880970579016169E-2</v>
      </c>
      <c r="AD421" s="155">
        <f ca="1"/>
        <v>4.3778949286438773E-2</v>
      </c>
      <c r="AE421" s="138">
        <f ca="1"/>
        <v>0</v>
      </c>
      <c r="AG421" s="135"/>
      <c r="AH421" s="135">
        <v>1.866E-3</v>
      </c>
      <c r="AI421" s="135">
        <v>3.0259999999999999E-2</v>
      </c>
      <c r="AJ421" s="135">
        <v>4.2849999999999997E-3</v>
      </c>
      <c r="AK421" s="135"/>
      <c r="AL421" s="135">
        <f t="shared" ca="1" si="17"/>
        <v>1.4565442516296884E-3</v>
      </c>
      <c r="AM421" s="135">
        <f t="shared" ca="1" si="18"/>
        <v>3.52059883895781E-2</v>
      </c>
      <c r="AN421" s="135">
        <f t="shared" ca="1" si="19"/>
        <v>7.260542520443153E-3</v>
      </c>
      <c r="AP421" s="516">
        <f t="shared" ca="1" si="20"/>
        <v>3.8373532818944124E-4</v>
      </c>
      <c r="AQ421" s="516">
        <f t="shared" ca="1" si="21"/>
        <v>8.5084295172632093E-3</v>
      </c>
      <c r="AR421" s="516">
        <f t="shared" ca="1" si="22"/>
        <v>1.7279284920418453E-3</v>
      </c>
      <c r="AT421" s="516">
        <f t="shared" ca="1" si="14"/>
        <v>2.7318355252612565E-2</v>
      </c>
      <c r="AU421" s="516">
        <f t="shared" ca="1" si="15"/>
        <v>0.4223107028146752</v>
      </c>
      <c r="AV421" s="516">
        <f t="shared" ca="1" si="16"/>
        <v>7.3433995667712457E-2</v>
      </c>
    </row>
    <row r="422" spans="1:48" ht="10.5" customHeight="1">
      <c r="A422" s="96">
        <v>411</v>
      </c>
      <c r="B422" s="68" t="s">
        <v>565</v>
      </c>
      <c r="C422" s="97">
        <v>0.4</v>
      </c>
      <c r="D422" s="69" t="s">
        <v>66</v>
      </c>
      <c r="E422" s="136"/>
      <c r="F422" s="154"/>
      <c r="G422" s="154"/>
      <c r="H422" s="154"/>
      <c r="I422" s="154">
        <v>2.9399999999999999E-3</v>
      </c>
      <c r="J422" s="154"/>
      <c r="K422" s="154">
        <v>5.1380000000000002E-3</v>
      </c>
      <c r="L422" s="154">
        <v>7.4939999999999998E-3</v>
      </c>
      <c r="M422" s="154"/>
      <c r="N422" s="137" cm="1">
        <f t="array" aca="1" ref="N422:AE422" ca="1">IF(OR(B422="",NOT($J$2)),"",GetStripDefaultProbability(A422,B422,Parameter_Date,CDSRollDate,E422:M422,SpreadCurveMaturities,D422,C422,$J$4,$J$6))</f>
        <v>0</v>
      </c>
      <c r="O422" s="155">
        <f ca="1"/>
        <v>0</v>
      </c>
      <c r="P422" s="155">
        <f ca="1"/>
        <v>0</v>
      </c>
      <c r="Q422" s="155">
        <f ca="1"/>
        <v>0</v>
      </c>
      <c r="R422" s="155">
        <f ca="1"/>
        <v>1.5002928162809459E-2</v>
      </c>
      <c r="S422" s="155">
        <f ca="1"/>
        <v>0</v>
      </c>
      <c r="T422" s="155">
        <f ca="1"/>
        <v>4.3211162953831761E-2</v>
      </c>
      <c r="U422" s="155">
        <f ca="1"/>
        <v>8.7436930898892817E-2</v>
      </c>
      <c r="V422" s="138">
        <f ca="1"/>
        <v>0</v>
      </c>
      <c r="W422" s="137">
        <f ca="1"/>
        <v>0</v>
      </c>
      <c r="X422" s="155">
        <f ca="1"/>
        <v>0</v>
      </c>
      <c r="Y422" s="155">
        <f ca="1"/>
        <v>0</v>
      </c>
      <c r="Z422" s="155">
        <f ca="1"/>
        <v>0</v>
      </c>
      <c r="AA422" s="155">
        <f ca="1"/>
        <v>1.5495303594558307E-2</v>
      </c>
      <c r="AB422" s="155">
        <f ca="1"/>
        <v>0</v>
      </c>
      <c r="AC422" s="155">
        <f ca="1"/>
        <v>4.4027518094789331E-2</v>
      </c>
      <c r="AD422" s="155">
        <f ca="1"/>
        <v>8.8530224631079069E-2</v>
      </c>
      <c r="AE422" s="138">
        <f ca="1"/>
        <v>0</v>
      </c>
      <c r="AG422" s="135"/>
      <c r="AH422" s="135">
        <v>3.153E-3</v>
      </c>
      <c r="AI422" s="135">
        <v>4.9170000000000004E-3</v>
      </c>
      <c r="AJ422" s="135">
        <v>6.8279999999999999E-3</v>
      </c>
      <c r="AK422" s="135"/>
      <c r="AL422" s="135">
        <f t="shared" ca="1" si="17"/>
        <v>2.4611382772713863E-3</v>
      </c>
      <c r="AM422" s="135">
        <f t="shared" ca="1" si="18"/>
        <v>5.7206822508775786E-3</v>
      </c>
      <c r="AN422" s="135">
        <f t="shared" ca="1" si="19"/>
        <v>1.1569424581000199E-2</v>
      </c>
      <c r="AP422" s="516">
        <f t="shared" ca="1" si="20"/>
        <v>6.4840165583135488E-4</v>
      </c>
      <c r="AQ422" s="516">
        <f t="shared" ca="1" si="21"/>
        <v>1.382549502193761E-3</v>
      </c>
      <c r="AR422" s="516">
        <f t="shared" ca="1" si="22"/>
        <v>2.7533945726165043E-3</v>
      </c>
      <c r="AT422" s="516">
        <f t="shared" ca="1" si="14"/>
        <v>4.6160114743562387E-2</v>
      </c>
      <c r="AU422" s="516">
        <f t="shared" ca="1" si="15"/>
        <v>6.862200018968137E-2</v>
      </c>
      <c r="AV422" s="516">
        <f t="shared" ca="1" si="16"/>
        <v>0.11701454432185314</v>
      </c>
    </row>
    <row r="423" spans="1:48" ht="10.5" customHeight="1">
      <c r="A423" s="96">
        <v>412</v>
      </c>
      <c r="B423" s="68" t="s">
        <v>566</v>
      </c>
      <c r="C423" s="97">
        <v>0.4</v>
      </c>
      <c r="D423" s="69" t="s">
        <v>66</v>
      </c>
      <c r="E423" s="136"/>
      <c r="F423" s="154"/>
      <c r="G423" s="154"/>
      <c r="H423" s="154"/>
      <c r="I423" s="154">
        <v>3.604E-3</v>
      </c>
      <c r="J423" s="154"/>
      <c r="K423" s="154">
        <v>6.306E-3</v>
      </c>
      <c r="L423" s="154">
        <v>9.0629999999999999E-3</v>
      </c>
      <c r="M423" s="154"/>
      <c r="N423" s="137" cm="1">
        <f t="array" aca="1" ref="N423:AE423" ca="1">IF(OR(B423="",NOT($J$2)),"",GetStripDefaultProbability(A423,B423,Parameter_Date,CDSRollDate,E423:M423,SpreadCurveMaturities,D423,C423,$J$4,$J$6))</f>
        <v>0</v>
      </c>
      <c r="O423" s="155">
        <f ca="1"/>
        <v>0</v>
      </c>
      <c r="P423" s="155">
        <f ca="1"/>
        <v>0</v>
      </c>
      <c r="Q423" s="155">
        <f ca="1"/>
        <v>0</v>
      </c>
      <c r="R423" s="155">
        <f ca="1"/>
        <v>1.8360640187706667E-2</v>
      </c>
      <c r="S423" s="155">
        <f ca="1"/>
        <v>0</v>
      </c>
      <c r="T423" s="155">
        <f ca="1"/>
        <v>5.284233735248367E-2</v>
      </c>
      <c r="U423" s="155">
        <f ca="1"/>
        <v>0.10500852696028562</v>
      </c>
      <c r="V423" s="138">
        <f ca="1"/>
        <v>0</v>
      </c>
      <c r="W423" s="137">
        <f ca="1"/>
        <v>0</v>
      </c>
      <c r="X423" s="155">
        <f ca="1"/>
        <v>0</v>
      </c>
      <c r="Y423" s="155">
        <f ca="1"/>
        <v>0</v>
      </c>
      <c r="Z423" s="155">
        <f ca="1"/>
        <v>0</v>
      </c>
      <c r="AA423" s="155">
        <f ca="1"/>
        <v>1.8851337183151684E-2</v>
      </c>
      <c r="AB423" s="155">
        <f ca="1"/>
        <v>0</v>
      </c>
      <c r="AC423" s="155">
        <f ca="1"/>
        <v>5.364901291443358E-2</v>
      </c>
      <c r="AD423" s="155">
        <f ca="1"/>
        <v>0.1060975094142762</v>
      </c>
      <c r="AE423" s="138">
        <f ca="1"/>
        <v>0</v>
      </c>
      <c r="AG423" s="135"/>
      <c r="AH423" s="135">
        <v>6.7999999999999996E-3</v>
      </c>
      <c r="AI423" s="135">
        <v>1.1743E-2</v>
      </c>
      <c r="AJ423" s="135">
        <v>1.5325E-2</v>
      </c>
      <c r="AK423" s="135"/>
      <c r="AL423" s="135">
        <f t="shared" ca="1" si="17"/>
        <v>5.3078783017587779E-3</v>
      </c>
      <c r="AM423" s="135">
        <f t="shared" ca="1" si="18"/>
        <v>1.3662390008553061E-2</v>
      </c>
      <c r="AN423" s="135">
        <f t="shared" ca="1" si="19"/>
        <v>2.5966817765645585E-2</v>
      </c>
      <c r="AP423" s="516">
        <f t="shared" ca="1" si="20"/>
        <v>1.398392407121222E-3</v>
      </c>
      <c r="AQ423" s="516">
        <f t="shared" ca="1" si="21"/>
        <v>3.3018667488837368E-3</v>
      </c>
      <c r="AR423" s="516">
        <f t="shared" ca="1" si="22"/>
        <v>6.1798142685043833E-3</v>
      </c>
      <c r="AT423" s="516">
        <f t="shared" ca="1" si="14"/>
        <v>9.9552419998802474E-2</v>
      </c>
      <c r="AU423" s="516">
        <f t="shared" ca="1" si="15"/>
        <v>0.16388613956221848</v>
      </c>
      <c r="AV423" s="516">
        <f t="shared" ca="1" si="16"/>
        <v>0.26263150142536607</v>
      </c>
    </row>
    <row r="424" spans="1:48" ht="10.5" customHeight="1">
      <c r="A424" s="96">
        <v>413</v>
      </c>
      <c r="B424" s="68" t="s">
        <v>576</v>
      </c>
      <c r="C424" s="97">
        <v>0.4</v>
      </c>
      <c r="D424" s="69" t="s">
        <v>66</v>
      </c>
      <c r="E424" s="136"/>
      <c r="F424" s="154"/>
      <c r="G424" s="154"/>
      <c r="H424" s="154"/>
      <c r="I424" s="154">
        <v>2.4229999999999998E-3</v>
      </c>
      <c r="J424" s="154"/>
      <c r="K424" s="154">
        <v>3.9830000000000004E-3</v>
      </c>
      <c r="L424" s="154">
        <v>6.0039999999999998E-3</v>
      </c>
      <c r="M424" s="154"/>
      <c r="N424" s="137" cm="1">
        <f t="array" aca="1" ref="N424:AE424" ca="1">IF(OR(B424="",NOT($J$2)),"",GetStripDefaultProbability(A424,B424,Parameter_Date,CDSRollDate,E424:M424,SpreadCurveMaturities,D424,C424,$J$4,$J$6))</f>
        <v>0</v>
      </c>
      <c r="O424" s="155">
        <f ca="1"/>
        <v>0</v>
      </c>
      <c r="P424" s="155">
        <f ca="1"/>
        <v>0</v>
      </c>
      <c r="Q424" s="155">
        <f ca="1"/>
        <v>0</v>
      </c>
      <c r="R424" s="155">
        <f ca="1"/>
        <v>1.2380778819364502E-2</v>
      </c>
      <c r="S424" s="155">
        <f ca="1"/>
        <v>0</v>
      </c>
      <c r="T424" s="155">
        <f ca="1"/>
        <v>3.3599449723467845E-2</v>
      </c>
      <c r="U424" s="155">
        <f ca="1"/>
        <v>7.0508981999985232E-2</v>
      </c>
      <c r="V424" s="138">
        <f ca="1"/>
        <v>0</v>
      </c>
      <c r="W424" s="137">
        <f ca="1"/>
        <v>0</v>
      </c>
      <c r="X424" s="155">
        <f ca="1"/>
        <v>0</v>
      </c>
      <c r="Y424" s="155">
        <f ca="1"/>
        <v>0</v>
      </c>
      <c r="Z424" s="155">
        <f ca="1"/>
        <v>0</v>
      </c>
      <c r="AA424" s="155">
        <f ca="1"/>
        <v>1.2874464998129831E-2</v>
      </c>
      <c r="AB424" s="155">
        <f ca="1"/>
        <v>0</v>
      </c>
      <c r="AC424" s="155">
        <f ca="1"/>
        <v>3.4424624850888264E-2</v>
      </c>
      <c r="AD424" s="155">
        <f ca="1"/>
        <v>7.1623925796020171E-2</v>
      </c>
      <c r="AE424" s="138">
        <f ca="1"/>
        <v>0</v>
      </c>
      <c r="AG424" s="135"/>
      <c r="AH424" s="135">
        <v>1.8079999999999999E-3</v>
      </c>
      <c r="AI424" s="135">
        <v>3.0379999999999999E-3</v>
      </c>
      <c r="AJ424" s="135">
        <v>4.2700000000000004E-3</v>
      </c>
      <c r="AK424" s="135"/>
      <c r="AL424" s="135">
        <f t="shared" ca="1" si="17"/>
        <v>1.4112711719970398E-3</v>
      </c>
      <c r="AM424" s="135">
        <f t="shared" ca="1" si="18"/>
        <v>3.5345602355432342E-3</v>
      </c>
      <c r="AN424" s="135">
        <f t="shared" ca="1" si="19"/>
        <v>7.2351263855991287E-3</v>
      </c>
      <c r="AP424" s="516">
        <f t="shared" ca="1" si="20"/>
        <v>3.7180786354046612E-4</v>
      </c>
      <c r="AQ424" s="516">
        <f t="shared" ca="1" si="21"/>
        <v>8.5421708107883787E-4</v>
      </c>
      <c r="AR424" s="516">
        <f t="shared" ca="1" si="22"/>
        <v>1.7218797341933909E-3</v>
      </c>
      <c r="AT424" s="516">
        <f t="shared" ca="1" si="14"/>
        <v>2.6469231670269835E-2</v>
      </c>
      <c r="AU424" s="516">
        <f t="shared" ca="1" si="15"/>
        <v>4.2398543131228796E-2</v>
      </c>
      <c r="AV424" s="516">
        <f t="shared" ca="1" si="16"/>
        <v>7.3176933839237401E-2</v>
      </c>
    </row>
    <row r="425" spans="1:48" ht="10.5" customHeight="1">
      <c r="A425" s="96">
        <v>414</v>
      </c>
      <c r="B425" s="68" t="s">
        <v>616</v>
      </c>
      <c r="C425" s="97">
        <v>0.4</v>
      </c>
      <c r="D425" s="69" t="s">
        <v>66</v>
      </c>
      <c r="E425" s="136"/>
      <c r="F425" s="154"/>
      <c r="G425" s="154"/>
      <c r="H425" s="154"/>
      <c r="I425" s="154">
        <v>4.1190000000000003E-3</v>
      </c>
      <c r="J425" s="154"/>
      <c r="K425" s="154">
        <v>6.1469999999999997E-3</v>
      </c>
      <c r="L425" s="154">
        <v>8.4799999999999997E-3</v>
      </c>
      <c r="M425" s="154"/>
      <c r="N425" s="137" cm="1">
        <f t="array" aca="1" ref="N425:AE425" ca="1">IF(OR(B425="",NOT($J$2)),"",GetStripDefaultProbability(A425,B425,Parameter_Date,CDSRollDate,E425:M425,SpreadCurveMaturities,D425,C425,$J$4,$J$6))</f>
        <v>0</v>
      </c>
      <c r="O425" s="155">
        <f ca="1"/>
        <v>0</v>
      </c>
      <c r="P425" s="155">
        <f ca="1"/>
        <v>0</v>
      </c>
      <c r="Q425" s="155">
        <f ca="1"/>
        <v>0</v>
      </c>
      <c r="R425" s="155">
        <f ca="1"/>
        <v>2.0957179740438092E-2</v>
      </c>
      <c r="S425" s="155">
        <f ca="1"/>
        <v>0</v>
      </c>
      <c r="T425" s="155">
        <f ca="1"/>
        <v>5.1428000156779063E-2</v>
      </c>
      <c r="U425" s="155">
        <f ca="1"/>
        <v>9.8232855358129534E-2</v>
      </c>
      <c r="V425" s="138">
        <f ca="1"/>
        <v>0</v>
      </c>
      <c r="W425" s="137">
        <f ca="1"/>
        <v>0</v>
      </c>
      <c r="X425" s="155">
        <f ca="1"/>
        <v>0</v>
      </c>
      <c r="Y425" s="155">
        <f ca="1"/>
        <v>0</v>
      </c>
      <c r="Z425" s="155">
        <f ca="1"/>
        <v>0</v>
      </c>
      <c r="AA425" s="155">
        <f ca="1"/>
        <v>2.1446578790553783E-2</v>
      </c>
      <c r="AB425" s="155">
        <f ca="1"/>
        <v>0</v>
      </c>
      <c r="AC425" s="155">
        <f ca="1"/>
        <v>5.2235984713399852E-2</v>
      </c>
      <c r="AD425" s="155">
        <f ca="1"/>
        <v>9.9310496899951084E-2</v>
      </c>
      <c r="AE425" s="138">
        <f ca="1"/>
        <v>0</v>
      </c>
      <c r="AG425" s="135"/>
      <c r="AH425" s="135">
        <v>1.957E-3</v>
      </c>
      <c r="AI425" s="135">
        <v>2.7009999999999998E-3</v>
      </c>
      <c r="AJ425" s="135">
        <v>3.7780000000000001E-3</v>
      </c>
      <c r="AK425" s="135"/>
      <c r="AL425" s="135">
        <f t="shared" ca="1" si="17"/>
        <v>1.5275761524326365E-3</v>
      </c>
      <c r="AM425" s="135">
        <f t="shared" ca="1" si="18"/>
        <v>3.1424776814359037E-3</v>
      </c>
      <c r="AN425" s="135">
        <f t="shared" ca="1" si="19"/>
        <v>6.401477162715107E-3</v>
      </c>
      <c r="AP425" s="516">
        <f t="shared" ca="1" si="20"/>
        <v>4.0244910893179878E-4</v>
      </c>
      <c r="AQ425" s="516">
        <f t="shared" ca="1" si="21"/>
        <v>7.5946028176232419E-4</v>
      </c>
      <c r="AR425" s="516">
        <f t="shared" ca="1" si="22"/>
        <v>1.5234804767640822E-3</v>
      </c>
      <c r="AT425" s="516">
        <f t="shared" ca="1" si="14"/>
        <v>2.8650600873184773E-2</v>
      </c>
      <c r="AU425" s="516">
        <f t="shared" ca="1" si="15"/>
        <v>3.7695347267099728E-2</v>
      </c>
      <c r="AV425" s="516">
        <f t="shared" ca="1" si="16"/>
        <v>6.474530586525501E-2</v>
      </c>
    </row>
    <row r="426" spans="1:48" ht="10.5" customHeight="1">
      <c r="A426" s="96">
        <v>415</v>
      </c>
      <c r="B426" s="68" t="s">
        <v>567</v>
      </c>
      <c r="C426" s="97">
        <v>0.4</v>
      </c>
      <c r="D426" s="69" t="s">
        <v>66</v>
      </c>
      <c r="E426" s="136"/>
      <c r="F426" s="154"/>
      <c r="G426" s="154"/>
      <c r="H426" s="154"/>
      <c r="I426" s="154">
        <v>4.1130000000000003E-3</v>
      </c>
      <c r="J426" s="154"/>
      <c r="K426" s="154">
        <v>6.5919999999999998E-3</v>
      </c>
      <c r="L426" s="154">
        <v>9.4090000000000007E-3</v>
      </c>
      <c r="M426" s="154"/>
      <c r="N426" s="137" cm="1">
        <f t="array" aca="1" ref="N426:AE426" ca="1">IF(OR(B426="",NOT($J$2)),"",GetStripDefaultProbability(A426,B426,Parameter_Date,CDSRollDate,E426:M426,SpreadCurveMaturities,D426,C426,$J$4,$J$6))</f>
        <v>0</v>
      </c>
      <c r="O426" s="155">
        <f ca="1"/>
        <v>0</v>
      </c>
      <c r="P426" s="155">
        <f ca="1"/>
        <v>0</v>
      </c>
      <c r="Q426" s="155">
        <f ca="1"/>
        <v>0</v>
      </c>
      <c r="R426" s="155">
        <f ca="1"/>
        <v>2.0926967459371837E-2</v>
      </c>
      <c r="S426" s="155">
        <f ca="1"/>
        <v>0</v>
      </c>
      <c r="T426" s="155">
        <f ca="1"/>
        <v>5.5125290629602031E-2</v>
      </c>
      <c r="U426" s="155">
        <f ca="1"/>
        <v>0.10875497481611729</v>
      </c>
      <c r="V426" s="138">
        <f ca="1"/>
        <v>0</v>
      </c>
      <c r="W426" s="137">
        <f ca="1"/>
        <v>0</v>
      </c>
      <c r="X426" s="155">
        <f ca="1"/>
        <v>0</v>
      </c>
      <c r="Y426" s="155">
        <f ca="1"/>
        <v>0</v>
      </c>
      <c r="Z426" s="155">
        <f ca="1"/>
        <v>0</v>
      </c>
      <c r="AA426" s="155">
        <f ca="1"/>
        <v>2.1416381611878421E-2</v>
      </c>
      <c r="AB426" s="155">
        <f ca="1"/>
        <v>0</v>
      </c>
      <c r="AC426" s="155">
        <f ca="1"/>
        <v>5.5912358230344461E-2</v>
      </c>
      <c r="AD426" s="155">
        <f ca="1"/>
        <v>0.10984025176483647</v>
      </c>
      <c r="AE426" s="138">
        <f ca="1"/>
        <v>0</v>
      </c>
      <c r="AG426" s="135"/>
      <c r="AH426" s="135">
        <v>2.3579999999999999E-3</v>
      </c>
      <c r="AI426" s="135">
        <v>4.816E-3</v>
      </c>
      <c r="AJ426" s="135">
        <v>7.6169999999999996E-3</v>
      </c>
      <c r="AK426" s="135"/>
      <c r="AL426" s="135">
        <f t="shared" ca="1" si="17"/>
        <v>1.8405848581687057E-3</v>
      </c>
      <c r="AM426" s="135">
        <f t="shared" ca="1" si="18"/>
        <v>5.6031738296169241E-3</v>
      </c>
      <c r="AN426" s="135">
        <f t="shared" ca="1" si="19"/>
        <v>1.2906313273795916E-2</v>
      </c>
      <c r="AP426" s="516">
        <f t="shared" ca="1" si="20"/>
        <v>4.849131317635061E-4</v>
      </c>
      <c r="AQ426" s="516">
        <f t="shared" ca="1" si="21"/>
        <v>1.3541505801434111E-3</v>
      </c>
      <c r="AR426" s="516">
        <f t="shared" ca="1" si="22"/>
        <v>3.0715592354452126E-3</v>
      </c>
      <c r="AT426" s="516">
        <f t="shared" ca="1" si="14"/>
        <v>3.452126564076121E-2</v>
      </c>
      <c r="AU426" s="516">
        <f t="shared" ca="1" si="15"/>
        <v>6.7212437037523984E-2</v>
      </c>
      <c r="AV426" s="516">
        <f t="shared" ca="1" si="16"/>
        <v>0.13053599649964195</v>
      </c>
    </row>
    <row r="427" spans="1:48" ht="10.5" customHeight="1">
      <c r="A427" s="96">
        <v>416</v>
      </c>
      <c r="B427" s="68" t="s">
        <v>577</v>
      </c>
      <c r="C427" s="97">
        <v>0.4</v>
      </c>
      <c r="D427" s="69" t="s">
        <v>66</v>
      </c>
      <c r="E427" s="136"/>
      <c r="F427" s="154"/>
      <c r="G427" s="154"/>
      <c r="H427" s="154"/>
      <c r="I427" s="154">
        <v>3.3249999999999998E-3</v>
      </c>
      <c r="J427" s="154"/>
      <c r="K427" s="154">
        <v>6.195E-3</v>
      </c>
      <c r="L427" s="154">
        <v>9.2610000000000001E-3</v>
      </c>
      <c r="M427" s="154"/>
      <c r="N427" s="137" cm="1">
        <f t="array" aca="1" ref="N427:AE427" ca="1">IF(OR(B427="",NOT($J$2)),"",GetStripDefaultProbability(A427,B427,Parameter_Date,CDSRollDate,E427:M427,SpreadCurveMaturities,D427,C427,$J$4,$J$6))</f>
        <v>0</v>
      </c>
      <c r="O427" s="155">
        <f ca="1"/>
        <v>0</v>
      </c>
      <c r="P427" s="155">
        <f ca="1"/>
        <v>0</v>
      </c>
      <c r="Q427" s="155">
        <f ca="1"/>
        <v>0</v>
      </c>
      <c r="R427" s="155">
        <f ca="1"/>
        <v>1.6951160993358361E-2</v>
      </c>
      <c r="S427" s="155">
        <f ca="1"/>
        <v>0</v>
      </c>
      <c r="T427" s="155">
        <f ca="1"/>
        <v>5.1968606222077107E-2</v>
      </c>
      <c r="U427" s="155">
        <f ca="1"/>
        <v>0.10741148930384248</v>
      </c>
      <c r="V427" s="138">
        <f ca="1"/>
        <v>0</v>
      </c>
      <c r="W427" s="137">
        <f ca="1"/>
        <v>0</v>
      </c>
      <c r="X427" s="155">
        <f ca="1"/>
        <v>0</v>
      </c>
      <c r="Y427" s="155">
        <f ca="1"/>
        <v>0</v>
      </c>
      <c r="Z427" s="155">
        <f ca="1"/>
        <v>0</v>
      </c>
      <c r="AA427" s="155">
        <f ca="1"/>
        <v>1.7442562552178908E-2</v>
      </c>
      <c r="AB427" s="155">
        <f ca="1"/>
        <v>0</v>
      </c>
      <c r="AC427" s="155">
        <f ca="1"/>
        <v>5.2776215698024043E-2</v>
      </c>
      <c r="AD427" s="155">
        <f ca="1"/>
        <v>0.1084995730250129</v>
      </c>
      <c r="AE427" s="138">
        <f ca="1"/>
        <v>0</v>
      </c>
      <c r="AG427" s="135"/>
      <c r="AH427" s="135">
        <v>2.2920000000000002E-3</v>
      </c>
      <c r="AI427" s="135">
        <v>3.6840000000000002E-3</v>
      </c>
      <c r="AJ427" s="135">
        <v>5.0730000000000003E-3</v>
      </c>
      <c r="AK427" s="135"/>
      <c r="AL427" s="135">
        <f t="shared" ca="1" si="17"/>
        <v>1.7890672158281059E-3</v>
      </c>
      <c r="AM427" s="135">
        <f t="shared" ca="1" si="18"/>
        <v>4.2861487517252385E-3</v>
      </c>
      <c r="AN427" s="135">
        <f t="shared" ca="1" si="19"/>
        <v>8.5957368042492693E-3</v>
      </c>
      <c r="AP427" s="516">
        <f t="shared" ca="1" si="20"/>
        <v>4.7134049957674135E-4</v>
      </c>
      <c r="AQ427" s="516">
        <f t="shared" ca="1" si="21"/>
        <v>1.0358577112226592E-3</v>
      </c>
      <c r="AR427" s="516">
        <f t="shared" ca="1" si="22"/>
        <v>2.0456899043473239E-3</v>
      </c>
      <c r="AT427" s="516">
        <f t="shared" ca="1" si="14"/>
        <v>3.3555021564302255E-2</v>
      </c>
      <c r="AU427" s="516">
        <f t="shared" ca="1" si="15"/>
        <v>5.1414164876710626E-2</v>
      </c>
      <c r="AV427" s="516">
        <f t="shared" ca="1" si="16"/>
        <v>8.6938310390269627E-2</v>
      </c>
    </row>
    <row r="428" spans="1:48" ht="10.5" customHeight="1">
      <c r="A428" s="96">
        <v>417</v>
      </c>
      <c r="B428" s="68" t="s">
        <v>568</v>
      </c>
      <c r="C428" s="97">
        <v>0.4</v>
      </c>
      <c r="D428" s="69" t="s">
        <v>66</v>
      </c>
      <c r="E428" s="136"/>
      <c r="F428" s="154"/>
      <c r="G428" s="154"/>
      <c r="H428" s="154"/>
      <c r="I428" s="154">
        <v>2.6879999999999999E-3</v>
      </c>
      <c r="J428" s="154"/>
      <c r="K428" s="154">
        <v>4.4660000000000004E-3</v>
      </c>
      <c r="L428" s="154">
        <v>5.9670000000000001E-3</v>
      </c>
      <c r="M428" s="154"/>
      <c r="N428" s="137" cm="1">
        <f t="array" aca="1" ref="N428:AE428" ca="1">IF(OR(B428="",NOT($J$2)),"",GetStripDefaultProbability(A428,B428,Parameter_Date,CDSRollDate,E428:M428,SpreadCurveMaturities,D428,C428,$J$4,$J$6))</f>
        <v>0</v>
      </c>
      <c r="O428" s="155">
        <f ca="1"/>
        <v>0</v>
      </c>
      <c r="P428" s="155">
        <f ca="1"/>
        <v>0</v>
      </c>
      <c r="Q428" s="155">
        <f ca="1"/>
        <v>0</v>
      </c>
      <c r="R428" s="155">
        <f ca="1"/>
        <v>1.3725674111840225E-2</v>
      </c>
      <c r="S428" s="155">
        <f ca="1"/>
        <v>0</v>
      </c>
      <c r="T428" s="155">
        <f ca="1"/>
        <v>3.7619551925797023E-2</v>
      </c>
      <c r="U428" s="155">
        <f ca="1"/>
        <v>6.9853529135015635E-2</v>
      </c>
      <c r="V428" s="138">
        <f ca="1"/>
        <v>0</v>
      </c>
      <c r="W428" s="137">
        <f ca="1"/>
        <v>0</v>
      </c>
      <c r="X428" s="155">
        <f ca="1"/>
        <v>0</v>
      </c>
      <c r="Y428" s="155">
        <f ca="1"/>
        <v>0</v>
      </c>
      <c r="Z428" s="155">
        <f ca="1"/>
        <v>0</v>
      </c>
      <c r="AA428" s="155">
        <f ca="1"/>
        <v>1.4218688011077174E-2</v>
      </c>
      <c r="AB428" s="155">
        <f ca="1"/>
        <v>0</v>
      </c>
      <c r="AC428" s="155">
        <f ca="1"/>
        <v>3.8441089585045218E-2</v>
      </c>
      <c r="AD428" s="155">
        <f ca="1"/>
        <v>7.0969093905784209E-2</v>
      </c>
      <c r="AE428" s="138">
        <f ca="1"/>
        <v>0</v>
      </c>
      <c r="AG428" s="135"/>
      <c r="AH428" s="135">
        <v>1.598E-3</v>
      </c>
      <c r="AI428" s="135">
        <v>2.627E-3</v>
      </c>
      <c r="AJ428" s="135">
        <v>3.8070000000000001E-3</v>
      </c>
      <c r="AK428" s="135"/>
      <c r="AL428" s="135">
        <f t="shared" ca="1" si="17"/>
        <v>1.2473514009133128E-3</v>
      </c>
      <c r="AM428" s="135">
        <f t="shared" ca="1" si="18"/>
        <v>3.0563824024924541E-3</v>
      </c>
      <c r="AN428" s="135">
        <f t="shared" ca="1" si="19"/>
        <v>6.4506150234135556E-3</v>
      </c>
      <c r="AP428" s="516">
        <f t="shared" ca="1" si="20"/>
        <v>3.2862221567348719E-4</v>
      </c>
      <c r="AQ428" s="516">
        <f t="shared" ca="1" si="21"/>
        <v>7.3865315075513725E-4</v>
      </c>
      <c r="AR428" s="516">
        <f t="shared" ca="1" si="22"/>
        <v>1.5351747419377608E-3</v>
      </c>
      <c r="AT428" s="516">
        <f t="shared" ca="1" si="14"/>
        <v>2.3394818699718586E-2</v>
      </c>
      <c r="AU428" s="516">
        <f t="shared" ca="1" si="15"/>
        <v>3.6662598026905212E-2</v>
      </c>
      <c r="AV428" s="516">
        <f t="shared" ca="1" si="16"/>
        <v>6.5242292066973476E-2</v>
      </c>
    </row>
    <row r="429" spans="1:48" ht="10.5" customHeight="1">
      <c r="A429" s="96">
        <v>418</v>
      </c>
      <c r="B429" s="68" t="s">
        <v>569</v>
      </c>
      <c r="C429" s="97">
        <v>0.4</v>
      </c>
      <c r="D429" s="69" t="s">
        <v>66</v>
      </c>
      <c r="E429" s="136"/>
      <c r="F429" s="154"/>
      <c r="G429" s="154"/>
      <c r="H429" s="154"/>
      <c r="I429" s="154">
        <v>3.4719999999999998E-3</v>
      </c>
      <c r="J429" s="154"/>
      <c r="K429" s="154">
        <v>5.6010000000000001E-3</v>
      </c>
      <c r="L429" s="154">
        <v>7.7669999999999996E-3</v>
      </c>
      <c r="M429" s="154"/>
      <c r="N429" s="137" cm="1">
        <f t="array" aca="1" ref="N429:AE429" ca="1">IF(OR(B429="",NOT($J$2)),"",GetStripDefaultProbability(A429,B429,Parameter_Date,CDSRollDate,E429:M429,SpreadCurveMaturities,D429,C429,$J$4,$J$6))</f>
        <v>0</v>
      </c>
      <c r="O429" s="155">
        <f ca="1"/>
        <v>0</v>
      </c>
      <c r="P429" s="155">
        <f ca="1"/>
        <v>0</v>
      </c>
      <c r="Q429" s="155">
        <f ca="1"/>
        <v>0</v>
      </c>
      <c r="R429" s="155">
        <f ca="1"/>
        <v>1.7694036368504862E-2</v>
      </c>
      <c r="S429" s="155">
        <f ca="1"/>
        <v>0</v>
      </c>
      <c r="T429" s="155">
        <f ca="1"/>
        <v>4.6992797858083968E-2</v>
      </c>
      <c r="U429" s="155">
        <f ca="1"/>
        <v>9.0321860317608471E-2</v>
      </c>
      <c r="V429" s="138">
        <f ca="1"/>
        <v>0</v>
      </c>
      <c r="W429" s="137">
        <f ca="1"/>
        <v>0</v>
      </c>
      <c r="X429" s="155">
        <f ca="1"/>
        <v>0</v>
      </c>
      <c r="Y429" s="155">
        <f ca="1"/>
        <v>0</v>
      </c>
      <c r="Z429" s="155">
        <f ca="1"/>
        <v>0</v>
      </c>
      <c r="AA429" s="155">
        <f ca="1"/>
        <v>1.8185066582538933E-2</v>
      </c>
      <c r="AB429" s="155">
        <f ca="1"/>
        <v>0</v>
      </c>
      <c r="AC429" s="155">
        <f ca="1"/>
        <v>4.7805322859699406E-2</v>
      </c>
      <c r="AD429" s="155">
        <f ca="1"/>
        <v>9.1410952278623392E-2</v>
      </c>
      <c r="AE429" s="138">
        <f ca="1"/>
        <v>0</v>
      </c>
      <c r="AG429" s="135"/>
      <c r="AH429" s="135">
        <v>4.0590000000000001E-3</v>
      </c>
      <c r="AI429" s="135">
        <v>6.953E-3</v>
      </c>
      <c r="AJ429" s="135">
        <v>1.0121E-2</v>
      </c>
      <c r="AK429" s="135"/>
      <c r="AL429" s="135">
        <f t="shared" ca="1" si="17"/>
        <v>3.1683350039468944E-3</v>
      </c>
      <c r="AM429" s="135">
        <f t="shared" ca="1" si="18"/>
        <v>8.0894658715378893E-3</v>
      </c>
      <c r="AN429" s="135">
        <f t="shared" ca="1" si="19"/>
        <v>1.7149113383758494E-2</v>
      </c>
      <c r="AP429" s="516">
        <f t="shared" ca="1" si="20"/>
        <v>8.3471687948603543E-4</v>
      </c>
      <c r="AQ429" s="516">
        <f t="shared" ca="1" si="21"/>
        <v>1.9550267823374456E-3</v>
      </c>
      <c r="AR429" s="516">
        <f t="shared" ca="1" si="22"/>
        <v>4.0812985456138897E-3</v>
      </c>
      <c r="AT429" s="516">
        <f t="shared" ca="1" si="14"/>
        <v>5.9424010702226367E-2</v>
      </c>
      <c r="AU429" s="516">
        <f t="shared" ca="1" si="15"/>
        <v>9.7036560365843919E-2</v>
      </c>
      <c r="AV429" s="516">
        <f t="shared" ca="1" si="16"/>
        <v>0.17344818439974746</v>
      </c>
    </row>
    <row r="430" spans="1:48" ht="10.5" customHeight="1">
      <c r="A430" s="96">
        <v>419</v>
      </c>
      <c r="B430" s="68" t="s">
        <v>578</v>
      </c>
      <c r="C430" s="97">
        <v>0.4</v>
      </c>
      <c r="D430" s="69" t="s">
        <v>66</v>
      </c>
      <c r="E430" s="136"/>
      <c r="F430" s="154"/>
      <c r="G430" s="154"/>
      <c r="H430" s="154"/>
      <c r="I430" s="154">
        <v>1.7849999999999999E-3</v>
      </c>
      <c r="J430" s="154"/>
      <c r="K430" s="154">
        <v>2.7560000000000002E-3</v>
      </c>
      <c r="L430" s="154">
        <v>3.7669999999999999E-3</v>
      </c>
      <c r="M430" s="154"/>
      <c r="N430" s="137" cm="1">
        <f t="array" aca="1" ref="N430:AE430" ca="1">IF(OR(B430="",NOT($J$2)),"",GetStripDefaultProbability(A430,B430,Parameter_Date,CDSRollDate,E430:M430,SpreadCurveMaturities,D430,C430,$J$4,$J$6))</f>
        <v>0</v>
      </c>
      <c r="O430" s="155">
        <f ca="1"/>
        <v>0</v>
      </c>
      <c r="P430" s="155">
        <f ca="1"/>
        <v>0</v>
      </c>
      <c r="Q430" s="155">
        <f ca="1"/>
        <v>0</v>
      </c>
      <c r="R430" s="155">
        <f ca="1"/>
        <v>9.1354947862436475E-3</v>
      </c>
      <c r="S430" s="155">
        <f ca="1"/>
        <v>0</v>
      </c>
      <c r="T430" s="155">
        <f ca="1"/>
        <v>2.3329363959659677E-2</v>
      </c>
      <c r="U430" s="155">
        <f ca="1"/>
        <v>4.4523999025294803E-2</v>
      </c>
      <c r="V430" s="138">
        <f ca="1"/>
        <v>0</v>
      </c>
      <c r="W430" s="137">
        <f ca="1"/>
        <v>0</v>
      </c>
      <c r="X430" s="155">
        <f ca="1"/>
        <v>0</v>
      </c>
      <c r="Y430" s="155">
        <f ca="1"/>
        <v>0</v>
      </c>
      <c r="Z430" s="155">
        <f ca="1"/>
        <v>0</v>
      </c>
      <c r="AA430" s="155">
        <f ca="1"/>
        <v>9.6308032014538192E-3</v>
      </c>
      <c r="AB430" s="155">
        <f ca="1"/>
        <v>0</v>
      </c>
      <c r="AC430" s="155">
        <f ca="1"/>
        <v>2.4163300331221382E-2</v>
      </c>
      <c r="AD430" s="155">
        <f ca="1"/>
        <v>4.5669281710595699E-2</v>
      </c>
      <c r="AE430" s="138">
        <f ca="1"/>
        <v>0</v>
      </c>
      <c r="AG430" s="135"/>
      <c r="AH430" s="135">
        <v>3.114E-3</v>
      </c>
      <c r="AI430" s="135">
        <v>5.1929999999999997E-3</v>
      </c>
      <c r="AJ430" s="135">
        <v>7.737E-3</v>
      </c>
      <c r="AK430" s="135"/>
      <c r="AL430" s="135">
        <f t="shared" ca="1" si="17"/>
        <v>2.430696034070123E-3</v>
      </c>
      <c r="AM430" s="135">
        <f t="shared" ca="1" si="18"/>
        <v>6.0417943723423354E-3</v>
      </c>
      <c r="AN430" s="135">
        <f t="shared" ca="1" si="19"/>
        <v>1.3109642352548117E-2</v>
      </c>
      <c r="AP430" s="516">
        <f t="shared" ca="1" si="20"/>
        <v>6.4038146408463019E-4</v>
      </c>
      <c r="AQ430" s="516">
        <f t="shared" ca="1" si="21"/>
        <v>1.4601544773016474E-3</v>
      </c>
      <c r="AR430" s="516">
        <f t="shared" ca="1" si="22"/>
        <v>3.1199492982328489E-3</v>
      </c>
      <c r="AT430" s="516">
        <f t="shared" ca="1" si="14"/>
        <v>4.5589152334745725E-2</v>
      </c>
      <c r="AU430" s="516">
        <f t="shared" ca="1" si="15"/>
        <v>7.2473875734190618E-2</v>
      </c>
      <c r="AV430" s="516">
        <f t="shared" ca="1" si="16"/>
        <v>0.13259249112744256</v>
      </c>
    </row>
    <row r="431" spans="1:48" ht="10.5" customHeight="1">
      <c r="A431" s="96">
        <v>420</v>
      </c>
      <c r="B431" s="68" t="s">
        <v>570</v>
      </c>
      <c r="C431" s="97">
        <v>0.4</v>
      </c>
      <c r="D431" s="69" t="s">
        <v>66</v>
      </c>
      <c r="E431" s="136"/>
      <c r="F431" s="154"/>
      <c r="G431" s="154"/>
      <c r="H431" s="154"/>
      <c r="I431" s="154">
        <v>2.5920000000000001E-3</v>
      </c>
      <c r="J431" s="154"/>
      <c r="K431" s="154">
        <v>4.5840000000000004E-3</v>
      </c>
      <c r="L431" s="154">
        <v>6.4619999999999999E-3</v>
      </c>
      <c r="M431" s="154"/>
      <c r="N431" s="137" cm="1">
        <f t="array" aca="1" ref="N431:AE431" ca="1">IF(OR(B431="",NOT($J$2)),"",GetStripDefaultProbability(A431,B431,Parameter_Date,CDSRollDate,E431:M431,SpreadCurveMaturities,D431,C431,$J$4,$J$6))</f>
        <v>0</v>
      </c>
      <c r="O431" s="155">
        <f ca="1"/>
        <v>0</v>
      </c>
      <c r="P431" s="155">
        <f ca="1"/>
        <v>0</v>
      </c>
      <c r="Q431" s="155">
        <f ca="1"/>
        <v>0</v>
      </c>
      <c r="R431" s="155">
        <f ca="1"/>
        <v>1.3238674312217369E-2</v>
      </c>
      <c r="S431" s="155">
        <f ca="1"/>
        <v>0</v>
      </c>
      <c r="T431" s="155">
        <f ca="1"/>
        <v>3.8623105124080515E-2</v>
      </c>
      <c r="U431" s="155">
        <f ca="1"/>
        <v>7.5640861222435185E-2</v>
      </c>
      <c r="V431" s="138">
        <f ca="1"/>
        <v>0</v>
      </c>
      <c r="W431" s="137">
        <f ca="1"/>
        <v>0</v>
      </c>
      <c r="X431" s="155">
        <f ca="1"/>
        <v>0</v>
      </c>
      <c r="Y431" s="155">
        <f ca="1"/>
        <v>0</v>
      </c>
      <c r="Z431" s="155">
        <f ca="1"/>
        <v>0</v>
      </c>
      <c r="AA431" s="155">
        <f ca="1"/>
        <v>1.3731931650458717E-2</v>
      </c>
      <c r="AB431" s="155">
        <f ca="1"/>
        <v>0</v>
      </c>
      <c r="AC431" s="155">
        <f ca="1"/>
        <v>3.9443847109243202E-2</v>
      </c>
      <c r="AD431" s="155">
        <f ca="1"/>
        <v>7.6749679404700788E-2</v>
      </c>
      <c r="AE431" s="138">
        <f ca="1"/>
        <v>0</v>
      </c>
      <c r="AG431" s="135"/>
      <c r="AH431" s="135">
        <v>1.8439999999999999E-3</v>
      </c>
      <c r="AI431" s="135">
        <v>2.6050000000000001E-3</v>
      </c>
      <c r="AJ431" s="135">
        <v>3.6050000000000001E-3</v>
      </c>
      <c r="AK431" s="135"/>
      <c r="AL431" s="135">
        <f t="shared" ca="1" si="17"/>
        <v>1.4393717041828215E-3</v>
      </c>
      <c r="AM431" s="135">
        <f t="shared" ca="1" si="18"/>
        <v>3.0307865087525099E-3</v>
      </c>
      <c r="AN431" s="135">
        <f t="shared" ca="1" si="19"/>
        <v>6.1083444075140181E-3</v>
      </c>
      <c r="AP431" s="516">
        <f t="shared" ca="1" si="20"/>
        <v>3.7921111746051962E-4</v>
      </c>
      <c r="AQ431" s="516">
        <f t="shared" ca="1" si="21"/>
        <v>7.3246724694218989E-4</v>
      </c>
      <c r="AR431" s="516">
        <f t="shared" ca="1" si="22"/>
        <v>1.4537181362452398E-3</v>
      </c>
      <c r="AT431" s="516">
        <f t="shared" ca="1" si="14"/>
        <v>2.6996273893792909E-2</v>
      </c>
      <c r="AU431" s="516">
        <f t="shared" ca="1" si="15"/>
        <v>3.6355564469009553E-2</v>
      </c>
      <c r="AV431" s="516">
        <f t="shared" ca="1" si="16"/>
        <v>6.1780526110175836E-2</v>
      </c>
    </row>
    <row r="432" spans="1:48" ht="10.5" customHeight="1">
      <c r="A432" s="96">
        <v>421</v>
      </c>
      <c r="B432" s="68" t="s">
        <v>571</v>
      </c>
      <c r="C432" s="97">
        <v>0.4</v>
      </c>
      <c r="D432" s="69" t="s">
        <v>66</v>
      </c>
      <c r="E432" s="136"/>
      <c r="F432" s="154"/>
      <c r="G432" s="154"/>
      <c r="H432" s="154"/>
      <c r="I432" s="154">
        <v>2.307E-3</v>
      </c>
      <c r="J432" s="154"/>
      <c r="K432" s="154">
        <v>3.8999999999999998E-3</v>
      </c>
      <c r="L432" s="154">
        <v>5.7710000000000001E-3</v>
      </c>
      <c r="M432" s="154"/>
      <c r="N432" s="137" cm="1">
        <f t="array" aca="1" ref="N432:AE432" ca="1">IF(OR(B432="",NOT($J$2)),"",GetStripDefaultProbability(A432,B432,Parameter_Date,CDSRollDate,E432:M432,SpreadCurveMaturities,D432,C432,$J$4,$J$6))</f>
        <v>0</v>
      </c>
      <c r="O432" s="155">
        <f ca="1"/>
        <v>0</v>
      </c>
      <c r="P432" s="155">
        <f ca="1"/>
        <v>0</v>
      </c>
      <c r="Q432" s="155">
        <f ca="1"/>
        <v>0</v>
      </c>
      <c r="R432" s="155">
        <f ca="1"/>
        <v>1.1791504136177577E-2</v>
      </c>
      <c r="S432" s="155">
        <f ca="1"/>
        <v>0</v>
      </c>
      <c r="T432" s="155">
        <f ca="1"/>
        <v>3.2916579106817556E-2</v>
      </c>
      <c r="U432" s="155">
        <f ca="1"/>
        <v>6.781382407143155E-2</v>
      </c>
      <c r="V432" s="138">
        <f ca="1"/>
        <v>0</v>
      </c>
      <c r="W432" s="137">
        <f ca="1"/>
        <v>0</v>
      </c>
      <c r="X432" s="155">
        <f ca="1"/>
        <v>0</v>
      </c>
      <c r="Y432" s="155">
        <f ca="1"/>
        <v>0</v>
      </c>
      <c r="Z432" s="155">
        <f ca="1"/>
        <v>0</v>
      </c>
      <c r="AA432" s="155">
        <f ca="1"/>
        <v>1.2285484878668429E-2</v>
      </c>
      <c r="AB432" s="155">
        <f ca="1"/>
        <v>0</v>
      </c>
      <c r="AC432" s="155">
        <f ca="1"/>
        <v>3.3742437045507279E-2</v>
      </c>
      <c r="AD432" s="155">
        <f ca="1"/>
        <v>6.8932265796004644E-2</v>
      </c>
      <c r="AE432" s="138">
        <f ca="1"/>
        <v>0</v>
      </c>
      <c r="AG432" s="135"/>
      <c r="AH432" s="135">
        <v>2.9399999999999999E-3</v>
      </c>
      <c r="AI432" s="135">
        <v>5.1380000000000002E-3</v>
      </c>
      <c r="AJ432" s="135">
        <v>7.4939999999999998E-3</v>
      </c>
      <c r="AK432" s="135"/>
      <c r="AL432" s="135">
        <f t="shared" ca="1" si="17"/>
        <v>2.2948767951721776E-3</v>
      </c>
      <c r="AM432" s="135">
        <f t="shared" ca="1" si="18"/>
        <v>5.9778046379924746E-3</v>
      </c>
      <c r="AN432" s="135">
        <f t="shared" ca="1" si="19"/>
        <v>1.269790096807491E-2</v>
      </c>
      <c r="AP432" s="516">
        <f t="shared" ca="1" si="20"/>
        <v>6.0459907013770482E-4</v>
      </c>
      <c r="AQ432" s="516">
        <f t="shared" ca="1" si="21"/>
        <v>1.4446897177692788E-3</v>
      </c>
      <c r="AR432" s="516">
        <f t="shared" ca="1" si="22"/>
        <v>3.0219594210878853E-3</v>
      </c>
      <c r="AT432" s="516">
        <f t="shared" ca="1" si="14"/>
        <v>4.3041781587717542E-2</v>
      </c>
      <c r="AU432" s="516">
        <f t="shared" ca="1" si="15"/>
        <v>7.1706291839451472E-2</v>
      </c>
      <c r="AV432" s="516">
        <f t="shared" ca="1" si="16"/>
        <v>0.12842808950614637</v>
      </c>
    </row>
    <row r="433" spans="1:48" ht="10.5" customHeight="1">
      <c r="A433" s="96">
        <v>422</v>
      </c>
      <c r="B433" s="68" t="s">
        <v>572</v>
      </c>
      <c r="C433" s="97">
        <v>0.4</v>
      </c>
      <c r="D433" s="69" t="s">
        <v>66</v>
      </c>
      <c r="E433" s="136"/>
      <c r="F433" s="154"/>
      <c r="G433" s="154"/>
      <c r="H433" s="154"/>
      <c r="I433" s="154">
        <v>3.751E-3</v>
      </c>
      <c r="J433" s="154"/>
      <c r="K433" s="154">
        <v>5.8129999999999996E-3</v>
      </c>
      <c r="L433" s="154">
        <v>8.0239999999999999E-3</v>
      </c>
      <c r="M433" s="154"/>
      <c r="N433" s="137" cm="1">
        <f t="array" aca="1" ref="N433:AE433" ca="1">IF(OR(B433="",NOT($J$2)),"",GetStripDefaultProbability(A433,B433,Parameter_Date,CDSRollDate,E433:M433,SpreadCurveMaturities,D433,C433,$J$4,$J$6))</f>
        <v>0</v>
      </c>
      <c r="O433" s="155">
        <f ca="1"/>
        <v>0</v>
      </c>
      <c r="P433" s="155">
        <f ca="1"/>
        <v>0</v>
      </c>
      <c r="Q433" s="155">
        <f ca="1"/>
        <v>0</v>
      </c>
      <c r="R433" s="155">
        <f ca="1"/>
        <v>1.9102473877130599E-2</v>
      </c>
      <c r="S433" s="155">
        <f ca="1"/>
        <v>0</v>
      </c>
      <c r="T433" s="155">
        <f ca="1"/>
        <v>4.8712888470526572E-2</v>
      </c>
      <c r="U433" s="155">
        <f ca="1"/>
        <v>9.316409624856925E-2</v>
      </c>
      <c r="V433" s="138">
        <f ca="1"/>
        <v>0</v>
      </c>
      <c r="W433" s="137">
        <f ca="1"/>
        <v>0</v>
      </c>
      <c r="X433" s="155">
        <f ca="1"/>
        <v>0</v>
      </c>
      <c r="Y433" s="155">
        <f ca="1"/>
        <v>0</v>
      </c>
      <c r="Z433" s="155">
        <f ca="1"/>
        <v>0</v>
      </c>
      <c r="AA433" s="155">
        <f ca="1"/>
        <v>1.959280004839048E-2</v>
      </c>
      <c r="AB433" s="155">
        <f ca="1"/>
        <v>0</v>
      </c>
      <c r="AC433" s="155">
        <f ca="1"/>
        <v>4.9523645205518774E-2</v>
      </c>
      <c r="AD433" s="155">
        <f ca="1"/>
        <v>9.4249044090995882E-2</v>
      </c>
      <c r="AE433" s="138">
        <f ca="1"/>
        <v>0</v>
      </c>
      <c r="AG433" s="135"/>
      <c r="AH433" s="135">
        <v>3.604E-3</v>
      </c>
      <c r="AI433" s="135">
        <v>6.306E-3</v>
      </c>
      <c r="AJ433" s="135">
        <v>9.0629999999999999E-3</v>
      </c>
      <c r="AK433" s="135"/>
      <c r="AL433" s="135">
        <f t="shared" ca="1" si="17"/>
        <v>2.8131754999321523E-3</v>
      </c>
      <c r="AM433" s="135">
        <f t="shared" ca="1" si="18"/>
        <v>7.3367139056404324E-3</v>
      </c>
      <c r="AN433" s="135">
        <f t="shared" ca="1" si="19"/>
        <v>1.5356428672759929E-2</v>
      </c>
      <c r="AP433" s="516">
        <f t="shared" ca="1" si="20"/>
        <v>7.411479757742477E-4</v>
      </c>
      <c r="AQ433" s="516">
        <f t="shared" ca="1" si="21"/>
        <v>1.7731049747475812E-3</v>
      </c>
      <c r="AR433" s="516">
        <f t="shared" ca="1" si="22"/>
        <v>3.6546594920362297E-3</v>
      </c>
      <c r="AT433" s="516">
        <f t="shared" ca="1" si="14"/>
        <v>5.2762782599365315E-2</v>
      </c>
      <c r="AU433" s="516">
        <f t="shared" ca="1" si="15"/>
        <v>8.800698254954864E-2</v>
      </c>
      <c r="AV433" s="516">
        <f t="shared" ca="1" si="16"/>
        <v>0.15531675676463899</v>
      </c>
    </row>
    <row r="434" spans="1:48" ht="10.5" customHeight="1">
      <c r="A434" s="96">
        <v>423</v>
      </c>
      <c r="B434" s="68" t="s">
        <v>573</v>
      </c>
      <c r="C434" s="97">
        <v>0.4</v>
      </c>
      <c r="D434" s="69" t="s">
        <v>66</v>
      </c>
      <c r="E434" s="136"/>
      <c r="F434" s="154"/>
      <c r="G434" s="154"/>
      <c r="H434" s="154"/>
      <c r="I434" s="154">
        <v>2.993E-3</v>
      </c>
      <c r="J434" s="154"/>
      <c r="K434" s="154">
        <v>4.7149999999999996E-3</v>
      </c>
      <c r="L434" s="154">
        <v>6.6360000000000004E-3</v>
      </c>
      <c r="M434" s="154"/>
      <c r="N434" s="137" cm="1">
        <f t="array" aca="1" ref="N434:AE434" ca="1">IF(OR(B434="",NOT($J$2)),"",GetStripDefaultProbability(A434,B434,Parameter_Date,CDSRollDate,E434:M434,SpreadCurveMaturities,D434,C434,$J$4,$J$6))</f>
        <v>0</v>
      </c>
      <c r="O434" s="155">
        <f ca="1"/>
        <v>0</v>
      </c>
      <c r="P434" s="155">
        <f ca="1"/>
        <v>0</v>
      </c>
      <c r="Q434" s="155">
        <f ca="1"/>
        <v>0</v>
      </c>
      <c r="R434" s="155">
        <f ca="1"/>
        <v>1.5271350671960948E-2</v>
      </c>
      <c r="S434" s="155">
        <f ca="1"/>
        <v>0</v>
      </c>
      <c r="T434" s="155">
        <f ca="1"/>
        <v>3.9662578365971757E-2</v>
      </c>
      <c r="U434" s="155">
        <f ca="1"/>
        <v>7.7558274204854949E-2</v>
      </c>
      <c r="V434" s="138">
        <f ca="1"/>
        <v>0</v>
      </c>
      <c r="W434" s="137">
        <f ca="1"/>
        <v>0</v>
      </c>
      <c r="X434" s="155">
        <f ca="1"/>
        <v>0</v>
      </c>
      <c r="Y434" s="155">
        <f ca="1"/>
        <v>0</v>
      </c>
      <c r="Z434" s="155">
        <f ca="1"/>
        <v>0</v>
      </c>
      <c r="AA434" s="155">
        <f ca="1"/>
        <v>1.5763591926038378E-2</v>
      </c>
      <c r="AB434" s="155">
        <f ca="1"/>
        <v>0</v>
      </c>
      <c r="AC434" s="155">
        <f ca="1"/>
        <v>4.0482087989505589E-2</v>
      </c>
      <c r="AD434" s="155">
        <f ca="1"/>
        <v>7.8663926607410506E-2</v>
      </c>
      <c r="AE434" s="138">
        <f ca="1"/>
        <v>0</v>
      </c>
      <c r="AG434" s="135"/>
      <c r="AH434" s="135">
        <v>2.4229999999999998E-3</v>
      </c>
      <c r="AI434" s="135">
        <v>3.9830000000000004E-3</v>
      </c>
      <c r="AJ434" s="135">
        <v>6.0039999999999998E-3</v>
      </c>
      <c r="AK434" s="135"/>
      <c r="AL434" s="135">
        <f t="shared" ca="1" si="17"/>
        <v>1.8913219301708115E-3</v>
      </c>
      <c r="AM434" s="135">
        <f t="shared" ca="1" si="18"/>
        <v>4.6340202166453926E-3</v>
      </c>
      <c r="AN434" s="135">
        <f t="shared" ca="1" si="19"/>
        <v>1.0173231573568423E-2</v>
      </c>
      <c r="AP434" s="516">
        <f t="shared" ca="1" si="20"/>
        <v>4.9828011800804716E-4</v>
      </c>
      <c r="AQ434" s="516">
        <f t="shared" ca="1" si="21"/>
        <v>1.1199297675895364E-3</v>
      </c>
      <c r="AR434" s="516">
        <f t="shared" ca="1" si="22"/>
        <v>2.4211161414747348E-3</v>
      </c>
      <c r="AT434" s="516">
        <f t="shared" ca="1" si="14"/>
        <v>3.5472869655455645E-2</v>
      </c>
      <c r="AU434" s="516">
        <f t="shared" ca="1" si="15"/>
        <v>5.5587030049929001E-2</v>
      </c>
      <c r="AV434" s="516">
        <f t="shared" ca="1" si="16"/>
        <v>0.1028932812109558</v>
      </c>
    </row>
    <row r="435" spans="1:48" ht="10.5" customHeight="1">
      <c r="A435" s="96">
        <v>424</v>
      </c>
      <c r="B435" s="68" t="s">
        <v>574</v>
      </c>
      <c r="C435" s="97">
        <v>0.4</v>
      </c>
      <c r="D435" s="69" t="s">
        <v>66</v>
      </c>
      <c r="E435" s="136"/>
      <c r="F435" s="154"/>
      <c r="G435" s="154"/>
      <c r="H435" s="154"/>
      <c r="I435" s="154">
        <v>4.0020000000000003E-3</v>
      </c>
      <c r="J435" s="154"/>
      <c r="K435" s="154">
        <v>6.0629999999999998E-3</v>
      </c>
      <c r="L435" s="154">
        <v>8.3820000000000006E-3</v>
      </c>
      <c r="M435" s="154"/>
      <c r="N435" s="137" cm="1">
        <f t="array" aca="1" ref="N435:AE435" ca="1">IF(OR(B435="",NOT($J$2)),"",GetStripDefaultProbability(A435,B435,Parameter_Date,CDSRollDate,E435:M435,SpreadCurveMaturities,D435,C435,$J$4,$J$6))</f>
        <v>0</v>
      </c>
      <c r="O435" s="155">
        <f ca="1"/>
        <v>0</v>
      </c>
      <c r="P435" s="155">
        <f ca="1"/>
        <v>0</v>
      </c>
      <c r="Q435" s="155">
        <f ca="1"/>
        <v>0</v>
      </c>
      <c r="R435" s="155">
        <f ca="1"/>
        <v>2.0367876002515661E-2</v>
      </c>
      <c r="S435" s="155">
        <f ca="1"/>
        <v>0</v>
      </c>
      <c r="T435" s="155">
        <f ca="1"/>
        <v>5.0750220782748934E-2</v>
      </c>
      <c r="U435" s="155">
        <f ca="1"/>
        <v>9.715895143065123E-2</v>
      </c>
      <c r="V435" s="138">
        <f ca="1"/>
        <v>0</v>
      </c>
      <c r="W435" s="137">
        <f ca="1"/>
        <v>0</v>
      </c>
      <c r="X435" s="155">
        <f ca="1"/>
        <v>0</v>
      </c>
      <c r="Y435" s="155">
        <f ca="1"/>
        <v>0</v>
      </c>
      <c r="Z435" s="155">
        <f ca="1"/>
        <v>0</v>
      </c>
      <c r="AA435" s="155">
        <f ca="1"/>
        <v>2.0857569630878703E-2</v>
      </c>
      <c r="AB435" s="155">
        <f ca="1"/>
        <v>0</v>
      </c>
      <c r="AC435" s="155">
        <f ca="1"/>
        <v>5.1558908360804678E-2</v>
      </c>
      <c r="AD435" s="155">
        <f ca="1"/>
        <v>9.82382058204333E-2</v>
      </c>
      <c r="AE435" s="138">
        <f ca="1"/>
        <v>0</v>
      </c>
      <c r="AG435" s="135"/>
      <c r="AH435" s="135">
        <v>4.1190000000000003E-3</v>
      </c>
      <c r="AI435" s="135">
        <v>6.1469999999999997E-3</v>
      </c>
      <c r="AJ435" s="135">
        <v>8.4799999999999997E-3</v>
      </c>
      <c r="AK435" s="135"/>
      <c r="AL435" s="135">
        <f t="shared" ca="1" si="17"/>
        <v>3.2151692242565308E-3</v>
      </c>
      <c r="AM435" s="135">
        <f t="shared" ca="1" si="18"/>
        <v>7.151725400883561E-3</v>
      </c>
      <c r="AN435" s="135">
        <f t="shared" ca="1" si="19"/>
        <v>1.4368588231822157E-2</v>
      </c>
      <c r="AP435" s="516">
        <f t="shared" ca="1" si="20"/>
        <v>8.4705563601945801E-4</v>
      </c>
      <c r="AQ435" s="516">
        <f t="shared" ca="1" si="21"/>
        <v>1.7283977608267334E-3</v>
      </c>
      <c r="AR435" s="516">
        <f t="shared" ca="1" si="22"/>
        <v>3.4195644369929635E-3</v>
      </c>
      <c r="AT435" s="516">
        <f t="shared" ca="1" si="14"/>
        <v>6.0302414408098158E-2</v>
      </c>
      <c r="AU435" s="516">
        <f t="shared" ca="1" si="15"/>
        <v>8.5787967290211778E-2</v>
      </c>
      <c r="AV435" s="516">
        <f t="shared" ca="1" si="16"/>
        <v>0.1453256203645745</v>
      </c>
    </row>
    <row r="436" spans="1:48" ht="10.5" customHeight="1">
      <c r="A436" s="96">
        <v>425</v>
      </c>
      <c r="B436" s="68" t="s">
        <v>579</v>
      </c>
      <c r="C436" s="97">
        <v>0.4</v>
      </c>
      <c r="D436" s="69" t="s">
        <v>66</v>
      </c>
      <c r="E436" s="136"/>
      <c r="F436" s="154"/>
      <c r="G436" s="154"/>
      <c r="H436" s="154"/>
      <c r="I436" s="154">
        <v>1.9380000000000001E-3</v>
      </c>
      <c r="J436" s="154"/>
      <c r="K436" s="154">
        <v>3.1410000000000001E-3</v>
      </c>
      <c r="L436" s="154">
        <v>4.7060000000000001E-3</v>
      </c>
      <c r="M436" s="154"/>
      <c r="N436" s="137" cm="1">
        <f t="array" aca="1" ref="N436:AE436" ca="1">IF(OR(B436="",NOT($J$2)),"",GetStripDefaultProbability(A436,B436,Parameter_Date,CDSRollDate,E436:M436,SpreadCurveMaturities,D436,C436,$J$4,$J$6))</f>
        <v>0</v>
      </c>
      <c r="O436" s="155">
        <f ca="1"/>
        <v>0</v>
      </c>
      <c r="P436" s="155">
        <f ca="1"/>
        <v>0</v>
      </c>
      <c r="Q436" s="155">
        <f ca="1"/>
        <v>0</v>
      </c>
      <c r="R436" s="155">
        <f ca="1"/>
        <v>9.9147055875927759E-3</v>
      </c>
      <c r="S436" s="155">
        <f ca="1"/>
        <v>0</v>
      </c>
      <c r="T436" s="155">
        <f ca="1"/>
        <v>2.6565348530329547E-2</v>
      </c>
      <c r="U436" s="155">
        <f ca="1"/>
        <v>5.5540373833621204E-2</v>
      </c>
      <c r="V436" s="138">
        <f ca="1"/>
        <v>0</v>
      </c>
      <c r="W436" s="137">
        <f ca="1"/>
        <v>0</v>
      </c>
      <c r="X436" s="155">
        <f ca="1"/>
        <v>0</v>
      </c>
      <c r="Y436" s="155">
        <f ca="1"/>
        <v>0</v>
      </c>
      <c r="Z436" s="155">
        <f ca="1"/>
        <v>0</v>
      </c>
      <c r="AA436" s="155">
        <f ca="1"/>
        <v>1.0409624494765568E-2</v>
      </c>
      <c r="AB436" s="155">
        <f ca="1"/>
        <v>0</v>
      </c>
      <c r="AC436" s="155">
        <f ca="1"/>
        <v>2.7396661507501308E-2</v>
      </c>
      <c r="AD436" s="155">
        <f ca="1"/>
        <v>5.6673565230585865E-2</v>
      </c>
      <c r="AE436" s="138">
        <f ca="1"/>
        <v>0</v>
      </c>
      <c r="AG436" s="135"/>
      <c r="AH436" s="135">
        <v>4.1130000000000003E-3</v>
      </c>
      <c r="AI436" s="135">
        <v>6.5919999999999998E-3</v>
      </c>
      <c r="AJ436" s="135">
        <v>9.4090000000000007E-3</v>
      </c>
      <c r="AK436" s="135"/>
      <c r="AL436" s="135">
        <f t="shared" ref="AL436:AL466" ca="1" si="23">AH436*$AN$365</f>
        <v>3.2104858022255671E-3</v>
      </c>
      <c r="AM436" s="135">
        <f t="shared" ref="AM436:AM466" ca="1" si="24">AI436*$AN$366</f>
        <v>7.6694605242597098E-3</v>
      </c>
      <c r="AN436" s="135">
        <f t="shared" ref="AN436:AN466" ca="1" si="25">AJ436*$AN$367</f>
        <v>1.5942694183162107E-2</v>
      </c>
      <c r="AP436" s="516">
        <f t="shared" ref="AP436:AP466" ca="1" si="26">AH436*$AR$365</f>
        <v>8.4582176036611574E-4</v>
      </c>
      <c r="AQ436" s="516">
        <f t="shared" ref="AQ436:AQ466" ca="1" si="27">AI436*$AR$366</f>
        <v>1.8535217243158982E-3</v>
      </c>
      <c r="AR436" s="516">
        <f t="shared" ref="AR436:AR466" ca="1" si="28">AJ436*$AR$367</f>
        <v>3.7941841730739145E-3</v>
      </c>
      <c r="AT436" s="516">
        <f t="shared" ca="1" si="14"/>
        <v>6.021457403751098E-2</v>
      </c>
      <c r="AU436" s="516">
        <f t="shared" ca="1" si="15"/>
        <v>9.1998418802192297E-2</v>
      </c>
      <c r="AV436" s="516">
        <f t="shared" ca="1" si="16"/>
        <v>0.16124631627479735</v>
      </c>
    </row>
    <row r="437" spans="1:48" ht="10.5" customHeight="1">
      <c r="A437" s="96">
        <v>426</v>
      </c>
      <c r="B437" s="68" t="s">
        <v>580</v>
      </c>
      <c r="C437" s="97">
        <v>0.4</v>
      </c>
      <c r="D437" s="69" t="s">
        <v>66</v>
      </c>
      <c r="E437" s="136"/>
      <c r="F437" s="154"/>
      <c r="G437" s="154"/>
      <c r="H437" s="154"/>
      <c r="I437" s="154">
        <v>1.7650000000000001E-3</v>
      </c>
      <c r="J437" s="154"/>
      <c r="K437" s="154">
        <v>2.9750000000000002E-3</v>
      </c>
      <c r="L437" s="154">
        <v>4.2370000000000003E-3</v>
      </c>
      <c r="M437" s="154"/>
      <c r="N437" s="137" cm="1">
        <f t="array" aca="1" ref="N437:AE437" ca="1">IF(OR(B437="",NOT($J$2)),"",GetStripDefaultProbability(A437,B437,Parameter_Date,CDSRollDate,E437:M437,SpreadCurveMaturities,D437,C437,$J$4,$J$6))</f>
        <v>0</v>
      </c>
      <c r="O437" s="155">
        <f ca="1"/>
        <v>0</v>
      </c>
      <c r="P437" s="155">
        <f ca="1"/>
        <v>0</v>
      </c>
      <c r="Q437" s="155">
        <f ca="1"/>
        <v>0</v>
      </c>
      <c r="R437" s="155">
        <f ca="1"/>
        <v>9.0335926537356004E-3</v>
      </c>
      <c r="S437" s="155">
        <f ca="1"/>
        <v>0</v>
      </c>
      <c r="T437" s="155">
        <f ca="1"/>
        <v>2.5182701743902802E-2</v>
      </c>
      <c r="U437" s="155">
        <f ca="1"/>
        <v>5.0050554999333641E-2</v>
      </c>
      <c r="V437" s="138">
        <f ca="1"/>
        <v>0</v>
      </c>
      <c r="W437" s="137">
        <f ca="1"/>
        <v>0</v>
      </c>
      <c r="X437" s="155">
        <f ca="1"/>
        <v>0</v>
      </c>
      <c r="Y437" s="155">
        <f ca="1"/>
        <v>0</v>
      </c>
      <c r="Z437" s="155">
        <f ca="1"/>
        <v>0</v>
      </c>
      <c r="AA437" s="155">
        <f ca="1"/>
        <v>9.5289520072120437E-3</v>
      </c>
      <c r="AB437" s="155">
        <f ca="1"/>
        <v>0</v>
      </c>
      <c r="AC437" s="155">
        <f ca="1"/>
        <v>2.6015294323571858E-2</v>
      </c>
      <c r="AD437" s="155">
        <f ca="1"/>
        <v>5.1190089016363571E-2</v>
      </c>
      <c r="AE437" s="138">
        <f ca="1"/>
        <v>0</v>
      </c>
      <c r="AG437" s="135"/>
      <c r="AH437" s="135">
        <v>3.3249999999999998E-3</v>
      </c>
      <c r="AI437" s="135">
        <v>6.195E-3</v>
      </c>
      <c r="AJ437" s="135">
        <v>9.2610000000000001E-3</v>
      </c>
      <c r="AK437" s="135"/>
      <c r="AL437" s="135">
        <f t="shared" ca="1" si="23"/>
        <v>2.5953963754923436E-3</v>
      </c>
      <c r="AM437" s="135">
        <f t="shared" ca="1" si="24"/>
        <v>7.207570987225259E-3</v>
      </c>
      <c r="AN437" s="135">
        <f t="shared" ca="1" si="25"/>
        <v>1.5691921652701061E-2</v>
      </c>
      <c r="AP437" s="516">
        <f t="shared" ca="1" si="26"/>
        <v>6.8377275789383279E-4</v>
      </c>
      <c r="AQ437" s="516">
        <f t="shared" ca="1" si="27"/>
        <v>1.7418942782368007E-3</v>
      </c>
      <c r="AR437" s="516">
        <f t="shared" ca="1" si="28"/>
        <v>3.7345030956358297E-3</v>
      </c>
      <c r="AT437" s="516">
        <f t="shared" ref="AT437:AT466" ca="1" si="29">AH437*$AV$365</f>
        <v>4.8678205367061508E-2</v>
      </c>
      <c r="AU437" s="516">
        <f t="shared" ref="AU437:AU466" ca="1" si="30">AI437*$AV$366</f>
        <v>8.6457858689256872E-2</v>
      </c>
      <c r="AV437" s="516">
        <f t="shared" ref="AV437:AV466" ca="1" si="31">AJ437*$AV$367</f>
        <v>0.15870997290050995</v>
      </c>
    </row>
    <row r="438" spans="1:48" ht="10.5" customHeight="1">
      <c r="A438" s="96">
        <v>427</v>
      </c>
      <c r="B438" s="68" t="s">
        <v>575</v>
      </c>
      <c r="C438" s="97">
        <v>0.4</v>
      </c>
      <c r="D438" s="69" t="s">
        <v>66</v>
      </c>
      <c r="E438" s="136"/>
      <c r="F438" s="154"/>
      <c r="G438" s="154"/>
      <c r="H438" s="154"/>
      <c r="I438" s="154">
        <v>2.5079999999999998E-3</v>
      </c>
      <c r="J438" s="154"/>
      <c r="K438" s="154">
        <v>4.2789999999999998E-3</v>
      </c>
      <c r="L438" s="154">
        <v>5.8820000000000001E-3</v>
      </c>
      <c r="M438" s="154"/>
      <c r="N438" s="137" cm="1">
        <f t="array" aca="1" ref="N438:AE438" ca="1">IF(OR(B438="",NOT($J$2)),"",GetStripDefaultProbability(A438,B438,Parameter_Date,CDSRollDate,E438:M438,SpreadCurveMaturities,D438,C438,$J$4,$J$6))</f>
        <v>0</v>
      </c>
      <c r="O438" s="155">
        <f ca="1"/>
        <v>0</v>
      </c>
      <c r="P438" s="155">
        <f ca="1"/>
        <v>0</v>
      </c>
      <c r="Q438" s="155">
        <f ca="1"/>
        <v>0</v>
      </c>
      <c r="R438" s="155">
        <f ca="1"/>
        <v>1.2812356100736277E-2</v>
      </c>
      <c r="S438" s="155">
        <f ca="1"/>
        <v>0</v>
      </c>
      <c r="T438" s="155">
        <f ca="1"/>
        <v>3.6075212828991732E-2</v>
      </c>
      <c r="U438" s="155">
        <f ca="1"/>
        <v>6.8951744595784681E-2</v>
      </c>
      <c r="V438" s="138">
        <f ca="1"/>
        <v>0</v>
      </c>
      <c r="W438" s="137">
        <f ca="1"/>
        <v>0</v>
      </c>
      <c r="X438" s="155">
        <f ca="1"/>
        <v>0</v>
      </c>
      <c r="Y438" s="155">
        <f ca="1"/>
        <v>0</v>
      </c>
      <c r="Z438" s="155">
        <f ca="1"/>
        <v>0</v>
      </c>
      <c r="AA438" s="155">
        <f ca="1"/>
        <v>1.330582654483814E-2</v>
      </c>
      <c r="AB438" s="155">
        <f ca="1"/>
        <v>0</v>
      </c>
      <c r="AC438" s="155">
        <f ca="1"/>
        <v>3.6898233625239585E-2</v>
      </c>
      <c r="AD438" s="155">
        <f ca="1"/>
        <v>7.0068657448337124E-2</v>
      </c>
      <c r="AE438" s="138">
        <f ca="1"/>
        <v>0</v>
      </c>
      <c r="AG438" s="135"/>
      <c r="AH438" s="135">
        <v>2.6879999999999999E-3</v>
      </c>
      <c r="AI438" s="135">
        <v>4.4660000000000004E-3</v>
      </c>
      <c r="AJ438" s="135">
        <v>5.9670000000000001E-3</v>
      </c>
      <c r="AK438" s="135"/>
      <c r="AL438" s="135">
        <f t="shared" ca="1" si="23"/>
        <v>2.0981730698717053E-3</v>
      </c>
      <c r="AM438" s="135">
        <f t="shared" ca="1" si="24"/>
        <v>5.1959664292087178E-3</v>
      </c>
      <c r="AN438" s="135">
        <f t="shared" ca="1" si="25"/>
        <v>1.0110538440953162E-2</v>
      </c>
      <c r="AP438" s="516">
        <f t="shared" ca="1" si="26"/>
        <v>5.5277629269733007E-4</v>
      </c>
      <c r="AQ438" s="516">
        <f t="shared" ca="1" si="27"/>
        <v>1.2557384740283378E-3</v>
      </c>
      <c r="AR438" s="516">
        <f t="shared" ca="1" si="28"/>
        <v>2.4061958721152137E-3</v>
      </c>
      <c r="AT438" s="516">
        <f t="shared" ca="1" si="29"/>
        <v>3.9352486023056042E-2</v>
      </c>
      <c r="AU438" s="516">
        <f t="shared" ca="1" si="30"/>
        <v>6.2327812252820212E-2</v>
      </c>
      <c r="AV438" s="516">
        <f t="shared" ca="1" si="31"/>
        <v>0.10225919536738397</v>
      </c>
    </row>
    <row r="439" spans="1:48" ht="10.5" customHeight="1">
      <c r="A439" s="96">
        <v>428</v>
      </c>
      <c r="B439" s="68" t="s">
        <v>581</v>
      </c>
      <c r="C439" s="97">
        <v>0.4</v>
      </c>
      <c r="D439" s="69" t="s">
        <v>66</v>
      </c>
      <c r="E439" s="136"/>
      <c r="F439" s="154"/>
      <c r="G439" s="154"/>
      <c r="H439" s="154"/>
      <c r="I439" s="154">
        <v>2.1419999999999998E-3</v>
      </c>
      <c r="J439" s="154"/>
      <c r="K439" s="154">
        <v>3.333E-3</v>
      </c>
      <c r="L439" s="154">
        <v>4.7910000000000001E-3</v>
      </c>
      <c r="M439" s="154"/>
      <c r="N439" s="137" cm="1">
        <f t="array" aca="1" ref="N439:AE439" ca="1">IF(OR(B439="",NOT($J$2)),"",GetStripDefaultProbability(A439,B439,Parameter_Date,CDSRollDate,E439:M439,SpreadCurveMaturities,D439,C439,$J$4,$J$6))</f>
        <v>0</v>
      </c>
      <c r="O439" s="155">
        <f ca="1"/>
        <v>0</v>
      </c>
      <c r="P439" s="155">
        <f ca="1"/>
        <v>0</v>
      </c>
      <c r="Q439" s="155">
        <f ca="1"/>
        <v>0</v>
      </c>
      <c r="R439" s="155">
        <f ca="1"/>
        <v>1.0952717312933791E-2</v>
      </c>
      <c r="S439" s="155">
        <f ca="1"/>
        <v>0</v>
      </c>
      <c r="T439" s="155">
        <f ca="1"/>
        <v>2.8161598263855336E-2</v>
      </c>
      <c r="U439" s="155">
        <f ca="1"/>
        <v>5.6454827100527072E-2</v>
      </c>
      <c r="V439" s="138">
        <f ca="1"/>
        <v>0</v>
      </c>
      <c r="W439" s="137">
        <f ca="1"/>
        <v>0</v>
      </c>
      <c r="X439" s="155">
        <f ca="1"/>
        <v>0</v>
      </c>
      <c r="Y439" s="155">
        <f ca="1"/>
        <v>0</v>
      </c>
      <c r="Z439" s="155">
        <f ca="1"/>
        <v>0</v>
      </c>
      <c r="AA439" s="155">
        <f ca="1"/>
        <v>1.1447117343951985E-2</v>
      </c>
      <c r="AB439" s="155">
        <f ca="1"/>
        <v>0</v>
      </c>
      <c r="AC439" s="155">
        <f ca="1"/>
        <v>2.8991423565593588E-2</v>
      </c>
      <c r="AD439" s="155">
        <f ca="1"/>
        <v>5.7586557680750383E-2</v>
      </c>
      <c r="AE439" s="138">
        <f ca="1"/>
        <v>0</v>
      </c>
      <c r="AG439" s="135"/>
      <c r="AH439" s="135">
        <v>3.4719999999999998E-3</v>
      </c>
      <c r="AI439" s="135">
        <v>5.6010000000000001E-3</v>
      </c>
      <c r="AJ439" s="135">
        <v>7.7669999999999996E-3</v>
      </c>
      <c r="AK439" s="135"/>
      <c r="AL439" s="135">
        <f t="shared" ca="1" si="23"/>
        <v>2.7101402152509527E-3</v>
      </c>
      <c r="AM439" s="135">
        <f t="shared" ca="1" si="24"/>
        <v>6.5164818562467594E-3</v>
      </c>
      <c r="AN439" s="135">
        <f t="shared" ca="1" si="25"/>
        <v>1.3160474622236166E-2</v>
      </c>
      <c r="AP439" s="516">
        <f t="shared" ca="1" si="26"/>
        <v>7.140027114007181E-4</v>
      </c>
      <c r="AQ439" s="516">
        <f t="shared" ca="1" si="27"/>
        <v>1.5748748752872188E-3</v>
      </c>
      <c r="AR439" s="516">
        <f t="shared" ca="1" si="28"/>
        <v>3.1320468139297577E-3</v>
      </c>
      <c r="AT439" s="516">
        <f t="shared" ca="1" si="29"/>
        <v>5.0830294446447384E-2</v>
      </c>
      <c r="AU439" s="516">
        <f t="shared" ca="1" si="30"/>
        <v>7.8167952626073886E-2</v>
      </c>
      <c r="AV439" s="516">
        <f t="shared" ca="1" si="31"/>
        <v>0.1331066147843927</v>
      </c>
    </row>
    <row r="440" spans="1:48" ht="10.5" customHeight="1">
      <c r="A440" s="96">
        <v>429</v>
      </c>
      <c r="B440" s="68" t="s">
        <v>582</v>
      </c>
      <c r="C440" s="97">
        <v>0.4</v>
      </c>
      <c r="D440" s="69" t="s">
        <v>66</v>
      </c>
      <c r="E440" s="136"/>
      <c r="F440" s="154"/>
      <c r="G440" s="154"/>
      <c r="H440" s="154"/>
      <c r="I440" s="154">
        <v>3.7789999999999998E-3</v>
      </c>
      <c r="J440" s="154"/>
      <c r="K440" s="154">
        <v>7.345E-3</v>
      </c>
      <c r="L440" s="154">
        <v>1.0267999999999999E-2</v>
      </c>
      <c r="M440" s="154"/>
      <c r="N440" s="137" cm="1">
        <f t="array" aca="1" ref="N440:AE440" ca="1">IF(OR(B440="",NOT($J$2)),"",GetStripDefaultProbability(A440,B440,Parameter_Date,CDSRollDate,E440:M440,SpreadCurveMaturities,D440,C440,$J$4,$J$6))</f>
        <v>0</v>
      </c>
      <c r="O440" s="155">
        <f ca="1"/>
        <v>0</v>
      </c>
      <c r="P440" s="155">
        <f ca="1"/>
        <v>0</v>
      </c>
      <c r="Q440" s="155">
        <f ca="1"/>
        <v>0</v>
      </c>
      <c r="R440" s="155">
        <f ca="1"/>
        <v>1.9243713386235872E-2</v>
      </c>
      <c r="S440" s="155">
        <f ca="1"/>
        <v>0</v>
      </c>
      <c r="T440" s="155">
        <f ca="1"/>
        <v>6.143515987756698E-2</v>
      </c>
      <c r="U440" s="155">
        <f ca="1"/>
        <v>0.11837315306546015</v>
      </c>
      <c r="V440" s="138">
        <f ca="1"/>
        <v>0</v>
      </c>
      <c r="W440" s="137">
        <f ca="1"/>
        <v>0</v>
      </c>
      <c r="X440" s="155">
        <f ca="1"/>
        <v>0</v>
      </c>
      <c r="Y440" s="155">
        <f ca="1"/>
        <v>0</v>
      </c>
      <c r="Z440" s="155">
        <f ca="1"/>
        <v>0</v>
      </c>
      <c r="AA440" s="155">
        <f ca="1"/>
        <v>1.9733968955470194E-2</v>
      </c>
      <c r="AB440" s="155">
        <f ca="1"/>
        <v>0</v>
      </c>
      <c r="AC440" s="155">
        <f ca="1"/>
        <v>6.2216971444257307E-2</v>
      </c>
      <c r="AD440" s="155">
        <f ca="1"/>
        <v>0.11945003059500037</v>
      </c>
      <c r="AE440" s="138">
        <f ca="1"/>
        <v>0</v>
      </c>
      <c r="AG440" s="135"/>
      <c r="AH440" s="135">
        <v>1.7849999999999999E-3</v>
      </c>
      <c r="AI440" s="135">
        <v>2.7560000000000002E-3</v>
      </c>
      <c r="AJ440" s="135">
        <v>3.7669999999999999E-3</v>
      </c>
      <c r="AK440" s="135"/>
      <c r="AL440" s="135">
        <f t="shared" ca="1" si="23"/>
        <v>1.3933180542116791E-3</v>
      </c>
      <c r="AM440" s="135">
        <f t="shared" ca="1" si="24"/>
        <v>3.2064674157857649E-3</v>
      </c>
      <c r="AN440" s="135">
        <f t="shared" ca="1" si="25"/>
        <v>6.3828386638294888E-3</v>
      </c>
      <c r="AP440" s="516">
        <f t="shared" ca="1" si="26"/>
        <v>3.6707800686932077E-4</v>
      </c>
      <c r="AQ440" s="516">
        <f t="shared" ca="1" si="27"/>
        <v>7.7492504129469302E-4</v>
      </c>
      <c r="AR440" s="516">
        <f t="shared" ca="1" si="28"/>
        <v>1.5190447210085489E-3</v>
      </c>
      <c r="AT440" s="516">
        <f t="shared" ca="1" si="29"/>
        <v>2.6132510249685652E-2</v>
      </c>
      <c r="AU440" s="516">
        <f t="shared" ca="1" si="30"/>
        <v>3.8462931161838895E-2</v>
      </c>
      <c r="AV440" s="516">
        <f t="shared" ca="1" si="31"/>
        <v>6.4556793857706615E-2</v>
      </c>
    </row>
    <row r="441" spans="1:48" ht="10.5" customHeight="1">
      <c r="A441" s="96">
        <v>430</v>
      </c>
      <c r="B441" s="68" t="s">
        <v>583</v>
      </c>
      <c r="C441" s="97">
        <v>0.4</v>
      </c>
      <c r="D441" s="69" t="s">
        <v>66</v>
      </c>
      <c r="E441" s="136"/>
      <c r="F441" s="154"/>
      <c r="G441" s="154"/>
      <c r="H441" s="154"/>
      <c r="I441" s="154">
        <v>2.137E-3</v>
      </c>
      <c r="J441" s="154"/>
      <c r="K441" s="154">
        <v>3.2109999999999999E-3</v>
      </c>
      <c r="L441" s="154">
        <v>4.6039999999999996E-3</v>
      </c>
      <c r="M441" s="154"/>
      <c r="N441" s="137" cm="1">
        <f t="array" aca="1" ref="N441:AE441" ca="1">IF(OR(B441="",NOT($J$2)),"",GetStripDefaultProbability(A441,B441,Parameter_Date,CDSRollDate,E441:M441,SpreadCurveMaturities,D441,C441,$J$4,$J$6))</f>
        <v>0</v>
      </c>
      <c r="O441" s="155">
        <f ca="1"/>
        <v>0</v>
      </c>
      <c r="P441" s="155">
        <f ca="1"/>
        <v>0</v>
      </c>
      <c r="Q441" s="155">
        <f ca="1"/>
        <v>0</v>
      </c>
      <c r="R441" s="155">
        <f ca="1"/>
        <v>1.092728862573944E-2</v>
      </c>
      <c r="S441" s="155">
        <f ca="1"/>
        <v>0</v>
      </c>
      <c r="T441" s="155">
        <f ca="1"/>
        <v>2.7133271281062243E-2</v>
      </c>
      <c r="U441" s="155">
        <f ca="1"/>
        <v>5.4279466896563267E-2</v>
      </c>
      <c r="V441" s="138">
        <f ca="1"/>
        <v>0</v>
      </c>
      <c r="W441" s="137">
        <f ca="1"/>
        <v>0</v>
      </c>
      <c r="X441" s="155">
        <f ca="1"/>
        <v>0</v>
      </c>
      <c r="Y441" s="155">
        <f ca="1"/>
        <v>0</v>
      </c>
      <c r="Z441" s="155">
        <f ca="1"/>
        <v>0</v>
      </c>
      <c r="AA441" s="155">
        <f ca="1"/>
        <v>1.1421701367906767E-2</v>
      </c>
      <c r="AB441" s="155">
        <f ca="1"/>
        <v>0</v>
      </c>
      <c r="AC441" s="155">
        <f ca="1"/>
        <v>2.796388614154377E-2</v>
      </c>
      <c r="AD441" s="155">
        <f ca="1"/>
        <v>5.5413598992958168E-2</v>
      </c>
      <c r="AE441" s="138">
        <f ca="1"/>
        <v>0</v>
      </c>
      <c r="AG441" s="135"/>
      <c r="AH441" s="135">
        <v>2.5920000000000001E-3</v>
      </c>
      <c r="AI441" s="135">
        <v>4.5840000000000004E-3</v>
      </c>
      <c r="AJ441" s="135">
        <v>6.4619999999999999E-3</v>
      </c>
      <c r="AK441" s="135"/>
      <c r="AL441" s="135">
        <f t="shared" ca="1" si="23"/>
        <v>2.0232383173762873E-3</v>
      </c>
      <c r="AM441" s="135">
        <f t="shared" ca="1" si="24"/>
        <v>5.3332534956320558E-3</v>
      </c>
      <c r="AN441" s="135">
        <f t="shared" ca="1" si="25"/>
        <v>1.0949270890805987E-2</v>
      </c>
      <c r="AP441" s="516">
        <f t="shared" ca="1" si="26"/>
        <v>5.3303428224385409E-4</v>
      </c>
      <c r="AQ441" s="516">
        <f t="shared" ca="1" si="27"/>
        <v>1.2889174126614197E-3</v>
      </c>
      <c r="AR441" s="516">
        <f t="shared" ca="1" si="28"/>
        <v>2.6058048811142135E-3</v>
      </c>
      <c r="AT441" s="516">
        <f t="shared" ca="1" si="29"/>
        <v>3.7947040093661184E-2</v>
      </c>
      <c r="AU441" s="516">
        <f t="shared" ca="1" si="30"/>
        <v>6.3974628608806053E-2</v>
      </c>
      <c r="AV441" s="516">
        <f t="shared" ca="1" si="31"/>
        <v>0.11074223570706136</v>
      </c>
    </row>
    <row r="442" spans="1:48" ht="10.5" customHeight="1">
      <c r="A442" s="96">
        <v>431</v>
      </c>
      <c r="B442" s="68" t="s">
        <v>584</v>
      </c>
      <c r="C442" s="97">
        <v>0.4</v>
      </c>
      <c r="D442" s="69" t="s">
        <v>66</v>
      </c>
      <c r="E442" s="136"/>
      <c r="F442" s="154"/>
      <c r="G442" s="154"/>
      <c r="H442" s="154"/>
      <c r="I442" s="154">
        <v>4.9890000000000004E-3</v>
      </c>
      <c r="J442" s="154"/>
      <c r="K442" s="154">
        <v>1.01E-2</v>
      </c>
      <c r="L442" s="154">
        <v>1.474E-2</v>
      </c>
      <c r="M442" s="154"/>
      <c r="N442" s="137" cm="1">
        <f t="array" aca="1" ref="N442:AE442" ca="1">IF(OR(B442="",NOT($J$2)),"",GetStripDefaultProbability(A442,B442,Parameter_Date,CDSRollDate,E442:M442,SpreadCurveMaturities,D442,C442,$J$4,$J$6))</f>
        <v>0</v>
      </c>
      <c r="O442" s="155">
        <f ca="1"/>
        <v>0</v>
      </c>
      <c r="P442" s="155">
        <f ca="1"/>
        <v>0</v>
      </c>
      <c r="Q442" s="155">
        <f ca="1"/>
        <v>0</v>
      </c>
      <c r="R442" s="155">
        <f ca="1"/>
        <v>2.5328345142224484E-2</v>
      </c>
      <c r="S442" s="155">
        <f ca="1"/>
        <v>0</v>
      </c>
      <c r="T442" s="155">
        <f ca="1"/>
        <v>8.3822715084365451E-2</v>
      </c>
      <c r="U442" s="155">
        <f ca="1"/>
        <v>0.16728591397270431</v>
      </c>
      <c r="V442" s="138">
        <f ca="1"/>
        <v>0</v>
      </c>
      <c r="W442" s="137">
        <f ca="1"/>
        <v>0</v>
      </c>
      <c r="X442" s="155">
        <f ca="1"/>
        <v>0</v>
      </c>
      <c r="Y442" s="155">
        <f ca="1"/>
        <v>0</v>
      </c>
      <c r="Z442" s="155">
        <f ca="1"/>
        <v>0</v>
      </c>
      <c r="AA442" s="155">
        <f ca="1"/>
        <v>2.5815559155995649E-2</v>
      </c>
      <c r="AB442" s="155">
        <f ca="1"/>
        <v>0</v>
      </c>
      <c r="AC442" s="155">
        <f ca="1"/>
        <v>8.4615466725807664E-2</v>
      </c>
      <c r="AD442" s="155">
        <f ca="1"/>
        <v>0.16831476086188157</v>
      </c>
      <c r="AE442" s="138">
        <f ca="1"/>
        <v>0</v>
      </c>
      <c r="AG442" s="135"/>
      <c r="AH442" s="135">
        <v>2.307E-3</v>
      </c>
      <c r="AI442" s="135">
        <v>3.8999999999999998E-3</v>
      </c>
      <c r="AJ442" s="135">
        <v>5.7710000000000001E-3</v>
      </c>
      <c r="AK442" s="135"/>
      <c r="AL442" s="135">
        <f t="shared" ca="1" si="23"/>
        <v>1.8007757709055149E-3</v>
      </c>
      <c r="AM442" s="135">
        <f t="shared" ca="1" si="24"/>
        <v>4.5374538902628742E-3</v>
      </c>
      <c r="AN442" s="135">
        <f t="shared" ca="1" si="25"/>
        <v>9.7784342789912337E-3</v>
      </c>
      <c r="AP442" s="516">
        <f t="shared" ca="1" si="26"/>
        <v>4.7442518871009697E-4</v>
      </c>
      <c r="AQ442" s="516">
        <f t="shared" ca="1" si="27"/>
        <v>1.0965920395679617E-3</v>
      </c>
      <c r="AR442" s="516">
        <f t="shared" ca="1" si="28"/>
        <v>2.3271587695620748E-3</v>
      </c>
      <c r="AT442" s="516">
        <f t="shared" ca="1" si="29"/>
        <v>3.3774622490770199E-2</v>
      </c>
      <c r="AU442" s="516">
        <f t="shared" ca="1" si="30"/>
        <v>5.4428676172413523E-2</v>
      </c>
      <c r="AV442" s="516">
        <f t="shared" ca="1" si="31"/>
        <v>9.890025414197634E-2</v>
      </c>
    </row>
    <row r="443" spans="1:48" ht="10.5" customHeight="1">
      <c r="A443" s="96">
        <v>432</v>
      </c>
      <c r="B443" s="68" t="s">
        <v>594</v>
      </c>
      <c r="C443" s="97">
        <v>0.4</v>
      </c>
      <c r="D443" s="69" t="s">
        <v>66</v>
      </c>
      <c r="E443" s="136"/>
      <c r="F443" s="154"/>
      <c r="G443" s="154"/>
      <c r="H443" s="154"/>
      <c r="I443" s="154">
        <v>2.7200000000000002E-3</v>
      </c>
      <c r="J443" s="154"/>
      <c r="K443" s="154">
        <v>4.6210000000000001E-3</v>
      </c>
      <c r="L443" s="154">
        <v>6.9170000000000004E-3</v>
      </c>
      <c r="M443" s="154"/>
      <c r="N443" s="137" cm="1">
        <f t="array" aca="1" ref="N443:AE443" ca="1">IF(OR(B443="",NOT($J$2)),"",GetStripDefaultProbability(A443,B443,Parameter_Date,CDSRollDate,E443:M443,SpreadCurveMaturities,D443,C443,$J$4,$J$6))</f>
        <v>0</v>
      </c>
      <c r="O443" s="155">
        <f ca="1"/>
        <v>0</v>
      </c>
      <c r="P443" s="155">
        <f ca="1"/>
        <v>0</v>
      </c>
      <c r="Q443" s="155">
        <f ca="1"/>
        <v>0</v>
      </c>
      <c r="R443" s="155">
        <f ca="1"/>
        <v>1.3887955017988896E-2</v>
      </c>
      <c r="S443" s="155">
        <f ca="1"/>
        <v>0</v>
      </c>
      <c r="T443" s="155">
        <f ca="1"/>
        <v>3.8914826319687568E-2</v>
      </c>
      <c r="U443" s="155">
        <f ca="1"/>
        <v>8.093748727981398E-2</v>
      </c>
      <c r="V443" s="138">
        <f ca="1"/>
        <v>0</v>
      </c>
      <c r="W443" s="137">
        <f ca="1"/>
        <v>0</v>
      </c>
      <c r="X443" s="155">
        <f ca="1"/>
        <v>0</v>
      </c>
      <c r="Y443" s="155">
        <f ca="1"/>
        <v>0</v>
      </c>
      <c r="Z443" s="155">
        <f ca="1"/>
        <v>0</v>
      </c>
      <c r="AA443" s="155">
        <f ca="1"/>
        <v>1.4380887797065145E-2</v>
      </c>
      <c r="AB443" s="155">
        <f ca="1"/>
        <v>0</v>
      </c>
      <c r="AC443" s="155">
        <f ca="1"/>
        <v>3.9735210759098805E-2</v>
      </c>
      <c r="AD443" s="155">
        <f ca="1"/>
        <v>8.2039158127126144E-2</v>
      </c>
      <c r="AE443" s="138">
        <f ca="1"/>
        <v>0</v>
      </c>
      <c r="AG443" s="135"/>
      <c r="AH443" s="135">
        <v>3.751E-3</v>
      </c>
      <c r="AI443" s="135">
        <v>5.8129999999999996E-3</v>
      </c>
      <c r="AJ443" s="135">
        <v>8.0239999999999999E-3</v>
      </c>
      <c r="AK443" s="135"/>
      <c r="AL443" s="135">
        <f t="shared" ca="1" si="23"/>
        <v>2.9279193396907614E-3</v>
      </c>
      <c r="AM443" s="135">
        <f t="shared" ca="1" si="24"/>
        <v>6.7631331959225865E-3</v>
      </c>
      <c r="AN443" s="135">
        <f t="shared" ca="1" si="25"/>
        <v>1.3595937732563795E-2</v>
      </c>
      <c r="AP443" s="516">
        <f t="shared" ca="1" si="26"/>
        <v>7.713779292811329E-4</v>
      </c>
      <c r="AQ443" s="516">
        <f t="shared" ca="1" si="27"/>
        <v>1.634484493848349E-3</v>
      </c>
      <c r="AR443" s="516">
        <f t="shared" ca="1" si="28"/>
        <v>3.2356821983999455E-3</v>
      </c>
      <c r="AT443" s="516">
        <f t="shared" ca="1" si="29"/>
        <v>5.4914871678751198E-2</v>
      </c>
      <c r="AU443" s="516">
        <f t="shared" ca="1" si="30"/>
        <v>8.1126639638523027E-2</v>
      </c>
      <c r="AV443" s="516">
        <f t="shared" ca="1" si="31"/>
        <v>0.13751094077893228</v>
      </c>
    </row>
    <row r="444" spans="1:48" ht="10.5" customHeight="1">
      <c r="A444" s="96">
        <v>433</v>
      </c>
      <c r="B444" s="68" t="s">
        <v>585</v>
      </c>
      <c r="C444" s="97">
        <v>0.4</v>
      </c>
      <c r="D444" s="69" t="s">
        <v>66</v>
      </c>
      <c r="E444" s="136"/>
      <c r="F444" s="154"/>
      <c r="G444" s="154"/>
      <c r="H444" s="154"/>
      <c r="I444" s="154">
        <v>1.753E-3</v>
      </c>
      <c r="J444" s="154"/>
      <c r="K444" s="154">
        <v>3.101E-3</v>
      </c>
      <c r="L444" s="154">
        <v>4.653E-3</v>
      </c>
      <c r="M444" s="154"/>
      <c r="N444" s="137" cm="1">
        <f t="array" aca="1" ref="N444:AE444" ca="1">IF(OR(B444="",NOT($J$2)),"",GetStripDefaultProbability(A444,B444,Parameter_Date,CDSRollDate,E444:M444,SpreadCurveMaturities,D444,C444,$J$4,$J$6))</f>
        <v>0</v>
      </c>
      <c r="O444" s="155">
        <f ca="1"/>
        <v>0</v>
      </c>
      <c r="P444" s="155">
        <f ca="1"/>
        <v>0</v>
      </c>
      <c r="Q444" s="155">
        <f ca="1"/>
        <v>0</v>
      </c>
      <c r="R444" s="155">
        <f ca="1"/>
        <v>8.9724464319628217E-3</v>
      </c>
      <c r="S444" s="155">
        <f ca="1"/>
        <v>0</v>
      </c>
      <c r="T444" s="155">
        <f ca="1"/>
        <v>2.624853912174463E-2</v>
      </c>
      <c r="U444" s="155">
        <f ca="1"/>
        <v>5.4951680896368815E-2</v>
      </c>
      <c r="V444" s="138">
        <f ca="1"/>
        <v>0</v>
      </c>
      <c r="W444" s="137">
        <f ca="1"/>
        <v>0</v>
      </c>
      <c r="X444" s="155">
        <f ca="1"/>
        <v>0</v>
      </c>
      <c r="Y444" s="155">
        <f ca="1"/>
        <v>0</v>
      </c>
      <c r="Z444" s="155">
        <f ca="1"/>
        <v>0</v>
      </c>
      <c r="AA444" s="155">
        <f ca="1"/>
        <v>9.4678363509680397E-3</v>
      </c>
      <c r="AB444" s="155">
        <f ca="1"/>
        <v>0</v>
      </c>
      <c r="AC444" s="155">
        <f ca="1"/>
        <v>2.7080338729128739E-2</v>
      </c>
      <c r="AD444" s="155">
        <f ca="1"/>
        <v>5.6085932866264732E-2</v>
      </c>
      <c r="AE444" s="138">
        <f ca="1"/>
        <v>0</v>
      </c>
      <c r="AG444" s="135"/>
      <c r="AH444" s="135">
        <v>2.993E-3</v>
      </c>
      <c r="AI444" s="135">
        <v>4.7149999999999996E-3</v>
      </c>
      <c r="AJ444" s="135">
        <v>6.6360000000000004E-3</v>
      </c>
      <c r="AK444" s="135"/>
      <c r="AL444" s="135">
        <f t="shared" ca="1" si="23"/>
        <v>2.3362470231123563E-3</v>
      </c>
      <c r="AM444" s="135">
        <f t="shared" ca="1" si="24"/>
        <v>5.4856654083562696E-3</v>
      </c>
      <c r="AN444" s="135">
        <f t="shared" ca="1" si="25"/>
        <v>1.1244098054996678E-2</v>
      </c>
      <c r="AP444" s="516">
        <f t="shared" ca="1" si="26"/>
        <v>6.1549830507556141E-4</v>
      </c>
      <c r="AQ444" s="516">
        <f t="shared" ca="1" si="27"/>
        <v>1.3257516580930612E-3</v>
      </c>
      <c r="AR444" s="516">
        <f t="shared" ca="1" si="28"/>
        <v>2.6759704721562865E-3</v>
      </c>
      <c r="AT444" s="516">
        <f t="shared" ca="1" si="29"/>
        <v>4.3817704861237622E-2</v>
      </c>
      <c r="AU444" s="516">
        <f t="shared" ca="1" si="30"/>
        <v>6.5802873885366611E-2</v>
      </c>
      <c r="AV444" s="516">
        <f t="shared" ca="1" si="31"/>
        <v>0.11372415291737221</v>
      </c>
    </row>
    <row r="445" spans="1:48" ht="10.5" customHeight="1">
      <c r="A445" s="96">
        <v>434</v>
      </c>
      <c r="B445" s="68" t="s">
        <v>586</v>
      </c>
      <c r="C445" s="97">
        <v>0.4</v>
      </c>
      <c r="D445" s="69" t="s">
        <v>66</v>
      </c>
      <c r="E445" s="136"/>
      <c r="F445" s="154"/>
      <c r="G445" s="154"/>
      <c r="H445" s="154"/>
      <c r="I445" s="154">
        <v>3.1080000000000001E-3</v>
      </c>
      <c r="J445" s="154"/>
      <c r="K445" s="154">
        <v>5.4169999999999999E-3</v>
      </c>
      <c r="L445" s="154">
        <v>8.0789999999999994E-3</v>
      </c>
      <c r="M445" s="154"/>
      <c r="N445" s="137" cm="1">
        <f t="array" aca="1" ref="N445:AE445" ca="1">IF(OR(B445="",NOT($J$2)),"",GetStripDefaultProbability(A445,B445,Parameter_Date,CDSRollDate,E445:M445,SpreadCurveMaturities,D445,C445,$J$4,$J$6))</f>
        <v>0</v>
      </c>
      <c r="O445" s="155">
        <f ca="1"/>
        <v>0</v>
      </c>
      <c r="P445" s="155">
        <f ca="1"/>
        <v>0</v>
      </c>
      <c r="Q445" s="155">
        <f ca="1"/>
        <v>0</v>
      </c>
      <c r="R445" s="155">
        <f ca="1"/>
        <v>1.585353054451033E-2</v>
      </c>
      <c r="S445" s="155">
        <f ca="1"/>
        <v>0</v>
      </c>
      <c r="T445" s="155">
        <f ca="1"/>
        <v>4.5516628203106535E-2</v>
      </c>
      <c r="U445" s="155">
        <f ca="1"/>
        <v>9.4106000341648177E-2</v>
      </c>
      <c r="V445" s="138">
        <f ca="1"/>
        <v>0</v>
      </c>
      <c r="W445" s="137">
        <f ca="1"/>
        <v>0</v>
      </c>
      <c r="X445" s="155">
        <f ca="1"/>
        <v>0</v>
      </c>
      <c r="Y445" s="155">
        <f ca="1"/>
        <v>0</v>
      </c>
      <c r="Z445" s="155">
        <f ca="1"/>
        <v>0</v>
      </c>
      <c r="AA445" s="155">
        <f ca="1"/>
        <v>1.6345480781444155E-2</v>
      </c>
      <c r="AB445" s="155">
        <f ca="1"/>
        <v>0</v>
      </c>
      <c r="AC445" s="155">
        <f ca="1"/>
        <v>4.633072858687115E-2</v>
      </c>
      <c r="AD445" s="155">
        <f ca="1"/>
        <v>9.5189984371917946E-2</v>
      </c>
      <c r="AE445" s="138">
        <f ca="1"/>
        <v>0</v>
      </c>
      <c r="AG445" s="135"/>
      <c r="AH445" s="135">
        <v>4.0020000000000003E-3</v>
      </c>
      <c r="AI445" s="135">
        <v>6.0629999999999998E-3</v>
      </c>
      <c r="AJ445" s="135">
        <v>8.3820000000000006E-3</v>
      </c>
      <c r="AK445" s="135"/>
      <c r="AL445" s="135">
        <f t="shared" ca="1" si="23"/>
        <v>3.1238424946527401E-3</v>
      </c>
      <c r="AM445" s="135">
        <f t="shared" ca="1" si="24"/>
        <v>7.0539956247855917E-3</v>
      </c>
      <c r="AN445" s="135">
        <f t="shared" ca="1" si="25"/>
        <v>1.4202536150841194E-2</v>
      </c>
      <c r="AP445" s="516">
        <f t="shared" ca="1" si="26"/>
        <v>8.2299506077928403E-4</v>
      </c>
      <c r="AQ445" s="516">
        <f t="shared" ca="1" si="27"/>
        <v>1.7047788553591159E-3</v>
      </c>
      <c r="AR445" s="516">
        <f t="shared" ca="1" si="28"/>
        <v>3.3800458857163942E-3</v>
      </c>
      <c r="AT445" s="516">
        <f t="shared" ca="1" si="29"/>
        <v>5.8589527181648178E-2</v>
      </c>
      <c r="AU445" s="516">
        <f t="shared" ca="1" si="30"/>
        <v>8.461565734188288E-2</v>
      </c>
      <c r="AV445" s="516">
        <f t="shared" ca="1" si="31"/>
        <v>0.14364614975187071</v>
      </c>
    </row>
    <row r="446" spans="1:48" ht="10.5" customHeight="1">
      <c r="A446" s="96">
        <v>435</v>
      </c>
      <c r="B446" s="68" t="s">
        <v>595</v>
      </c>
      <c r="C446" s="97">
        <v>0.4</v>
      </c>
      <c r="D446" s="69" t="s">
        <v>66</v>
      </c>
      <c r="E446" s="136"/>
      <c r="F446" s="154"/>
      <c r="G446" s="154"/>
      <c r="H446" s="154"/>
      <c r="I446" s="154">
        <v>2.4889999999999999E-3</v>
      </c>
      <c r="J446" s="154"/>
      <c r="K446" s="154">
        <v>4.5339999999999998E-3</v>
      </c>
      <c r="L446" s="154">
        <v>6.875E-3</v>
      </c>
      <c r="M446" s="154"/>
      <c r="N446" s="137" cm="1">
        <f t="array" aca="1" ref="N446:AE446" ca="1">IF(OR(B446="",NOT($J$2)),"",GetStripDefaultProbability(A446,B446,Parameter_Date,CDSRollDate,E446:M446,SpreadCurveMaturities,D446,C446,$J$4,$J$6))</f>
        <v>0</v>
      </c>
      <c r="O446" s="155">
        <f ca="1"/>
        <v>0</v>
      </c>
      <c r="P446" s="155">
        <f ca="1"/>
        <v>0</v>
      </c>
      <c r="Q446" s="155">
        <f ca="1"/>
        <v>0</v>
      </c>
      <c r="R446" s="155">
        <f ca="1"/>
        <v>1.2715901938628593E-2</v>
      </c>
      <c r="S446" s="155">
        <f ca="1"/>
        <v>0</v>
      </c>
      <c r="T446" s="155">
        <f ca="1"/>
        <v>3.8218471491553885E-2</v>
      </c>
      <c r="U446" s="155">
        <f ca="1"/>
        <v>8.0523024815360333E-2</v>
      </c>
      <c r="V446" s="138">
        <f ca="1"/>
        <v>0</v>
      </c>
      <c r="W446" s="137">
        <f ca="1"/>
        <v>0</v>
      </c>
      <c r="X446" s="155">
        <f ca="1"/>
        <v>0</v>
      </c>
      <c r="Y446" s="155">
        <f ca="1"/>
        <v>0</v>
      </c>
      <c r="Z446" s="155">
        <f ca="1"/>
        <v>0</v>
      </c>
      <c r="AA446" s="155">
        <f ca="1"/>
        <v>1.3209420597766641E-2</v>
      </c>
      <c r="AB446" s="155">
        <f ca="1"/>
        <v>0</v>
      </c>
      <c r="AC446" s="155">
        <f ca="1"/>
        <v>3.9039650738148746E-2</v>
      </c>
      <c r="AD446" s="155">
        <f ca="1"/>
        <v>8.1625613427155685E-2</v>
      </c>
      <c r="AE446" s="138">
        <f ca="1"/>
        <v>0</v>
      </c>
      <c r="AG446" s="135"/>
      <c r="AH446" s="135">
        <v>1.9380000000000001E-3</v>
      </c>
      <c r="AI446" s="135">
        <v>3.1410000000000001E-3</v>
      </c>
      <c r="AJ446" s="135">
        <v>4.7060000000000001E-3</v>
      </c>
      <c r="AK446" s="135"/>
      <c r="AL446" s="135">
        <f t="shared" ca="1" si="23"/>
        <v>1.5127453160012519E-3</v>
      </c>
      <c r="AM446" s="135">
        <f t="shared" ca="1" si="24"/>
        <v>3.6543955562347921E-3</v>
      </c>
      <c r="AN446" s="135">
        <f t="shared" ca="1" si="25"/>
        <v>7.9738887050654558E-3</v>
      </c>
      <c r="AP446" s="516">
        <f t="shared" ca="1" si="26"/>
        <v>3.985418360295483E-4</v>
      </c>
      <c r="AQ446" s="516">
        <f t="shared" ca="1" si="27"/>
        <v>8.8317835802127385E-4</v>
      </c>
      <c r="AR446" s="516">
        <f t="shared" ca="1" si="28"/>
        <v>1.8976969623218027E-3</v>
      </c>
      <c r="AT446" s="516">
        <f t="shared" ca="1" si="29"/>
        <v>2.8372439699658709E-2</v>
      </c>
      <c r="AU446" s="516">
        <f t="shared" ca="1" si="30"/>
        <v>4.383601842501305E-2</v>
      </c>
      <c r="AV446" s="516">
        <f t="shared" ca="1" si="31"/>
        <v>8.0648864320246177E-2</v>
      </c>
    </row>
    <row r="447" spans="1:48" ht="10.5" customHeight="1">
      <c r="A447" s="96">
        <v>436</v>
      </c>
      <c r="B447" s="68" t="s">
        <v>587</v>
      </c>
      <c r="C447" s="97">
        <v>0.4</v>
      </c>
      <c r="D447" s="69" t="s">
        <v>66</v>
      </c>
      <c r="E447" s="136"/>
      <c r="F447" s="154"/>
      <c r="G447" s="154"/>
      <c r="H447" s="154"/>
      <c r="I447" s="154">
        <v>9.5580000000000005E-3</v>
      </c>
      <c r="J447" s="154"/>
      <c r="K447" s="154">
        <v>1.5862999999999999E-2</v>
      </c>
      <c r="L447" s="154">
        <v>1.9740000000000001E-2</v>
      </c>
      <c r="M447" s="154"/>
      <c r="N447" s="137" cm="1">
        <f t="array" aca="1" ref="N447:AE447" ca="1">IF(OR(B447="",NOT($J$2)),"",GetStripDefaultProbability(A447,B447,Parameter_Date,CDSRollDate,E447:M447,SpreadCurveMaturities,D447,C447,$J$4,$J$6))</f>
        <v>0</v>
      </c>
      <c r="O447" s="155">
        <f ca="1"/>
        <v>0</v>
      </c>
      <c r="P447" s="155">
        <f ca="1"/>
        <v>0</v>
      </c>
      <c r="Q447" s="155">
        <f ca="1"/>
        <v>0</v>
      </c>
      <c r="R447" s="155">
        <f ca="1"/>
        <v>4.7949647976142984E-2</v>
      </c>
      <c r="S447" s="155">
        <f ca="1"/>
        <v>0</v>
      </c>
      <c r="T447" s="155">
        <f ca="1"/>
        <v>0.12881447347033093</v>
      </c>
      <c r="U447" s="155">
        <f ca="1"/>
        <v>0.21684669720195016</v>
      </c>
      <c r="V447" s="138">
        <f ca="1"/>
        <v>0</v>
      </c>
      <c r="W447" s="137">
        <f ca="1"/>
        <v>0</v>
      </c>
      <c r="X447" s="155">
        <f ca="1"/>
        <v>0</v>
      </c>
      <c r="Y447" s="155">
        <f ca="1"/>
        <v>0</v>
      </c>
      <c r="Z447" s="155">
        <f ca="1"/>
        <v>0</v>
      </c>
      <c r="AA447" s="155">
        <f ca="1"/>
        <v>4.8425554165644757E-2</v>
      </c>
      <c r="AB447" s="155">
        <f ca="1"/>
        <v>0</v>
      </c>
      <c r="AC447" s="155">
        <f ca="1"/>
        <v>0.12957154291592565</v>
      </c>
      <c r="AD447" s="155">
        <f ca="1"/>
        <v>0.2178145980167131</v>
      </c>
      <c r="AE447" s="138">
        <f ca="1"/>
        <v>0</v>
      </c>
      <c r="AG447" s="135"/>
      <c r="AH447" s="135">
        <v>1.7650000000000001E-3</v>
      </c>
      <c r="AI447" s="135">
        <v>2.9750000000000002E-3</v>
      </c>
      <c r="AJ447" s="135">
        <v>4.2370000000000003E-3</v>
      </c>
      <c r="AK447" s="135"/>
      <c r="AL447" s="135">
        <f t="shared" ca="1" si="23"/>
        <v>1.3777066474418005E-3</v>
      </c>
      <c r="AM447" s="135">
        <f t="shared" ca="1" si="24"/>
        <v>3.461262903469757E-3</v>
      </c>
      <c r="AN447" s="135">
        <f t="shared" ca="1" si="25"/>
        <v>7.1792108889422741E-3</v>
      </c>
      <c r="AP447" s="516">
        <f t="shared" ca="1" si="26"/>
        <v>3.6296508802484661E-4</v>
      </c>
      <c r="AQ447" s="516">
        <f t="shared" ca="1" si="27"/>
        <v>8.3650290197812471E-4</v>
      </c>
      <c r="AR447" s="516">
        <f t="shared" ca="1" si="28"/>
        <v>1.7085724669267911E-3</v>
      </c>
      <c r="AT447" s="516">
        <f t="shared" ca="1" si="29"/>
        <v>2.5839709014395057E-2</v>
      </c>
      <c r="AU447" s="516">
        <f t="shared" ca="1" si="30"/>
        <v>4.1519310669982115E-2</v>
      </c>
      <c r="AV447" s="516">
        <f t="shared" ca="1" si="31"/>
        <v>7.2611397816592232E-2</v>
      </c>
    </row>
    <row r="448" spans="1:48" ht="10.5" customHeight="1">
      <c r="A448" s="96">
        <v>437</v>
      </c>
      <c r="B448" s="68" t="s">
        <v>617</v>
      </c>
      <c r="C448" s="97">
        <v>0.4</v>
      </c>
      <c r="D448" s="69" t="s">
        <v>66</v>
      </c>
      <c r="E448" s="136"/>
      <c r="F448" s="154"/>
      <c r="G448" s="154"/>
      <c r="H448" s="154"/>
      <c r="I448" s="154">
        <v>7.8799999999999996E-4</v>
      </c>
      <c r="J448" s="154"/>
      <c r="K448" s="154">
        <v>1.3649999999999999E-3</v>
      </c>
      <c r="L448" s="154">
        <v>2.568E-3</v>
      </c>
      <c r="M448" s="154"/>
      <c r="N448" s="137" cm="1">
        <f t="array" aca="1" ref="N448:AE448" ca="1">IF(OR(B448="",NOT($J$2)),"",GetStripDefaultProbability(A448,B448,Parameter_Date,CDSRollDate,E448:M448,SpreadCurveMaturities,D448,C448,$J$4,$J$6))</f>
        <v>0</v>
      </c>
      <c r="O448" s="155">
        <f ca="1"/>
        <v>0</v>
      </c>
      <c r="P448" s="155">
        <f ca="1"/>
        <v>0</v>
      </c>
      <c r="Q448" s="155">
        <f ca="1"/>
        <v>0</v>
      </c>
      <c r="R448" s="155">
        <f ca="1"/>
        <v>4.0431060069131552E-3</v>
      </c>
      <c r="S448" s="155">
        <f ca="1"/>
        <v>0</v>
      </c>
      <c r="T448" s="155">
        <f ca="1"/>
        <v>1.1615437133511763E-2</v>
      </c>
      <c r="U448" s="155">
        <f ca="1"/>
        <v>3.0689725831273496E-2</v>
      </c>
      <c r="V448" s="138">
        <f ca="1"/>
        <v>0</v>
      </c>
      <c r="W448" s="137">
        <f ca="1"/>
        <v>0</v>
      </c>
      <c r="X448" s="155">
        <f ca="1"/>
        <v>0</v>
      </c>
      <c r="Y448" s="155">
        <f ca="1"/>
        <v>0</v>
      </c>
      <c r="Z448" s="155">
        <f ca="1"/>
        <v>0</v>
      </c>
      <c r="AA448" s="155">
        <f ca="1"/>
        <v>4.5409599800045886E-3</v>
      </c>
      <c r="AB448" s="155">
        <f ca="1"/>
        <v>0</v>
      </c>
      <c r="AC448" s="155">
        <f ca="1"/>
        <v>1.2459121184412836E-2</v>
      </c>
      <c r="AD448" s="155">
        <f ca="1"/>
        <v>3.1852143948472023E-2</v>
      </c>
      <c r="AE448" s="138">
        <f ca="1"/>
        <v>0</v>
      </c>
      <c r="AG448" s="135"/>
      <c r="AH448" s="135">
        <v>2.5079999999999998E-3</v>
      </c>
      <c r="AI448" s="135">
        <v>4.2789999999999998E-3</v>
      </c>
      <c r="AJ448" s="135">
        <v>5.8820000000000001E-3</v>
      </c>
      <c r="AK448" s="135"/>
      <c r="AL448" s="135">
        <f t="shared" ca="1" si="23"/>
        <v>1.9576704089427962E-3</v>
      </c>
      <c r="AM448" s="135">
        <f t="shared" ca="1" si="24"/>
        <v>4.9784013324191898E-3</v>
      </c>
      <c r="AN448" s="135">
        <f t="shared" ca="1" si="25"/>
        <v>9.9665136768370202E-3</v>
      </c>
      <c r="AP448" s="516">
        <f t="shared" ca="1" si="26"/>
        <v>5.1576002309706244E-4</v>
      </c>
      <c r="AQ448" s="516">
        <f t="shared" ca="1" si="27"/>
        <v>1.2031582916182842E-3</v>
      </c>
      <c r="AR448" s="516">
        <f t="shared" ca="1" si="28"/>
        <v>2.3719195776406381E-3</v>
      </c>
      <c r="AT448" s="516">
        <f t="shared" ca="1" si="29"/>
        <v>3.6717274905440682E-2</v>
      </c>
      <c r="AU448" s="516">
        <f t="shared" ca="1" si="30"/>
        <v>5.9718027010707046E-2</v>
      </c>
      <c r="AV448" s="516">
        <f t="shared" ca="1" si="31"/>
        <v>0.10080251167269189</v>
      </c>
    </row>
    <row r="449" spans="1:48" ht="10.5" customHeight="1">
      <c r="A449" s="96">
        <v>438</v>
      </c>
      <c r="B449" s="68" t="s">
        <v>588</v>
      </c>
      <c r="C449" s="97">
        <v>0.4</v>
      </c>
      <c r="D449" s="69" t="s">
        <v>66</v>
      </c>
      <c r="E449" s="136"/>
      <c r="F449" s="154"/>
      <c r="G449" s="154"/>
      <c r="H449" s="154"/>
      <c r="I449" s="154">
        <v>1.861E-3</v>
      </c>
      <c r="J449" s="154"/>
      <c r="K449" s="154">
        <v>3.0709999999999999E-3</v>
      </c>
      <c r="L449" s="154">
        <v>4.4549999999999998E-3</v>
      </c>
      <c r="M449" s="154"/>
      <c r="N449" s="137" cm="1">
        <f t="array" aca="1" ref="N449:AE449" ca="1">IF(OR(B449="",NOT($J$2)),"",GetStripDefaultProbability(A449,B449,Parameter_Date,CDSRollDate,E449:M449,SpreadCurveMaturities,D449,C449,$J$4,$J$6))</f>
        <v>0</v>
      </c>
      <c r="O449" s="155">
        <f ca="1"/>
        <v>0</v>
      </c>
      <c r="P449" s="155">
        <f ca="1"/>
        <v>0</v>
      </c>
      <c r="Q449" s="155">
        <f ca="1"/>
        <v>0</v>
      </c>
      <c r="R449" s="155">
        <f ca="1"/>
        <v>9.5226290116127155E-3</v>
      </c>
      <c r="S449" s="155">
        <f ca="1"/>
        <v>0</v>
      </c>
      <c r="T449" s="155">
        <f ca="1"/>
        <v>2.5983003214916089E-2</v>
      </c>
      <c r="U449" s="155">
        <f ca="1"/>
        <v>5.2596149589245522E-2</v>
      </c>
      <c r="V449" s="138">
        <f ca="1"/>
        <v>0</v>
      </c>
      <c r="W449" s="137">
        <f ca="1"/>
        <v>0</v>
      </c>
      <c r="X449" s="155">
        <f ca="1"/>
        <v>0</v>
      </c>
      <c r="Y449" s="155">
        <f ca="1"/>
        <v>0</v>
      </c>
      <c r="Z449" s="155">
        <f ca="1"/>
        <v>0</v>
      </c>
      <c r="AA449" s="155">
        <f ca="1"/>
        <v>1.0017743908044219E-2</v>
      </c>
      <c r="AB449" s="155">
        <f ca="1"/>
        <v>0</v>
      </c>
      <c r="AC449" s="155">
        <f ca="1"/>
        <v>2.6814861200985196E-2</v>
      </c>
      <c r="AD449" s="155">
        <f ca="1"/>
        <v>5.3732735729639103E-2</v>
      </c>
      <c r="AE449" s="138">
        <f ca="1"/>
        <v>0</v>
      </c>
      <c r="AG449" s="135"/>
      <c r="AH449" s="135">
        <v>2.1419999999999998E-3</v>
      </c>
      <c r="AI449" s="135">
        <v>3.333E-3</v>
      </c>
      <c r="AJ449" s="135">
        <v>4.7910000000000001E-3</v>
      </c>
      <c r="AK449" s="135"/>
      <c r="AL449" s="135">
        <f t="shared" ca="1" si="23"/>
        <v>1.671981665054015E-3</v>
      </c>
      <c r="AM449" s="135">
        <f t="shared" ca="1" si="24"/>
        <v>3.8777779016015796E-3</v>
      </c>
      <c r="AN449" s="135">
        <f t="shared" ca="1" si="25"/>
        <v>8.117913469181599E-3</v>
      </c>
      <c r="AP449" s="516">
        <f t="shared" ca="1" si="26"/>
        <v>4.404936082431849E-4</v>
      </c>
      <c r="AQ449" s="516">
        <f t="shared" ca="1" si="27"/>
        <v>9.3716442766154267E-4</v>
      </c>
      <c r="AR449" s="516">
        <f t="shared" ca="1" si="28"/>
        <v>1.9319732567963785E-3</v>
      </c>
      <c r="AT449" s="516">
        <f t="shared" ca="1" si="29"/>
        <v>3.1359012299622784E-2</v>
      </c>
      <c r="AU449" s="516">
        <f t="shared" ca="1" si="30"/>
        <v>4.6515584021193407E-2</v>
      </c>
      <c r="AV449" s="516">
        <f t="shared" ca="1" si="31"/>
        <v>8.2105548014938259E-2</v>
      </c>
    </row>
    <row r="450" spans="1:48" ht="10.5" customHeight="1">
      <c r="A450" s="96">
        <v>439</v>
      </c>
      <c r="B450" s="68" t="s">
        <v>596</v>
      </c>
      <c r="C450" s="97">
        <v>0.4</v>
      </c>
      <c r="D450" s="69" t="s">
        <v>66</v>
      </c>
      <c r="E450" s="136"/>
      <c r="F450" s="154"/>
      <c r="G450" s="154"/>
      <c r="H450" s="154"/>
      <c r="I450" s="154">
        <v>3.8760000000000001E-3</v>
      </c>
      <c r="J450" s="154"/>
      <c r="K450" s="154">
        <v>6.6940000000000003E-3</v>
      </c>
      <c r="L450" s="154">
        <v>1.0071999999999999E-2</v>
      </c>
      <c r="M450" s="154"/>
      <c r="N450" s="137" cm="1">
        <f t="array" aca="1" ref="N450:AE450" ca="1">IF(OR(B450="",NOT($J$2)),"",GetStripDefaultProbability(A450,B450,Parameter_Date,CDSRollDate,E450:M450,SpreadCurveMaturities,D450,C450,$J$4,$J$6))</f>
        <v>0</v>
      </c>
      <c r="O450" s="155">
        <f ca="1"/>
        <v>0</v>
      </c>
      <c r="P450" s="155">
        <f ca="1"/>
        <v>0</v>
      </c>
      <c r="Q450" s="155">
        <f ca="1"/>
        <v>0</v>
      </c>
      <c r="R450" s="155">
        <f ca="1"/>
        <v>1.9732853725253352E-2</v>
      </c>
      <c r="S450" s="155">
        <f ca="1"/>
        <v>0</v>
      </c>
      <c r="T450" s="155">
        <f ca="1"/>
        <v>5.6016508593358938E-2</v>
      </c>
      <c r="U450" s="155">
        <f ca="1"/>
        <v>0.1164001173164052</v>
      </c>
      <c r="V450" s="138">
        <f ca="1"/>
        <v>0</v>
      </c>
      <c r="W450" s="137">
        <f ca="1"/>
        <v>0</v>
      </c>
      <c r="X450" s="155">
        <f ca="1"/>
        <v>0</v>
      </c>
      <c r="Y450" s="155">
        <f ca="1"/>
        <v>0</v>
      </c>
      <c r="Z450" s="155">
        <f ca="1"/>
        <v>0</v>
      </c>
      <c r="AA450" s="155">
        <f ca="1"/>
        <v>2.0222864785462979E-2</v>
      </c>
      <c r="AB450" s="155">
        <f ca="1"/>
        <v>0</v>
      </c>
      <c r="AC450" s="155">
        <f ca="1"/>
        <v>5.6802833821830268E-2</v>
      </c>
      <c r="AD450" s="155">
        <f ca="1"/>
        <v>0.11747997323113679</v>
      </c>
      <c r="AE450" s="138">
        <f ca="1"/>
        <v>0</v>
      </c>
      <c r="AG450" s="135"/>
      <c r="AH450" s="135">
        <v>3.7789999999999998E-3</v>
      </c>
      <c r="AI450" s="135">
        <v>7.345E-3</v>
      </c>
      <c r="AJ450" s="135">
        <v>1.0267999999999999E-2</v>
      </c>
      <c r="AK450" s="135"/>
      <c r="AL450" s="135">
        <f t="shared" ca="1" si="23"/>
        <v>2.9497753091685913E-3</v>
      </c>
      <c r="AM450" s="135">
        <f t="shared" ca="1" si="24"/>
        <v>8.5455381599950798E-3</v>
      </c>
      <c r="AN450" s="135">
        <f t="shared" ca="1" si="25"/>
        <v>1.7398191505229942E-2</v>
      </c>
      <c r="AP450" s="516">
        <f t="shared" ca="1" si="26"/>
        <v>7.7713601566339679E-4</v>
      </c>
      <c r="AQ450" s="516">
        <f t="shared" ca="1" si="27"/>
        <v>2.0652483411863279E-3</v>
      </c>
      <c r="AR450" s="516">
        <f t="shared" ca="1" si="28"/>
        <v>4.1405763725287439E-3</v>
      </c>
      <c r="AT450" s="516">
        <f t="shared" ca="1" si="29"/>
        <v>5.5324793408158025E-2</v>
      </c>
      <c r="AU450" s="516">
        <f t="shared" ca="1" si="30"/>
        <v>0.10250734012471215</v>
      </c>
      <c r="AV450" s="516">
        <f t="shared" ca="1" si="31"/>
        <v>0.17596739031880315</v>
      </c>
    </row>
    <row r="451" spans="1:48" ht="10.5" customHeight="1">
      <c r="A451" s="96">
        <v>440</v>
      </c>
      <c r="B451" s="68" t="s">
        <v>589</v>
      </c>
      <c r="C451" s="97">
        <v>0.4</v>
      </c>
      <c r="D451" s="69" t="s">
        <v>66</v>
      </c>
      <c r="E451" s="136"/>
      <c r="F451" s="154"/>
      <c r="G451" s="154"/>
      <c r="H451" s="154"/>
      <c r="I451" s="154">
        <v>1.3079999999999999E-3</v>
      </c>
      <c r="J451" s="154"/>
      <c r="K451" s="154">
        <v>2.3080000000000002E-3</v>
      </c>
      <c r="L451" s="154">
        <v>3.643E-3</v>
      </c>
      <c r="M451" s="154"/>
      <c r="N451" s="137" cm="1">
        <f t="array" aca="1" ref="N451:AE451" ca="1">IF(OR(B451="",NOT($J$2)),"",GetStripDefaultProbability(A451,B451,Parameter_Date,CDSRollDate,E451:M451,SpreadCurveMaturities,D451,C451,$J$4,$J$6))</f>
        <v>0</v>
      </c>
      <c r="O451" s="155">
        <f ca="1"/>
        <v>0</v>
      </c>
      <c r="P451" s="155">
        <f ca="1"/>
        <v>0</v>
      </c>
      <c r="Q451" s="155">
        <f ca="1"/>
        <v>0</v>
      </c>
      <c r="R451" s="155">
        <f ca="1"/>
        <v>6.7023201224148954E-3</v>
      </c>
      <c r="S451" s="155">
        <f ca="1"/>
        <v>0</v>
      </c>
      <c r="T451" s="155">
        <f ca="1"/>
        <v>1.9584073940510871E-2</v>
      </c>
      <c r="U451" s="155">
        <f ca="1"/>
        <v>4.3239245329588338E-2</v>
      </c>
      <c r="V451" s="138">
        <f ca="1"/>
        <v>0</v>
      </c>
      <c r="W451" s="137">
        <f ca="1"/>
        <v>0</v>
      </c>
      <c r="X451" s="155">
        <f ca="1"/>
        <v>0</v>
      </c>
      <c r="Y451" s="155">
        <f ca="1"/>
        <v>0</v>
      </c>
      <c r="Z451" s="155">
        <f ca="1"/>
        <v>0</v>
      </c>
      <c r="AA451" s="155">
        <f ca="1"/>
        <v>7.1988448207989109E-3</v>
      </c>
      <c r="AB451" s="155">
        <f ca="1"/>
        <v>0</v>
      </c>
      <c r="AC451" s="155">
        <f ca="1"/>
        <v>2.0421435064374882E-2</v>
      </c>
      <c r="AD451" s="155">
        <f ca="1"/>
        <v>4.4387211772323076E-2</v>
      </c>
      <c r="AE451" s="138">
        <f ca="1"/>
        <v>0</v>
      </c>
      <c r="AG451" s="135"/>
      <c r="AH451" s="135">
        <v>2.137E-3</v>
      </c>
      <c r="AI451" s="135">
        <v>3.2109999999999999E-3</v>
      </c>
      <c r="AJ451" s="135">
        <v>4.6039999999999996E-3</v>
      </c>
      <c r="AK451" s="135"/>
      <c r="AL451" s="135">
        <f t="shared" ca="1" si="23"/>
        <v>1.6680788133615456E-3</v>
      </c>
      <c r="AM451" s="135">
        <f t="shared" ca="1" si="24"/>
        <v>3.7358370363164335E-3</v>
      </c>
      <c r="AN451" s="135">
        <f t="shared" ca="1" si="25"/>
        <v>7.8010589881260849E-3</v>
      </c>
      <c r="AP451" s="516">
        <f t="shared" ca="1" si="26"/>
        <v>4.3946537853206642E-4</v>
      </c>
      <c r="AQ451" s="516">
        <f t="shared" ca="1" si="27"/>
        <v>9.0286077924428847E-4</v>
      </c>
      <c r="AR451" s="516">
        <f t="shared" ca="1" si="28"/>
        <v>1.8565654089523116E-3</v>
      </c>
      <c r="AT451" s="516">
        <f t="shared" ca="1" si="29"/>
        <v>3.1285811990800133E-2</v>
      </c>
      <c r="AU451" s="516">
        <f t="shared" ca="1" si="30"/>
        <v>4.4812943381953803E-2</v>
      </c>
      <c r="AV451" s="516">
        <f t="shared" ca="1" si="31"/>
        <v>7.8900843886615668E-2</v>
      </c>
    </row>
    <row r="452" spans="1:48" ht="10.5" customHeight="1">
      <c r="A452" s="96">
        <v>441</v>
      </c>
      <c r="B452" s="68" t="s">
        <v>597</v>
      </c>
      <c r="C452" s="97">
        <v>0.4</v>
      </c>
      <c r="D452" s="69" t="s">
        <v>66</v>
      </c>
      <c r="E452" s="136"/>
      <c r="F452" s="154"/>
      <c r="G452" s="154"/>
      <c r="H452" s="154"/>
      <c r="I452" s="154">
        <v>1.5479999999999999E-3</v>
      </c>
      <c r="J452" s="154"/>
      <c r="K452" s="154">
        <v>2.565E-3</v>
      </c>
      <c r="L452" s="154">
        <v>3.594E-3</v>
      </c>
      <c r="M452" s="154"/>
      <c r="N452" s="137" cm="1">
        <f t="array" aca="1" ref="N452:AE452" ca="1">IF(OR(B452="",NOT($J$2)),"",GetStripDefaultProbability(A452,B452,Parameter_Date,CDSRollDate,E452:M452,SpreadCurveMaturities,D452,C452,$J$4,$J$6))</f>
        <v>0</v>
      </c>
      <c r="O452" s="155">
        <f ca="1"/>
        <v>0</v>
      </c>
      <c r="P452" s="155">
        <f ca="1"/>
        <v>0</v>
      </c>
      <c r="Q452" s="155">
        <f ca="1"/>
        <v>0</v>
      </c>
      <c r="R452" s="155">
        <f ca="1"/>
        <v>7.9272922516264721E-3</v>
      </c>
      <c r="S452" s="155">
        <f ca="1"/>
        <v>0</v>
      </c>
      <c r="T452" s="155">
        <f ca="1"/>
        <v>2.1737822841767618E-2</v>
      </c>
      <c r="U452" s="155">
        <f ca="1"/>
        <v>4.2548791102655303E-2</v>
      </c>
      <c r="V452" s="138">
        <f ca="1"/>
        <v>0</v>
      </c>
      <c r="W452" s="137">
        <f ca="1"/>
        <v>0</v>
      </c>
      <c r="X452" s="155">
        <f ca="1"/>
        <v>0</v>
      </c>
      <c r="Y452" s="155">
        <f ca="1"/>
        <v>0</v>
      </c>
      <c r="Z452" s="155">
        <f ca="1"/>
        <v>0</v>
      </c>
      <c r="AA452" s="155">
        <f ca="1"/>
        <v>8.4232046170600317E-3</v>
      </c>
      <c r="AB452" s="155">
        <f ca="1"/>
        <v>0</v>
      </c>
      <c r="AC452" s="155">
        <f ca="1"/>
        <v>2.2573269390430473E-2</v>
      </c>
      <c r="AD452" s="155">
        <f ca="1"/>
        <v>4.3696724228311834E-2</v>
      </c>
      <c r="AE452" s="138">
        <f ca="1"/>
        <v>0</v>
      </c>
      <c r="AG452" s="135"/>
      <c r="AH452" s="135">
        <v>4.9890000000000004E-3</v>
      </c>
      <c r="AI452" s="135">
        <v>1.01E-2</v>
      </c>
      <c r="AJ452" s="135">
        <v>1.474E-2</v>
      </c>
      <c r="AK452" s="135"/>
      <c r="AL452" s="135">
        <f t="shared" ca="1" si="23"/>
        <v>3.8942654187462569E-3</v>
      </c>
      <c r="AM452" s="135">
        <f t="shared" ca="1" si="24"/>
        <v>1.1750842126065393E-2</v>
      </c>
      <c r="AN452" s="135">
        <f t="shared" ca="1" si="25"/>
        <v>2.4975588506728607E-2</v>
      </c>
      <c r="AP452" s="516">
        <f t="shared" ca="1" si="26"/>
        <v>1.0259676057540849E-3</v>
      </c>
      <c r="AQ452" s="516">
        <f t="shared" ca="1" si="27"/>
        <v>2.8398922050349778E-3</v>
      </c>
      <c r="AR452" s="516">
        <f t="shared" ca="1" si="28"/>
        <v>5.9439127124146559E-3</v>
      </c>
      <c r="AT452" s="516">
        <f t="shared" ca="1" si="29"/>
        <v>7.3039268143239064E-2</v>
      </c>
      <c r="AU452" s="516">
        <f t="shared" ca="1" si="30"/>
        <v>0.14095631521573759</v>
      </c>
      <c r="AV452" s="516">
        <f t="shared" ca="1" si="31"/>
        <v>0.2526060901148382</v>
      </c>
    </row>
    <row r="453" spans="1:48" ht="10.5" customHeight="1">
      <c r="A453" s="96">
        <v>442</v>
      </c>
      <c r="B453" s="68" t="s">
        <v>590</v>
      </c>
      <c r="C453" s="97">
        <v>0.4</v>
      </c>
      <c r="D453" s="69" t="s">
        <v>66</v>
      </c>
      <c r="E453" s="136"/>
      <c r="F453" s="154"/>
      <c r="G453" s="154"/>
      <c r="H453" s="154"/>
      <c r="I453" s="154">
        <v>1.606E-3</v>
      </c>
      <c r="J453" s="154"/>
      <c r="K453" s="154">
        <v>2.6679999999999998E-3</v>
      </c>
      <c r="L453" s="154">
        <v>3.9750000000000002E-3</v>
      </c>
      <c r="M453" s="154"/>
      <c r="N453" s="137" cm="1">
        <f t="array" aca="1" ref="N453:AE453" ca="1">IF(OR(B453="",NOT($J$2)),"",GetStripDefaultProbability(A453,B453,Parameter_Date,CDSRollDate,E453:M453,SpreadCurveMaturities,D453,C453,$J$4,$J$6))</f>
        <v>0</v>
      </c>
      <c r="O453" s="155">
        <f ca="1"/>
        <v>0</v>
      </c>
      <c r="P453" s="155">
        <f ca="1"/>
        <v>0</v>
      </c>
      <c r="Q453" s="155">
        <f ca="1"/>
        <v>0</v>
      </c>
      <c r="R453" s="155">
        <f ca="1"/>
        <v>8.223104254414082E-3</v>
      </c>
      <c r="S453" s="155">
        <f ca="1"/>
        <v>0</v>
      </c>
      <c r="T453" s="155">
        <f ca="1"/>
        <v>2.2603686105597043E-2</v>
      </c>
      <c r="U453" s="155">
        <f ca="1"/>
        <v>4.7050423306946088E-2</v>
      </c>
      <c r="V453" s="138">
        <f ca="1"/>
        <v>0</v>
      </c>
      <c r="W453" s="137">
        <f ca="1"/>
        <v>0</v>
      </c>
      <c r="X453" s="155">
        <f ca="1"/>
        <v>0</v>
      </c>
      <c r="Y453" s="155">
        <f ca="1"/>
        <v>0</v>
      </c>
      <c r="Z453" s="155">
        <f ca="1"/>
        <v>0</v>
      </c>
      <c r="AA453" s="155">
        <f ca="1"/>
        <v>8.7188687508532592E-3</v>
      </c>
      <c r="AB453" s="155">
        <f ca="1"/>
        <v>0</v>
      </c>
      <c r="AC453" s="155">
        <f ca="1"/>
        <v>2.3438416765339309E-2</v>
      </c>
      <c r="AD453" s="155">
        <f ca="1"/>
        <v>4.8193588227522843E-2</v>
      </c>
      <c r="AE453" s="138">
        <f ca="1"/>
        <v>0</v>
      </c>
      <c r="AG453" s="135"/>
      <c r="AH453" s="135">
        <v>2.7200000000000002E-3</v>
      </c>
      <c r="AI453" s="135">
        <v>4.6210000000000001E-3</v>
      </c>
      <c r="AJ453" s="135">
        <v>6.9170000000000004E-3</v>
      </c>
      <c r="AK453" s="135"/>
      <c r="AL453" s="135">
        <f t="shared" ca="1" si="23"/>
        <v>2.1231513207035113E-3</v>
      </c>
      <c r="AM453" s="135">
        <f t="shared" ca="1" si="24"/>
        <v>5.3763011351037806E-3</v>
      </c>
      <c r="AN453" s="135">
        <f t="shared" ca="1" si="25"/>
        <v>1.1720226981074748E-2</v>
      </c>
      <c r="AP453" s="516">
        <f t="shared" ca="1" si="26"/>
        <v>5.5935696284848888E-4</v>
      </c>
      <c r="AQ453" s="516">
        <f t="shared" ca="1" si="27"/>
        <v>1.299320978165013E-3</v>
      </c>
      <c r="AR453" s="516">
        <f t="shared" ca="1" si="28"/>
        <v>2.7892838691840013E-3</v>
      </c>
      <c r="AT453" s="516">
        <f t="shared" ca="1" si="29"/>
        <v>3.9820967999520999E-2</v>
      </c>
      <c r="AU453" s="516">
        <f t="shared" ca="1" si="30"/>
        <v>6.4491003228903318E-2</v>
      </c>
      <c r="AV453" s="516">
        <f t="shared" ca="1" si="31"/>
        <v>0.11853977783747191</v>
      </c>
    </row>
    <row r="454" spans="1:48" ht="10.5" customHeight="1">
      <c r="A454" s="96">
        <v>443</v>
      </c>
      <c r="B454" s="68" t="s">
        <v>591</v>
      </c>
      <c r="C454" s="97">
        <v>0.4</v>
      </c>
      <c r="D454" s="69" t="s">
        <v>66</v>
      </c>
      <c r="E454" s="136"/>
      <c r="F454" s="154"/>
      <c r="G454" s="154"/>
      <c r="H454" s="154"/>
      <c r="I454" s="154">
        <v>3.0330000000000001E-3</v>
      </c>
      <c r="J454" s="154"/>
      <c r="K454" s="154">
        <v>5.5510000000000004E-3</v>
      </c>
      <c r="L454" s="154">
        <v>8.4740000000000006E-3</v>
      </c>
      <c r="M454" s="154"/>
      <c r="N454" s="137" cm="1">
        <f t="array" aca="1" ref="N454:AE454" ca="1">IF(OR(B454="",NOT($J$2)),"",GetStripDefaultProbability(A454,B454,Parameter_Date,CDSRollDate,E454:M454,SpreadCurveMaturities,D454,C454,$J$4,$J$6))</f>
        <v>0</v>
      </c>
      <c r="O454" s="155">
        <f ca="1"/>
        <v>0</v>
      </c>
      <c r="P454" s="155">
        <f ca="1"/>
        <v>0</v>
      </c>
      <c r="Q454" s="155">
        <f ca="1"/>
        <v>0</v>
      </c>
      <c r="R454" s="155">
        <f ca="1"/>
        <v>1.5473886259390612E-2</v>
      </c>
      <c r="S454" s="155">
        <f ca="1"/>
        <v>0</v>
      </c>
      <c r="T454" s="155">
        <f ca="1"/>
        <v>4.6648130200894755E-2</v>
      </c>
      <c r="U454" s="155">
        <f ca="1"/>
        <v>9.8640258901240618E-2</v>
      </c>
      <c r="V454" s="138">
        <f ca="1"/>
        <v>0</v>
      </c>
      <c r="W454" s="137">
        <f ca="1"/>
        <v>0</v>
      </c>
      <c r="X454" s="155">
        <f ca="1"/>
        <v>0</v>
      </c>
      <c r="Y454" s="155">
        <f ca="1"/>
        <v>0</v>
      </c>
      <c r="Z454" s="155">
        <f ca="1"/>
        <v>0</v>
      </c>
      <c r="AA454" s="155">
        <f ca="1"/>
        <v>1.5966026271003297E-2</v>
      </c>
      <c r="AB454" s="155">
        <f ca="1"/>
        <v>0</v>
      </c>
      <c r="AC454" s="155">
        <f ca="1"/>
        <v>4.7461171625788112E-2</v>
      </c>
      <c r="AD454" s="155">
        <f ca="1"/>
        <v>9.9737206499891706E-2</v>
      </c>
      <c r="AE454" s="138">
        <f ca="1"/>
        <v>0</v>
      </c>
      <c r="AG454" s="135"/>
      <c r="AH454" s="135">
        <v>1.753E-3</v>
      </c>
      <c r="AI454" s="135">
        <v>3.101E-3</v>
      </c>
      <c r="AJ454" s="135">
        <v>4.653E-3</v>
      </c>
      <c r="AK454" s="135"/>
      <c r="AL454" s="135">
        <f t="shared" ca="1" si="23"/>
        <v>1.3683398033798734E-3</v>
      </c>
      <c r="AM454" s="135">
        <f t="shared" ca="1" si="24"/>
        <v>3.6078575676167114E-3</v>
      </c>
      <c r="AN454" s="135">
        <f t="shared" ca="1" si="25"/>
        <v>7.8840850286165682E-3</v>
      </c>
      <c r="AP454" s="516">
        <f t="shared" ca="1" si="26"/>
        <v>3.6049733671816213E-4</v>
      </c>
      <c r="AQ454" s="516">
        <f t="shared" ca="1" si="27"/>
        <v>8.7193126017955113E-4</v>
      </c>
      <c r="AR454" s="516">
        <f t="shared" ca="1" si="28"/>
        <v>1.8763246845905966E-3</v>
      </c>
      <c r="AT454" s="516">
        <f t="shared" ca="1" si="29"/>
        <v>2.5664028273220701E-2</v>
      </c>
      <c r="AU454" s="516">
        <f t="shared" ca="1" si="30"/>
        <v>4.3277775592475476E-2</v>
      </c>
      <c r="AV454" s="516">
        <f t="shared" ca="1" si="31"/>
        <v>7.9740579192967578E-2</v>
      </c>
    </row>
    <row r="455" spans="1:48" ht="10.5" customHeight="1">
      <c r="A455" s="96">
        <v>444</v>
      </c>
      <c r="B455" s="68" t="s">
        <v>592</v>
      </c>
      <c r="C455" s="97">
        <v>0.4</v>
      </c>
      <c r="D455" s="69" t="s">
        <v>66</v>
      </c>
      <c r="E455" s="136"/>
      <c r="F455" s="154"/>
      <c r="G455" s="154"/>
      <c r="H455" s="154"/>
      <c r="I455" s="154">
        <v>3.7399999999999998E-3</v>
      </c>
      <c r="J455" s="154"/>
      <c r="K455" s="154">
        <v>6.6239999999999997E-3</v>
      </c>
      <c r="L455" s="154">
        <v>9.2910000000000006E-3</v>
      </c>
      <c r="M455" s="154"/>
      <c r="N455" s="137" cm="1">
        <f t="array" aca="1" ref="N455:AE455" ca="1">IF(OR(B455="",NOT($J$2)),"",GetStripDefaultProbability(A455,B455,Parameter_Date,CDSRollDate,E455:M455,SpreadCurveMaturities,D455,C455,$J$4,$J$6))</f>
        <v>0</v>
      </c>
      <c r="O455" s="155">
        <f ca="1"/>
        <v>0</v>
      </c>
      <c r="P455" s="155">
        <f ca="1"/>
        <v>0</v>
      </c>
      <c r="Q455" s="155">
        <f ca="1"/>
        <v>0</v>
      </c>
      <c r="R455" s="155">
        <f ca="1"/>
        <v>1.9046981488017756E-2</v>
      </c>
      <c r="S455" s="155">
        <f ca="1"/>
        <v>0</v>
      </c>
      <c r="T455" s="155">
        <f ca="1"/>
        <v>5.5460775198697521E-2</v>
      </c>
      <c r="U455" s="155">
        <f ca="1"/>
        <v>0.10746904963676707</v>
      </c>
      <c r="V455" s="138">
        <f ca="1"/>
        <v>0</v>
      </c>
      <c r="W455" s="137">
        <f ca="1"/>
        <v>0</v>
      </c>
      <c r="X455" s="155">
        <f ca="1"/>
        <v>0</v>
      </c>
      <c r="Y455" s="155">
        <f ca="1"/>
        <v>0</v>
      </c>
      <c r="Z455" s="155">
        <f ca="1"/>
        <v>0</v>
      </c>
      <c r="AA455" s="155">
        <f ca="1"/>
        <v>1.953733539854563E-2</v>
      </c>
      <c r="AB455" s="155">
        <f ca="1"/>
        <v>0</v>
      </c>
      <c r="AC455" s="155">
        <f ca="1"/>
        <v>5.6247563345425133E-2</v>
      </c>
      <c r="AD455" s="155">
        <f ca="1"/>
        <v>0.10855600220381489</v>
      </c>
      <c r="AE455" s="138">
        <f ca="1"/>
        <v>0</v>
      </c>
      <c r="AG455" s="135"/>
      <c r="AH455" s="135">
        <v>3.1080000000000001E-3</v>
      </c>
      <c r="AI455" s="135">
        <v>5.4169999999999999E-3</v>
      </c>
      <c r="AJ455" s="135">
        <v>8.0789999999999994E-3</v>
      </c>
      <c r="AK455" s="135"/>
      <c r="AL455" s="135">
        <f t="shared" ca="1" si="23"/>
        <v>2.4260126120391593E-3</v>
      </c>
      <c r="AM455" s="135">
        <f t="shared" ca="1" si="24"/>
        <v>6.3024071086035874E-3</v>
      </c>
      <c r="AN455" s="135">
        <f t="shared" ca="1" si="25"/>
        <v>1.3689130226991886E-2</v>
      </c>
      <c r="AP455" s="516">
        <f t="shared" ca="1" si="26"/>
        <v>6.3914758843128803E-4</v>
      </c>
      <c r="AQ455" s="516">
        <f t="shared" ca="1" si="27"/>
        <v>1.5231382252152944E-3</v>
      </c>
      <c r="AR455" s="516">
        <f t="shared" ca="1" si="28"/>
        <v>3.2578609771776123E-3</v>
      </c>
      <c r="AT455" s="516">
        <f t="shared" ca="1" si="29"/>
        <v>4.5501311964158547E-2</v>
      </c>
      <c r="AU455" s="516">
        <f t="shared" ca="1" si="30"/>
        <v>7.560003559640105E-2</v>
      </c>
      <c r="AV455" s="516">
        <f t="shared" ca="1" si="31"/>
        <v>0.13845350081667421</v>
      </c>
    </row>
    <row r="456" spans="1:48" ht="10.5" customHeight="1">
      <c r="A456" s="96">
        <v>445</v>
      </c>
      <c r="B456" s="68" t="s">
        <v>593</v>
      </c>
      <c r="C456" s="97">
        <v>0.4</v>
      </c>
      <c r="D456" s="69" t="s">
        <v>66</v>
      </c>
      <c r="E456" s="136"/>
      <c r="F456" s="154"/>
      <c r="G456" s="154"/>
      <c r="H456" s="154"/>
      <c r="I456" s="154">
        <v>3.8470000000000002E-3</v>
      </c>
      <c r="J456" s="154"/>
      <c r="K456" s="154">
        <v>6.4609999999999997E-3</v>
      </c>
      <c r="L456" s="154">
        <v>8.9420000000000003E-3</v>
      </c>
      <c r="M456" s="154"/>
      <c r="N456" s="137" cm="1">
        <f t="array" aca="1" ref="N456:AE456" ca="1">IF(OR(B456="",NOT($J$2)),"",GetStripDefaultProbability(A456,B456,Parameter_Date,CDSRollDate,E456:M456,SpreadCurveMaturities,D456,C456,$J$4,$J$6))</f>
        <v>0</v>
      </c>
      <c r="O456" s="155">
        <f ca="1"/>
        <v>0</v>
      </c>
      <c r="P456" s="155">
        <f ca="1"/>
        <v>0</v>
      </c>
      <c r="Q456" s="155">
        <f ca="1"/>
        <v>0</v>
      </c>
      <c r="R456" s="155">
        <f ca="1"/>
        <v>1.9586640879349915E-2</v>
      </c>
      <c r="S456" s="155">
        <f ca="1"/>
        <v>0</v>
      </c>
      <c r="T456" s="155">
        <f ca="1"/>
        <v>5.4086674742622742E-2</v>
      </c>
      <c r="U456" s="155">
        <f ca="1"/>
        <v>0.10348643368193122</v>
      </c>
      <c r="V456" s="138">
        <f ca="1"/>
        <v>0</v>
      </c>
      <c r="W456" s="137">
        <f ca="1"/>
        <v>0</v>
      </c>
      <c r="X456" s="155">
        <f ca="1"/>
        <v>0</v>
      </c>
      <c r="Y456" s="155">
        <f ca="1"/>
        <v>0</v>
      </c>
      <c r="Z456" s="155">
        <f ca="1"/>
        <v>0</v>
      </c>
      <c r="AA456" s="155">
        <f ca="1"/>
        <v>2.0076725027676212E-2</v>
      </c>
      <c r="AB456" s="155">
        <f ca="1"/>
        <v>0</v>
      </c>
      <c r="AC456" s="155">
        <f ca="1"/>
        <v>5.4892035171113407E-2</v>
      </c>
      <c r="AD456" s="155">
        <f ca="1"/>
        <v>0.1045756219842392</v>
      </c>
      <c r="AE456" s="138">
        <f ca="1"/>
        <v>0</v>
      </c>
      <c r="AG456" s="135"/>
      <c r="AH456" s="135">
        <v>2.4889999999999999E-3</v>
      </c>
      <c r="AI456" s="135">
        <v>4.5339999999999998E-3</v>
      </c>
      <c r="AJ456" s="135">
        <v>6.875E-3</v>
      </c>
      <c r="AK456" s="135"/>
      <c r="AL456" s="135">
        <f t="shared" ca="1" si="23"/>
        <v>1.9428395725114116E-3</v>
      </c>
      <c r="AM456" s="135">
        <f t="shared" ca="1" si="24"/>
        <v>5.2750810098594544E-3</v>
      </c>
      <c r="AN456" s="135">
        <f t="shared" ca="1" si="25"/>
        <v>1.1649061803511477E-2</v>
      </c>
      <c r="AP456" s="516">
        <f t="shared" ca="1" si="26"/>
        <v>5.1185275019481201E-4</v>
      </c>
      <c r="AQ456" s="516">
        <f t="shared" ca="1" si="27"/>
        <v>1.2748585403592663E-3</v>
      </c>
      <c r="AR456" s="516">
        <f t="shared" ca="1" si="28"/>
        <v>2.7723473472083282E-3</v>
      </c>
      <c r="AT456" s="516">
        <f t="shared" ca="1" si="29"/>
        <v>3.6439113731914614E-2</v>
      </c>
      <c r="AU456" s="516">
        <f t="shared" ca="1" si="30"/>
        <v>6.3276825068134077E-2</v>
      </c>
      <c r="AV456" s="516">
        <f t="shared" ca="1" si="31"/>
        <v>0.11782000471774171</v>
      </c>
    </row>
    <row r="457" spans="1:48" ht="10.5" customHeight="1">
      <c r="A457" s="96"/>
      <c r="B457" s="68"/>
      <c r="C457" s="97"/>
      <c r="D457" s="69"/>
      <c r="E457" s="136"/>
      <c r="F457" s="154"/>
      <c r="G457" s="154"/>
      <c r="H457" s="154"/>
      <c r="I457" s="154"/>
      <c r="J457" s="154"/>
      <c r="K457" s="154"/>
      <c r="L457" s="154"/>
      <c r="M457" s="154"/>
      <c r="N457" s="137"/>
      <c r="O457" s="155"/>
      <c r="P457" s="155"/>
      <c r="Q457" s="155"/>
      <c r="R457" s="155"/>
      <c r="S457" s="155"/>
      <c r="T457" s="155"/>
      <c r="U457" s="155"/>
      <c r="V457" s="138"/>
      <c r="W457" s="137"/>
      <c r="X457" s="155"/>
      <c r="Y457" s="155"/>
      <c r="Z457" s="155"/>
      <c r="AA457" s="155"/>
      <c r="AB457" s="155"/>
      <c r="AC457" s="155"/>
      <c r="AD457" s="155"/>
      <c r="AE457" s="138"/>
      <c r="AG457" s="135"/>
      <c r="AH457" s="135">
        <v>9.5580000000000005E-3</v>
      </c>
      <c r="AI457" s="135">
        <v>1.5862999999999999E-2</v>
      </c>
      <c r="AJ457" s="135">
        <v>1.9740000000000001E-2</v>
      </c>
      <c r="AK457" s="135"/>
      <c r="AL457" s="135">
        <f t="shared" ca="1" si="23"/>
        <v>7.4606912953250597E-3</v>
      </c>
      <c r="AM457" s="135">
        <f t="shared" ca="1" si="24"/>
        <v>1.8455802836215379E-2</v>
      </c>
      <c r="AN457" s="135">
        <f t="shared" ca="1" si="25"/>
        <v>3.3447633454736954E-2</v>
      </c>
      <c r="AP457" s="516">
        <f t="shared" ca="1" si="26"/>
        <v>1.9655639157742121E-3</v>
      </c>
      <c r="AQ457" s="516">
        <f t="shared" ca="1" si="27"/>
        <v>4.4603178265811734E-3</v>
      </c>
      <c r="AR457" s="516">
        <f t="shared" ca="1" si="28"/>
        <v>7.9601653285661673E-3</v>
      </c>
      <c r="AT457" s="516">
        <f t="shared" ca="1" si="29"/>
        <v>0.13992971034537563</v>
      </c>
      <c r="AU457" s="516">
        <f t="shared" ca="1" si="30"/>
        <v>0.22138515131358866</v>
      </c>
      <c r="AV457" s="516">
        <f t="shared" ca="1" si="31"/>
        <v>0.33829336627319584</v>
      </c>
    </row>
    <row r="458" spans="1:48" ht="10.5" customHeight="1">
      <c r="A458" s="96"/>
      <c r="B458" s="68"/>
      <c r="C458" s="97"/>
      <c r="D458" s="69"/>
      <c r="E458" s="136"/>
      <c r="F458" s="154"/>
      <c r="G458" s="154"/>
      <c r="H458" s="154"/>
      <c r="I458" s="154"/>
      <c r="J458" s="154"/>
      <c r="K458" s="154"/>
      <c r="L458" s="154"/>
      <c r="M458" s="154"/>
      <c r="N458" s="137"/>
      <c r="O458" s="155"/>
      <c r="P458" s="155"/>
      <c r="Q458" s="155"/>
      <c r="R458" s="155"/>
      <c r="S458" s="155"/>
      <c r="T458" s="155"/>
      <c r="U458" s="155"/>
      <c r="V458" s="138"/>
      <c r="W458" s="137"/>
      <c r="X458" s="155"/>
      <c r="Y458" s="155"/>
      <c r="Z458" s="155"/>
      <c r="AA458" s="155"/>
      <c r="AB458" s="155"/>
      <c r="AC458" s="155"/>
      <c r="AD458" s="155"/>
      <c r="AE458" s="138"/>
      <c r="AG458" s="135"/>
      <c r="AH458" s="135">
        <v>7.8799999999999996E-4</v>
      </c>
      <c r="AI458" s="135">
        <v>1.3649999999999999E-3</v>
      </c>
      <c r="AJ458" s="135">
        <v>2.568E-3</v>
      </c>
      <c r="AK458" s="135"/>
      <c r="AL458" s="135">
        <f t="shared" ca="1" si="23"/>
        <v>6.1508942673322306E-4</v>
      </c>
      <c r="AM458" s="135">
        <f t="shared" ca="1" si="24"/>
        <v>1.588108861592006E-3</v>
      </c>
      <c r="AN458" s="135">
        <f t="shared" ca="1" si="25"/>
        <v>4.3512422852970871E-3</v>
      </c>
      <c r="AP458" s="516">
        <f t="shared" ca="1" si="26"/>
        <v>1.6204900247228279E-4</v>
      </c>
      <c r="AQ458" s="516">
        <f t="shared" ca="1" si="27"/>
        <v>3.8380721384878656E-4</v>
      </c>
      <c r="AR458" s="516">
        <f t="shared" ca="1" si="28"/>
        <v>1.0355473436554164E-3</v>
      </c>
      <c r="AT458" s="516">
        <f t="shared" ca="1" si="29"/>
        <v>1.1536368670449463E-2</v>
      </c>
      <c r="AU458" s="516">
        <f t="shared" ca="1" si="30"/>
        <v>1.9050036660344733E-2</v>
      </c>
      <c r="AV458" s="516">
        <f t="shared" ca="1" si="31"/>
        <v>4.400898503493246E-2</v>
      </c>
    </row>
    <row r="459" spans="1:48" ht="10.5" customHeight="1">
      <c r="A459" s="96"/>
      <c r="B459" s="68"/>
      <c r="C459" s="97"/>
      <c r="D459" s="69"/>
      <c r="E459" s="136"/>
      <c r="F459" s="154"/>
      <c r="G459" s="154"/>
      <c r="H459" s="154"/>
      <c r="I459" s="154"/>
      <c r="J459" s="154"/>
      <c r="K459" s="154"/>
      <c r="L459" s="154"/>
      <c r="M459" s="154"/>
      <c r="N459" s="137"/>
      <c r="O459" s="155"/>
      <c r="P459" s="155"/>
      <c r="Q459" s="155"/>
      <c r="R459" s="155"/>
      <c r="S459" s="155"/>
      <c r="T459" s="155"/>
      <c r="U459" s="155"/>
      <c r="V459" s="138"/>
      <c r="W459" s="137"/>
      <c r="X459" s="155"/>
      <c r="Y459" s="155"/>
      <c r="Z459" s="155"/>
      <c r="AA459" s="155"/>
      <c r="AB459" s="155"/>
      <c r="AC459" s="155"/>
      <c r="AD459" s="155"/>
      <c r="AE459" s="138"/>
      <c r="AG459" s="135"/>
      <c r="AH459" s="135">
        <v>1.861E-3</v>
      </c>
      <c r="AI459" s="135">
        <v>3.0709999999999999E-3</v>
      </c>
      <c r="AJ459" s="135">
        <v>4.4549999999999998E-3</v>
      </c>
      <c r="AK459" s="135"/>
      <c r="AL459" s="135">
        <f t="shared" ca="1" si="23"/>
        <v>1.4526413999372185E-3</v>
      </c>
      <c r="AM459" s="135">
        <f t="shared" ca="1" si="24"/>
        <v>3.5729540761531508E-3</v>
      </c>
      <c r="AN459" s="135">
        <f t="shared" ca="1" si="25"/>
        <v>7.5485920486754367E-3</v>
      </c>
      <c r="AP459" s="516">
        <f t="shared" ca="1" si="26"/>
        <v>3.827070984783227E-4</v>
      </c>
      <c r="AQ459" s="516">
        <f t="shared" ca="1" si="27"/>
        <v>8.6349593679825901E-4</v>
      </c>
      <c r="AR459" s="516">
        <f t="shared" ca="1" si="28"/>
        <v>1.7964810809909966E-3</v>
      </c>
      <c r="AT459" s="516">
        <f t="shared" ca="1" si="29"/>
        <v>2.7245154943789915E-2</v>
      </c>
      <c r="AU459" s="516">
        <f t="shared" ca="1" si="30"/>
        <v>4.285909346807229E-2</v>
      </c>
      <c r="AV459" s="516">
        <f t="shared" ca="1" si="31"/>
        <v>7.6347363057096621E-2</v>
      </c>
    </row>
    <row r="460" spans="1:48" ht="10.5" customHeight="1">
      <c r="A460" s="96"/>
      <c r="B460" s="68"/>
      <c r="C460" s="97"/>
      <c r="D460" s="69"/>
      <c r="E460" s="136"/>
      <c r="F460" s="154"/>
      <c r="G460" s="154"/>
      <c r="H460" s="154"/>
      <c r="I460" s="154"/>
      <c r="J460" s="154"/>
      <c r="K460" s="154"/>
      <c r="L460" s="154"/>
      <c r="M460" s="154"/>
      <c r="N460" s="137"/>
      <c r="O460" s="155"/>
      <c r="P460" s="155"/>
      <c r="Q460" s="155"/>
      <c r="R460" s="155"/>
      <c r="S460" s="155"/>
      <c r="T460" s="155"/>
      <c r="U460" s="155"/>
      <c r="V460" s="138"/>
      <c r="W460" s="137"/>
      <c r="X460" s="155"/>
      <c r="Y460" s="155"/>
      <c r="Z460" s="155"/>
      <c r="AA460" s="155"/>
      <c r="AB460" s="155"/>
      <c r="AC460" s="155"/>
      <c r="AD460" s="155"/>
      <c r="AE460" s="138"/>
      <c r="AG460" s="135"/>
      <c r="AH460" s="135">
        <v>3.8760000000000001E-3</v>
      </c>
      <c r="AI460" s="135">
        <v>6.6940000000000003E-3</v>
      </c>
      <c r="AJ460" s="135">
        <v>1.0071999999999999E-2</v>
      </c>
      <c r="AK460" s="135"/>
      <c r="AL460" s="135">
        <f t="shared" ca="1" si="23"/>
        <v>3.0254906320025038E-3</v>
      </c>
      <c r="AM460" s="135">
        <f t="shared" ca="1" si="24"/>
        <v>7.7881323952358169E-3</v>
      </c>
      <c r="AN460" s="135">
        <f t="shared" ca="1" si="25"/>
        <v>1.7066087343268012E-2</v>
      </c>
      <c r="AP460" s="516">
        <f t="shared" ca="1" si="26"/>
        <v>7.970836720590966E-4</v>
      </c>
      <c r="AQ460" s="516">
        <f t="shared" ca="1" si="27"/>
        <v>1.8822018238122912E-3</v>
      </c>
      <c r="AR460" s="516">
        <f t="shared" ca="1" si="28"/>
        <v>4.0615392699756047E-3</v>
      </c>
      <c r="AT460" s="516">
        <f t="shared" ca="1" si="29"/>
        <v>5.6744879399317417E-2</v>
      </c>
      <c r="AU460" s="516">
        <f t="shared" ca="1" si="30"/>
        <v>9.3421938025163118E-2</v>
      </c>
      <c r="AV460" s="516">
        <f t="shared" ca="1" si="31"/>
        <v>0.17260844909339554</v>
      </c>
    </row>
    <row r="461" spans="1:48" ht="10.5" customHeight="1">
      <c r="A461" s="96"/>
      <c r="B461" s="68"/>
      <c r="C461" s="97"/>
      <c r="D461" s="69"/>
      <c r="E461" s="136"/>
      <c r="F461" s="154"/>
      <c r="G461" s="154"/>
      <c r="H461" s="154"/>
      <c r="I461" s="154"/>
      <c r="J461" s="154"/>
      <c r="K461" s="154"/>
      <c r="L461" s="154"/>
      <c r="M461" s="154"/>
      <c r="N461" s="137"/>
      <c r="O461" s="155"/>
      <c r="P461" s="155"/>
      <c r="Q461" s="155"/>
      <c r="R461" s="155"/>
      <c r="S461" s="155"/>
      <c r="T461" s="155"/>
      <c r="U461" s="155"/>
      <c r="V461" s="138"/>
      <c r="W461" s="137"/>
      <c r="X461" s="155"/>
      <c r="Y461" s="155"/>
      <c r="Z461" s="155"/>
      <c r="AA461" s="155"/>
      <c r="AB461" s="155"/>
      <c r="AC461" s="155"/>
      <c r="AD461" s="155"/>
      <c r="AE461" s="138"/>
      <c r="AG461" s="135"/>
      <c r="AH461" s="135">
        <v>1.3079999999999999E-3</v>
      </c>
      <c r="AI461" s="135">
        <v>2.3080000000000002E-3</v>
      </c>
      <c r="AJ461" s="135">
        <v>3.643E-3</v>
      </c>
      <c r="AK461" s="135"/>
      <c r="AL461" s="135">
        <f t="shared" ca="1" si="23"/>
        <v>1.0209860027500708E-3</v>
      </c>
      <c r="AM461" s="135">
        <f t="shared" ca="1" si="24"/>
        <v>2.6852419432632606E-3</v>
      </c>
      <c r="AN461" s="135">
        <f t="shared" ca="1" si="25"/>
        <v>6.1727319491188815E-3</v>
      </c>
      <c r="AP461" s="516">
        <f t="shared" ca="1" si="26"/>
        <v>2.6898489242861153E-4</v>
      </c>
      <c r="AQ461" s="516">
        <f t="shared" ca="1" si="27"/>
        <v>6.4895754546739892E-4</v>
      </c>
      <c r="AR461" s="516">
        <f t="shared" ca="1" si="28"/>
        <v>1.4690416561279913E-3</v>
      </c>
      <c r="AT461" s="516">
        <f t="shared" ca="1" si="29"/>
        <v>1.9149200788004948E-2</v>
      </c>
      <c r="AU461" s="516">
        <f t="shared" ca="1" si="30"/>
        <v>3.221061143741806E-2</v>
      </c>
      <c r="AV461" s="516">
        <f t="shared" ca="1" si="31"/>
        <v>6.2431749408979345E-2</v>
      </c>
    </row>
    <row r="462" spans="1:48" ht="10.5" customHeight="1" thickBot="1">
      <c r="A462" s="326"/>
      <c r="B462" s="74"/>
      <c r="C462" s="509"/>
      <c r="D462" s="75"/>
      <c r="E462" s="510"/>
      <c r="F462" s="511"/>
      <c r="G462" s="511"/>
      <c r="H462" s="511"/>
      <c r="I462" s="511"/>
      <c r="J462" s="511"/>
      <c r="K462" s="511"/>
      <c r="L462" s="511"/>
      <c r="M462" s="511"/>
      <c r="N462" s="512"/>
      <c r="O462" s="513"/>
      <c r="P462" s="513"/>
      <c r="Q462" s="513"/>
      <c r="R462" s="513"/>
      <c r="S462" s="513"/>
      <c r="T462" s="513"/>
      <c r="U462" s="513"/>
      <c r="V462" s="514"/>
      <c r="W462" s="512"/>
      <c r="X462" s="513"/>
      <c r="Y462" s="513"/>
      <c r="Z462" s="513"/>
      <c r="AA462" s="513"/>
      <c r="AB462" s="513"/>
      <c r="AC462" s="513"/>
      <c r="AD462" s="513"/>
      <c r="AE462" s="514"/>
      <c r="AG462" s="135"/>
      <c r="AH462" s="135">
        <v>1.5479999999999999E-3</v>
      </c>
      <c r="AI462" s="135">
        <v>2.565E-3</v>
      </c>
      <c r="AJ462" s="135">
        <v>3.594E-3</v>
      </c>
      <c r="AK462" s="135"/>
      <c r="AL462" s="135">
        <f t="shared" ca="1" si="23"/>
        <v>1.208322883988616E-3</v>
      </c>
      <c r="AM462" s="135">
        <f t="shared" ca="1" si="24"/>
        <v>2.9842485201344291E-3</v>
      </c>
      <c r="AN462" s="135">
        <f t="shared" ca="1" si="25"/>
        <v>6.0897059086283999E-3</v>
      </c>
      <c r="AP462" s="516">
        <f t="shared" ca="1" si="26"/>
        <v>3.1833991856230169E-4</v>
      </c>
      <c r="AQ462" s="516">
        <f t="shared" ca="1" si="27"/>
        <v>7.2122014910046717E-4</v>
      </c>
      <c r="AR462" s="516">
        <f t="shared" ca="1" si="28"/>
        <v>1.4492823804897065E-3</v>
      </c>
      <c r="AT462" s="516">
        <f t="shared" ca="1" si="29"/>
        <v>2.2662815611492092E-2</v>
      </c>
      <c r="AU462" s="516">
        <f t="shared" ca="1" si="30"/>
        <v>3.5797321636471972E-2</v>
      </c>
      <c r="AV462" s="516">
        <f t="shared" ca="1" si="31"/>
        <v>6.1592014102627442E-2</v>
      </c>
    </row>
    <row r="463" spans="1:48" ht="10.5" customHeight="1">
      <c r="AH463" s="135">
        <v>1.606E-3</v>
      </c>
      <c r="AI463" s="135">
        <v>2.6679999999999998E-3</v>
      </c>
      <c r="AJ463" s="135">
        <v>3.9750000000000002E-3</v>
      </c>
      <c r="AL463" s="135">
        <f t="shared" ca="1" si="23"/>
        <v>1.2535959636212643E-3</v>
      </c>
      <c r="AM463" s="135">
        <f t="shared" ca="1" si="24"/>
        <v>3.1040838408259866E-3</v>
      </c>
      <c r="AN463" s="135">
        <f t="shared" ca="1" si="25"/>
        <v>6.7352757336666359E-3</v>
      </c>
      <c r="AP463" s="516">
        <f t="shared" ca="1" si="26"/>
        <v>3.3026738321127687E-4</v>
      </c>
      <c r="AQ463" s="516">
        <f t="shared" ca="1" si="27"/>
        <v>7.5018142604290293E-4</v>
      </c>
      <c r="AR463" s="516">
        <f t="shared" ca="1" si="28"/>
        <v>1.6029208298404519E-3</v>
      </c>
      <c r="AT463" s="516">
        <f t="shared" ca="1" si="29"/>
        <v>2.3511939193834822E-2</v>
      </c>
      <c r="AU463" s="516">
        <f t="shared" ca="1" si="30"/>
        <v>3.7234796930256227E-2</v>
      </c>
      <c r="AV463" s="516">
        <f t="shared" ca="1" si="31"/>
        <v>6.8121384545894295E-2</v>
      </c>
    </row>
    <row r="464" spans="1:48" ht="10.5" customHeight="1">
      <c r="AH464" s="135">
        <v>3.0330000000000001E-3</v>
      </c>
      <c r="AI464" s="135">
        <v>5.5510000000000004E-3</v>
      </c>
      <c r="AJ464" s="135">
        <v>8.4740000000000006E-3</v>
      </c>
      <c r="AL464" s="135">
        <f t="shared" ca="1" si="23"/>
        <v>2.367469836652114E-3</v>
      </c>
      <c r="AM464" s="135">
        <f t="shared" ca="1" si="24"/>
        <v>6.4583093704741589E-3</v>
      </c>
      <c r="AN464" s="135">
        <f t="shared" ca="1" si="25"/>
        <v>1.4358421777884548E-2</v>
      </c>
      <c r="AP464" s="516">
        <f t="shared" ca="1" si="26"/>
        <v>6.2372414276450983E-4</v>
      </c>
      <c r="AQ464" s="516">
        <f t="shared" ca="1" si="27"/>
        <v>1.5608160029850656E-3</v>
      </c>
      <c r="AR464" s="516">
        <f t="shared" ca="1" si="28"/>
        <v>3.4171449338535821E-3</v>
      </c>
      <c r="AT464" s="516">
        <f t="shared" ca="1" si="29"/>
        <v>4.4403307331818818E-2</v>
      </c>
      <c r="AU464" s="516">
        <f t="shared" ca="1" si="30"/>
        <v>7.7470149085401924E-2</v>
      </c>
      <c r="AV464" s="516">
        <f t="shared" ca="1" si="31"/>
        <v>0.14522279563318446</v>
      </c>
    </row>
    <row r="465" spans="34:48" ht="10.5" customHeight="1">
      <c r="AH465" s="135">
        <v>3.7399999999999998E-3</v>
      </c>
      <c r="AI465" s="135">
        <v>6.6239999999999997E-3</v>
      </c>
      <c r="AJ465" s="135">
        <v>9.2910000000000006E-3</v>
      </c>
      <c r="AL465" s="135">
        <f t="shared" ca="1" si="23"/>
        <v>2.919333065967328E-3</v>
      </c>
      <c r="AM465" s="135">
        <f t="shared" ca="1" si="24"/>
        <v>7.7066909151541742E-3</v>
      </c>
      <c r="AN465" s="135">
        <f t="shared" ca="1" si="25"/>
        <v>1.5742753922389111E-2</v>
      </c>
      <c r="AP465" s="516">
        <f t="shared" ca="1" si="26"/>
        <v>7.691158239166721E-4</v>
      </c>
      <c r="AQ465" s="516">
        <f t="shared" ca="1" si="27"/>
        <v>1.8625194025892763E-3</v>
      </c>
      <c r="AR465" s="516">
        <f t="shared" ca="1" si="28"/>
        <v>3.7466006113327389E-3</v>
      </c>
      <c r="AT465" s="516">
        <f t="shared" ca="1" si="29"/>
        <v>5.4753830999341363E-2</v>
      </c>
      <c r="AU465" s="516">
        <f t="shared" ca="1" si="30"/>
        <v>9.2445013068222351E-2</v>
      </c>
      <c r="AV465" s="516">
        <f t="shared" ca="1" si="31"/>
        <v>0.15922409655746012</v>
      </c>
    </row>
    <row r="466" spans="34:48" ht="10.5" customHeight="1">
      <c r="AH466" s="135">
        <v>3.8470000000000002E-3</v>
      </c>
      <c r="AI466" s="135">
        <v>6.4609999999999997E-3</v>
      </c>
      <c r="AJ466" s="135">
        <v>8.9420000000000003E-3</v>
      </c>
      <c r="AL466" s="135">
        <f t="shared" ca="1" si="23"/>
        <v>3.0028540921861794E-3</v>
      </c>
      <c r="AM466" s="135">
        <f t="shared" ca="1" si="24"/>
        <v>7.5170486115354951E-3</v>
      </c>
      <c r="AN466" s="135">
        <f t="shared" ca="1" si="25"/>
        <v>1.5151405185018129E-2</v>
      </c>
      <c r="AP466" s="516">
        <f t="shared" ca="1" si="26"/>
        <v>7.911199397346091E-4</v>
      </c>
      <c r="AQ466" s="516">
        <f t="shared" ca="1" si="27"/>
        <v>1.8166874788842565E-3</v>
      </c>
      <c r="AR466" s="516">
        <f t="shared" ca="1" si="28"/>
        <v>3.6058661787253632E-3</v>
      </c>
      <c r="AT466" s="516">
        <f t="shared" ca="1" si="29"/>
        <v>5.6320317608146056E-2</v>
      </c>
      <c r="AU466" s="516">
        <f t="shared" ca="1" si="30"/>
        <v>9.0170173525631739E-2</v>
      </c>
      <c r="AV466" s="516">
        <f t="shared" ca="1" si="31"/>
        <v>0.15324312468160675</v>
      </c>
    </row>
    <row r="467" spans="34:48" ht="10.5" customHeight="1"/>
  </sheetData>
  <mergeCells count="8">
    <mergeCell ref="W9:AE9"/>
    <mergeCell ref="C6:D6"/>
    <mergeCell ref="C7:D7"/>
    <mergeCell ref="G2:I2"/>
    <mergeCell ref="G4:I4"/>
    <mergeCell ref="G6:I6"/>
    <mergeCell ref="E9:M9"/>
    <mergeCell ref="N9:V9"/>
  </mergeCells>
  <dataValidations disablePrompts="1" count="2">
    <dataValidation type="list" allowBlank="1" showInputMessage="1" showErrorMessage="1" sqref="J6" xr:uid="{39E80897-C78A-4154-A015-854266F04FAF}">
      <formula1>CurvePointsList</formula1>
    </dataValidation>
    <dataValidation type="list" allowBlank="1" showInputMessage="1" showErrorMessage="1" sqref="J4 C6:D6 J2" xr:uid="{C6149993-BB53-4AA1-8150-3B8DC7CBAD14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StrippingCDSPricing">
                <anchor moveWithCells="1" sizeWithCells="1">
                  <from>
                    <xdr:col>4</xdr:col>
                    <xdr:colOff>28575</xdr:colOff>
                    <xdr:row>4</xdr:row>
                    <xdr:rowOff>180975</xdr:rowOff>
                  </from>
                  <to>
                    <xdr:col>5</xdr:col>
                    <xdr:colOff>752475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CurrentRegionCalculate">
                <anchor moveWithCells="1">
                  <from>
                    <xdr:col>44</xdr:col>
                    <xdr:colOff>514350</xdr:colOff>
                    <xdr:row>362</xdr:row>
                    <xdr:rowOff>123825</xdr:rowOff>
                  </from>
                  <to>
                    <xdr:col>45</xdr:col>
                    <xdr:colOff>295275</xdr:colOff>
                    <xdr:row>364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2A50-AEF8-4FAD-B452-51BAEC61562E}">
  <sheetPr codeName="Feuil4"/>
  <dimension ref="B2:K130"/>
  <sheetViews>
    <sheetView showGridLines="0" zoomScale="106" zoomScaleNormal="99" workbookViewId="0">
      <selection activeCell="D10" sqref="D10"/>
    </sheetView>
  </sheetViews>
  <sheetFormatPr defaultColWidth="11.42578125" defaultRowHeight="15"/>
  <sheetData>
    <row r="2" spans="2:11">
      <c r="J2" s="257"/>
      <c r="K2" s="168"/>
    </row>
    <row r="3" spans="2:11">
      <c r="J3" s="257"/>
    </row>
    <row r="5" spans="2:11" ht="15.75" thickBot="1"/>
    <row r="6" spans="2:11" ht="15.75" thickBot="1">
      <c r="B6" s="172" t="s">
        <v>423</v>
      </c>
      <c r="C6" s="178" t="b">
        <v>1</v>
      </c>
      <c r="H6" s="173" t="s">
        <v>424</v>
      </c>
      <c r="I6" s="636">
        <v>1</v>
      </c>
      <c r="J6" s="637"/>
      <c r="K6" s="638"/>
    </row>
    <row r="7" spans="2:11" ht="15.75" thickBot="1">
      <c r="D7" s="162"/>
      <c r="H7" s="174" t="s">
        <v>425</v>
      </c>
      <c r="I7" s="639" t="str" cm="1">
        <f t="array" aca="1" ref="I7" ca="1">GetGetCDSName(I6)</f>
        <v>ABNAMRO_MMR.EUR.SU</v>
      </c>
      <c r="J7" s="640"/>
      <c r="K7" s="641"/>
    </row>
    <row r="8" spans="2:11" ht="15.75" thickBot="1"/>
    <row r="9" spans="2:11" ht="15.75" thickBot="1">
      <c r="B9" s="165"/>
      <c r="C9" s="166" t="s">
        <v>426</v>
      </c>
      <c r="D9" s="167" t="s">
        <v>427</v>
      </c>
      <c r="E9" s="164" t="s">
        <v>428</v>
      </c>
    </row>
    <row r="10" spans="2:11">
      <c r="B10" s="175" t="str">
        <f ca="1">ROW()-ROW($B$9)&amp;"M"</f>
        <v>1M</v>
      </c>
      <c r="C10" s="206">
        <f ca="1">MAX(0,(DATE(YEAR(CDSRollDate),MONTH(CDSRollDate)+ROW()-ROW($B$9),DAY(CDSRollDate))-Parameter_Date)/365)</f>
        <v>0.13698630136986301</v>
      </c>
      <c r="D10" s="169">
        <f ca="1">IF(NOT($C$6),"",IF(GetConvertDate(CDSRollDate,B10)&lt;Parameter_Date,0,GetGetDefaultprob($I$6,B10)))</f>
        <v>3.0567789593183292E-4</v>
      </c>
      <c r="E10" s="207">
        <f ca="1">IF(NOT($C$6),"",IF(C11=0,0,-LN(1-D11)/$C11))</f>
        <v>2.2317897620828526E-3</v>
      </c>
    </row>
    <row r="11" spans="2:11">
      <c r="B11" s="176" t="str">
        <f t="shared" ref="B11:B74" ca="1" si="0">ROW()-ROW($B$9)&amp;"M"</f>
        <v>2M</v>
      </c>
      <c r="C11" s="208">
        <f ca="1">MAX(0,(DATE(YEAR(CDSRollDate),MONTH(CDSRollDate)+ROW()-ROW($B$9),DAY(CDSRollDate))-Parameter_Date)/365)</f>
        <v>0.22191780821917809</v>
      </c>
      <c r="D11" s="161">
        <f ca="1">IF(NOT($C$6),"",IF(GetConvertDate(CDSRollDate,B11)&lt;Parameter_Date,0,GetGetDefaultprob($I$6,B11)))</f>
        <v>4.9515126453880676E-4</v>
      </c>
      <c r="E11" s="170">
        <f ca="1">IF(NOT($C$6),"",IF(C11=0,0,-LN((1-D11)/(1-D10))/($C11-$C10)))</f>
        <v>2.2317897620836372E-3</v>
      </c>
      <c r="F11" s="156"/>
      <c r="G11" s="157"/>
    </row>
    <row r="12" spans="2:11">
      <c r="B12" s="176" t="str">
        <f t="shared" ca="1" si="0"/>
        <v>3M</v>
      </c>
      <c r="C12" s="208">
        <f ca="1">MAX(0,(DATE(YEAR(CDSRollDate),MONTH(CDSRollDate)+ROW()-ROW($B$9),DAY(CDSRollDate))-Parameter_Date)/365)</f>
        <v>0.30136986301369861</v>
      </c>
      <c r="D12" s="161">
        <f ca="1">IF(NOT($C$6),"",IF(GetConvertDate(CDSRollDate,B12)&lt;Parameter_Date,0,GetGetDefaultprob($I$6,B12)))</f>
        <v>6.7236803411530044E-4</v>
      </c>
      <c r="E12" s="170">
        <f ca="1">IF(NOT($C$6),"",IF(C12=0,0,-LN((1-D12)/(1-D11))/($C12-$C11)))</f>
        <v>2.2317897620821071E-3</v>
      </c>
      <c r="F12" s="156"/>
      <c r="G12" s="157"/>
    </row>
    <row r="13" spans="2:11">
      <c r="B13" s="176" t="str">
        <f t="shared" ca="1" si="0"/>
        <v>4M</v>
      </c>
      <c r="C13" s="208">
        <f t="shared" ref="C13:C41" ca="1" si="1">MAX(0,(DATE(YEAR(CDSRollDate),MONTH(CDSRollDate)+ROW()-ROW($B$9),DAY(CDSRollDate))-Parameter_Date)/365)</f>
        <v>0.38630136986301372</v>
      </c>
      <c r="D13" s="161">
        <f ca="1">IF(NOT($C$6),"",IF(GetConvertDate(CDSRollDate,B13)&lt;Parameter_Date,0,GetGetDefaultprob($I$6,B13)))</f>
        <v>8.617719034621496E-4</v>
      </c>
      <c r="E13" s="170">
        <f t="shared" ref="E13:E75" ca="1" si="2">IF(NOT($C$6),"",IF(C13=0,0,-LN((1-D13)/(1-D12))/($C13-$C12)))</f>
        <v>2.2317897620836367E-3</v>
      </c>
      <c r="F13" s="156"/>
      <c r="G13" s="157"/>
    </row>
    <row r="14" spans="2:11">
      <c r="B14" s="176" t="str">
        <f t="shared" ca="1" si="0"/>
        <v>5M</v>
      </c>
      <c r="C14" s="208">
        <f t="shared" ca="1" si="1"/>
        <v>0.46849315068493153</v>
      </c>
      <c r="D14" s="161">
        <f ca="1">IF(NOT($C$6),"",IF(GetConvertDate(CDSRollDate,B14)&lt;Parameter_Date,0,GetGetDefaultprob($I$6,B14)))</f>
        <v>1.0450317908606843E-3</v>
      </c>
      <c r="E14" s="170">
        <f t="shared" ca="1" si="2"/>
        <v>2.2317897620818448E-3</v>
      </c>
      <c r="F14" s="156"/>
      <c r="G14" s="157"/>
    </row>
    <row r="15" spans="2:11">
      <c r="B15" s="176" t="str">
        <f t="shared" ca="1" si="0"/>
        <v>6M</v>
      </c>
      <c r="C15" s="208">
        <f t="shared" ca="1" si="1"/>
        <v>0.55342465753424652</v>
      </c>
      <c r="D15" s="161">
        <f ca="1">IF(NOT($C$6),"",IF(GetConvertDate(CDSRollDate,B15)&lt;Parameter_Date,0,GetGetDefaultprob($I$6,B15)))</f>
        <v>1.2343650287596208E-3</v>
      </c>
      <c r="E15" s="170">
        <f t="shared" ca="1" si="2"/>
        <v>2.2317897620823318E-3</v>
      </c>
      <c r="F15" s="156"/>
      <c r="G15" s="157"/>
    </row>
    <row r="16" spans="2:11">
      <c r="B16" s="176" t="str">
        <f t="shared" ca="1" si="0"/>
        <v>7M</v>
      </c>
      <c r="C16" s="208">
        <f t="shared" ca="1" si="1"/>
        <v>0.63561643835616444</v>
      </c>
      <c r="D16" s="161">
        <f ca="1">IF(NOT($C$6),"",IF(GetConvertDate(CDSRollDate,B16)&lt;Parameter_Date,0,GetGetDefaultprob($I$6,B16)))</f>
        <v>1.6141946362211446E-3</v>
      </c>
      <c r="E16" s="170">
        <f t="shared" ca="1" si="2"/>
        <v>4.6278516355851094E-3</v>
      </c>
      <c r="F16" s="156"/>
      <c r="G16" s="157"/>
    </row>
    <row r="17" spans="2:7">
      <c r="B17" s="176" t="str">
        <f t="shared" ca="1" si="0"/>
        <v>8M</v>
      </c>
      <c r="C17" s="208">
        <f t="shared" ca="1" si="1"/>
        <v>0.72054794520547949</v>
      </c>
      <c r="D17" s="161">
        <f ca="1">IF(NOT($C$6),"",IF(GetConvertDate(CDSRollDate,B17)&lt;Parameter_Date,0,GetGetDefaultprob($I$6,B17)))</f>
        <v>2.0065334797150225E-3</v>
      </c>
      <c r="E17" s="170">
        <f t="shared" ca="1" si="2"/>
        <v>4.6278516355857157E-3</v>
      </c>
      <c r="F17" s="156"/>
      <c r="G17" s="157"/>
    </row>
    <row r="18" spans="2:7">
      <c r="B18" s="176" t="str">
        <f t="shared" ca="1" si="0"/>
        <v>9M</v>
      </c>
      <c r="C18" s="208">
        <f t="shared" ca="1" si="1"/>
        <v>0.80547945205479454</v>
      </c>
      <c r="D18" s="161">
        <f ca="1">IF(NOT($C$6),"",IF(GetConvertDate(CDSRollDate,B18)&lt;Parameter_Date,0,GetGetDefaultprob($I$6,B18)))</f>
        <v>2.3987181445664918E-3</v>
      </c>
      <c r="E18" s="170">
        <f t="shared" ca="1" si="2"/>
        <v>4.6278516355857157E-3</v>
      </c>
      <c r="F18" s="156"/>
      <c r="G18" s="157"/>
    </row>
    <row r="19" spans="2:7">
      <c r="B19" s="176" t="str">
        <f t="shared" ca="1" si="0"/>
        <v>10M</v>
      </c>
      <c r="C19" s="208">
        <f t="shared" ca="1" si="1"/>
        <v>0.88767123287671235</v>
      </c>
      <c r="D19" s="161">
        <f ca="1">IF(NOT($C$6),"",IF(GetConvertDate(CDSRollDate,B19)&lt;Parameter_Date,0,GetGetDefaultprob($I$6,B19)))</f>
        <v>2.778104949661242E-3</v>
      </c>
      <c r="E19" s="170">
        <f t="shared" ca="1" si="2"/>
        <v>4.6278516355837641E-3</v>
      </c>
      <c r="F19" s="156"/>
      <c r="G19" s="157"/>
    </row>
    <row r="20" spans="2:7">
      <c r="B20" s="176" t="str">
        <f t="shared" ca="1" si="0"/>
        <v>11M</v>
      </c>
      <c r="C20" s="208">
        <f t="shared" ca="1" si="1"/>
        <v>0.9726027397260274</v>
      </c>
      <c r="D20" s="161">
        <f ca="1">IF(NOT($C$6),"",IF(GetConvertDate(CDSRollDate,B20)&lt;Parameter_Date,0,GetGetDefaultprob($I$6,B20)))</f>
        <v>3.1699864076195627E-3</v>
      </c>
      <c r="E20" s="170">
        <f t="shared" ca="1" si="2"/>
        <v>4.6278516355857157E-3</v>
      </c>
      <c r="F20" s="156"/>
      <c r="G20" s="157"/>
    </row>
    <row r="21" spans="2:7">
      <c r="B21" s="176" t="str">
        <f t="shared" ca="1" si="0"/>
        <v>12M</v>
      </c>
      <c r="C21" s="208">
        <f t="shared" ca="1" si="1"/>
        <v>1.0547945205479452</v>
      </c>
      <c r="D21" s="161">
        <f ca="1">IF(NOT($C$6),"",IF(GetConvertDate(CDSRollDate,B21)&lt;Parameter_Date,0,GetGetDefaultprob($I$6,B21)))</f>
        <v>3.5490799001379747E-3</v>
      </c>
      <c r="E21" s="170">
        <f t="shared" ca="1" si="2"/>
        <v>4.6278516355851155E-3</v>
      </c>
      <c r="F21" s="156"/>
      <c r="G21" s="157"/>
    </row>
    <row r="22" spans="2:7">
      <c r="B22" s="176" t="str">
        <f t="shared" ca="1" si="0"/>
        <v>13M</v>
      </c>
      <c r="C22" s="208">
        <f t="shared" ca="1" si="1"/>
        <v>1.1397260273972603</v>
      </c>
      <c r="D22" s="161">
        <f ca="1">IF(NOT($C$6),"",IF(GetConvertDate(CDSRollDate,B22)&lt;Parameter_Date,0,GetGetDefaultprob($I$6,B22)))</f>
        <v>4.0126981613827217E-3</v>
      </c>
      <c r="E22" s="170">
        <f t="shared" ca="1" si="2"/>
        <v>5.4794484254279017E-3</v>
      </c>
      <c r="F22" s="156"/>
      <c r="G22" s="157"/>
    </row>
    <row r="23" spans="2:7">
      <c r="B23" s="176" t="str">
        <f t="shared" ca="1" si="0"/>
        <v>14M</v>
      </c>
      <c r="C23" s="208">
        <f t="shared" ca="1" si="1"/>
        <v>1.2246575342465753</v>
      </c>
      <c r="D23" s="161">
        <f ca="1">IF(NOT($C$6),"",IF(GetConvertDate(CDSRollDate,B23)&lt;Parameter_Date,0,GetGetDefaultprob($I$6,B23)))</f>
        <v>4.4761007151722376E-3</v>
      </c>
      <c r="E23" s="170">
        <f t="shared" ca="1" si="2"/>
        <v>5.4794484254265937E-3</v>
      </c>
      <c r="F23" s="156"/>
      <c r="G23" s="157"/>
    </row>
    <row r="24" spans="2:7">
      <c r="B24" s="176" t="str">
        <f t="shared" ca="1" si="0"/>
        <v>15M</v>
      </c>
      <c r="C24" s="208">
        <f t="shared" ca="1" si="1"/>
        <v>1.3013698630136987</v>
      </c>
      <c r="D24" s="161">
        <f ca="1">IF(NOT($C$6),"",IF(GetConvertDate(CDSRollDate,B24)&lt;Parameter_Date,0,GetGetDefaultprob($I$6,B24)))</f>
        <v>4.8944725388531118E-3</v>
      </c>
      <c r="E24" s="170">
        <f t="shared" ca="1" si="2"/>
        <v>5.4794484254293745E-3</v>
      </c>
      <c r="F24" s="156"/>
      <c r="G24" s="157"/>
    </row>
    <row r="25" spans="2:7">
      <c r="B25" s="176" t="str">
        <f t="shared" ca="1" si="0"/>
        <v>16M</v>
      </c>
      <c r="C25" s="208">
        <f t="shared" ca="1" si="1"/>
        <v>1.3863013698630138</v>
      </c>
      <c r="D25" s="161">
        <f ca="1">IF(NOT($C$6),"",IF(GetConvertDate(CDSRollDate,B25)&lt;Parameter_Date,0,GetGetDefaultprob($I$6,B25)))</f>
        <v>5.3574648298836403E-3</v>
      </c>
      <c r="E25" s="170">
        <f t="shared" ca="1" si="2"/>
        <v>5.4794484254279017E-3</v>
      </c>
      <c r="F25" s="156"/>
      <c r="G25" s="157"/>
    </row>
    <row r="26" spans="2:7">
      <c r="B26" s="176" t="str">
        <f t="shared" ca="1" si="0"/>
        <v>17M</v>
      </c>
      <c r="C26" s="208">
        <f t="shared" ca="1" si="1"/>
        <v>1.4684931506849315</v>
      </c>
      <c r="D26" s="161">
        <f ca="1">IF(NOT($C$6),"",IF(GetConvertDate(CDSRollDate,B26)&lt;Parameter_Date,0,GetGetDefaultprob($I$6,B26)))</f>
        <v>5.8053167797690319E-3</v>
      </c>
      <c r="E26" s="170">
        <f t="shared" ca="1" si="2"/>
        <v>5.479448425428495E-3</v>
      </c>
      <c r="F26" s="156"/>
      <c r="G26" s="157"/>
    </row>
    <row r="27" spans="2:7">
      <c r="B27" s="176" t="str">
        <f t="shared" ca="1" si="0"/>
        <v>18M</v>
      </c>
      <c r="C27" s="208">
        <f t="shared" ca="1" si="1"/>
        <v>1.5534246575342465</v>
      </c>
      <c r="D27" s="161">
        <f ca="1">IF(NOT($C$6),"",IF(GetConvertDate(CDSRollDate,B27)&lt;Parameter_Date,0,GetGetDefaultprob($I$6,B27)))</f>
        <v>6.2678852827185993E-3</v>
      </c>
      <c r="E27" s="170">
        <f t="shared" ca="1" si="2"/>
        <v>5.4794484254279017E-3</v>
      </c>
      <c r="F27" s="156"/>
      <c r="G27" s="157"/>
    </row>
    <row r="28" spans="2:7">
      <c r="B28" s="176" t="str">
        <f t="shared" ca="1" si="0"/>
        <v>19M</v>
      </c>
      <c r="C28" s="208">
        <f t="shared" ca="1" si="1"/>
        <v>1.6356164383561644</v>
      </c>
      <c r="D28" s="161">
        <f ca="1">IF(NOT($C$6),"",IF(GetConvertDate(CDSRollDate,B28)&lt;Parameter_Date,0,GetGetDefaultprob($I$6,B28)))</f>
        <v>6.7153273028447424E-3</v>
      </c>
      <c r="E28" s="170">
        <f t="shared" ca="1" si="2"/>
        <v>5.4794484254284802E-3</v>
      </c>
      <c r="F28" s="156"/>
      <c r="G28" s="157"/>
    </row>
    <row r="29" spans="2:7">
      <c r="B29" s="176" t="str">
        <f t="shared" ca="1" si="0"/>
        <v>20M</v>
      </c>
      <c r="C29" s="208">
        <f t="shared" ca="1" si="1"/>
        <v>1.7205479452054795</v>
      </c>
      <c r="D29" s="161">
        <f ca="1">IF(NOT($C$6),"",IF(GetConvertDate(CDSRollDate,B29)&lt;Parameter_Date,0,GetGetDefaultprob($I$6,B29)))</f>
        <v>7.177472405616836E-3</v>
      </c>
      <c r="E29" s="170">
        <f t="shared" ca="1" si="2"/>
        <v>5.4794484254279017E-3</v>
      </c>
      <c r="F29" s="156"/>
      <c r="G29" s="157"/>
    </row>
    <row r="30" spans="2:7">
      <c r="B30" s="176" t="str">
        <f t="shared" ca="1" si="0"/>
        <v>21M</v>
      </c>
      <c r="C30" s="208">
        <f t="shared" ca="1" si="1"/>
        <v>1.8054794520547945</v>
      </c>
      <c r="D30" s="161">
        <f ca="1">IF(NOT($C$6),"",IF(GetConvertDate(CDSRollDate,B30)&lt;Parameter_Date,0,GetGetDefaultprob($I$6,B30)))</f>
        <v>7.6394024863496446E-3</v>
      </c>
      <c r="E30" s="170">
        <f t="shared" ca="1" si="2"/>
        <v>5.4794484254292097E-3</v>
      </c>
      <c r="F30" s="156"/>
      <c r="G30" s="157"/>
    </row>
    <row r="31" spans="2:7">
      <c r="B31" s="176" t="str">
        <f t="shared" ca="1" si="0"/>
        <v>22M</v>
      </c>
      <c r="C31" s="208">
        <f t="shared" ca="1" si="1"/>
        <v>1.8876712328767122</v>
      </c>
      <c r="D31" s="161">
        <f ca="1">IF(NOT($C$6),"",IF(GetConvertDate(CDSRollDate,B31)&lt;Parameter_Date,0,GetGetDefaultprob($I$6,B31)))</f>
        <v>8.0862269613453108E-3</v>
      </c>
      <c r="E31" s="170">
        <f t="shared" ca="1" si="2"/>
        <v>5.4794484254257923E-3</v>
      </c>
      <c r="F31" s="156"/>
      <c r="G31" s="157"/>
    </row>
    <row r="32" spans="2:7">
      <c r="B32" s="176" t="str">
        <f t="shared" ca="1" si="0"/>
        <v>23M</v>
      </c>
      <c r="C32" s="208">
        <f t="shared" ca="1" si="1"/>
        <v>1.9726027397260273</v>
      </c>
      <c r="D32" s="161">
        <f ca="1">IF(NOT($C$6),"",IF(GetConvertDate(CDSRollDate,B32)&lt;Parameter_Date,0,GetGetDefaultprob($I$6,B32)))</f>
        <v>8.547734226263981E-3</v>
      </c>
      <c r="E32" s="170">
        <f t="shared" ca="1" si="2"/>
        <v>5.4794484254292097E-3</v>
      </c>
      <c r="F32" s="156"/>
      <c r="G32" s="157"/>
    </row>
    <row r="33" spans="2:7">
      <c r="B33" s="176" t="str">
        <f t="shared" ca="1" si="0"/>
        <v>24M</v>
      </c>
      <c r="C33" s="208">
        <f t="shared" ca="1" si="1"/>
        <v>2.0547945205479454</v>
      </c>
      <c r="D33" s="161">
        <f ca="1">IF(NOT($C$6),"",IF(GetConvertDate(CDSRollDate,B33)&lt;Parameter_Date,0,GetGetDefaultprob($I$6,B33)))</f>
        <v>8.9941497119730984E-3</v>
      </c>
      <c r="E33" s="170">
        <f t="shared" ca="1" si="2"/>
        <v>5.4794484254271142E-3</v>
      </c>
      <c r="F33" s="156"/>
      <c r="G33" s="157"/>
    </row>
    <row r="34" spans="2:7">
      <c r="B34" s="176" t="str">
        <f t="shared" ca="1" si="0"/>
        <v>25M</v>
      </c>
      <c r="C34" s="208">
        <f t="shared" ca="1" si="1"/>
        <v>2.1397260273972605</v>
      </c>
      <c r="D34" s="161">
        <f ca="1">IF(NOT($C$6),"",IF(GetConvertDate(CDSRollDate,B34)&lt;Parameter_Date,0,GetGetDefaultprob($I$6,B34)))</f>
        <v>9.6610067969516988E-3</v>
      </c>
      <c r="E34" s="170">
        <f t="shared" ca="1" si="2"/>
        <v>7.9256316334030165E-3</v>
      </c>
      <c r="F34" s="156"/>
      <c r="G34" s="157"/>
    </row>
    <row r="35" spans="2:7">
      <c r="B35" s="176" t="str">
        <f t="shared" ca="1" si="0"/>
        <v>26M</v>
      </c>
      <c r="C35" s="208">
        <f t="shared" ca="1" si="1"/>
        <v>2.2246575342465755</v>
      </c>
      <c r="D35" s="161">
        <f ca="1">IF(NOT($C$6),"",IF(GetConvertDate(CDSRollDate,B35)&lt;Parameter_Date,0,GetGetDefaultprob($I$6,B35)))</f>
        <v>1.0327415147574515E-2</v>
      </c>
      <c r="E35" s="170">
        <f t="shared" ca="1" si="2"/>
        <v>7.9256316334030165E-3</v>
      </c>
      <c r="F35" s="156"/>
      <c r="G35" s="157"/>
    </row>
    <row r="36" spans="2:7">
      <c r="B36" s="176" t="str">
        <f t="shared" ca="1" si="0"/>
        <v>27M</v>
      </c>
      <c r="C36" s="208">
        <f t="shared" ca="1" si="1"/>
        <v>2.3013698630136985</v>
      </c>
      <c r="D36" s="161">
        <f ca="1">IF(NOT($C$6),"",IF(GetConvertDate(CDSRollDate,B36)&lt;Parameter_Date,0,GetGetDefaultprob($I$6,B36)))</f>
        <v>1.0928946921911598E-2</v>
      </c>
      <c r="E36" s="170">
        <f t="shared" ca="1" si="2"/>
        <v>7.9256316334033339E-3</v>
      </c>
      <c r="F36" s="156"/>
      <c r="G36" s="157"/>
    </row>
    <row r="37" spans="2:7">
      <c r="B37" s="176" t="str">
        <f t="shared" ca="1" si="0"/>
        <v>28M</v>
      </c>
      <c r="C37" s="208">
        <f t="shared" ca="1" si="1"/>
        <v>2.3863013698630136</v>
      </c>
      <c r="D37" s="161">
        <f ca="1">IF(NOT($C$6),"",IF(GetConvertDate(CDSRollDate,B37)&lt;Parameter_Date,0,GetGetDefaultprob($I$6,B37)))</f>
        <v>1.1594502063791645E-2</v>
      </c>
      <c r="E37" s="170">
        <f t="shared" ca="1" si="2"/>
        <v>7.9256316334030165E-3</v>
      </c>
      <c r="F37" s="156"/>
      <c r="G37" s="157"/>
    </row>
    <row r="38" spans="2:7">
      <c r="B38" s="176" t="str">
        <f t="shared" ca="1" si="0"/>
        <v>29M</v>
      </c>
      <c r="C38" s="208">
        <f t="shared" ca="1" si="1"/>
        <v>2.4684931506849317</v>
      </c>
      <c r="D38" s="161">
        <f ca="1">IF(NOT($C$6),"",IF(GetConvertDate(CDSRollDate,B38)&lt;Parameter_Date,0,GetGetDefaultprob($I$6,B38)))</f>
        <v>1.2238161261158398E-2</v>
      </c>
      <c r="E38" s="170">
        <f t="shared" ca="1" si="2"/>
        <v>7.9256316334045864E-3</v>
      </c>
      <c r="F38" s="156"/>
      <c r="G38" s="157"/>
    </row>
    <row r="39" spans="2:7">
      <c r="B39" s="176" t="str">
        <f t="shared" ca="1" si="0"/>
        <v>30M</v>
      </c>
      <c r="C39" s="208">
        <f t="shared" ca="1" si="1"/>
        <v>2.5534246575342467</v>
      </c>
      <c r="D39" s="161">
        <f ca="1">IF(NOT($C$6),"",IF(GetConvertDate(CDSRollDate,B39)&lt;Parameter_Date,0,GetGetDefaultprob($I$6,B39)))</f>
        <v>1.2902835420491532E-2</v>
      </c>
      <c r="E39" s="170">
        <f t="shared" ca="1" si="2"/>
        <v>7.9256316334017102E-3</v>
      </c>
      <c r="F39" s="156"/>
      <c r="G39" s="157"/>
    </row>
    <row r="40" spans="2:7">
      <c r="B40" s="176" t="str">
        <f t="shared" ca="1" si="0"/>
        <v>31M</v>
      </c>
      <c r="C40" s="208">
        <f t="shared" ca="1" si="1"/>
        <v>2.6356164383561644</v>
      </c>
      <c r="D40" s="161">
        <f ca="1">IF(NOT($C$6),"",IF(GetConvertDate(CDSRollDate,B40)&lt;Parameter_Date,0,GetGetDefaultprob($I$6,B40)))</f>
        <v>1.3545642618552178E-2</v>
      </c>
      <c r="E40" s="170">
        <f t="shared" ca="1" si="2"/>
        <v>7.9256316334032784E-3</v>
      </c>
      <c r="F40" s="156"/>
      <c r="G40" s="157"/>
    </row>
    <row r="41" spans="2:7">
      <c r="B41" s="176" t="str">
        <f t="shared" ca="1" si="0"/>
        <v>32M</v>
      </c>
      <c r="C41" s="208">
        <f t="shared" ca="1" si="1"/>
        <v>2.7205479452054795</v>
      </c>
      <c r="D41" s="161">
        <f ca="1">IF(NOT($C$6),"",IF(GetConvertDate(CDSRollDate,B41)&lt;Parameter_Date,0,GetGetDefaultprob($I$6,B41)))</f>
        <v>1.4209436961478361E-2</v>
      </c>
      <c r="E41" s="170">
        <f t="shared" ca="1" si="2"/>
        <v>7.9256316334043262E-3</v>
      </c>
      <c r="F41" s="156"/>
      <c r="G41" s="157"/>
    </row>
    <row r="42" spans="2:7">
      <c r="B42" s="176" t="str">
        <f t="shared" ca="1" si="0"/>
        <v>33M</v>
      </c>
      <c r="C42" s="208">
        <f t="shared" ref="C42:C73" ca="1" si="3">MAX(0,(DATE(YEAR(CDSRollDate),MONTH(CDSRollDate)+ROW()-ROW($B$9),DAY(CDSRollDate))-Parameter_Date)/365)</f>
        <v>2.8054794520547945</v>
      </c>
      <c r="D42" s="161">
        <f ca="1">IF(NOT($C$6),"",IF(GetConvertDate(CDSRollDate,B42)&lt;Parameter_Date,0,GetGetDefaultprob($I$6,B42)))</f>
        <v>1.4872784630996283E-2</v>
      </c>
      <c r="E42" s="170">
        <f t="shared" ca="1" si="2"/>
        <v>7.9256316334017102E-3</v>
      </c>
      <c r="F42" s="156"/>
      <c r="G42" s="157"/>
    </row>
    <row r="43" spans="2:7">
      <c r="B43" s="176" t="str">
        <f t="shared" ca="1" si="0"/>
        <v>34M</v>
      </c>
      <c r="C43" s="208">
        <f t="shared" ca="1" si="3"/>
        <v>2.8876712328767122</v>
      </c>
      <c r="D43" s="161">
        <f ca="1">IF(NOT($C$6),"",IF(GetConvertDate(CDSRollDate,B43)&lt;Parameter_Date,0,GetGetDefaultprob($I$6,B43)))</f>
        <v>1.5514308979123204E-2</v>
      </c>
      <c r="E43" s="170">
        <f t="shared" ca="1" si="2"/>
        <v>7.9256316334046298E-3</v>
      </c>
      <c r="F43" s="156"/>
      <c r="G43" s="157"/>
    </row>
    <row r="44" spans="2:7">
      <c r="B44" s="176" t="str">
        <f t="shared" ca="1" si="0"/>
        <v>35M</v>
      </c>
      <c r="C44" s="208">
        <f t="shared" ca="1" si="3"/>
        <v>2.9726027397260273</v>
      </c>
      <c r="D44" s="161">
        <f ca="1">IF(NOT($C$6),"",IF(GetConvertDate(CDSRollDate,B44)&lt;Parameter_Date,0,GetGetDefaultprob($I$6,B44)))</f>
        <v>1.6176778588083085E-2</v>
      </c>
      <c r="E44" s="170">
        <f t="shared" ca="1" si="2"/>
        <v>7.9256316334017102E-3</v>
      </c>
      <c r="F44" s="156"/>
      <c r="G44" s="157"/>
    </row>
    <row r="45" spans="2:7">
      <c r="B45" s="176" t="str">
        <f t="shared" ca="1" si="0"/>
        <v>36M</v>
      </c>
      <c r="C45" s="208">
        <f t="shared" ca="1" si="3"/>
        <v>3.0547945205479454</v>
      </c>
      <c r="D45" s="161">
        <f ca="1">IF(NOT($C$6),"",IF(GetConvertDate(CDSRollDate,B45)&lt;Parameter_Date,0,GetGetDefaultprob($I$6,B45)))</f>
        <v>1.681745376276278E-2</v>
      </c>
      <c r="E45" s="170">
        <f t="shared" ca="1" si="2"/>
        <v>7.9256316334032351E-3</v>
      </c>
      <c r="F45" s="156"/>
      <c r="G45" s="157"/>
    </row>
    <row r="46" spans="2:7">
      <c r="B46" s="176" t="str">
        <f t="shared" ca="1" si="0"/>
        <v>37M</v>
      </c>
      <c r="C46" s="208">
        <f t="shared" ca="1" si="3"/>
        <v>3.1397260273972605</v>
      </c>
      <c r="D46" s="161">
        <f ca="1">IF(NOT($C$6),"",IF(GetConvertDate(CDSRollDate,B46)&lt;Parameter_Date,0,GetGetDefaultprob($I$6,B46)))</f>
        <v>1.7557831968843751E-2</v>
      </c>
      <c r="E46" s="170">
        <f t="shared" ca="1" si="2"/>
        <v>8.8698077983905051E-3</v>
      </c>
      <c r="F46" s="156"/>
      <c r="G46" s="157"/>
    </row>
    <row r="47" spans="2:7">
      <c r="B47" s="176" t="str">
        <f t="shared" ca="1" si="0"/>
        <v>38M</v>
      </c>
      <c r="C47" s="208">
        <f t="shared" ca="1" si="3"/>
        <v>3.2246575342465755</v>
      </c>
      <c r="D47" s="161">
        <f ca="1">IF(NOT($C$6),"",IF(GetConvertDate(CDSRollDate,B47)&lt;Parameter_Date,0,GetGetDefaultprob($I$6,B47)))</f>
        <v>1.8297652638696982E-2</v>
      </c>
      <c r="E47" s="170">
        <f t="shared" ca="1" si="2"/>
        <v>8.8698077983905051E-3</v>
      </c>
      <c r="F47" s="156"/>
      <c r="G47" s="157"/>
    </row>
    <row r="48" spans="2:7">
      <c r="B48" s="176" t="str">
        <f t="shared" ca="1" si="0"/>
        <v>39M</v>
      </c>
      <c r="C48" s="208">
        <f t="shared" ca="1" si="3"/>
        <v>3.3013698630136985</v>
      </c>
      <c r="D48" s="161">
        <f ca="1">IF(NOT($C$6),"",IF(GetConvertDate(CDSRollDate,B48)&lt;Parameter_Date,0,GetGetDefaultprob($I$6,B48)))</f>
        <v>1.896539889480775E-2</v>
      </c>
      <c r="E48" s="170">
        <f t="shared" ca="1" si="2"/>
        <v>8.8698077983906769E-3</v>
      </c>
      <c r="F48" s="156"/>
      <c r="G48" s="157"/>
    </row>
    <row r="49" spans="2:7">
      <c r="B49" s="176" t="str">
        <f t="shared" ca="1" si="0"/>
        <v>40M</v>
      </c>
      <c r="C49" s="208">
        <f t="shared" ca="1" si="3"/>
        <v>3.3863013698630136</v>
      </c>
      <c r="D49" s="161">
        <f ca="1">IF(NOT($C$6),"",IF(GetConvertDate(CDSRollDate,B49)&lt;Parameter_Date,0,GetGetDefaultprob($I$6,B49)))</f>
        <v>1.9704159606996452E-2</v>
      </c>
      <c r="E49" s="170">
        <f t="shared" ca="1" si="2"/>
        <v>8.8698077983918131E-3</v>
      </c>
      <c r="F49" s="156"/>
      <c r="G49" s="157"/>
    </row>
    <row r="50" spans="2:7">
      <c r="B50" s="176" t="str">
        <f t="shared" ca="1" si="0"/>
        <v>41M</v>
      </c>
      <c r="C50" s="208">
        <f t="shared" ca="1" si="3"/>
        <v>3.4684931506849317</v>
      </c>
      <c r="D50" s="161">
        <f ca="1">IF(NOT($C$6),"",IF(GetConvertDate(CDSRollDate,B50)&lt;Parameter_Date,0,GetGetDefaultprob($I$6,B50)))</f>
        <v>2.0418559635167588E-2</v>
      </c>
      <c r="E50" s="170">
        <f t="shared" ca="1" si="2"/>
        <v>8.8698077983896065E-3</v>
      </c>
      <c r="F50" s="156"/>
      <c r="G50" s="157"/>
    </row>
    <row r="51" spans="2:7">
      <c r="B51" s="176" t="str">
        <f t="shared" ca="1" si="0"/>
        <v>42M</v>
      </c>
      <c r="C51" s="208">
        <f t="shared" ca="1" si="3"/>
        <v>3.5534246575342467</v>
      </c>
      <c r="D51" s="161">
        <f ca="1">IF(NOT($C$6),"",IF(GetConvertDate(CDSRollDate,B51)&lt;Parameter_Date,0,GetGetDefaultprob($I$6,B51)))</f>
        <v>2.1156226055613292E-2</v>
      </c>
      <c r="E51" s="170">
        <f t="shared" ca="1" si="2"/>
        <v>8.8698077983905051E-3</v>
      </c>
      <c r="F51" s="156"/>
      <c r="G51" s="157"/>
    </row>
    <row r="52" spans="2:7">
      <c r="B52" s="176" t="str">
        <f t="shared" ca="1" si="0"/>
        <v>43M</v>
      </c>
      <c r="C52" s="208">
        <f t="shared" ca="1" si="3"/>
        <v>3.6356164383561644</v>
      </c>
      <c r="D52" s="161">
        <f ca="1">IF(NOT($C$6),"",IF(GetConvertDate(CDSRollDate,B52)&lt;Parameter_Date,0,GetGetDefaultprob($I$6,B52)))</f>
        <v>2.1869567876385165E-2</v>
      </c>
      <c r="E52" s="170">
        <f t="shared" ca="1" si="2"/>
        <v>8.8698077983910065E-3</v>
      </c>
      <c r="F52" s="156"/>
      <c r="G52" s="157"/>
    </row>
    <row r="53" spans="2:7">
      <c r="B53" s="176" t="str">
        <f t="shared" ca="1" si="0"/>
        <v>44M</v>
      </c>
      <c r="C53" s="208">
        <f t="shared" ca="1" si="3"/>
        <v>3.7205479452054795</v>
      </c>
      <c r="D53" s="161">
        <f ca="1">IF(NOT($C$6),"",IF(GetConvertDate(CDSRollDate,B53)&lt;Parameter_Date,0,GetGetDefaultprob($I$6,B53)))</f>
        <v>2.2606141626011267E-2</v>
      </c>
      <c r="E53" s="170">
        <f t="shared" ca="1" si="2"/>
        <v>8.8698077983905051E-3</v>
      </c>
      <c r="F53" s="156"/>
      <c r="G53" s="157"/>
    </row>
    <row r="54" spans="2:7">
      <c r="B54" s="176" t="str">
        <f t="shared" ca="1" si="0"/>
        <v>45M</v>
      </c>
      <c r="C54" s="208">
        <f t="shared" ca="1" si="3"/>
        <v>3.8054794520547945</v>
      </c>
      <c r="D54" s="161">
        <f ca="1">IF(NOT($C$6),"",IF(GetConvertDate(CDSRollDate,B54)&lt;Parameter_Date,0,GetGetDefaultprob($I$6,B54)))</f>
        <v>2.3342160704326931E-2</v>
      </c>
      <c r="E54" s="170">
        <f t="shared" ca="1" si="2"/>
        <v>8.8698077983918131E-3</v>
      </c>
      <c r="F54" s="156"/>
      <c r="G54" s="157"/>
    </row>
    <row r="55" spans="2:7">
      <c r="B55" s="176" t="str">
        <f t="shared" ca="1" si="0"/>
        <v>46M</v>
      </c>
      <c r="C55" s="208">
        <f t="shared" ca="1" si="3"/>
        <v>3.8876712328767122</v>
      </c>
      <c r="D55" s="161">
        <f ca="1">IF(NOT($C$6),"",IF(GetConvertDate(CDSRollDate,B55)&lt;Parameter_Date,0,GetGetDefaultprob($I$6,B55)))</f>
        <v>2.4053909504185844E-2</v>
      </c>
      <c r="E55" s="170">
        <f t="shared" ca="1" si="2"/>
        <v>8.8698077983910065E-3</v>
      </c>
      <c r="F55" s="156"/>
      <c r="G55" s="157"/>
    </row>
    <row r="56" spans="2:7">
      <c r="B56" s="176" t="str">
        <f t="shared" ca="1" si="0"/>
        <v>47M</v>
      </c>
      <c r="C56" s="208">
        <f t="shared" ca="1" si="3"/>
        <v>3.9726027397260273</v>
      </c>
      <c r="D56" s="161">
        <f ca="1">IF(NOT($C$6),"",IF(GetConvertDate(CDSRollDate,B56)&lt;Parameter_Date,0,GetGetDefaultprob($I$6,B56)))</f>
        <v>2.4788838351812781E-2</v>
      </c>
      <c r="E56" s="170">
        <f t="shared" ca="1" si="2"/>
        <v>8.8698077983905051E-3</v>
      </c>
      <c r="F56" s="156"/>
      <c r="G56" s="157"/>
    </row>
    <row r="57" spans="2:7">
      <c r="B57" s="176" t="str">
        <f t="shared" ca="1" si="0"/>
        <v>48M</v>
      </c>
      <c r="C57" s="208">
        <f t="shared" ca="1" si="3"/>
        <v>4.0547945205479454</v>
      </c>
      <c r="D57" s="161">
        <f ca="1">IF(NOT($C$6),"",IF(GetConvertDate(CDSRollDate,B57)&lt;Parameter_Date,0,GetGetDefaultprob($I$6,B57)))</f>
        <v>2.5499532871413044E-2</v>
      </c>
      <c r="E57" s="170">
        <f t="shared" ca="1" si="2"/>
        <v>8.8698077983896065E-3</v>
      </c>
      <c r="F57" s="156"/>
      <c r="G57" s="157"/>
    </row>
    <row r="58" spans="2:7">
      <c r="B58" s="176" t="str">
        <f t="shared" ca="1" si="0"/>
        <v>49M</v>
      </c>
      <c r="C58" s="208">
        <f t="shared" ca="1" si="3"/>
        <v>4.13972602739726</v>
      </c>
      <c r="D58" s="161">
        <f ca="1">IF(NOT($C$6),"",IF(GetConvertDate(CDSRollDate,B58)&lt;Parameter_Date,0,GetGetDefaultprob($I$6,B58)))</f>
        <v>2.6233373103259239E-2</v>
      </c>
      <c r="E58" s="170">
        <f t="shared" ca="1" si="2"/>
        <v>8.8698077983918582E-3</v>
      </c>
      <c r="F58" s="156"/>
      <c r="G58" s="157"/>
    </row>
    <row r="59" spans="2:7">
      <c r="B59" s="176" t="str">
        <f t="shared" ca="1" si="0"/>
        <v>50M</v>
      </c>
      <c r="C59" s="208">
        <f t="shared" ca="1" si="3"/>
        <v>4.2246575342465755</v>
      </c>
      <c r="D59" s="161">
        <f ca="1">IF(NOT($C$6),"",IF(GetConvertDate(CDSRollDate,B59)&lt;Parameter_Date,0,GetGetDefaultprob($I$6,B59)))</f>
        <v>2.6966660722249736E-2</v>
      </c>
      <c r="E59" s="170">
        <f t="shared" ca="1" si="2"/>
        <v>8.8698077983904583E-3</v>
      </c>
      <c r="F59" s="156"/>
      <c r="G59" s="157"/>
    </row>
    <row r="60" spans="2:7">
      <c r="B60" s="176" t="str">
        <f t="shared" ca="1" si="0"/>
        <v>51M</v>
      </c>
      <c r="C60" s="208">
        <f t="shared" ca="1" si="3"/>
        <v>4.3041095890410963</v>
      </c>
      <c r="D60" s="161">
        <f ca="1">IF(NOT($C$6),"",IF(GetConvertDate(CDSRollDate,B60)&lt;Parameter_Date,0,GetGetDefaultprob($I$6,B60)))</f>
        <v>2.7652139546962662E-2</v>
      </c>
      <c r="E60" s="170">
        <f t="shared" ca="1" si="2"/>
        <v>8.8698077983900211E-3</v>
      </c>
      <c r="F60" s="156"/>
      <c r="G60" s="157"/>
    </row>
    <row r="61" spans="2:7">
      <c r="B61" s="176" t="str">
        <f t="shared" ca="1" si="0"/>
        <v>52M</v>
      </c>
      <c r="C61" s="208">
        <f t="shared" ca="1" si="3"/>
        <v>4.3890410958904109</v>
      </c>
      <c r="D61" s="161">
        <f ca="1">IF(NOT($C$6),"",IF(GetConvertDate(CDSRollDate,B61)&lt;Parameter_Date,0,GetGetDefaultprob($I$6,B61)))</f>
        <v>2.8384358774576235E-2</v>
      </c>
      <c r="E61" s="170">
        <f t="shared" ca="1" si="2"/>
        <v>8.8698077983918582E-3</v>
      </c>
      <c r="F61" s="156"/>
      <c r="G61" s="157"/>
    </row>
    <row r="62" spans="2:7">
      <c r="B62" s="176" t="str">
        <f t="shared" ca="1" si="0"/>
        <v>53M</v>
      </c>
      <c r="C62" s="208">
        <f t="shared" ca="1" si="3"/>
        <v>4.4712328767123291</v>
      </c>
      <c r="D62" s="161">
        <f ca="1">IF(NOT($C$6),"",IF(GetConvertDate(CDSRollDate,B62)&lt;Parameter_Date,0,GetGetDefaultprob($I$6,B62)))</f>
        <v>2.9092433024064723E-2</v>
      </c>
      <c r="E62" s="170">
        <f t="shared" ca="1" si="2"/>
        <v>8.8698077983896065E-3</v>
      </c>
      <c r="F62" s="156"/>
      <c r="G62" s="157"/>
    </row>
    <row r="63" spans="2:7">
      <c r="B63" s="176" t="str">
        <f t="shared" ca="1" si="0"/>
        <v>54M</v>
      </c>
      <c r="C63" s="208">
        <f t="shared" ca="1" si="3"/>
        <v>4.5561643835616437</v>
      </c>
      <c r="D63" s="161">
        <f ca="1">IF(NOT($C$6),"",IF(GetConvertDate(CDSRollDate,B63)&lt;Parameter_Date,0,GetGetDefaultprob($I$6,B63)))</f>
        <v>2.982356764953098E-2</v>
      </c>
      <c r="E63" s="170">
        <f t="shared" ca="1" si="2"/>
        <v>8.869807798390552E-3</v>
      </c>
      <c r="F63" s="156"/>
      <c r="G63" s="157"/>
    </row>
    <row r="64" spans="2:7">
      <c r="B64" s="176" t="str">
        <f t="shared" ca="1" si="0"/>
        <v>55M</v>
      </c>
      <c r="C64" s="208">
        <f t="shared" ca="1" si="3"/>
        <v>4.6383561643835618</v>
      </c>
      <c r="D64" s="161">
        <f ca="1">IF(NOT($C$6),"",IF(GetConvertDate(CDSRollDate,B64)&lt;Parameter_Date,0,GetGetDefaultprob($I$6,B64)))</f>
        <v>3.0530593061700806E-2</v>
      </c>
      <c r="E64" s="170">
        <f t="shared" ca="1" si="2"/>
        <v>8.8698077983909579E-3</v>
      </c>
      <c r="F64" s="156"/>
      <c r="G64" s="157"/>
    </row>
    <row r="65" spans="2:7">
      <c r="B65" s="176" t="str">
        <f t="shared" ca="1" si="0"/>
        <v>56M</v>
      </c>
      <c r="C65" s="208">
        <f t="shared" ca="1" si="3"/>
        <v>4.7232876712328764</v>
      </c>
      <c r="D65" s="161">
        <f ca="1">IF(NOT($C$6),"",IF(GetConvertDate(CDSRollDate,B65)&lt;Parameter_Date,0,GetGetDefaultprob($I$6,B65)))</f>
        <v>3.1260644691590178E-2</v>
      </c>
      <c r="E65" s="170">
        <f t="shared" ca="1" si="2"/>
        <v>8.869807798389244E-3</v>
      </c>
      <c r="F65" s="156"/>
      <c r="G65" s="157"/>
    </row>
    <row r="66" spans="2:7">
      <c r="B66" s="176" t="str">
        <f t="shared" ca="1" si="0"/>
        <v>57M</v>
      </c>
      <c r="C66" s="208">
        <f t="shared" ca="1" si="3"/>
        <v>4.8082191780821919</v>
      </c>
      <c r="D66" s="161">
        <f ca="1">IF(NOT($C$6),"",IF(GetConvertDate(CDSRollDate,B66)&lt;Parameter_Date,0,GetGetDefaultprob($I$6,B66)))</f>
        <v>3.1990146561602373E-2</v>
      </c>
      <c r="E66" s="170">
        <f t="shared" ca="1" si="2"/>
        <v>8.8698077983917663E-3</v>
      </c>
      <c r="F66" s="156"/>
      <c r="G66" s="157"/>
    </row>
    <row r="67" spans="2:7">
      <c r="B67" s="176" t="str">
        <f t="shared" ca="1" si="0"/>
        <v>58M</v>
      </c>
      <c r="C67" s="208">
        <f t="shared" ca="1" si="3"/>
        <v>4.8904109589041092</v>
      </c>
      <c r="D67" s="161">
        <f ca="1">IF(NOT($C$6),"",IF(GetConvertDate(CDSRollDate,B67)&lt;Parameter_Date,0,GetGetDefaultprob($I$6,B67)))</f>
        <v>3.269559305853853E-2</v>
      </c>
      <c r="E67" s="170">
        <f t="shared" ca="1" si="2"/>
        <v>8.869807798389702E-3</v>
      </c>
      <c r="F67" s="156"/>
      <c r="G67" s="157"/>
    </row>
    <row r="68" spans="2:7">
      <c r="B68" s="176" t="str">
        <f t="shared" ca="1" si="0"/>
        <v>59M</v>
      </c>
      <c r="C68" s="208">
        <f t="shared" ca="1" si="3"/>
        <v>4.9753424657534246</v>
      </c>
      <c r="D68" s="161">
        <f ca="1">IF(NOT($C$6),"",IF(GetConvertDate(CDSRollDate,B68)&lt;Parameter_Date,0,GetGetDefaultprob($I$6,B68)))</f>
        <v>3.3424014351498221E-2</v>
      </c>
      <c r="E68" s="170">
        <f t="shared" ca="1" si="2"/>
        <v>8.8698077983904583E-3</v>
      </c>
      <c r="F68" s="156"/>
      <c r="G68" s="157"/>
    </row>
    <row r="69" spans="2:7">
      <c r="B69" s="176" t="str">
        <f t="shared" ca="1" si="0"/>
        <v>60M</v>
      </c>
      <c r="C69" s="208">
        <f t="shared" ca="1" si="3"/>
        <v>5.0575342465753428</v>
      </c>
      <c r="D69" s="161">
        <f ca="1">IF(NOT($C$6),"",IF(GetConvertDate(CDSRollDate,B69)&lt;Parameter_Date,0,GetGetDefaultprob($I$6,B69)))</f>
        <v>3.4128415903482923E-2</v>
      </c>
      <c r="E69" s="170">
        <f t="shared" ca="1" si="2"/>
        <v>8.8698077983923092E-3</v>
      </c>
      <c r="F69" s="156"/>
      <c r="G69" s="157"/>
    </row>
    <row r="70" spans="2:7">
      <c r="B70" s="176" t="str">
        <f t="shared" ca="1" si="0"/>
        <v>61M</v>
      </c>
      <c r="C70" s="208">
        <f t="shared" ca="1" si="3"/>
        <v>5.1424657534246574</v>
      </c>
      <c r="D70" s="161">
        <f ca="1">IF(NOT($C$6),"",IF(GetConvertDate(CDSRollDate,B70)&lt;Parameter_Date,0,GetGetDefaultprob($I$6,B70)))</f>
        <v>3.4901871436811782E-2</v>
      </c>
      <c r="E70" s="170">
        <f t="shared" ca="1" si="2"/>
        <v>9.4323754306655499E-3</v>
      </c>
      <c r="F70" s="156"/>
      <c r="G70" s="157"/>
    </row>
    <row r="71" spans="2:7">
      <c r="B71" s="176" t="str">
        <f t="shared" ca="1" si="0"/>
        <v>62M</v>
      </c>
      <c r="C71" s="208">
        <f t="shared" ca="1" si="3"/>
        <v>5.2273972602739729</v>
      </c>
      <c r="D71" s="161">
        <f ca="1">IF(NOT($C$6),"",IF(GetConvertDate(CDSRollDate,B71)&lt;Parameter_Date,0,GetGetDefaultprob($I$6,B71)))</f>
        <v>3.5674707598505662E-2</v>
      </c>
      <c r="E71" s="170">
        <f t="shared" ca="1" si="2"/>
        <v>9.4323754306628333E-3</v>
      </c>
      <c r="F71" s="156"/>
      <c r="G71" s="157"/>
    </row>
    <row r="72" spans="2:7">
      <c r="B72" s="176" t="str">
        <f t="shared" ca="1" si="0"/>
        <v>63M</v>
      </c>
      <c r="C72" s="208">
        <f t="shared" ca="1" si="3"/>
        <v>5.3041095890410963</v>
      </c>
      <c r="D72" s="161">
        <f ca="1">IF(NOT($C$6),"",IF(GetConvertDate(CDSRollDate,B72)&lt;Parameter_Date,0,GetGetDefaultprob($I$6,B72)))</f>
        <v>3.6372221213338829E-2</v>
      </c>
      <c r="E72" s="170">
        <f t="shared" ca="1" si="2"/>
        <v>9.4323754306659419E-3</v>
      </c>
      <c r="F72" s="156"/>
      <c r="G72" s="157"/>
    </row>
    <row r="73" spans="2:7">
      <c r="B73" s="176" t="str">
        <f t="shared" ca="1" si="0"/>
        <v>64M</v>
      </c>
      <c r="C73" s="208">
        <f t="shared" ca="1" si="3"/>
        <v>5.3890410958904109</v>
      </c>
      <c r="D73" s="161">
        <f ca="1">IF(NOT($C$6),"",IF(GetConvertDate(CDSRollDate,B73)&lt;Parameter_Date,0,GetGetDefaultprob($I$6,B73)))</f>
        <v>3.7143879940900515E-2</v>
      </c>
      <c r="E73" s="170">
        <f t="shared" ca="1" si="2"/>
        <v>9.4323754306655499E-3</v>
      </c>
      <c r="F73" s="156"/>
      <c r="G73" s="157"/>
    </row>
    <row r="74" spans="2:7">
      <c r="B74" s="176" t="str">
        <f t="shared" ca="1" si="0"/>
        <v>65M</v>
      </c>
      <c r="C74" s="208">
        <f t="shared" ref="C74:C105" ca="1" si="4">MAX(0,(DATE(YEAR(CDSRollDate),MONTH(CDSRollDate)+ROW()-ROW($B$9),DAY(CDSRollDate))-Parameter_Date)/365)</f>
        <v>5.4712328767123291</v>
      </c>
      <c r="D74" s="161">
        <f ca="1">IF(NOT($C$6),"",IF(GetConvertDate(CDSRollDate,B74)&lt;Parameter_Date,0,GetGetDefaultprob($I$6,B74)))</f>
        <v>3.789005809206536E-2</v>
      </c>
      <c r="E74" s="170">
        <f t="shared" ca="1" si="2"/>
        <v>9.4323754306629842E-3</v>
      </c>
      <c r="F74" s="156"/>
      <c r="G74" s="157"/>
    </row>
    <row r="75" spans="2:7">
      <c r="B75" s="176" t="str">
        <f t="shared" ref="B75:B129" ca="1" si="5">ROW()-ROW($B$9)&amp;"M"</f>
        <v>66M</v>
      </c>
      <c r="C75" s="208">
        <f t="shared" ca="1" si="4"/>
        <v>5.5561643835616437</v>
      </c>
      <c r="D75" s="161">
        <f ca="1">IF(NOT($C$6),"",IF(GetConvertDate(CDSRollDate,B75)&lt;Parameter_Date,0,GetGetDefaultprob($I$6,B75)))</f>
        <v>3.8660501358532828E-2</v>
      </c>
      <c r="E75" s="170">
        <f t="shared" ca="1" si="2"/>
        <v>9.4323754306655499E-3</v>
      </c>
      <c r="F75" s="156"/>
      <c r="G75" s="157"/>
    </row>
    <row r="76" spans="2:7">
      <c r="B76" s="176" t="str">
        <f t="shared" ca="1" si="5"/>
        <v>67M</v>
      </c>
      <c r="C76" s="208">
        <f t="shared" ca="1" si="4"/>
        <v>5.6383561643835618</v>
      </c>
      <c r="D76" s="161">
        <f ca="1">IF(NOT($C$6),"",IF(GetConvertDate(CDSRollDate,B76)&lt;Parameter_Date,0,GetGetDefaultprob($I$6,B76)))</f>
        <v>3.9405504183767093E-2</v>
      </c>
      <c r="E76" s="170">
        <f t="shared" ref="E76:E129" ca="1" si="6">IF(NOT($C$6),"",IF(C76=0,0,-LN((1-D76)/(1-D75))/($C76-$C75)))</f>
        <v>9.4323754306643356E-3</v>
      </c>
      <c r="F76" s="156"/>
      <c r="G76" s="157"/>
    </row>
    <row r="77" spans="2:7">
      <c r="B77" s="176" t="str">
        <f t="shared" ca="1" si="5"/>
        <v>68M</v>
      </c>
      <c r="C77" s="208">
        <f t="shared" ca="1" si="4"/>
        <v>5.7232876712328764</v>
      </c>
      <c r="D77" s="161">
        <f ca="1">IF(NOT($C$6),"",IF(GetConvertDate(CDSRollDate,B77)&lt;Parameter_Date,0,GetGetDefaultprob($I$6,B77)))</f>
        <v>4.0174733903646676E-2</v>
      </c>
      <c r="E77" s="170">
        <f t="shared" ca="1" si="6"/>
        <v>9.4323754306642402E-3</v>
      </c>
      <c r="F77" s="156"/>
      <c r="G77" s="157"/>
    </row>
    <row r="78" spans="2:7">
      <c r="B78" s="176" t="str">
        <f t="shared" ca="1" si="5"/>
        <v>69M</v>
      </c>
      <c r="C78" s="208">
        <f t="shared" ca="1" si="4"/>
        <v>5.8082191780821919</v>
      </c>
      <c r="D78" s="161">
        <f ca="1">IF(NOT($C$6),"",IF(GetConvertDate(CDSRollDate,B78)&lt;Parameter_Date,0,GetGetDefaultprob($I$6,B78)))</f>
        <v>4.0943347635859717E-2</v>
      </c>
      <c r="E78" s="170">
        <f t="shared" ca="1" si="6"/>
        <v>9.4323754306641413E-3</v>
      </c>
      <c r="F78" s="156"/>
      <c r="G78" s="157"/>
    </row>
    <row r="79" spans="2:7">
      <c r="B79" s="176" t="str">
        <f t="shared" ca="1" si="5"/>
        <v>70M</v>
      </c>
      <c r="C79" s="208">
        <f t="shared" ca="1" si="4"/>
        <v>5.8904109589041092</v>
      </c>
      <c r="D79" s="161">
        <f ca="1">IF(NOT($C$6),"",IF(GetConvertDate(CDSRollDate,B79)&lt;Parameter_Date,0,GetGetDefaultprob($I$6,B79)))</f>
        <v>4.1686581339021589E-2</v>
      </c>
      <c r="E79" s="170">
        <f t="shared" ca="1" si="6"/>
        <v>9.4323754306657893E-3</v>
      </c>
      <c r="F79" s="156"/>
      <c r="G79" s="157"/>
    </row>
    <row r="80" spans="2:7">
      <c r="B80" s="176" t="str">
        <f t="shared" ca="1" si="5"/>
        <v>71M</v>
      </c>
      <c r="C80" s="208">
        <f t="shared" ca="1" si="4"/>
        <v>5.9753424657534246</v>
      </c>
      <c r="D80" s="161">
        <f ca="1">IF(NOT($C$6),"",IF(GetConvertDate(CDSRollDate,B80)&lt;Parameter_Date,0,GetGetDefaultprob($I$6,B80)))</f>
        <v>4.2453984406397138E-2</v>
      </c>
      <c r="E80" s="170">
        <f t="shared" ca="1" si="6"/>
        <v>9.4323754306641413E-3</v>
      </c>
      <c r="F80" s="156"/>
      <c r="G80" s="157"/>
    </row>
    <row r="81" spans="2:7">
      <c r="B81" s="176" t="str">
        <f t="shared" ca="1" si="5"/>
        <v>72M</v>
      </c>
      <c r="C81" s="208">
        <f t="shared" ca="1" si="4"/>
        <v>6.0575342465753428</v>
      </c>
      <c r="D81" s="161">
        <f ca="1">IF(NOT($C$6),"",IF(GetConvertDate(CDSRollDate,B81)&lt;Parameter_Date,0,GetGetDefaultprob($I$6,B81)))</f>
        <v>4.3196047421510064E-2</v>
      </c>
      <c r="E81" s="170">
        <f t="shared" ca="1" si="6"/>
        <v>9.4323754306643356E-3</v>
      </c>
      <c r="F81" s="156"/>
      <c r="G81" s="157"/>
    </row>
    <row r="82" spans="2:7">
      <c r="B82" s="176" t="str">
        <f t="shared" ca="1" si="5"/>
        <v>73M</v>
      </c>
      <c r="C82" s="208">
        <f t="shared" ca="1" si="4"/>
        <v>6.1424657534246574</v>
      </c>
      <c r="D82" s="161">
        <f ca="1">IF(NOT($C$6),"",IF(GetConvertDate(CDSRollDate,B82)&lt;Parameter_Date,0,GetGetDefaultprob($I$6,B82)))</f>
        <v>4.396224173099994E-2</v>
      </c>
      <c r="E82" s="170">
        <f t="shared" ca="1" si="6"/>
        <v>9.4323754306655499E-3</v>
      </c>
      <c r="F82" s="156"/>
      <c r="G82" s="157"/>
    </row>
    <row r="83" spans="2:7">
      <c r="B83" s="176" t="str">
        <f t="shared" ca="1" si="5"/>
        <v>74M</v>
      </c>
      <c r="C83" s="208">
        <f t="shared" ca="1" si="4"/>
        <v>6.2273972602739729</v>
      </c>
      <c r="D83" s="161">
        <f ca="1">IF(NOT($C$6),"",IF(GetConvertDate(CDSRollDate,B83)&lt;Parameter_Date,0,GetGetDefaultprob($I$6,B83)))</f>
        <v>4.4727822483534574E-2</v>
      </c>
      <c r="E83" s="170">
        <f t="shared" ca="1" si="6"/>
        <v>9.432375430665451E-3</v>
      </c>
      <c r="F83" s="156"/>
      <c r="G83" s="157"/>
    </row>
    <row r="84" spans="2:7">
      <c r="B84" s="176" t="str">
        <f t="shared" ca="1" si="5"/>
        <v>75M</v>
      </c>
      <c r="C84" s="208">
        <f t="shared" ca="1" si="4"/>
        <v>6.3041095890410963</v>
      </c>
      <c r="D84" s="161">
        <f ca="1">IF(NOT($C$6),"",IF(GetConvertDate(CDSRollDate,B84)&lt;Parameter_Date,0,GetGetDefaultprob($I$6,B84)))</f>
        <v>4.5418787819546447E-2</v>
      </c>
      <c r="E84" s="170">
        <f t="shared" ca="1" si="6"/>
        <v>9.4323754306644934E-3</v>
      </c>
      <c r="F84" s="156"/>
      <c r="G84" s="157"/>
    </row>
    <row r="85" spans="2:7">
      <c r="B85" s="176" t="str">
        <f t="shared" ca="1" si="5"/>
        <v>76M</v>
      </c>
      <c r="C85" s="208">
        <f t="shared" ca="1" si="4"/>
        <v>6.3890410958904109</v>
      </c>
      <c r="D85" s="161">
        <f ca="1">IF(NOT($C$6),"",IF(GetConvertDate(CDSRollDate,B85)&lt;Parameter_Date,0,GetGetDefaultprob($I$6,B85)))</f>
        <v>4.6183202191735884E-2</v>
      </c>
      <c r="E85" s="170">
        <f t="shared" ca="1" si="6"/>
        <v>9.4323754306655499E-3</v>
      </c>
      <c r="F85" s="156"/>
      <c r="G85" s="157"/>
    </row>
    <row r="86" spans="2:7">
      <c r="B86" s="176" t="str">
        <f t="shared" ca="1" si="5"/>
        <v>77M</v>
      </c>
      <c r="C86" s="208">
        <f t="shared" ca="1" si="4"/>
        <v>6.4712328767123291</v>
      </c>
      <c r="D86" s="161">
        <f ca="1">IF(NOT($C$6),"",IF(GetConvertDate(CDSRollDate,B86)&lt;Parameter_Date,0,GetGetDefaultprob($I$6,B86)))</f>
        <v>4.692237519994702E-2</v>
      </c>
      <c r="E86" s="170">
        <f t="shared" ca="1" si="6"/>
        <v>9.4323754306643356E-3</v>
      </c>
      <c r="F86" s="156"/>
      <c r="G86" s="157"/>
    </row>
    <row r="87" spans="2:7">
      <c r="B87" s="176" t="str">
        <f t="shared" ca="1" si="5"/>
        <v>78M</v>
      </c>
      <c r="C87" s="208">
        <f t="shared" ca="1" si="4"/>
        <v>6.5561643835616437</v>
      </c>
      <c r="D87" s="161">
        <f ca="1">IF(NOT($C$6),"",IF(GetConvertDate(CDSRollDate,B87)&lt;Parameter_Date,0,GetGetDefaultprob($I$6,B87)))</f>
        <v>4.7685585521827445E-2</v>
      </c>
      <c r="E87" s="170">
        <f t="shared" ca="1" si="6"/>
        <v>9.4323754306642402E-3</v>
      </c>
      <c r="F87" s="156"/>
      <c r="G87" s="157"/>
    </row>
    <row r="88" spans="2:7">
      <c r="B88" s="176" t="str">
        <f t="shared" ca="1" si="5"/>
        <v>79M</v>
      </c>
      <c r="C88" s="208">
        <f t="shared" ca="1" si="4"/>
        <v>6.6383561643835618</v>
      </c>
      <c r="D88" s="161">
        <f ca="1">IF(NOT($C$6),"",IF(GetConvertDate(CDSRollDate,B88)&lt;Parameter_Date,0,GetGetDefaultprob($I$6,B88)))</f>
        <v>4.8423594238103163E-2</v>
      </c>
      <c r="E88" s="170">
        <f t="shared" ca="1" si="6"/>
        <v>9.4323754306643356E-3</v>
      </c>
      <c r="F88" s="156"/>
      <c r="G88" s="157"/>
    </row>
    <row r="89" spans="2:7">
      <c r="B89" s="176" t="str">
        <f t="shared" ca="1" si="5"/>
        <v>80M</v>
      </c>
      <c r="C89" s="208">
        <f t="shared" ca="1" si="4"/>
        <v>6.7232876712328764</v>
      </c>
      <c r="D89" s="161">
        <f ca="1">IF(NOT($C$6),"",IF(GetConvertDate(CDSRollDate,B89)&lt;Parameter_Date,0,GetGetDefaultprob($I$6,B89)))</f>
        <v>4.918560240620784E-2</v>
      </c>
      <c r="E89" s="170">
        <f t="shared" ca="1" si="6"/>
        <v>9.4323754306655499E-3</v>
      </c>
      <c r="F89" s="156"/>
      <c r="G89" s="157"/>
    </row>
    <row r="90" spans="2:7">
      <c r="B90" s="176" t="str">
        <f t="shared" ca="1" si="5"/>
        <v>81M</v>
      </c>
      <c r="C90" s="208">
        <f t="shared" ca="1" si="4"/>
        <v>6.8082191780821919</v>
      </c>
      <c r="D90" s="161">
        <f ca="1">IF(NOT($C$6),"",IF(GetConvertDate(CDSRollDate,B90)&lt;Parameter_Date,0,GetGetDefaultprob($I$6,B90)))</f>
        <v>4.9947000369556682E-2</v>
      </c>
      <c r="E90" s="170">
        <f t="shared" ca="1" si="6"/>
        <v>9.432375430665451E-3</v>
      </c>
      <c r="F90" s="156"/>
      <c r="G90" s="157"/>
    </row>
    <row r="91" spans="2:7">
      <c r="B91" s="176" t="str">
        <f t="shared" ca="1" si="5"/>
        <v>82M</v>
      </c>
      <c r="C91" s="208">
        <f t="shared" ca="1" si="4"/>
        <v>6.8904109589041092</v>
      </c>
      <c r="D91" s="161">
        <f ca="1">IF(NOT($C$6),"",IF(GetConvertDate(CDSRollDate,B91)&lt;Parameter_Date,0,GetGetDefaultprob($I$6,B91)))</f>
        <v>5.0683256572331192E-2</v>
      </c>
      <c r="E91" s="170">
        <f t="shared" ca="1" si="6"/>
        <v>9.4323754306644379E-3</v>
      </c>
      <c r="F91" s="156"/>
      <c r="G91" s="157"/>
    </row>
    <row r="92" spans="2:7">
      <c r="B92" s="176" t="str">
        <f t="shared" ca="1" si="5"/>
        <v>83M</v>
      </c>
      <c r="C92" s="208">
        <f t="shared" ca="1" si="4"/>
        <v>6.9753424657534246</v>
      </c>
      <c r="D92" s="161">
        <f ca="1">IF(NOT($C$6),"",IF(GetConvertDate(CDSRollDate,B92)&lt;Parameter_Date,0,GetGetDefaultprob($I$6,B92)))</f>
        <v>5.1443455236600433E-2</v>
      </c>
      <c r="E92" s="170">
        <f t="shared" ca="1" si="6"/>
        <v>9.4323754306641413E-3</v>
      </c>
      <c r="F92" s="156"/>
      <c r="G92" s="157"/>
    </row>
    <row r="93" spans="2:7">
      <c r="B93" s="176" t="str">
        <f t="shared" ca="1" si="5"/>
        <v>84M</v>
      </c>
      <c r="C93" s="208">
        <f t="shared" ca="1" si="4"/>
        <v>7.0575342465753428</v>
      </c>
      <c r="D93" s="161">
        <f ca="1">IF(NOT($C$6),"",IF(GetConvertDate(CDSRollDate,B93)&lt;Parameter_Date,0,GetGetDefaultprob($I$6,B93)))</f>
        <v>5.2178551741780876E-2</v>
      </c>
      <c r="E93" s="170">
        <f t="shared" ca="1" si="6"/>
        <v>9.4323754306656887E-3</v>
      </c>
      <c r="F93" s="156"/>
      <c r="G93" s="157"/>
    </row>
    <row r="94" spans="2:7">
      <c r="B94" s="176" t="str">
        <f t="shared" ca="1" si="5"/>
        <v>85M</v>
      </c>
      <c r="C94" s="208">
        <f t="shared" ca="1" si="4"/>
        <v>7.1424657534246574</v>
      </c>
      <c r="D94" s="161">
        <f ca="1">IF(NOT($C$6),"",IF(GetConvertDate(CDSRollDate,B94)&lt;Parameter_Date,0,GetGetDefaultprob($I$6,B94)))</f>
        <v>5.2994790598993258E-2</v>
      </c>
      <c r="E94" s="170">
        <f t="shared" ca="1" si="6"/>
        <v>1.014399374438388E-2</v>
      </c>
      <c r="F94" s="156"/>
      <c r="G94" s="157"/>
    </row>
    <row r="95" spans="2:7">
      <c r="B95" s="176" t="str">
        <f t="shared" ca="1" si="5"/>
        <v>86M</v>
      </c>
      <c r="C95" s="208">
        <f t="shared" ca="1" si="4"/>
        <v>7.2273972602739729</v>
      </c>
      <c r="D95" s="161">
        <f ca="1">IF(NOT($C$6),"",IF(GetConvertDate(CDSRollDate,B95)&lt;Parameter_Date,0,GetGetDefaultprob($I$6,B95)))</f>
        <v>5.3810326532808817E-2</v>
      </c>
      <c r="E95" s="170">
        <f t="shared" ca="1" si="6"/>
        <v>1.0143993744383774E-2</v>
      </c>
      <c r="F95" s="156"/>
      <c r="G95" s="157"/>
    </row>
    <row r="96" spans="2:7">
      <c r="B96" s="176" t="str">
        <f t="shared" ca="1" si="5"/>
        <v>87M</v>
      </c>
      <c r="C96" s="208">
        <f t="shared" ca="1" si="4"/>
        <v>7.3041095890410963</v>
      </c>
      <c r="D96" s="161">
        <f ca="1">IF(NOT($C$6),"",IF(GetConvertDate(CDSRollDate,B96)&lt;Parameter_Date,0,GetGetDefaultprob($I$6,B96)))</f>
        <v>5.4546335960193759E-2</v>
      </c>
      <c r="E96" s="170">
        <f t="shared" ca="1" si="6"/>
        <v>1.014399374438329E-2</v>
      </c>
      <c r="F96" s="156"/>
      <c r="G96" s="157"/>
    </row>
    <row r="97" spans="2:7">
      <c r="B97" s="176" t="str">
        <f t="shared" ca="1" si="5"/>
        <v>88M</v>
      </c>
      <c r="C97" s="208">
        <f t="shared" ca="1" si="4"/>
        <v>7.3890410958904109</v>
      </c>
      <c r="D97" s="161">
        <f ca="1">IF(NOT($C$6),"",IF(GetConvertDate(CDSRollDate,B97)&lt;Parameter_Date,0,GetGetDefaultprob($I$6,B97)))</f>
        <v>5.5360535744025663E-2</v>
      </c>
      <c r="E97" s="170">
        <f t="shared" ca="1" si="6"/>
        <v>1.0143993744382573E-2</v>
      </c>
      <c r="F97" s="156"/>
      <c r="G97" s="157"/>
    </row>
    <row r="98" spans="2:7">
      <c r="B98" s="176" t="str">
        <f t="shared" ca="1" si="5"/>
        <v>89M</v>
      </c>
      <c r="C98" s="208">
        <f t="shared" ca="1" si="4"/>
        <v>7.4712328767123291</v>
      </c>
      <c r="D98" s="161">
        <f ca="1">IF(NOT($C$6),"",IF(GetConvertDate(CDSRollDate,B98)&lt;Parameter_Date,0,GetGetDefaultprob($I$6,B98)))</f>
        <v>5.6147803407761376E-2</v>
      </c>
      <c r="E98" s="170">
        <f t="shared" ca="1" si="6"/>
        <v>1.01439937443839E-2</v>
      </c>
      <c r="F98" s="156"/>
      <c r="G98" s="157"/>
    </row>
    <row r="99" spans="2:7">
      <c r="B99" s="176" t="str">
        <f t="shared" ca="1" si="5"/>
        <v>90M</v>
      </c>
      <c r="C99" s="208">
        <f t="shared" ca="1" si="4"/>
        <v>7.5561643835616437</v>
      </c>
      <c r="D99" s="161">
        <f ca="1">IF(NOT($C$6),"",IF(GetConvertDate(CDSRollDate,B99)&lt;Parameter_Date,0,GetGetDefaultprob($I$6,B99)))</f>
        <v>5.6960624050024333E-2</v>
      </c>
      <c r="E99" s="170">
        <f t="shared" ca="1" si="6"/>
        <v>1.014399374438388E-2</v>
      </c>
      <c r="F99" s="156"/>
      <c r="G99" s="157"/>
    </row>
    <row r="100" spans="2:7">
      <c r="B100" s="176" t="str">
        <f t="shared" ca="1" si="5"/>
        <v>91M</v>
      </c>
      <c r="C100" s="208">
        <f t="shared" ca="1" si="4"/>
        <v>7.6383561643835618</v>
      </c>
      <c r="D100" s="161">
        <f ca="1">IF(NOT($C$6),"",IF(GetConvertDate(CDSRollDate,B100)&lt;Parameter_Date,0,GetGetDefaultprob($I$6,B100)))</f>
        <v>5.7746558191469011E-2</v>
      </c>
      <c r="E100" s="170">
        <f t="shared" ca="1" si="6"/>
        <v>1.0143993744382549E-2</v>
      </c>
      <c r="F100" s="156"/>
      <c r="G100" s="157"/>
    </row>
    <row r="101" spans="2:7">
      <c r="B101" s="176" t="str">
        <f t="shared" ca="1" si="5"/>
        <v>92M</v>
      </c>
      <c r="C101" s="208">
        <f t="shared" ca="1" si="4"/>
        <v>7.7232876712328764</v>
      </c>
      <c r="D101" s="161">
        <f ca="1">IF(NOT($C$6),"",IF(GetConvertDate(CDSRollDate,B101)&lt;Parameter_Date,0,GetGetDefaultprob($I$6,B101)))</f>
        <v>5.8558002028237688E-2</v>
      </c>
      <c r="E101" s="170">
        <f t="shared" ca="1" si="6"/>
        <v>1.014399374438388E-2</v>
      </c>
      <c r="F101" s="156"/>
      <c r="G101" s="157"/>
    </row>
    <row r="102" spans="2:7">
      <c r="B102" s="176" t="str">
        <f t="shared" ca="1" si="5"/>
        <v>93M</v>
      </c>
      <c r="C102" s="208">
        <f t="shared" ca="1" si="4"/>
        <v>7.8082191780821919</v>
      </c>
      <c r="D102" s="161">
        <f ca="1">IF(NOT($C$6),"",IF(GetConvertDate(CDSRollDate,B102)&lt;Parameter_Date,0,GetGetDefaultprob($I$6,B102)))</f>
        <v>5.9368747070954742E-2</v>
      </c>
      <c r="E102" s="170">
        <f t="shared" ca="1" si="6"/>
        <v>1.0143993744383774E-2</v>
      </c>
      <c r="F102" s="156"/>
      <c r="G102" s="157"/>
    </row>
    <row r="103" spans="2:7">
      <c r="B103" s="176" t="str">
        <f t="shared" ca="1" si="5"/>
        <v>94M</v>
      </c>
      <c r="C103" s="208">
        <f t="shared" ca="1" si="4"/>
        <v>7.8904109589041092</v>
      </c>
      <c r="D103" s="161">
        <f ca="1">IF(NOT($C$6),"",IF(GetConvertDate(CDSRollDate,B103)&lt;Parameter_Date,0,GetGetDefaultprob($I$6,B103)))</f>
        <v>6.0152674269585482E-2</v>
      </c>
      <c r="E103" s="170">
        <f t="shared" ca="1" si="6"/>
        <v>1.014399374438401E-2</v>
      </c>
      <c r="F103" s="156"/>
      <c r="G103" s="157"/>
    </row>
    <row r="104" spans="2:7">
      <c r="B104" s="176" t="str">
        <f t="shared" ca="1" si="5"/>
        <v>95M</v>
      </c>
      <c r="C104" s="208">
        <f t="shared" ca="1" si="4"/>
        <v>7.9753424657534246</v>
      </c>
      <c r="D104" s="161">
        <f ca="1">IF(NOT($C$6),"",IF(GetConvertDate(CDSRollDate,B104)&lt;Parameter_Date,0,GetGetDefaultprob($I$6,B104)))</f>
        <v>6.0962046022586036E-2</v>
      </c>
      <c r="E104" s="170">
        <f t="shared" ca="1" si="6"/>
        <v>1.0143993744382468E-2</v>
      </c>
      <c r="F104" s="156"/>
      <c r="G104" s="157"/>
    </row>
    <row r="105" spans="2:7">
      <c r="B105" s="176" t="str">
        <f t="shared" ca="1" si="5"/>
        <v>96M</v>
      </c>
      <c r="C105" s="208">
        <f t="shared" ca="1" si="4"/>
        <v>8.0575342465753419</v>
      </c>
      <c r="D105" s="161">
        <f ca="1">IF(NOT($C$6),"",IF(GetConvertDate(CDSRollDate,B105)&lt;Parameter_Date,0,GetGetDefaultprob($I$6,B105)))</f>
        <v>6.1744645357210692E-2</v>
      </c>
      <c r="E105" s="170">
        <f t="shared" ca="1" si="6"/>
        <v>1.014399374438401E-2</v>
      </c>
      <c r="F105" s="156"/>
      <c r="G105" s="157"/>
    </row>
    <row r="106" spans="2:7">
      <c r="B106" s="176" t="str">
        <f t="shared" ca="1" si="5"/>
        <v>97M</v>
      </c>
      <c r="C106" s="208">
        <f t="shared" ref="C106:C129" ca="1" si="7">MAX(0,(DATE(YEAR(CDSRollDate),MONTH(CDSRollDate)+ROW()-ROW($B$9),DAY(CDSRollDate))-Parameter_Date)/365)</f>
        <v>8.1424657534246574</v>
      </c>
      <c r="D106" s="161">
        <f ca="1">IF(NOT($C$6),"",IF(GetConvertDate(CDSRollDate,B106)&lt;Parameter_Date,0,GetGetDefaultprob($I$6,B106)))</f>
        <v>6.2552646146657342E-2</v>
      </c>
      <c r="E106" s="170">
        <f t="shared" ca="1" si="6"/>
        <v>1.0143993744385084E-2</v>
      </c>
      <c r="F106" s="156"/>
      <c r="G106" s="157"/>
    </row>
    <row r="107" spans="2:7">
      <c r="B107" s="176" t="str">
        <f t="shared" ca="1" si="5"/>
        <v>98M</v>
      </c>
      <c r="C107" s="208">
        <f t="shared" ca="1" si="7"/>
        <v>8.2273972602739729</v>
      </c>
      <c r="D107" s="161">
        <f ca="1">IF(NOT($C$6),"",IF(GetConvertDate(CDSRollDate,B107)&lt;Parameter_Date,0,GetGetDefaultprob($I$6,B107)))</f>
        <v>6.3359951107113899E-2</v>
      </c>
      <c r="E107" s="170">
        <f t="shared" ca="1" si="6"/>
        <v>1.0143993744382468E-2</v>
      </c>
      <c r="F107" s="156"/>
      <c r="G107" s="157"/>
    </row>
    <row r="108" spans="2:7">
      <c r="B108" s="176" t="str">
        <f t="shared" ca="1" si="5"/>
        <v>99M</v>
      </c>
      <c r="C108" s="208">
        <f t="shared" ca="1" si="7"/>
        <v>8.3068493150684937</v>
      </c>
      <c r="D108" s="161">
        <f ca="1">IF(NOT($C$6),"",IF(GetConvertDate(CDSRollDate,B108)&lt;Parameter_Date,0,GetGetDefaultprob($I$6,B108)))</f>
        <v>6.4114542468565183E-2</v>
      </c>
      <c r="E108" s="170">
        <f t="shared" ca="1" si="6"/>
        <v>1.0143993744383661E-2</v>
      </c>
      <c r="F108" s="156"/>
      <c r="G108" s="157"/>
    </row>
    <row r="109" spans="2:7">
      <c r="B109" s="176" t="str">
        <f t="shared" ca="1" si="5"/>
        <v>100M</v>
      </c>
      <c r="C109" s="208">
        <f t="shared" ca="1" si="7"/>
        <v>8.3917808219178074</v>
      </c>
      <c r="D109" s="161">
        <f ca="1">IF(NOT($C$6),"",IF(GetConvertDate(CDSRollDate,B109)&lt;Parameter_Date,0,GetGetDefaultprob($I$6,B109)))</f>
        <v>6.4920502365063526E-2</v>
      </c>
      <c r="E109" s="170">
        <f t="shared" ca="1" si="6"/>
        <v>1.0143993744382679E-2</v>
      </c>
      <c r="F109" s="156"/>
      <c r="G109" s="157"/>
    </row>
    <row r="110" spans="2:7">
      <c r="B110" s="176" t="str">
        <f t="shared" ca="1" si="5"/>
        <v>101M</v>
      </c>
      <c r="C110" s="208">
        <f t="shared" ca="1" si="7"/>
        <v>8.4739726027397264</v>
      </c>
      <c r="D110" s="161">
        <f ca="1">IF(NOT($C$6),"",IF(GetConvertDate(CDSRollDate,B110)&lt;Parameter_Date,0,GetGetDefaultprob($I$6,B110)))</f>
        <v>6.5699802700657783E-2</v>
      </c>
      <c r="E110" s="170">
        <f t="shared" ca="1" si="6"/>
        <v>1.0143993744385143E-2</v>
      </c>
      <c r="F110" s="156"/>
      <c r="G110" s="157"/>
    </row>
    <row r="111" spans="2:7">
      <c r="B111" s="176" t="str">
        <f t="shared" ca="1" si="5"/>
        <v>102M</v>
      </c>
      <c r="C111" s="208">
        <f t="shared" ca="1" si="7"/>
        <v>8.5589041095890419</v>
      </c>
      <c r="D111" s="161">
        <f ca="1">IF(NOT($C$6),"",IF(GetConvertDate(CDSRollDate,B111)&lt;Parameter_Date,0,GetGetDefaultprob($I$6,B111)))</f>
        <v>6.6504397412814109E-2</v>
      </c>
      <c r="E111" s="170">
        <f t="shared" ca="1" si="6"/>
        <v>1.0143993744383774E-2</v>
      </c>
      <c r="F111" s="156"/>
      <c r="G111" s="157"/>
    </row>
    <row r="112" spans="2:7">
      <c r="B112" s="176" t="str">
        <f t="shared" ca="1" si="5"/>
        <v>103M</v>
      </c>
      <c r="C112" s="208">
        <f t="shared" ca="1" si="7"/>
        <v>8.6410958904109592</v>
      </c>
      <c r="D112" s="161">
        <f ca="1">IF(NOT($C$6),"",IF(GetConvertDate(CDSRollDate,B112)&lt;Parameter_Date,0,GetGetDefaultprob($I$6,B112)))</f>
        <v>6.7282377721666786E-2</v>
      </c>
      <c r="E112" s="170">
        <f t="shared" ca="1" si="6"/>
        <v>1.0143993744382658E-2</v>
      </c>
      <c r="F112" s="156"/>
      <c r="G112" s="157"/>
    </row>
    <row r="113" spans="2:7">
      <c r="B113" s="176" t="str">
        <f t="shared" ca="1" si="5"/>
        <v>104M</v>
      </c>
      <c r="C113" s="208">
        <f t="shared" ca="1" si="7"/>
        <v>8.7260273972602747</v>
      </c>
      <c r="D113" s="161">
        <f ca="1">IF(NOT($C$6),"",IF(GetConvertDate(CDSRollDate,B113)&lt;Parameter_Date,0,GetGetDefaultprob($I$6,B113)))</f>
        <v>6.8085609561914118E-2</v>
      </c>
      <c r="E113" s="170">
        <f t="shared" ca="1" si="6"/>
        <v>1.0143993744383774E-2</v>
      </c>
      <c r="F113" s="156"/>
      <c r="G113" s="157"/>
    </row>
    <row r="114" spans="2:7">
      <c r="B114" s="176" t="str">
        <f t="shared" ca="1" si="5"/>
        <v>105M</v>
      </c>
      <c r="C114" s="208">
        <f t="shared" ca="1" si="7"/>
        <v>8.8109589041095884</v>
      </c>
      <c r="D114" s="161">
        <f ca="1">IF(NOT($C$6),"",IF(GetConvertDate(CDSRollDate,B114)&lt;Parameter_Date,0,GetGetDefaultprob($I$6,B114)))</f>
        <v>6.8888149680064847E-2</v>
      </c>
      <c r="E114" s="170">
        <f t="shared" ca="1" si="6"/>
        <v>1.0143993744383987E-2</v>
      </c>
      <c r="F114" s="156"/>
      <c r="G114" s="157"/>
    </row>
    <row r="115" spans="2:7">
      <c r="B115" s="176" t="str">
        <f t="shared" ca="1" si="5"/>
        <v>106M</v>
      </c>
      <c r="C115" s="208">
        <f t="shared" ca="1" si="7"/>
        <v>8.8931506849315074</v>
      </c>
      <c r="D115" s="161">
        <f ca="1">IF(NOT($C$6),"",IF(GetConvertDate(CDSRollDate,B115)&lt;Parameter_Date,0,GetGetDefaultprob($I$6,B115)))</f>
        <v>6.9664143356822139E-2</v>
      </c>
      <c r="E115" s="170">
        <f t="shared" ca="1" si="6"/>
        <v>1.0143993744383791E-2</v>
      </c>
      <c r="F115" s="156"/>
      <c r="G115" s="157"/>
    </row>
    <row r="116" spans="2:7">
      <c r="B116" s="176" t="str">
        <f t="shared" ca="1" si="5"/>
        <v>107M</v>
      </c>
      <c r="C116" s="208">
        <f t="shared" ca="1" si="7"/>
        <v>8.9780821917808211</v>
      </c>
      <c r="D116" s="161">
        <f ca="1">IF(NOT($C$6),"",IF(GetConvertDate(CDSRollDate,B116)&lt;Parameter_Date,0,GetGetDefaultprob($I$6,B116)))</f>
        <v>7.0465324083261338E-2</v>
      </c>
      <c r="E116" s="170">
        <f t="shared" ca="1" si="6"/>
        <v>1.0143993744383987E-2</v>
      </c>
      <c r="F116" s="156"/>
      <c r="G116" s="157"/>
    </row>
    <row r="117" spans="2:7">
      <c r="B117" s="176" t="str">
        <f t="shared" ca="1" si="5"/>
        <v>108M</v>
      </c>
      <c r="C117" s="208">
        <f t="shared" ca="1" si="7"/>
        <v>9.0602739726027401</v>
      </c>
      <c r="D117" s="161">
        <f ca="1">IF(NOT($C$6),"",IF(GetConvertDate(CDSRollDate,B117)&lt;Parameter_Date,0,GetGetDefaultprob($I$6,B117)))</f>
        <v>7.1240003334298696E-2</v>
      </c>
      <c r="E117" s="170">
        <f t="shared" ca="1" si="6"/>
        <v>1.014399374438244E-2</v>
      </c>
      <c r="F117" s="156"/>
      <c r="G117" s="157"/>
    </row>
    <row r="118" spans="2:7">
      <c r="B118" s="176" t="str">
        <f t="shared" ca="1" si="5"/>
        <v>109M</v>
      </c>
      <c r="C118" s="208">
        <f t="shared" ca="1" si="7"/>
        <v>9.1452054794520556</v>
      </c>
      <c r="D118" s="161">
        <f ca="1">IF(NOT($C$6),"",IF(GetConvertDate(CDSRollDate,B118)&lt;Parameter_Date,0,GetGetDefaultprob($I$6,B118)))</f>
        <v>7.2039826971647458E-2</v>
      </c>
      <c r="E118" s="170">
        <f t="shared" ca="1" si="6"/>
        <v>1.0143993744383774E-2</v>
      </c>
      <c r="F118" s="156"/>
      <c r="G118" s="157"/>
    </row>
    <row r="119" spans="2:7">
      <c r="B119" s="176" t="str">
        <f t="shared" ca="1" si="5"/>
        <v>110M</v>
      </c>
      <c r="C119" s="208">
        <f t="shared" ca="1" si="7"/>
        <v>9.2301369863013694</v>
      </c>
      <c r="D119" s="161">
        <f ca="1">IF(NOT($C$6),"",IF(GetConvertDate(CDSRollDate,B119)&lt;Parameter_Date,0,GetGetDefaultprob($I$6,B119)))</f>
        <v>7.2838961821954151E-2</v>
      </c>
      <c r="E119" s="170">
        <f t="shared" ca="1" si="6"/>
        <v>1.0143993744383987E-2</v>
      </c>
      <c r="F119" s="156"/>
      <c r="G119" s="157"/>
    </row>
    <row r="120" spans="2:7">
      <c r="B120" s="176" t="str">
        <f t="shared" ca="1" si="5"/>
        <v>111M</v>
      </c>
      <c r="C120" s="208">
        <f t="shared" ca="1" si="7"/>
        <v>9.3068493150684937</v>
      </c>
      <c r="D120" s="161">
        <f ca="1">IF(NOT($C$6),"",IF(GetConvertDate(CDSRollDate,B120)&lt;Parameter_Date,0,GetGetDefaultprob($I$6,B120)))</f>
        <v>7.3560169507832174E-2</v>
      </c>
      <c r="E120" s="170">
        <f t="shared" ca="1" si="6"/>
        <v>1.0143993744381723E-2</v>
      </c>
      <c r="F120" s="156"/>
      <c r="G120" s="157"/>
    </row>
    <row r="121" spans="2:7">
      <c r="B121" s="176" t="str">
        <f t="shared" ca="1" si="5"/>
        <v>112M</v>
      </c>
      <c r="C121" s="208">
        <f t="shared" ca="1" si="7"/>
        <v>9.3917808219178074</v>
      </c>
      <c r="D121" s="161">
        <f ca="1">IF(NOT($C$6),"",IF(GetConvertDate(CDSRollDate,B121)&lt;Parameter_Date,0,GetGetDefaultprob($I$6,B121)))</f>
        <v>7.4357995079206041E-2</v>
      </c>
      <c r="E121" s="170">
        <f t="shared" ca="1" si="6"/>
        <v>1.0143993744383987E-2</v>
      </c>
      <c r="F121" s="156"/>
      <c r="G121" s="157"/>
    </row>
    <row r="122" spans="2:7">
      <c r="B122" s="176" t="str">
        <f t="shared" ca="1" si="5"/>
        <v>113M</v>
      </c>
      <c r="C122" s="208">
        <f t="shared" ca="1" si="7"/>
        <v>9.4739726027397264</v>
      </c>
      <c r="D122" s="161">
        <f ca="1">IF(NOT($C$6),"",IF(GetConvertDate(CDSRollDate,B122)&lt;Parameter_Date,0,GetGetDefaultprob($I$6,B122)))</f>
        <v>7.5129430157078403E-2</v>
      </c>
      <c r="E122" s="170">
        <f t="shared" ca="1" si="6"/>
        <v>1.0143993744383791E-2</v>
      </c>
      <c r="F122" s="156"/>
      <c r="G122" s="157"/>
    </row>
    <row r="123" spans="2:7">
      <c r="B123" s="176" t="str">
        <f t="shared" ca="1" si="5"/>
        <v>114M</v>
      </c>
      <c r="C123" s="208">
        <f t="shared" ca="1" si="7"/>
        <v>9.5589041095890419</v>
      </c>
      <c r="D123" s="161">
        <f ca="1">IF(NOT($C$6),"",IF(GetConvertDate(CDSRollDate,B123)&lt;Parameter_Date,0,GetGetDefaultprob($I$6,B123)))</f>
        <v>7.5925904322529325E-2</v>
      </c>
      <c r="E123" s="170">
        <f t="shared" ca="1" si="6"/>
        <v>1.0143993744383774E-2</v>
      </c>
      <c r="F123" s="156"/>
      <c r="G123" s="157"/>
    </row>
    <row r="124" spans="2:7">
      <c r="B124" s="176" t="str">
        <f t="shared" ca="1" si="5"/>
        <v>115M</v>
      </c>
      <c r="C124" s="208">
        <f t="shared" ca="1" si="7"/>
        <v>9.6410958904109592</v>
      </c>
      <c r="D124" s="161">
        <f ca="1">IF(NOT($C$6),"",IF(GetConvertDate(CDSRollDate,B124)&lt;Parameter_Date,0,GetGetDefaultprob($I$6,B124)))</f>
        <v>7.6696032696316419E-2</v>
      </c>
      <c r="E124" s="170">
        <f t="shared" ca="1" si="6"/>
        <v>1.0143993744382658E-2</v>
      </c>
      <c r="F124" s="156"/>
      <c r="G124" s="157"/>
    </row>
    <row r="125" spans="2:7">
      <c r="B125" s="176" t="str">
        <f t="shared" ca="1" si="5"/>
        <v>116M</v>
      </c>
      <c r="C125" s="208">
        <f t="shared" ca="1" si="7"/>
        <v>9.7260273972602747</v>
      </c>
      <c r="D125" s="161">
        <f ca="1">IF(NOT($C$6),"",IF(GetConvertDate(CDSRollDate,B125)&lt;Parameter_Date,0,GetGetDefaultprob($I$6,B125)))</f>
        <v>7.7491157744938866E-2</v>
      </c>
      <c r="E125" s="170">
        <f t="shared" ca="1" si="6"/>
        <v>1.0143993744385084E-2</v>
      </c>
      <c r="F125" s="156"/>
      <c r="G125" s="157"/>
    </row>
    <row r="126" spans="2:7">
      <c r="B126" s="176" t="str">
        <f t="shared" ca="1" si="5"/>
        <v>117M</v>
      </c>
      <c r="C126" s="208">
        <f t="shared" ca="1" si="7"/>
        <v>9.8109589041095884</v>
      </c>
      <c r="D126" s="161">
        <f ca="1">IF(NOT($C$6),"",IF(GetConvertDate(CDSRollDate,B126)&lt;Parameter_Date,0,GetGetDefaultprob($I$6,B126)))</f>
        <v>7.8285598052819982E-2</v>
      </c>
      <c r="E126" s="170">
        <f t="shared" ca="1" si="6"/>
        <v>1.0143993744383987E-2</v>
      </c>
      <c r="F126" s="156"/>
      <c r="G126" s="157"/>
    </row>
    <row r="127" spans="2:7">
      <c r="B127" s="176" t="str">
        <f t="shared" ca="1" si="5"/>
        <v>118M</v>
      </c>
      <c r="C127" s="208">
        <f t="shared" ca="1" si="7"/>
        <v>9.8931506849315074</v>
      </c>
      <c r="D127" s="161">
        <f ca="1">IF(NOT($C$6),"",IF(GetConvertDate(CDSRollDate,B127)&lt;Parameter_Date,0,GetGetDefaultprob($I$6,B127)))</f>
        <v>7.9053759845027161E-2</v>
      </c>
      <c r="E127" s="170">
        <f t="shared" ca="1" si="6"/>
        <v>1.0143993744383791E-2</v>
      </c>
      <c r="F127" s="156"/>
      <c r="G127" s="157"/>
    </row>
    <row r="128" spans="2:7">
      <c r="B128" s="176" t="str">
        <f t="shared" ca="1" si="5"/>
        <v>119M</v>
      </c>
      <c r="C128" s="208">
        <f t="shared" ca="1" si="7"/>
        <v>9.9780821917808211</v>
      </c>
      <c r="D128" s="161">
        <f ca="1">IF(NOT($C$6),"",IF(GetConvertDate(CDSRollDate,B128)&lt;Parameter_Date,0,GetGetDefaultprob($I$6,B128)))</f>
        <v>7.9846854481152474E-2</v>
      </c>
      <c r="E128" s="170">
        <f t="shared" ca="1" si="6"/>
        <v>1.0143993744383987E-2</v>
      </c>
      <c r="F128" s="156"/>
      <c r="G128" s="157"/>
    </row>
    <row r="129" spans="2:7" ht="15.75" thickBot="1">
      <c r="B129" s="177" t="str">
        <f t="shared" ca="1" si="5"/>
        <v>120M</v>
      </c>
      <c r="C129" s="209">
        <f t="shared" ca="1" si="7"/>
        <v>10.06027397260274</v>
      </c>
      <c r="D129" s="171">
        <f ca="1">IF(NOT($C$6),"",IF(GetConvertDate(CDSRollDate,B129)&lt;Parameter_Date,0,GetGetDefaultprob($I$6,B129)))</f>
        <v>8.0613715113766693E-2</v>
      </c>
      <c r="E129" s="210">
        <f t="shared" ca="1" si="6"/>
        <v>1.0143993744383791E-2</v>
      </c>
      <c r="F129" s="156"/>
      <c r="G129" s="157"/>
    </row>
    <row r="130" spans="2:7">
      <c r="B130" s="168"/>
    </row>
  </sheetData>
  <mergeCells count="2">
    <mergeCell ref="I6:K6"/>
    <mergeCell ref="I7:K7"/>
  </mergeCells>
  <dataValidations disablePrompts="1" count="1">
    <dataValidation type="list" allowBlank="1" showInputMessage="1" showErrorMessage="1" sqref="C6" xr:uid="{848E409E-7E16-421D-9137-C13D016B0C6B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Button 8">
              <controlPr defaultSize="0" print="0" autoFill="0" autoPict="0" macro="[0]!FwdIntensityPricing">
                <anchor moveWithCells="1" sizeWithCells="1">
                  <from>
                    <xdr:col>3</xdr:col>
                    <xdr:colOff>85725</xdr:colOff>
                    <xdr:row>4</xdr:row>
                    <xdr:rowOff>161925</xdr:rowOff>
                  </from>
                  <to>
                    <xdr:col>5</xdr:col>
                    <xdr:colOff>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E13A-9798-452C-A3FB-9C257E7952AB}">
  <sheetPr codeName="Feuil6"/>
  <dimension ref="B2:K32"/>
  <sheetViews>
    <sheetView showGridLines="0" zoomScaleNormal="100" workbookViewId="0">
      <selection activeCell="F14" sqref="F14"/>
    </sheetView>
  </sheetViews>
  <sheetFormatPr defaultColWidth="11.42578125" defaultRowHeight="15"/>
  <cols>
    <col min="2" max="2" width="17.5703125" bestFit="1" customWidth="1"/>
    <col min="3" max="3" width="20.5703125" bestFit="1" customWidth="1"/>
    <col min="6" max="6" width="19.7109375" customWidth="1"/>
    <col min="7" max="7" width="17.5703125" customWidth="1"/>
    <col min="8" max="9" width="20.85546875" bestFit="1" customWidth="1"/>
    <col min="10" max="10" width="14.85546875" hidden="1" customWidth="1"/>
    <col min="11" max="11" width="18.42578125" bestFit="1" customWidth="1"/>
    <col min="13" max="13" width="18.42578125" bestFit="1" customWidth="1"/>
    <col min="14" max="14" width="15.42578125" bestFit="1" customWidth="1"/>
  </cols>
  <sheetData>
    <row r="2" spans="2:11" ht="15.75" thickBot="1"/>
    <row r="3" spans="2:11">
      <c r="C3" s="644" t="s">
        <v>456</v>
      </c>
      <c r="D3" s="645"/>
      <c r="E3" s="646"/>
    </row>
    <row r="4" spans="2:11">
      <c r="C4" s="647"/>
      <c r="D4" s="648"/>
      <c r="E4" s="649"/>
    </row>
    <row r="5" spans="2:11" ht="15.75" thickBot="1">
      <c r="C5" s="650"/>
      <c r="D5" s="651"/>
      <c r="E5" s="652"/>
      <c r="G5" s="461"/>
    </row>
    <row r="6" spans="2:11" ht="15.75" thickBot="1"/>
    <row r="7" spans="2:11" ht="16.5" thickBot="1">
      <c r="B7" s="642" t="s">
        <v>454</v>
      </c>
      <c r="C7" s="643"/>
      <c r="D7" s="79"/>
      <c r="E7" s="642" t="s">
        <v>455</v>
      </c>
      <c r="F7" s="643"/>
      <c r="G7" s="79"/>
      <c r="H7" s="79"/>
      <c r="I7" s="79"/>
      <c r="J7" s="79"/>
      <c r="K7" s="79"/>
    </row>
    <row r="8" spans="2:11" ht="15.75" thickBot="1">
      <c r="B8" s="85"/>
      <c r="C8" s="62">
        <v>1</v>
      </c>
      <c r="D8" s="79"/>
      <c r="E8" s="79"/>
      <c r="F8" s="79"/>
      <c r="G8" s="79"/>
      <c r="H8" s="79"/>
      <c r="I8" s="79"/>
      <c r="J8" s="79"/>
      <c r="K8" s="79"/>
    </row>
    <row r="9" spans="2:11" ht="15.75" thickBot="1">
      <c r="B9" s="199" t="s">
        <v>431</v>
      </c>
      <c r="C9" s="212" t="str">
        <f ca="1">GetGetCDSName(C8)</f>
        <v>ABNAMRO_MMR.EUR.SU</v>
      </c>
      <c r="D9" s="79"/>
      <c r="E9" s="199" t="s">
        <v>453</v>
      </c>
      <c r="F9" s="203" t="b">
        <v>1</v>
      </c>
      <c r="I9" s="79"/>
      <c r="J9" s="79"/>
      <c r="K9" s="259"/>
    </row>
    <row r="10" spans="2:11">
      <c r="B10" s="200" t="s">
        <v>432</v>
      </c>
      <c r="C10" s="186" t="s">
        <v>672</v>
      </c>
      <c r="D10" s="79"/>
      <c r="E10" s="200" t="s">
        <v>433</v>
      </c>
      <c r="F10" s="204">
        <f ca="1">GetConvertDate(CDSRollDate,C10)</f>
        <v>45646</v>
      </c>
      <c r="I10" s="79"/>
      <c r="J10" s="79"/>
      <c r="K10" s="79"/>
    </row>
    <row r="11" spans="2:11" ht="15.75" thickBot="1">
      <c r="B11" s="200" t="s">
        <v>434</v>
      </c>
      <c r="C11" s="187">
        <v>0.01</v>
      </c>
      <c r="D11" s="79"/>
      <c r="E11" s="201" t="s">
        <v>425</v>
      </c>
      <c r="F11" s="205" t="str">
        <f ca="1">GetGetCDSName(C8)</f>
        <v>ABNAMRO_MMR.EUR.SU</v>
      </c>
      <c r="H11" s="567"/>
      <c r="I11" s="79"/>
      <c r="J11" s="79"/>
      <c r="K11" s="79"/>
    </row>
    <row r="12" spans="2:11">
      <c r="B12" s="200" t="s">
        <v>85</v>
      </c>
      <c r="C12" s="187">
        <v>0.4</v>
      </c>
      <c r="D12" s="79"/>
      <c r="E12" s="195"/>
      <c r="F12" s="386"/>
      <c r="H12" s="467"/>
      <c r="I12" s="79"/>
      <c r="J12" s="79"/>
      <c r="K12" s="79"/>
    </row>
    <row r="13" spans="2:11" ht="15.75" thickBot="1">
      <c r="B13" s="201" t="s">
        <v>496</v>
      </c>
      <c r="C13" s="436">
        <v>1</v>
      </c>
      <c r="D13" s="79"/>
      <c r="E13" s="79"/>
      <c r="F13" s="79"/>
      <c r="G13" s="214"/>
      <c r="H13" s="79"/>
      <c r="I13" s="79"/>
      <c r="J13" s="79"/>
      <c r="K13" s="79"/>
    </row>
    <row r="14" spans="2:11" ht="15.75" thickBot="1">
      <c r="B14" s="194"/>
      <c r="C14" s="79"/>
      <c r="F14" s="168" t="s">
        <v>75</v>
      </c>
    </row>
    <row r="15" spans="2:11">
      <c r="B15" s="199" t="s">
        <v>82</v>
      </c>
      <c r="C15" s="63" t="s">
        <v>66</v>
      </c>
      <c r="E15" s="216" t="s">
        <v>435</v>
      </c>
      <c r="F15" s="464" cm="1">
        <f t="array" aca="1" ref="F15:K22" ca="1">IF(NOT($F$9),"",getcds(C9,C10,C11,C12,C13,C19,C20,C21,C15,C16,C17,C23,C24,C26,C28:C30,C32))</f>
        <v>-2.51349846830622E-2</v>
      </c>
      <c r="G15" s="251">
        <f ca="1"/>
        <v>-2.51349846830622E-2</v>
      </c>
      <c r="H15" s="247">
        <f ca="1"/>
        <v>0</v>
      </c>
      <c r="I15" s="447">
        <f ca="1"/>
        <v>0</v>
      </c>
      <c r="J15" s="251">
        <f ca="1"/>
        <v>0</v>
      </c>
      <c r="K15" s="247">
        <f ca="1"/>
        <v>0</v>
      </c>
    </row>
    <row r="16" spans="2:11">
      <c r="B16" s="200" t="s">
        <v>437</v>
      </c>
      <c r="C16" s="69">
        <v>0</v>
      </c>
      <c r="E16" s="217" t="s">
        <v>436</v>
      </c>
      <c r="F16" s="446">
        <f ca="1"/>
        <v>1.8084373010894401E-2</v>
      </c>
      <c r="G16" s="252">
        <f ca="1"/>
        <v>1.8084373010894401E-2</v>
      </c>
      <c r="H16" s="248">
        <f ca="1"/>
        <v>0</v>
      </c>
      <c r="I16" s="448">
        <f ca="1"/>
        <v>0</v>
      </c>
      <c r="J16" s="252">
        <f ca="1"/>
        <v>0</v>
      </c>
      <c r="K16" s="248">
        <f ca="1"/>
        <v>0</v>
      </c>
    </row>
    <row r="17" spans="2:11" ht="15.75" thickBot="1">
      <c r="B17" s="201" t="s">
        <v>439</v>
      </c>
      <c r="C17" s="188">
        <v>0</v>
      </c>
      <c r="E17" s="217" t="s">
        <v>438</v>
      </c>
      <c r="F17" s="446">
        <f ca="1"/>
        <v>4.32193576939566E-2</v>
      </c>
      <c r="G17" s="252">
        <f ca="1"/>
        <v>4.32193576939566E-2</v>
      </c>
      <c r="H17" s="248">
        <f ca="1"/>
        <v>0</v>
      </c>
      <c r="I17" s="448">
        <f ca="1"/>
        <v>0</v>
      </c>
      <c r="J17" s="252">
        <f ca="1"/>
        <v>0</v>
      </c>
      <c r="K17" s="248">
        <f ca="1"/>
        <v>0</v>
      </c>
    </row>
    <row r="18" spans="2:11" ht="15.75" thickBot="1">
      <c r="B18" s="194"/>
      <c r="C18" s="79"/>
      <c r="E18" s="217" t="s">
        <v>440</v>
      </c>
      <c r="F18" s="460">
        <f ca="1"/>
        <v>4.1843224832152403E-3</v>
      </c>
      <c r="G18" s="252">
        <f ca="1"/>
        <v>4.1843224832152403E-3</v>
      </c>
      <c r="H18" s="248">
        <f ca="1"/>
        <v>0</v>
      </c>
      <c r="I18" s="448">
        <f ca="1"/>
        <v>0</v>
      </c>
      <c r="J18" s="252">
        <f ca="1"/>
        <v>0</v>
      </c>
      <c r="K18" s="248">
        <f ca="1"/>
        <v>0</v>
      </c>
    </row>
    <row r="19" spans="2:11">
      <c r="B19" s="199" t="s">
        <v>442</v>
      </c>
      <c r="C19" s="63" t="s">
        <v>83</v>
      </c>
      <c r="E19" s="217" t="s">
        <v>441</v>
      </c>
      <c r="F19" s="446">
        <f ca="1"/>
        <v>4.3219357693956599</v>
      </c>
      <c r="G19" s="253">
        <f ca="1"/>
        <v>4.3219357693956599</v>
      </c>
      <c r="H19" s="248">
        <f ca="1"/>
        <v>0</v>
      </c>
      <c r="I19" s="449">
        <f ca="1"/>
        <v>0</v>
      </c>
      <c r="J19" s="253">
        <f ca="1"/>
        <v>0</v>
      </c>
      <c r="K19" s="248">
        <f ca="1"/>
        <v>0</v>
      </c>
    </row>
    <row r="20" spans="2:11" ht="15.75" thickBot="1">
      <c r="B20" s="200" t="s">
        <v>444</v>
      </c>
      <c r="C20" s="69" t="s">
        <v>445</v>
      </c>
      <c r="E20" s="217" t="s">
        <v>443</v>
      </c>
      <c r="F20" s="258" t="str">
        <f ca="1"/>
        <v>00:00:00.0139484</v>
      </c>
      <c r="G20" s="254" t="str">
        <f ca="1"/>
        <v>00:00:00.0139484</v>
      </c>
      <c r="H20" s="248">
        <f ca="1"/>
        <v>0</v>
      </c>
      <c r="I20" s="450">
        <f ca="1"/>
        <v>0</v>
      </c>
      <c r="J20" s="254">
        <f ca="1"/>
        <v>0</v>
      </c>
      <c r="K20" s="248">
        <f ca="1"/>
        <v>0</v>
      </c>
    </row>
    <row r="21" spans="2:11" ht="15.75" thickBot="1">
      <c r="B21" s="201" t="s">
        <v>446</v>
      </c>
      <c r="C21" s="462"/>
      <c r="E21" s="218"/>
      <c r="F21" s="249" t="str">
        <f ca="1"/>
        <v>dPV</v>
      </c>
      <c r="G21" s="249" t="str">
        <f ca="1"/>
        <v>dHedge</v>
      </c>
      <c r="H21" s="250" t="str">
        <f ca="1"/>
        <v>delta not. (Hedge Crncy)</v>
      </c>
      <c r="I21" s="249" t="str">
        <f ca="1"/>
        <v>delta not. (Product CCY)</v>
      </c>
      <c r="J21" s="249" t="str">
        <f ca="1"/>
        <v>dPV(dBeta)</v>
      </c>
      <c r="K21" s="250" t="str">
        <f ca="1"/>
        <v>Name</v>
      </c>
    </row>
    <row r="22" spans="2:11" ht="15.75" thickBot="1">
      <c r="B22" s="194"/>
      <c r="C22" s="79"/>
      <c r="E22" s="219"/>
      <c r="F22" s="458">
        <f ca="1"/>
        <v>4.4996696308576603E-4</v>
      </c>
      <c r="G22" s="255">
        <f ca="1"/>
        <v>4.4050838351955101E-4</v>
      </c>
      <c r="H22" s="256">
        <f ca="1"/>
        <v>1.02147196266878</v>
      </c>
      <c r="I22" s="255">
        <f ca="1"/>
        <v>1.02147196266878</v>
      </c>
      <c r="J22" s="255">
        <f ca="1"/>
        <v>-1.8084373010894401E-2</v>
      </c>
      <c r="K22" s="256" t="str">
        <f ca="1"/>
        <v>ABNAMRO_MMR.EUR.SU</v>
      </c>
    </row>
    <row r="23" spans="2:11">
      <c r="B23" s="202" t="s">
        <v>447</v>
      </c>
      <c r="C23" s="189" t="b">
        <v>1</v>
      </c>
    </row>
    <row r="24" spans="2:11" ht="15.75" thickBot="1">
      <c r="B24" s="201" t="s">
        <v>448</v>
      </c>
      <c r="C24" s="190" t="b">
        <v>1</v>
      </c>
    </row>
    <row r="25" spans="2:11" ht="15.75" thickBot="1">
      <c r="B25" s="195"/>
      <c r="C25" s="85"/>
      <c r="D25" s="191"/>
      <c r="F25" s="502"/>
    </row>
    <row r="26" spans="2:11" ht="15.75" thickBot="1">
      <c r="B26" s="172" t="s">
        <v>449</v>
      </c>
      <c r="C26" s="189" t="b">
        <v>1</v>
      </c>
      <c r="D26" s="85"/>
      <c r="F26" s="502"/>
    </row>
    <row r="27" spans="2:11" ht="15.75" thickBot="1">
      <c r="B27" s="197" t="s">
        <v>450</v>
      </c>
      <c r="C27" s="211"/>
      <c r="D27" s="85"/>
      <c r="F27" s="467"/>
      <c r="G27" s="467"/>
    </row>
    <row r="28" spans="2:11">
      <c r="B28" s="197" t="s">
        <v>434</v>
      </c>
      <c r="C28" s="215"/>
      <c r="D28" s="85"/>
      <c r="F28" s="467"/>
      <c r="G28" s="467"/>
    </row>
    <row r="29" spans="2:11">
      <c r="B29" s="197" t="s">
        <v>447</v>
      </c>
      <c r="C29" s="192" t="b">
        <v>1</v>
      </c>
      <c r="D29" s="85"/>
    </row>
    <row r="30" spans="2:11" ht="15.75" thickBot="1">
      <c r="B30" s="198" t="s">
        <v>448</v>
      </c>
      <c r="C30" s="193" t="b">
        <v>1</v>
      </c>
      <c r="D30" s="85"/>
    </row>
    <row r="31" spans="2:11" ht="15.75" thickBot="1">
      <c r="B31" s="196"/>
      <c r="C31" s="79"/>
      <c r="D31" s="85"/>
    </row>
    <row r="32" spans="2:11" ht="15.75" thickBot="1">
      <c r="B32" s="172" t="s">
        <v>451</v>
      </c>
      <c r="C32" s="178" t="s">
        <v>452</v>
      </c>
      <c r="D32" s="85"/>
      <c r="F32" s="467"/>
    </row>
  </sheetData>
  <mergeCells count="3">
    <mergeCell ref="B7:C7"/>
    <mergeCell ref="E7:F7"/>
    <mergeCell ref="C3:E5"/>
  </mergeCells>
  <conditionalFormatting sqref="F22 I22 G21:H22 J21:K22">
    <cfRule type="cellIs" dxfId="1" priority="7" stopIfTrue="1" operator="equal">
      <formula>#N/A</formula>
    </cfRule>
  </conditionalFormatting>
  <conditionalFormatting sqref="F21 I21">
    <cfRule type="cellIs" dxfId="0" priority="8" stopIfTrue="1" operator="equal">
      <formula>"""#N/A"""</formula>
    </cfRule>
  </conditionalFormatting>
  <dataValidations count="5">
    <dataValidation type="list" allowBlank="1" showInputMessage="1" showErrorMessage="1" sqref="C32" xr:uid="{0C13862A-39AD-47FA-89AF-93F59AB662F7}">
      <formula1>"1m,3m"</formula1>
    </dataValidation>
    <dataValidation type="list" allowBlank="1" showInputMessage="1" showErrorMessage="1" sqref="F9 C23:C24 C26 C29:C30" xr:uid="{8ACA7841-144A-4E6F-BDE6-8069CD41B739}">
      <formula1>TrueFalseList</formula1>
    </dataValidation>
    <dataValidation type="list" allowBlank="1" showInputMessage="1" showErrorMessage="1" sqref="C15" xr:uid="{C2CB3166-7190-428D-B805-63B52A169A71}">
      <formula1>"EUR,JPY,USD"</formula1>
    </dataValidation>
    <dataValidation type="list" allowBlank="1" showInputMessage="1" showErrorMessage="1" sqref="C19" xr:uid="{0FE05A52-D66F-4DEF-985C-5E70A623C8DE}">
      <formula1>"3M,6M,1Y,1M"</formula1>
    </dataValidation>
    <dataValidation type="list" allowBlank="1" showInputMessage="1" showErrorMessage="1" sqref="C20" xr:uid="{6C79EA61-FE20-4151-8AE6-F9FA74FC1166}">
      <formula1>"ShortFirst,LongFirst,ShortLast,LongLast"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3" name="Button 12">
              <controlPr defaultSize="0" print="0" autoFill="0" autoPict="0" macro="[0]!CDSPricing">
                <anchor moveWithCells="1" sizeWithCells="1">
                  <from>
                    <xdr:col>3</xdr:col>
                    <xdr:colOff>800100</xdr:colOff>
                    <xdr:row>11</xdr:row>
                    <xdr:rowOff>66675</xdr:rowOff>
                  </from>
                  <to>
                    <xdr:col>6</xdr:col>
                    <xdr:colOff>9525</xdr:colOff>
                    <xdr:row>13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B9B24-E033-4F9C-B596-6F00D2E5C675}">
  <sheetPr codeName="Sheet18">
    <pageSetUpPr fitToPage="1"/>
  </sheetPr>
  <dimension ref="A1:AF338"/>
  <sheetViews>
    <sheetView showGridLines="0" tabSelected="1" zoomScale="115" zoomScaleNormal="115" workbookViewId="0">
      <selection activeCell="T15" sqref="T15"/>
    </sheetView>
  </sheetViews>
  <sheetFormatPr defaultColWidth="11.42578125" defaultRowHeight="11.25"/>
  <cols>
    <col min="1" max="1" width="3.140625" style="220" customWidth="1"/>
    <col min="2" max="2" width="17.140625" style="220" customWidth="1"/>
    <col min="3" max="3" width="20" style="221" customWidth="1"/>
    <col min="4" max="4" width="15.28515625" style="221" bestFit="1" customWidth="1"/>
    <col min="5" max="5" width="11" style="221" bestFit="1" customWidth="1"/>
    <col min="6" max="6" width="7.42578125" style="221" customWidth="1"/>
    <col min="7" max="7" width="9.7109375" style="221" customWidth="1"/>
    <col min="8" max="8" width="11.28515625" style="221" customWidth="1"/>
    <col min="9" max="10" width="13.140625" style="220" customWidth="1"/>
    <col min="11" max="11" width="18.5703125" style="220" customWidth="1"/>
    <col min="12" max="12" width="18.42578125" style="220" customWidth="1"/>
    <col min="13" max="13" width="13.140625" style="220" customWidth="1"/>
    <col min="14" max="14" width="27.5703125" style="220" customWidth="1"/>
    <col min="15" max="16" width="13.140625" style="220" hidden="1" customWidth="1"/>
    <col min="17" max="18" width="19.28515625" style="220" hidden="1" customWidth="1"/>
    <col min="19" max="29" width="13.140625" style="220" customWidth="1"/>
    <col min="30" max="30" width="11.42578125" style="220"/>
    <col min="31" max="31" width="13.140625" style="220" customWidth="1"/>
    <col min="32" max="32" width="13.5703125" style="220" customWidth="1"/>
    <col min="33" max="33" width="12.7109375" style="220" customWidth="1"/>
    <col min="34" max="34" width="13.5703125" style="220" customWidth="1"/>
    <col min="35" max="35" width="12.42578125" style="220" customWidth="1"/>
    <col min="36" max="36" width="13" style="220" customWidth="1"/>
    <col min="37" max="37" width="11.42578125" style="220" customWidth="1"/>
    <col min="38" max="39" width="11.42578125" style="220"/>
    <col min="40" max="40" width="25.140625" style="220" customWidth="1"/>
    <col min="41" max="50" width="9.7109375" style="220" customWidth="1"/>
    <col min="51" max="16384" width="11.42578125" style="220"/>
  </cols>
  <sheetData>
    <row r="1" spans="1:32">
      <c r="S1" s="221"/>
    </row>
    <row r="2" spans="1:32" ht="29.25" customHeight="1">
      <c r="N2" s="472"/>
      <c r="O2" s="472"/>
      <c r="P2" s="472"/>
    </row>
    <row r="3" spans="1:32">
      <c r="N3" s="472"/>
      <c r="O3" s="472"/>
      <c r="P3" s="472"/>
    </row>
    <row r="4" spans="1:32" ht="12" thickBot="1">
      <c r="N4" s="473"/>
      <c r="O4" s="472"/>
      <c r="P4" s="472"/>
    </row>
    <row r="5" spans="1:32" ht="12" thickBot="1">
      <c r="B5" s="261" t="s">
        <v>47</v>
      </c>
      <c r="C5" s="222">
        <v>45412</v>
      </c>
      <c r="D5" s="221">
        <f ca="1">[0]!Parameter_Date</f>
        <v>45261</v>
      </c>
      <c r="H5" s="260" t="s">
        <v>423</v>
      </c>
      <c r="I5" s="140" t="b">
        <v>1</v>
      </c>
      <c r="K5" s="260" t="s">
        <v>508</v>
      </c>
      <c r="L5" s="140" t="b">
        <v>0</v>
      </c>
      <c r="N5" s="472"/>
      <c r="O5" s="472"/>
      <c r="P5" s="472"/>
    </row>
    <row r="6" spans="1:32" ht="12" thickBot="1">
      <c r="B6" s="261" t="s">
        <v>432</v>
      </c>
      <c r="C6" s="222">
        <v>47107</v>
      </c>
      <c r="F6" s="394"/>
      <c r="K6" s="260" t="s">
        <v>509</v>
      </c>
      <c r="L6" s="140" t="b">
        <v>0</v>
      </c>
      <c r="N6" s="472"/>
      <c r="O6" s="472"/>
      <c r="P6" s="472"/>
    </row>
    <row r="7" spans="1:32" customFormat="1" ht="15.75" thickBot="1">
      <c r="A7" s="220"/>
      <c r="B7" s="261" t="s">
        <v>457</v>
      </c>
      <c r="C7" s="223">
        <v>46376</v>
      </c>
      <c r="D7" s="470" cm="1">
        <f t="array" aca="1" ref="D7" ca="1">GetConvertDate([0]!CDSRollDate,C6)</f>
        <v>47107</v>
      </c>
      <c r="E7" s="469"/>
      <c r="F7" s="221"/>
      <c r="G7" s="221"/>
      <c r="I7" s="388"/>
      <c r="J7" s="387"/>
      <c r="K7" s="387"/>
      <c r="L7" s="387"/>
      <c r="M7" s="387"/>
      <c r="N7" s="387"/>
      <c r="O7" s="387"/>
      <c r="P7" s="387"/>
      <c r="Q7" s="387"/>
      <c r="R7" s="387"/>
      <c r="S7" s="434"/>
      <c r="T7" s="79"/>
      <c r="U7" s="79"/>
      <c r="V7" s="79"/>
      <c r="W7" s="424"/>
      <c r="X7" s="79"/>
      <c r="Y7" s="79"/>
      <c r="Z7" s="79"/>
      <c r="AA7" s="79"/>
      <c r="AB7" s="79"/>
      <c r="AC7" s="79"/>
    </row>
    <row r="8" spans="1:32" customFormat="1" ht="15">
      <c r="A8" s="220"/>
      <c r="B8" s="262" t="s">
        <v>82</v>
      </c>
      <c r="C8" s="224" t="s">
        <v>66</v>
      </c>
      <c r="D8" s="221"/>
      <c r="E8" s="221"/>
      <c r="F8" s="221"/>
      <c r="G8" s="221"/>
      <c r="H8" s="303" t="s">
        <v>435</v>
      </c>
      <c r="I8" s="389" cm="1">
        <f t="array" aca="1" ref="I8:N109" ca="1">IF(NOT($I$5),"",GETCDO(C6,C19:C20,C21:C22,G39:G338,C8,C17,C39:C338,D39:D338,C12,C13,C14,C15,C9,C10,E39:E338,F39:F338,C24,C25,C27,L5,L6,C29:C31,C36,C33,,C34,))</f>
        <v>5.5136822416166999E-2</v>
      </c>
      <c r="J8" s="613">
        <f ca="1"/>
        <v>9.1894704026944992E-3</v>
      </c>
      <c r="K8" s="398" t="str">
        <f ca="1"/>
        <v/>
      </c>
      <c r="L8" s="398">
        <f ca="1"/>
        <v>0</v>
      </c>
      <c r="M8" s="399">
        <f ca="1"/>
        <v>0</v>
      </c>
      <c r="N8" s="438">
        <f ca="1"/>
        <v>0</v>
      </c>
      <c r="O8" s="399"/>
      <c r="P8" s="399"/>
      <c r="Q8" s="399"/>
      <c r="R8" s="438"/>
      <c r="S8" s="434"/>
      <c r="T8" s="220"/>
      <c r="U8" s="79"/>
      <c r="V8" s="79"/>
      <c r="W8" s="79"/>
      <c r="X8" s="79"/>
      <c r="Y8" s="79"/>
      <c r="Z8" s="79"/>
      <c r="AA8" s="79"/>
      <c r="AB8" s="79"/>
      <c r="AC8" s="79"/>
    </row>
    <row r="9" spans="1:32" customFormat="1" ht="15.75" thickBot="1">
      <c r="A9" s="220"/>
      <c r="B9" s="262" t="s">
        <v>437</v>
      </c>
      <c r="C9" s="225">
        <v>-0.05</v>
      </c>
      <c r="D9" s="470"/>
      <c r="E9" s="221"/>
      <c r="F9" s="221"/>
      <c r="G9" s="221"/>
      <c r="H9" s="377" t="s">
        <v>436</v>
      </c>
      <c r="I9" s="390">
        <f ca="1"/>
        <v>0.323769192177772</v>
      </c>
      <c r="J9" s="391">
        <f ca="1"/>
        <v>5.3961532029628702E-2</v>
      </c>
      <c r="K9" s="400" t="str">
        <f ca="1"/>
        <v/>
      </c>
      <c r="L9" s="400">
        <f ca="1"/>
        <v>0</v>
      </c>
      <c r="M9" s="323">
        <f ca="1"/>
        <v>0</v>
      </c>
      <c r="N9" s="439">
        <f ca="1"/>
        <v>0</v>
      </c>
      <c r="O9" s="323"/>
      <c r="P9" s="323"/>
      <c r="Q9" s="323"/>
      <c r="R9" s="439"/>
      <c r="S9" s="434"/>
      <c r="T9" s="79"/>
      <c r="U9" s="79"/>
      <c r="V9" s="79"/>
      <c r="W9" s="79"/>
      <c r="X9" s="79"/>
      <c r="Y9" s="79"/>
      <c r="Z9" s="79"/>
      <c r="AA9" s="79"/>
      <c r="AB9" s="79"/>
      <c r="AC9" s="79"/>
    </row>
    <row r="10" spans="1:32" customFormat="1" ht="15.75" thickBot="1">
      <c r="A10" s="220"/>
      <c r="B10" s="263" t="s">
        <v>439</v>
      </c>
      <c r="C10" s="226">
        <v>0.1</v>
      </c>
      <c r="D10" s="221"/>
      <c r="E10" s="220"/>
      <c r="F10" s="221"/>
      <c r="G10" s="221"/>
      <c r="H10" s="377" t="s">
        <v>438</v>
      </c>
      <c r="I10" s="392">
        <f ca="1"/>
        <v>0.26863236976160498</v>
      </c>
      <c r="J10" s="391">
        <f ca="1"/>
        <v>4.4772061626934201E-2</v>
      </c>
      <c r="K10" s="400" t="str">
        <f ca="1"/>
        <v/>
      </c>
      <c r="L10" s="400">
        <f ca="1"/>
        <v>0</v>
      </c>
      <c r="M10" s="323">
        <f ca="1"/>
        <v>0</v>
      </c>
      <c r="N10" s="439">
        <f ca="1"/>
        <v>0</v>
      </c>
      <c r="O10" s="323"/>
      <c r="P10" s="323"/>
      <c r="Q10" s="323"/>
      <c r="R10" s="439"/>
      <c r="S10" s="434"/>
      <c r="T10" s="79"/>
      <c r="U10" s="79"/>
      <c r="V10" s="79"/>
      <c r="W10" s="79"/>
      <c r="X10" s="79"/>
      <c r="Y10" s="465" t="s">
        <v>434</v>
      </c>
      <c r="Z10" s="422">
        <f ca="1">C29</f>
        <v>0</v>
      </c>
      <c r="AA10" s="79"/>
      <c r="AB10" s="465" t="s">
        <v>504</v>
      </c>
      <c r="AC10" s="422">
        <v>0.95</v>
      </c>
    </row>
    <row r="11" spans="1:32" customFormat="1" ht="15.75" thickBot="1">
      <c r="A11" s="220"/>
      <c r="B11" s="220"/>
      <c r="C11" s="220"/>
      <c r="D11" s="221"/>
      <c r="E11" s="221"/>
      <c r="F11" s="221"/>
      <c r="H11" s="377" t="s">
        <v>440</v>
      </c>
      <c r="I11" s="614">
        <f ca="1"/>
        <v>1.20525010617707E-2</v>
      </c>
      <c r="J11" s="393">
        <f ca="1"/>
        <v>1.20525010617707E-2</v>
      </c>
      <c r="K11" s="400" t="str">
        <f ca="1"/>
        <v/>
      </c>
      <c r="L11" s="400">
        <f ca="1"/>
        <v>0</v>
      </c>
      <c r="M11" s="323">
        <f ca="1"/>
        <v>0</v>
      </c>
      <c r="N11" s="439">
        <f ca="1"/>
        <v>0</v>
      </c>
      <c r="O11" s="323"/>
      <c r="P11" s="323"/>
      <c r="Q11" s="323"/>
      <c r="R11" s="439"/>
      <c r="S11" s="434"/>
      <c r="T11" s="79"/>
      <c r="U11" s="79"/>
      <c r="V11" s="79"/>
      <c r="W11" s="79"/>
      <c r="X11" s="79"/>
      <c r="Y11" s="465" t="s">
        <v>505</v>
      </c>
      <c r="Z11" s="423">
        <f ca="1">SUM(Z15:Z314)</f>
        <v>-3.4524820861345139E-2</v>
      </c>
      <c r="AA11" s="79"/>
      <c r="AB11" s="465" t="s">
        <v>505</v>
      </c>
      <c r="AC11" s="423">
        <f ca="1">SUM(AC15:AC314)</f>
        <v>-3.3644525335253645E-3</v>
      </c>
    </row>
    <row r="12" spans="1:32" customFormat="1" ht="15.75" thickBot="1">
      <c r="A12" s="220"/>
      <c r="B12" s="261" t="s">
        <v>434</v>
      </c>
      <c r="C12" s="227">
        <v>0.01</v>
      </c>
      <c r="D12" s="221"/>
      <c r="E12" s="221"/>
      <c r="F12" s="221"/>
      <c r="G12" s="221"/>
      <c r="H12" s="377" t="s">
        <v>497</v>
      </c>
      <c r="I12" s="394">
        <f ca="1"/>
        <v>4.4772061626934097</v>
      </c>
      <c r="J12" s="394">
        <f ca="1"/>
        <v>4.4772061626934097</v>
      </c>
      <c r="K12" s="400" t="str">
        <f ca="1"/>
        <v/>
      </c>
      <c r="L12" s="400">
        <f ca="1"/>
        <v>0</v>
      </c>
      <c r="M12" s="323">
        <f ca="1"/>
        <v>0</v>
      </c>
      <c r="N12" s="439">
        <f ca="1"/>
        <v>0</v>
      </c>
      <c r="O12" s="323"/>
      <c r="P12" s="323"/>
      <c r="Q12" s="323"/>
      <c r="R12" s="439"/>
      <c r="S12" s="435"/>
      <c r="T12" s="274" t="s">
        <v>423</v>
      </c>
      <c r="U12" s="428" t="b">
        <v>1</v>
      </c>
      <c r="V12" s="79"/>
      <c r="W12" s="79"/>
      <c r="X12" s="79"/>
      <c r="Y12" s="465" t="s">
        <v>498</v>
      </c>
      <c r="Z12" s="407">
        <f ca="1">$J$8+Z11</f>
        <v>-2.5335350458650638E-2</v>
      </c>
      <c r="AA12" s="79"/>
      <c r="AB12" s="465" t="s">
        <v>498</v>
      </c>
      <c r="AC12" s="407">
        <f ca="1">$J$8+AC11</f>
        <v>5.8250178691691343E-3</v>
      </c>
    </row>
    <row r="13" spans="1:32" customFormat="1" ht="15.75" thickBot="1">
      <c r="A13" s="220"/>
      <c r="B13" s="262" t="s">
        <v>458</v>
      </c>
      <c r="C13" s="224" t="s">
        <v>459</v>
      </c>
      <c r="D13" s="221"/>
      <c r="E13" s="221" t="s">
        <v>75</v>
      </c>
      <c r="F13" s="221"/>
      <c r="G13" s="221"/>
      <c r="H13" s="377" t="s">
        <v>443</v>
      </c>
      <c r="I13" s="395" t="str">
        <f ca="1"/>
        <v>00:00:01.2594636</v>
      </c>
      <c r="J13" s="395" t="str">
        <f ca="1"/>
        <v>00:00:01.2594636</v>
      </c>
      <c r="K13" s="401" t="str">
        <f ca="1"/>
        <v>Leverage=</v>
      </c>
      <c r="L13" s="402">
        <f ca="1"/>
        <v>1.03303009106574</v>
      </c>
      <c r="M13" s="323">
        <f ca="1"/>
        <v>0</v>
      </c>
      <c r="N13" s="439">
        <f ca="1"/>
        <v>0</v>
      </c>
      <c r="O13" s="323"/>
      <c r="P13" s="445"/>
      <c r="Q13" s="444"/>
      <c r="R13" s="439"/>
      <c r="S13" s="435"/>
      <c r="T13" s="278" t="s">
        <v>499</v>
      </c>
      <c r="U13" s="408">
        <f ca="1">L13</f>
        <v>1.03303009106574</v>
      </c>
      <c r="V13" s="409"/>
      <c r="W13" s="79"/>
      <c r="X13" s="79"/>
      <c r="Y13" s="465" t="s">
        <v>500</v>
      </c>
      <c r="Z13" s="410">
        <f ca="1">Z12*(C20-C21)</f>
        <v>-0.28307121195539164</v>
      </c>
      <c r="AA13" s="79"/>
      <c r="AB13" s="465" t="s">
        <v>500</v>
      </c>
      <c r="AC13" s="411">
        <f ca="1">AC12*(C20-C21)</f>
        <v>6.5082773201762145E-2</v>
      </c>
      <c r="AD13" s="220"/>
    </row>
    <row r="14" spans="1:32" customFormat="1" ht="15">
      <c r="A14" s="220"/>
      <c r="B14" s="262" t="s">
        <v>461</v>
      </c>
      <c r="C14" s="224" t="s">
        <v>445</v>
      </c>
      <c r="D14" s="221"/>
      <c r="E14" s="221"/>
      <c r="F14" s="221"/>
      <c r="G14" s="221"/>
      <c r="H14" s="377" t="s">
        <v>460</v>
      </c>
      <c r="I14" s="396" t="str">
        <f ca="1"/>
        <v>dPV</v>
      </c>
      <c r="J14" s="397" t="str">
        <f ca="1"/>
        <v>dHedge</v>
      </c>
      <c r="K14" s="397" t="str">
        <f ca="1"/>
        <v>delta not. (Hedge Crncy)</v>
      </c>
      <c r="L14" s="396" t="str">
        <f ca="1"/>
        <v>delta not. (Product CCY)</v>
      </c>
      <c r="M14" s="396" t="str">
        <f ca="1"/>
        <v>dPV(dBeta)</v>
      </c>
      <c r="N14" s="440" t="str">
        <f ca="1"/>
        <v>Name</v>
      </c>
      <c r="O14" s="396"/>
      <c r="P14" s="396"/>
      <c r="Q14" s="396"/>
      <c r="R14" s="440"/>
      <c r="S14" s="150"/>
      <c r="T14" s="463" t="s">
        <v>501</v>
      </c>
      <c r="U14" s="396" t="s">
        <v>436</v>
      </c>
      <c r="V14" s="396" t="s">
        <v>438</v>
      </c>
      <c r="W14" s="396" t="s">
        <v>440</v>
      </c>
      <c r="X14" s="396" t="s">
        <v>441</v>
      </c>
      <c r="Y14" s="396" t="s">
        <v>506</v>
      </c>
      <c r="Z14" s="396" t="s">
        <v>502</v>
      </c>
      <c r="AA14" s="396" t="s">
        <v>503</v>
      </c>
      <c r="AB14" s="396" t="s">
        <v>507</v>
      </c>
      <c r="AC14" s="396" t="s">
        <v>502</v>
      </c>
      <c r="AD14" s="220"/>
      <c r="AE14" s="220"/>
    </row>
    <row r="15" spans="1:32" customFormat="1" ht="15.75" thickBot="1">
      <c r="A15" s="220"/>
      <c r="B15" s="263" t="s">
        <v>462</v>
      </c>
      <c r="C15" s="564"/>
      <c r="D15" s="221"/>
      <c r="E15" s="221"/>
      <c r="F15" s="221"/>
      <c r="G15" s="221"/>
      <c r="H15" s="377">
        <v>1</v>
      </c>
      <c r="I15" s="403">
        <f ca="1"/>
        <v>-4.7168797423546901E-6</v>
      </c>
      <c r="J15" s="403">
        <f ca="1"/>
        <v>4.76503097439503E-4</v>
      </c>
      <c r="K15" s="403">
        <f ca="1"/>
        <v>-9.8989487533258803E-3</v>
      </c>
      <c r="L15" s="403">
        <f ca="1"/>
        <v>-9.8989487533258803E-3</v>
      </c>
      <c r="M15" s="403">
        <f ca="1"/>
        <v>-8.9213210359626597E-5</v>
      </c>
      <c r="N15" s="441" t="str">
        <f ca="1"/>
        <v>AIRBUS SE</v>
      </c>
      <c r="O15" s="403"/>
      <c r="P15" s="403"/>
      <c r="Q15" s="403"/>
      <c r="R15" s="441"/>
      <c r="S15" s="432"/>
      <c r="T15" s="412" cm="1">
        <f t="array" aca="1" ref="T15:X15" ca="1">IF(AND($U$12,B39&lt;=$C$17,C39&lt;&gt;""),TRANSPOSE(INDEX(getcds(C39,$C$6,G39/10000,F39,D39,$C$13,$C$14,$C$15,$C$8,,,TRUE,TRUE,FALSE,$C$29:$C$31,$C$33),{1;2;3;4;5})),"")</f>
        <v>-2.4643831506383801E-2</v>
      </c>
      <c r="U15" s="413">
        <f ca="1"/>
        <v>2.2491973899596101E-2</v>
      </c>
      <c r="V15" s="413">
        <f ca="1"/>
        <v>4.7135805405979898E-2</v>
      </c>
      <c r="W15" s="414">
        <f ca="1"/>
        <v>4.7717385341935099E-3</v>
      </c>
      <c r="X15" s="415">
        <f ca="1"/>
        <v>4.7135805405979898</v>
      </c>
      <c r="Y15" s="416">
        <f ca="1">IF($U$12,IF(T15="","",$U$13*D39/$C$18),"")</f>
        <v>1.0874000958586724E-2</v>
      </c>
      <c r="Z15" s="417">
        <f ca="1">IF($U$12,IF(Y15="","",Y15*($Z$10-W15)*X15),"")</f>
        <v>-2.445777457447156E-4</v>
      </c>
      <c r="AA15" s="416">
        <f ca="1">IF($U$12,IF(OR(T15="",L15=""),"",L15/($C$20-$C$19)),"")</f>
        <v>-1.64982479222098E-3</v>
      </c>
      <c r="AB15" s="418">
        <f ca="1">IF($U$12,IF(W15="","",W15*$AC$10),"")</f>
        <v>4.5331516074838341E-3</v>
      </c>
      <c r="AC15" s="417">
        <f ca="1">IF($U$12,IF(AA15="","",AA15*(AB15-W15)*X15),"")</f>
        <v>1.8553908082770452E-6</v>
      </c>
      <c r="AD15" s="220"/>
      <c r="AE15" s="220">
        <f ca="1">X15*W15</f>
        <v>7.1744360935801802E-3</v>
      </c>
      <c r="AF15" s="220">
        <f ca="1">SUM(AE15:AE109)/SUM(X15:X109)</f>
        <v>3.9979186630963864E-3</v>
      </c>
    </row>
    <row r="16" spans="1:32" customFormat="1" ht="15.75" thickBot="1">
      <c r="A16" s="220"/>
      <c r="B16" s="220"/>
      <c r="C16" s="221"/>
      <c r="D16" s="221"/>
      <c r="E16" s="221"/>
      <c r="F16" s="221"/>
      <c r="G16" s="221"/>
      <c r="H16" s="377">
        <v>2</v>
      </c>
      <c r="I16" s="403">
        <f ca="1"/>
        <v>5.8034833386510997E-7</v>
      </c>
      <c r="J16" s="403">
        <f ca="1"/>
        <v>4.7514838159183002E-4</v>
      </c>
      <c r="K16" s="403">
        <f ca="1"/>
        <v>1.2214044209113001E-3</v>
      </c>
      <c r="L16" s="403">
        <f ca="1"/>
        <v>1.2214044209113001E-3</v>
      </c>
      <c r="M16" s="403">
        <f ca="1"/>
        <v>-1.4360945982899701E-4</v>
      </c>
      <c r="N16" s="441" t="str">
        <f ca="1"/>
        <v>AKTIEBOLAGET VOLVO</v>
      </c>
      <c r="O16" s="403"/>
      <c r="P16" s="403"/>
      <c r="Q16" s="403"/>
      <c r="R16" s="441"/>
      <c r="S16" s="433"/>
      <c r="T16" s="412" cm="1">
        <f t="array" aca="1" ref="T16:X16" ca="1">IF(AND($U$12,B40&lt;=$C$17,C40&lt;&gt;""),TRANSPOSE(INDEX(getcds(C40,$C$6,G40/10000,F40,D40,$C$13,$C$14,$C$15,$C$8,,,TRUE,TRUE,FALSE,$C$29:$C$31,$C$33),{1;2;3;4;5})),"")</f>
        <v>-2.2955792271908401E-2</v>
      </c>
      <c r="U16" s="413">
        <f ca="1"/>
        <v>2.4176300959203499E-2</v>
      </c>
      <c r="V16" s="413">
        <f ca="1"/>
        <v>4.71320932311119E-2</v>
      </c>
      <c r="W16" s="414">
        <f ca="1"/>
        <v>5.1294774540683197E-3</v>
      </c>
      <c r="X16" s="415">
        <f ca="1"/>
        <v>4.7132093231111902</v>
      </c>
      <c r="Y16" s="416">
        <f ca="1">IF($U$12,IF(T16="","",$U$13*D40/$C$18),"")</f>
        <v>1.0874000958586724E-2</v>
      </c>
      <c r="Z16" s="417">
        <f ca="1">IF($U$12,IF(Y16="","",Y16*($Z$10-W16)*X16),"")</f>
        <v>-2.6289311980545949E-4</v>
      </c>
      <c r="AA16" s="416">
        <f t="shared" ref="AA16:AA79" ca="1" si="0">IF($U$12,IF(OR(T16="",L16=""),"",L16/($C$20-$C$19)),"")</f>
        <v>2.0356740348521668E-4</v>
      </c>
      <c r="AB16" s="418">
        <f t="shared" ref="AB16:AB79" ca="1" si="1">IF($U$12,IF(W16="","",W16*$AC$10),"")</f>
        <v>4.8730035813649032E-3</v>
      </c>
      <c r="AC16" s="417">
        <f ca="1">IF($U$12,IF(AA16="","",AA16*(AB16-W16)*X16),"")</f>
        <v>-2.4607534060711063E-7</v>
      </c>
      <c r="AD16" s="220"/>
      <c r="AE16" s="220">
        <f ca="1">X16*W16</f>
        <v>6.832663503179179E-3</v>
      </c>
      <c r="AF16" s="220"/>
    </row>
    <row r="17" spans="1:31" customFormat="1" ht="15">
      <c r="A17" s="220"/>
      <c r="B17" s="261" t="s">
        <v>463</v>
      </c>
      <c r="C17" s="228">
        <f ca="1">COUNTA(C39:C338)</f>
        <v>95</v>
      </c>
      <c r="D17" s="221"/>
      <c r="E17" s="571">
        <v>9.4748E-4</v>
      </c>
      <c r="F17" s="515"/>
      <c r="G17" s="221"/>
      <c r="H17" s="377">
        <v>3</v>
      </c>
      <c r="I17" s="403">
        <f ca="1"/>
        <v>4.3709915784440002E-6</v>
      </c>
      <c r="J17" s="403">
        <f ca="1"/>
        <v>4.7425391514453502E-4</v>
      </c>
      <c r="K17" s="403">
        <f ca="1"/>
        <v>9.2165640364020706E-3</v>
      </c>
      <c r="L17" s="403">
        <f ca="1"/>
        <v>9.2165640364020706E-3</v>
      </c>
      <c r="M17" s="403">
        <f ca="1"/>
        <v>-1.8077545238042399E-4</v>
      </c>
      <c r="N17" s="441" t="str">
        <f ca="1"/>
        <v>AKZO NOBEL N.V.</v>
      </c>
      <c r="O17" s="403"/>
      <c r="P17" s="403"/>
      <c r="Q17" s="403"/>
      <c r="R17" s="441"/>
      <c r="S17" s="433"/>
      <c r="T17" s="412" cm="1">
        <f t="array" aca="1" ref="T17:X17" ca="1">IF(AND($U$12,B41&lt;=$C$17,C41&lt;&gt;""),TRANSPOSE(INDEX(getcds(C41,$C$6,G41/10000,F41,D41,$C$13,$C$14,$C$15,$C$8,,,TRUE,TRUE,FALSE,$C$29:$C$31,$C$33),{1;2;3;4;5})),"")</f>
        <v>-2.19436848942304E-2</v>
      </c>
      <c r="U17" s="413">
        <f ca="1"/>
        <v>2.5163364086573499E-2</v>
      </c>
      <c r="V17" s="413">
        <f ca="1"/>
        <v>4.7107048980803902E-2</v>
      </c>
      <c r="W17" s="414">
        <f ca="1"/>
        <v>5.3417407014452398E-3</v>
      </c>
      <c r="X17" s="415">
        <f ca="1"/>
        <v>4.7107048980803903</v>
      </c>
      <c r="Y17" s="416">
        <f ca="1">IF($U$12,IF(T17="","",$U$13*D41/$C$18),"")</f>
        <v>1.0874000958586724E-2</v>
      </c>
      <c r="Z17" s="417">
        <f t="shared" ref="Z17:Z79" ca="1" si="2">IF($U$12,IF(Y17="","",Y17*($Z$10-W17)*X17),"")</f>
        <v>-2.7362644519866668E-4</v>
      </c>
      <c r="AA17" s="416">
        <f t="shared" ca="1" si="0"/>
        <v>1.5360940060670117E-3</v>
      </c>
      <c r="AB17" s="418">
        <f t="shared" ca="1" si="1"/>
        <v>5.0746536663729778E-3</v>
      </c>
      <c r="AC17" s="417">
        <f t="shared" ref="AC17:AC79" ca="1" si="3">IF($U$12,IF(AA17="","",AA17*(AB17-W17)*X17),"")</f>
        <v>-1.9326646372933708E-6</v>
      </c>
      <c r="AD17" s="220"/>
      <c r="AE17" s="220">
        <f t="shared" ref="AE17:AE79" ca="1" si="4">X17*W17</f>
        <v>7.0613021977608461E-3</v>
      </c>
    </row>
    <row r="18" spans="1:31" customFormat="1" ht="15">
      <c r="A18" s="220"/>
      <c r="B18" s="262" t="s">
        <v>464</v>
      </c>
      <c r="C18" s="229">
        <f ca="1">SUM(OFFSET(D38,1,0,C17))</f>
        <v>100.00000000000011</v>
      </c>
      <c r="D18" s="221"/>
      <c r="E18" s="570"/>
      <c r="F18" s="221"/>
      <c r="G18" s="230"/>
      <c r="H18" s="377">
        <v>4</v>
      </c>
      <c r="I18" s="403">
        <f ca="1"/>
        <v>1.5449921618266601E-4</v>
      </c>
      <c r="J18" s="403">
        <f ca="1"/>
        <v>4.44118480857531E-4</v>
      </c>
      <c r="K18" s="403">
        <f ca="1"/>
        <v>0.34787837669882499</v>
      </c>
      <c r="L18" s="403">
        <f ca="1"/>
        <v>0.34787837669882499</v>
      </c>
      <c r="M18" s="403">
        <f ca="1"/>
        <v>-1.6000669460665098E-5</v>
      </c>
      <c r="N18" s="441" t="str">
        <f ca="1"/>
        <v>ALSTOM</v>
      </c>
      <c r="O18" s="403"/>
      <c r="P18" s="403"/>
      <c r="Q18" s="403"/>
      <c r="R18" s="441"/>
      <c r="S18" s="433"/>
      <c r="T18" s="412" cm="1">
        <f t="array" aca="1" ref="T18:X18" ca="1">IF(AND($U$12,B42&lt;=$C$17,C42&lt;&gt;""),TRANSPOSE(INDEX(getcds(C42,$C$6,G42/10000,F42,D42,$C$13,$C$14,$C$15,$C$8,,,TRUE,TRUE,FALSE,$C$29:$C$31,$C$33),{1;2;3;4;5})),"")</f>
        <v>2.3688865743511998E-2</v>
      </c>
      <c r="U18" s="413">
        <f ca="1"/>
        <v>6.9393575122450799E-2</v>
      </c>
      <c r="V18" s="413">
        <f ca="1"/>
        <v>4.57047093789388E-2</v>
      </c>
      <c r="W18" s="414">
        <f ca="1"/>
        <v>1.5183025133604301E-2</v>
      </c>
      <c r="X18" s="415">
        <f ca="1"/>
        <v>4.5704709378938801</v>
      </c>
      <c r="Y18" s="416">
        <f t="shared" ref="Y18:Y79" ca="1" si="5">IF($U$12,IF(T18="","",$U$13*D42/$C$18),"")</f>
        <v>1.0874000958586724E-2</v>
      </c>
      <c r="Z18" s="417">
        <f t="shared" ca="1" si="2"/>
        <v>-7.5458580240128994E-4</v>
      </c>
      <c r="AA18" s="416">
        <f t="shared" ca="1" si="0"/>
        <v>5.7979729449804167E-2</v>
      </c>
      <c r="AB18" s="418">
        <f t="shared" ca="1" si="1"/>
        <v>1.4423873876924086E-2</v>
      </c>
      <c r="AC18" s="417">
        <f t="shared" ca="1" si="3"/>
        <v>-2.0117103555771786E-4</v>
      </c>
      <c r="AD18" s="220"/>
      <c r="AE18" s="220">
        <f t="shared" ca="1" si="4"/>
        <v>2.2514912477741966E-2</v>
      </c>
    </row>
    <row r="19" spans="1:31" customFormat="1" ht="15">
      <c r="A19" s="220"/>
      <c r="B19" s="262" t="s">
        <v>465</v>
      </c>
      <c r="C19" s="231">
        <v>6</v>
      </c>
      <c r="D19" s="221"/>
      <c r="E19" s="569"/>
      <c r="F19" s="221"/>
      <c r="G19" s="233"/>
      <c r="H19" s="377">
        <v>5</v>
      </c>
      <c r="I19" s="403">
        <f ca="1"/>
        <v>1.2081069753770401E-4</v>
      </c>
      <c r="J19" s="403">
        <f ca="1"/>
        <v>4.6171555674772699E-4</v>
      </c>
      <c r="K19" s="403">
        <f ca="1"/>
        <v>0.26165611223646201</v>
      </c>
      <c r="L19" s="403">
        <f ca="1"/>
        <v>0.26165611223646201</v>
      </c>
      <c r="M19" s="403">
        <f ca="1"/>
        <v>-8.4403942171329903E-4</v>
      </c>
      <c r="N19" s="441" t="str">
        <f ca="1"/>
        <v>ANGLO AMERICAN PLC</v>
      </c>
      <c r="O19" s="403"/>
      <c r="P19" s="403"/>
      <c r="Q19" s="403"/>
      <c r="R19" s="441"/>
      <c r="S19" s="433"/>
      <c r="T19" s="451" cm="1">
        <f t="array" aca="1" ref="T19:X19" ca="1">IF(AND($U$12,B43&lt;=$C$17,C43&lt;&gt;""),TRANSPOSE(INDEX(getcds(C43,$C$6,G43/10000,F43,D43,$C$13,$C$14,$C$15,$C$8,,,TRUE,TRUE,FALSE,$C$29:$C$31,$C$33),{1;2;3;4;5})),"")</f>
        <v>1.6691683528481001E-3</v>
      </c>
      <c r="U19" s="413">
        <f ca="1"/>
        <v>4.8261897567869298E-2</v>
      </c>
      <c r="V19" s="413">
        <f ca="1"/>
        <v>4.6592729215021202E-2</v>
      </c>
      <c r="W19" s="414">
        <f ca="1"/>
        <v>1.03582465292267E-2</v>
      </c>
      <c r="X19" s="415">
        <f ca="1"/>
        <v>4.6592729215021196</v>
      </c>
      <c r="Y19" s="416">
        <f t="shared" ca="1" si="5"/>
        <v>1.0874000958586724E-2</v>
      </c>
      <c r="Z19" s="417">
        <f t="shared" ca="1" si="2"/>
        <v>-5.2479992041622485E-4</v>
      </c>
      <c r="AA19" s="416">
        <f t="shared" ca="1" si="0"/>
        <v>4.3609352039410333E-2</v>
      </c>
      <c r="AB19" s="418">
        <f t="shared" ca="1" si="1"/>
        <v>9.8403342027653645E-3</v>
      </c>
      <c r="AC19" s="417">
        <f t="shared" ca="1" si="3"/>
        <v>-1.0523350405635883E-4</v>
      </c>
      <c r="AD19" s="220"/>
      <c r="AE19" s="220">
        <f t="shared" ca="1" si="4"/>
        <v>1.1034181550254405E-2</v>
      </c>
    </row>
    <row r="20" spans="1:31" customFormat="1" ht="15">
      <c r="A20" s="220"/>
      <c r="B20" s="262" t="s">
        <v>466</v>
      </c>
      <c r="C20" s="231">
        <v>12</v>
      </c>
      <c r="D20" s="232"/>
      <c r="E20" s="403"/>
      <c r="F20" s="221"/>
      <c r="G20" s="233"/>
      <c r="H20" s="377">
        <v>6</v>
      </c>
      <c r="I20" s="403">
        <f ca="1"/>
        <v>1.5534280079892101E-4</v>
      </c>
      <c r="J20" s="403">
        <f ca="1"/>
        <v>4.4939598515626597E-4</v>
      </c>
      <c r="K20" s="403">
        <f ca="1"/>
        <v>0.34567020162608803</v>
      </c>
      <c r="L20" s="403">
        <f ca="1"/>
        <v>0.34567020162608803</v>
      </c>
      <c r="M20" s="403">
        <f ca="1"/>
        <v>-1.81353857650821E-4</v>
      </c>
      <c r="N20" s="441" t="str">
        <f ca="1"/>
        <v>ARCELORMITTAL</v>
      </c>
      <c r="O20" s="403"/>
      <c r="P20" s="403"/>
      <c r="Q20" s="403"/>
      <c r="R20" s="441"/>
      <c r="S20" s="433"/>
      <c r="T20" s="412" cm="1">
        <f t="array" aca="1" ref="T20:X20" ca="1">IF(AND($U$12,B44&lt;=$C$17,C44&lt;&gt;""),TRANSPOSE(INDEX(getcds(C44,$C$6,G44/10000,F44,D44,$C$13,$C$14,$C$15,$C$8,,,TRUE,TRUE,FALSE,$C$29:$C$31,$C$33),{1;2;3;4;5})),"")</f>
        <v>1.9976326823968101E-2</v>
      </c>
      <c r="U20" s="413">
        <f ca="1"/>
        <v>6.6083620410904501E-2</v>
      </c>
      <c r="V20" s="413">
        <f ca="1"/>
        <v>4.6107293586936403E-2</v>
      </c>
      <c r="W20" s="414">
        <f ca="1"/>
        <v>1.4332574148231501E-2</v>
      </c>
      <c r="X20" s="415">
        <f ca="1"/>
        <v>4.6107293586936402</v>
      </c>
      <c r="Y20" s="416">
        <f t="shared" ca="1" si="5"/>
        <v>1.0874000958586724E-2</v>
      </c>
      <c r="Z20" s="417">
        <f t="shared" ca="1" si="2"/>
        <v>-7.1859335169505644E-4</v>
      </c>
      <c r="AA20" s="416">
        <f t="shared" ca="1" si="0"/>
        <v>5.7611700271014671E-2</v>
      </c>
      <c r="AB20" s="418">
        <f t="shared" ca="1" si="1"/>
        <v>1.3615945440819925E-2</v>
      </c>
      <c r="AC20" s="417">
        <f t="shared" ca="1" si="3"/>
        <v>-1.9035948659682701E-4</v>
      </c>
      <c r="AD20" s="220"/>
      <c r="AE20" s="220">
        <f t="shared" ca="1" si="4"/>
        <v>1.5734153358332083E-2</v>
      </c>
    </row>
    <row r="21" spans="1:31" customFormat="1" ht="15">
      <c r="A21" s="220"/>
      <c r="B21" s="262" t="s">
        <v>467</v>
      </c>
      <c r="C21" s="238">
        <v>0.82702600000000004</v>
      </c>
      <c r="D21" s="221"/>
      <c r="E21" s="403"/>
      <c r="F21" s="221"/>
      <c r="G21" s="234"/>
      <c r="H21" s="377">
        <v>7</v>
      </c>
      <c r="I21" s="403">
        <f ca="1"/>
        <v>-1.54751229434069E-5</v>
      </c>
      <c r="J21" s="403">
        <f ca="1"/>
        <v>4.8249506487352901E-4</v>
      </c>
      <c r="K21" s="403">
        <f ca="1"/>
        <v>-3.2073121716723101E-2</v>
      </c>
      <c r="L21" s="403">
        <f ca="1"/>
        <v>-3.2073121716723101E-2</v>
      </c>
      <c r="M21" s="403">
        <f ca="1"/>
        <v>2.85512301309599E-5</v>
      </c>
      <c r="N21" s="441" t="str">
        <f ca="1"/>
        <v>ASTRAZENECA PLC</v>
      </c>
      <c r="O21" s="403"/>
      <c r="P21" s="403"/>
      <c r="Q21" s="403"/>
      <c r="R21" s="441"/>
      <c r="S21" s="433"/>
      <c r="T21" s="412" cm="1">
        <f t="array" aca="1" ref="T21:X21" ca="1">IF(AND($U$12,B45&lt;=$C$17,C45&lt;&gt;""),TRANSPOSE(INDEX(getcds(C45,$C$6,G45/10000,F45,D45,$C$13,$C$14,$C$15,$C$8,,,TRUE,TRUE,FALSE,$C$29:$C$31,$C$33),{1;2;3;4;5})),"")</f>
        <v>-3.1994188221377499E-2</v>
      </c>
      <c r="U21" s="413">
        <f ca="1"/>
        <v>1.53447038233821E-2</v>
      </c>
      <c r="V21" s="413">
        <f ca="1"/>
        <v>4.7338892044759599E-2</v>
      </c>
      <c r="W21" s="414">
        <f ca="1"/>
        <v>3.2414581669705099E-3</v>
      </c>
      <c r="X21" s="415">
        <f ca="1"/>
        <v>4.7338892044759602</v>
      </c>
      <c r="Y21" s="416">
        <f t="shared" ca="1" si="5"/>
        <v>1.0874000958586724E-2</v>
      </c>
      <c r="Z21" s="417">
        <f t="shared" ca="1" si="2"/>
        <v>-1.6685832408468667E-4</v>
      </c>
      <c r="AA21" s="416">
        <f ca="1">IF($U$12,IF(OR(T21="",L21=""),"",L21/($C$20-$C$19)),"")</f>
        <v>-5.3455202861205165E-3</v>
      </c>
      <c r="AB21" s="418">
        <f t="shared" ca="1" si="1"/>
        <v>3.0793852586219841E-3</v>
      </c>
      <c r="AC21" s="417">
        <f t="shared" ca="1" si="3"/>
        <v>4.1012712786200199E-6</v>
      </c>
      <c r="AD21" s="220"/>
      <c r="AE21" s="220">
        <f t="shared" ca="1" si="4"/>
        <v>5.1071149272015146E-3</v>
      </c>
    </row>
    <row r="22" spans="1:31" customFormat="1" ht="15.75" thickBot="1">
      <c r="A22" s="220"/>
      <c r="B22" s="263" t="s">
        <v>468</v>
      </c>
      <c r="C22" s="235">
        <v>0.93662999999999996</v>
      </c>
      <c r="D22" s="221"/>
      <c r="E22" s="403"/>
      <c r="F22" s="568"/>
      <c r="G22" s="234"/>
      <c r="H22" s="377">
        <v>8</v>
      </c>
      <c r="I22" s="403">
        <f ca="1"/>
        <v>-1.5465082890979699E-5</v>
      </c>
      <c r="J22" s="403">
        <f ca="1"/>
        <v>4.8159951794657499E-4</v>
      </c>
      <c r="K22" s="403">
        <f ca="1"/>
        <v>-3.21119152214253E-2</v>
      </c>
      <c r="L22" s="403">
        <f ca="1"/>
        <v>-3.21119152214253E-2</v>
      </c>
      <c r="M22" s="403">
        <f ca="1"/>
        <v>2.2171815836853401E-5</v>
      </c>
      <c r="N22" s="441" t="str">
        <f ca="1"/>
        <v>BAE SYSTEMS PLC</v>
      </c>
      <c r="O22" s="403"/>
      <c r="P22" s="403"/>
      <c r="Q22" s="403"/>
      <c r="R22" s="441"/>
      <c r="S22" s="433"/>
      <c r="T22" s="412" cm="1">
        <f t="array" aca="1" ref="T22:X22" ca="1">IF(AND($U$12,B46&lt;=$C$17,C46&lt;&gt;""),TRANSPOSE(INDEX(getcds(C46,$C$6,G46/10000,F46,D46,$C$13,$C$14,$C$15,$C$8,,,TRUE,TRUE,FALSE,$C$29:$C$31,$C$33),{1;2;3;4;5})),"")</f>
        <v>-3.05952317692114E-2</v>
      </c>
      <c r="U22" s="413">
        <f ca="1"/>
        <v>1.6747714847352199E-2</v>
      </c>
      <c r="V22" s="413">
        <f ca="1"/>
        <v>4.7342946616563603E-2</v>
      </c>
      <c r="W22" s="414">
        <f ca="1"/>
        <v>3.5375311517878301E-3</v>
      </c>
      <c r="X22" s="415">
        <f ca="1"/>
        <v>4.7342946616563601</v>
      </c>
      <c r="Y22" s="416">
        <f t="shared" ca="1" si="5"/>
        <v>1.0874000958586724E-2</v>
      </c>
      <c r="Z22" s="417">
        <f t="shared" ca="1" si="2"/>
        <v>-1.8211466730424494E-4</v>
      </c>
      <c r="AA22" s="416">
        <f t="shared" ca="1" si="0"/>
        <v>-5.3519858702375496E-3</v>
      </c>
      <c r="AB22" s="418">
        <f t="shared" ca="1" si="1"/>
        <v>3.3606545941984385E-3</v>
      </c>
      <c r="AC22" s="417">
        <f t="shared" ca="1" si="3"/>
        <v>4.4816766610898327E-6</v>
      </c>
      <c r="AD22" s="220"/>
      <c r="AE22" s="220">
        <f t="shared" ca="1" si="4"/>
        <v>4.6900536295068577E-3</v>
      </c>
    </row>
    <row r="23" spans="1:31" customFormat="1" ht="15.75" thickBot="1">
      <c r="A23" s="220"/>
      <c r="B23" s="220"/>
      <c r="C23" s="221"/>
      <c r="D23" s="221"/>
      <c r="E23" s="403"/>
      <c r="F23" s="221"/>
      <c r="G23" s="221"/>
      <c r="H23" s="377">
        <v>9</v>
      </c>
      <c r="I23" s="403">
        <f ca="1"/>
        <v>-9.9571134440568096E-6</v>
      </c>
      <c r="J23" s="403">
        <f ca="1"/>
        <v>4.7829646743200902E-4</v>
      </c>
      <c r="K23" s="403">
        <f ca="1"/>
        <v>-2.0817869505741701E-2</v>
      </c>
      <c r="L23" s="403">
        <f ca="1"/>
        <v>-2.0817869505741701E-2</v>
      </c>
      <c r="M23" s="403">
        <f ca="1"/>
        <v>-4.0174865458304501E-5</v>
      </c>
      <c r="N23" s="441" t="str">
        <f ca="1"/>
        <v>BASF SE</v>
      </c>
      <c r="O23" s="403"/>
      <c r="P23" s="403"/>
      <c r="Q23" s="403"/>
      <c r="R23" s="441"/>
      <c r="S23" s="433"/>
      <c r="T23" s="412" cm="1">
        <f t="array" aca="1" ref="T23:X23" ca="1">IF(AND($U$12,B47&lt;=$C$17,C47&lt;&gt;""),TRANSPOSE(INDEX(getcds(C47,$C$6,G47/10000,F47,D47,$C$13,$C$14,$C$15,$C$8,,,TRUE,TRUE,FALSE,$C$29:$C$31,$C$33),{1;2;3;4;5})),"")</f>
        <v>-2.64745426638145E-2</v>
      </c>
      <c r="U23" s="413">
        <f ca="1"/>
        <v>2.0790396455952799E-2</v>
      </c>
      <c r="V23" s="413">
        <f ca="1"/>
        <v>4.7264939119767299E-2</v>
      </c>
      <c r="W23" s="414">
        <f ca="1"/>
        <v>4.39869316308033E-3</v>
      </c>
      <c r="X23" s="415">
        <f ca="1"/>
        <v>4.7264939119767302</v>
      </c>
      <c r="Y23" s="416">
        <f t="shared" ca="1" si="5"/>
        <v>1.0874000958586724E-2</v>
      </c>
      <c r="Z23" s="417">
        <f t="shared" ca="1" si="2"/>
        <v>-2.2607479099142927E-4</v>
      </c>
      <c r="AA23" s="416">
        <f t="shared" ca="1" si="0"/>
        <v>-3.4696449176236169E-3</v>
      </c>
      <c r="AB23" s="418">
        <f t="shared" ca="1" si="1"/>
        <v>4.1787585049263137E-3</v>
      </c>
      <c r="AC23" s="417">
        <f t="shared" ca="1" si="3"/>
        <v>3.606764669938839E-6</v>
      </c>
      <c r="AD23" s="220"/>
      <c r="AE23" s="220">
        <f t="shared" ca="1" si="4"/>
        <v>5.1673342898428181E-3</v>
      </c>
    </row>
    <row r="24" spans="1:31" customFormat="1" ht="15">
      <c r="A24" s="236"/>
      <c r="B24" s="264" t="s">
        <v>447</v>
      </c>
      <c r="C24" s="63" t="b">
        <v>1</v>
      </c>
      <c r="D24" s="221"/>
      <c r="E24" s="403"/>
      <c r="F24" s="221"/>
      <c r="G24" s="221"/>
      <c r="H24" s="377">
        <v>10</v>
      </c>
      <c r="I24" s="403">
        <f ca="1"/>
        <v>1.4024902347395301E-4</v>
      </c>
      <c r="J24" s="403">
        <f ca="1"/>
        <v>4.5485184572919001E-4</v>
      </c>
      <c r="K24" s="403">
        <f ca="1"/>
        <v>0.30834001178804599</v>
      </c>
      <c r="L24" s="403">
        <f ca="1"/>
        <v>0.30834001178804599</v>
      </c>
      <c r="M24" s="403">
        <f ca="1"/>
        <v>-6.93933956688446E-4</v>
      </c>
      <c r="N24" s="441" t="str">
        <f ca="1"/>
        <v>BAYER AKTIENGESELLSCHAFT</v>
      </c>
      <c r="O24" s="403"/>
      <c r="P24" s="403"/>
      <c r="Q24" s="403"/>
      <c r="R24" s="441"/>
      <c r="S24" s="433"/>
      <c r="T24" s="412" cm="1">
        <f t="array" aca="1" ref="T24:X24" ca="1">IF(AND($U$12,B48&lt;=$C$17,C48&lt;&gt;""),TRANSPOSE(INDEX(getcds(C48,$C$6,G48/10000,F48,D48,$C$13,$C$14,$C$15,$C$8,,,TRUE,TRUE,FALSE,$C$29:$C$31,$C$33),{1;2;3;4;5})),"")</f>
        <v>8.4192466911504997E-3</v>
      </c>
      <c r="U24" s="413">
        <f ca="1"/>
        <v>5.4581751145647797E-2</v>
      </c>
      <c r="V24" s="413">
        <f ca="1"/>
        <v>4.6162504454497301E-2</v>
      </c>
      <c r="W24" s="414">
        <f ca="1"/>
        <v>1.18238279726459E-2</v>
      </c>
      <c r="X24" s="415">
        <f ca="1"/>
        <v>4.6162504454497304</v>
      </c>
      <c r="Y24" s="416">
        <f t="shared" ca="1" si="5"/>
        <v>1.0874000958586724E-2</v>
      </c>
      <c r="Z24" s="417">
        <f t="shared" ca="1" si="2"/>
        <v>-5.9352201427911421E-4</v>
      </c>
      <c r="AA24" s="416">
        <f t="shared" ca="1" si="0"/>
        <v>5.1390001964674331E-2</v>
      </c>
      <c r="AB24" s="418">
        <f t="shared" ca="1" si="1"/>
        <v>1.1232636574013605E-2</v>
      </c>
      <c r="AC24" s="417">
        <f t="shared" ca="1" si="3"/>
        <v>-1.4024781493050985E-4</v>
      </c>
      <c r="AD24" s="220"/>
      <c r="AE24" s="220">
        <f t="shared" ca="1" si="4"/>
        <v>1.7566465666323531E-2</v>
      </c>
    </row>
    <row r="25" spans="1:31" customFormat="1" ht="15.75" thickBot="1">
      <c r="A25" s="236"/>
      <c r="B25" s="426" t="s">
        <v>448</v>
      </c>
      <c r="C25" s="427" t="b">
        <v>1</v>
      </c>
      <c r="D25" s="221"/>
      <c r="E25" s="403"/>
      <c r="F25" s="221"/>
      <c r="G25" s="221"/>
      <c r="H25" s="377">
        <v>11</v>
      </c>
      <c r="I25" s="403">
        <f ca="1"/>
        <v>1.6804164785022599E-6</v>
      </c>
      <c r="J25" s="403">
        <f ca="1"/>
        <v>4.7489261179103399E-4</v>
      </c>
      <c r="K25" s="403">
        <f ca="1"/>
        <v>3.5385188920178199E-3</v>
      </c>
      <c r="L25" s="403">
        <f ca="1"/>
        <v>3.5385188920178199E-3</v>
      </c>
      <c r="M25" s="403">
        <f ca="1"/>
        <v>-1.5524379714356701E-4</v>
      </c>
      <c r="N25" s="441" t="str">
        <f ca="1"/>
        <v>BAYERISCHE MOTOREN WERKE AKTIENGESELLSCHAFT</v>
      </c>
      <c r="O25" s="403"/>
      <c r="P25" s="403"/>
      <c r="Q25" s="403"/>
      <c r="R25" s="441"/>
      <c r="S25" s="433"/>
      <c r="T25" s="412" cm="1">
        <f t="array" aca="1" ref="T25:X25" ca="1">IF(AND($U$12,B49&lt;=$C$17,C49&lt;&gt;""),TRANSPOSE(INDEX(getcds(C49,$C$6,G49/10000,F49,D49,$C$13,$C$14,$C$15,$C$8,,,TRUE,TRUE,FALSE,$C$29:$C$31,$C$33),{1;2;3;4;5})),"")</f>
        <v>-2.2633511870021501E-2</v>
      </c>
      <c r="U25" s="413">
        <f ca="1"/>
        <v>2.4507315366290399E-2</v>
      </c>
      <c r="V25" s="413">
        <f ca="1"/>
        <v>4.7140827236311897E-2</v>
      </c>
      <c r="W25" s="414">
        <f ca="1"/>
        <v>5.1987452921515099E-3</v>
      </c>
      <c r="X25" s="415">
        <f ca="1"/>
        <v>4.71408272363119</v>
      </c>
      <c r="Y25" s="416">
        <f t="shared" ca="1" si="5"/>
        <v>1.0874000958586724E-2</v>
      </c>
      <c r="Z25" s="417">
        <f t="shared" ca="1" si="2"/>
        <v>-2.6649257078542913E-4</v>
      </c>
      <c r="AA25" s="416">
        <f t="shared" ca="1" si="0"/>
        <v>5.8975314866963665E-4</v>
      </c>
      <c r="AB25" s="418">
        <f t="shared" ca="1" si="1"/>
        <v>4.9388080275439344E-3</v>
      </c>
      <c r="AC25" s="417">
        <f t="shared" ca="1" si="3"/>
        <v>-7.22663320135477E-7</v>
      </c>
      <c r="AD25" s="220"/>
      <c r="AE25" s="220">
        <f t="shared" ca="1" si="4"/>
        <v>6.5877663587736507E-3</v>
      </c>
    </row>
    <row r="26" spans="1:31" customFormat="1" ht="15.75" thickBot="1">
      <c r="A26" s="220"/>
      <c r="B26" s="220"/>
      <c r="C26" s="221"/>
      <c r="D26" s="221"/>
      <c r="E26" s="403"/>
      <c r="F26" s="221"/>
      <c r="G26" s="221"/>
      <c r="H26" s="377">
        <v>12</v>
      </c>
      <c r="I26" s="403">
        <f ca="1"/>
        <v>-1.53720540690494E-5</v>
      </c>
      <c r="J26" s="403">
        <f ca="1"/>
        <v>4.81636977307602E-4</v>
      </c>
      <c r="K26" s="403">
        <f ca="1"/>
        <v>-3.1916266385900602E-2</v>
      </c>
      <c r="L26" s="403">
        <f ca="1"/>
        <v>-3.1916266385900602E-2</v>
      </c>
      <c r="M26" s="403">
        <f ca="1"/>
        <v>2.26651961453572E-5</v>
      </c>
      <c r="N26" s="441" t="str">
        <f ca="1"/>
        <v>BOUYGUES</v>
      </c>
      <c r="O26" s="403"/>
      <c r="P26" s="403"/>
      <c r="Q26" s="403"/>
      <c r="R26" s="441"/>
      <c r="S26" s="433"/>
      <c r="T26" s="412" cm="1">
        <f t="array" aca="1" ref="T26:X26" ca="1">IF(AND($U$12,B50&lt;=$C$17,C50&lt;&gt;""),TRANSPOSE(INDEX(getcds(C50,$C$6,G50/10000,F50,D50,$C$13,$C$14,$C$15,$C$8,,,TRUE,TRUE,FALSE,$C$29:$C$31,$C$33),{1;2;3;4;5})),"")</f>
        <v>-3.07961609286601E-2</v>
      </c>
      <c r="U26" s="413">
        <f ca="1"/>
        <v>1.6526537646204702E-2</v>
      </c>
      <c r="V26" s="413">
        <f ca="1"/>
        <v>4.7322698574864798E-2</v>
      </c>
      <c r="W26" s="414">
        <f ca="1"/>
        <v>3.49230668239674E-3</v>
      </c>
      <c r="X26" s="415">
        <f ca="1"/>
        <v>4.7322698574864797</v>
      </c>
      <c r="Y26" s="416">
        <f t="shared" ca="1" si="5"/>
        <v>1.0874000958586724E-2</v>
      </c>
      <c r="Z26" s="417">
        <f t="shared" ca="1" si="2"/>
        <v>-1.797095862069495E-4</v>
      </c>
      <c r="AA26" s="416">
        <f t="shared" ca="1" si="0"/>
        <v>-5.3193777309834336E-3</v>
      </c>
      <c r="AB26" s="418">
        <f t="shared" ca="1" si="1"/>
        <v>3.3176913482769028E-3</v>
      </c>
      <c r="AC26" s="417">
        <f t="shared" ca="1" si="3"/>
        <v>4.3955448162740376E-6</v>
      </c>
      <c r="AD26" s="220"/>
      <c r="AE26" s="220">
        <f t="shared" ca="1" si="4"/>
        <v>5.1233283990498703E-3</v>
      </c>
    </row>
    <row r="27" spans="1:31" customFormat="1" ht="15.75" thickBot="1">
      <c r="A27" s="220"/>
      <c r="B27" s="431" t="s">
        <v>449</v>
      </c>
      <c r="C27" s="178" t="b">
        <v>1</v>
      </c>
      <c r="D27" s="221"/>
      <c r="E27" s="403"/>
      <c r="F27" s="221"/>
      <c r="G27" s="221"/>
      <c r="H27" s="377">
        <v>13</v>
      </c>
      <c r="I27" s="403">
        <f ca="1"/>
        <v>9.2885613757804904E-5</v>
      </c>
      <c r="J27" s="403">
        <f ca="1"/>
        <v>4.4989275023630702E-4</v>
      </c>
      <c r="K27" s="403">
        <f ca="1"/>
        <v>0.20646168160970901</v>
      </c>
      <c r="L27" s="403">
        <f ca="1"/>
        <v>0.20646168160970901</v>
      </c>
      <c r="M27" s="403">
        <f ca="1"/>
        <v>-8.3976201063349796E-4</v>
      </c>
      <c r="N27" s="441" t="str">
        <f ca="1"/>
        <v>CNH INDUSTRIAL N.V</v>
      </c>
      <c r="O27" s="403"/>
      <c r="P27" s="403"/>
      <c r="Q27" s="403"/>
      <c r="R27" s="441"/>
      <c r="S27" s="433"/>
      <c r="T27" s="412" cm="1">
        <f t="array" aca="1" ref="T27:X27" ca="1">IF(AND($U$12,B51&lt;=$C$17,C51&lt;&gt;""),TRANSPOSE(INDEX(getcds(C51,$C$6,G51/10000,F51,D51,$C$13,$C$14,$C$15,$C$8,,,TRUE,TRUE,FALSE,$C$29:$C$31,$C$33),{1;2;3;4;5})),"")</f>
        <v>-4.0149988063802999E-3</v>
      </c>
      <c r="U27" s="413">
        <f ca="1"/>
        <v>4.25778616871378E-2</v>
      </c>
      <c r="V27" s="413">
        <f ca="1"/>
        <v>4.6592860493518101E-2</v>
      </c>
      <c r="W27" s="414">
        <f ca="1"/>
        <v>9.1382802506965906E-3</v>
      </c>
      <c r="X27" s="415">
        <f ca="1"/>
        <v>4.6592860493518096</v>
      </c>
      <c r="Y27" s="416">
        <f t="shared" ca="1" si="5"/>
        <v>1.0874000958586724E-2</v>
      </c>
      <c r="Z27" s="417">
        <f t="shared" ca="1" si="2"/>
        <v>-4.6299170880050917E-4</v>
      </c>
      <c r="AA27" s="416">
        <f t="shared" ca="1" si="0"/>
        <v>3.4410280268284833E-2</v>
      </c>
      <c r="AB27" s="418">
        <f t="shared" ca="1" si="1"/>
        <v>8.6813662381617605E-3</v>
      </c>
      <c r="AC27" s="417">
        <f t="shared" ca="1" si="3"/>
        <v>-7.3255807693933982E-5</v>
      </c>
      <c r="AD27" s="220"/>
      <c r="AE27" s="220">
        <f t="shared" ca="1" si="4"/>
        <v>1.244374137261286E-2</v>
      </c>
    </row>
    <row r="28" spans="1:31" customFormat="1" ht="15.75" thickBot="1">
      <c r="A28" s="220"/>
      <c r="B28" s="262" t="s">
        <v>450</v>
      </c>
      <c r="C28" s="237"/>
      <c r="D28" s="221"/>
      <c r="E28" s="403"/>
      <c r="F28" s="221"/>
      <c r="G28" s="221"/>
      <c r="H28" s="377">
        <v>14</v>
      </c>
      <c r="I28" s="403">
        <f ca="1"/>
        <v>1.12277854099041E-5</v>
      </c>
      <c r="J28" s="403">
        <f ca="1"/>
        <v>3.7214478518867599E-4</v>
      </c>
      <c r="K28" s="403">
        <f ca="1"/>
        <v>3.01704762682934E-2</v>
      </c>
      <c r="L28" s="403">
        <f ca="1"/>
        <v>3.01704762682934E-2</v>
      </c>
      <c r="M28" s="403">
        <f ca="1"/>
        <v>3.33669160460986E-4</v>
      </c>
      <c r="N28" s="441" t="str">
        <f ca="1"/>
        <v>COMPAGNIE DE SAINT-GOBAIN</v>
      </c>
      <c r="O28" s="403"/>
      <c r="P28" s="403"/>
      <c r="Q28" s="403"/>
      <c r="R28" s="441"/>
      <c r="S28" s="433"/>
      <c r="T28" s="412" cm="1">
        <f t="array" aca="1" ref="T28:X28" ca="1">IF(AND($U$12,B52&lt;=$C$17,C52&lt;&gt;""),TRANSPOSE(INDEX(getcds(C52,$C$6,G52/10000,F52,D52,$C$13,$C$14,$C$15,$C$8,,,TRUE,TRUE,FALSE,$C$29:$C$31,$C$33),{1;2;3;4;5})),"")</f>
        <v>0.165556446316828</v>
      </c>
      <c r="U28" s="413">
        <f ca="1"/>
        <v>0.210063538846155</v>
      </c>
      <c r="V28" s="413">
        <f ca="1"/>
        <v>4.4507092529327101E-2</v>
      </c>
      <c r="W28" s="414">
        <f ca="1"/>
        <v>4.7197767121664402E-2</v>
      </c>
      <c r="X28" s="415">
        <f ca="1"/>
        <v>4.4507092529327101</v>
      </c>
      <c r="Y28" s="416">
        <f t="shared" ca="1" si="5"/>
        <v>1.0874000958586724E-2</v>
      </c>
      <c r="Z28" s="417">
        <f t="shared" ca="1" si="2"/>
        <v>-2.2842311227772093E-3</v>
      </c>
      <c r="AA28" s="416">
        <f t="shared" ca="1" si="0"/>
        <v>5.028412711382233E-3</v>
      </c>
      <c r="AB28" s="418">
        <f t="shared" ca="1" si="1"/>
        <v>4.4837878765581179E-2</v>
      </c>
      <c r="AC28" s="417">
        <f t="shared" ca="1" si="3"/>
        <v>-5.2814308446597127E-5</v>
      </c>
      <c r="AD28" s="220"/>
      <c r="AE28" s="220">
        <f t="shared" ca="1" si="4"/>
        <v>6.747191359152277E-3</v>
      </c>
    </row>
    <row r="29" spans="1:31" customFormat="1" ht="15.75" thickBot="1">
      <c r="A29" s="220"/>
      <c r="B29" s="262" t="s">
        <v>469</v>
      </c>
      <c r="C29" s="238"/>
      <c r="D29" s="221"/>
      <c r="E29" s="403"/>
      <c r="F29" s="221"/>
      <c r="G29" s="221"/>
      <c r="H29" s="377">
        <v>15</v>
      </c>
      <c r="I29" s="403">
        <f ca="1"/>
        <v>1.15268414820111E-4</v>
      </c>
      <c r="J29" s="403">
        <f ca="1"/>
        <v>4.6204601943488298E-4</v>
      </c>
      <c r="K29" s="403">
        <f ca="1"/>
        <v>0.24947388349128699</v>
      </c>
      <c r="L29" s="403">
        <f ca="1"/>
        <v>0.24947388349128699</v>
      </c>
      <c r="M29" s="403">
        <f ca="1"/>
        <v>-8.5754096044324203E-4</v>
      </c>
      <c r="N29" s="441" t="str">
        <f ca="1"/>
        <v>CONTINENTAL AKTIENGESELLSCHAFT</v>
      </c>
      <c r="O29" s="403"/>
      <c r="P29" s="403"/>
      <c r="Q29" s="403"/>
      <c r="R29" s="441"/>
      <c r="S29" s="433"/>
      <c r="T29" s="412" cm="1">
        <f t="array" aca="1" ref="T29:X29" ca="1">IF(AND($U$12,B53&lt;=$C$17,C53&lt;&gt;""),TRANSPOSE(INDEX(getcds(C53,$C$6,G53/10000,F53,D53,$C$13,$C$14,$C$15,$C$8,,,TRUE,TRUE,FALSE,$C$29:$C$31,$C$33),{1;2;3;4;5})),"")</f>
        <v>2.8017417637930098E-4</v>
      </c>
      <c r="U29" s="413">
        <f ca="1"/>
        <v>4.6844207830136798E-2</v>
      </c>
      <c r="V29" s="413">
        <f ca="1"/>
        <v>4.6564033653757497E-2</v>
      </c>
      <c r="W29" s="414">
        <f ca="1"/>
        <v>1.0060169653355801E-2</v>
      </c>
      <c r="X29" s="415">
        <f ca="1"/>
        <v>4.6564033653757502</v>
      </c>
      <c r="Y29" s="416">
        <f t="shared" ca="1" si="5"/>
        <v>1.0874000958586724E-2</v>
      </c>
      <c r="Z29" s="417">
        <f t="shared" ca="1" si="2"/>
        <v>-5.0938396084914479E-4</v>
      </c>
      <c r="AA29" s="416">
        <f t="shared" ca="1" si="0"/>
        <v>4.1578980581881163E-2</v>
      </c>
      <c r="AB29" s="418">
        <f t="shared" ca="1" si="1"/>
        <v>9.5571611706880104E-3</v>
      </c>
      <c r="AC29" s="417">
        <f t="shared" ca="1" si="3"/>
        <v>-9.7386720387143553E-5</v>
      </c>
      <c r="AD29" s="220"/>
      <c r="AE29" s="220">
        <f t="shared" ca="1" si="4"/>
        <v>1.1928414881360988E-2</v>
      </c>
    </row>
    <row r="30" spans="1:31" customFormat="1" ht="15">
      <c r="A30" s="220"/>
      <c r="B30" s="262" t="s">
        <v>447</v>
      </c>
      <c r="C30" s="63" t="b">
        <v>1</v>
      </c>
      <c r="D30" s="221"/>
      <c r="E30" s="221"/>
      <c r="F30" s="221"/>
      <c r="G30" s="221"/>
      <c r="H30" s="377">
        <v>16</v>
      </c>
      <c r="I30" s="403">
        <f ca="1"/>
        <v>1.33297209458494E-4</v>
      </c>
      <c r="J30" s="403">
        <f ca="1"/>
        <v>4.5927940653135799E-4</v>
      </c>
      <c r="K30" s="403">
        <f ca="1"/>
        <v>0.29023119165129202</v>
      </c>
      <c r="L30" s="403">
        <f ca="1"/>
        <v>0.29023119165129202</v>
      </c>
      <c r="M30" s="403">
        <f ca="1"/>
        <v>-7.7497690450029099E-4</v>
      </c>
      <c r="N30" s="441" t="str">
        <f ca="1"/>
        <v>GLENCORE INTERNATIONAL AG</v>
      </c>
      <c r="O30" s="403"/>
      <c r="P30" s="403"/>
      <c r="Q30" s="403"/>
      <c r="R30" s="441"/>
      <c r="S30" s="433"/>
      <c r="T30" s="412" cm="1">
        <f t="array" aca="1" ref="T30:X30" ca="1">IF(AND($U$12,B54&lt;=$C$17,C54&lt;&gt;""),TRANSPOSE(INDEX(getcds(C54,$C$6,G54/10000,F54,D54,$C$13,$C$14,$C$15,$C$8,,,TRUE,TRUE,FALSE,$C$29:$C$31,$C$33),{1;2;3;4;5})),"")</f>
        <v>5.3918824633368998E-3</v>
      </c>
      <c r="U30" s="413">
        <f ca="1"/>
        <v>5.18937787116803E-2</v>
      </c>
      <c r="V30" s="413">
        <f ca="1"/>
        <v>4.6501896248343402E-2</v>
      </c>
      <c r="W30" s="414">
        <f ca="1"/>
        <v>1.11594973320102E-2</v>
      </c>
      <c r="X30" s="415">
        <f ca="1"/>
        <v>4.65018962483434</v>
      </c>
      <c r="Y30" s="416">
        <f t="shared" ca="1" si="5"/>
        <v>1.0874000958586724E-2</v>
      </c>
      <c r="Z30" s="417">
        <f t="shared" ca="1" si="2"/>
        <v>-5.6429299945549925E-4</v>
      </c>
      <c r="AA30" s="416">
        <f t="shared" ca="1" si="0"/>
        <v>4.8371865275215337E-2</v>
      </c>
      <c r="AB30" s="418">
        <f t="shared" ca="1" si="1"/>
        <v>1.0601522465409689E-2</v>
      </c>
      <c r="AC30" s="417">
        <f t="shared" ca="1" si="3"/>
        <v>-1.2550994362316219E-4</v>
      </c>
      <c r="AD30" s="220"/>
      <c r="AE30" s="220">
        <f t="shared" ca="1" si="4"/>
        <v>1.1841340298915874E-2</v>
      </c>
    </row>
    <row r="31" spans="1:31" customFormat="1" ht="15.75" thickBot="1">
      <c r="A31" s="220"/>
      <c r="B31" s="263" t="s">
        <v>448</v>
      </c>
      <c r="C31" s="427" t="b">
        <v>1</v>
      </c>
      <c r="D31" s="221"/>
      <c r="E31" s="221"/>
      <c r="F31" s="221"/>
      <c r="G31" s="221"/>
      <c r="H31" s="377">
        <v>17</v>
      </c>
      <c r="I31" s="403">
        <f ca="1"/>
        <v>-1.3898180611948699E-5</v>
      </c>
      <c r="J31" s="403">
        <f ca="1"/>
        <v>4.8518838537835998E-4</v>
      </c>
      <c r="K31" s="403">
        <f ca="1"/>
        <v>-2.8644916141408901E-2</v>
      </c>
      <c r="L31" s="403">
        <f ca="1"/>
        <v>-2.8644916141408901E-2</v>
      </c>
      <c r="M31" s="403">
        <f ca="1"/>
        <v>3.1260676583282403E-5</v>
      </c>
      <c r="N31" s="441" t="str">
        <f ca="1"/>
        <v>GSK PLC</v>
      </c>
      <c r="O31" s="403"/>
      <c r="P31" s="403"/>
      <c r="Q31" s="403"/>
      <c r="R31" s="441"/>
      <c r="S31" s="433"/>
      <c r="T31" s="412" cm="1">
        <f t="array" aca="1" ref="T31:X31" ca="1">IF(AND($U$12,B55&lt;=$C$17,C55&lt;&gt;""),TRANSPOSE(INDEX(getcds(C55,$C$6,G55/10000,F55,D55,$C$13,$C$14,$C$15,$C$8,,,TRUE,TRUE,FALSE,$C$29:$C$31,$C$33),{1;2;3;4;5})),"")</f>
        <v>-3.5207637543995599E-2</v>
      </c>
      <c r="U31" s="413">
        <f ca="1"/>
        <v>1.22541361469846E-2</v>
      </c>
      <c r="V31" s="413">
        <f ca="1"/>
        <v>4.7461773690980202E-2</v>
      </c>
      <c r="W31" s="414">
        <f ca="1"/>
        <v>2.5818959541567799E-3</v>
      </c>
      <c r="X31" s="415">
        <f ca="1"/>
        <v>4.74617736909802</v>
      </c>
      <c r="Y31" s="416">
        <f t="shared" ca="1" si="5"/>
        <v>1.0874000958586724E-2</v>
      </c>
      <c r="Z31" s="417">
        <f t="shared" ca="1" si="2"/>
        <v>-1.3325148820896328E-4</v>
      </c>
      <c r="AA31" s="416">
        <f t="shared" ca="1" si="0"/>
        <v>-4.7741526902348166E-3</v>
      </c>
      <c r="AB31" s="418">
        <f t="shared" ca="1" si="1"/>
        <v>2.4528011564489407E-3</v>
      </c>
      <c r="AC31" s="417">
        <f t="shared" ca="1" si="3"/>
        <v>2.9251558526315282E-6</v>
      </c>
      <c r="AD31" s="220"/>
      <c r="AE31" s="220">
        <f t="shared" ca="1" si="4"/>
        <v>3.5556406595304538E-3</v>
      </c>
    </row>
    <row r="32" spans="1:31" customFormat="1" ht="15.75" thickBot="1">
      <c r="A32" s="220"/>
      <c r="B32" s="220"/>
      <c r="C32" s="221"/>
      <c r="D32" s="221"/>
      <c r="E32" s="221"/>
      <c r="F32" s="221"/>
      <c r="G32" s="221"/>
      <c r="H32" s="377">
        <v>18</v>
      </c>
      <c r="I32" s="403">
        <f ca="1"/>
        <v>9.2930256854859599E-5</v>
      </c>
      <c r="J32" s="403">
        <f ca="1"/>
        <v>4.4986170413591897E-4</v>
      </c>
      <c r="K32" s="403">
        <f ca="1"/>
        <v>0.20657516743586199</v>
      </c>
      <c r="L32" s="403">
        <f ca="1"/>
        <v>0.20657516743586199</v>
      </c>
      <c r="M32" s="403">
        <f ca="1"/>
        <v>-8.41021295802758E-4</v>
      </c>
      <c r="N32" s="441" t="str">
        <f ca="1"/>
        <v>HEIDELBERG MATERIALS AG</v>
      </c>
      <c r="O32" s="403"/>
      <c r="P32" s="403"/>
      <c r="Q32" s="403"/>
      <c r="R32" s="441"/>
      <c r="S32" s="433"/>
      <c r="T32" s="412" cm="1">
        <f t="array" aca="1" ref="T32:X32" ca="1">IF(AND($U$12,B56&lt;=$C$17,C56&lt;&gt;""),TRANSPOSE(INDEX(getcds(C56,$C$6,G56/10000,F56,D56,$C$13,$C$14,$C$15,$C$8,,,TRUE,TRUE,FALSE,$C$29:$C$31,$C$33),{1;2;3;4;5})),"")</f>
        <v>-4.0217203868450997E-3</v>
      </c>
      <c r="U32" s="413">
        <f ca="1"/>
        <v>4.2608082055976798E-2</v>
      </c>
      <c r="V32" s="413">
        <f ca="1"/>
        <v>4.6629802442821902E-2</v>
      </c>
      <c r="W32" s="414">
        <f ca="1"/>
        <v>9.1375214613494092E-3</v>
      </c>
      <c r="X32" s="415">
        <f ca="1"/>
        <v>4.6629802442821902</v>
      </c>
      <c r="Y32" s="416">
        <f t="shared" ca="1" si="5"/>
        <v>1.0874000958586724E-2</v>
      </c>
      <c r="Z32" s="417">
        <f t="shared" ca="1" si="2"/>
        <v>-4.6332032512023377E-4</v>
      </c>
      <c r="AA32" s="416">
        <f t="shared" ca="1" si="0"/>
        <v>3.4429194572643665E-2</v>
      </c>
      <c r="AB32" s="418">
        <f t="shared" ca="1" si="1"/>
        <v>8.6806453882819386E-3</v>
      </c>
      <c r="AC32" s="417">
        <f t="shared" ca="1" si="3"/>
        <v>-7.3348097373619682E-5</v>
      </c>
      <c r="AD32" s="220"/>
      <c r="AE32" s="220">
        <f t="shared" ca="1" si="4"/>
        <v>1.1740502045878629E-2</v>
      </c>
    </row>
    <row r="33" spans="1:31" customFormat="1" ht="15">
      <c r="A33" s="220"/>
      <c r="B33" s="261" t="s">
        <v>451</v>
      </c>
      <c r="C33" s="239" t="s">
        <v>452</v>
      </c>
      <c r="D33" s="240"/>
      <c r="E33" s="240"/>
      <c r="F33" s="240"/>
      <c r="G33" s="221"/>
      <c r="H33" s="377">
        <v>19</v>
      </c>
      <c r="I33" s="403">
        <f ca="1"/>
        <v>5.1706956351262799E-5</v>
      </c>
      <c r="J33" s="403">
        <f ca="1"/>
        <v>4.5612296287666598E-4</v>
      </c>
      <c r="K33" s="403">
        <f ca="1"/>
        <v>0.11336187949222799</v>
      </c>
      <c r="L33" s="403">
        <f ca="1"/>
        <v>0.11336187949222799</v>
      </c>
      <c r="M33" s="403">
        <f ca="1"/>
        <v>-6.1080145330561799E-4</v>
      </c>
      <c r="N33" s="441" t="str">
        <f ca="1"/>
        <v>HOLCIM AG</v>
      </c>
      <c r="O33" s="403"/>
      <c r="P33" s="403"/>
      <c r="Q33" s="403"/>
      <c r="R33" s="441"/>
      <c r="S33" s="433"/>
      <c r="T33" s="412" cm="1">
        <f t="array" aca="1" ref="T33:X33" ca="1">IF(AND($U$12,B57&lt;=$C$17,C57&lt;&gt;""),TRANSPOSE(INDEX(getcds(C57,$C$6,G57/10000,F57,D57,$C$13,$C$14,$C$15,$C$8,,,TRUE,TRUE,FALSE,$C$29:$C$31,$C$33),{1;2;3;4;5})),"")</f>
        <v>-1.2129262302978601E-2</v>
      </c>
      <c r="U33" s="413">
        <f ca="1"/>
        <v>3.4728290071980202E-2</v>
      </c>
      <c r="V33" s="413">
        <f ca="1"/>
        <v>4.6857552374958797E-2</v>
      </c>
      <c r="W33" s="414">
        <f ca="1"/>
        <v>7.4114605462276299E-3</v>
      </c>
      <c r="X33" s="415">
        <f ca="1"/>
        <v>4.6857552374958802</v>
      </c>
      <c r="Y33" s="416">
        <f t="shared" ca="1" si="5"/>
        <v>1.0874000958586724E-2</v>
      </c>
      <c r="Z33" s="417">
        <f t="shared" ca="1" si="2"/>
        <v>-3.7763545953279043E-4</v>
      </c>
      <c r="AA33" s="416">
        <f t="shared" ca="1" si="0"/>
        <v>1.8893646582037998E-2</v>
      </c>
      <c r="AB33" s="418">
        <f t="shared" ca="1" si="1"/>
        <v>7.0408875189162477E-3</v>
      </c>
      <c r="AC33" s="417">
        <f t="shared" ca="1" si="3"/>
        <v>-3.2807201950924699E-5</v>
      </c>
      <c r="AD33" s="220"/>
      <c r="AE33" s="220">
        <f t="shared" ca="1" si="4"/>
        <v>9.4006488933574359E-3</v>
      </c>
    </row>
    <row r="34" spans="1:31" customFormat="1" ht="15">
      <c r="A34" s="220"/>
      <c r="B34" s="262" t="s">
        <v>470</v>
      </c>
      <c r="C34" s="241">
        <v>0.01</v>
      </c>
      <c r="D34" s="240"/>
      <c r="E34" s="240"/>
      <c r="F34" s="240"/>
      <c r="G34" s="221"/>
      <c r="H34" s="377">
        <v>20</v>
      </c>
      <c r="I34" s="403">
        <f ca="1"/>
        <v>-1.0008547081850099E-5</v>
      </c>
      <c r="J34" s="403">
        <f ca="1"/>
        <v>4.8738709203572999E-4</v>
      </c>
      <c r="K34" s="403">
        <f ca="1"/>
        <v>-2.0535109044530001E-2</v>
      </c>
      <c r="L34" s="403">
        <f ca="1"/>
        <v>-2.0535109044530001E-2</v>
      </c>
      <c r="M34" s="403">
        <f ca="1"/>
        <v>2.04499122309865E-5</v>
      </c>
      <c r="N34" s="441" t="str">
        <f ca="1"/>
        <v>DSM B.V</v>
      </c>
      <c r="O34" s="403"/>
      <c r="P34" s="403"/>
      <c r="Q34" s="403"/>
      <c r="R34" s="441"/>
      <c r="S34" s="433"/>
      <c r="T34" s="412" cm="1">
        <f t="array" aca="1" ref="T34:X34" ca="1">IF(AND($U$12,B58&lt;=$C$17,C58&lt;&gt;""),TRANSPOSE(INDEX(getcds(C58,$C$6,G58/10000,F58,D58,$C$13,$C$14,$C$15,$C$8,,,TRUE,TRUE,FALSE,$C$29:$C$31,$C$33),{1;2;3;4;5})),"")</f>
        <v>-3.8130085101742602E-2</v>
      </c>
      <c r="U34" s="413">
        <f ca="1"/>
        <v>9.4102026823100204E-3</v>
      </c>
      <c r="V34" s="413">
        <f ca="1"/>
        <v>4.7540287784052601E-2</v>
      </c>
      <c r="W34" s="414">
        <f ca="1"/>
        <v>1.9794164320281402E-3</v>
      </c>
      <c r="X34" s="415">
        <f ca="1"/>
        <v>4.7540287784052602</v>
      </c>
      <c r="Y34" s="416">
        <f t="shared" ca="1" si="5"/>
        <v>1.0874000958586724E-2</v>
      </c>
      <c r="Z34" s="417">
        <f t="shared" ca="1" si="2"/>
        <v>-1.0232655298793472E-4</v>
      </c>
      <c r="AA34" s="416">
        <f t="shared" ca="1" si="0"/>
        <v>-3.4225181740883334E-3</v>
      </c>
      <c r="AB34" s="418">
        <f t="shared" ca="1" si="1"/>
        <v>1.8804456104267332E-3</v>
      </c>
      <c r="AC34" s="417">
        <f t="shared" ca="1" si="3"/>
        <v>1.6103294851030445E-6</v>
      </c>
      <c r="AD34" s="220"/>
      <c r="AE34" s="220">
        <f t="shared" ca="1" si="4"/>
        <v>2.7749806048590273E-3</v>
      </c>
    </row>
    <row r="35" spans="1:31" customFormat="1" ht="15">
      <c r="A35" s="220"/>
      <c r="B35" s="262" t="s">
        <v>471</v>
      </c>
      <c r="C35" s="241">
        <v>1</v>
      </c>
      <c r="D35" s="221"/>
      <c r="E35" s="221"/>
      <c r="F35" s="221"/>
      <c r="G35" s="221"/>
      <c r="H35" s="377">
        <v>21</v>
      </c>
      <c r="I35" s="403">
        <f ca="1"/>
        <v>-1.04996456992379E-5</v>
      </c>
      <c r="J35" s="403">
        <f ca="1"/>
        <v>4.8716530215476103E-4</v>
      </c>
      <c r="K35" s="403">
        <f ca="1"/>
        <v>-2.15525318671041E-2</v>
      </c>
      <c r="L35" s="403">
        <f ca="1"/>
        <v>-2.15525318671041E-2</v>
      </c>
      <c r="M35" s="403">
        <f ca="1"/>
        <v>2.18897692662345E-5</v>
      </c>
      <c r="N35" s="441" t="str">
        <f ca="1"/>
        <v>L'AIR LIQUIDE SOCIETE ANONYME POUR L'ETUDE ET L'EXPLOITATION DES PROCEDES GEORGES CLAUDE</v>
      </c>
      <c r="O35" s="403"/>
      <c r="P35" s="403"/>
      <c r="Q35" s="403"/>
      <c r="R35" s="441"/>
      <c r="S35" s="433"/>
      <c r="T35" s="412" cm="1">
        <f t="array" aca="1" ref="T35:X35" ca="1">IF(AND($U$12,B59&lt;=$C$17,C59&lt;&gt;""),TRANSPOSE(INDEX(getcds(C59,$C$6,G59/10000,F59,D59,$C$13,$C$14,$C$15,$C$8,,,TRUE,TRUE,FALSE,$C$29:$C$31,$C$33),{1;2;3;4;5})),"")</f>
        <v>-3.78045379059255E-2</v>
      </c>
      <c r="U35" s="413">
        <f ca="1"/>
        <v>9.7298750964140302E-3</v>
      </c>
      <c r="V35" s="413">
        <f ca="1"/>
        <v>4.7534413002339501E-2</v>
      </c>
      <c r="W35" s="414">
        <f ca="1"/>
        <v>2.0469118017582698E-3</v>
      </c>
      <c r="X35" s="415">
        <f ca="1"/>
        <v>4.7534413002339502</v>
      </c>
      <c r="Y35" s="416">
        <f t="shared" ca="1" si="5"/>
        <v>1.0874000958586724E-2</v>
      </c>
      <c r="Z35" s="417">
        <f t="shared" ca="1" si="2"/>
        <v>-1.0580267112533544E-4</v>
      </c>
      <c r="AA35" s="416">
        <f t="shared" ca="1" si="0"/>
        <v>-3.5920886445173499E-3</v>
      </c>
      <c r="AB35" s="418">
        <f t="shared" ca="1" si="1"/>
        <v>1.9445662116703562E-3</v>
      </c>
      <c r="AC35" s="417">
        <f t="shared" ca="1" si="3"/>
        <v>1.7475286923200555E-6</v>
      </c>
      <c r="AD35" s="220"/>
      <c r="AE35" s="220">
        <f t="shared" ca="1" si="4"/>
        <v>2.8075274338623325E-3</v>
      </c>
    </row>
    <row r="36" spans="1:31" customFormat="1" ht="15.75" thickBot="1">
      <c r="A36" s="220"/>
      <c r="B36" s="263" t="s">
        <v>472</v>
      </c>
      <c r="C36" s="242"/>
      <c r="D36" s="221"/>
      <c r="E36" s="221"/>
      <c r="F36" s="221"/>
      <c r="G36" s="221"/>
      <c r="H36" s="377">
        <v>22</v>
      </c>
      <c r="I36" s="403">
        <f ca="1"/>
        <v>1.4425175919554399E-4</v>
      </c>
      <c r="J36" s="403">
        <f ca="1"/>
        <v>4.3560763811670701E-4</v>
      </c>
      <c r="K36" s="403">
        <f ca="1"/>
        <v>0.331150665353798</v>
      </c>
      <c r="L36" s="403">
        <f ca="1"/>
        <v>0.331150665353798</v>
      </c>
      <c r="M36" s="403">
        <f ca="1"/>
        <v>5.1042004550071901E-4</v>
      </c>
      <c r="N36" s="441" t="str">
        <f ca="1"/>
        <v>LANXESS AKTIENGESELLSCHAFT</v>
      </c>
      <c r="O36" s="403"/>
      <c r="P36" s="403"/>
      <c r="Q36" s="403"/>
      <c r="R36" s="441"/>
      <c r="S36" s="433"/>
      <c r="T36" s="412" cm="1">
        <f t="array" aca="1" ref="T36:X36" ca="1">IF(AND($U$12,B60&lt;=$C$17,C60&lt;&gt;""),TRANSPOSE(INDEX(getcds(C60,$C$6,G60/10000,F60,D60,$C$13,$C$14,$C$15,$C$8,,,TRUE,TRUE,FALSE,$C$29:$C$31,$C$33),{1;2;3;4;5})),"")</f>
        <v>3.5868353484522497E-2</v>
      </c>
      <c r="U36" s="413">
        <f ca="1"/>
        <v>8.1210359852764299E-2</v>
      </c>
      <c r="V36" s="413">
        <f ca="1"/>
        <v>4.5342006368241802E-2</v>
      </c>
      <c r="W36" s="414">
        <f ca="1"/>
        <v>1.7910623361749901E-2</v>
      </c>
      <c r="X36" s="415">
        <f ca="1"/>
        <v>4.5342006368241803</v>
      </c>
      <c r="Y36" s="416">
        <f t="shared" ca="1" si="5"/>
        <v>1.0874000958586724E-2</v>
      </c>
      <c r="Z36" s="417">
        <f t="shared" ca="1" si="2"/>
        <v>-8.8308153088613342E-4</v>
      </c>
      <c r="AA36" s="416">
        <f t="shared" ca="1" si="0"/>
        <v>5.5191777558966336E-2</v>
      </c>
      <c r="AB36" s="418">
        <f t="shared" ca="1" si="1"/>
        <v>1.7015092193662405E-2</v>
      </c>
      <c r="AC36" s="417">
        <f t="shared" ca="1" si="3"/>
        <v>-2.2410720582386969E-4</v>
      </c>
      <c r="AD36" s="220"/>
      <c r="AE36" s="220">
        <f t="shared" ca="1" si="4"/>
        <v>2.6399727478320881E-2</v>
      </c>
    </row>
    <row r="37" spans="1:31" customFormat="1" ht="15.75" thickBot="1">
      <c r="A37" s="220"/>
      <c r="B37" s="220"/>
      <c r="C37" s="221"/>
      <c r="D37" s="221"/>
      <c r="E37" s="221"/>
      <c r="F37" s="221"/>
      <c r="G37" s="221"/>
      <c r="H37" s="377">
        <v>23</v>
      </c>
      <c r="I37" s="403">
        <f ca="1"/>
        <v>3.9302530414240298E-5</v>
      </c>
      <c r="J37" s="403">
        <f ca="1"/>
        <v>4.5789321988340599E-4</v>
      </c>
      <c r="K37" s="403">
        <f ca="1"/>
        <v>8.5833396756230501E-2</v>
      </c>
      <c r="L37" s="403">
        <f ca="1"/>
        <v>8.5833396756230501E-2</v>
      </c>
      <c r="M37" s="403">
        <f ca="1"/>
        <v>-5.1152619469562897E-4</v>
      </c>
      <c r="N37" s="441" t="str">
        <f ca="1"/>
        <v>LEONARDO SOCIETA' PER AZIONI</v>
      </c>
      <c r="O37" s="403"/>
      <c r="P37" s="403"/>
      <c r="Q37" s="403"/>
      <c r="R37" s="441"/>
      <c r="S37" s="433"/>
      <c r="T37" s="412" cm="1">
        <f t="array" aca="1" ref="T37:X37" ca="1">IF(AND($U$12,B61&lt;=$C$17,C61&lt;&gt;""),TRANSPOSE(INDEX(getcds(C61,$C$6,G61/10000,F61,D61,$C$13,$C$14,$C$15,$C$8,,,TRUE,TRUE,FALSE,$C$29:$C$31,$C$33),{1;2;3;4;5})),"")</f>
        <v>-1.4462565580496699E-2</v>
      </c>
      <c r="U37" s="413">
        <f ca="1"/>
        <v>3.24927255542228E-2</v>
      </c>
      <c r="V37" s="413">
        <f ca="1"/>
        <v>4.6955291134719503E-2</v>
      </c>
      <c r="W37" s="414">
        <f ca="1"/>
        <v>6.9199284615226696E-3</v>
      </c>
      <c r="X37" s="415">
        <f ca="1"/>
        <v>4.6955291134719497</v>
      </c>
      <c r="Y37" s="416">
        <f t="shared" ca="1" si="5"/>
        <v>1.0874000958586724E-2</v>
      </c>
      <c r="Z37" s="417">
        <f t="shared" ca="1" si="2"/>
        <v>-3.5332592882371465E-4</v>
      </c>
      <c r="AA37" s="416">
        <f t="shared" ca="1" si="0"/>
        <v>1.4305566126038416E-2</v>
      </c>
      <c r="AB37" s="418">
        <f t="shared" ca="1" si="1"/>
        <v>6.5739320384465361E-3</v>
      </c>
      <c r="AC37" s="417">
        <f t="shared" ca="1" si="3"/>
        <v>-2.3241341701557664E-5</v>
      </c>
      <c r="AD37" s="220"/>
      <c r="AE37" s="220">
        <f t="shared" ca="1" si="4"/>
        <v>8.1133551841451653E-3</v>
      </c>
    </row>
    <row r="38" spans="1:31" customFormat="1" ht="15.75" thickBot="1">
      <c r="A38" s="220"/>
      <c r="B38" s="265" t="s">
        <v>460</v>
      </c>
      <c r="C38" s="243" t="s">
        <v>80</v>
      </c>
      <c r="D38" s="243" t="s">
        <v>473</v>
      </c>
      <c r="E38" s="243" t="s">
        <v>474</v>
      </c>
      <c r="F38" s="243" t="s">
        <v>85</v>
      </c>
      <c r="G38" s="243" t="s">
        <v>434</v>
      </c>
      <c r="H38" s="377">
        <v>24</v>
      </c>
      <c r="I38" s="403">
        <f ca="1"/>
        <v>-2.04624809196252E-6</v>
      </c>
      <c r="J38" s="403">
        <f ca="1"/>
        <v>4.7582516825653499E-4</v>
      </c>
      <c r="K38" s="403">
        <f ca="1"/>
        <v>-4.3004200460016696E-3</v>
      </c>
      <c r="L38" s="403">
        <f ca="1"/>
        <v>-4.3004200460016696E-3</v>
      </c>
      <c r="M38" s="403">
        <f ca="1"/>
        <v>-1.18314064455009E-4</v>
      </c>
      <c r="N38" s="441" t="str">
        <f ca="1"/>
        <v>MERCEDES-BENZ GROUP AG</v>
      </c>
      <c r="O38" s="403"/>
      <c r="P38" s="403"/>
      <c r="Q38" s="403"/>
      <c r="R38" s="441"/>
      <c r="S38" s="433"/>
      <c r="T38" s="412" cm="1">
        <f t="array" aca="1" ref="T38:X38" ca="1">IF(AND($U$12,B62&lt;=$C$17,C62&lt;&gt;""),TRANSPOSE(INDEX(getcds(C62,$C$6,G62/10000,F62,D62,$C$13,$C$14,$C$15,$C$8,,,TRUE,TRUE,FALSE,$C$29:$C$31,$C$33),{1;2;3;4;5})),"")</f>
        <v>-2.3699268902506902E-2</v>
      </c>
      <c r="U38" s="413">
        <f ca="1"/>
        <v>2.3464505442776399E-2</v>
      </c>
      <c r="V38" s="413">
        <f ca="1"/>
        <v>4.7163774345283301E-2</v>
      </c>
      <c r="W38" s="414">
        <f ca="1"/>
        <v>4.9751118879914303E-3</v>
      </c>
      <c r="X38" s="415">
        <f ca="1"/>
        <v>4.7163774345283302</v>
      </c>
      <c r="Y38" s="416">
        <f t="shared" ca="1" si="5"/>
        <v>1.0874000958586724E-2</v>
      </c>
      <c r="Z38" s="417">
        <f t="shared" ca="1" si="2"/>
        <v>-2.5515305467751419E-4</v>
      </c>
      <c r="AA38" s="416">
        <f t="shared" ca="1" si="0"/>
        <v>-7.1673667433361156E-4</v>
      </c>
      <c r="AB38" s="418">
        <f t="shared" ca="1" si="1"/>
        <v>4.7263562935918584E-3</v>
      </c>
      <c r="AC38" s="417">
        <f t="shared" ca="1" si="3"/>
        <v>8.4089357979692636E-7</v>
      </c>
      <c r="AD38" s="220"/>
      <c r="AE38" s="220">
        <f t="shared" ca="1" si="4"/>
        <v>6.4121210767193026E-3</v>
      </c>
    </row>
    <row r="39" spans="1:31" customFormat="1" ht="15">
      <c r="A39" s="220"/>
      <c r="B39" s="266">
        <v>1</v>
      </c>
      <c r="C39" s="62" t="s">
        <v>510</v>
      </c>
      <c r="D39" s="244">
        <f ca="1">100/95</f>
        <v>1.0526315789473684</v>
      </c>
      <c r="E39" s="238"/>
      <c r="F39" s="225">
        <v>0.4</v>
      </c>
      <c r="G39" s="425">
        <v>100</v>
      </c>
      <c r="H39" s="377">
        <v>25</v>
      </c>
      <c r="I39" s="403">
        <f ca="1"/>
        <v>1.4982009251094099E-4</v>
      </c>
      <c r="J39" s="403">
        <f ca="1"/>
        <v>4.5156267491127902E-4</v>
      </c>
      <c r="K39" s="403">
        <f ca="1"/>
        <v>0.33178139123296002</v>
      </c>
      <c r="L39" s="403">
        <f ca="1"/>
        <v>0.33178139123296002</v>
      </c>
      <c r="M39" s="403">
        <f ca="1"/>
        <v>-4.9246188430439796E-4</v>
      </c>
      <c r="N39" s="441" t="str">
        <f ca="1"/>
        <v>POSTNL N.V.</v>
      </c>
      <c r="O39" s="403"/>
      <c r="P39" s="403"/>
      <c r="Q39" s="403"/>
      <c r="R39" s="441"/>
      <c r="S39" s="433"/>
      <c r="T39" s="412" cm="1">
        <f t="array" aca="1" ref="T39:X39" ca="1">IF(AND($U$12,B63&lt;=$C$17,C63&lt;&gt;""),TRANSPOSE(INDEX(getcds(C63,$C$6,G63/10000,F63,D63,$C$13,$C$14,$C$15,$C$8,,,TRUE,TRUE,FALSE,$C$29:$C$31,$C$33),{1;2;3;4;5})),"")</f>
        <v>1.3588035291644599E-2</v>
      </c>
      <c r="U39" s="413">
        <f ca="1"/>
        <v>5.9633457311952499E-2</v>
      </c>
      <c r="V39" s="413">
        <f ca="1"/>
        <v>4.6045422020307897E-2</v>
      </c>
      <c r="W39" s="414">
        <f ca="1"/>
        <v>1.2951006787526399E-2</v>
      </c>
      <c r="X39" s="415">
        <f ca="1"/>
        <v>4.6045422020307898</v>
      </c>
      <c r="Y39" s="416">
        <f t="shared" ca="1" si="5"/>
        <v>1.0874000958586724E-2</v>
      </c>
      <c r="Z39" s="417">
        <f t="shared" ca="1" si="2"/>
        <v>-6.4845427197401202E-4</v>
      </c>
      <c r="AA39" s="416">
        <f t="shared" ca="1" si="0"/>
        <v>5.5296898538826668E-2</v>
      </c>
      <c r="AB39" s="418">
        <f t="shared" ca="1" si="1"/>
        <v>1.2303456448150079E-2</v>
      </c>
      <c r="AC39" s="417">
        <f t="shared" ca="1" si="3"/>
        <v>-1.6487726192492463E-4</v>
      </c>
      <c r="AD39" s="220"/>
      <c r="AE39" s="220">
        <f t="shared" ca="1" si="4"/>
        <v>1.8522789330206995E-2</v>
      </c>
    </row>
    <row r="40" spans="1:31" customFormat="1" ht="15">
      <c r="A40" s="220"/>
      <c r="B40" s="267">
        <v>2</v>
      </c>
      <c r="C40" s="68" t="s">
        <v>511</v>
      </c>
      <c r="D40" s="246">
        <f t="shared" ref="D40:D103" ca="1" si="6">100/95</f>
        <v>1.0526315789473684</v>
      </c>
      <c r="E40" s="238"/>
      <c r="F40" s="225">
        <v>0.4</v>
      </c>
      <c r="G40" s="425">
        <v>100</v>
      </c>
      <c r="H40" s="377">
        <v>26</v>
      </c>
      <c r="I40" s="403">
        <f ca="1"/>
        <v>1.4867211391766899E-5</v>
      </c>
      <c r="J40" s="403">
        <f ca="1"/>
        <v>4.7202164053227001E-4</v>
      </c>
      <c r="K40" s="403">
        <f ca="1"/>
        <v>3.1496885132219897E-2</v>
      </c>
      <c r="L40" s="403">
        <f ca="1"/>
        <v>3.1496885132219897E-2</v>
      </c>
      <c r="M40" s="403">
        <f ca="1"/>
        <v>-2.8096264842288201E-4</v>
      </c>
      <c r="N40" s="441" t="str">
        <f ca="1"/>
        <v>RENTOKIL INITIAL PLC</v>
      </c>
      <c r="O40" s="403"/>
      <c r="P40" s="403"/>
      <c r="Q40" s="403"/>
      <c r="R40" s="441"/>
      <c r="S40" s="433"/>
      <c r="T40" s="412" cm="1">
        <f t="array" aca="1" ref="T40:X40" ca="1">IF(AND($U$12,B64&lt;=$C$17,C64&lt;&gt;""),TRANSPOSE(INDEX(getcds(C64,$C$6,G64/10000,F64,D64,$C$13,$C$14,$C$15,$C$8,,,TRUE,TRUE,FALSE,$C$29:$C$31,$C$33),{1;2;3;4;5})),"")</f>
        <v>-1.9492893262899599E-2</v>
      </c>
      <c r="U40" s="413">
        <f ca="1"/>
        <v>2.7535173110747099E-2</v>
      </c>
      <c r="V40" s="413">
        <f ca="1"/>
        <v>4.7028066373646697E-2</v>
      </c>
      <c r="W40" s="414">
        <f ca="1"/>
        <v>5.8550510862970598E-3</v>
      </c>
      <c r="X40" s="415">
        <f ca="1"/>
        <v>4.7028066373646702</v>
      </c>
      <c r="Y40" s="416">
        <f t="shared" ca="1" si="5"/>
        <v>1.0874000958586724E-2</v>
      </c>
      <c r="Z40" s="417">
        <f t="shared" ca="1" si="2"/>
        <v>-2.9941749880111463E-4</v>
      </c>
      <c r="AA40" s="416">
        <f t="shared" ca="1" si="0"/>
        <v>5.2494808553699831E-3</v>
      </c>
      <c r="AB40" s="418">
        <f t="shared" ca="1" si="1"/>
        <v>5.5622985319822068E-3</v>
      </c>
      <c r="AC40" s="417">
        <f t="shared" ca="1" si="3"/>
        <v>-7.2272682047082454E-6</v>
      </c>
      <c r="AD40" s="220"/>
      <c r="AE40" s="220">
        <f t="shared" ca="1" si="4"/>
        <v>7.9634988877493752E-3</v>
      </c>
    </row>
    <row r="41" spans="1:31" customFormat="1" ht="12.75" customHeight="1">
      <c r="A41" s="220"/>
      <c r="B41" s="267">
        <v>3</v>
      </c>
      <c r="C41" s="68" t="s">
        <v>529</v>
      </c>
      <c r="D41" s="246">
        <f t="shared" ca="1" si="6"/>
        <v>1.0526315789473684</v>
      </c>
      <c r="E41" s="238"/>
      <c r="F41" s="225">
        <v>0.4</v>
      </c>
      <c r="G41" s="425">
        <v>100</v>
      </c>
      <c r="H41" s="377">
        <v>27</v>
      </c>
      <c r="I41" s="403">
        <f ca="1"/>
        <v>-1.5589655499248501E-5</v>
      </c>
      <c r="J41" s="403">
        <f ca="1"/>
        <v>4.81976941317237E-4</v>
      </c>
      <c r="K41" s="403">
        <f ca="1"/>
        <v>-3.23452309910141E-2</v>
      </c>
      <c r="L41" s="403">
        <f ca="1"/>
        <v>-3.23452309910141E-2</v>
      </c>
      <c r="M41" s="403">
        <f ca="1"/>
        <v>2.5595495790049499E-5</v>
      </c>
      <c r="N41" s="441" t="str">
        <f ca="1"/>
        <v>SANOFI</v>
      </c>
      <c r="O41" s="403"/>
      <c r="P41" s="403"/>
      <c r="Q41" s="403"/>
      <c r="R41" s="441"/>
      <c r="S41" s="433"/>
      <c r="T41" s="412" cm="1">
        <f t="array" aca="1" ref="T41:X41" ca="1">IF(AND($U$12,B65&lt;=$C$17,C65&lt;&gt;""),TRANSPOSE(INDEX(getcds(C65,$C$6,G65/10000,F65,D65,$C$13,$C$14,$C$15,$C$8,,,TRUE,TRUE,FALSE,$C$29:$C$31,$C$33),{1;2;3;4;5})),"")</f>
        <v>-3.11534475927806E-2</v>
      </c>
      <c r="U41" s="413">
        <f ca="1"/>
        <v>1.6190059419782601E-2</v>
      </c>
      <c r="V41" s="413">
        <f ca="1"/>
        <v>4.73435070125632E-2</v>
      </c>
      <c r="W41" s="414">
        <f ca="1"/>
        <v>3.4197000690055399E-3</v>
      </c>
      <c r="X41" s="415">
        <f ca="1"/>
        <v>4.7343507012563197</v>
      </c>
      <c r="Y41" s="416">
        <f t="shared" ca="1" si="5"/>
        <v>1.0874000958586724E-2</v>
      </c>
      <c r="Z41" s="417">
        <f t="shared" ca="1" si="2"/>
        <v>-1.7605072165029269E-4</v>
      </c>
      <c r="AA41" s="416">
        <f t="shared" ca="1" si="0"/>
        <v>-5.390871831835683E-3</v>
      </c>
      <c r="AB41" s="418">
        <f t="shared" ca="1" si="1"/>
        <v>3.2487150655552627E-3</v>
      </c>
      <c r="AC41" s="417">
        <f t="shared" ca="1" si="3"/>
        <v>4.3639267640926205E-6</v>
      </c>
      <c r="AD41" s="220"/>
      <c r="AE41" s="220">
        <f t="shared" ca="1" si="4"/>
        <v>4.8152010248986611E-3</v>
      </c>
    </row>
    <row r="42" spans="1:31" customFormat="1" ht="15">
      <c r="A42" s="220"/>
      <c r="B42" s="267">
        <v>4</v>
      </c>
      <c r="C42" s="68" t="s">
        <v>611</v>
      </c>
      <c r="D42" s="246">
        <f t="shared" ca="1" si="6"/>
        <v>1.0526315789473684</v>
      </c>
      <c r="E42" s="238"/>
      <c r="F42" s="225">
        <v>0.4</v>
      </c>
      <c r="G42" s="425">
        <v>100</v>
      </c>
      <c r="H42" s="377">
        <v>28</v>
      </c>
      <c r="I42" s="403">
        <f ca="1"/>
        <v>-1.50165277539993E-5</v>
      </c>
      <c r="J42" s="403">
        <f ca="1"/>
        <v>4.81207923593731E-4</v>
      </c>
      <c r="K42" s="403">
        <f ca="1"/>
        <v>-3.1205902932465598E-2</v>
      </c>
      <c r="L42" s="403">
        <f ca="1"/>
        <v>-3.1205902932465598E-2</v>
      </c>
      <c r="M42" s="403">
        <f ca="1"/>
        <v>1.8361423769115399E-5</v>
      </c>
      <c r="N42" s="441" t="str">
        <f ca="1"/>
        <v>SIEMENS AKTIENGESELLSCHAFT</v>
      </c>
      <c r="O42" s="403"/>
      <c r="P42" s="403"/>
      <c r="Q42" s="403"/>
      <c r="R42" s="441"/>
      <c r="S42" s="433"/>
      <c r="T42" s="412" cm="1">
        <f t="array" aca="1" ref="T42:X42" ca="1">IF(AND($U$12,B66&lt;=$C$17,C66&lt;&gt;""),TRANSPOSE(INDEX(getcds(C66,$C$6,G66/10000,F66,D66,$C$13,$C$14,$C$15,$C$8,,,TRUE,TRUE,FALSE,$C$29:$C$31,$C$33),{1;2;3;4;5})),"")</f>
        <v>-3.03401473263358E-2</v>
      </c>
      <c r="U42" s="413">
        <f ca="1"/>
        <v>1.6956950451125701E-2</v>
      </c>
      <c r="V42" s="413">
        <f ca="1"/>
        <v>4.7297097777461501E-2</v>
      </c>
      <c r="W42" s="414">
        <f ca="1"/>
        <v>3.5851989335392602E-3</v>
      </c>
      <c r="X42" s="415">
        <f ca="1"/>
        <v>4.7297097777461499</v>
      </c>
      <c r="Y42" s="416">
        <f t="shared" ca="1" si="5"/>
        <v>1.0874000958586724E-2</v>
      </c>
      <c r="Z42" s="417">
        <f t="shared" ca="1" si="2"/>
        <v>-1.8438989546024854E-4</v>
      </c>
      <c r="AA42" s="416">
        <f t="shared" ca="1" si="0"/>
        <v>-5.2009838220775997E-3</v>
      </c>
      <c r="AB42" s="418">
        <f t="shared" ca="1" si="1"/>
        <v>3.405938986862297E-3</v>
      </c>
      <c r="AC42" s="417">
        <f t="shared" ca="1" si="3"/>
        <v>4.409641248403816E-6</v>
      </c>
      <c r="AD42" s="220"/>
      <c r="AE42" s="220">
        <f t="shared" ca="1" si="4"/>
        <v>5.4984378813148728E-3</v>
      </c>
    </row>
    <row r="43" spans="1:31" customFormat="1" ht="15">
      <c r="A43" s="220"/>
      <c r="B43" s="267">
        <v>5</v>
      </c>
      <c r="C43" s="68" t="s">
        <v>512</v>
      </c>
      <c r="D43" s="246">
        <f t="shared" ca="1" si="6"/>
        <v>1.0526315789473684</v>
      </c>
      <c r="E43" s="238"/>
      <c r="F43" s="225">
        <v>0.4</v>
      </c>
      <c r="G43" s="425">
        <v>100</v>
      </c>
      <c r="H43" s="377">
        <v>29</v>
      </c>
      <c r="I43" s="403">
        <f ca="1"/>
        <v>-1.6088159204130699E-6</v>
      </c>
      <c r="J43" s="403">
        <f ca="1"/>
        <v>4.7568987053176202E-4</v>
      </c>
      <c r="K43" s="403">
        <f ca="1"/>
        <v>-3.38206890681657E-3</v>
      </c>
      <c r="L43" s="403">
        <f ca="1"/>
        <v>-3.38206890681657E-3</v>
      </c>
      <c r="M43" s="403">
        <f ca="1"/>
        <v>-1.2146626246837E-4</v>
      </c>
      <c r="N43" s="441" t="str">
        <f ca="1"/>
        <v>SMURFIT KAPPA ACQUISITIONS UNLIMITED COMPANY</v>
      </c>
      <c r="O43" s="403"/>
      <c r="P43" s="403"/>
      <c r="Q43" s="403"/>
      <c r="R43" s="441"/>
      <c r="S43" s="433"/>
      <c r="T43" s="412" cm="1">
        <f t="array" aca="1" ref="T43:X43" ca="1">IF(AND($U$12,B67&lt;=$C$17,C67&lt;&gt;""),TRANSPOSE(INDEX(getcds(C67,$C$6,G67/10000,F67,D67,$C$13,$C$14,$C$15,$C$8,,,TRUE,TRUE,FALSE,$C$29:$C$31,$C$33),{1;2;3;4;5})),"")</f>
        <v>-2.36038514488064E-2</v>
      </c>
      <c r="U43" s="413">
        <f ca="1"/>
        <v>2.3533415235809901E-2</v>
      </c>
      <c r="V43" s="413">
        <f ca="1"/>
        <v>4.7137266684616298E-2</v>
      </c>
      <c r="W43" s="414">
        <f ca="1"/>
        <v>4.9925286065622097E-3</v>
      </c>
      <c r="X43" s="415">
        <f ca="1"/>
        <v>4.7137266684616304</v>
      </c>
      <c r="Y43" s="416">
        <f t="shared" ca="1" si="5"/>
        <v>1.0874000958586724E-2</v>
      </c>
      <c r="Z43" s="417">
        <f t="shared" ca="1" si="2"/>
        <v>-2.5590237983301597E-4</v>
      </c>
      <c r="AA43" s="416">
        <f t="shared" ca="1" si="0"/>
        <v>-5.6367815113609503E-4</v>
      </c>
      <c r="AB43" s="418">
        <f t="shared" ca="1" si="1"/>
        <v>4.7429021762340987E-3</v>
      </c>
      <c r="AC43" s="417">
        <f t="shared" ca="1" si="3"/>
        <v>6.6326359950196735E-7</v>
      </c>
      <c r="AD43" s="220"/>
      <c r="AE43" s="220">
        <f t="shared" ca="1" si="4"/>
        <v>6.8927180689868474E-3</v>
      </c>
    </row>
    <row r="44" spans="1:31" customFormat="1" ht="15">
      <c r="A44" s="220"/>
      <c r="B44" s="267">
        <v>6</v>
      </c>
      <c r="C44" s="68" t="s">
        <v>513</v>
      </c>
      <c r="D44" s="246">
        <f t="shared" ca="1" si="6"/>
        <v>1.0526315789473684</v>
      </c>
      <c r="E44" s="238"/>
      <c r="F44" s="225">
        <v>0.4</v>
      </c>
      <c r="G44" s="425">
        <v>100</v>
      </c>
      <c r="H44" s="377">
        <v>30</v>
      </c>
      <c r="I44" s="403">
        <f ca="1"/>
        <v>7.7946464849287794E-5</v>
      </c>
      <c r="J44" s="403">
        <f ca="1"/>
        <v>4.52289450836097E-4</v>
      </c>
      <c r="K44" s="403">
        <f ca="1"/>
        <v>0.17233756990174501</v>
      </c>
      <c r="L44" s="403">
        <f ca="1"/>
        <v>0.17233756990174501</v>
      </c>
      <c r="M44" s="403">
        <f ca="1"/>
        <v>-7.7866303009963304E-4</v>
      </c>
      <c r="N44" s="441" t="str">
        <f ca="1"/>
        <v>SOLVAY</v>
      </c>
      <c r="O44" s="403"/>
      <c r="P44" s="403"/>
      <c r="Q44" s="403"/>
      <c r="R44" s="441"/>
      <c r="S44" s="433"/>
      <c r="T44" s="412" cm="1">
        <f t="array" aca="1" ref="T44:X44" ca="1">IF(AND($U$12,B68&lt;=$C$17,C68&lt;&gt;""),TRANSPOSE(INDEX(getcds(C68,$C$6,G68/10000,F68,D68,$C$13,$C$14,$C$15,$C$8,,,TRUE,TRUE,FALSE,$C$29:$C$31,$C$33),{1;2;3;4;5})),"")</f>
        <v>-7.0933214754603001E-3</v>
      </c>
      <c r="U44" s="413">
        <f ca="1"/>
        <v>3.9566329541998298E-2</v>
      </c>
      <c r="V44" s="413">
        <f ca="1"/>
        <v>4.66596510174586E-2</v>
      </c>
      <c r="W44" s="414">
        <f ca="1"/>
        <v>8.4797739972795293E-3</v>
      </c>
      <c r="X44" s="415">
        <f ca="1"/>
        <v>4.6659651017458597</v>
      </c>
      <c r="Y44" s="416">
        <f t="shared" ca="1" si="5"/>
        <v>1.0874000958586724E-2</v>
      </c>
      <c r="Z44" s="417">
        <f t="shared" ca="1" si="2"/>
        <v>-4.3024430536744746E-4</v>
      </c>
      <c r="AA44" s="416">
        <f t="shared" ca="1" si="0"/>
        <v>2.87229283169575E-2</v>
      </c>
      <c r="AB44" s="418">
        <f t="shared" ca="1" si="1"/>
        <v>8.0557852974155516E-3</v>
      </c>
      <c r="AC44" s="417">
        <f t="shared" ca="1" si="3"/>
        <v>-5.6823042359996879E-5</v>
      </c>
      <c r="AD44" s="220"/>
      <c r="AE44" s="220">
        <f t="shared" ca="1" si="4"/>
        <v>1.1930706155046307E-2</v>
      </c>
    </row>
    <row r="45" spans="1:31" customFormat="1" ht="15">
      <c r="A45" s="220"/>
      <c r="B45" s="267">
        <v>7</v>
      </c>
      <c r="C45" s="68" t="s">
        <v>514</v>
      </c>
      <c r="D45" s="246">
        <f t="shared" ca="1" si="6"/>
        <v>1.0526315789473684</v>
      </c>
      <c r="E45" s="238"/>
      <c r="F45" s="225">
        <v>0.4</v>
      </c>
      <c r="G45" s="425">
        <v>100</v>
      </c>
      <c r="H45" s="377">
        <v>31</v>
      </c>
      <c r="I45" s="403">
        <f ca="1"/>
        <v>1.2431091122427001E-4</v>
      </c>
      <c r="J45" s="403">
        <f ca="1"/>
        <v>4.5989336864181798E-4</v>
      </c>
      <c r="K45" s="403">
        <f ca="1"/>
        <v>0.27030376974426001</v>
      </c>
      <c r="L45" s="403">
        <f ca="1"/>
        <v>0.27030376974426001</v>
      </c>
      <c r="M45" s="403">
        <f ca="1"/>
        <v>-8.3267465895731302E-4</v>
      </c>
      <c r="N45" s="441" t="str">
        <f ca="1"/>
        <v>STELLANTIS N.V.</v>
      </c>
      <c r="O45" s="403"/>
      <c r="P45" s="403"/>
      <c r="Q45" s="403"/>
      <c r="R45" s="441"/>
      <c r="S45" s="433"/>
      <c r="T45" s="412" cm="1">
        <f t="array" aca="1" ref="T45:X45" ca="1">IF(AND($U$12,B69&lt;=$C$17,C69&lt;&gt;""),TRANSPOSE(INDEX(getcds(C69,$C$6,G69/10000,F69,D69,$C$13,$C$14,$C$15,$C$8,,,TRUE,TRUE,FALSE,$C$29:$C$31,$C$33),{1;2;3;4;5})),"")</f>
        <v>2.7284212385866001E-3</v>
      </c>
      <c r="U45" s="413">
        <f ca="1"/>
        <v>4.9173141981224203E-2</v>
      </c>
      <c r="V45" s="413">
        <f ca="1"/>
        <v>4.6444720742637599E-2</v>
      </c>
      <c r="W45" s="414">
        <f ca="1"/>
        <v>1.0587455623579999E-2</v>
      </c>
      <c r="X45" s="415">
        <f ca="1"/>
        <v>4.64447207426376</v>
      </c>
      <c r="Y45" s="416">
        <f t="shared" ca="1" si="5"/>
        <v>1.0874000958586724E-2</v>
      </c>
      <c r="Z45" s="417">
        <f t="shared" ca="1" si="2"/>
        <v>-5.3470879304055201E-4</v>
      </c>
      <c r="AA45" s="416">
        <f t="shared" ca="1" si="0"/>
        <v>4.505062829071E-2</v>
      </c>
      <c r="AB45" s="418">
        <f t="shared" ca="1" si="1"/>
        <v>1.0058082842400999E-2</v>
      </c>
      <c r="AC45" s="417">
        <f t="shared" ca="1" si="3"/>
        <v>-1.1076404706412175E-4</v>
      </c>
      <c r="AD45" s="220"/>
      <c r="AE45" s="220">
        <f t="shared" ca="1" si="4"/>
        <v>1.3598828991641493E-2</v>
      </c>
    </row>
    <row r="46" spans="1:31" customFormat="1" ht="15">
      <c r="A46" s="220"/>
      <c r="B46" s="267">
        <v>8</v>
      </c>
      <c r="C46" s="68" t="s">
        <v>515</v>
      </c>
      <c r="D46" s="246">
        <f t="shared" ca="1" si="6"/>
        <v>1.0526315789473684</v>
      </c>
      <c r="E46" s="238"/>
      <c r="F46" s="225">
        <v>0.4</v>
      </c>
      <c r="G46" s="425">
        <v>100</v>
      </c>
      <c r="H46" s="377">
        <v>32</v>
      </c>
      <c r="I46" s="403">
        <f ca="1"/>
        <v>7.64750608538267E-5</v>
      </c>
      <c r="J46" s="403">
        <f ca="1"/>
        <v>4.5250318586108698E-4</v>
      </c>
      <c r="K46" s="403">
        <f ca="1"/>
        <v>0.169004469456495</v>
      </c>
      <c r="L46" s="403">
        <f ca="1"/>
        <v>0.169004469456495</v>
      </c>
      <c r="M46" s="403">
        <f ca="1"/>
        <v>-7.7192261354515498E-4</v>
      </c>
      <c r="N46" s="441" t="str">
        <f ca="1"/>
        <v>STORA ENSO OYJ</v>
      </c>
      <c r="O46" s="403"/>
      <c r="P46" s="403"/>
      <c r="Q46" s="403"/>
      <c r="R46" s="441"/>
      <c r="S46" s="433"/>
      <c r="T46" s="412" cm="1">
        <f t="array" aca="1" ref="T46:X46" ca="1">IF(AND($U$12,B70&lt;=$C$17,C70&lt;&gt;""),TRANSPOSE(INDEX(getcds(C70,$C$6,G70/10000,F70,D70,$C$13,$C$14,$C$15,$C$8,,,TRUE,TRUE,FALSE,$C$29:$C$31,$C$33),{1;2;3;4;5})),"")</f>
        <v>-7.3938811786321999E-3</v>
      </c>
      <c r="U46" s="413">
        <f ca="1"/>
        <v>3.9292862020826297E-2</v>
      </c>
      <c r="V46" s="413">
        <f ca="1"/>
        <v>4.6686743199458501E-2</v>
      </c>
      <c r="W46" s="414">
        <f ca="1"/>
        <v>8.4162782254817992E-3</v>
      </c>
      <c r="X46" s="415">
        <f ca="1"/>
        <v>4.6686743199458496</v>
      </c>
      <c r="Y46" s="416">
        <f t="shared" ca="1" si="5"/>
        <v>1.0874000958586724E-2</v>
      </c>
      <c r="Z46" s="417">
        <f t="shared" ca="1" si="2"/>
        <v>-4.2727061928008104E-4</v>
      </c>
      <c r="AA46" s="416">
        <f t="shared" ca="1" si="0"/>
        <v>2.8167411576082501E-2</v>
      </c>
      <c r="AB46" s="418">
        <f t="shared" ca="1" si="1"/>
        <v>7.9954643142077092E-3</v>
      </c>
      <c r="AC46" s="417">
        <f t="shared" ca="1" si="3"/>
        <v>-5.5338910827141754E-5</v>
      </c>
      <c r="AD46" s="220"/>
      <c r="AE46" s="220">
        <f t="shared" ca="1" si="4"/>
        <v>1.1488335708370656E-2</v>
      </c>
    </row>
    <row r="47" spans="1:31" customFormat="1" ht="15">
      <c r="A47" s="220"/>
      <c r="B47" s="267">
        <v>9</v>
      </c>
      <c r="C47" s="68" t="s">
        <v>530</v>
      </c>
      <c r="D47" s="246">
        <f t="shared" ca="1" si="6"/>
        <v>1.0526315789473684</v>
      </c>
      <c r="E47" s="238"/>
      <c r="F47" s="225">
        <v>0.4</v>
      </c>
      <c r="G47" s="425">
        <v>100</v>
      </c>
      <c r="H47" s="377">
        <v>33</v>
      </c>
      <c r="I47" s="403">
        <f ca="1"/>
        <v>1.46245382714871E-4</v>
      </c>
      <c r="J47" s="403">
        <f ca="1"/>
        <v>4.5443313967859699E-4</v>
      </c>
      <c r="K47" s="403">
        <f ca="1"/>
        <v>0.32181936118986498</v>
      </c>
      <c r="L47" s="403">
        <f ca="1"/>
        <v>0.32181936118986498</v>
      </c>
      <c r="M47" s="403">
        <f ca="1"/>
        <v>-5.97912649784697E-4</v>
      </c>
      <c r="N47" s="441" t="str">
        <f ca="1"/>
        <v>UNIBAIL-RODAMCO-WESTFIELD SE</v>
      </c>
      <c r="O47" s="403"/>
      <c r="P47" s="403"/>
      <c r="Q47" s="403"/>
      <c r="R47" s="441"/>
      <c r="S47" s="433"/>
      <c r="T47" s="412" cm="1">
        <f t="array" aca="1" ref="T47:X47" ca="1">IF(AND($U$12,B71&lt;=$C$17,C71&lt;&gt;""),TRANSPOSE(INDEX(getcds(C71,$C$6,G71/10000,F71,D71,$C$13,$C$14,$C$15,$C$8,,,TRUE,TRUE,FALSE,$C$29:$C$31,$C$33),{1;2;3;4;5})),"")</f>
        <v>1.0956926185789801E-2</v>
      </c>
      <c r="U47" s="413">
        <f ca="1"/>
        <v>5.7191882956304597E-2</v>
      </c>
      <c r="V47" s="413">
        <f ca="1"/>
        <v>4.6234956770514798E-2</v>
      </c>
      <c r="W47" s="414">
        <f ca="1"/>
        <v>1.2369835931754799E-2</v>
      </c>
      <c r="X47" s="415">
        <f ca="1"/>
        <v>4.6234956770514799</v>
      </c>
      <c r="Y47" s="416">
        <f t="shared" ca="1" si="5"/>
        <v>1.0874000958586724E-2</v>
      </c>
      <c r="Z47" s="417">
        <f t="shared" ca="1" si="2"/>
        <v>-6.2190459009023357E-4</v>
      </c>
      <c r="AA47" s="416">
        <f t="shared" ca="1" si="0"/>
        <v>5.3636560198310833E-2</v>
      </c>
      <c r="AB47" s="418">
        <f t="shared" ca="1" si="1"/>
        <v>1.1751344135167058E-2</v>
      </c>
      <c r="AC47" s="417">
        <f t="shared" ca="1" si="3"/>
        <v>-1.5337879365202856E-4</v>
      </c>
      <c r="AD47" s="220"/>
      <c r="AE47" s="220">
        <f t="shared" ca="1" si="4"/>
        <v>1.5556486156789014E-2</v>
      </c>
    </row>
    <row r="48" spans="1:31" customFormat="1" ht="15">
      <c r="A48" s="220"/>
      <c r="B48" s="267">
        <v>10</v>
      </c>
      <c r="C48" s="68" t="s">
        <v>531</v>
      </c>
      <c r="D48" s="246">
        <f t="shared" ca="1" si="6"/>
        <v>1.0526315789473684</v>
      </c>
      <c r="E48" s="238"/>
      <c r="F48" s="225">
        <v>0.4</v>
      </c>
      <c r="G48" s="425">
        <v>100</v>
      </c>
      <c r="H48" s="377">
        <v>34</v>
      </c>
      <c r="I48" s="403">
        <f ca="1"/>
        <v>-1.5706501849255201E-5</v>
      </c>
      <c r="J48" s="403">
        <f ca="1"/>
        <v>4.8276723185659999E-4</v>
      </c>
      <c r="K48" s="403">
        <f ca="1"/>
        <v>-3.25343163595673E-2</v>
      </c>
      <c r="L48" s="403">
        <f ca="1"/>
        <v>-3.25343163595673E-2</v>
      </c>
      <c r="M48" s="403">
        <f ca="1"/>
        <v>3.0488810133257899E-5</v>
      </c>
      <c r="N48" s="441" t="str">
        <f ca="1"/>
        <v>VINCI</v>
      </c>
      <c r="O48" s="403"/>
      <c r="P48" s="403"/>
      <c r="Q48" s="403"/>
      <c r="R48" s="441"/>
      <c r="S48" s="433"/>
      <c r="T48" s="412" cm="1">
        <f t="array" aca="1" ref="T48:X48" ca="1">IF(AND($U$12,B72&lt;=$C$17,C72&lt;&gt;""),TRANSPOSE(INDEX(getcds(C72,$C$6,G72/10000,F72,D72,$C$13,$C$14,$C$15,$C$8,,,TRUE,TRUE,FALSE,$C$29:$C$31,$C$33),{1;2;3;4;5})),"")</f>
        <v>-3.21364096264301E-2</v>
      </c>
      <c r="U48" s="413">
        <f ca="1"/>
        <v>1.52359277301354E-2</v>
      </c>
      <c r="V48" s="413">
        <f ca="1"/>
        <v>4.73723373565655E-2</v>
      </c>
      <c r="W48" s="414">
        <f ca="1"/>
        <v>3.2162077238149598E-3</v>
      </c>
      <c r="X48" s="415">
        <f ca="1"/>
        <v>4.7372337356565497</v>
      </c>
      <c r="Y48" s="416">
        <f t="shared" ca="1" si="5"/>
        <v>1.0874000958586724E-2</v>
      </c>
      <c r="Z48" s="417">
        <f t="shared" ca="1" si="2"/>
        <v>-1.6567549274245028E-4</v>
      </c>
      <c r="AA48" s="416">
        <f t="shared" ca="1" si="0"/>
        <v>-5.4223860599278834E-3</v>
      </c>
      <c r="AB48" s="418">
        <f t="shared" ca="1" si="1"/>
        <v>3.0553973376242116E-3</v>
      </c>
      <c r="AC48" s="417">
        <f t="shared" ca="1" si="3"/>
        <v>4.1307541066977456E-6</v>
      </c>
      <c r="AD48" s="220"/>
      <c r="AE48" s="220">
        <f t="shared" ca="1" si="4"/>
        <v>4.5069228051163417E-3</v>
      </c>
    </row>
    <row r="49" spans="1:31" customFormat="1" ht="15">
      <c r="A49" s="220"/>
      <c r="B49" s="267">
        <v>11</v>
      </c>
      <c r="C49" s="68" t="s">
        <v>532</v>
      </c>
      <c r="D49" s="246">
        <f t="shared" ca="1" si="6"/>
        <v>1.0526315789473684</v>
      </c>
      <c r="E49" s="238"/>
      <c r="F49" s="225">
        <v>0.4</v>
      </c>
      <c r="G49" s="425">
        <v>100</v>
      </c>
      <c r="H49" s="377">
        <v>35</v>
      </c>
      <c r="I49" s="403">
        <f ca="1"/>
        <v>9.0775766752435602E-5</v>
      </c>
      <c r="J49" s="403">
        <f ca="1"/>
        <v>4.50198321060779E-4</v>
      </c>
      <c r="K49" s="403">
        <f ca="1"/>
        <v>0.201635062828634</v>
      </c>
      <c r="L49" s="403">
        <f ca="1"/>
        <v>0.201635062828634</v>
      </c>
      <c r="M49" s="403">
        <f ca="1"/>
        <v>-8.35171060746176E-4</v>
      </c>
      <c r="N49" s="441" t="str">
        <f ca="1"/>
        <v>VOLKSWAGEN AKTIENGESELLSCHAFT</v>
      </c>
      <c r="O49" s="403"/>
      <c r="P49" s="403"/>
      <c r="Q49" s="403"/>
      <c r="R49" s="441"/>
      <c r="S49" s="433"/>
      <c r="T49" s="412" cm="1">
        <f t="array" aca="1" ref="T49:X49" ca="1">IF(AND($U$12,B73&lt;=$C$17,C73&lt;&gt;""),TRANSPOSE(INDEX(getcds(C73,$C$6,G73/10000,F73,D73,$C$13,$C$14,$C$15,$C$8,,,TRUE,TRUE,FALSE,$C$29:$C$31,$C$33),{1;2;3;4;5})),"")</f>
        <v>-4.4908830488578997E-3</v>
      </c>
      <c r="U49" s="413">
        <f ca="1"/>
        <v>4.2178175898001997E-2</v>
      </c>
      <c r="V49" s="413">
        <f ca="1"/>
        <v>4.6669058946859902E-2</v>
      </c>
      <c r="W49" s="414">
        <f ca="1"/>
        <v>9.0377172477440603E-3</v>
      </c>
      <c r="X49" s="415">
        <f ca="1"/>
        <v>4.66690589468599</v>
      </c>
      <c r="Y49" s="416">
        <f t="shared" ca="1" si="5"/>
        <v>1.0874000958586724E-2</v>
      </c>
      <c r="Z49" s="417">
        <f t="shared" ca="1" si="2"/>
        <v>-4.5864552514631314E-4</v>
      </c>
      <c r="AA49" s="416">
        <f t="shared" ca="1" si="0"/>
        <v>3.3605843804772335E-2</v>
      </c>
      <c r="AB49" s="418">
        <f t="shared" ca="1" si="1"/>
        <v>8.5858313853568562E-3</v>
      </c>
      <c r="AC49" s="417">
        <f t="shared" ca="1" si="3"/>
        <v>-7.0871659559923583E-5</v>
      </c>
      <c r="AD49" s="220"/>
      <c r="AE49" s="220">
        <f t="shared" ca="1" si="4"/>
        <v>1.1107602406648749E-2</v>
      </c>
    </row>
    <row r="50" spans="1:31" customFormat="1" ht="15">
      <c r="A50" s="220"/>
      <c r="B50" s="267">
        <v>12</v>
      </c>
      <c r="C50" s="68" t="s">
        <v>516</v>
      </c>
      <c r="D50" s="246">
        <f t="shared" ca="1" si="6"/>
        <v>1.0526315789473684</v>
      </c>
      <c r="E50" s="238"/>
      <c r="F50" s="225">
        <v>0.4</v>
      </c>
      <c r="G50" s="425">
        <v>100</v>
      </c>
      <c r="H50" s="377">
        <v>36</v>
      </c>
      <c r="I50" s="403">
        <f ca="1"/>
        <v>4.2418854893011599E-5</v>
      </c>
      <c r="J50" s="403">
        <f ca="1"/>
        <v>4.5752687571710699E-4</v>
      </c>
      <c r="K50" s="403">
        <f ca="1"/>
        <v>9.2713362087257098E-2</v>
      </c>
      <c r="L50" s="403">
        <f ca="1"/>
        <v>9.2713362087257098E-2</v>
      </c>
      <c r="M50" s="403">
        <f ca="1"/>
        <v>-5.3299628044457305E-4</v>
      </c>
      <c r="N50" s="441" t="str">
        <f ca="1"/>
        <v>WENDEL</v>
      </c>
      <c r="O50" s="403"/>
      <c r="P50" s="403"/>
      <c r="Q50" s="403"/>
      <c r="R50" s="441"/>
      <c r="S50" s="433"/>
      <c r="T50" s="412" cm="1">
        <f t="array" aca="1" ref="T50:X50" ca="1">IF(AND($U$12,B74&lt;=$C$17,C74&lt;&gt;""),TRANSPOSE(INDEX(getcds(C74,$C$6,G74/10000,F74,D74,$C$13,$C$14,$C$15,$C$8,,,TRUE,TRUE,FALSE,$C$29:$C$31,$C$33),{1;2;3;4;5})),"")</f>
        <v>-1.38764491642692E-2</v>
      </c>
      <c r="U50" s="413">
        <f ca="1"/>
        <v>3.2974703150923303E-2</v>
      </c>
      <c r="V50" s="413">
        <f ca="1"/>
        <v>4.6851152315192497E-2</v>
      </c>
      <c r="W50" s="414">
        <f ca="1"/>
        <v>7.0381840192712802E-3</v>
      </c>
      <c r="X50" s="415">
        <f ca="1"/>
        <v>4.6851152315192497</v>
      </c>
      <c r="Y50" s="416">
        <f t="shared" ca="1" si="5"/>
        <v>1.0874000958586724E-2</v>
      </c>
      <c r="Z50" s="417">
        <f t="shared" ca="1" si="2"/>
        <v>-3.5856695367225206E-4</v>
      </c>
      <c r="AA50" s="416">
        <f t="shared" ca="1" si="0"/>
        <v>1.545222701454285E-2</v>
      </c>
      <c r="AB50" s="418">
        <f t="shared" ca="1" si="1"/>
        <v>6.6862748183077157E-3</v>
      </c>
      <c r="AC50" s="417">
        <f t="shared" ca="1" si="3"/>
        <v>-2.5476629941261401E-5</v>
      </c>
      <c r="AD50" s="220"/>
      <c r="AE50" s="220">
        <f t="shared" ca="1" si="4"/>
        <v>9.9525264281402764E-3</v>
      </c>
    </row>
    <row r="51" spans="1:31" customFormat="1" ht="15">
      <c r="A51" s="220"/>
      <c r="B51" s="267">
        <v>13</v>
      </c>
      <c r="C51" s="68" t="s">
        <v>612</v>
      </c>
      <c r="D51" s="246">
        <f t="shared" ca="1" si="6"/>
        <v>1.0526315789473684</v>
      </c>
      <c r="E51" s="238"/>
      <c r="F51" s="225">
        <v>0.4</v>
      </c>
      <c r="G51" s="425">
        <v>100</v>
      </c>
      <c r="H51" s="377">
        <v>37</v>
      </c>
      <c r="I51" s="403">
        <f ca="1"/>
        <v>1.4833562057220201E-4</v>
      </c>
      <c r="J51" s="403">
        <f ca="1"/>
        <v>4.3861288413903798E-4</v>
      </c>
      <c r="K51" s="403">
        <f ca="1"/>
        <v>0.33819257467407299</v>
      </c>
      <c r="L51" s="403">
        <f ca="1"/>
        <v>0.33819257467407299</v>
      </c>
      <c r="M51" s="403">
        <f ca="1"/>
        <v>3.9051825328317901E-4</v>
      </c>
      <c r="N51" s="441" t="str">
        <f ca="1"/>
        <v>AKTIEBOLAGET ELECTROLUX</v>
      </c>
      <c r="O51" s="403"/>
      <c r="P51" s="403"/>
      <c r="Q51" s="403"/>
      <c r="R51" s="441"/>
      <c r="S51" s="433"/>
      <c r="T51" s="412" cm="1">
        <f t="array" aca="1" ref="T51:X51" ca="1">IF(AND($U$12,B75&lt;=$C$17,C75&lt;&gt;""),TRANSPOSE(INDEX(getcds(C75,$C$6,G75/10000,F75,D75,$C$13,$C$14,$C$15,$C$8,,,TRUE,TRUE,FALSE,$C$29:$C$31,$C$33),{1;2;3;4;5})),"")</f>
        <v>3.2678307400690498E-2</v>
      </c>
      <c r="U51" s="413">
        <f ca="1"/>
        <v>7.8200675052916099E-2</v>
      </c>
      <c r="V51" s="413">
        <f ca="1"/>
        <v>4.5522367652225601E-2</v>
      </c>
      <c r="W51" s="414">
        <f ca="1"/>
        <v>1.7178516647099899E-2</v>
      </c>
      <c r="X51" s="415">
        <f ca="1"/>
        <v>4.5522367652225597</v>
      </c>
      <c r="Y51" s="416">
        <f t="shared" ca="1" si="5"/>
        <v>1.0874000958586724E-2</v>
      </c>
      <c r="Z51" s="417">
        <f t="shared" ca="1" si="2"/>
        <v>-8.5035421548753688E-4</v>
      </c>
      <c r="AA51" s="416">
        <f t="shared" ca="1" si="0"/>
        <v>5.6365429112345496E-2</v>
      </c>
      <c r="AB51" s="418">
        <f t="shared" ca="1" si="1"/>
        <v>1.6319590814744902E-2</v>
      </c>
      <c r="AC51" s="417">
        <f t="shared" ca="1" si="3"/>
        <v>-2.2039073031163554E-4</v>
      </c>
      <c r="AD51" s="220"/>
      <c r="AE51" s="220">
        <f t="shared" ca="1" si="4"/>
        <v>2.3743884336878008E-2</v>
      </c>
    </row>
    <row r="52" spans="1:31" customFormat="1" ht="15">
      <c r="A52" s="220"/>
      <c r="B52" s="267">
        <v>14</v>
      </c>
      <c r="C52" s="68" t="s">
        <v>517</v>
      </c>
      <c r="D52" s="246">
        <f t="shared" ca="1" si="6"/>
        <v>1.0526315789473684</v>
      </c>
      <c r="E52" s="238"/>
      <c r="F52" s="225">
        <v>0.4</v>
      </c>
      <c r="G52" s="425">
        <v>100</v>
      </c>
      <c r="H52" s="377">
        <v>38</v>
      </c>
      <c r="I52" s="403">
        <f ca="1"/>
        <v>-1.22125778693726E-5</v>
      </c>
      <c r="J52" s="403">
        <f ca="1"/>
        <v>4.7921294548093098E-4</v>
      </c>
      <c r="K52" s="403">
        <f ca="1"/>
        <v>-2.5484657675756701E-2</v>
      </c>
      <c r="L52" s="403">
        <f ca="1"/>
        <v>-2.5484657675756701E-2</v>
      </c>
      <c r="M52" s="403">
        <f ca="1"/>
        <v>-1.45926346019243E-5</v>
      </c>
      <c r="N52" s="441" t="str">
        <f ca="1"/>
        <v>ANHEUSER-BUSCH INBEV</v>
      </c>
      <c r="O52" s="403"/>
      <c r="P52" s="403"/>
      <c r="Q52" s="403"/>
      <c r="R52" s="441"/>
      <c r="S52" s="433"/>
      <c r="T52" s="412" cm="1">
        <f t="array" aca="1" ref="T52:X52" ca="1">IF(AND($U$12,B76&lt;=$C$17,C76&lt;&gt;""),TRANSPOSE(INDEX(getcds(C76,$C$6,G76/10000,F76,D76,$C$13,$C$14,$C$15,$C$8,,,TRUE,TRUE,FALSE,$C$29:$C$31,$C$33),{1;2;3;4;5})),"")</f>
        <v>-2.7787157852592701E-2</v>
      </c>
      <c r="U52" s="413">
        <f ca="1"/>
        <v>1.9457107588229099E-2</v>
      </c>
      <c r="V52" s="413">
        <f ca="1"/>
        <v>4.7244265440821803E-2</v>
      </c>
      <c r="W52" s="414">
        <f ca="1"/>
        <v>4.1184062037330302E-3</v>
      </c>
      <c r="X52" s="415">
        <f ca="1"/>
        <v>4.7244265440821804</v>
      </c>
      <c r="Y52" s="416">
        <f t="shared" ca="1" si="5"/>
        <v>1.0874000958586724E-2</v>
      </c>
      <c r="Z52" s="417">
        <f t="shared" ca="1" si="2"/>
        <v>-2.1157660656572771E-4</v>
      </c>
      <c r="AA52" s="416">
        <f t="shared" ca="1" si="0"/>
        <v>-4.2474429459594502E-3</v>
      </c>
      <c r="AB52" s="418">
        <f t="shared" ca="1" si="1"/>
        <v>3.9124858935463786E-3</v>
      </c>
      <c r="AC52" s="417">
        <f t="shared" ca="1" si="3"/>
        <v>4.1321477187198809E-6</v>
      </c>
      <c r="AD52" s="220"/>
      <c r="AE52" s="220">
        <f t="shared" ca="1" si="4"/>
        <v>5.8802642682255039E-3</v>
      </c>
    </row>
    <row r="53" spans="1:31" customFormat="1" ht="15">
      <c r="A53" s="220"/>
      <c r="B53" s="267">
        <v>15</v>
      </c>
      <c r="C53" s="68" t="s">
        <v>518</v>
      </c>
      <c r="D53" s="246">
        <f t="shared" ca="1" si="6"/>
        <v>1.0526315789473684</v>
      </c>
      <c r="E53" s="238"/>
      <c r="F53" s="225">
        <v>0.4</v>
      </c>
      <c r="G53" s="425">
        <v>100</v>
      </c>
      <c r="H53" s="377">
        <v>39</v>
      </c>
      <c r="I53" s="403">
        <f ca="1"/>
        <v>4.0768301679419198E-5</v>
      </c>
      <c r="J53" s="403">
        <f ca="1"/>
        <v>4.5773228164831402E-4</v>
      </c>
      <c r="K53" s="403">
        <f ca="1"/>
        <v>8.90658214723479E-2</v>
      </c>
      <c r="L53" s="403">
        <f ca="1"/>
        <v>8.90658214723479E-2</v>
      </c>
      <c r="M53" s="403">
        <f ca="1"/>
        <v>-5.2136973419079902E-4</v>
      </c>
      <c r="N53" s="441" t="str">
        <f ca="1"/>
        <v>BRITISH AMERICAN TOBACCO P.L.C.</v>
      </c>
      <c r="O53" s="403"/>
      <c r="P53" s="403"/>
      <c r="Q53" s="403"/>
      <c r="R53" s="441"/>
      <c r="S53" s="433"/>
      <c r="T53" s="412" cm="1">
        <f t="array" aca="1" ref="T53:X53" ca="1">IF(AND($U$12,B77&lt;=$C$17,C77&lt;&gt;""),TRANSPOSE(INDEX(getcds(C77,$C$6,G77/10000,F77,D77,$C$13,$C$14,$C$15,$C$8,,,TRUE,TRUE,FALSE,$C$29:$C$31,$C$33),{1;2;3;4;5})),"")</f>
        <v>-1.4190384803213E-2</v>
      </c>
      <c r="U53" s="413">
        <f ca="1"/>
        <v>3.2707211505823099E-2</v>
      </c>
      <c r="V53" s="413">
        <f ca="1"/>
        <v>4.6897596309036102E-2</v>
      </c>
      <c r="W53" s="414">
        <f ca="1"/>
        <v>6.9741765207529697E-3</v>
      </c>
      <c r="X53" s="415">
        <f ca="1"/>
        <v>4.6897596309036098</v>
      </c>
      <c r="Y53" s="416">
        <f t="shared" ca="1" si="5"/>
        <v>1.0874000958586724E-2</v>
      </c>
      <c r="Z53" s="417">
        <f t="shared" ca="1" si="2"/>
        <v>-3.5565824926701877E-4</v>
      </c>
      <c r="AA53" s="416">
        <f t="shared" ca="1" si="0"/>
        <v>1.4844303578724649E-2</v>
      </c>
      <c r="AB53" s="418">
        <f t="shared" ca="1" si="1"/>
        <v>6.6254676947153212E-3</v>
      </c>
      <c r="AC53" s="417">
        <f t="shared" ca="1" si="3"/>
        <v>-2.4275788840299672E-5</v>
      </c>
      <c r="AD53" s="220"/>
      <c r="AE53" s="220">
        <f t="shared" ca="1" si="4"/>
        <v>9.1452418053781289E-3</v>
      </c>
    </row>
    <row r="54" spans="1:31" customFormat="1" ht="15">
      <c r="A54" s="220"/>
      <c r="B54" s="267">
        <v>16</v>
      </c>
      <c r="C54" s="68" t="s">
        <v>533</v>
      </c>
      <c r="D54" s="246">
        <f t="shared" ca="1" si="6"/>
        <v>1.0526315789473684</v>
      </c>
      <c r="E54" s="238"/>
      <c r="F54" s="225">
        <v>0.4</v>
      </c>
      <c r="G54" s="425">
        <v>100</v>
      </c>
      <c r="H54" s="377">
        <v>40</v>
      </c>
      <c r="I54" s="403">
        <f ca="1"/>
        <v>-1.5630337634833301E-5</v>
      </c>
      <c r="J54" s="403">
        <f ca="1"/>
        <v>4.8341543099639797E-4</v>
      </c>
      <c r="K54" s="403">
        <f ca="1"/>
        <v>-3.23331375719981E-2</v>
      </c>
      <c r="L54" s="403">
        <f ca="1"/>
        <v>-3.23331375719981E-2</v>
      </c>
      <c r="M54" s="403">
        <f ca="1"/>
        <v>3.2915957896488901E-5</v>
      </c>
      <c r="N54" s="441" t="str">
        <f ca="1"/>
        <v>CARLSBERG BREWERIES A/S</v>
      </c>
      <c r="O54" s="403"/>
      <c r="P54" s="403"/>
      <c r="Q54" s="403"/>
      <c r="R54" s="441"/>
      <c r="S54" s="433"/>
      <c r="T54" s="412" cm="1">
        <f t="array" aca="1" ref="T54:X54" ca="1">IF(AND($U$12,B78&lt;=$C$17,C78&lt;&gt;""),TRANSPOSE(INDEX(getcds(C78,$C$6,G78/10000,F78,D78,$C$13,$C$14,$C$15,$C$8,,,TRUE,TRUE,FALSE,$C$29:$C$31,$C$33),{1;2;3;4;5})),"")</f>
        <v>-3.2865495723621102E-2</v>
      </c>
      <c r="U54" s="413">
        <f ca="1"/>
        <v>1.45404958847831E-2</v>
      </c>
      <c r="V54" s="413">
        <f ca="1"/>
        <v>4.7405991608404197E-2</v>
      </c>
      <c r="W54" s="414">
        <f ca="1"/>
        <v>3.0672274519420199E-3</v>
      </c>
      <c r="X54" s="415">
        <f ca="1"/>
        <v>4.7405991608404197</v>
      </c>
      <c r="Y54" s="416">
        <f t="shared" ca="1" si="5"/>
        <v>1.0874000958586724E-2</v>
      </c>
      <c r="Z54" s="417">
        <f t="shared" ca="1" si="2"/>
        <v>-1.5811336618945708E-4</v>
      </c>
      <c r="AA54" s="416">
        <f t="shared" ca="1" si="0"/>
        <v>-5.3888562619996833E-3</v>
      </c>
      <c r="AB54" s="418">
        <f t="shared" ca="1" si="1"/>
        <v>2.9138660793449189E-3</v>
      </c>
      <c r="AC54" s="417">
        <f t="shared" ca="1" si="3"/>
        <v>3.9178321150646859E-6</v>
      </c>
      <c r="AD54" s="220"/>
      <c r="AE54" s="220">
        <f t="shared" ca="1" si="4"/>
        <v>4.0453824002200925E-3</v>
      </c>
    </row>
    <row r="55" spans="1:31" customFormat="1" ht="15">
      <c r="A55" s="220"/>
      <c r="B55" s="267">
        <v>17</v>
      </c>
      <c r="C55" s="68" t="s">
        <v>519</v>
      </c>
      <c r="D55" s="246">
        <f t="shared" ca="1" si="6"/>
        <v>1.0526315789473684</v>
      </c>
      <c r="E55" s="238"/>
      <c r="F55" s="225">
        <v>0.4</v>
      </c>
      <c r="G55" s="425">
        <v>100</v>
      </c>
      <c r="H55" s="377">
        <v>41</v>
      </c>
      <c r="I55" s="403">
        <f ca="1"/>
        <v>2.02059250554054E-6</v>
      </c>
      <c r="J55" s="403">
        <f ca="1"/>
        <v>4.74807590986989E-4</v>
      </c>
      <c r="K55" s="403">
        <f ca="1"/>
        <v>4.2556027828879201E-3</v>
      </c>
      <c r="L55" s="403">
        <f ca="1"/>
        <v>4.2556027828879201E-3</v>
      </c>
      <c r="M55" s="403">
        <f ca="1"/>
        <v>-1.5829528649535801E-4</v>
      </c>
      <c r="N55" s="441" t="str">
        <f ca="1"/>
        <v>CARREFOUR</v>
      </c>
      <c r="O55" s="403"/>
      <c r="P55" s="403"/>
      <c r="Q55" s="403"/>
      <c r="R55" s="441"/>
      <c r="S55" s="433"/>
      <c r="T55" s="412" cm="1">
        <f t="array" aca="1" ref="T55:X55" ca="1">IF(AND($U$12,B79&lt;=$C$17,C79&lt;&gt;""),TRANSPOSE(INDEX(getcds(C79,$C$6,G79/10000,F79,D79,$C$13,$C$14,$C$15,$C$8,,,TRUE,TRUE,FALSE,$C$29:$C$31,$C$33),{1;2;3;4;5})),"")</f>
        <v>-2.2548370779222601E-2</v>
      </c>
      <c r="U55" s="413">
        <f ca="1"/>
        <v>2.4584313347845801E-2</v>
      </c>
      <c r="V55" s="413">
        <f ca="1"/>
        <v>4.7132684127068399E-2</v>
      </c>
      <c r="W55" s="414">
        <f ca="1"/>
        <v>5.2159799093060696E-3</v>
      </c>
      <c r="X55" s="415">
        <f ca="1"/>
        <v>4.7132684127068396</v>
      </c>
      <c r="Y55" s="416">
        <f t="shared" ca="1" si="5"/>
        <v>1.0874000958586724E-2</v>
      </c>
      <c r="Z55" s="417">
        <f t="shared" ca="1" si="2"/>
        <v>-2.6732984691067144E-4</v>
      </c>
      <c r="AA55" s="416">
        <f t="shared" ca="1" si="0"/>
        <v>7.0926713048132005E-4</v>
      </c>
      <c r="AB55" s="418">
        <f t="shared" ca="1" si="1"/>
        <v>4.9551809138407661E-3</v>
      </c>
      <c r="AC55" s="417">
        <f t="shared" ca="1" si="3"/>
        <v>-8.7184226915400984E-7</v>
      </c>
      <c r="AD55" s="220"/>
      <c r="AE55" s="220">
        <f t="shared" ca="1" si="4"/>
        <v>6.7217784840054185E-3</v>
      </c>
    </row>
    <row r="56" spans="1:31" customFormat="1" ht="15">
      <c r="A56" s="220"/>
      <c r="B56" s="267">
        <v>18</v>
      </c>
      <c r="C56" s="68" t="s">
        <v>534</v>
      </c>
      <c r="D56" s="246">
        <f t="shared" ca="1" si="6"/>
        <v>1.0526315789473684</v>
      </c>
      <c r="E56" s="238"/>
      <c r="F56" s="225">
        <v>0.4</v>
      </c>
      <c r="G56" s="425">
        <v>100</v>
      </c>
      <c r="H56" s="377">
        <v>42</v>
      </c>
      <c r="I56" s="403">
        <f ca="1"/>
        <v>-1.2324759934574399E-5</v>
      </c>
      <c r="J56" s="403">
        <f ca="1"/>
        <v>4.86243015437222E-4</v>
      </c>
      <c r="K56" s="403">
        <f ca="1"/>
        <v>-2.53469140805903E-2</v>
      </c>
      <c r="L56" s="403">
        <f ca="1"/>
        <v>-2.53469140805903E-2</v>
      </c>
      <c r="M56" s="403">
        <f ca="1"/>
        <v>2.7206917867628199E-5</v>
      </c>
      <c r="N56" s="441" t="str">
        <f ca="1"/>
        <v>COMPASS GROUP PLC</v>
      </c>
      <c r="O56" s="403"/>
      <c r="P56" s="403"/>
      <c r="Q56" s="403"/>
      <c r="R56" s="441"/>
      <c r="S56" s="433"/>
      <c r="T56" s="412" cm="1">
        <f t="array" aca="1" ref="T56:X56" ca="1">IF(AND($U$12,B80&lt;=$C$17,C80&lt;&gt;""),TRANSPOSE(INDEX(getcds(C80,$C$6,G80/10000,F80,D80,$C$13,$C$14,$C$15,$C$8,,,TRUE,TRUE,FALSE,$C$29:$C$31,$C$33),{1;2;3;4;5})),"")</f>
        <v>-3.6529413821010603E-2</v>
      </c>
      <c r="U56" s="413">
        <f ca="1"/>
        <v>1.09758352834498E-2</v>
      </c>
      <c r="V56" s="413">
        <f ca="1"/>
        <v>4.7505249104460398E-2</v>
      </c>
      <c r="W56" s="414">
        <f ca="1"/>
        <v>2.3104468433193101E-3</v>
      </c>
      <c r="X56" s="415">
        <f ca="1"/>
        <v>4.7505249104460399</v>
      </c>
      <c r="Y56" s="416">
        <f t="shared" ca="1" si="5"/>
        <v>1.0874000958586724E-2</v>
      </c>
      <c r="Z56" s="417">
        <f t="shared" ca="1" si="2"/>
        <v>-1.1935124339352313E-4</v>
      </c>
      <c r="AA56" s="416">
        <f t="shared" ca="1" si="0"/>
        <v>-4.224485680098383E-3</v>
      </c>
      <c r="AB56" s="418">
        <f t="shared" ca="1" si="1"/>
        <v>2.1949245011533445E-3</v>
      </c>
      <c r="AC56" s="417">
        <f t="shared" ca="1" si="3"/>
        <v>2.3183629491026137E-6</v>
      </c>
      <c r="AD56" s="220"/>
      <c r="AE56" s="220">
        <f t="shared" ca="1" si="4"/>
        <v>3.0515750550505504E-3</v>
      </c>
    </row>
    <row r="57" spans="1:31" customFormat="1" ht="15">
      <c r="A57" s="220"/>
      <c r="B57" s="267">
        <v>19</v>
      </c>
      <c r="C57" s="68" t="s">
        <v>535</v>
      </c>
      <c r="D57" s="246">
        <f t="shared" ca="1" si="6"/>
        <v>1.0526315789473684</v>
      </c>
      <c r="E57" s="238"/>
      <c r="F57" s="225">
        <v>0.4</v>
      </c>
      <c r="G57" s="425">
        <v>100</v>
      </c>
      <c r="H57" s="377">
        <v>43</v>
      </c>
      <c r="I57" s="403">
        <f ca="1"/>
        <v>-1.49813933236587E-5</v>
      </c>
      <c r="J57" s="403">
        <f ca="1"/>
        <v>4.81036314291292E-4</v>
      </c>
      <c r="K57" s="403">
        <f ca="1"/>
        <v>-3.1143996572755E-2</v>
      </c>
      <c r="L57" s="403">
        <f ca="1"/>
        <v>-3.1143996572755E-2</v>
      </c>
      <c r="M57" s="403">
        <f ca="1"/>
        <v>1.5994037280484499E-5</v>
      </c>
      <c r="N57" s="441" t="str">
        <f ca="1"/>
        <v>DANONE</v>
      </c>
      <c r="O57" s="403"/>
      <c r="P57" s="403"/>
      <c r="Q57" s="403"/>
      <c r="R57" s="441"/>
      <c r="S57" s="433"/>
      <c r="T57" s="412" cm="1">
        <f t="array" aca="1" ref="T57:X57" ca="1">IF(AND($U$12,B81&lt;=$C$17,C81&lt;&gt;""),TRANSPOSE(INDEX(getcds(C81,$C$6,G81/10000,F81,D81,$C$13,$C$14,$C$15,$C$8,,,TRUE,TRUE,FALSE,$C$29:$C$31,$C$33),{1;2;3;4;5})),"")</f>
        <v>-2.9955999966253501E-2</v>
      </c>
      <c r="U57" s="413">
        <f ca="1"/>
        <v>1.7359349312665001E-2</v>
      </c>
      <c r="V57" s="413">
        <f ca="1"/>
        <v>4.7315349278918499E-2</v>
      </c>
      <c r="W57" s="414">
        <f ca="1"/>
        <v>3.6688621297781602E-3</v>
      </c>
      <c r="X57" s="415">
        <f ca="1"/>
        <v>4.7315349278918504</v>
      </c>
      <c r="Y57" s="416">
        <f t="shared" ca="1" si="5"/>
        <v>1.0874000958586724E-2</v>
      </c>
      <c r="Z57" s="417">
        <f t="shared" ca="1" si="2"/>
        <v>-1.8876558106636153E-4</v>
      </c>
      <c r="AA57" s="416">
        <f t="shared" ca="1" si="0"/>
        <v>-5.1906660954591666E-3</v>
      </c>
      <c r="AB57" s="418">
        <f t="shared" ca="1" si="1"/>
        <v>3.4854190232892521E-3</v>
      </c>
      <c r="AC57" s="417">
        <f t="shared" ca="1" si="3"/>
        <v>4.5053292958241452E-6</v>
      </c>
      <c r="AD57" s="220"/>
      <c r="AE57" s="220">
        <f t="shared" ca="1" si="4"/>
        <v>5.0584720067240758E-3</v>
      </c>
    </row>
    <row r="58" spans="1:31" customFormat="1" ht="15">
      <c r="A58" s="220"/>
      <c r="B58" s="267">
        <v>20</v>
      </c>
      <c r="C58" s="68" t="s">
        <v>613</v>
      </c>
      <c r="D58" s="246">
        <f t="shared" ca="1" si="6"/>
        <v>1.0526315789473684</v>
      </c>
      <c r="E58" s="238"/>
      <c r="F58" s="225">
        <v>0.4</v>
      </c>
      <c r="G58" s="425">
        <v>100</v>
      </c>
      <c r="H58" s="377">
        <v>44</v>
      </c>
      <c r="I58" s="403">
        <f ca="1"/>
        <v>7.3259966219072495E-5</v>
      </c>
      <c r="J58" s="403">
        <f ca="1"/>
        <v>4.2370588074411303E-4</v>
      </c>
      <c r="K58" s="403">
        <f ca="1"/>
        <v>0.17290287803042301</v>
      </c>
      <c r="L58" s="403">
        <f ca="1"/>
        <v>0.17290287803042301</v>
      </c>
      <c r="M58" s="403">
        <f ca="1"/>
        <v>1.0147251907232199E-3</v>
      </c>
      <c r="N58" s="441" t="str">
        <f ca="1"/>
        <v>DIAGEO PLC</v>
      </c>
      <c r="O58" s="403"/>
      <c r="P58" s="403"/>
      <c r="Q58" s="403"/>
      <c r="R58" s="441"/>
      <c r="S58" s="433"/>
      <c r="T58" s="412" cm="1">
        <f t="array" aca="1" ref="T58:X58" ca="1">IF(AND($U$12,B82&lt;=$C$17,C82&lt;&gt;""),TRANSPOSE(INDEX(getcds(C82,$C$6,G82/10000,F82,D82,$C$13,$C$14,$C$15,$C$8,,,TRUE,TRUE,FALSE,$C$29:$C$31,$C$33),{1;2;3;4;5})),"")</f>
        <v>7.6323121784275597E-2</v>
      </c>
      <c r="U58" s="413">
        <f ca="1"/>
        <v>0.12227431627794701</v>
      </c>
      <c r="V58" s="413">
        <f ca="1"/>
        <v>4.5951194493671403E-2</v>
      </c>
      <c r="W58" s="414">
        <f ca="1"/>
        <v>2.6609605609879801E-2</v>
      </c>
      <c r="X58" s="415">
        <f ca="1"/>
        <v>4.5951194493671403</v>
      </c>
      <c r="Y58" s="416">
        <f t="shared" ca="1" si="5"/>
        <v>1.0874000958586724E-2</v>
      </c>
      <c r="Z58" s="417">
        <f t="shared" ca="1" si="2"/>
        <v>-1.3296110324169388E-3</v>
      </c>
      <c r="AA58" s="416">
        <f t="shared" ca="1" si="0"/>
        <v>2.8817146338403835E-2</v>
      </c>
      <c r="AB58" s="418">
        <f t="shared" ca="1" si="1"/>
        <v>2.527912532938581E-2</v>
      </c>
      <c r="AC58" s="417">
        <f t="shared" ca="1" si="3"/>
        <v>-1.7617984328049472E-4</v>
      </c>
      <c r="AD58" s="220"/>
      <c r="AE58" s="220">
        <f t="shared" ca="1" si="4"/>
        <v>3.9572105798336759E-3</v>
      </c>
    </row>
    <row r="59" spans="1:31" customFormat="1" ht="15">
      <c r="A59" s="220"/>
      <c r="B59" s="267">
        <v>21</v>
      </c>
      <c r="C59" s="68" t="s">
        <v>520</v>
      </c>
      <c r="D59" s="246">
        <f t="shared" ca="1" si="6"/>
        <v>1.0526315789473684</v>
      </c>
      <c r="E59" s="238"/>
      <c r="F59" s="225">
        <v>0.4</v>
      </c>
      <c r="G59" s="425">
        <v>100</v>
      </c>
      <c r="H59" s="377">
        <v>45</v>
      </c>
      <c r="I59" s="403">
        <f ca="1"/>
        <v>8.68308684397312E-5</v>
      </c>
      <c r="J59" s="403">
        <f ca="1"/>
        <v>4.1017355143296201E-4</v>
      </c>
      <c r="K59" s="403">
        <f ca="1"/>
        <v>0.21169299711398501</v>
      </c>
      <c r="L59" s="403">
        <f ca="1"/>
        <v>0.21169299711398501</v>
      </c>
      <c r="M59" s="403">
        <f ca="1"/>
        <v>1.0808256898102401E-3</v>
      </c>
      <c r="N59" s="441" t="str">
        <f ca="1"/>
        <v>ELO</v>
      </c>
      <c r="O59" s="403"/>
      <c r="P59" s="403"/>
      <c r="Q59" s="403"/>
      <c r="R59" s="441"/>
      <c r="S59" s="433"/>
      <c r="T59" s="412" cm="1">
        <f t="array" aca="1" ref="T59:X59" ca="1">IF(AND($U$12,B83&lt;=$C$17,C83&lt;&gt;""),TRANSPOSE(INDEX(getcds(C83,$C$6,G83/10000,F83,D83,$C$13,$C$14,$C$15,$C$8,,,TRUE,TRUE,FALSE,$C$29:$C$31,$C$33),{1;2;3;4;5})),"")</f>
        <v>7.0865918841528999E-2</v>
      </c>
      <c r="U59" s="413">
        <f ca="1"/>
        <v>0.115040894730445</v>
      </c>
      <c r="V59" s="413">
        <f ca="1"/>
        <v>4.4174975888916002E-2</v>
      </c>
      <c r="W59" s="414">
        <f ca="1"/>
        <v>2.6042095647031301E-2</v>
      </c>
      <c r="X59" s="415">
        <f ca="1"/>
        <v>4.4174975888916004</v>
      </c>
      <c r="Y59" s="416">
        <f t="shared" ca="1" si="5"/>
        <v>1.0874000958586724E-2</v>
      </c>
      <c r="Z59" s="417">
        <f t="shared" ca="1" si="2"/>
        <v>-1.2509547995755359E-3</v>
      </c>
      <c r="AA59" s="416">
        <f t="shared" ca="1" si="0"/>
        <v>3.5282166185664168E-2</v>
      </c>
      <c r="AB59" s="418">
        <f t="shared" ca="1" si="1"/>
        <v>2.4739990864679734E-2</v>
      </c>
      <c r="AC59" s="417">
        <f t="shared" ca="1" si="3"/>
        <v>-2.0294459830135362E-4</v>
      </c>
      <c r="AD59" s="220"/>
      <c r="AE59" s="220">
        <f t="shared" ca="1" si="4"/>
        <v>3.9921411516586777E-2</v>
      </c>
    </row>
    <row r="60" spans="1:31" customFormat="1" ht="15">
      <c r="A60" s="220"/>
      <c r="B60" s="267">
        <v>22</v>
      </c>
      <c r="C60" s="68" t="s">
        <v>614</v>
      </c>
      <c r="D60" s="246">
        <f t="shared" ca="1" si="6"/>
        <v>1.0526315789473684</v>
      </c>
      <c r="E60" s="238"/>
      <c r="F60" s="225">
        <v>0.4</v>
      </c>
      <c r="G60" s="425">
        <v>100</v>
      </c>
      <c r="H60" s="377">
        <v>46</v>
      </c>
      <c r="I60" s="403">
        <f ca="1"/>
        <v>-1.5755236753454099E-5</v>
      </c>
      <c r="J60" s="403">
        <f ca="1"/>
        <v>4.8296052215118801E-4</v>
      </c>
      <c r="K60" s="403">
        <f ca="1"/>
        <v>-3.26222041571382E-2</v>
      </c>
      <c r="L60" s="403">
        <f ca="1"/>
        <v>-3.26222041571382E-2</v>
      </c>
      <c r="M60" s="403">
        <f ca="1"/>
        <v>3.1483396264884102E-5</v>
      </c>
      <c r="N60" s="441" t="str">
        <f ca="1"/>
        <v>HEINEKEN N.V.</v>
      </c>
      <c r="O60" s="403"/>
      <c r="P60" s="403"/>
      <c r="Q60" s="403"/>
      <c r="R60" s="441"/>
      <c r="S60" s="433"/>
      <c r="T60" s="412" cm="1">
        <f t="array" aca="1" ref="T60:X60" ca="1">IF(AND($U$12,B84&lt;=$C$17,C84&lt;&gt;""),TRANSPOSE(INDEX(getcds(C84,$C$6,G84/10000,F84,D84,$C$13,$C$14,$C$15,$C$8,,,TRUE,TRUE,FALSE,$C$29:$C$31,$C$33),{1;2;3;4;5})),"")</f>
        <v>-3.2309167638172702E-2</v>
      </c>
      <c r="U60" s="413">
        <f ca="1"/>
        <v>1.5078699537923099E-2</v>
      </c>
      <c r="V60" s="413">
        <f ca="1"/>
        <v>4.7387867176095798E-2</v>
      </c>
      <c r="W60" s="414">
        <f ca="1"/>
        <v>3.18197471979269E-3</v>
      </c>
      <c r="X60" s="415">
        <f ca="1"/>
        <v>4.7387867176095799</v>
      </c>
      <c r="Y60" s="416">
        <f t="shared" ca="1" si="5"/>
        <v>1.0874000958586724E-2</v>
      </c>
      <c r="Z60" s="417">
        <f t="shared" ca="1" si="2"/>
        <v>-1.6396579322961661E-4</v>
      </c>
      <c r="AA60" s="416">
        <f t="shared" ca="1" si="0"/>
        <v>-5.4370340261897E-3</v>
      </c>
      <c r="AB60" s="418">
        <f t="shared" ca="1" si="1"/>
        <v>3.0228759838030555E-3</v>
      </c>
      <c r="AC60" s="417">
        <f t="shared" ca="1" si="3"/>
        <v>4.099170122918932E-6</v>
      </c>
      <c r="AD60" s="220"/>
      <c r="AE60" s="220">
        <f t="shared" ca="1" si="4"/>
        <v>4.2541611656394997E-3</v>
      </c>
    </row>
    <row r="61" spans="1:31" customFormat="1" ht="15">
      <c r="A61" s="220"/>
      <c r="B61" s="267">
        <v>23</v>
      </c>
      <c r="C61" s="68" t="s">
        <v>536</v>
      </c>
      <c r="D61" s="246">
        <f t="shared" ca="1" si="6"/>
        <v>1.0526315789473684</v>
      </c>
      <c r="E61" s="238"/>
      <c r="F61" s="225">
        <v>0.4</v>
      </c>
      <c r="G61" s="425">
        <v>100</v>
      </c>
      <c r="H61" s="377">
        <v>47</v>
      </c>
      <c r="I61" s="403">
        <f ca="1"/>
        <v>-1.09837028499405E-5</v>
      </c>
      <c r="J61" s="403">
        <f ca="1"/>
        <v>4.86837296362924E-4</v>
      </c>
      <c r="K61" s="403">
        <f ca="1"/>
        <v>-2.25613422225409E-2</v>
      </c>
      <c r="L61" s="403">
        <f ca="1"/>
        <v>-2.25613422225409E-2</v>
      </c>
      <c r="M61" s="403">
        <f ca="1"/>
        <v>2.31047542896889E-5</v>
      </c>
      <c r="N61" s="441" t="str">
        <f ca="1"/>
        <v>HENKEL AG &amp; CO. KGAA</v>
      </c>
      <c r="O61" s="403"/>
      <c r="P61" s="403"/>
      <c r="Q61" s="403"/>
      <c r="R61" s="441"/>
      <c r="S61" s="433"/>
      <c r="T61" s="412" cm="1">
        <f t="array" aca="1" ref="T61:X61" ca="1">IF(AND($U$12,B85&lt;=$C$17,C85&lt;&gt;""),TRANSPOSE(INDEX(getcds(C85,$C$6,G85/10000,F85,D85,$C$13,$C$14,$C$15,$C$8,,,TRUE,TRUE,FALSE,$C$29:$C$31,$C$33),{1;2;3;4;5})),"")</f>
        <v>-3.7472023249411401E-2</v>
      </c>
      <c r="U61" s="413">
        <f ca="1"/>
        <v>1.00418392912912E-2</v>
      </c>
      <c r="V61" s="413">
        <f ca="1"/>
        <v>4.7513862540702598E-2</v>
      </c>
      <c r="W61" s="414">
        <f ca="1"/>
        <v>2.1134546328850602E-3</v>
      </c>
      <c r="X61" s="415">
        <f ca="1"/>
        <v>4.7513862540702601</v>
      </c>
      <c r="Y61" s="416">
        <f t="shared" ca="1" si="5"/>
        <v>1.0874000958586724E-2</v>
      </c>
      <c r="Z61" s="417">
        <f t="shared" ca="1" si="2"/>
        <v>-1.0919497007947415E-4</v>
      </c>
      <c r="AA61" s="416">
        <f t="shared" ca="1" si="0"/>
        <v>-3.7602237037568167E-3</v>
      </c>
      <c r="AB61" s="418">
        <f t="shared" ca="1" si="1"/>
        <v>2.007781901240807E-3</v>
      </c>
      <c r="AC61" s="417">
        <f t="shared" ca="1" si="3"/>
        <v>1.8879781066214867E-6</v>
      </c>
      <c r="AD61" s="220"/>
      <c r="AE61" s="220">
        <f t="shared" ca="1" si="4"/>
        <v>3.1166384524504596E-3</v>
      </c>
    </row>
    <row r="62" spans="1:31" customFormat="1" ht="15">
      <c r="A62" s="220"/>
      <c r="B62" s="267">
        <v>24</v>
      </c>
      <c r="C62" s="68" t="s">
        <v>521</v>
      </c>
      <c r="D62" s="246">
        <f t="shared" ca="1" si="6"/>
        <v>1.0526315789473684</v>
      </c>
      <c r="E62" s="238"/>
      <c r="F62" s="225">
        <v>0.4</v>
      </c>
      <c r="G62" s="425">
        <v>100</v>
      </c>
      <c r="H62" s="377">
        <v>48</v>
      </c>
      <c r="I62" s="403">
        <f ca="1"/>
        <v>6.1529125810129201E-5</v>
      </c>
      <c r="J62" s="403">
        <f ca="1"/>
        <v>4.5472461944961302E-4</v>
      </c>
      <c r="K62" s="403">
        <f ca="1"/>
        <v>0.135310742322689</v>
      </c>
      <c r="L62" s="403">
        <f ca="1"/>
        <v>0.135310742322689</v>
      </c>
      <c r="M62" s="403">
        <f ca="1"/>
        <v>-6.8078899866476296E-4</v>
      </c>
      <c r="N62" s="441" t="str">
        <f ca="1"/>
        <v>IMPERIAL BRANDS PLC</v>
      </c>
      <c r="O62" s="403"/>
      <c r="P62" s="403"/>
      <c r="Q62" s="403"/>
      <c r="R62" s="441"/>
      <c r="S62" s="433"/>
      <c r="T62" s="412" cm="1">
        <f t="array" aca="1" ref="T62:X62" ca="1">IF(AND($U$12,B86&lt;=$C$17,C86&lt;&gt;""),TRANSPOSE(INDEX(getcds(C86,$C$6,G86/10000,F86,D86,$C$13,$C$14,$C$15,$C$8,,,TRUE,TRUE,FALSE,$C$29:$C$31,$C$33),{1;2;3;4;5})),"")</f>
        <v>-1.0276557157962799E-2</v>
      </c>
      <c r="U62" s="413">
        <f ca="1"/>
        <v>3.64960035747003E-2</v>
      </c>
      <c r="V62" s="413">
        <f ca="1"/>
        <v>4.6772560732663102E-2</v>
      </c>
      <c r="W62" s="414">
        <f ca="1"/>
        <v>7.8028662538490801E-3</v>
      </c>
      <c r="X62" s="415">
        <f ca="1"/>
        <v>4.6772560732663004</v>
      </c>
      <c r="Y62" s="416">
        <f t="shared" ca="1" si="5"/>
        <v>1.0874000958586724E-2</v>
      </c>
      <c r="Z62" s="417">
        <f t="shared" ca="1" si="2"/>
        <v>-3.9685757785587526E-4</v>
      </c>
      <c r="AA62" s="416">
        <f t="shared" ca="1" si="0"/>
        <v>2.2551790387114832E-2</v>
      </c>
      <c r="AB62" s="418">
        <f t="shared" ca="1" si="1"/>
        <v>7.4127229411566258E-3</v>
      </c>
      <c r="AC62" s="417">
        <f t="shared" ca="1" si="3"/>
        <v>-4.1152511129201743E-5</v>
      </c>
      <c r="AD62" s="220"/>
      <c r="AE62" s="220">
        <f t="shared" ca="1" si="4"/>
        <v>1.0563625905184244E-2</v>
      </c>
    </row>
    <row r="63" spans="1:31" customFormat="1" ht="15">
      <c r="A63" s="220"/>
      <c r="B63" s="267">
        <v>25</v>
      </c>
      <c r="C63" s="68" t="s">
        <v>537</v>
      </c>
      <c r="D63" s="246">
        <f t="shared" ca="1" si="6"/>
        <v>1.0526315789473684</v>
      </c>
      <c r="E63" s="238"/>
      <c r="F63" s="225">
        <v>0.4</v>
      </c>
      <c r="G63" s="425">
        <v>100</v>
      </c>
      <c r="H63" s="377">
        <v>49</v>
      </c>
      <c r="I63" s="403">
        <f ca="1"/>
        <v>-9.5887884356149494E-6</v>
      </c>
      <c r="J63" s="403">
        <f ca="1"/>
        <v>4.7810828053396399E-4</v>
      </c>
      <c r="K63" s="403">
        <f ca="1"/>
        <v>-2.0055683672547901E-2</v>
      </c>
      <c r="L63" s="403">
        <f ca="1"/>
        <v>-2.0055683672547901E-2</v>
      </c>
      <c r="M63" s="403">
        <f ca="1"/>
        <v>-4.1800377073211203E-5</v>
      </c>
      <c r="N63" s="441" t="str">
        <f ca="1"/>
        <v>KERING</v>
      </c>
      <c r="O63" s="403"/>
      <c r="P63" s="403"/>
      <c r="Q63" s="403"/>
      <c r="R63" s="441"/>
      <c r="S63" s="433"/>
      <c r="T63" s="412" cm="1">
        <f t="array" aca="1" ref="T63:X63" ca="1">IF(AND($U$12,B87&lt;=$C$17,C87&lt;&gt;""),TRANSPOSE(INDEX(getcds(C87,$C$6,G87/10000,F87,D87,$C$13,$C$14,$C$15,$C$8,,,TRUE,TRUE,FALSE,$C$29:$C$31,$C$33),{1;2;3;4;5})),"")</f>
        <v>-2.6444255859440199E-2</v>
      </c>
      <c r="U63" s="413">
        <f ca="1"/>
        <v>2.0767071668756201E-2</v>
      </c>
      <c r="V63" s="413">
        <f ca="1"/>
        <v>4.7211327528196401E-2</v>
      </c>
      <c r="W63" s="414">
        <f ca="1"/>
        <v>4.3987476641815099E-3</v>
      </c>
      <c r="X63" s="415">
        <f ca="1"/>
        <v>4.7211327528196403</v>
      </c>
      <c r="Y63" s="416">
        <f t="shared" ca="1" si="5"/>
        <v>1.0874000958586724E-2</v>
      </c>
      <c r="Z63" s="417">
        <f t="shared" ca="1" si="2"/>
        <v>-2.2582115723309427E-4</v>
      </c>
      <c r="AA63" s="416">
        <f t="shared" ca="1" si="0"/>
        <v>-3.3426139454246499E-3</v>
      </c>
      <c r="AB63" s="418">
        <f t="shared" ca="1" si="1"/>
        <v>4.1788102809724344E-3</v>
      </c>
      <c r="AC63" s="417">
        <f t="shared" ca="1" si="3"/>
        <v>3.470815168280884E-6</v>
      </c>
      <c r="AD63" s="220"/>
      <c r="AE63" s="220">
        <f t="shared" ca="1" si="4"/>
        <v>6.1786218882621067E-3</v>
      </c>
    </row>
    <row r="64" spans="1:31" customFormat="1" ht="15">
      <c r="A64" s="220"/>
      <c r="B64" s="267">
        <v>26</v>
      </c>
      <c r="C64" s="68" t="s">
        <v>522</v>
      </c>
      <c r="D64" s="246">
        <f t="shared" ca="1" si="6"/>
        <v>1.0526315789473684</v>
      </c>
      <c r="E64" s="238"/>
      <c r="F64" s="225">
        <v>0.4</v>
      </c>
      <c r="G64" s="425">
        <v>100</v>
      </c>
      <c r="H64" s="377">
        <v>50</v>
      </c>
      <c r="I64" s="403">
        <f ca="1"/>
        <v>5.18451899688022E-5</v>
      </c>
      <c r="J64" s="403">
        <f ca="1"/>
        <v>4.13830608231337E-4</v>
      </c>
      <c r="K64" s="403">
        <f ca="1"/>
        <v>0.12528118736886701</v>
      </c>
      <c r="L64" s="403">
        <f ca="1"/>
        <v>0.12528118736886701</v>
      </c>
      <c r="M64" s="403">
        <f ca="1"/>
        <v>9.0584239705638302E-4</v>
      </c>
      <c r="N64" s="441" t="str">
        <f ca="1"/>
        <v>KONINKLIJKE AHOLD DELHAIZE N.V.</v>
      </c>
      <c r="O64" s="403"/>
      <c r="P64" s="403"/>
      <c r="Q64" s="403"/>
      <c r="R64" s="441"/>
      <c r="S64" s="433"/>
      <c r="T64" s="412" cm="1">
        <f t="array" aca="1" ref="T64:X64" ca="1">IF(AND($U$12,B88&lt;=$C$17,C88&lt;&gt;""),TRANSPOSE(INDEX(getcds(C88,$C$6,G88/10000,F88,D88,$C$13,$C$14,$C$15,$C$8,,,TRUE,TRUE,FALSE,$C$29:$C$31,$C$33),{1;2;3;4;5})),"")</f>
        <v>9.3670235025922602E-2</v>
      </c>
      <c r="U64" s="413">
        <f ca="1"/>
        <v>0.13935714050397299</v>
      </c>
      <c r="V64" s="413">
        <f ca="1"/>
        <v>4.5686905478050398E-2</v>
      </c>
      <c r="W64" s="414">
        <f ca="1"/>
        <v>3.0502643820103901E-2</v>
      </c>
      <c r="X64" s="415">
        <f ca="1"/>
        <v>4.5686905478050397</v>
      </c>
      <c r="Y64" s="416">
        <f t="shared" ca="1" si="5"/>
        <v>1.0874000958586724E-2</v>
      </c>
      <c r="Z64" s="417">
        <f t="shared" ca="1" si="2"/>
        <v>-1.5153696794261017E-3</v>
      </c>
      <c r="AA64" s="416">
        <f t="shared" ca="1" si="0"/>
        <v>2.0880197894811169E-2</v>
      </c>
      <c r="AB64" s="418">
        <f t="shared" ca="1" si="1"/>
        <v>2.8977511629098705E-2</v>
      </c>
      <c r="AC64" s="417">
        <f t="shared" ca="1" si="3"/>
        <v>-1.4549023358889767E-4</v>
      </c>
      <c r="AD64" s="220"/>
      <c r="AE64" s="220">
        <f t="shared" ca="1" si="4"/>
        <v>4.3422914220592043E-3</v>
      </c>
    </row>
    <row r="65" spans="1:31" customFormat="1" ht="15">
      <c r="A65" s="220"/>
      <c r="B65" s="267">
        <v>27</v>
      </c>
      <c r="C65" s="68" t="s">
        <v>523</v>
      </c>
      <c r="D65" s="246">
        <f t="shared" ca="1" si="6"/>
        <v>1.0526315789473684</v>
      </c>
      <c r="E65" s="238"/>
      <c r="F65" s="225">
        <v>0.4</v>
      </c>
      <c r="G65" s="425">
        <v>100</v>
      </c>
      <c r="H65" s="377">
        <v>51</v>
      </c>
      <c r="I65" s="403">
        <f ca="1"/>
        <v>2.6697261826358298E-7</v>
      </c>
      <c r="J65" s="403">
        <f ca="1"/>
        <v>4.7520070410391E-4</v>
      </c>
      <c r="K65" s="403">
        <f ca="1"/>
        <v>5.61810232935188E-4</v>
      </c>
      <c r="L65" s="403">
        <f ca="1"/>
        <v>5.61810232935188E-4</v>
      </c>
      <c r="M65" s="403">
        <f ca="1"/>
        <v>-1.39106076252873E-4</v>
      </c>
      <c r="N65" s="441" t="str">
        <f ca="1"/>
        <v>KONINKLIJKE PHILIPS N.V.</v>
      </c>
      <c r="O65" s="403"/>
      <c r="P65" s="403"/>
      <c r="Q65" s="403"/>
      <c r="R65" s="441"/>
      <c r="S65" s="433"/>
      <c r="T65" s="412" cm="1">
        <f t="array" aca="1" ref="T65:X65" ca="1">IF(AND($U$12,B89&lt;=$C$17,C89&lt;&gt;""),TRANSPOSE(INDEX(getcds(C89,$C$6,G89/10000,F89,D89,$C$13,$C$14,$C$15,$C$8,,,TRUE,TRUE,FALSE,$C$29:$C$31,$C$33),{1;2;3;4;5})),"")</f>
        <v>-2.3081193092062802E-2</v>
      </c>
      <c r="U65" s="413">
        <f ca="1"/>
        <v>2.4026885864840499E-2</v>
      </c>
      <c r="V65" s="413">
        <f ca="1"/>
        <v>4.7108078956903297E-2</v>
      </c>
      <c r="W65" s="414">
        <f ca="1"/>
        <v>5.1003747970324699E-3</v>
      </c>
      <c r="X65" s="415">
        <f ca="1"/>
        <v>4.7108078956903299</v>
      </c>
      <c r="Y65" s="416">
        <f t="shared" ca="1" si="5"/>
        <v>1.0874000958586724E-2</v>
      </c>
      <c r="Z65" s="417">
        <f t="shared" ca="1" si="2"/>
        <v>-2.6126837992612967E-4</v>
      </c>
      <c r="AA65" s="416">
        <f t="shared" ca="1" si="0"/>
        <v>9.3635038822531338E-5</v>
      </c>
      <c r="AB65" s="418">
        <f t="shared" ca="1" si="1"/>
        <v>4.8453560571808463E-3</v>
      </c>
      <c r="AC65" s="417">
        <f t="shared" ca="1" si="3"/>
        <v>-1.1248791953694364E-7</v>
      </c>
      <c r="AD65" s="220"/>
      <c r="AE65" s="220">
        <f t="shared" ca="1" si="4"/>
        <v>7.3198640940557239E-3</v>
      </c>
    </row>
    <row r="66" spans="1:31" customFormat="1" ht="15">
      <c r="A66" s="220"/>
      <c r="B66" s="267">
        <v>28</v>
      </c>
      <c r="C66" s="68" t="s">
        <v>524</v>
      </c>
      <c r="D66" s="246">
        <f t="shared" ca="1" si="6"/>
        <v>1.0526315789473684</v>
      </c>
      <c r="E66" s="238"/>
      <c r="F66" s="225">
        <v>0.4</v>
      </c>
      <c r="G66" s="425">
        <v>100</v>
      </c>
      <c r="H66" s="377">
        <v>52</v>
      </c>
      <c r="I66" s="403">
        <f ca="1"/>
        <v>1.44057776110673E-4</v>
      </c>
      <c r="J66" s="403">
        <f ca="1"/>
        <v>4.5497349683610298E-4</v>
      </c>
      <c r="K66" s="403">
        <f ca="1"/>
        <v>0.31662894017443699</v>
      </c>
      <c r="L66" s="403">
        <f ca="1"/>
        <v>0.31662894017443699</v>
      </c>
      <c r="M66" s="403">
        <f ca="1"/>
        <v>-6.4064639909110004E-4</v>
      </c>
      <c r="N66" s="441" t="str">
        <f ca="1"/>
        <v>LOUIS DREYFUS COMPANY B.V.</v>
      </c>
      <c r="O66" s="403"/>
      <c r="P66" s="403"/>
      <c r="Q66" s="403"/>
      <c r="R66" s="441"/>
      <c r="S66" s="433"/>
      <c r="T66" s="412" cm="1">
        <f t="array" aca="1" ref="T66:X66" ca="1">IF(AND($U$12,B90&lt;=$C$17,C90&lt;&gt;""),TRANSPOSE(INDEX(getcds(C90,$C$6,G90/10000,F90,D90,$C$13,$C$14,$C$15,$C$8,,,TRUE,TRUE,FALSE,$C$29:$C$31,$C$33),{1;2;3;4;5})),"")</f>
        <v>9.8622407191315004E-3</v>
      </c>
      <c r="U66" s="413">
        <f ca="1"/>
        <v>5.6104963109712698E-2</v>
      </c>
      <c r="V66" s="413">
        <f ca="1"/>
        <v>4.6242722390581199E-2</v>
      </c>
      <c r="W66" s="414">
        <f ca="1"/>
        <v>1.2132711961859E-2</v>
      </c>
      <c r="X66" s="415">
        <f ca="1"/>
        <v>4.6242722390581203</v>
      </c>
      <c r="Y66" s="416">
        <f t="shared" ca="1" si="5"/>
        <v>1.0874000958586724E-2</v>
      </c>
      <c r="Z66" s="417">
        <f t="shared" ca="1" si="2"/>
        <v>-6.1008542263649146E-4</v>
      </c>
      <c r="AA66" s="416">
        <f t="shared" ca="1" si="0"/>
        <v>5.2771490029072832E-2</v>
      </c>
      <c r="AB66" s="418">
        <f t="shared" ca="1" si="1"/>
        <v>1.1526076363766048E-2</v>
      </c>
      <c r="AC66" s="417">
        <f t="shared" ca="1" si="3"/>
        <v>-1.4803712506628616E-4</v>
      </c>
      <c r="AD66" s="220"/>
      <c r="AE66" s="220">
        <f t="shared" ca="1" si="4"/>
        <v>1.5681769526762465E-2</v>
      </c>
    </row>
    <row r="67" spans="1:31" customFormat="1" ht="15">
      <c r="A67" s="220"/>
      <c r="B67" s="267">
        <v>29</v>
      </c>
      <c r="C67" s="68" t="s">
        <v>538</v>
      </c>
      <c r="D67" s="246">
        <f t="shared" ca="1" si="6"/>
        <v>1.0526315789473684</v>
      </c>
      <c r="E67" s="238"/>
      <c r="F67" s="225">
        <v>0.4</v>
      </c>
      <c r="G67" s="425">
        <v>100</v>
      </c>
      <c r="H67" s="377">
        <v>53</v>
      </c>
      <c r="I67" s="403">
        <f ca="1"/>
        <v>-1.57254454373779E-5</v>
      </c>
      <c r="J67" s="403">
        <f ca="1"/>
        <v>4.8309138152290702E-4</v>
      </c>
      <c r="K67" s="403">
        <f ca="1"/>
        <v>-3.2551699406859001E-2</v>
      </c>
      <c r="L67" s="403">
        <f ca="1"/>
        <v>-3.2551699406859001E-2</v>
      </c>
      <c r="M67" s="403">
        <f ca="1"/>
        <v>3.19596877708306E-5</v>
      </c>
      <c r="N67" s="441" t="str">
        <f ca="1"/>
        <v>LVMH MOET HENNESSY LOUIS VUITTON</v>
      </c>
      <c r="O67" s="403"/>
      <c r="P67" s="403"/>
      <c r="Q67" s="403"/>
      <c r="R67" s="441"/>
      <c r="S67" s="433"/>
      <c r="T67" s="412" cm="1">
        <f t="array" aca="1" ref="T67:X67" ca="1">IF(AND($U$12,B91&lt;=$C$17,C91&lt;&gt;""),TRANSPOSE(INDEX(getcds(C91,$C$6,G91/10000,F91,D91,$C$13,$C$14,$C$15,$C$8,,,TRUE,TRUE,FALSE,$C$29:$C$31,$C$33),{1;2;3;4;5})),"")</f>
        <v>-3.2474263252988099E-2</v>
      </c>
      <c r="U67" s="413">
        <f ca="1"/>
        <v>1.49181623009181E-2</v>
      </c>
      <c r="V67" s="413">
        <f ca="1"/>
        <v>4.7392425553906201E-2</v>
      </c>
      <c r="W67" s="414">
        <f ca="1"/>
        <v>3.1477946373412598E-3</v>
      </c>
      <c r="X67" s="415">
        <f ca="1"/>
        <v>4.7392425553906197</v>
      </c>
      <c r="Y67" s="416">
        <f t="shared" ca="1" si="5"/>
        <v>1.0874000958586724E-2</v>
      </c>
      <c r="Z67" s="417">
        <f t="shared" ca="1" si="2"/>
        <v>-1.6222011116053553E-4</v>
      </c>
      <c r="AA67" s="416">
        <f t="shared" ca="1" si="0"/>
        <v>-5.4252832344765002E-3</v>
      </c>
      <c r="AB67" s="418">
        <f t="shared" ca="1" si="1"/>
        <v>2.9904049054741968E-3</v>
      </c>
      <c r="AC67" s="417">
        <f t="shared" ca="1" si="3"/>
        <v>4.0467627910185121E-6</v>
      </c>
      <c r="AD67" s="220"/>
      <c r="AE67" s="220">
        <f t="shared" ca="1" si="4"/>
        <v>4.2077718657642605E-3</v>
      </c>
    </row>
    <row r="68" spans="1:31" customFormat="1" ht="15">
      <c r="A68" s="220"/>
      <c r="B68" s="267">
        <v>30</v>
      </c>
      <c r="C68" s="68" t="s">
        <v>539</v>
      </c>
      <c r="D68" s="246">
        <f t="shared" ca="1" si="6"/>
        <v>1.0526315789473684</v>
      </c>
      <c r="E68" s="238"/>
      <c r="F68" s="225">
        <v>0.4</v>
      </c>
      <c r="G68" s="425">
        <v>100</v>
      </c>
      <c r="H68" s="377">
        <v>54</v>
      </c>
      <c r="I68" s="403">
        <f ca="1"/>
        <v>-1.46788516004692E-5</v>
      </c>
      <c r="J68" s="403">
        <f ca="1"/>
        <v>4.8409510045612002E-4</v>
      </c>
      <c r="K68" s="403">
        <f ca="1"/>
        <v>-3.0322247811718401E-2</v>
      </c>
      <c r="L68" s="403">
        <f ca="1"/>
        <v>-3.0322247811718401E-2</v>
      </c>
      <c r="M68" s="403">
        <f ca="1"/>
        <v>3.1598208764236297E-5</v>
      </c>
      <c r="N68" s="441" t="str">
        <f ca="1"/>
        <v>NESTLE S.A.</v>
      </c>
      <c r="O68" s="403"/>
      <c r="P68" s="403"/>
      <c r="Q68" s="403"/>
      <c r="R68" s="441"/>
      <c r="S68" s="433"/>
      <c r="T68" s="412" cm="1">
        <f t="array" aca="1" ref="T68:X68" ca="1">IF(AND($U$12,B92&lt;=$C$17,C92&lt;&gt;""),TRANSPOSE(INDEX(getcds(C92,$C$6,G92/10000,F92,D92,$C$13,$C$14,$C$15,$C$8,,,TRUE,TRUE,FALSE,$C$29:$C$31,$C$33),{1;2;3;4;5})),"")</f>
        <v>-3.4072061241490897E-2</v>
      </c>
      <c r="U68" s="413">
        <f ca="1"/>
        <v>1.33225999214018E-2</v>
      </c>
      <c r="V68" s="413">
        <f ca="1"/>
        <v>4.7394661162892697E-2</v>
      </c>
      <c r="W68" s="414">
        <f ca="1"/>
        <v>2.8109917012831402E-3</v>
      </c>
      <c r="X68" s="415">
        <f ca="1"/>
        <v>4.7394661162892699</v>
      </c>
      <c r="Y68" s="416">
        <f t="shared" ca="1" si="5"/>
        <v>1.0874000958586724E-2</v>
      </c>
      <c r="Z68" s="417">
        <f t="shared" ca="1" si="2"/>
        <v>-1.4486996431619029E-4</v>
      </c>
      <c r="AA68" s="416">
        <f t="shared" ca="1" si="0"/>
        <v>-5.0537079686197332E-3</v>
      </c>
      <c r="AB68" s="418">
        <f t="shared" ca="1" si="1"/>
        <v>2.6704421162189831E-3</v>
      </c>
      <c r="AC68" s="417">
        <f t="shared" ca="1" si="3"/>
        <v>3.3664264692760398E-6</v>
      </c>
      <c r="AD68" s="220"/>
      <c r="AE68" s="220">
        <f t="shared" ca="1" si="4"/>
        <v>4.5532900740234581E-3</v>
      </c>
    </row>
    <row r="69" spans="1:31" customFormat="1" ht="15">
      <c r="A69" s="220"/>
      <c r="B69" s="267">
        <v>31</v>
      </c>
      <c r="C69" s="68" t="s">
        <v>540</v>
      </c>
      <c r="D69" s="246">
        <f t="shared" ca="1" si="6"/>
        <v>1.0526315789473684</v>
      </c>
      <c r="E69" s="238"/>
      <c r="F69" s="225">
        <v>0.4</v>
      </c>
      <c r="G69" s="425">
        <v>100</v>
      </c>
      <c r="H69" s="377">
        <v>55</v>
      </c>
      <c r="I69" s="403">
        <f ca="1"/>
        <v>-2.3897991151344799E-6</v>
      </c>
      <c r="J69" s="403">
        <f ca="1"/>
        <v>4.7595158297027E-4</v>
      </c>
      <c r="K69" s="403">
        <f ca="1"/>
        <v>-5.0210971045005597E-3</v>
      </c>
      <c r="L69" s="403">
        <f ca="1"/>
        <v>-5.0210971045005597E-3</v>
      </c>
      <c r="M69" s="403">
        <f ca="1"/>
        <v>-1.1689585946039401E-4</v>
      </c>
      <c r="N69" s="441" t="str">
        <f ca="1"/>
        <v>NEXT PLC</v>
      </c>
      <c r="O69" s="403"/>
      <c r="P69" s="403"/>
      <c r="Q69" s="403"/>
      <c r="R69" s="441"/>
      <c r="S69" s="433"/>
      <c r="T69" s="412" cm="1">
        <f t="array" aca="1" ref="T69:X69" ca="1">IF(AND($U$12,B93&lt;=$C$17,C93&lt;&gt;""),TRANSPOSE(INDEX(getcds(C93,$C$6,G93/10000,F93,D93,$C$13,$C$14,$C$15,$C$8,,,TRUE,TRUE,FALSE,$C$29:$C$31,$C$33),{1;2;3;4;5})),"")</f>
        <v>-2.3747482714760699E-2</v>
      </c>
      <c r="U69" s="413">
        <f ca="1"/>
        <v>2.3465820590377801E-2</v>
      </c>
      <c r="V69" s="413">
        <f ca="1"/>
        <v>4.7213303305138503E-2</v>
      </c>
      <c r="W69" s="414">
        <f ca="1"/>
        <v>4.9701713177573497E-3</v>
      </c>
      <c r="X69" s="415">
        <f ca="1"/>
        <v>4.7213303305138501</v>
      </c>
      <c r="Y69" s="416">
        <f t="shared" ca="1" si="5"/>
        <v>1.0874000958586724E-2</v>
      </c>
      <c r="Z69" s="417">
        <f t="shared" ca="1" si="2"/>
        <v>-2.5516735559379193E-4</v>
      </c>
      <c r="AA69" s="416">
        <f t="shared" ca="1" si="0"/>
        <v>-8.3684951741675991E-4</v>
      </c>
      <c r="AB69" s="418">
        <f t="shared" ca="1" si="1"/>
        <v>4.7216627518694822E-3</v>
      </c>
      <c r="AC69" s="417">
        <f t="shared" ca="1" si="3"/>
        <v>9.8186803184229512E-7</v>
      </c>
      <c r="AD69" s="220"/>
      <c r="AE69" s="220">
        <f t="shared" ca="1" si="4"/>
        <v>5.4822340652318658E-3</v>
      </c>
    </row>
    <row r="70" spans="1:31" customFormat="1" ht="15">
      <c r="A70" s="220"/>
      <c r="B70" s="267">
        <v>32</v>
      </c>
      <c r="C70" s="68" t="s">
        <v>525</v>
      </c>
      <c r="D70" s="246">
        <f t="shared" ca="1" si="6"/>
        <v>1.0526315789473684</v>
      </c>
      <c r="E70" s="238"/>
      <c r="F70" s="225">
        <v>0.4</v>
      </c>
      <c r="G70" s="425">
        <v>100</v>
      </c>
      <c r="H70" s="377">
        <v>56</v>
      </c>
      <c r="I70" s="403">
        <f ca="1"/>
        <v>-1.42731911465388E-5</v>
      </c>
      <c r="J70" s="403">
        <f ca="1"/>
        <v>4.80427076561466E-4</v>
      </c>
      <c r="K70" s="403">
        <f ca="1"/>
        <v>-2.9709381179544501E-2</v>
      </c>
      <c r="L70" s="403">
        <f ca="1"/>
        <v>-2.9709381179544501E-2</v>
      </c>
      <c r="M70" s="403">
        <f ca="1"/>
        <v>7.5622633539906897E-6</v>
      </c>
      <c r="N70" s="441" t="str">
        <f ca="1"/>
        <v>PERNOD RICARD</v>
      </c>
      <c r="O70" s="403"/>
      <c r="P70" s="403"/>
      <c r="Q70" s="403"/>
      <c r="R70" s="441"/>
      <c r="S70" s="433"/>
      <c r="T70" s="412" cm="1">
        <f t="array" aca="1" ref="T70:X70" ca="1">IF(AND($U$12,B94&lt;=$C$17,C94&lt;&gt;""),TRANSPOSE(INDEX(getcds(C94,$C$6,G94/10000,F94,D94,$C$13,$C$14,$C$15,$C$8,,,TRUE,TRUE,FALSE,$C$29:$C$31,$C$33),{1;2;3;4;5})),"")</f>
        <v>-2.9226167136593199E-2</v>
      </c>
      <c r="U70" s="413">
        <f ca="1"/>
        <v>1.80655561754768E-2</v>
      </c>
      <c r="V70" s="413">
        <f ca="1"/>
        <v>4.7291723312070003E-2</v>
      </c>
      <c r="W70" s="414">
        <f ca="1"/>
        <v>3.8200249240792801E-3</v>
      </c>
      <c r="X70" s="415">
        <f ca="1"/>
        <v>4.7291723312069998</v>
      </c>
      <c r="Y70" s="416">
        <f t="shared" ca="1" si="5"/>
        <v>1.0874000958586724E-2</v>
      </c>
      <c r="Z70" s="417">
        <f t="shared" ca="1" si="2"/>
        <v>-1.9644487516953758E-4</v>
      </c>
      <c r="AA70" s="416">
        <f t="shared" ca="1" si="0"/>
        <v>-4.9515635299240838E-3</v>
      </c>
      <c r="AB70" s="418">
        <f t="shared" ca="1" si="1"/>
        <v>3.6290236778753161E-3</v>
      </c>
      <c r="AC70" s="417">
        <f t="shared" ca="1" si="3"/>
        <v>4.4726374553142994E-6</v>
      </c>
      <c r="AD70" s="220"/>
      <c r="AE70" s="220">
        <f t="shared" ca="1" si="4"/>
        <v>5.3294347242950884E-3</v>
      </c>
    </row>
    <row r="71" spans="1:31" customFormat="1" ht="15">
      <c r="A71" s="220"/>
      <c r="B71" s="267">
        <v>33</v>
      </c>
      <c r="C71" s="68" t="s">
        <v>526</v>
      </c>
      <c r="D71" s="246">
        <f t="shared" ca="1" si="6"/>
        <v>1.0526315789473684</v>
      </c>
      <c r="E71" s="238"/>
      <c r="F71" s="225">
        <v>0.4</v>
      </c>
      <c r="G71" s="425">
        <v>100</v>
      </c>
      <c r="H71" s="377">
        <v>57</v>
      </c>
      <c r="I71" s="403">
        <f ca="1"/>
        <v>-1.4563330505688001E-5</v>
      </c>
      <c r="J71" s="403">
        <f ca="1"/>
        <v>4.8466942231370898E-4</v>
      </c>
      <c r="K71" s="403">
        <f ca="1"/>
        <v>-3.0047966377094198E-2</v>
      </c>
      <c r="L71" s="403">
        <f ca="1"/>
        <v>-3.0047966377094198E-2</v>
      </c>
      <c r="M71" s="403">
        <f ca="1"/>
        <v>3.2676566129714597E-5</v>
      </c>
      <c r="N71" s="441" t="str">
        <f ca="1"/>
        <v>SODEXO</v>
      </c>
      <c r="O71" s="403"/>
      <c r="P71" s="403"/>
      <c r="Q71" s="403"/>
      <c r="R71" s="441"/>
      <c r="S71" s="433"/>
      <c r="T71" s="412" cm="1">
        <f t="array" aca="1" ref="T71:X71" ca="1">IF(AND($U$12,B95&lt;=$C$17,C95&lt;&gt;""),TRANSPOSE(INDEX(getcds(C95,$C$6,G95/10000,F95,D95,$C$13,$C$14,$C$15,$C$8,,,TRUE,TRUE,FALSE,$C$29:$C$31,$C$33),{1;2;3;4;5})),"")</f>
        <v>-3.4523289766058403E-2</v>
      </c>
      <c r="U71" s="413">
        <f ca="1"/>
        <v>1.29210415840482E-2</v>
      </c>
      <c r="V71" s="413">
        <f ca="1"/>
        <v>4.7444331350106603E-2</v>
      </c>
      <c r="W71" s="414">
        <f ca="1"/>
        <v>2.7234110411841999E-3</v>
      </c>
      <c r="X71" s="415">
        <f ca="1"/>
        <v>4.7444331350106603</v>
      </c>
      <c r="Y71" s="416">
        <f t="shared" ca="1" si="5"/>
        <v>1.0874000958586724E-2</v>
      </c>
      <c r="Z71" s="417">
        <f t="shared" ca="1" si="2"/>
        <v>-1.4050341857087904E-4</v>
      </c>
      <c r="AA71" s="416">
        <f t="shared" ca="1" si="0"/>
        <v>-5.0079943961823664E-3</v>
      </c>
      <c r="AB71" s="418">
        <f t="shared" ca="1" si="1"/>
        <v>2.5872404891249898E-3</v>
      </c>
      <c r="AC71" s="417">
        <f t="shared" ca="1" si="3"/>
        <v>3.2354251922876383E-6</v>
      </c>
      <c r="AD71" s="220"/>
      <c r="AE71" s="220">
        <f t="shared" ca="1" si="4"/>
        <v>3.720477792855087E-3</v>
      </c>
    </row>
    <row r="72" spans="1:31" customFormat="1" ht="15">
      <c r="A72" s="220"/>
      <c r="B72" s="267">
        <v>34</v>
      </c>
      <c r="C72" s="68" t="s">
        <v>527</v>
      </c>
      <c r="D72" s="246">
        <f t="shared" ca="1" si="6"/>
        <v>1.0526315789473684</v>
      </c>
      <c r="E72" s="238"/>
      <c r="F72" s="225">
        <v>0.4</v>
      </c>
      <c r="G72" s="425">
        <v>100</v>
      </c>
      <c r="H72" s="377">
        <v>58</v>
      </c>
      <c r="I72" s="403">
        <f ca="1"/>
        <v>4.6283461377159002E-5</v>
      </c>
      <c r="J72" s="403">
        <f ca="1"/>
        <v>4.5692498926089699E-4</v>
      </c>
      <c r="K72" s="403">
        <f ca="1"/>
        <v>0.101293346752659</v>
      </c>
      <c r="L72" s="403">
        <f ca="1"/>
        <v>0.101293346752659</v>
      </c>
      <c r="M72" s="403">
        <f ca="1"/>
        <v>-5.6714227400024304E-4</v>
      </c>
      <c r="N72" s="441" t="str">
        <f ca="1"/>
        <v>SUEDZUCKER AG</v>
      </c>
      <c r="O72" s="403"/>
      <c r="P72" s="403"/>
      <c r="Q72" s="403"/>
      <c r="R72" s="441"/>
      <c r="S72" s="433"/>
      <c r="T72" s="412" cm="1">
        <f t="array" aca="1" ref="T72:X72" ca="1">IF(AND($U$12,B96&lt;=$C$17,C96&lt;&gt;""),TRANSPOSE(INDEX(getcds(C96,$C$6,G96/10000,F96,D96,$C$13,$C$14,$C$15,$C$8,,,TRUE,TRUE,FALSE,$C$29:$C$31,$C$33),{1;2;3;4;5})),"")</f>
        <v>-1.3147643920160001E-2</v>
      </c>
      <c r="U72" s="413">
        <f ca="1"/>
        <v>3.3722710258301897E-2</v>
      </c>
      <c r="V72" s="413">
        <f ca="1"/>
        <v>4.6870354178461901E-2</v>
      </c>
      <c r="W72" s="414">
        <f ca="1"/>
        <v>7.1948912802963904E-3</v>
      </c>
      <c r="X72" s="415">
        <f ca="1"/>
        <v>4.6870354178461904</v>
      </c>
      <c r="Y72" s="416">
        <f t="shared" ca="1" si="5"/>
        <v>1.0874000958586724E-2</v>
      </c>
      <c r="Z72" s="417">
        <f t="shared" ca="1" si="2"/>
        <v>-3.6670078367491725E-4</v>
      </c>
      <c r="AA72" s="416">
        <f t="shared" ca="1" si="0"/>
        <v>1.6882224458776501E-2</v>
      </c>
      <c r="AB72" s="418">
        <f t="shared" ca="1" si="1"/>
        <v>6.8351467162815708E-3</v>
      </c>
      <c r="AC72" s="417">
        <f t="shared" ca="1" si="3"/>
        <v>-2.8465718196946887E-5</v>
      </c>
      <c r="AD72" s="220"/>
      <c r="AE72" s="220">
        <f t="shared" ca="1" si="4"/>
        <v>9.407550349583774E-3</v>
      </c>
    </row>
    <row r="73" spans="1:31" customFormat="1" ht="15">
      <c r="A73" s="220"/>
      <c r="B73" s="267">
        <v>35</v>
      </c>
      <c r="C73" s="68" t="s">
        <v>541</v>
      </c>
      <c r="D73" s="246">
        <f t="shared" ca="1" si="6"/>
        <v>1.0526315789473684</v>
      </c>
      <c r="E73" s="238"/>
      <c r="F73" s="225">
        <v>0.4</v>
      </c>
      <c r="G73" s="425">
        <v>100</v>
      </c>
      <c r="H73" s="377">
        <v>59</v>
      </c>
      <c r="I73" s="403">
        <f ca="1"/>
        <v>5.1041381000982403E-6</v>
      </c>
      <c r="J73" s="403">
        <f ca="1"/>
        <v>4.7408418215953198E-4</v>
      </c>
      <c r="K73" s="403">
        <f ca="1"/>
        <v>1.07663117483651E-2</v>
      </c>
      <c r="L73" s="403">
        <f ca="1"/>
        <v>1.07663117483651E-2</v>
      </c>
      <c r="M73" s="403">
        <f ca="1"/>
        <v>-1.87577304495589E-4</v>
      </c>
      <c r="N73" s="441" t="str">
        <f ca="1"/>
        <v>TESCO PLC</v>
      </c>
      <c r="O73" s="403"/>
      <c r="P73" s="403"/>
      <c r="Q73" s="403"/>
      <c r="R73" s="441"/>
      <c r="S73" s="433"/>
      <c r="T73" s="412" cm="1">
        <f t="array" aca="1" ref="T73:X73" ca="1">IF(AND($U$12,B97&lt;=$C$17,C97&lt;&gt;""),TRANSPOSE(INDEX(getcds(C97,$C$6,G97/10000,F97,D97,$C$13,$C$14,$C$15,$C$8,,,TRUE,TRUE,FALSE,$C$29:$C$31,$C$33),{1;2;3;4;5})),"")</f>
        <v>-2.1764144832513699E-2</v>
      </c>
      <c r="U73" s="413">
        <f ca="1"/>
        <v>2.5331731272014001E-2</v>
      </c>
      <c r="V73" s="413">
        <f ca="1"/>
        <v>4.7095876104527701E-2</v>
      </c>
      <c r="W73" s="414">
        <f ca="1"/>
        <v>5.3787578376907298E-3</v>
      </c>
      <c r="X73" s="415">
        <f ca="1"/>
        <v>4.7095876104527701</v>
      </c>
      <c r="Y73" s="416">
        <f t="shared" ca="1" si="5"/>
        <v>1.0874000958586724E-2</v>
      </c>
      <c r="Z73" s="417">
        <f t="shared" ca="1" si="2"/>
        <v>-2.7545727013454142E-4</v>
      </c>
      <c r="AA73" s="416">
        <f t="shared" ca="1" si="0"/>
        <v>1.7943852913941832E-3</v>
      </c>
      <c r="AB73" s="418">
        <f t="shared" ca="1" si="1"/>
        <v>5.1098199458061927E-3</v>
      </c>
      <c r="AC73" s="417">
        <f t="shared" ca="1" si="3"/>
        <v>-2.2727443000026034E-6</v>
      </c>
      <c r="AD73" s="220"/>
      <c r="AE73" s="220">
        <f t="shared" ca="1" si="4"/>
        <v>7.2298411976667986E-3</v>
      </c>
    </row>
    <row r="74" spans="1:31" customFormat="1" ht="15">
      <c r="A74" s="220"/>
      <c r="B74" s="267">
        <v>36</v>
      </c>
      <c r="C74" s="68" t="s">
        <v>528</v>
      </c>
      <c r="D74" s="246">
        <f t="shared" ca="1" si="6"/>
        <v>1.0526315789473684</v>
      </c>
      <c r="E74" s="238"/>
      <c r="F74" s="225">
        <v>0.4</v>
      </c>
      <c r="G74" s="425">
        <v>100</v>
      </c>
      <c r="H74" s="377">
        <v>60</v>
      </c>
      <c r="I74" s="403">
        <f ca="1"/>
        <v>-1.4342823884823101E-5</v>
      </c>
      <c r="J74" s="403">
        <f ca="1"/>
        <v>4.8451463251374002E-4</v>
      </c>
      <c r="K74" s="403">
        <f ca="1"/>
        <v>-2.9602457639741901E-2</v>
      </c>
      <c r="L74" s="403">
        <f ca="1"/>
        <v>-2.9602457639741901E-2</v>
      </c>
      <c r="M74" s="403">
        <f ca="1"/>
        <v>3.1403313428741698E-5</v>
      </c>
      <c r="N74" s="441" t="str">
        <f ca="1"/>
        <v>UNILEVER PLC</v>
      </c>
      <c r="O74" s="403"/>
      <c r="P74" s="403"/>
      <c r="Q74" s="403"/>
      <c r="R74" s="441"/>
      <c r="S74" s="433"/>
      <c r="T74" s="412" cm="1">
        <f t="array" aca="1" ref="T74:X74" ca="1">IF(AND($U$12,B98&lt;=$C$17,C98&lt;&gt;""),TRANSPOSE(INDEX(getcds(C98,$C$6,G98/10000,F98,D98,$C$13,$C$14,$C$15,$C$8,,,TRUE,TRUE,FALSE,$C$29:$C$31,$C$33),{1;2;3;4;5})),"")</f>
        <v>-3.45671427621052E-2</v>
      </c>
      <c r="U74" s="413">
        <f ca="1"/>
        <v>1.2847660781795601E-2</v>
      </c>
      <c r="V74" s="413">
        <f ca="1"/>
        <v>4.7414803543900798E-2</v>
      </c>
      <c r="W74" s="414">
        <f ca="1"/>
        <v>2.7096307105649101E-3</v>
      </c>
      <c r="X74" s="415">
        <f ca="1"/>
        <v>4.7414803543900801</v>
      </c>
      <c r="Y74" s="416">
        <f t="shared" ca="1" si="5"/>
        <v>1.0874000958586724E-2</v>
      </c>
      <c r="Z74" s="417">
        <f t="shared" ca="1" si="2"/>
        <v>-1.3970547565684191E-4</v>
      </c>
      <c r="AA74" s="416">
        <f t="shared" ca="1" si="0"/>
        <v>-4.9337429399569834E-3</v>
      </c>
      <c r="AB74" s="418">
        <f t="shared" ca="1" si="1"/>
        <v>2.5741491750366644E-3</v>
      </c>
      <c r="AC74" s="417">
        <f t="shared" ca="1" si="3"/>
        <v>3.1693527838573054E-6</v>
      </c>
      <c r="AD74" s="220"/>
      <c r="AE74" s="220">
        <f t="shared" ca="1" si="4"/>
        <v>4.2912701453375109E-3</v>
      </c>
    </row>
    <row r="75" spans="1:31" customFormat="1" ht="15">
      <c r="A75" s="220"/>
      <c r="B75" s="267">
        <v>37</v>
      </c>
      <c r="C75" s="68" t="s">
        <v>542</v>
      </c>
      <c r="D75" s="246">
        <f t="shared" ca="1" si="6"/>
        <v>1.0526315789473684</v>
      </c>
      <c r="E75" s="238"/>
      <c r="F75" s="225">
        <v>0.4</v>
      </c>
      <c r="G75" s="425">
        <v>100</v>
      </c>
      <c r="H75" s="377">
        <v>61</v>
      </c>
      <c r="I75" s="403">
        <f ca="1"/>
        <v>3.8483682258716398E-6</v>
      </c>
      <c r="J75" s="403">
        <f ca="1"/>
        <v>4.7437936613239202E-4</v>
      </c>
      <c r="K75" s="403">
        <f ca="1"/>
        <v>8.1124275224011694E-3</v>
      </c>
      <c r="L75" s="403">
        <f ca="1"/>
        <v>8.1124275224011694E-3</v>
      </c>
      <c r="M75" s="403">
        <f ca="1"/>
        <v>-1.76212449199866E-4</v>
      </c>
      <c r="N75" s="441" t="str">
        <f ca="1"/>
        <v>BP P.L.C.</v>
      </c>
      <c r="O75" s="403"/>
      <c r="P75" s="403"/>
      <c r="Q75" s="403"/>
      <c r="R75" s="441"/>
      <c r="S75" s="433"/>
      <c r="T75" s="412" cm="1">
        <f t="array" aca="1" ref="T75:X75" ca="1">IF(AND($U$12,B99&lt;=$C$17,C99&lt;&gt;""),TRANSPOSE(INDEX(getcds(C99,$C$6,G99/10000,F99,D99,$C$13,$C$14,$C$15,$C$8,,,TRUE,TRUE,FALSE,$C$29:$C$31,$C$33),{1;2;3;4;5})),"")</f>
        <v>-2.2067102800755301E-2</v>
      </c>
      <c r="U75" s="413">
        <f ca="1"/>
        <v>2.5053800301890802E-2</v>
      </c>
      <c r="V75" s="413">
        <f ca="1"/>
        <v>4.7120903102646099E-2</v>
      </c>
      <c r="W75" s="414">
        <f ca="1"/>
        <v>5.3169185334403998E-3</v>
      </c>
      <c r="X75" s="415">
        <f ca="1"/>
        <v>4.7120903102646103</v>
      </c>
      <c r="Y75" s="416">
        <f t="shared" ca="1" si="5"/>
        <v>1.0874000958586724E-2</v>
      </c>
      <c r="Z75" s="417">
        <f t="shared" ca="1" si="2"/>
        <v>-2.7243504849900122E-4</v>
      </c>
      <c r="AA75" s="416">
        <f t="shared" ca="1" si="0"/>
        <v>1.3520712537335282E-3</v>
      </c>
      <c r="AB75" s="418">
        <f t="shared" ca="1" si="1"/>
        <v>5.0510726067683797E-3</v>
      </c>
      <c r="AC75" s="417">
        <f t="shared" ca="1" si="3"/>
        <v>-1.6937261592483502E-6</v>
      </c>
      <c r="AD75" s="220"/>
      <c r="AE75" s="220">
        <f t="shared" ca="1" si="4"/>
        <v>6.8280436839071494E-3</v>
      </c>
    </row>
    <row r="76" spans="1:31" customFormat="1" ht="15">
      <c r="A76" s="220"/>
      <c r="B76" s="267">
        <v>38</v>
      </c>
      <c r="C76" s="68" t="s">
        <v>543</v>
      </c>
      <c r="D76" s="246">
        <f t="shared" ca="1" si="6"/>
        <v>1.0526315789473684</v>
      </c>
      <c r="E76" s="238"/>
      <c r="F76" s="225">
        <v>0.4</v>
      </c>
      <c r="G76" s="425">
        <v>100</v>
      </c>
      <c r="H76" s="377">
        <v>62</v>
      </c>
      <c r="I76" s="403">
        <f ca="1"/>
        <v>3.0337735763068501E-5</v>
      </c>
      <c r="J76" s="403">
        <f ca="1"/>
        <v>4.6903668035312598E-4</v>
      </c>
      <c r="K76" s="403">
        <f ca="1"/>
        <v>6.4680945081369706E-2</v>
      </c>
      <c r="L76" s="403">
        <f ca="1"/>
        <v>6.4680945081369706E-2</v>
      </c>
      <c r="M76" s="403">
        <f ca="1"/>
        <v>-4.24784467170358E-4</v>
      </c>
      <c r="N76" s="441" t="str">
        <f ca="1"/>
        <v>CENTRICA PLC</v>
      </c>
      <c r="O76" s="403"/>
      <c r="P76" s="403"/>
      <c r="Q76" s="403"/>
      <c r="R76" s="441"/>
      <c r="S76" s="433"/>
      <c r="T76" s="412" cm="1">
        <f t="array" aca="1" ref="T76:X76" ca="1">IF(AND($U$12,B100&lt;=$C$17,C100&lt;&gt;""),TRANSPOSE(INDEX(getcds(C100,$C$6,G100/10000,F100,D100,$C$13,$C$14,$C$15,$C$8,,,TRUE,TRUE,FALSE,$C$29:$C$31,$C$33),{1;2;3;4;5})),"")</f>
        <v>-1.6327198397798601E-2</v>
      </c>
      <c r="U76" s="413">
        <f ca="1"/>
        <v>3.0639224118076801E-2</v>
      </c>
      <c r="V76" s="413">
        <f ca="1"/>
        <v>4.6966422515875399E-2</v>
      </c>
      <c r="W76" s="414">
        <f ca="1"/>
        <v>6.5236444414560899E-3</v>
      </c>
      <c r="X76" s="415">
        <f ca="1"/>
        <v>4.6966422515875399</v>
      </c>
      <c r="Y76" s="416">
        <f t="shared" ca="1" si="5"/>
        <v>1.0874000958586724E-2</v>
      </c>
      <c r="Z76" s="417">
        <f t="shared" ca="1" si="2"/>
        <v>-3.3317095243032133E-4</v>
      </c>
      <c r="AA76" s="416">
        <f t="shared" ca="1" si="0"/>
        <v>1.0780157513561617E-2</v>
      </c>
      <c r="AB76" s="418">
        <f t="shared" ca="1" si="1"/>
        <v>6.1974622193832849E-3</v>
      </c>
      <c r="AC76" s="417">
        <f t="shared" ca="1" si="3"/>
        <v>-1.6514783104309258E-5</v>
      </c>
      <c r="AD76" s="220"/>
      <c r="AE76" s="220">
        <f t="shared" ca="1" si="4"/>
        <v>8.3599640368187504E-3</v>
      </c>
    </row>
    <row r="77" spans="1:31" customFormat="1" ht="15">
      <c r="A77" s="220"/>
      <c r="B77" s="267">
        <v>39</v>
      </c>
      <c r="C77" s="68" t="s">
        <v>544</v>
      </c>
      <c r="D77" s="246">
        <f t="shared" ca="1" si="6"/>
        <v>1.0526315789473684</v>
      </c>
      <c r="E77" s="238"/>
      <c r="F77" s="225">
        <v>0.4</v>
      </c>
      <c r="G77" s="425">
        <v>100</v>
      </c>
      <c r="H77" s="377">
        <v>63</v>
      </c>
      <c r="I77" s="403">
        <f ca="1"/>
        <v>-1.22474151013075E-5</v>
      </c>
      <c r="J77" s="403">
        <f ca="1"/>
        <v>4.7923412972661599E-4</v>
      </c>
      <c r="K77" s="403">
        <f ca="1"/>
        <v>-2.5556224696046102E-2</v>
      </c>
      <c r="L77" s="403">
        <f ca="1"/>
        <v>-2.5556224696046102E-2</v>
      </c>
      <c r="M77" s="403">
        <f ca="1"/>
        <v>-1.48405143803165E-5</v>
      </c>
      <c r="N77" s="441" t="str">
        <f ca="1"/>
        <v>E.ON SE</v>
      </c>
      <c r="O77" s="403"/>
      <c r="P77" s="403"/>
      <c r="Q77" s="403"/>
      <c r="R77" s="441"/>
      <c r="S77" s="433"/>
      <c r="T77" s="412" cm="1">
        <f t="array" aca="1" ref="T77:X77" ca="1">IF(AND($U$12,B101&lt;=$C$17,C101&lt;&gt;""),TRANSPOSE(INDEX(getcds(C101,$C$6,G101/10000,F101,D101,$C$13,$C$14,$C$15,$C$8,,,TRUE,TRUE,FALSE,$C$29:$C$31,$C$33),{1;2;3;4;5})),"")</f>
        <v>-2.7749889412538899E-2</v>
      </c>
      <c r="U77" s="413">
        <f ca="1"/>
        <v>1.9506932183035501E-2</v>
      </c>
      <c r="V77" s="413">
        <f ca="1"/>
        <v>4.72568215955744E-2</v>
      </c>
      <c r="W77" s="414">
        <f ca="1"/>
        <v>4.1278553073197596E-3</v>
      </c>
      <c r="X77" s="415">
        <f ca="1"/>
        <v>4.7256821595574401</v>
      </c>
      <c r="Y77" s="416">
        <f t="shared" ca="1" si="5"/>
        <v>1.0874000958586724E-2</v>
      </c>
      <c r="Z77" s="417">
        <f t="shared" ca="1" si="2"/>
        <v>-2.1211839925741404E-4</v>
      </c>
      <c r="AA77" s="416">
        <f t="shared" ca="1" si="0"/>
        <v>-4.25937078267435E-3</v>
      </c>
      <c r="AB77" s="418">
        <f t="shared" ca="1" si="1"/>
        <v>3.9214625419537715E-3</v>
      </c>
      <c r="AC77" s="417">
        <f t="shared" ca="1" si="3"/>
        <v>4.1543628500015688E-6</v>
      </c>
      <c r="AD77" s="220"/>
      <c r="AE77" s="220">
        <f t="shared" ca="1" si="4"/>
        <v>5.6326820328653406E-3</v>
      </c>
    </row>
    <row r="78" spans="1:31" customFormat="1" ht="15">
      <c r="A78" s="220"/>
      <c r="B78" s="267">
        <v>40</v>
      </c>
      <c r="C78" s="68" t="s">
        <v>560</v>
      </c>
      <c r="D78" s="246">
        <f t="shared" ca="1" si="6"/>
        <v>1.0526315789473684</v>
      </c>
      <c r="E78" s="238"/>
      <c r="F78" s="225">
        <v>0.4</v>
      </c>
      <c r="G78" s="425">
        <v>100</v>
      </c>
      <c r="H78" s="377">
        <v>64</v>
      </c>
      <c r="I78" s="403">
        <f ca="1"/>
        <v>2.7073880895025499E-5</v>
      </c>
      <c r="J78" s="403">
        <f ca="1"/>
        <v>4.6968203943645201E-4</v>
      </c>
      <c r="K78" s="403">
        <f ca="1"/>
        <v>5.7642998074846803E-2</v>
      </c>
      <c r="L78" s="403">
        <f ca="1"/>
        <v>5.7642998074846803E-2</v>
      </c>
      <c r="M78" s="403">
        <f ca="1"/>
        <v>-3.9118363541358798E-4</v>
      </c>
      <c r="N78" s="441" t="str">
        <f ca="1"/>
        <v>EDP - ENERGIAS DE PORTUGAL S.A.</v>
      </c>
      <c r="O78" s="403"/>
      <c r="P78" s="403"/>
      <c r="Q78" s="403"/>
      <c r="R78" s="441"/>
      <c r="S78" s="433"/>
      <c r="T78" s="412" cm="1">
        <f t="array" aca="1" ref="T78:X78" ca="1">IF(AND($U$12,B102&lt;=$C$17,C102&lt;&gt;""),TRANSPOSE(INDEX(getcds(C102,$C$6,G102/10000,F102,D102,$C$13,$C$14,$C$15,$C$8,,,TRUE,TRUE,FALSE,$C$29:$C$31,$C$33),{1;2;3;4;5})),"")</f>
        <v>-1.69790907989609E-2</v>
      </c>
      <c r="U78" s="413">
        <f ca="1"/>
        <v>2.9933448112267301E-2</v>
      </c>
      <c r="V78" s="413">
        <f ca="1"/>
        <v>4.6912538911228201E-2</v>
      </c>
      <c r="W78" s="414">
        <f ca="1"/>
        <v>6.3806924133673103E-3</v>
      </c>
      <c r="X78" s="415">
        <f ca="1"/>
        <v>4.6912538911228197</v>
      </c>
      <c r="Y78" s="416">
        <f t="shared" ca="1" si="5"/>
        <v>1.0874000958586724E-2</v>
      </c>
      <c r="Z78" s="417">
        <f t="shared" ca="1" si="2"/>
        <v>-3.2549634346660004E-4</v>
      </c>
      <c r="AA78" s="416">
        <f t="shared" ca="1" si="0"/>
        <v>9.6071663458078011E-3</v>
      </c>
      <c r="AB78" s="418">
        <f t="shared" ca="1" si="1"/>
        <v>6.0616577926989445E-3</v>
      </c>
      <c r="AC78" s="417">
        <f t="shared" ca="1" si="3"/>
        <v>-1.4378780765907913E-5</v>
      </c>
      <c r="AD78" s="220"/>
      <c r="AE78" s="220">
        <f t="shared" ca="1" si="4"/>
        <v>9.5455635873525815E-3</v>
      </c>
    </row>
    <row r="79" spans="1:31" customFormat="1" ht="15">
      <c r="A79" s="220"/>
      <c r="B79" s="267">
        <v>41</v>
      </c>
      <c r="C79" s="68" t="s">
        <v>545</v>
      </c>
      <c r="D79" s="246">
        <f t="shared" ca="1" si="6"/>
        <v>1.0526315789473684</v>
      </c>
      <c r="E79" s="238"/>
      <c r="F79" s="225">
        <v>0.4</v>
      </c>
      <c r="G79" s="425">
        <v>100</v>
      </c>
      <c r="H79" s="377">
        <v>65</v>
      </c>
      <c r="I79" s="403">
        <f ca="1"/>
        <v>3.7286553550950298E-5</v>
      </c>
      <c r="J79" s="403">
        <f ca="1"/>
        <v>4.5827710824247899E-4</v>
      </c>
      <c r="K79" s="403">
        <f ca="1"/>
        <v>8.1362461445972104E-2</v>
      </c>
      <c r="L79" s="403">
        <f ca="1"/>
        <v>8.1362461445972104E-2</v>
      </c>
      <c r="M79" s="403">
        <f ca="1"/>
        <v>-4.8973671327296397E-4</v>
      </c>
      <c r="N79" s="441" t="str">
        <f ca="1"/>
        <v>ELECTRICITE DE FRANCE</v>
      </c>
      <c r="O79" s="403"/>
      <c r="P79" s="403"/>
      <c r="Q79" s="403"/>
      <c r="R79" s="441"/>
      <c r="S79" s="433"/>
      <c r="T79" s="412" cm="1">
        <f t="array" aca="1" ref="T79:X79" ca="1">IF(AND($U$12,B103&lt;=$C$17,C103&lt;&gt;""),TRANSPOSE(INDEX(getcds(C103,$C$6,G103/10000,F103,D103,$C$13,$C$14,$C$15,$C$8,,,TRUE,TRUE,FALSE,$C$29:$C$31,$C$33),{1;2;3;4;5})),"")</f>
        <v>-1.4857107675104401E-2</v>
      </c>
      <c r="U79" s="413">
        <f ca="1"/>
        <v>3.2028797447396298E-2</v>
      </c>
      <c r="V79" s="413">
        <f ca="1"/>
        <v>4.6885905122500703E-2</v>
      </c>
      <c r="W79" s="414">
        <f ca="1"/>
        <v>6.8312208890312304E-3</v>
      </c>
      <c r="X79" s="415">
        <f ca="1"/>
        <v>4.6885905122500704</v>
      </c>
      <c r="Y79" s="416">
        <f t="shared" ca="1" si="5"/>
        <v>1.0874000958586724E-2</v>
      </c>
      <c r="Z79" s="417">
        <f t="shared" ca="1" si="2"/>
        <v>-3.4828117414536754E-4</v>
      </c>
      <c r="AA79" s="416">
        <f t="shared" ca="1" si="0"/>
        <v>1.3560410240995351E-2</v>
      </c>
      <c r="AB79" s="418">
        <f t="shared" ca="1" si="1"/>
        <v>6.4896598445796684E-3</v>
      </c>
      <c r="AC79" s="417">
        <f t="shared" ca="1" si="3"/>
        <v>-2.1716181645621969E-5</v>
      </c>
      <c r="AD79" s="220"/>
      <c r="AE79" s="220">
        <f t="shared" ca="1" si="4"/>
        <v>9.5317636251238472E-3</v>
      </c>
    </row>
    <row r="80" spans="1:31" customFormat="1" ht="15">
      <c r="A80" s="220"/>
      <c r="B80" s="267">
        <v>42</v>
      </c>
      <c r="C80" s="68" t="s">
        <v>546</v>
      </c>
      <c r="D80" s="246">
        <f t="shared" ca="1" si="6"/>
        <v>1.0526315789473684</v>
      </c>
      <c r="E80" s="238"/>
      <c r="F80" s="225">
        <v>0.4</v>
      </c>
      <c r="G80" s="425">
        <v>100</v>
      </c>
      <c r="H80" s="377">
        <v>66</v>
      </c>
      <c r="I80" s="403">
        <f ca="1"/>
        <v>2.7285323960299901E-5</v>
      </c>
      <c r="J80" s="403">
        <f ca="1"/>
        <v>4.6957965475829199E-4</v>
      </c>
      <c r="K80" s="403">
        <f ca="1"/>
        <v>5.8105847823293297E-2</v>
      </c>
      <c r="L80" s="403">
        <f ca="1"/>
        <v>5.8105847823293297E-2</v>
      </c>
      <c r="M80" s="403">
        <f ca="1"/>
        <v>-3.9872697395501897E-4</v>
      </c>
      <c r="N80" s="441" t="str">
        <f ca="1"/>
        <v>ENEL S.P.A.</v>
      </c>
      <c r="O80" s="403"/>
      <c r="P80" s="403"/>
      <c r="Q80" s="403"/>
      <c r="R80" s="441"/>
      <c r="S80" s="433"/>
      <c r="T80" s="412" cm="1">
        <f t="array" aca="1" ref="T80:X80" ca="1">IF(AND($U$12,B104&lt;=$C$17,C104&lt;&gt;""),TRANSPOSE(INDEX(getcds(C104,$C$6,G104/10000,F104,D104,$C$13,$C$14,$C$15,$C$8,,,TRUE,TRUE,FALSE,$C$29:$C$31,$C$33),{1;2;3;4;5})),"")</f>
        <v>-1.6916205139326099E-2</v>
      </c>
      <c r="U80" s="413">
        <f ca="1"/>
        <v>3.0091606101704499E-2</v>
      </c>
      <c r="V80" s="413">
        <f ca="1"/>
        <v>4.7007811241030602E-2</v>
      </c>
      <c r="W80" s="414">
        <f ca="1"/>
        <v>6.4014054914003603E-3</v>
      </c>
      <c r="X80" s="415">
        <f ca="1"/>
        <v>4.7007811241030604</v>
      </c>
      <c r="Y80" s="416">
        <f t="shared" ref="Y80:Y143" ca="1" si="7">IF($U$12,IF(T80="","",$U$13*D104/$C$18),"")</f>
        <v>1.0874000958586724E-2</v>
      </c>
      <c r="Z80" s="417">
        <f t="shared" ref="Z80:Z143" ca="1" si="8">IF($U$12,IF(Y80="","",Y80*($Z$10-W80)*X80),"")</f>
        <v>-3.2721615359534875E-4</v>
      </c>
      <c r="AA80" s="416">
        <f t="shared" ref="AA80:AA143" ca="1" si="9">IF($U$12,IF(OR(T80="",L80=""),"",L80/($C$20-$C$19)),"")</f>
        <v>9.6843079705488822E-3</v>
      </c>
      <c r="AB80" s="418">
        <f t="shared" ref="AB80:AB143" ca="1" si="10">IF($U$12,IF(W80="","",W80*$AC$10),"")</f>
        <v>6.0813352168303421E-3</v>
      </c>
      <c r="AC80" s="417">
        <f t="shared" ref="AC80:AC143" ca="1" si="11">IF($U$12,IF(AA80="","",AA80*(AB80-W80)*X80),"")</f>
        <v>-1.4570819040867715E-5</v>
      </c>
      <c r="AD80" s="220"/>
      <c r="AE80" s="220">
        <f t="shared" ref="AE80:AE109" ca="1" si="12">X80*W80</f>
        <v>7.7167346514629082E-3</v>
      </c>
    </row>
    <row r="81" spans="1:31" customFormat="1" ht="15">
      <c r="A81" s="220"/>
      <c r="B81" s="267">
        <v>43</v>
      </c>
      <c r="C81" s="68" t="s">
        <v>561</v>
      </c>
      <c r="D81" s="246">
        <f t="shared" ca="1" si="6"/>
        <v>1.0526315789473684</v>
      </c>
      <c r="E81" s="238"/>
      <c r="F81" s="225">
        <v>0.4</v>
      </c>
      <c r="G81" s="425">
        <v>100</v>
      </c>
      <c r="H81" s="377">
        <v>67</v>
      </c>
      <c r="I81" s="403">
        <f ca="1"/>
        <v>-6.9752833838698803E-6</v>
      </c>
      <c r="J81" s="403">
        <f ca="1"/>
        <v>4.7722549799337702E-4</v>
      </c>
      <c r="K81" s="403">
        <f ca="1"/>
        <v>-1.4616325852661601E-2</v>
      </c>
      <c r="L81" s="403">
        <f ca="1"/>
        <v>-1.4616325852661601E-2</v>
      </c>
      <c r="M81" s="403">
        <f ca="1"/>
        <v>-6.8671234899106995E-5</v>
      </c>
      <c r="N81" s="441" t="str">
        <f ca="1"/>
        <v>ENGIE</v>
      </c>
      <c r="O81" s="403"/>
      <c r="P81" s="403"/>
      <c r="Q81" s="403"/>
      <c r="R81" s="441"/>
      <c r="S81" s="433"/>
      <c r="T81" s="412" cm="1">
        <f t="array" aca="1" ref="T81:X81" ca="1">IF(AND($U$12,B105&lt;=$C$17,C105&lt;&gt;""),TRANSPOSE(INDEX(getcds(C105,$C$6,G105/10000,F105,D105,$C$13,$C$14,$C$15,$C$8,,,TRUE,TRUE,FALSE,$C$29:$C$31,$C$33),{1;2;3;4;5})),"")</f>
        <v>-2.5357779721360201E-2</v>
      </c>
      <c r="U81" s="413">
        <f ca="1"/>
        <v>2.1836067484477799E-2</v>
      </c>
      <c r="V81" s="413">
        <f ca="1"/>
        <v>4.7193847205838003E-2</v>
      </c>
      <c r="W81" s="414">
        <f ca="1"/>
        <v>4.6268886258072697E-3</v>
      </c>
      <c r="X81" s="415">
        <f ca="1"/>
        <v>4.7193847205838004</v>
      </c>
      <c r="Y81" s="416">
        <f t="shared" ca="1" si="7"/>
        <v>1.0874000958586724E-2</v>
      </c>
      <c r="Z81" s="417">
        <f t="shared" ca="1" si="8"/>
        <v>-2.3744541875797605E-4</v>
      </c>
      <c r="AA81" s="416">
        <f t="shared" ca="1" si="9"/>
        <v>-2.4360543087769333E-3</v>
      </c>
      <c r="AB81" s="418">
        <f t="shared" ca="1" si="10"/>
        <v>4.3955441945169064E-3</v>
      </c>
      <c r="AC81" s="417">
        <f t="shared" ca="1" si="11"/>
        <v>2.6596923141153007E-6</v>
      </c>
      <c r="AD81" s="220"/>
      <c r="AE81" s="220">
        <f t="shared" ca="1" si="12"/>
        <v>6.2456750723365578E-3</v>
      </c>
    </row>
    <row r="82" spans="1:31" customFormat="1" ht="15">
      <c r="A82" s="220"/>
      <c r="B82" s="267">
        <v>44</v>
      </c>
      <c r="C82" s="68" t="s">
        <v>547</v>
      </c>
      <c r="D82" s="246">
        <f t="shared" ca="1" si="6"/>
        <v>1.0526315789473684</v>
      </c>
      <c r="E82" s="238"/>
      <c r="F82" s="225">
        <v>0.4</v>
      </c>
      <c r="G82" s="425">
        <v>100</v>
      </c>
      <c r="H82" s="377">
        <v>68</v>
      </c>
      <c r="I82" s="403">
        <f ca="1"/>
        <v>1.38166529079941E-5</v>
      </c>
      <c r="J82" s="403">
        <f ca="1"/>
        <v>4.7223092476185002E-4</v>
      </c>
      <c r="K82" s="403">
        <f ca="1"/>
        <v>2.9258255195722199E-2</v>
      </c>
      <c r="L82" s="403">
        <f ca="1"/>
        <v>2.9258255195722199E-2</v>
      </c>
      <c r="M82" s="403">
        <f ca="1"/>
        <v>-2.70526146480132E-4</v>
      </c>
      <c r="N82" s="441" t="str">
        <f ca="1"/>
        <v>ENI S.P.A.</v>
      </c>
      <c r="O82" s="403"/>
      <c r="P82" s="403"/>
      <c r="Q82" s="403"/>
      <c r="R82" s="441"/>
      <c r="S82" s="433"/>
      <c r="T82" s="412" cm="1">
        <f t="array" aca="1" ref="T82:X82" ca="1">IF(AND($U$12,B106&lt;=$C$17,C106&lt;&gt;""),TRANSPOSE(INDEX(getcds(C106,$C$6,G106/10000,F106,D106,$C$13,$C$14,$C$15,$C$8,,,TRUE,TRUE,FALSE,$C$29:$C$31,$C$33),{1;2;3;4;5})),"")</f>
        <v>-1.97285581097605E-2</v>
      </c>
      <c r="U82" s="413">
        <f ca="1"/>
        <v>2.72976952273279E-2</v>
      </c>
      <c r="V82" s="413">
        <f ca="1"/>
        <v>4.7026253337088403E-2</v>
      </c>
      <c r="W82" s="414">
        <f ca="1"/>
        <v>5.8047778188186801E-3</v>
      </c>
      <c r="X82" s="415">
        <f ca="1"/>
        <v>4.7026253337088404</v>
      </c>
      <c r="Y82" s="416">
        <f t="shared" ca="1" si="7"/>
        <v>1.0874000958586724E-2</v>
      </c>
      <c r="Z82" s="417">
        <f t="shared" ca="1" si="8"/>
        <v>-2.9683516406917146E-4</v>
      </c>
      <c r="AA82" s="416">
        <f t="shared" ca="1" si="9"/>
        <v>4.8763758659536999E-3</v>
      </c>
      <c r="AB82" s="418">
        <f t="shared" ca="1" si="10"/>
        <v>5.5145389278777462E-3</v>
      </c>
      <c r="AC82" s="417">
        <f t="shared" ca="1" si="11"/>
        <v>-6.6556911101350524E-6</v>
      </c>
      <c r="AD82" s="220"/>
      <c r="AE82" s="220">
        <f t="shared" ca="1" si="12"/>
        <v>8.0557223684549831E-3</v>
      </c>
    </row>
    <row r="83" spans="1:31" customFormat="1" ht="15">
      <c r="A83" s="220"/>
      <c r="B83" s="267">
        <v>45</v>
      </c>
      <c r="C83" s="68" t="s">
        <v>615</v>
      </c>
      <c r="D83" s="246">
        <f t="shared" ca="1" si="6"/>
        <v>1.0526315789473684</v>
      </c>
      <c r="E83" s="238"/>
      <c r="F83" s="225">
        <v>0.4</v>
      </c>
      <c r="G83" s="425">
        <v>100</v>
      </c>
      <c r="H83" s="377">
        <v>69</v>
      </c>
      <c r="I83" s="403">
        <f ca="1"/>
        <v>-1.50111840179479E-5</v>
      </c>
      <c r="J83" s="403">
        <f ca="1"/>
        <v>4.8407062209777799E-4</v>
      </c>
      <c r="K83" s="403">
        <f ca="1"/>
        <v>-3.1010318190546501E-2</v>
      </c>
      <c r="L83" s="403">
        <f ca="1"/>
        <v>-3.1010318190546501E-2</v>
      </c>
      <c r="M83" s="403">
        <f ca="1"/>
        <v>3.2819750214858598E-5</v>
      </c>
      <c r="N83" s="441" t="str">
        <f ca="1"/>
        <v>EQUINOR ASA</v>
      </c>
      <c r="O83" s="403"/>
      <c r="P83" s="403"/>
      <c r="Q83" s="403"/>
      <c r="R83" s="441"/>
      <c r="S83" s="433"/>
      <c r="T83" s="412" cm="1">
        <f t="array" aca="1" ref="T83:X83" ca="1">IF(AND($U$12,B107&lt;=$C$17,C107&lt;&gt;""),TRANSPOSE(INDEX(getcds(C107,$C$6,G107/10000,F107,D107,$C$13,$C$14,$C$15,$C$8,,,TRUE,TRUE,FALSE,$C$29:$C$31,$C$33),{1;2;3;4;5})),"")</f>
        <v>-3.3848824303672302E-2</v>
      </c>
      <c r="U83" s="413">
        <f ca="1"/>
        <v>1.35640062207946E-2</v>
      </c>
      <c r="V83" s="413">
        <f ca="1"/>
        <v>4.7412830524466897E-2</v>
      </c>
      <c r="W83" s="414">
        <f ca="1"/>
        <v>2.8608303007336901E-3</v>
      </c>
      <c r="X83" s="415">
        <f ca="1"/>
        <v>4.7412830524466898</v>
      </c>
      <c r="Y83" s="416">
        <f t="shared" ca="1" si="7"/>
        <v>1.0874000958586724E-2</v>
      </c>
      <c r="Z83" s="417">
        <f t="shared" ca="1" si="8"/>
        <v>-1.474950166471969E-4</v>
      </c>
      <c r="AA83" s="416">
        <f t="shared" ca="1" si="9"/>
        <v>-5.1683863650910837E-3</v>
      </c>
      <c r="AB83" s="418">
        <f t="shared" ca="1" si="10"/>
        <v>2.7177887856970053E-3</v>
      </c>
      <c r="AC83" s="417">
        <f t="shared" ca="1" si="11"/>
        <v>3.5052012403782813E-6</v>
      </c>
      <c r="AD83" s="220"/>
      <c r="AE83" s="220">
        <f t="shared" ca="1" si="12"/>
        <v>4.1544199459633063E-3</v>
      </c>
    </row>
    <row r="84" spans="1:31" customFormat="1" ht="15">
      <c r="A84" s="220"/>
      <c r="B84" s="267">
        <v>46</v>
      </c>
      <c r="C84" s="68" t="s">
        <v>562</v>
      </c>
      <c r="D84" s="246">
        <f t="shared" ca="1" si="6"/>
        <v>1.0526315789473684</v>
      </c>
      <c r="E84" s="238"/>
      <c r="F84" s="225">
        <v>0.4</v>
      </c>
      <c r="G84" s="425">
        <v>100</v>
      </c>
      <c r="H84" s="377">
        <v>70</v>
      </c>
      <c r="I84" s="403">
        <f ca="1"/>
        <v>-5.5472473398898698E-6</v>
      </c>
      <c r="J84" s="403">
        <f ca="1"/>
        <v>4.7680613879476803E-4</v>
      </c>
      <c r="K84" s="403">
        <f ca="1"/>
        <v>-1.16341776846912E-2</v>
      </c>
      <c r="L84" s="403">
        <f ca="1"/>
        <v>-1.16341776846912E-2</v>
      </c>
      <c r="M84" s="403">
        <f ca="1"/>
        <v>-8.3794176425542298E-5</v>
      </c>
      <c r="N84" s="441" t="str">
        <f ca="1"/>
        <v>FORTUM OYJ</v>
      </c>
      <c r="O84" s="403"/>
      <c r="P84" s="403"/>
      <c r="Q84" s="403"/>
      <c r="R84" s="441"/>
      <c r="S84" s="433"/>
      <c r="T84" s="412" cm="1">
        <f t="array" aca="1" ref="T84:X84" ca="1">IF(AND($U$12,B108&lt;=$C$17,C108&lt;&gt;""),TRANSPOSE(INDEX(getcds(C108,$C$6,G108/10000,F108,D108,$C$13,$C$14,$C$15,$C$8,,,TRUE,TRUE,FALSE,$C$29:$C$31,$C$33),{1;2;3;4;5})),"")</f>
        <v>-2.48114663415301E-2</v>
      </c>
      <c r="U84" s="413">
        <f ca="1"/>
        <v>2.2387041436066801E-2</v>
      </c>
      <c r="V84" s="413">
        <f ca="1"/>
        <v>4.7198507777596897E-2</v>
      </c>
      <c r="W84" s="414">
        <f ca="1"/>
        <v>4.7431672080728302E-3</v>
      </c>
      <c r="X84" s="415">
        <f ca="1"/>
        <v>4.7198507777596896</v>
      </c>
      <c r="Y84" s="416">
        <f t="shared" ca="1" si="7"/>
        <v>1.0874000958586724E-2</v>
      </c>
      <c r="Z84" s="417">
        <f t="shared" ca="1" si="8"/>
        <v>-2.4343671003571114E-4</v>
      </c>
      <c r="AA84" s="416">
        <f t="shared" ca="1" si="9"/>
        <v>-1.9390296141152E-3</v>
      </c>
      <c r="AB84" s="418">
        <f t="shared" ca="1" si="10"/>
        <v>4.5060088476691889E-3</v>
      </c>
      <c r="AC84" s="417">
        <f t="shared" ca="1" si="11"/>
        <v>2.1704568158478782E-6</v>
      </c>
      <c r="AD84" s="220"/>
      <c r="AE84" s="220">
        <f t="shared" ca="1" si="12"/>
        <v>6.0236785993917144E-3</v>
      </c>
    </row>
    <row r="85" spans="1:31" customFormat="1" ht="15">
      <c r="A85" s="220"/>
      <c r="B85" s="267">
        <v>47</v>
      </c>
      <c r="C85" s="68" t="s">
        <v>548</v>
      </c>
      <c r="D85" s="246">
        <f t="shared" ca="1" si="6"/>
        <v>1.0526315789473684</v>
      </c>
      <c r="E85" s="238"/>
      <c r="F85" s="225">
        <v>0.4</v>
      </c>
      <c r="G85" s="425">
        <v>100</v>
      </c>
      <c r="H85" s="377">
        <v>71</v>
      </c>
      <c r="I85" s="403">
        <f ca="1"/>
        <v>-1.2996078039146901E-5</v>
      </c>
      <c r="J85" s="403">
        <f ca="1"/>
        <v>4.7961986082576899E-4</v>
      </c>
      <c r="K85" s="403">
        <f ca="1"/>
        <v>-2.7096621930483299E-2</v>
      </c>
      <c r="L85" s="403">
        <f ca="1"/>
        <v>-2.7096621930483299E-2</v>
      </c>
      <c r="M85" s="403">
        <f ca="1"/>
        <v>-7.2145073335683197E-6</v>
      </c>
      <c r="N85" s="441" t="str">
        <f ca="1"/>
        <v>IBERDROLA, S.A.</v>
      </c>
      <c r="O85" s="403"/>
      <c r="P85" s="403"/>
      <c r="Q85" s="403"/>
      <c r="R85" s="441"/>
      <c r="S85" s="433"/>
      <c r="T85" s="412" cm="1">
        <f t="array" aca="1" ref="T85:X85" ca="1">IF(AND($U$12,B109&lt;=$C$17,C109&lt;&gt;""),TRANSPOSE(INDEX(getcds(C109,$C$6,G109/10000,F109,D109,$C$13,$C$14,$C$15,$C$8,,,TRUE,TRUE,FALSE,$C$29:$C$31,$C$33),{1;2;3;4;5})),"")</f>
        <v>-2.8178518816737299E-2</v>
      </c>
      <c r="U85" s="413">
        <f ca="1"/>
        <v>1.9097938793820799E-2</v>
      </c>
      <c r="V85" s="413">
        <f ca="1"/>
        <v>4.7276457610558098E-2</v>
      </c>
      <c r="W85" s="414">
        <f ca="1"/>
        <v>4.03962981980185E-3</v>
      </c>
      <c r="X85" s="415">
        <f ca="1"/>
        <v>4.7276457610558102</v>
      </c>
      <c r="Y85" s="416">
        <f t="shared" ca="1" si="7"/>
        <v>1.0874000958586724E-2</v>
      </c>
      <c r="Z85" s="417">
        <f t="shared" ca="1" si="8"/>
        <v>-2.0767100475103863E-4</v>
      </c>
      <c r="AA85" s="416">
        <f t="shared" ca="1" si="9"/>
        <v>-4.5161036550805502E-3</v>
      </c>
      <c r="AB85" s="418">
        <f t="shared" ca="1" si="10"/>
        <v>3.8376483288117573E-3</v>
      </c>
      <c r="AC85" s="417">
        <f t="shared" ca="1" si="11"/>
        <v>4.3124135595639564E-6</v>
      </c>
      <c r="AD85" s="220"/>
      <c r="AE85" s="220">
        <f t="shared" ca="1" si="12"/>
        <v>5.3641651032835186E-3</v>
      </c>
    </row>
    <row r="86" spans="1:31" customFormat="1" ht="15">
      <c r="A86" s="220"/>
      <c r="B86" s="267">
        <v>48</v>
      </c>
      <c r="C86" s="68" t="s">
        <v>563</v>
      </c>
      <c r="D86" s="246">
        <f t="shared" ca="1" si="6"/>
        <v>1.0526315789473684</v>
      </c>
      <c r="E86" s="238"/>
      <c r="F86" s="225">
        <v>0.4</v>
      </c>
      <c r="G86" s="425">
        <v>100</v>
      </c>
      <c r="H86" s="377">
        <v>72</v>
      </c>
      <c r="I86" s="403">
        <f ca="1"/>
        <v>1.8845860014655699E-5</v>
      </c>
      <c r="J86" s="403">
        <f ca="1"/>
        <v>4.7123478527512499E-4</v>
      </c>
      <c r="K86" s="403">
        <f ca="1"/>
        <v>3.99925060787963E-2</v>
      </c>
      <c r="L86" s="403">
        <f ca="1"/>
        <v>3.99925060787963E-2</v>
      </c>
      <c r="M86" s="403">
        <f ca="1"/>
        <v>-3.16814704242618E-4</v>
      </c>
      <c r="N86" s="441" t="str">
        <f ca="1"/>
        <v>NATIONAL GRID PLC</v>
      </c>
      <c r="O86" s="403"/>
      <c r="P86" s="403"/>
      <c r="Q86" s="403"/>
      <c r="R86" s="441"/>
      <c r="S86" s="433"/>
      <c r="T86" s="412" cm="1">
        <f t="array" aca="1" ref="T86:X86" ca="1">IF(AND($U$12,B110&lt;=$C$17,C110&lt;&gt;""),TRANSPOSE(INDEX(getcds(C110,$C$6,G110/10000,F110,D110,$C$13,$C$14,$C$15,$C$8,,,TRUE,TRUE,FALSE,$C$29:$C$31,$C$33),{1;2;3;4;5})),"")</f>
        <v>-1.86534222085281E-2</v>
      </c>
      <c r="U86" s="413">
        <f ca="1"/>
        <v>2.8325194122463201E-2</v>
      </c>
      <c r="V86" s="413">
        <f ca="1"/>
        <v>4.6978616330991298E-2</v>
      </c>
      <c r="W86" s="414">
        <f ca="1"/>
        <v>6.0293802445980796E-3</v>
      </c>
      <c r="X86" s="415">
        <f ca="1"/>
        <v>4.6978616330991301</v>
      </c>
      <c r="Y86" s="416">
        <f t="shared" ca="1" si="7"/>
        <v>1.0874000958586724E-2</v>
      </c>
      <c r="Z86" s="417">
        <f t="shared" ca="1" si="8"/>
        <v>-3.0800818803981952E-4</v>
      </c>
      <c r="AA86" s="416">
        <f t="shared" ca="1" si="9"/>
        <v>6.6654176797993833E-3</v>
      </c>
      <c r="AB86" s="418">
        <f t="shared" ca="1" si="10"/>
        <v>5.7279112323681755E-3</v>
      </c>
      <c r="AC86" s="417">
        <f t="shared" ca="1" si="11"/>
        <v>-9.4399624843807821E-6</v>
      </c>
      <c r="AD86" s="220"/>
      <c r="AE86" s="220">
        <f t="shared" ca="1" si="12"/>
        <v>8.6986056660482876E-3</v>
      </c>
    </row>
    <row r="87" spans="1:31" customFormat="1" ht="15">
      <c r="A87" s="220"/>
      <c r="B87" s="267">
        <v>49</v>
      </c>
      <c r="C87" s="68" t="s">
        <v>549</v>
      </c>
      <c r="D87" s="246">
        <f t="shared" ca="1" si="6"/>
        <v>1.0526315789473684</v>
      </c>
      <c r="E87" s="238"/>
      <c r="F87" s="225">
        <v>0.4</v>
      </c>
      <c r="G87" s="425">
        <v>100</v>
      </c>
      <c r="H87" s="377">
        <v>73</v>
      </c>
      <c r="I87" s="403">
        <f ca="1"/>
        <v>-3.1369427305927301E-6</v>
      </c>
      <c r="J87" s="403">
        <f ca="1"/>
        <v>4.7608500179360699E-4</v>
      </c>
      <c r="K87" s="403">
        <f ca="1"/>
        <v>-6.5890391816053502E-3</v>
      </c>
      <c r="L87" s="403">
        <f ca="1"/>
        <v>-6.5890391816053502E-3</v>
      </c>
      <c r="M87" s="403">
        <f ca="1"/>
        <v>-1.05884096802775E-4</v>
      </c>
      <c r="N87" s="441" t="str">
        <f ca="1"/>
        <v>NATURGY ENERGY GROUP, S.A.</v>
      </c>
      <c r="O87" s="403"/>
      <c r="P87" s="403"/>
      <c r="Q87" s="403"/>
      <c r="R87" s="441"/>
      <c r="S87" s="433"/>
      <c r="T87" s="412" cm="1">
        <f t="array" aca="1" ref="T87:X87" ca="1">IF(AND($U$12,B111&lt;=$C$17,C111&lt;&gt;""),TRANSPOSE(INDEX(getcds(C111,$C$6,G111/10000,F111,D111,$C$13,$C$14,$C$15,$C$8,,,TRUE,TRUE,FALSE,$C$29:$C$31,$C$33),{1;2;3;4;5})),"")</f>
        <v>-2.4088766696866399E-2</v>
      </c>
      <c r="U87" s="413">
        <f ca="1"/>
        <v>2.3051694188693801E-2</v>
      </c>
      <c r="V87" s="413">
        <f ca="1"/>
        <v>4.7140460885560197E-2</v>
      </c>
      <c r="W87" s="414">
        <f ca="1"/>
        <v>4.8900018700824503E-3</v>
      </c>
      <c r="X87" s="415">
        <f ca="1"/>
        <v>4.71404608855602</v>
      </c>
      <c r="Y87" s="416">
        <f t="shared" ca="1" si="7"/>
        <v>1.0874000958586724E-2</v>
      </c>
      <c r="Z87" s="417">
        <f t="shared" ca="1" si="8"/>
        <v>-2.5066414470490436E-4</v>
      </c>
      <c r="AA87" s="416">
        <f t="shared" ca="1" si="9"/>
        <v>-1.098173196934225E-3</v>
      </c>
      <c r="AB87" s="418">
        <f t="shared" ca="1" si="10"/>
        <v>4.6455017765783275E-3</v>
      </c>
      <c r="AC87" s="417">
        <f t="shared" ca="1" si="11"/>
        <v>1.2657376350973995E-6</v>
      </c>
      <c r="AD87" s="220"/>
      <c r="AE87" s="220">
        <f t="shared" ca="1" si="12"/>
        <v>6.9504574422507726E-3</v>
      </c>
    </row>
    <row r="88" spans="1:31" customFormat="1" ht="15">
      <c r="A88" s="220"/>
      <c r="B88" s="267">
        <v>50</v>
      </c>
      <c r="C88" s="68" t="s">
        <v>550</v>
      </c>
      <c r="D88" s="246">
        <f t="shared" ca="1" si="6"/>
        <v>1.0526315789473684</v>
      </c>
      <c r="E88" s="238"/>
      <c r="F88" s="225">
        <v>0.4</v>
      </c>
      <c r="G88" s="425">
        <v>100</v>
      </c>
      <c r="H88" s="377">
        <v>74</v>
      </c>
      <c r="I88" s="403">
        <f ca="1"/>
        <v>2.49374833446736E-5</v>
      </c>
      <c r="J88" s="403">
        <f ca="1"/>
        <v>4.7007884262587502E-4</v>
      </c>
      <c r="K88" s="403">
        <f ca="1"/>
        <v>5.30495761208312E-2</v>
      </c>
      <c r="L88" s="403">
        <f ca="1"/>
        <v>5.30495761208312E-2</v>
      </c>
      <c r="M88" s="403">
        <f ca="1"/>
        <v>-3.723012452134E-4</v>
      </c>
      <c r="N88" s="441" t="str">
        <f ca="1"/>
        <v>REPSOL, S.A.</v>
      </c>
      <c r="O88" s="403"/>
      <c r="P88" s="403"/>
      <c r="Q88" s="403"/>
      <c r="R88" s="441"/>
      <c r="S88" s="433"/>
      <c r="T88" s="412" cm="1">
        <f t="array" aca="1" ref="T88:X88" ca="1">IF(AND($U$12,B112&lt;=$C$17,C112&lt;&gt;""),TRANSPOSE(INDEX(getcds(C112,$C$6,G112/10000,F112,D112,$C$13,$C$14,$C$15,$C$8,,,TRUE,TRUE,FALSE,$C$29:$C$31,$C$33),{1;2;3;4;5})),"")</f>
        <v>-1.7404876636027002E-2</v>
      </c>
      <c r="U88" s="413">
        <f ca="1"/>
        <v>2.9527291429538201E-2</v>
      </c>
      <c r="V88" s="413">
        <f ca="1"/>
        <v>4.6932168065565202E-2</v>
      </c>
      <c r="W88" s="414">
        <f ca="1"/>
        <v>6.2914825047690097E-3</v>
      </c>
      <c r="X88" s="415">
        <f ca="1"/>
        <v>4.6932168065565198</v>
      </c>
      <c r="Y88" s="416">
        <f t="shared" ca="1" si="7"/>
        <v>1.0874000958586724E-2</v>
      </c>
      <c r="Z88" s="417">
        <f t="shared" ca="1" si="8"/>
        <v>-3.210797953092682E-4</v>
      </c>
      <c r="AA88" s="416">
        <f t="shared" ca="1" si="9"/>
        <v>8.8415960201385334E-3</v>
      </c>
      <c r="AB88" s="418">
        <f t="shared" ca="1" si="10"/>
        <v>5.9769083795305593E-3</v>
      </c>
      <c r="AC88" s="417">
        <f t="shared" ca="1" si="11"/>
        <v>-1.3053419119443788E-5</v>
      </c>
      <c r="AD88" s="220"/>
      <c r="AE88" s="220">
        <f t="shared" ca="1" si="12"/>
        <v>9.2764097404042598E-3</v>
      </c>
    </row>
    <row r="89" spans="1:31" customFormat="1" ht="15">
      <c r="A89" s="220"/>
      <c r="B89" s="267">
        <v>51</v>
      </c>
      <c r="C89" s="68" t="s">
        <v>551</v>
      </c>
      <c r="D89" s="246">
        <f t="shared" ca="1" si="6"/>
        <v>1.0526315789473684</v>
      </c>
      <c r="E89" s="238"/>
      <c r="F89" s="225">
        <v>0.4</v>
      </c>
      <c r="G89" s="425">
        <v>100</v>
      </c>
      <c r="H89" s="377">
        <v>75</v>
      </c>
      <c r="I89" s="403">
        <f ca="1"/>
        <v>-1.5733985956321002E-5</v>
      </c>
      <c r="J89" s="403">
        <f ca="1"/>
        <v>4.8262771783978399E-4</v>
      </c>
      <c r="K89" s="403">
        <f ca="1"/>
        <v>-3.2600667915936299E-2</v>
      </c>
      <c r="L89" s="403">
        <f ca="1"/>
        <v>-3.2600667915936299E-2</v>
      </c>
      <c r="M89" s="403">
        <f ca="1"/>
        <v>2.9861514560884899E-5</v>
      </c>
      <c r="N89" s="441" t="str">
        <f ca="1"/>
        <v>SHELL PLC</v>
      </c>
      <c r="O89" s="403"/>
      <c r="P89" s="403"/>
      <c r="Q89" s="403"/>
      <c r="R89" s="441"/>
      <c r="S89" s="433"/>
      <c r="T89" s="412" cm="1">
        <f t="array" aca="1" ref="T89:X89" ca="1">IF(AND($U$12,B113&lt;=$C$17,C113&lt;&gt;""),TRANSPOSE(INDEX(getcds(C113,$C$6,G113/10000,F113,D113,$C$13,$C$14,$C$15,$C$8,,,TRUE,TRUE,FALSE,$C$29:$C$31,$C$33),{1;2;3;4;5})),"")</f>
        <v>-3.1942221549906502E-2</v>
      </c>
      <c r="U89" s="413">
        <f ca="1"/>
        <v>1.54275069725972E-2</v>
      </c>
      <c r="V89" s="413">
        <f ca="1"/>
        <v>4.73697285225037E-2</v>
      </c>
      <c r="W89" s="414">
        <f ca="1"/>
        <v>3.25682824322459E-3</v>
      </c>
      <c r="X89" s="415">
        <f ca="1"/>
        <v>4.7369728522503696</v>
      </c>
      <c r="Y89" s="416">
        <f t="shared" ca="1" si="7"/>
        <v>1.0874000958586724E-2</v>
      </c>
      <c r="Z89" s="417">
        <f t="shared" ca="1" si="8"/>
        <v>-1.6775872560862473E-4</v>
      </c>
      <c r="AA89" s="416">
        <f t="shared" ca="1" si="9"/>
        <v>-5.4334446526560498E-3</v>
      </c>
      <c r="AB89" s="418">
        <f t="shared" ca="1" si="10"/>
        <v>3.0939868310633604E-3</v>
      </c>
      <c r="AC89" s="417">
        <f t="shared" ca="1" si="11"/>
        <v>4.1912252632035959E-6</v>
      </c>
      <c r="AD89" s="220"/>
      <c r="AE89" s="220">
        <f t="shared" ca="1" si="12"/>
        <v>4.5092412496482888E-3</v>
      </c>
    </row>
    <row r="90" spans="1:31" customFormat="1" ht="15">
      <c r="A90" s="220"/>
      <c r="B90" s="267">
        <v>52</v>
      </c>
      <c r="C90" s="68" t="s">
        <v>552</v>
      </c>
      <c r="D90" s="246">
        <f t="shared" ca="1" si="6"/>
        <v>1.0526315789473684</v>
      </c>
      <c r="E90" s="238"/>
      <c r="F90" s="225">
        <v>0.4</v>
      </c>
      <c r="G90" s="425">
        <v>100</v>
      </c>
      <c r="H90" s="377">
        <v>76</v>
      </c>
      <c r="I90" s="403">
        <f ca="1"/>
        <v>-1.5643918683547799E-5</v>
      </c>
      <c r="J90" s="403">
        <f ca="1"/>
        <v>4.8334466919428302E-4</v>
      </c>
      <c r="K90" s="403">
        <f ca="1"/>
        <v>-3.2365969215354402E-2</v>
      </c>
      <c r="L90" s="403">
        <f ca="1"/>
        <v>-3.2365969215354402E-2</v>
      </c>
      <c r="M90" s="403">
        <f ca="1"/>
        <v>3.2704146178341801E-5</v>
      </c>
      <c r="N90" s="441" t="str">
        <f ca="1"/>
        <v>TOTALENERGIES SE</v>
      </c>
      <c r="O90" s="403"/>
      <c r="P90" s="403"/>
      <c r="Q90" s="403"/>
      <c r="R90" s="441"/>
      <c r="S90" s="433"/>
      <c r="T90" s="412" cm="1">
        <f t="array" aca="1" ref="T90:X90" ca="1">IF(AND($U$12,B114&lt;=$C$17,C114&lt;&gt;""),TRANSPOSE(INDEX(getcds(C114,$C$6,G114/10000,F114,D114,$C$13,$C$14,$C$15,$C$8,,,TRUE,TRUE,FALSE,$C$29:$C$31,$C$33),{1;2;3;4;5})),"")</f>
        <v>-3.2790752934201702E-2</v>
      </c>
      <c r="U90" s="413">
        <f ca="1"/>
        <v>1.4610980970987999E-2</v>
      </c>
      <c r="V90" s="413">
        <f ca="1"/>
        <v>4.7401733905189702E-2</v>
      </c>
      <c r="W90" s="414">
        <f ca="1"/>
        <v>3.0823726828668502E-3</v>
      </c>
      <c r="X90" s="415">
        <f ca="1"/>
        <v>4.7401733905189696</v>
      </c>
      <c r="Y90" s="416">
        <f t="shared" ca="1" si="7"/>
        <v>1.0874000958586724E-2</v>
      </c>
      <c r="Z90" s="417">
        <f t="shared" ca="1" si="8"/>
        <v>-1.5887982108441602E-4</v>
      </c>
      <c r="AA90" s="416">
        <f t="shared" ca="1" si="9"/>
        <v>-5.3943282025590671E-3</v>
      </c>
      <c r="AB90" s="418">
        <f t="shared" ca="1" si="10"/>
        <v>2.9282540487235074E-3</v>
      </c>
      <c r="AC90" s="417">
        <f t="shared" ca="1" si="11"/>
        <v>3.940821335942732E-6</v>
      </c>
      <c r="AD90" s="220"/>
      <c r="AE90" s="220">
        <f t="shared" ca="1" si="12"/>
        <v>4.1080232978809115E-3</v>
      </c>
    </row>
    <row r="91" spans="1:31" customFormat="1" ht="15">
      <c r="A91" s="220"/>
      <c r="B91" s="267">
        <v>53</v>
      </c>
      <c r="C91" s="68" t="s">
        <v>553</v>
      </c>
      <c r="D91" s="246">
        <f t="shared" ca="1" si="6"/>
        <v>1.0526315789473684</v>
      </c>
      <c r="E91" s="238"/>
      <c r="F91" s="225">
        <v>0.4</v>
      </c>
      <c r="G91" s="425">
        <v>100</v>
      </c>
      <c r="H91" s="377">
        <v>77</v>
      </c>
      <c r="I91" s="403">
        <f ca="1"/>
        <v>-9.3931202922847795E-6</v>
      </c>
      <c r="J91" s="403">
        <f ca="1"/>
        <v>4.7805395070359602E-4</v>
      </c>
      <c r="K91" s="403">
        <f ca="1"/>
        <v>-1.9648661575665399E-2</v>
      </c>
      <c r="L91" s="403">
        <f ca="1"/>
        <v>-1.9648661575665399E-2</v>
      </c>
      <c r="M91" s="403">
        <f ca="1"/>
        <v>-4.4693313011609999E-5</v>
      </c>
      <c r="N91" s="441" t="str">
        <f ca="1"/>
        <v>VEOLIA ENVIRONNEMENT</v>
      </c>
      <c r="O91" s="403"/>
      <c r="P91" s="403"/>
      <c r="Q91" s="403"/>
      <c r="R91" s="441"/>
      <c r="S91" s="433"/>
      <c r="T91" s="412" cm="1">
        <f t="array" aca="1" ref="T91:X91" ca="1">IF(AND($U$12,B115&lt;=$C$17,C115&lt;&gt;""),TRANSPOSE(INDEX(getcds(C115,$C$6,G115/10000,F115,D115,$C$13,$C$14,$C$15,$C$8,,,TRUE,TRUE,FALSE,$C$29:$C$31,$C$33),{1;2;3;4;5})),"")</f>
        <v>-2.6301247699996401E-2</v>
      </c>
      <c r="U91" s="413">
        <f ca="1"/>
        <v>2.0926625340960001E-2</v>
      </c>
      <c r="V91" s="413">
        <f ca="1"/>
        <v>4.7227873040956402E-2</v>
      </c>
      <c r="W91" s="414">
        <f ca="1"/>
        <v>4.4309904286420499E-3</v>
      </c>
      <c r="X91" s="415">
        <f ca="1"/>
        <v>4.7227873040956396</v>
      </c>
      <c r="Y91" s="416">
        <f t="shared" ca="1" si="7"/>
        <v>1.0874000958586724E-2</v>
      </c>
      <c r="Z91" s="417">
        <f t="shared" ca="1" si="8"/>
        <v>-2.2755614401758392E-4</v>
      </c>
      <c r="AA91" s="416">
        <f t="shared" ca="1" si="9"/>
        <v>-3.2747769292775664E-3</v>
      </c>
      <c r="AB91" s="418">
        <f t="shared" ca="1" si="10"/>
        <v>4.209440907209947E-3</v>
      </c>
      <c r="AC91" s="417">
        <f t="shared" ca="1" si="11"/>
        <v>3.4265014937105568E-6</v>
      </c>
      <c r="AD91" s="220"/>
      <c r="AE91" s="220">
        <f t="shared" ca="1" si="12"/>
        <v>5.8293674590938292E-3</v>
      </c>
    </row>
    <row r="92" spans="1:31" customFormat="1" ht="15">
      <c r="A92" s="220"/>
      <c r="B92" s="267">
        <v>54</v>
      </c>
      <c r="C92" s="68" t="s">
        <v>554</v>
      </c>
      <c r="D92" s="246">
        <f t="shared" ca="1" si="6"/>
        <v>1.0526315789473684</v>
      </c>
      <c r="E92" s="238"/>
      <c r="F92" s="225">
        <v>0.4</v>
      </c>
      <c r="G92" s="425">
        <v>100</v>
      </c>
      <c r="H92" s="377">
        <v>78</v>
      </c>
      <c r="I92" s="403">
        <f ca="1"/>
        <v>-1.5479691986353102E-5</v>
      </c>
      <c r="J92" s="403">
        <f ca="1"/>
        <v>4.8179380695369901E-4</v>
      </c>
      <c r="K92" s="403">
        <f ca="1"/>
        <v>-3.2129288012705197E-2</v>
      </c>
      <c r="L92" s="403">
        <f ca="1"/>
        <v>-3.2129288012705197E-2</v>
      </c>
      <c r="M92" s="403">
        <f ca="1"/>
        <v>2.4069401515427398E-5</v>
      </c>
      <c r="N92" s="441" t="str">
        <f ca="1"/>
        <v>BERTELSMANN SE &amp; CO. KGAA</v>
      </c>
      <c r="O92" s="403"/>
      <c r="P92" s="403"/>
      <c r="Q92" s="403"/>
      <c r="R92" s="441"/>
      <c r="S92" s="433"/>
      <c r="T92" s="412" cm="1">
        <f t="array" aca="1" ref="T92:X92" ca="1">IF(AND($U$12,B116&lt;=$C$17,C116&lt;&gt;""),TRANSPOSE(INDEX(getcds(C116,$C$6,G116/10000,F116,D116,$C$13,$C$14,$C$15,$C$8,,,TRUE,TRUE,FALSE,$C$29:$C$31,$C$33),{1;2;3;4;5})),"")</f>
        <v>-3.0961301290936001E-2</v>
      </c>
      <c r="U92" s="413">
        <f ca="1"/>
        <v>1.6370956238171301E-2</v>
      </c>
      <c r="V92" s="413">
        <f ca="1"/>
        <v>4.7332257529107302E-2</v>
      </c>
      <c r="W92" s="414">
        <f ca="1"/>
        <v>3.4587313373134298E-3</v>
      </c>
      <c r="X92" s="415">
        <f ca="1"/>
        <v>4.7332257529107302</v>
      </c>
      <c r="Y92" s="416">
        <f t="shared" ca="1" si="7"/>
        <v>1.0874000958586724E-2</v>
      </c>
      <c r="Z92" s="417">
        <f t="shared" ca="1" si="8"/>
        <v>-1.7801779382685599E-4</v>
      </c>
      <c r="AA92" s="416">
        <f t="shared" ca="1" si="9"/>
        <v>-5.3548813354508664E-3</v>
      </c>
      <c r="AB92" s="418">
        <f t="shared" ca="1" si="10"/>
        <v>3.285794770447758E-3</v>
      </c>
      <c r="AC92" s="417">
        <f t="shared" ca="1" si="11"/>
        <v>4.3832264001633298E-6</v>
      </c>
      <c r="AD92" s="220"/>
      <c r="AE92" s="220">
        <f t="shared" ca="1" si="12"/>
        <v>4.9820255389902944E-3</v>
      </c>
    </row>
    <row r="93" spans="1:31" customFormat="1" ht="15">
      <c r="A93" s="220"/>
      <c r="B93" s="267">
        <v>55</v>
      </c>
      <c r="C93" s="68" t="s">
        <v>555</v>
      </c>
      <c r="D93" s="246">
        <f t="shared" ca="1" si="6"/>
        <v>1.0526315789473684</v>
      </c>
      <c r="E93" s="238"/>
      <c r="F93" s="225">
        <v>0.4</v>
      </c>
      <c r="G93" s="425">
        <v>100</v>
      </c>
      <c r="H93" s="377">
        <v>79</v>
      </c>
      <c r="I93" s="403">
        <f ca="1"/>
        <v>5.5932777422769097E-5</v>
      </c>
      <c r="J93" s="403">
        <f ca="1"/>
        <v>4.55465746947977E-4</v>
      </c>
      <c r="K93" s="403">
        <f ca="1"/>
        <v>0.12280347709474999</v>
      </c>
      <c r="L93" s="403">
        <f ca="1"/>
        <v>0.12280347709474999</v>
      </c>
      <c r="M93" s="403">
        <f ca="1"/>
        <v>-6.4457214008247995E-4</v>
      </c>
      <c r="N93" s="441" t="str">
        <f ca="1"/>
        <v>BRITISH TELECOMMUNICATIONS PUBLIC LIMITED COMPANY</v>
      </c>
      <c r="O93" s="403"/>
      <c r="P93" s="403"/>
      <c r="Q93" s="403"/>
      <c r="R93" s="441"/>
      <c r="S93" s="433"/>
      <c r="T93" s="412" cm="1">
        <f t="array" aca="1" ref="T93:X93" ca="1">IF(AND($U$12,B117&lt;=$C$17,C117&lt;&gt;""),TRANSPOSE(INDEX(getcds(C117,$C$6,G117/10000,F117,D117,$C$13,$C$14,$C$15,$C$8,,,TRUE,TRUE,FALSE,$C$29:$C$31,$C$33),{1;2;3;4;5})),"")</f>
        <v>-1.1336225527420999E-2</v>
      </c>
      <c r="U93" s="413">
        <f ca="1"/>
        <v>3.5544521479990702E-2</v>
      </c>
      <c r="V93" s="413">
        <f ca="1"/>
        <v>4.6880747007411697E-2</v>
      </c>
      <c r="W93" s="414">
        <f ca="1"/>
        <v>7.5819016865007003E-3</v>
      </c>
      <c r="X93" s="415">
        <f ca="1"/>
        <v>4.6880747007411703</v>
      </c>
      <c r="Y93" s="416">
        <f t="shared" ca="1" si="7"/>
        <v>1.0874000958586724E-2</v>
      </c>
      <c r="Z93" s="417">
        <f t="shared" ca="1" si="8"/>
        <v>-3.8651116064592579E-4</v>
      </c>
      <c r="AA93" s="416">
        <f t="shared" ca="1" si="9"/>
        <v>2.0467246182458331E-2</v>
      </c>
      <c r="AB93" s="418">
        <f t="shared" ca="1" si="10"/>
        <v>7.2028066021756652E-3</v>
      </c>
      <c r="AC93" s="417">
        <f t="shared" ca="1" si="11"/>
        <v>-3.6374923578432443E-5</v>
      </c>
      <c r="AD93" s="220"/>
      <c r="AE93" s="220">
        <f t="shared" ca="1" si="12"/>
        <v>8.763088184865632E-3</v>
      </c>
    </row>
    <row r="94" spans="1:31" customFormat="1" ht="15">
      <c r="A94" s="220"/>
      <c r="B94" s="267">
        <v>56</v>
      </c>
      <c r="C94" s="68" t="s">
        <v>556</v>
      </c>
      <c r="D94" s="246">
        <f t="shared" ca="1" si="6"/>
        <v>1.0526315789473684</v>
      </c>
      <c r="E94" s="238"/>
      <c r="F94" s="225">
        <v>0.4</v>
      </c>
      <c r="G94" s="425">
        <v>100</v>
      </c>
      <c r="H94" s="377">
        <v>80</v>
      </c>
      <c r="I94" s="403">
        <f ca="1"/>
        <v>-1.5567187595497701E-5</v>
      </c>
      <c r="J94" s="403">
        <f ca="1"/>
        <v>4.8222266272085202E-4</v>
      </c>
      <c r="K94" s="403">
        <f ca="1"/>
        <v>-3.2282156768955503E-2</v>
      </c>
      <c r="L94" s="403">
        <f ca="1"/>
        <v>-3.2282156768955503E-2</v>
      </c>
      <c r="M94" s="403">
        <f ca="1"/>
        <v>2.7248029163440299E-5</v>
      </c>
      <c r="N94" s="441" t="str">
        <f ca="1"/>
        <v>DEUTSCHE TELEKOM AG</v>
      </c>
      <c r="O94" s="403"/>
      <c r="P94" s="403"/>
      <c r="Q94" s="403"/>
      <c r="R94" s="441"/>
      <c r="S94" s="433"/>
      <c r="T94" s="412" cm="1">
        <f t="array" aca="1" ref="T94:X94" ca="1">IF(AND($U$12,B118&lt;=$C$17,C118&lt;&gt;""),TRANSPOSE(INDEX(getcds(C118,$C$6,G118/10000,F118,D118,$C$13,$C$14,$C$15,$C$8,,,TRUE,TRUE,FALSE,$C$29:$C$31,$C$33),{1;2;3;4;5})),"")</f>
        <v>-3.1553453414573503E-2</v>
      </c>
      <c r="U94" s="413">
        <f ca="1"/>
        <v>1.5786997948341899E-2</v>
      </c>
      <c r="V94" s="413">
        <f ca="1"/>
        <v>4.7340451362915398E-2</v>
      </c>
      <c r="W94" s="414">
        <f ca="1"/>
        <v>3.33477976948669E-3</v>
      </c>
      <c r="X94" s="415">
        <f ca="1"/>
        <v>4.7340451362915399</v>
      </c>
      <c r="Y94" s="416">
        <f t="shared" ca="1" si="7"/>
        <v>1.0874000958586724E-2</v>
      </c>
      <c r="Z94" s="417">
        <f t="shared" ca="1" si="8"/>
        <v>-1.7166783082347631E-4</v>
      </c>
      <c r="AA94" s="416">
        <f t="shared" ca="1" si="9"/>
        <v>-5.3803594614925841E-3</v>
      </c>
      <c r="AB94" s="418">
        <f t="shared" ca="1" si="10"/>
        <v>3.1680407810123555E-3</v>
      </c>
      <c r="AC94" s="417">
        <f t="shared" ca="1" si="11"/>
        <v>4.2469861889962654E-6</v>
      </c>
      <c r="AD94" s="220"/>
      <c r="AE94" s="220">
        <f t="shared" ca="1" si="12"/>
        <v>4.9704419312139045E-3</v>
      </c>
    </row>
    <row r="95" spans="1:31" customFormat="1" ht="15">
      <c r="A95" s="220"/>
      <c r="B95" s="267">
        <v>57</v>
      </c>
      <c r="C95" s="68" t="s">
        <v>564</v>
      </c>
      <c r="D95" s="246">
        <f t="shared" ca="1" si="6"/>
        <v>1.0526315789473684</v>
      </c>
      <c r="E95" s="238"/>
      <c r="F95" s="225">
        <v>0.4</v>
      </c>
      <c r="G95" s="425">
        <v>100</v>
      </c>
      <c r="H95" s="377">
        <v>81</v>
      </c>
      <c r="I95" s="403">
        <f ca="1"/>
        <v>1.2164132939220401E-4</v>
      </c>
      <c r="J95" s="403">
        <f ca="1"/>
        <v>4.6134087062736298E-4</v>
      </c>
      <c r="K95" s="403">
        <f ca="1"/>
        <v>0.26366909401889299</v>
      </c>
      <c r="L95" s="403">
        <f ca="1"/>
        <v>0.26366909401889299</v>
      </c>
      <c r="M95" s="403">
        <f ca="1"/>
        <v>-8.4214554482726E-4</v>
      </c>
      <c r="N95" s="441" t="str">
        <f ca="1"/>
        <v>ITV PLC</v>
      </c>
      <c r="O95" s="403"/>
      <c r="P95" s="403"/>
      <c r="Q95" s="403"/>
      <c r="R95" s="441"/>
      <c r="S95" s="433"/>
      <c r="T95" s="412" cm="1">
        <f t="array" aca="1" ref="T95:X95" ca="1">IF(AND($U$12,B119&lt;=$C$17,C119&lt;&gt;""),TRANSPOSE(INDEX(getcds(C119,$C$6,G119/10000,F119,D119,$C$13,$C$14,$C$15,$C$8,,,TRUE,TRUE,FALSE,$C$29:$C$31,$C$33),{1;2;3;4;5})),"")</f>
        <v>1.9028336490044999E-3</v>
      </c>
      <c r="U95" s="413">
        <f ca="1"/>
        <v>4.8465873734224001E-2</v>
      </c>
      <c r="V95" s="413">
        <f ca="1"/>
        <v>4.6563040085219498E-2</v>
      </c>
      <c r="W95" s="414">
        <f ca="1"/>
        <v>1.04086575201108E-2</v>
      </c>
      <c r="X95" s="415">
        <f ca="1"/>
        <v>4.6563040085219498</v>
      </c>
      <c r="Y95" s="416">
        <f t="shared" ca="1" si="7"/>
        <v>1.0874000958586724E-2</v>
      </c>
      <c r="Z95" s="417">
        <f t="shared" ca="1" si="8"/>
        <v>-5.2701795744469553E-4</v>
      </c>
      <c r="AA95" s="416">
        <f t="shared" ca="1" si="9"/>
        <v>4.394484900314883E-2</v>
      </c>
      <c r="AB95" s="418">
        <f t="shared" ca="1" si="10"/>
        <v>9.8882246441052597E-3</v>
      </c>
      <c r="AC95" s="417">
        <f t="shared" ca="1" si="11"/>
        <v>-1.0649127515280769E-4</v>
      </c>
      <c r="AD95" s="220"/>
      <c r="AE95" s="220">
        <f t="shared" ca="1" si="12"/>
        <v>1.154336243580887E-2</v>
      </c>
    </row>
    <row r="96" spans="1:31" customFormat="1" ht="15">
      <c r="A96" s="220"/>
      <c r="B96" s="267">
        <v>58</v>
      </c>
      <c r="C96" s="68" t="s">
        <v>557</v>
      </c>
      <c r="D96" s="246">
        <f t="shared" ca="1" si="6"/>
        <v>1.0526315789473684</v>
      </c>
      <c r="E96" s="238"/>
      <c r="F96" s="225">
        <v>0.4</v>
      </c>
      <c r="G96" s="425">
        <v>100</v>
      </c>
      <c r="H96" s="377">
        <v>82</v>
      </c>
      <c r="I96" s="403">
        <f ca="1"/>
        <v>-4.8681922090088001E-6</v>
      </c>
      <c r="J96" s="403">
        <f ca="1"/>
        <v>4.76595389147974E-4</v>
      </c>
      <c r="K96" s="403">
        <f ca="1"/>
        <v>-1.0214518058413899E-2</v>
      </c>
      <c r="L96" s="403">
        <f ca="1"/>
        <v>-1.0214518058413899E-2</v>
      </c>
      <c r="M96" s="403">
        <f ca="1"/>
        <v>-8.9994317773529596E-5</v>
      </c>
      <c r="N96" s="441" t="str">
        <f ca="1"/>
        <v>KONINKLIJKE KPN N.V.</v>
      </c>
      <c r="O96" s="403"/>
      <c r="P96" s="403"/>
      <c r="Q96" s="403"/>
      <c r="R96" s="441"/>
      <c r="S96" s="433"/>
      <c r="T96" s="412" cm="1">
        <f t="array" aca="1" ref="T96:X96" ca="1">IF(AND($U$12,B120&lt;=$C$17,C120&lt;&gt;""),TRANSPOSE(INDEX(getcds(C120,$C$6,G120/10000,F120,D120,$C$13,$C$14,$C$15,$C$8,,,TRUE,TRUE,FALSE,$C$29:$C$31,$C$33),{1;2;3;4;5})),"")</f>
        <v>-2.46037800370007E-2</v>
      </c>
      <c r="U96" s="413">
        <f ca="1"/>
        <v>2.2576486545976202E-2</v>
      </c>
      <c r="V96" s="413">
        <f ca="1"/>
        <v>4.7180266582976901E-2</v>
      </c>
      <c r="W96" s="414">
        <f ca="1"/>
        <v>4.7851545107890497E-3</v>
      </c>
      <c r="X96" s="415">
        <f ca="1"/>
        <v>4.7180266582976902</v>
      </c>
      <c r="Y96" s="416">
        <f t="shared" ca="1" si="7"/>
        <v>1.0874000958586724E-2</v>
      </c>
      <c r="Z96" s="417">
        <f t="shared" ca="1" si="8"/>
        <v>-2.4549673634246524E-4</v>
      </c>
      <c r="AA96" s="416">
        <f t="shared" ca="1" si="9"/>
        <v>-1.7024196764023165E-3</v>
      </c>
      <c r="AB96" s="418">
        <f t="shared" ca="1" si="10"/>
        <v>4.5458967852495969E-3</v>
      </c>
      <c r="AC96" s="417">
        <f t="shared" ca="1" si="11"/>
        <v>1.9217327459951039E-6</v>
      </c>
      <c r="AD96" s="220"/>
      <c r="AE96" s="220">
        <f t="shared" ca="1" si="12"/>
        <v>6.3196565064664451E-3</v>
      </c>
    </row>
    <row r="97" spans="1:31" customFormat="1" ht="15">
      <c r="A97" s="220"/>
      <c r="B97" s="267">
        <v>59</v>
      </c>
      <c r="C97" s="68" t="s">
        <v>558</v>
      </c>
      <c r="D97" s="246">
        <f t="shared" ca="1" si="6"/>
        <v>1.0526315789473684</v>
      </c>
      <c r="E97" s="238"/>
      <c r="F97" s="225">
        <v>0.4</v>
      </c>
      <c r="G97" s="425">
        <v>100</v>
      </c>
      <c r="H97" s="377">
        <v>83</v>
      </c>
      <c r="I97" s="403">
        <f ca="1"/>
        <v>-1.5831071734973001E-5</v>
      </c>
      <c r="J97" s="403">
        <f ca="1"/>
        <v>4.8291623450372098E-4</v>
      </c>
      <c r="K97" s="403">
        <f ca="1"/>
        <v>-3.2782231376508E-2</v>
      </c>
      <c r="L97" s="403">
        <f ca="1"/>
        <v>-3.2782231376508E-2</v>
      </c>
      <c r="M97" s="403">
        <f ca="1"/>
        <v>3.1446524816005599E-5</v>
      </c>
      <c r="N97" s="441" t="str">
        <f ca="1"/>
        <v>ORANGE</v>
      </c>
      <c r="O97" s="403"/>
      <c r="P97" s="403"/>
      <c r="Q97" s="403"/>
      <c r="R97" s="441"/>
      <c r="S97" s="433"/>
      <c r="T97" s="412" cm="1">
        <f t="array" aca="1" ref="T97:X97" ca="1">IF(AND($U$12,B121&lt;=$C$17,C121&lt;&gt;""),TRANSPOSE(INDEX(getcds(C121,$C$6,G121/10000,F121,D121,$C$13,$C$14,$C$15,$C$8,,,TRUE,TRUE,FALSE,$C$29:$C$31,$C$33),{1;2;3;4;5})),"")</f>
        <v>-3.2182409855365302E-2</v>
      </c>
      <c r="U97" s="413">
        <f ca="1"/>
        <v>1.52130000323062E-2</v>
      </c>
      <c r="V97" s="413">
        <f ca="1"/>
        <v>4.7395409887671498E-2</v>
      </c>
      <c r="W97" s="414">
        <f ca="1"/>
        <v>3.2098045081499398E-3</v>
      </c>
      <c r="X97" s="415">
        <f ca="1"/>
        <v>4.7395409887671498</v>
      </c>
      <c r="Y97" s="416">
        <f t="shared" ca="1" si="7"/>
        <v>1.0874000958586724E-2</v>
      </c>
      <c r="Z97" s="417">
        <f t="shared" ca="1" si="8"/>
        <v>-1.6542617693427771E-4</v>
      </c>
      <c r="AA97" s="416">
        <f t="shared" ca="1" si="9"/>
        <v>-5.4637052294180003E-3</v>
      </c>
      <c r="AB97" s="418">
        <f t="shared" ca="1" si="10"/>
        <v>3.0493142827424428E-3</v>
      </c>
      <c r="AC97" s="417">
        <f t="shared" ca="1" si="11"/>
        <v>4.1559673915823865E-6</v>
      </c>
      <c r="AD97" s="220"/>
      <c r="AE97" s="220">
        <f t="shared" ca="1" si="12"/>
        <v>4.0801836681962885E-3</v>
      </c>
    </row>
    <row r="98" spans="1:31" customFormat="1" ht="15">
      <c r="A98" s="220"/>
      <c r="B98" s="267">
        <v>60</v>
      </c>
      <c r="C98" s="68" t="s">
        <v>559</v>
      </c>
      <c r="D98" s="246">
        <f t="shared" ca="1" si="6"/>
        <v>1.0526315789473684</v>
      </c>
      <c r="E98" s="238"/>
      <c r="F98" s="225">
        <v>0.4</v>
      </c>
      <c r="G98" s="425">
        <v>100</v>
      </c>
      <c r="H98" s="377">
        <v>84</v>
      </c>
      <c r="I98" s="403">
        <f ca="1"/>
        <v>9.4865355723228208E-6</v>
      </c>
      <c r="J98" s="403">
        <f ca="1"/>
        <v>4.73133306482619E-4</v>
      </c>
      <c r="K98" s="403">
        <f ca="1"/>
        <v>2.0050449719652801E-2</v>
      </c>
      <c r="L98" s="403">
        <f ca="1"/>
        <v>2.0050449719652801E-2</v>
      </c>
      <c r="M98" s="403">
        <f ca="1"/>
        <v>-2.30792693968745E-4</v>
      </c>
      <c r="N98" s="441" t="str">
        <f ca="1"/>
        <v>PEARSON PLC</v>
      </c>
      <c r="O98" s="403"/>
      <c r="P98" s="403"/>
      <c r="Q98" s="403"/>
      <c r="R98" s="441"/>
      <c r="S98" s="433"/>
      <c r="T98" s="412" cm="1">
        <f t="array" aca="1" ref="T98:X98" ca="1">IF(AND($U$12,B122&lt;=$C$17,C122&lt;&gt;""),TRANSPOSE(INDEX(getcds(C122,$C$6,G122/10000,F122,D122,$C$13,$C$14,$C$15,$C$8,,,TRUE,TRUE,FALSE,$C$29:$C$31,$C$33),{1;2;3;4;5})),"")</f>
        <v>-2.0690259634965801E-2</v>
      </c>
      <c r="U98" s="413">
        <f ca="1"/>
        <v>2.6392521411343899E-2</v>
      </c>
      <c r="V98" s="413">
        <f ca="1"/>
        <v>4.7082781046309703E-2</v>
      </c>
      <c r="W98" s="414">
        <f ca="1"/>
        <v>5.6055570263329902E-3</v>
      </c>
      <c r="X98" s="415">
        <f ca="1"/>
        <v>4.7082781046309696</v>
      </c>
      <c r="Y98" s="416">
        <f t="shared" ca="1" si="7"/>
        <v>1.0874000958586724E-2</v>
      </c>
      <c r="Z98" s="417">
        <f t="shared" ca="1" si="8"/>
        <v>-2.869923031264743E-4</v>
      </c>
      <c r="AA98" s="416">
        <f t="shared" ca="1" si="9"/>
        <v>3.3417416199421333E-3</v>
      </c>
      <c r="AB98" s="418">
        <f t="shared" ca="1" si="10"/>
        <v>5.3252791750163404E-3</v>
      </c>
      <c r="AC98" s="417">
        <f t="shared" ca="1" si="11"/>
        <v>-4.4098493627750951E-6</v>
      </c>
      <c r="AD98" s="220"/>
      <c r="AE98" s="220">
        <f t="shared" ca="1" si="12"/>
        <v>7.2159903787417726E-3</v>
      </c>
    </row>
    <row r="99" spans="1:31" customFormat="1" ht="15">
      <c r="A99" s="220"/>
      <c r="B99" s="267">
        <v>61</v>
      </c>
      <c r="C99" s="68" t="s">
        <v>565</v>
      </c>
      <c r="D99" s="246">
        <f t="shared" ca="1" si="6"/>
        <v>1.0526315789473684</v>
      </c>
      <c r="E99" s="238"/>
      <c r="F99" s="225">
        <v>0.4</v>
      </c>
      <c r="G99" s="425">
        <v>100</v>
      </c>
      <c r="H99" s="377">
        <v>85</v>
      </c>
      <c r="I99" s="403">
        <f ca="1"/>
        <v>-6.3490867195858898E-6</v>
      </c>
      <c r="J99" s="403">
        <f ca="1"/>
        <v>4.77056910065814E-4</v>
      </c>
      <c r="K99" s="403">
        <f ca="1"/>
        <v>-1.33088664803325E-2</v>
      </c>
      <c r="L99" s="403">
        <f ca="1"/>
        <v>-1.33088664803325E-2</v>
      </c>
      <c r="M99" s="403">
        <f ca="1"/>
        <v>-7.6150357694675401E-5</v>
      </c>
      <c r="N99" s="441" t="str">
        <f ca="1"/>
        <v>PUBLICIS GROUPE SA</v>
      </c>
      <c r="O99" s="403"/>
      <c r="P99" s="403"/>
      <c r="Q99" s="403"/>
      <c r="R99" s="441"/>
      <c r="S99" s="433"/>
      <c r="T99" s="412" cm="1">
        <f t="array" aca="1" ref="T99:X99" ca="1">IF(AND($U$12,B123&lt;=$C$17,C123&lt;&gt;""),TRANSPOSE(INDEX(getcds(C123,$C$6,G123/10000,F123,D123,$C$13,$C$14,$C$15,$C$8,,,TRUE,TRUE,FALSE,$C$29:$C$31,$C$33),{1;2;3;4;5})),"")</f>
        <v>-2.5076183742828401E-2</v>
      </c>
      <c r="U99" s="413">
        <f ca="1"/>
        <v>2.2138262530679801E-2</v>
      </c>
      <c r="V99" s="413">
        <f ca="1"/>
        <v>4.7214446273508202E-2</v>
      </c>
      <c r="W99" s="414">
        <f ca="1"/>
        <v>4.68887475719512E-3</v>
      </c>
      <c r="X99" s="415">
        <f ca="1"/>
        <v>4.7214446273508202</v>
      </c>
      <c r="Y99" s="416">
        <f t="shared" ca="1" si="7"/>
        <v>1.0874000958586724E-2</v>
      </c>
      <c r="Z99" s="417">
        <f t="shared" ca="1" si="8"/>
        <v>-2.4073148798005648E-4</v>
      </c>
      <c r="AA99" s="416">
        <f t="shared" ca="1" si="9"/>
        <v>-2.2181444133887499E-3</v>
      </c>
      <c r="AB99" s="418">
        <f t="shared" ca="1" si="10"/>
        <v>4.4544310193353641E-3</v>
      </c>
      <c r="AC99" s="417">
        <f t="shared" ca="1" si="11"/>
        <v>2.4552931677280412E-6</v>
      </c>
      <c r="AD99" s="220"/>
      <c r="AE99" s="220">
        <f t="shared" ca="1" si="12"/>
        <v>5.7854078129028789E-3</v>
      </c>
    </row>
    <row r="100" spans="1:31" customFormat="1" ht="15">
      <c r="A100" s="220"/>
      <c r="B100" s="267">
        <v>62</v>
      </c>
      <c r="C100" s="68" t="s">
        <v>566</v>
      </c>
      <c r="D100" s="246">
        <f t="shared" ca="1" si="6"/>
        <v>1.0526315789473684</v>
      </c>
      <c r="E100" s="238"/>
      <c r="F100" s="225">
        <v>0.4</v>
      </c>
      <c r="G100" s="425">
        <v>100</v>
      </c>
      <c r="H100" s="377">
        <v>86</v>
      </c>
      <c r="I100" s="403">
        <f ca="1"/>
        <v>1.5187527168869099E-4</v>
      </c>
      <c r="J100" s="403">
        <f ca="1"/>
        <v>4.41408608878862E-4</v>
      </c>
      <c r="K100" s="403">
        <f ca="1"/>
        <v>0.34406957325649001</v>
      </c>
      <c r="L100" s="403">
        <f ca="1"/>
        <v>0.34406957325649001</v>
      </c>
      <c r="M100" s="403">
        <f ca="1"/>
        <v>2.4298572007101901E-4</v>
      </c>
      <c r="N100" s="441" t="str">
        <f ca="1"/>
        <v>SES</v>
      </c>
      <c r="O100" s="403"/>
      <c r="P100" s="403"/>
      <c r="Q100" s="403"/>
      <c r="R100" s="441"/>
      <c r="S100" s="433"/>
      <c r="T100" s="412" cm="1">
        <f t="array" aca="1" ref="T100:X100" ca="1">IF(AND($U$12,B124&lt;=$C$17,C124&lt;&gt;""),TRANSPOSE(INDEX(getcds(C124,$C$6,G124/10000,F124,D124,$C$13,$C$14,$C$15,$C$8,,,TRUE,TRUE,FALSE,$C$29:$C$31,$C$33),{1;2;3;4;5})),"")</f>
        <v>2.91593668141375E-2</v>
      </c>
      <c r="U100" s="413">
        <f ca="1"/>
        <v>7.4823330724503007E-2</v>
      </c>
      <c r="V100" s="413">
        <f ca="1"/>
        <v>4.56639639103655E-2</v>
      </c>
      <c r="W100" s="414">
        <f ca="1"/>
        <v>1.6385640736615598E-2</v>
      </c>
      <c r="X100" s="415">
        <f ca="1"/>
        <v>4.5663963910365499</v>
      </c>
      <c r="Y100" s="416">
        <f t="shared" ca="1" si="7"/>
        <v>1.0874000958586724E-2</v>
      </c>
      <c r="Z100" s="417">
        <f t="shared" ca="1" si="8"/>
        <v>-8.1362897002289648E-4</v>
      </c>
      <c r="AA100" s="416">
        <f t="shared" ca="1" si="9"/>
        <v>5.7344928876081669E-2</v>
      </c>
      <c r="AB100" s="418">
        <f t="shared" ca="1" si="10"/>
        <v>1.5566358699784818E-2</v>
      </c>
      <c r="AC100" s="417">
        <f t="shared" ca="1" si="11"/>
        <v>-2.1453692893340809E-4</v>
      </c>
      <c r="AD100" s="220"/>
      <c r="AE100" s="220">
        <f t="shared" ca="1" si="12"/>
        <v>2.1916348710331959E-2</v>
      </c>
    </row>
    <row r="101" spans="1:31" customFormat="1" ht="15">
      <c r="A101" s="220"/>
      <c r="B101" s="267">
        <v>63</v>
      </c>
      <c r="C101" s="68" t="s">
        <v>576</v>
      </c>
      <c r="D101" s="246">
        <f t="shared" ca="1" si="6"/>
        <v>1.0526315789473684</v>
      </c>
      <c r="E101" s="238"/>
      <c r="F101" s="225">
        <v>0.4</v>
      </c>
      <c r="G101" s="425">
        <v>100</v>
      </c>
      <c r="H101" s="377">
        <v>87</v>
      </c>
      <c r="I101" s="403">
        <f ca="1"/>
        <v>-5.6849246610068897E-6</v>
      </c>
      <c r="J101" s="403">
        <f ca="1"/>
        <v>4.8948809825898997E-4</v>
      </c>
      <c r="K101" s="403">
        <f ca="1"/>
        <v>-1.1614020200341999E-2</v>
      </c>
      <c r="L101" s="403">
        <f ca="1"/>
        <v>-1.1614020200341999E-2</v>
      </c>
      <c r="M101" s="403">
        <f ca="1"/>
        <v>9.2731224337350092E-6</v>
      </c>
      <c r="N101" s="441" t="str">
        <f ca="1"/>
        <v>SKY LIMITED</v>
      </c>
      <c r="O101" s="403"/>
      <c r="P101" s="403"/>
      <c r="Q101" s="403"/>
      <c r="R101" s="441"/>
      <c r="S101" s="433"/>
      <c r="T101" s="412" cm="1">
        <f t="array" aca="1" ref="T101:X101" ca="1">IF(AND($U$12,B125&lt;=$C$17,C125&lt;&gt;""),TRANSPOSE(INDEX(getcds(C125,$C$6,G125/10000,F125,D125,$C$13,$C$14,$C$15,$C$8,,,TRUE,TRUE,FALSE,$C$29:$C$31,$C$33),{1;2;3;4;5})),"")</f>
        <v>-4.0890531518448001E-2</v>
      </c>
      <c r="U101" s="413">
        <f ca="1"/>
        <v>6.73445929511536E-3</v>
      </c>
      <c r="V101" s="413">
        <f ca="1"/>
        <v>4.7624990813563403E-2</v>
      </c>
      <c r="W101" s="414">
        <f ca="1"/>
        <v>1.4140599672719299E-3</v>
      </c>
      <c r="X101" s="415">
        <f ca="1"/>
        <v>4.7624990813563404</v>
      </c>
      <c r="Y101" s="416">
        <f t="shared" ca="1" si="7"/>
        <v>1.0874000958586724E-2</v>
      </c>
      <c r="Z101" s="417">
        <f t="shared" ca="1" si="8"/>
        <v>-7.3230516830647522E-5</v>
      </c>
      <c r="AA101" s="416">
        <f t="shared" ca="1" si="9"/>
        <v>-1.9356700333903333E-3</v>
      </c>
      <c r="AB101" s="418">
        <f t="shared" ca="1" si="10"/>
        <v>1.3433569689083333E-3</v>
      </c>
      <c r="AC101" s="417">
        <f t="shared" ca="1" si="11"/>
        <v>6.51784552432089E-7</v>
      </c>
      <c r="AD101" s="220"/>
      <c r="AE101" s="220">
        <f t="shared" ca="1" si="12"/>
        <v>1.8373751376222752E-3</v>
      </c>
    </row>
    <row r="102" spans="1:31" customFormat="1" ht="15">
      <c r="A102" s="220"/>
      <c r="B102" s="267">
        <v>64</v>
      </c>
      <c r="C102" s="68" t="s">
        <v>616</v>
      </c>
      <c r="D102" s="246">
        <f t="shared" ca="1" si="6"/>
        <v>1.0526315789473684</v>
      </c>
      <c r="E102" s="238"/>
      <c r="F102" s="225">
        <v>0.4</v>
      </c>
      <c r="G102" s="425">
        <v>100</v>
      </c>
      <c r="H102" s="377">
        <v>88</v>
      </c>
      <c r="I102" s="403">
        <f ca="1"/>
        <v>-1.5732880068044601E-5</v>
      </c>
      <c r="J102" s="403">
        <f ca="1"/>
        <v>4.8293352327084002E-4</v>
      </c>
      <c r="K102" s="403">
        <f ca="1"/>
        <v>-3.2577734429136397E-2</v>
      </c>
      <c r="L102" s="403">
        <f ca="1"/>
        <v>-3.2577734429136397E-2</v>
      </c>
      <c r="M102" s="403">
        <f ca="1"/>
        <v>3.1311511019251897E-5</v>
      </c>
      <c r="N102" s="441" t="str">
        <f ca="1"/>
        <v>STMICROELECTRONICS N.V.</v>
      </c>
      <c r="O102" s="403"/>
      <c r="P102" s="403"/>
      <c r="Q102" s="403"/>
      <c r="R102" s="441"/>
      <c r="S102" s="433"/>
      <c r="T102" s="412" cm="1">
        <f t="array" aca="1" ref="T102:X102" ca="1">IF(AND($U$12,B126&lt;=$C$17,C126&lt;&gt;""),TRANSPOSE(INDEX(getcds(C126,$C$6,G126/10000,F126,D126,$C$13,$C$14,$C$15,$C$8,,,TRUE,TRUE,FALSE,$C$29:$C$31,$C$33),{1;2;3;4;5})),"")</f>
        <v>-3.2300905008569303E-2</v>
      </c>
      <c r="U102" s="413">
        <f ca="1"/>
        <v>1.5082823860497099E-2</v>
      </c>
      <c r="V102" s="413">
        <f ca="1"/>
        <v>4.7383728869066402E-2</v>
      </c>
      <c r="W102" s="414">
        <f ca="1"/>
        <v>3.1831230298853901E-3</v>
      </c>
      <c r="X102" s="415">
        <f ca="1"/>
        <v>4.7383728869066397</v>
      </c>
      <c r="Y102" s="416">
        <f t="shared" ca="1" si="7"/>
        <v>1.0874000958586724E-2</v>
      </c>
      <c r="Z102" s="417">
        <f t="shared" ca="1" si="8"/>
        <v>-1.6401064111723959E-4</v>
      </c>
      <c r="AA102" s="416">
        <f t="shared" ca="1" si="9"/>
        <v>-5.4296224048560665E-3</v>
      </c>
      <c r="AB102" s="418">
        <f t="shared" ca="1" si="10"/>
        <v>3.0239668783911206E-3</v>
      </c>
      <c r="AC102" s="417">
        <f t="shared" ca="1" si="11"/>
        <v>4.0947019180726224E-6</v>
      </c>
      <c r="AD102" s="220"/>
      <c r="AE102" s="220">
        <f t="shared" ca="1" si="12"/>
        <v>4.3306960403219075E-3</v>
      </c>
    </row>
    <row r="103" spans="1:31" customFormat="1" ht="15">
      <c r="A103" s="220"/>
      <c r="B103" s="267">
        <v>65</v>
      </c>
      <c r="C103" s="68" t="s">
        <v>567</v>
      </c>
      <c r="D103" s="246">
        <f t="shared" ca="1" si="6"/>
        <v>1.0526315789473684</v>
      </c>
      <c r="E103" s="238"/>
      <c r="F103" s="225">
        <v>0.4</v>
      </c>
      <c r="G103" s="425">
        <v>100</v>
      </c>
      <c r="H103" s="377">
        <v>89</v>
      </c>
      <c r="I103" s="403">
        <f ca="1"/>
        <v>3.9564829603864198E-5</v>
      </c>
      <c r="J103" s="403">
        <f ca="1"/>
        <v>4.5790401130754802E-4</v>
      </c>
      <c r="K103" s="403">
        <f ca="1"/>
        <v>8.6404199628840495E-2</v>
      </c>
      <c r="L103" s="403">
        <f ca="1"/>
        <v>8.6404199628840495E-2</v>
      </c>
      <c r="M103" s="403">
        <f ca="1"/>
        <v>-5.1142356631341402E-4</v>
      </c>
      <c r="N103" s="441" t="str">
        <f ca="1"/>
        <v>TELEFONICA, S.A.</v>
      </c>
      <c r="O103" s="403"/>
      <c r="P103" s="403"/>
      <c r="Q103" s="403"/>
      <c r="R103" s="441"/>
      <c r="S103" s="433"/>
      <c r="T103" s="412" cm="1">
        <f t="array" aca="1" ref="T103:X103" ca="1">IF(AND($U$12,B127&lt;=$C$17,C127&lt;&gt;""),TRANSPOSE(INDEX(getcds(C127,$C$6,G127/10000,F127,D127,$C$13,$C$14,$C$15,$C$8,,,TRUE,TRUE,FALSE,$C$29:$C$31,$C$33),{1;2;3;4;5})),"")</f>
        <v>-1.44189628646987E-2</v>
      </c>
      <c r="U103" s="413">
        <f ca="1"/>
        <v>3.2489924807814603E-2</v>
      </c>
      <c r="V103" s="413">
        <f ca="1"/>
        <v>4.6908887672513298E-2</v>
      </c>
      <c r="W103" s="414">
        <f ca="1"/>
        <v>6.92617676945097E-3</v>
      </c>
      <c r="X103" s="415">
        <f ca="1"/>
        <v>4.6908887672513302</v>
      </c>
      <c r="Y103" s="416">
        <f t="shared" ca="1" si="7"/>
        <v>1.0874000958586724E-2</v>
      </c>
      <c r="Z103" s="417">
        <f t="shared" ca="1" si="8"/>
        <v>-3.5329547350458721E-4</v>
      </c>
      <c r="AA103" s="416">
        <f t="shared" ca="1" si="9"/>
        <v>1.4400699938140082E-2</v>
      </c>
      <c r="AB103" s="418">
        <f t="shared" ca="1" si="10"/>
        <v>6.5798679309784208E-3</v>
      </c>
      <c r="AC103" s="417">
        <f t="shared" ca="1" si="11"/>
        <v>-2.3393882908503677E-5</v>
      </c>
      <c r="AD103" s="220"/>
      <c r="AE103" s="220">
        <f t="shared" ca="1" si="12"/>
        <v>8.9864229916841332E-3</v>
      </c>
    </row>
    <row r="104" spans="1:31" customFormat="1" ht="15">
      <c r="A104" s="220"/>
      <c r="B104" s="267">
        <v>66</v>
      </c>
      <c r="C104" s="68" t="s">
        <v>577</v>
      </c>
      <c r="D104" s="246">
        <f t="shared" ref="D104:D133" ca="1" si="13">100/95</f>
        <v>1.0526315789473684</v>
      </c>
      <c r="E104" s="238"/>
      <c r="F104" s="225">
        <v>0.4</v>
      </c>
      <c r="G104" s="425">
        <v>100</v>
      </c>
      <c r="H104" s="377">
        <v>90</v>
      </c>
      <c r="I104" s="403">
        <f ca="1"/>
        <v>-1.2827501356695799E-5</v>
      </c>
      <c r="J104" s="403">
        <f ca="1"/>
        <v>4.8599123115467398E-4</v>
      </c>
      <c r="K104" s="403">
        <f ca="1"/>
        <v>-2.6394511946684199E-2</v>
      </c>
      <c r="L104" s="403">
        <f ca="1"/>
        <v>-2.6394511946684199E-2</v>
      </c>
      <c r="M104" s="403">
        <f ca="1"/>
        <v>2.8705182581738601E-5</v>
      </c>
      <c r="N104" s="441" t="str">
        <f ca="1"/>
        <v>TELEKOM AUSTRIA AKTIENGESELLSCHAFT</v>
      </c>
      <c r="O104" s="403"/>
      <c r="P104" s="403"/>
      <c r="Q104" s="403"/>
      <c r="R104" s="441"/>
      <c r="S104" s="433"/>
      <c r="T104" s="412" cm="1">
        <f t="array" aca="1" ref="T104:X104" ca="1">IF(AND($U$12,B128&lt;=$C$17,C128&lt;&gt;""),TRANSPOSE(INDEX(getcds(C128,$C$6,G128/10000,F128,D128,$C$13,$C$14,$C$15,$C$8,,,TRUE,TRUE,FALSE,$C$29:$C$31,$C$33),{1;2;3;4;5})),"")</f>
        <v>-3.6150099573727099E-2</v>
      </c>
      <c r="U104" s="413">
        <f ca="1"/>
        <v>1.1350545280037601E-2</v>
      </c>
      <c r="V104" s="413">
        <f ca="1"/>
        <v>4.7500644853764699E-2</v>
      </c>
      <c r="W104" s="414">
        <f ca="1"/>
        <v>2.3895560397087898E-3</v>
      </c>
      <c r="X104" s="415">
        <f ca="1"/>
        <v>4.7500644853764697</v>
      </c>
      <c r="Y104" s="416">
        <f t="shared" ca="1" si="7"/>
        <v>1.0874000958586724E-2</v>
      </c>
      <c r="Z104" s="417">
        <f t="shared" ca="1" si="8"/>
        <v>-1.2342584025561054E-4</v>
      </c>
      <c r="AA104" s="416">
        <f t="shared" ca="1" si="9"/>
        <v>-4.3990853244473662E-3</v>
      </c>
      <c r="AB104" s="418">
        <f t="shared" ca="1" si="10"/>
        <v>2.2700782377233501E-3</v>
      </c>
      <c r="AC104" s="417">
        <f t="shared" ca="1" si="11"/>
        <v>2.4966008582944323E-6</v>
      </c>
      <c r="AD104" s="220"/>
      <c r="AE104" s="220">
        <f t="shared" ca="1" si="12"/>
        <v>3.0469274122941516E-3</v>
      </c>
    </row>
    <row r="105" spans="1:31" customFormat="1" ht="15">
      <c r="A105" s="220"/>
      <c r="B105" s="267">
        <v>67</v>
      </c>
      <c r="C105" s="68" t="s">
        <v>568</v>
      </c>
      <c r="D105" s="246">
        <f t="shared" ca="1" si="13"/>
        <v>1.0526315789473684</v>
      </c>
      <c r="E105" s="238"/>
      <c r="F105" s="225">
        <v>0.4</v>
      </c>
      <c r="G105" s="425">
        <v>100</v>
      </c>
      <c r="H105" s="377">
        <v>91</v>
      </c>
      <c r="I105" s="403">
        <f ca="1"/>
        <v>-1.4281552210260201E-5</v>
      </c>
      <c r="J105" s="403">
        <f ca="1"/>
        <v>4.8492110508282198E-4</v>
      </c>
      <c r="K105" s="403">
        <f ca="1"/>
        <v>-2.9451290241988899E-2</v>
      </c>
      <c r="L105" s="403">
        <f ca="1"/>
        <v>-2.9451290241988899E-2</v>
      </c>
      <c r="M105" s="403">
        <f ca="1"/>
        <v>3.2172870115843E-5</v>
      </c>
      <c r="N105" s="441" t="str">
        <f ca="1"/>
        <v>TELENOR ASA</v>
      </c>
      <c r="O105" s="403"/>
      <c r="P105" s="403"/>
      <c r="Q105" s="403"/>
      <c r="R105" s="441"/>
      <c r="S105" s="433"/>
      <c r="T105" s="412" cm="1">
        <f t="array" aca="1" ref="T105:X105" ca="1">IF(AND($U$12,B129&lt;=$C$17,C129&lt;&gt;""),TRANSPOSE(INDEX(getcds(C129,$C$6,G129/10000,F129,D129,$C$13,$C$14,$C$15,$C$8,,,TRUE,TRUE,FALSE,$C$29:$C$31,$C$33),{1;2;3;4;5})),"")</f>
        <v>-3.4837521075189497E-2</v>
      </c>
      <c r="U105" s="413">
        <f ca="1"/>
        <v>1.26169485611326E-2</v>
      </c>
      <c r="V105" s="413">
        <f ca="1"/>
        <v>4.7454469636322098E-2</v>
      </c>
      <c r="W105" s="414">
        <f ca="1"/>
        <v>2.6587481975513401E-3</v>
      </c>
      <c r="X105" s="415">
        <f ca="1"/>
        <v>4.7454469636322099</v>
      </c>
      <c r="Y105" s="416">
        <f t="shared" ca="1" si="7"/>
        <v>1.0874000958586724E-2</v>
      </c>
      <c r="Z105" s="417">
        <f t="shared" ca="1" si="8"/>
        <v>-1.3719671074819548E-4</v>
      </c>
      <c r="AA105" s="416">
        <f t="shared" ca="1" si="9"/>
        <v>-4.9085483736648165E-3</v>
      </c>
      <c r="AB105" s="418">
        <f t="shared" ca="1" si="10"/>
        <v>2.5258107876737729E-3</v>
      </c>
      <c r="AC105" s="417">
        <f t="shared" ca="1" si="11"/>
        <v>3.0965451170180143E-6</v>
      </c>
      <c r="AD105" s="220"/>
      <c r="AE105" s="220">
        <f t="shared" ca="1" si="12"/>
        <v>3.6043997981093688E-3</v>
      </c>
    </row>
    <row r="106" spans="1:31" customFormat="1" ht="15">
      <c r="A106" s="220"/>
      <c r="B106" s="267">
        <v>68</v>
      </c>
      <c r="C106" s="68" t="s">
        <v>569</v>
      </c>
      <c r="D106" s="246">
        <f t="shared" ca="1" si="13"/>
        <v>1.0526315789473684</v>
      </c>
      <c r="E106" s="238"/>
      <c r="F106" s="225">
        <v>0.4</v>
      </c>
      <c r="G106" s="425">
        <v>100</v>
      </c>
      <c r="H106" s="377">
        <v>92</v>
      </c>
      <c r="I106" s="403">
        <f ca="1"/>
        <v>-1.47421378987111E-5</v>
      </c>
      <c r="J106" s="403">
        <f ca="1"/>
        <v>4.8452521660862402E-4</v>
      </c>
      <c r="K106" s="403">
        <f ca="1"/>
        <v>-3.04259456337421E-2</v>
      </c>
      <c r="L106" s="403">
        <f ca="1"/>
        <v>-3.04259456337421E-2</v>
      </c>
      <c r="M106" s="403">
        <f ca="1"/>
        <v>3.3011334902091098E-5</v>
      </c>
      <c r="N106" s="441" t="str">
        <f ca="1"/>
        <v>TELIA COMPANY AB</v>
      </c>
      <c r="O106" s="403"/>
      <c r="P106" s="403"/>
      <c r="Q106" s="403"/>
      <c r="R106" s="441"/>
      <c r="S106" s="433"/>
      <c r="T106" s="412" cm="1">
        <f t="array" aca="1" ref="T106:X106" ca="1">IF(AND($U$12,B130&lt;=$C$17,C130&lt;&gt;""),TRANSPOSE(INDEX(getcds(C130,$C$6,G130/10000,F130,D130,$C$13,$C$14,$C$15,$C$8,,,TRUE,TRUE,FALSE,$C$29:$C$31,$C$33),{1;2;3;4;5})),"")</f>
        <v>-3.43219787612098E-2</v>
      </c>
      <c r="U106" s="413">
        <f ca="1"/>
        <v>1.31187983004348E-2</v>
      </c>
      <c r="V106" s="413">
        <f ca="1"/>
        <v>4.7440777061644603E-2</v>
      </c>
      <c r="W106" s="414">
        <f ca="1"/>
        <v>2.7653000462847101E-3</v>
      </c>
      <c r="X106" s="415">
        <f ca="1"/>
        <v>4.7440777061644601</v>
      </c>
      <c r="Y106" s="416">
        <f t="shared" ca="1" si="7"/>
        <v>1.0874000958586724E-2</v>
      </c>
      <c r="Z106" s="417">
        <f t="shared" ca="1" si="8"/>
        <v>-1.4265382529443437E-4</v>
      </c>
      <c r="AA106" s="416">
        <f t="shared" ca="1" si="9"/>
        <v>-5.0709909389570164E-3</v>
      </c>
      <c r="AB106" s="418">
        <f t="shared" ca="1" si="10"/>
        <v>2.6270350439704746E-3</v>
      </c>
      <c r="AC106" s="417">
        <f t="shared" ca="1" si="11"/>
        <v>3.326265365575488E-6</v>
      </c>
      <c r="AD106" s="220"/>
      <c r="AE106" s="220">
        <f t="shared" ca="1" si="12"/>
        <v>3.7390482866800868E-3</v>
      </c>
    </row>
    <row r="107" spans="1:31" customFormat="1" ht="15">
      <c r="A107" s="220"/>
      <c r="B107" s="267">
        <v>69</v>
      </c>
      <c r="C107" s="68" t="s">
        <v>578</v>
      </c>
      <c r="D107" s="246">
        <f t="shared" ca="1" si="13"/>
        <v>1.0526315789473684</v>
      </c>
      <c r="E107" s="238"/>
      <c r="F107" s="225">
        <v>0.4</v>
      </c>
      <c r="G107" s="425">
        <v>100</v>
      </c>
      <c r="H107" s="377">
        <v>93</v>
      </c>
      <c r="I107" s="403">
        <f ca="1"/>
        <v>1.2177350767745799E-5</v>
      </c>
      <c r="J107" s="403">
        <f ca="1"/>
        <v>4.7256784240534998E-4</v>
      </c>
      <c r="K107" s="403">
        <f ca="1"/>
        <v>2.57684710533066E-2</v>
      </c>
      <c r="L107" s="403">
        <f ca="1"/>
        <v>2.57684710533066E-2</v>
      </c>
      <c r="M107" s="403">
        <f ca="1"/>
        <v>-2.5750928461286301E-4</v>
      </c>
      <c r="N107" s="441" t="str">
        <f ca="1"/>
        <v>VIVENDI SE</v>
      </c>
      <c r="O107" s="403"/>
      <c r="P107" s="403"/>
      <c r="Q107" s="403"/>
      <c r="R107" s="441"/>
      <c r="S107" s="433"/>
      <c r="T107" s="412" cm="1">
        <f t="array" aca="1" ref="T107:X107" ca="1">IF(AND($U$12,B131&lt;=$C$17,C131&lt;&gt;""),TRANSPOSE(INDEX(getcds(C131,$C$6,G131/10000,F131,D131,$C$13,$C$14,$C$15,$C$8,,,TRUE,TRUE,FALSE,$C$29:$C$31,$C$33),{1;2;3;4;5})),"")</f>
        <v>-2.0063763895273999E-2</v>
      </c>
      <c r="U107" s="413">
        <f ca="1"/>
        <v>2.70200493140706E-2</v>
      </c>
      <c r="V107" s="413">
        <f ca="1"/>
        <v>4.7083813209344599E-2</v>
      </c>
      <c r="W107" s="414">
        <f ca="1"/>
        <v>5.7387130464420398E-3</v>
      </c>
      <c r="X107" s="415">
        <f ca="1"/>
        <v>4.7083813209344596</v>
      </c>
      <c r="Y107" s="416">
        <f t="shared" ca="1" si="7"/>
        <v>1.0874000958586724E-2</v>
      </c>
      <c r="Z107" s="417">
        <f t="shared" ca="1" si="8"/>
        <v>-2.9381604214226409E-4</v>
      </c>
      <c r="AA107" s="416">
        <f t="shared" ca="1" si="9"/>
        <v>4.2947451755510997E-3</v>
      </c>
      <c r="AB107" s="418">
        <f t="shared" ca="1" si="10"/>
        <v>5.4517773941199377E-3</v>
      </c>
      <c r="AC107" s="417">
        <f t="shared" ca="1" si="11"/>
        <v>-5.8022113217378733E-6</v>
      </c>
      <c r="AD107" s="220"/>
      <c r="AE107" s="220">
        <f t="shared" ca="1" si="12"/>
        <v>7.0428294269594153E-3</v>
      </c>
    </row>
    <row r="108" spans="1:31" customFormat="1" ht="15">
      <c r="A108" s="220"/>
      <c r="B108" s="267">
        <v>70</v>
      </c>
      <c r="C108" s="68" t="s">
        <v>570</v>
      </c>
      <c r="D108" s="246">
        <f t="shared" ca="1" si="13"/>
        <v>1.0526315789473684</v>
      </c>
      <c r="E108" s="238"/>
      <c r="F108" s="225">
        <v>0.4</v>
      </c>
      <c r="G108" s="425">
        <v>100</v>
      </c>
      <c r="H108" s="377">
        <v>94</v>
      </c>
      <c r="I108" s="403">
        <f ca="1"/>
        <v>3.7663291455007903E-5</v>
      </c>
      <c r="J108" s="403">
        <f ca="1"/>
        <v>4.58172509921178E-4</v>
      </c>
      <c r="K108" s="403">
        <f ca="1"/>
        <v>8.2203298188901194E-2</v>
      </c>
      <c r="L108" s="403">
        <f ca="1"/>
        <v>8.2203298188901194E-2</v>
      </c>
      <c r="M108" s="403">
        <f ca="1"/>
        <v>-4.9570528858050404E-4</v>
      </c>
      <c r="N108" s="441" t="str">
        <f ca="1"/>
        <v>VODAFONE GROUP PUBLIC LIMITED COMPANY</v>
      </c>
      <c r="O108" s="403"/>
      <c r="P108" s="403"/>
      <c r="Q108" s="403"/>
      <c r="R108" s="441"/>
      <c r="S108" s="433"/>
      <c r="T108" s="412" cm="1">
        <f t="array" aca="1" ref="T108:X108" ca="1">IF(AND($U$12,B132&lt;=$C$17,C132&lt;&gt;""),TRANSPOSE(INDEX(getcds(C132,$C$6,G132/10000,F132,D132,$C$13,$C$14,$C$15,$C$8,,,TRUE,TRUE,FALSE,$C$29:$C$31,$C$33),{1;2;3;4;5})),"")</f>
        <v>-1.4780599815646601E-2</v>
      </c>
      <c r="U108" s="413">
        <f ca="1"/>
        <v>3.2149401894849397E-2</v>
      </c>
      <c r="V108" s="413">
        <f ca="1"/>
        <v>4.6930001710496001E-2</v>
      </c>
      <c r="W108" s="414">
        <f ca="1"/>
        <v>6.8505008998665899E-3</v>
      </c>
      <c r="X108" s="415">
        <f ca="1"/>
        <v>4.6930001710495999</v>
      </c>
      <c r="Y108" s="416">
        <f t="shared" ca="1" si="7"/>
        <v>1.0874000958586724E-2</v>
      </c>
      <c r="Z108" s="417">
        <f t="shared" ca="1" si="8"/>
        <v>-3.4959262702258156E-4</v>
      </c>
      <c r="AA108" s="416">
        <f t="shared" ca="1" si="9"/>
        <v>1.3700549698150198E-2</v>
      </c>
      <c r="AB108" s="418">
        <f t="shared" ca="1" si="10"/>
        <v>6.5079758548732599E-3</v>
      </c>
      <c r="AC108" s="417">
        <f t="shared" ca="1" si="11"/>
        <v>-2.2023223921309415E-5</v>
      </c>
      <c r="AD108" s="220"/>
      <c r="AE108" s="220">
        <f t="shared" ca="1" si="12"/>
        <v>8.6732714407551301E-3</v>
      </c>
    </row>
    <row r="109" spans="1:31" customFormat="1" ht="15">
      <c r="A109" s="220"/>
      <c r="B109" s="267">
        <v>71</v>
      </c>
      <c r="C109" s="68" t="s">
        <v>571</v>
      </c>
      <c r="D109" s="246">
        <f t="shared" ca="1" si="13"/>
        <v>1.0526315789473684</v>
      </c>
      <c r="E109" s="238"/>
      <c r="F109" s="225">
        <v>0.4</v>
      </c>
      <c r="G109" s="425">
        <v>100</v>
      </c>
      <c r="H109" s="377">
        <v>95</v>
      </c>
      <c r="I109" s="403">
        <f ca="1"/>
        <v>3.4467788926091299E-5</v>
      </c>
      <c r="J109" s="403">
        <f ca="1"/>
        <v>4.68291207575802E-4</v>
      </c>
      <c r="K109" s="403">
        <f ca="1"/>
        <v>7.3603322822395803E-2</v>
      </c>
      <c r="L109" s="403">
        <f ca="1"/>
        <v>7.3603322822395803E-2</v>
      </c>
      <c r="M109" s="403">
        <f ca="1"/>
        <v>-4.6014760289623201E-4</v>
      </c>
      <c r="N109" s="441" t="str">
        <f ca="1"/>
        <v>WPP 2005 LIMITED</v>
      </c>
      <c r="O109" s="403"/>
      <c r="P109" s="403"/>
      <c r="Q109" s="403"/>
      <c r="R109" s="441"/>
      <c r="S109" s="433"/>
      <c r="T109" s="412" cm="1">
        <f t="array" aca="1" ref="T109:X109" ca="1">IF(AND($U$12,B133&lt;=$C$17,C133&lt;&gt;""),TRANSPOSE(INDEX(getcds(C133,$C$6,G133/10000,F133,D133,$C$13,$C$14,$C$15,$C$8,,,TRUE,TRUE,FALSE,$C$29:$C$31,$C$33),{1;2;3;4;5})),"")</f>
        <v>-1.5536609969062001E-2</v>
      </c>
      <c r="U109" s="413">
        <f ca="1"/>
        <v>3.1390212251185497E-2</v>
      </c>
      <c r="V109" s="413">
        <f ca="1"/>
        <v>4.6926822220247501E-2</v>
      </c>
      <c r="W109" s="414">
        <f ca="1"/>
        <v>6.6891834490428303E-3</v>
      </c>
      <c r="X109" s="415">
        <f ca="1"/>
        <v>4.6926822220247502</v>
      </c>
      <c r="Y109" s="416">
        <f t="shared" ca="1" si="7"/>
        <v>1.0874000958586724E-2</v>
      </c>
      <c r="Z109" s="417">
        <f t="shared" ca="1" si="8"/>
        <v>-3.4133719810963177E-4</v>
      </c>
      <c r="AA109" s="416">
        <f t="shared" ca="1" si="9"/>
        <v>1.22672204703993E-2</v>
      </c>
      <c r="AB109" s="418">
        <f t="shared" ca="1" si="10"/>
        <v>6.3547242765906887E-3</v>
      </c>
      <c r="AC109" s="417">
        <f t="shared" ca="1" si="11"/>
        <v>-1.9253532714896081E-5</v>
      </c>
      <c r="AD109" s="220"/>
      <c r="AE109" s="220">
        <f t="shared" ca="1" si="12"/>
        <v>8.9196610944298673E-3</v>
      </c>
    </row>
    <row r="110" spans="1:31" customFormat="1" ht="15">
      <c r="A110" s="220"/>
      <c r="B110" s="267">
        <v>72</v>
      </c>
      <c r="C110" s="68" t="s">
        <v>572</v>
      </c>
      <c r="D110" s="246">
        <f t="shared" ca="1" si="13"/>
        <v>1.0526315789473684</v>
      </c>
      <c r="E110" s="238"/>
      <c r="F110" s="225">
        <v>0.4</v>
      </c>
      <c r="G110" s="425">
        <v>100</v>
      </c>
      <c r="H110" s="377">
        <v>96</v>
      </c>
      <c r="I110" s="403"/>
      <c r="J110" s="403"/>
      <c r="K110" s="403"/>
      <c r="L110" s="403"/>
      <c r="M110" s="403"/>
      <c r="N110" s="441"/>
      <c r="O110" s="403"/>
      <c r="P110" s="403"/>
      <c r="Q110" s="403"/>
      <c r="R110" s="441"/>
      <c r="S110" s="433"/>
      <c r="T110" s="412" t="str" cm="1">
        <f t="array" aca="1" ref="T110" ca="1">IF(AND($U$12,B134&lt;=$C$17,C134&lt;&gt;""),TRANSPOSE(INDEX(getcds(C134,$C$6,G134/10000,F134,D134,$C$13,$C$14,$C$15,$C$8,,,TRUE,TRUE,FALSE,$C$29:$C$31,$C$33),{1;2;3;4;5})),"")</f>
        <v/>
      </c>
      <c r="U110" s="413"/>
      <c r="V110" s="413"/>
      <c r="W110" s="414"/>
      <c r="X110" s="415"/>
      <c r="Y110" s="416" t="str">
        <f t="shared" ca="1" si="7"/>
        <v/>
      </c>
      <c r="Z110" s="417" t="str">
        <f t="shared" ca="1" si="8"/>
        <v/>
      </c>
      <c r="AA110" s="416" t="str">
        <f t="shared" ca="1" si="9"/>
        <v/>
      </c>
      <c r="AB110" s="418" t="str">
        <f t="shared" ca="1" si="10"/>
        <v/>
      </c>
      <c r="AC110" s="417" t="str">
        <f t="shared" ca="1" si="11"/>
        <v/>
      </c>
      <c r="AD110" s="220"/>
    </row>
    <row r="111" spans="1:31" customFormat="1" ht="15">
      <c r="A111" s="220"/>
      <c r="B111" s="267">
        <v>73</v>
      </c>
      <c r="C111" s="68" t="s">
        <v>573</v>
      </c>
      <c r="D111" s="246">
        <f t="shared" ca="1" si="13"/>
        <v>1.0526315789473684</v>
      </c>
      <c r="E111" s="238"/>
      <c r="F111" s="225">
        <v>0.4</v>
      </c>
      <c r="G111" s="425">
        <v>100</v>
      </c>
      <c r="H111" s="377">
        <v>97</v>
      </c>
      <c r="I111" s="403"/>
      <c r="J111" s="403"/>
      <c r="K111" s="403"/>
      <c r="L111" s="403"/>
      <c r="M111" s="403"/>
      <c r="N111" s="441"/>
      <c r="O111" s="403"/>
      <c r="P111" s="403"/>
      <c r="Q111" s="403"/>
      <c r="R111" s="441"/>
      <c r="S111" s="433"/>
      <c r="T111" s="412" t="str" cm="1">
        <f t="array" aca="1" ref="T111" ca="1">IF(AND($U$12,B135&lt;=$C$17,C135&lt;&gt;""),TRANSPOSE(INDEX(getcds(C135,$C$6,G135/10000,F135,D135,$C$13,$C$14,$C$15,$C$8,,,TRUE,TRUE,FALSE,$C$29:$C$31,$C$33),{1;2;3;4;5})),"")</f>
        <v/>
      </c>
      <c r="U111" s="413"/>
      <c r="V111" s="413"/>
      <c r="W111" s="414"/>
      <c r="X111" s="415"/>
      <c r="Y111" s="416" t="str">
        <f t="shared" ca="1" si="7"/>
        <v/>
      </c>
      <c r="Z111" s="417" t="str">
        <f t="shared" ca="1" si="8"/>
        <v/>
      </c>
      <c r="AA111" s="416" t="str">
        <f t="shared" ca="1" si="9"/>
        <v/>
      </c>
      <c r="AB111" s="418" t="str">
        <f t="shared" ca="1" si="10"/>
        <v/>
      </c>
      <c r="AC111" s="417" t="str">
        <f t="shared" ca="1" si="11"/>
        <v/>
      </c>
      <c r="AD111" s="220"/>
    </row>
    <row r="112" spans="1:31" customFormat="1" ht="15">
      <c r="A112" s="220"/>
      <c r="B112" s="267">
        <v>74</v>
      </c>
      <c r="C112" s="68" t="s">
        <v>574</v>
      </c>
      <c r="D112" s="246">
        <f t="shared" ca="1" si="13"/>
        <v>1.0526315789473684</v>
      </c>
      <c r="E112" s="238"/>
      <c r="F112" s="225">
        <v>0.4</v>
      </c>
      <c r="G112" s="425">
        <v>100</v>
      </c>
      <c r="H112" s="377">
        <v>98</v>
      </c>
      <c r="I112" s="403"/>
      <c r="J112" s="403"/>
      <c r="K112" s="403"/>
      <c r="L112" s="403"/>
      <c r="M112" s="403"/>
      <c r="N112" s="441"/>
      <c r="O112" s="403"/>
      <c r="P112" s="403"/>
      <c r="Q112" s="403"/>
      <c r="R112" s="441"/>
      <c r="S112" s="433"/>
      <c r="T112" s="412" t="str" cm="1">
        <f t="array" aca="1" ref="T112" ca="1">IF(AND($U$12,B136&lt;=$C$17,C136&lt;&gt;""),TRANSPOSE(INDEX(getcds(C136,$C$6,G136/10000,F136,D136,$C$13,$C$14,$C$15,$C$8,,,TRUE,TRUE,FALSE,$C$29:$C$31,$C$33),{1;2;3;4;5})),"")</f>
        <v/>
      </c>
      <c r="U112" s="413"/>
      <c r="V112" s="413"/>
      <c r="W112" s="414"/>
      <c r="X112" s="415"/>
      <c r="Y112" s="416" t="str">
        <f t="shared" ca="1" si="7"/>
        <v/>
      </c>
      <c r="Z112" s="417" t="str">
        <f t="shared" ca="1" si="8"/>
        <v/>
      </c>
      <c r="AA112" s="416" t="str">
        <f t="shared" ca="1" si="9"/>
        <v/>
      </c>
      <c r="AB112" s="418" t="str">
        <f t="shared" ca="1" si="10"/>
        <v/>
      </c>
      <c r="AC112" s="417" t="str">
        <f t="shared" ca="1" si="11"/>
        <v/>
      </c>
      <c r="AD112" s="220"/>
    </row>
    <row r="113" spans="1:30" customFormat="1" ht="15">
      <c r="A113" s="220"/>
      <c r="B113" s="267">
        <v>75</v>
      </c>
      <c r="C113" s="68" t="s">
        <v>579</v>
      </c>
      <c r="D113" s="246">
        <f t="shared" ca="1" si="13"/>
        <v>1.0526315789473684</v>
      </c>
      <c r="E113" s="238"/>
      <c r="F113" s="225">
        <v>0.4</v>
      </c>
      <c r="G113" s="425">
        <v>100</v>
      </c>
      <c r="H113" s="377">
        <v>99</v>
      </c>
      <c r="I113" s="403"/>
      <c r="J113" s="403"/>
      <c r="K113" s="403"/>
      <c r="L113" s="403"/>
      <c r="M113" s="403"/>
      <c r="N113" s="441"/>
      <c r="O113" s="403"/>
      <c r="P113" s="403"/>
      <c r="Q113" s="403"/>
      <c r="R113" s="441"/>
      <c r="S113" s="433"/>
      <c r="T113" s="412" t="str" cm="1">
        <f t="array" aca="1" ref="T113" ca="1">IF(AND($U$12,B137&lt;=$C$17,C137&lt;&gt;""),TRANSPOSE(INDEX(getcds(C137,$C$6,G137/10000,F137,D137,$C$13,$C$14,$C$15,$C$8,,,TRUE,TRUE,FALSE,$C$29:$C$31,$C$33),{1;2;3;4;5})),"")</f>
        <v/>
      </c>
      <c r="U113" s="413"/>
      <c r="V113" s="413"/>
      <c r="W113" s="414"/>
      <c r="X113" s="415"/>
      <c r="Y113" s="416" t="str">
        <f t="shared" ca="1" si="7"/>
        <v/>
      </c>
      <c r="Z113" s="417" t="str">
        <f t="shared" ca="1" si="8"/>
        <v/>
      </c>
      <c r="AA113" s="416" t="str">
        <f t="shared" ca="1" si="9"/>
        <v/>
      </c>
      <c r="AB113" s="418" t="str">
        <f t="shared" ca="1" si="10"/>
        <v/>
      </c>
      <c r="AC113" s="417" t="str">
        <f t="shared" ca="1" si="11"/>
        <v/>
      </c>
      <c r="AD113" s="220"/>
    </row>
    <row r="114" spans="1:30" customFormat="1" ht="15">
      <c r="A114" s="220"/>
      <c r="B114" s="267">
        <v>76</v>
      </c>
      <c r="C114" s="68" t="s">
        <v>580</v>
      </c>
      <c r="D114" s="246">
        <f t="shared" ca="1" si="13"/>
        <v>1.0526315789473684</v>
      </c>
      <c r="E114" s="238"/>
      <c r="F114" s="225">
        <v>0.4</v>
      </c>
      <c r="G114" s="425">
        <v>100</v>
      </c>
      <c r="H114" s="377">
        <v>100</v>
      </c>
      <c r="I114" s="403"/>
      <c r="J114" s="403"/>
      <c r="K114" s="403"/>
      <c r="L114" s="403"/>
      <c r="M114" s="403"/>
      <c r="N114" s="441"/>
      <c r="O114" s="403"/>
      <c r="P114" s="403"/>
      <c r="Q114" s="403"/>
      <c r="R114" s="441"/>
      <c r="S114" s="433"/>
      <c r="T114" s="412" t="str" cm="1">
        <f t="array" aca="1" ref="T114" ca="1">IF(AND($U$12,B138&lt;=$C$17,C138&lt;&gt;""),TRANSPOSE(INDEX(getcds(C138,$C$6,G138/10000,F138,D138,$C$13,$C$14,$C$15,$C$8,,,TRUE,TRUE,FALSE,$C$29:$C$31,$C$33),{1;2;3;4;5})),"")</f>
        <v/>
      </c>
      <c r="U114" s="413"/>
      <c r="V114" s="413"/>
      <c r="W114" s="414"/>
      <c r="X114" s="415"/>
      <c r="Y114" s="416" t="str">
        <f t="shared" ca="1" si="7"/>
        <v/>
      </c>
      <c r="Z114" s="417" t="str">
        <f t="shared" ca="1" si="8"/>
        <v/>
      </c>
      <c r="AA114" s="416" t="str">
        <f t="shared" ca="1" si="9"/>
        <v/>
      </c>
      <c r="AB114" s="418" t="str">
        <f t="shared" ca="1" si="10"/>
        <v/>
      </c>
      <c r="AC114" s="417" t="str">
        <f t="shared" ca="1" si="11"/>
        <v/>
      </c>
      <c r="AD114" s="220"/>
    </row>
    <row r="115" spans="1:30" customFormat="1" ht="15">
      <c r="A115" s="220"/>
      <c r="B115" s="267">
        <v>77</v>
      </c>
      <c r="C115" s="68" t="s">
        <v>575</v>
      </c>
      <c r="D115" s="246">
        <f t="shared" ca="1" si="13"/>
        <v>1.0526315789473684</v>
      </c>
      <c r="E115" s="238"/>
      <c r="F115" s="225">
        <v>0.4</v>
      </c>
      <c r="G115" s="425">
        <v>100</v>
      </c>
      <c r="H115" s="377">
        <v>101</v>
      </c>
      <c r="I115" s="394"/>
      <c r="J115" s="394"/>
      <c r="K115" s="403"/>
      <c r="L115" s="403"/>
      <c r="M115" s="403"/>
      <c r="N115" s="441"/>
      <c r="O115" s="403"/>
      <c r="P115" s="403"/>
      <c r="Q115" s="403"/>
      <c r="R115" s="441"/>
      <c r="S115" s="433"/>
      <c r="T115" s="412" t="str" cm="1">
        <f t="array" aca="1" ref="T115" ca="1">IF(AND($U$12,B139&lt;=$C$17,C139&lt;&gt;""),TRANSPOSE(INDEX(getcds(C139,$C$6,G139/10000,F139,D139,$C$13,$C$14,$C$15,$C$8,,,TRUE,TRUE,FALSE,$C$29:$C$31,$C$33),{1;2;3;4;5})),"")</f>
        <v/>
      </c>
      <c r="U115" s="413"/>
      <c r="V115" s="413"/>
      <c r="W115" s="414"/>
      <c r="X115" s="415"/>
      <c r="Y115" s="416" t="str">
        <f t="shared" ca="1" si="7"/>
        <v/>
      </c>
      <c r="Z115" s="417" t="str">
        <f t="shared" ca="1" si="8"/>
        <v/>
      </c>
      <c r="AA115" s="416" t="str">
        <f t="shared" ca="1" si="9"/>
        <v/>
      </c>
      <c r="AB115" s="418" t="str">
        <f t="shared" ca="1" si="10"/>
        <v/>
      </c>
      <c r="AC115" s="417" t="str">
        <f t="shared" ca="1" si="11"/>
        <v/>
      </c>
      <c r="AD115" s="220"/>
    </row>
    <row r="116" spans="1:30" customFormat="1" ht="15">
      <c r="A116" s="220"/>
      <c r="B116" s="267">
        <v>78</v>
      </c>
      <c r="C116" s="68" t="s">
        <v>581</v>
      </c>
      <c r="D116" s="246">
        <f t="shared" ca="1" si="13"/>
        <v>1.0526315789473684</v>
      </c>
      <c r="E116" s="238"/>
      <c r="F116" s="225">
        <v>0.4</v>
      </c>
      <c r="G116" s="425">
        <v>100</v>
      </c>
      <c r="H116" s="377">
        <v>102</v>
      </c>
      <c r="I116" s="394"/>
      <c r="J116" s="394"/>
      <c r="K116" s="403"/>
      <c r="L116" s="403"/>
      <c r="M116" s="403"/>
      <c r="N116" s="441"/>
      <c r="O116" s="403"/>
      <c r="P116" s="403"/>
      <c r="Q116" s="403"/>
      <c r="R116" s="441"/>
      <c r="S116" s="433"/>
      <c r="T116" s="412" t="str" cm="1">
        <f t="array" aca="1" ref="T116" ca="1">IF(AND($U$12,B140&lt;=$C$17,C140&lt;&gt;""),TRANSPOSE(INDEX(getcds(C140,$C$6,G140/10000,F140,D140,$C$13,$C$14,$C$15,$C$8,,,TRUE,TRUE,FALSE,$C$29:$C$31,$C$33),{1;2;3;4;5})),"")</f>
        <v/>
      </c>
      <c r="U116" s="413"/>
      <c r="V116" s="413"/>
      <c r="W116" s="414"/>
      <c r="X116" s="415"/>
      <c r="Y116" s="416" t="str">
        <f t="shared" ca="1" si="7"/>
        <v/>
      </c>
      <c r="Z116" s="417" t="str">
        <f t="shared" ca="1" si="8"/>
        <v/>
      </c>
      <c r="AA116" s="416" t="str">
        <f t="shared" ca="1" si="9"/>
        <v/>
      </c>
      <c r="AB116" s="418" t="str">
        <f t="shared" ca="1" si="10"/>
        <v/>
      </c>
      <c r="AC116" s="417" t="str">
        <f t="shared" ca="1" si="11"/>
        <v/>
      </c>
      <c r="AD116" s="220"/>
    </row>
    <row r="117" spans="1:30" customFormat="1" ht="15">
      <c r="A117" s="220"/>
      <c r="B117" s="267">
        <v>79</v>
      </c>
      <c r="C117" s="68" t="s">
        <v>582</v>
      </c>
      <c r="D117" s="246">
        <f t="shared" ca="1" si="13"/>
        <v>1.0526315789473684</v>
      </c>
      <c r="E117" s="238"/>
      <c r="F117" s="225">
        <v>0.4</v>
      </c>
      <c r="G117" s="425">
        <v>100</v>
      </c>
      <c r="H117" s="377">
        <v>103</v>
      </c>
      <c r="I117" s="394"/>
      <c r="J117" s="394"/>
      <c r="K117" s="403"/>
      <c r="L117" s="403"/>
      <c r="M117" s="403"/>
      <c r="N117" s="441"/>
      <c r="O117" s="403"/>
      <c r="P117" s="403"/>
      <c r="Q117" s="403"/>
      <c r="R117" s="441"/>
      <c r="S117" s="433"/>
      <c r="T117" s="412" t="str" cm="1">
        <f t="array" aca="1" ref="T117" ca="1">IF(AND($U$12,B141&lt;=$C$17,C141&lt;&gt;""),TRANSPOSE(INDEX(getcds(C141,$C$6,G141/10000,F141,D141,$C$13,$C$14,$C$15,$C$8,,,TRUE,TRUE,FALSE,$C$29:$C$31,$C$33),{1;2;3;4;5})),"")</f>
        <v/>
      </c>
      <c r="U117" s="413"/>
      <c r="V117" s="413"/>
      <c r="W117" s="414"/>
      <c r="X117" s="415"/>
      <c r="Y117" s="416" t="str">
        <f t="shared" ca="1" si="7"/>
        <v/>
      </c>
      <c r="Z117" s="417" t="str">
        <f t="shared" ca="1" si="8"/>
        <v/>
      </c>
      <c r="AA117" s="416" t="str">
        <f t="shared" ca="1" si="9"/>
        <v/>
      </c>
      <c r="AB117" s="418" t="str">
        <f t="shared" ca="1" si="10"/>
        <v/>
      </c>
      <c r="AC117" s="417" t="str">
        <f t="shared" ca="1" si="11"/>
        <v/>
      </c>
      <c r="AD117" s="220"/>
    </row>
    <row r="118" spans="1:30" customFormat="1" ht="15">
      <c r="A118" s="220"/>
      <c r="B118" s="267">
        <v>80</v>
      </c>
      <c r="C118" s="68" t="s">
        <v>583</v>
      </c>
      <c r="D118" s="246">
        <f t="shared" ca="1" si="13"/>
        <v>1.0526315789473684</v>
      </c>
      <c r="E118" s="238"/>
      <c r="F118" s="225">
        <v>0.4</v>
      </c>
      <c r="G118" s="425">
        <v>100</v>
      </c>
      <c r="H118" s="377">
        <v>104</v>
      </c>
      <c r="I118" s="394"/>
      <c r="J118" s="394"/>
      <c r="K118" s="403"/>
      <c r="L118" s="403"/>
      <c r="M118" s="403"/>
      <c r="N118" s="441"/>
      <c r="O118" s="403"/>
      <c r="P118" s="403"/>
      <c r="Q118" s="403"/>
      <c r="R118" s="441"/>
      <c r="S118" s="433"/>
      <c r="T118" s="412" t="str" cm="1">
        <f t="array" aca="1" ref="T118" ca="1">IF(AND($U$12,B142&lt;=$C$17,C142&lt;&gt;""),TRANSPOSE(INDEX(getcds(C142,$C$6,G142/10000,F142,D142,$C$13,$C$14,$C$15,$C$8,,,TRUE,TRUE,FALSE,$C$29:$C$31,$C$33),{1;2;3;4;5})),"")</f>
        <v/>
      </c>
      <c r="U118" s="413"/>
      <c r="V118" s="413"/>
      <c r="W118" s="414"/>
      <c r="X118" s="415"/>
      <c r="Y118" s="416" t="str">
        <f t="shared" ca="1" si="7"/>
        <v/>
      </c>
      <c r="Z118" s="417" t="str">
        <f t="shared" ca="1" si="8"/>
        <v/>
      </c>
      <c r="AA118" s="416" t="str">
        <f t="shared" ca="1" si="9"/>
        <v/>
      </c>
      <c r="AB118" s="418" t="str">
        <f t="shared" ca="1" si="10"/>
        <v/>
      </c>
      <c r="AC118" s="417" t="str">
        <f t="shared" ca="1" si="11"/>
        <v/>
      </c>
      <c r="AD118" s="220"/>
    </row>
    <row r="119" spans="1:30" customFormat="1" ht="15">
      <c r="A119" s="220"/>
      <c r="B119" s="267">
        <v>81</v>
      </c>
      <c r="C119" s="68" t="s">
        <v>584</v>
      </c>
      <c r="D119" s="246">
        <f t="shared" ca="1" si="13"/>
        <v>1.0526315789473684</v>
      </c>
      <c r="E119" s="238"/>
      <c r="F119" s="225">
        <v>0.4</v>
      </c>
      <c r="G119" s="425">
        <v>100</v>
      </c>
      <c r="H119" s="377">
        <v>105</v>
      </c>
      <c r="I119" s="394"/>
      <c r="J119" s="394"/>
      <c r="K119" s="403"/>
      <c r="L119" s="403"/>
      <c r="M119" s="403"/>
      <c r="N119" s="441"/>
      <c r="O119" s="403"/>
      <c r="P119" s="403"/>
      <c r="Q119" s="403"/>
      <c r="R119" s="441"/>
      <c r="S119" s="433"/>
      <c r="T119" s="412" t="str" cm="1">
        <f t="array" aca="1" ref="T119" ca="1">IF(AND($U$12,B143&lt;=$C$17,C143&lt;&gt;""),TRANSPOSE(INDEX(getcds(C143,$C$6,G143/10000,F143,D143,$C$13,$C$14,$C$15,$C$8,,,TRUE,TRUE,FALSE,$C$29:$C$31,$C$33),{1;2;3;4;5})),"")</f>
        <v/>
      </c>
      <c r="U119" s="413"/>
      <c r="V119" s="413"/>
      <c r="W119" s="414"/>
      <c r="X119" s="415"/>
      <c r="Y119" s="416" t="str">
        <f t="shared" ca="1" si="7"/>
        <v/>
      </c>
      <c r="Z119" s="417" t="str">
        <f t="shared" ca="1" si="8"/>
        <v/>
      </c>
      <c r="AA119" s="416" t="str">
        <f t="shared" ca="1" si="9"/>
        <v/>
      </c>
      <c r="AB119" s="418" t="str">
        <f t="shared" ca="1" si="10"/>
        <v/>
      </c>
      <c r="AC119" s="417" t="str">
        <f t="shared" ca="1" si="11"/>
        <v/>
      </c>
      <c r="AD119" s="220"/>
    </row>
    <row r="120" spans="1:30" customFormat="1" ht="15">
      <c r="A120" s="220"/>
      <c r="B120" s="267">
        <v>82</v>
      </c>
      <c r="C120" s="68" t="s">
        <v>594</v>
      </c>
      <c r="D120" s="246">
        <f t="shared" ca="1" si="13"/>
        <v>1.0526315789473684</v>
      </c>
      <c r="E120" s="238"/>
      <c r="F120" s="225">
        <v>0.4</v>
      </c>
      <c r="G120" s="425">
        <v>100</v>
      </c>
      <c r="H120" s="377">
        <v>106</v>
      </c>
      <c r="I120" s="394"/>
      <c r="J120" s="394"/>
      <c r="K120" s="403"/>
      <c r="L120" s="403"/>
      <c r="M120" s="403"/>
      <c r="N120" s="441"/>
      <c r="O120" s="403"/>
      <c r="P120" s="403"/>
      <c r="Q120" s="403"/>
      <c r="R120" s="441"/>
      <c r="S120" s="433"/>
      <c r="T120" s="412" t="str" cm="1">
        <f t="array" aca="1" ref="T120" ca="1">IF(AND($U$12,B144&lt;=$C$17,C144&lt;&gt;""),TRANSPOSE(INDEX(getcds(C144,$C$6,G144/10000,F144,D144,$C$13,$C$14,$C$15,$C$8,,,TRUE,TRUE,FALSE,$C$29:$C$31,$C$33),{1;2;3;4;5})),"")</f>
        <v/>
      </c>
      <c r="U120" s="413"/>
      <c r="V120" s="413"/>
      <c r="W120" s="414"/>
      <c r="X120" s="415"/>
      <c r="Y120" s="416" t="str">
        <f t="shared" ca="1" si="7"/>
        <v/>
      </c>
      <c r="Z120" s="417" t="str">
        <f t="shared" ca="1" si="8"/>
        <v/>
      </c>
      <c r="AA120" s="416" t="str">
        <f t="shared" ca="1" si="9"/>
        <v/>
      </c>
      <c r="AB120" s="418" t="str">
        <f t="shared" ca="1" si="10"/>
        <v/>
      </c>
      <c r="AC120" s="417" t="str">
        <f t="shared" ca="1" si="11"/>
        <v/>
      </c>
      <c r="AD120" s="220"/>
    </row>
    <row r="121" spans="1:30" customFormat="1" ht="15">
      <c r="A121" s="220"/>
      <c r="B121" s="267">
        <v>83</v>
      </c>
      <c r="C121" s="68" t="s">
        <v>585</v>
      </c>
      <c r="D121" s="246">
        <f t="shared" ca="1" si="13"/>
        <v>1.0526315789473684</v>
      </c>
      <c r="E121" s="238"/>
      <c r="F121" s="225">
        <v>0.4</v>
      </c>
      <c r="G121" s="425">
        <v>100</v>
      </c>
      <c r="H121" s="377">
        <v>107</v>
      </c>
      <c r="I121" s="394"/>
      <c r="J121" s="394"/>
      <c r="K121" s="403"/>
      <c r="L121" s="403"/>
      <c r="M121" s="403"/>
      <c r="N121" s="441"/>
      <c r="O121" s="403"/>
      <c r="P121" s="403"/>
      <c r="Q121" s="403"/>
      <c r="R121" s="441"/>
      <c r="S121" s="433"/>
      <c r="T121" s="412" t="str" cm="1">
        <f t="array" aca="1" ref="T121" ca="1">IF(AND($U$12,B145&lt;=$C$17,C145&lt;&gt;""),TRANSPOSE(INDEX(getcds(C145,$C$6,G145/10000,F145,D145,$C$13,$C$14,$C$15,$C$8,,,TRUE,TRUE,FALSE,$C$29:$C$31,$C$33),{1;2;3;4;5})),"")</f>
        <v/>
      </c>
      <c r="U121" s="413"/>
      <c r="V121" s="413"/>
      <c r="W121" s="414"/>
      <c r="X121" s="415"/>
      <c r="Y121" s="416" t="str">
        <f t="shared" ca="1" si="7"/>
        <v/>
      </c>
      <c r="Z121" s="417" t="str">
        <f t="shared" ca="1" si="8"/>
        <v/>
      </c>
      <c r="AA121" s="416" t="str">
        <f t="shared" ca="1" si="9"/>
        <v/>
      </c>
      <c r="AB121" s="418" t="str">
        <f t="shared" ca="1" si="10"/>
        <v/>
      </c>
      <c r="AC121" s="417" t="str">
        <f t="shared" ca="1" si="11"/>
        <v/>
      </c>
      <c r="AD121" s="220"/>
    </row>
    <row r="122" spans="1:30" customFormat="1" ht="15">
      <c r="A122" s="220"/>
      <c r="B122" s="267">
        <v>84</v>
      </c>
      <c r="C122" s="68" t="s">
        <v>586</v>
      </c>
      <c r="D122" s="246">
        <f t="shared" ca="1" si="13"/>
        <v>1.0526315789473684</v>
      </c>
      <c r="E122" s="238"/>
      <c r="F122" s="225">
        <v>0.4</v>
      </c>
      <c r="G122" s="425">
        <v>100</v>
      </c>
      <c r="H122" s="377">
        <v>108</v>
      </c>
      <c r="I122" s="394"/>
      <c r="J122" s="394"/>
      <c r="K122" s="403"/>
      <c r="L122" s="403"/>
      <c r="M122" s="403"/>
      <c r="N122" s="441"/>
      <c r="O122" s="403"/>
      <c r="P122" s="403"/>
      <c r="Q122" s="403"/>
      <c r="R122" s="441"/>
      <c r="S122" s="433"/>
      <c r="T122" s="412" t="str" cm="1">
        <f t="array" aca="1" ref="T122" ca="1">IF(AND($U$12,B146&lt;=$C$17,C146&lt;&gt;""),TRANSPOSE(INDEX(getcds(C146,$C$6,G146/10000,F146,D146,$C$13,$C$14,$C$15,$C$8,,,TRUE,TRUE,FALSE,$C$29:$C$31,$C$33),{1;2;3;4;5})),"")</f>
        <v/>
      </c>
      <c r="U122" s="413"/>
      <c r="V122" s="413"/>
      <c r="W122" s="414"/>
      <c r="X122" s="415"/>
      <c r="Y122" s="416" t="str">
        <f t="shared" ca="1" si="7"/>
        <v/>
      </c>
      <c r="Z122" s="417" t="str">
        <f t="shared" ca="1" si="8"/>
        <v/>
      </c>
      <c r="AA122" s="416" t="str">
        <f t="shared" ca="1" si="9"/>
        <v/>
      </c>
      <c r="AB122" s="418" t="str">
        <f t="shared" ca="1" si="10"/>
        <v/>
      </c>
      <c r="AC122" s="417" t="str">
        <f t="shared" ca="1" si="11"/>
        <v/>
      </c>
      <c r="AD122" s="220"/>
    </row>
    <row r="123" spans="1:30" customFormat="1" ht="15">
      <c r="A123" s="220"/>
      <c r="B123" s="267">
        <v>85</v>
      </c>
      <c r="C123" s="68" t="s">
        <v>595</v>
      </c>
      <c r="D123" s="246">
        <f t="shared" ca="1" si="13"/>
        <v>1.0526315789473684</v>
      </c>
      <c r="E123" s="238"/>
      <c r="F123" s="225">
        <v>0.4</v>
      </c>
      <c r="G123" s="425">
        <v>100</v>
      </c>
      <c r="H123" s="377">
        <v>109</v>
      </c>
      <c r="I123" s="394"/>
      <c r="J123" s="394"/>
      <c r="K123" s="403"/>
      <c r="L123" s="403"/>
      <c r="M123" s="403"/>
      <c r="N123" s="441"/>
      <c r="O123" s="403"/>
      <c r="P123" s="403"/>
      <c r="Q123" s="403"/>
      <c r="R123" s="441"/>
      <c r="S123" s="433"/>
      <c r="T123" s="412" t="str" cm="1">
        <f t="array" aca="1" ref="T123" ca="1">IF(AND($U$12,B147&lt;=$C$17,C147&lt;&gt;""),TRANSPOSE(INDEX(getcds(C147,$C$6,G147/10000,F147,D147,$C$13,$C$14,$C$15,$C$8,,,TRUE,TRUE,FALSE,$C$29:$C$31,$C$33),{1;2;3;4;5})),"")</f>
        <v/>
      </c>
      <c r="U123" s="413"/>
      <c r="V123" s="413"/>
      <c r="W123" s="414"/>
      <c r="X123" s="415"/>
      <c r="Y123" s="416" t="str">
        <f t="shared" ca="1" si="7"/>
        <v/>
      </c>
      <c r="Z123" s="417" t="str">
        <f t="shared" ca="1" si="8"/>
        <v/>
      </c>
      <c r="AA123" s="416" t="str">
        <f t="shared" ca="1" si="9"/>
        <v/>
      </c>
      <c r="AB123" s="418" t="str">
        <f t="shared" ca="1" si="10"/>
        <v/>
      </c>
      <c r="AC123" s="417" t="str">
        <f t="shared" ca="1" si="11"/>
        <v/>
      </c>
      <c r="AD123" s="220"/>
    </row>
    <row r="124" spans="1:30" customFormat="1" ht="15">
      <c r="A124" s="220"/>
      <c r="B124" s="267">
        <v>86</v>
      </c>
      <c r="C124" s="68" t="s">
        <v>587</v>
      </c>
      <c r="D124" s="246">
        <f t="shared" ca="1" si="13"/>
        <v>1.0526315789473684</v>
      </c>
      <c r="E124" s="238"/>
      <c r="F124" s="225">
        <v>0.4</v>
      </c>
      <c r="G124" s="425">
        <v>100</v>
      </c>
      <c r="H124" s="377">
        <v>110</v>
      </c>
      <c r="I124" s="394"/>
      <c r="J124" s="394"/>
      <c r="K124" s="403"/>
      <c r="L124" s="403"/>
      <c r="M124" s="403"/>
      <c r="N124" s="441"/>
      <c r="O124" s="403"/>
      <c r="P124" s="403"/>
      <c r="Q124" s="403"/>
      <c r="R124" s="441"/>
      <c r="S124" s="433"/>
      <c r="T124" s="412" t="str" cm="1">
        <f t="array" aca="1" ref="T124" ca="1">IF(AND($U$12,B148&lt;=$C$17,C148&lt;&gt;""),TRANSPOSE(INDEX(getcds(C148,$C$6,G148/10000,F148,D148,$C$13,$C$14,$C$15,$C$8,,,TRUE,TRUE,FALSE,$C$29:$C$31,$C$33),{1;2;3;4;5})),"")</f>
        <v/>
      </c>
      <c r="U124" s="413"/>
      <c r="V124" s="413"/>
      <c r="W124" s="414"/>
      <c r="X124" s="415"/>
      <c r="Y124" s="416" t="str">
        <f t="shared" ca="1" si="7"/>
        <v/>
      </c>
      <c r="Z124" s="417" t="str">
        <f t="shared" ca="1" si="8"/>
        <v/>
      </c>
      <c r="AA124" s="416" t="str">
        <f t="shared" ca="1" si="9"/>
        <v/>
      </c>
      <c r="AB124" s="418" t="str">
        <f t="shared" ca="1" si="10"/>
        <v/>
      </c>
      <c r="AC124" s="417" t="str">
        <f t="shared" ca="1" si="11"/>
        <v/>
      </c>
      <c r="AD124" s="220"/>
    </row>
    <row r="125" spans="1:30" customFormat="1" ht="15">
      <c r="A125" s="220"/>
      <c r="B125" s="267">
        <v>87</v>
      </c>
      <c r="C125" s="68" t="s">
        <v>617</v>
      </c>
      <c r="D125" s="246">
        <f t="shared" ca="1" si="13"/>
        <v>1.0526315789473684</v>
      </c>
      <c r="E125" s="238"/>
      <c r="F125" s="225">
        <v>0.4</v>
      </c>
      <c r="G125" s="425">
        <v>100</v>
      </c>
      <c r="H125" s="377">
        <v>111</v>
      </c>
      <c r="I125" s="394"/>
      <c r="J125" s="394"/>
      <c r="K125" s="403"/>
      <c r="L125" s="403"/>
      <c r="M125" s="403"/>
      <c r="N125" s="441"/>
      <c r="O125" s="403"/>
      <c r="P125" s="403"/>
      <c r="Q125" s="403"/>
      <c r="R125" s="441"/>
      <c r="S125" s="433"/>
      <c r="T125" s="412" t="str" cm="1">
        <f t="array" aca="1" ref="T125" ca="1">IF(AND($U$12,B149&lt;=$C$17,C149&lt;&gt;""),TRANSPOSE(INDEX(getcds(C149,$C$6,G149/10000,F149,D149,$C$13,$C$14,$C$15,$C$8,,,TRUE,TRUE,FALSE,$C$29:$C$31,$C$33),{1;2;3;4;5})),"")</f>
        <v/>
      </c>
      <c r="U125" s="413"/>
      <c r="V125" s="413"/>
      <c r="W125" s="414"/>
      <c r="X125" s="415"/>
      <c r="Y125" s="416" t="str">
        <f t="shared" ca="1" si="7"/>
        <v/>
      </c>
      <c r="Z125" s="417" t="str">
        <f t="shared" ca="1" si="8"/>
        <v/>
      </c>
      <c r="AA125" s="416" t="str">
        <f t="shared" ca="1" si="9"/>
        <v/>
      </c>
      <c r="AB125" s="418" t="str">
        <f t="shared" ca="1" si="10"/>
        <v/>
      </c>
      <c r="AC125" s="417" t="str">
        <f t="shared" ca="1" si="11"/>
        <v/>
      </c>
      <c r="AD125" s="220"/>
    </row>
    <row r="126" spans="1:30" customFormat="1" ht="15">
      <c r="A126" s="220"/>
      <c r="B126" s="267">
        <v>88</v>
      </c>
      <c r="C126" s="68" t="s">
        <v>588</v>
      </c>
      <c r="D126" s="246">
        <f t="shared" ca="1" si="13"/>
        <v>1.0526315789473684</v>
      </c>
      <c r="E126" s="238"/>
      <c r="F126" s="225">
        <v>0.4</v>
      </c>
      <c r="G126" s="425">
        <v>100</v>
      </c>
      <c r="H126" s="377">
        <v>112</v>
      </c>
      <c r="I126" s="394"/>
      <c r="J126" s="394"/>
      <c r="K126" s="403"/>
      <c r="L126" s="403"/>
      <c r="M126" s="403"/>
      <c r="N126" s="441"/>
      <c r="O126" s="403"/>
      <c r="P126" s="403"/>
      <c r="Q126" s="403"/>
      <c r="R126" s="441"/>
      <c r="S126" s="433"/>
      <c r="T126" s="412" t="str" cm="1">
        <f t="array" aca="1" ref="T126" ca="1">IF(AND($U$12,B150&lt;=$C$17,C150&lt;&gt;""),TRANSPOSE(INDEX(getcds(C150,$C$6,G150/10000,F150,D150,$C$13,$C$14,$C$15,$C$8,,,TRUE,TRUE,FALSE,$C$29:$C$31,$C$33),{1;2;3;4;5})),"")</f>
        <v/>
      </c>
      <c r="U126" s="413"/>
      <c r="V126" s="413"/>
      <c r="W126" s="414"/>
      <c r="X126" s="415"/>
      <c r="Y126" s="416" t="str">
        <f t="shared" ca="1" si="7"/>
        <v/>
      </c>
      <c r="Z126" s="417" t="str">
        <f t="shared" ca="1" si="8"/>
        <v/>
      </c>
      <c r="AA126" s="416" t="str">
        <f t="shared" ca="1" si="9"/>
        <v/>
      </c>
      <c r="AB126" s="418" t="str">
        <f t="shared" ca="1" si="10"/>
        <v/>
      </c>
      <c r="AC126" s="417" t="str">
        <f t="shared" ca="1" si="11"/>
        <v/>
      </c>
      <c r="AD126" s="220"/>
    </row>
    <row r="127" spans="1:30" customFormat="1" ht="15">
      <c r="A127" s="220"/>
      <c r="B127" s="267">
        <v>89</v>
      </c>
      <c r="C127" s="68" t="s">
        <v>596</v>
      </c>
      <c r="D127" s="246">
        <f t="shared" ca="1" si="13"/>
        <v>1.0526315789473684</v>
      </c>
      <c r="E127" s="238"/>
      <c r="F127" s="225">
        <v>0.4</v>
      </c>
      <c r="G127" s="425">
        <v>100</v>
      </c>
      <c r="H127" s="377">
        <v>113</v>
      </c>
      <c r="I127" s="394"/>
      <c r="J127" s="394"/>
      <c r="K127" s="403"/>
      <c r="L127" s="403"/>
      <c r="M127" s="403"/>
      <c r="N127" s="441"/>
      <c r="O127" s="403"/>
      <c r="P127" s="403"/>
      <c r="Q127" s="403"/>
      <c r="R127" s="441"/>
      <c r="S127" s="433"/>
      <c r="T127" s="412" t="str" cm="1">
        <f t="array" aca="1" ref="T127" ca="1">IF(AND($U$12,B151&lt;=$C$17,C151&lt;&gt;""),TRANSPOSE(INDEX(getcds(C151,$C$6,G151/10000,F151,D151,$C$13,$C$14,$C$15,$C$8,,,TRUE,TRUE,FALSE,$C$29:$C$31,$C$33),{1;2;3;4;5})),"")</f>
        <v/>
      </c>
      <c r="U127" s="413"/>
      <c r="V127" s="413"/>
      <c r="W127" s="414"/>
      <c r="X127" s="415"/>
      <c r="Y127" s="416" t="str">
        <f t="shared" ca="1" si="7"/>
        <v/>
      </c>
      <c r="Z127" s="417" t="str">
        <f t="shared" ca="1" si="8"/>
        <v/>
      </c>
      <c r="AA127" s="416" t="str">
        <f t="shared" ca="1" si="9"/>
        <v/>
      </c>
      <c r="AB127" s="418" t="str">
        <f t="shared" ca="1" si="10"/>
        <v/>
      </c>
      <c r="AC127" s="417" t="str">
        <f t="shared" ca="1" si="11"/>
        <v/>
      </c>
      <c r="AD127" s="220"/>
    </row>
    <row r="128" spans="1:30" customFormat="1" ht="15">
      <c r="A128" s="220"/>
      <c r="B128" s="267">
        <v>90</v>
      </c>
      <c r="C128" s="68" t="s">
        <v>589</v>
      </c>
      <c r="D128" s="246">
        <f t="shared" ca="1" si="13"/>
        <v>1.0526315789473684</v>
      </c>
      <c r="E128" s="238"/>
      <c r="F128" s="225">
        <v>0.4</v>
      </c>
      <c r="G128" s="425">
        <v>100</v>
      </c>
      <c r="H128" s="377">
        <v>114</v>
      </c>
      <c r="I128" s="394"/>
      <c r="J128" s="394"/>
      <c r="K128" s="403"/>
      <c r="L128" s="403"/>
      <c r="M128" s="403"/>
      <c r="N128" s="441"/>
      <c r="O128" s="403"/>
      <c r="P128" s="403"/>
      <c r="Q128" s="403"/>
      <c r="R128" s="441"/>
      <c r="S128" s="433"/>
      <c r="T128" s="412" t="str" cm="1">
        <f t="array" aca="1" ref="T128" ca="1">IF(AND($U$12,B152&lt;=$C$17,C152&lt;&gt;""),TRANSPOSE(INDEX(getcds(C152,$C$6,G152/10000,F152,D152,$C$13,$C$14,$C$15,$C$8,,,TRUE,TRUE,FALSE,$C$29:$C$31,$C$33),{1;2;3;4;5})),"")</f>
        <v/>
      </c>
      <c r="U128" s="413"/>
      <c r="V128" s="413"/>
      <c r="W128" s="414"/>
      <c r="X128" s="415"/>
      <c r="Y128" s="416" t="str">
        <f t="shared" ca="1" si="7"/>
        <v/>
      </c>
      <c r="Z128" s="417" t="str">
        <f t="shared" ca="1" si="8"/>
        <v/>
      </c>
      <c r="AA128" s="416" t="str">
        <f t="shared" ca="1" si="9"/>
        <v/>
      </c>
      <c r="AB128" s="418" t="str">
        <f t="shared" ca="1" si="10"/>
        <v/>
      </c>
      <c r="AC128" s="417" t="str">
        <f t="shared" ca="1" si="11"/>
        <v/>
      </c>
      <c r="AD128" s="220"/>
    </row>
    <row r="129" spans="1:30" customFormat="1" ht="15">
      <c r="A129" s="220"/>
      <c r="B129" s="267">
        <v>91</v>
      </c>
      <c r="C129" s="68" t="s">
        <v>597</v>
      </c>
      <c r="D129" s="246">
        <f t="shared" ca="1" si="13"/>
        <v>1.0526315789473684</v>
      </c>
      <c r="E129" s="238"/>
      <c r="F129" s="225">
        <v>0.4</v>
      </c>
      <c r="G129" s="425">
        <v>100</v>
      </c>
      <c r="H129" s="377">
        <v>115</v>
      </c>
      <c r="I129" s="394"/>
      <c r="J129" s="394"/>
      <c r="K129" s="403"/>
      <c r="L129" s="403"/>
      <c r="M129" s="403"/>
      <c r="N129" s="441"/>
      <c r="O129" s="403"/>
      <c r="P129" s="403"/>
      <c r="Q129" s="403"/>
      <c r="R129" s="441"/>
      <c r="S129" s="433"/>
      <c r="T129" s="412" t="str" cm="1">
        <f t="array" aca="1" ref="T129" ca="1">IF(AND($U$12,B153&lt;=$C$17,C153&lt;&gt;""),TRANSPOSE(INDEX(getcds(C153,$C$6,G153/10000,F153,D153,$C$13,$C$14,$C$15,$C$8,,,TRUE,TRUE,FALSE,$C$29:$C$31,$C$33),{1;2;3;4;5})),"")</f>
        <v/>
      </c>
      <c r="U129" s="413"/>
      <c r="V129" s="413"/>
      <c r="W129" s="414"/>
      <c r="X129" s="415"/>
      <c r="Y129" s="416" t="str">
        <f t="shared" ca="1" si="7"/>
        <v/>
      </c>
      <c r="Z129" s="417" t="str">
        <f t="shared" ca="1" si="8"/>
        <v/>
      </c>
      <c r="AA129" s="416" t="str">
        <f t="shared" ca="1" si="9"/>
        <v/>
      </c>
      <c r="AB129" s="418" t="str">
        <f t="shared" ca="1" si="10"/>
        <v/>
      </c>
      <c r="AC129" s="417" t="str">
        <f t="shared" ca="1" si="11"/>
        <v/>
      </c>
      <c r="AD129" s="220"/>
    </row>
    <row r="130" spans="1:30" customFormat="1" ht="15">
      <c r="A130" s="220"/>
      <c r="B130" s="267">
        <v>92</v>
      </c>
      <c r="C130" s="68" t="s">
        <v>590</v>
      </c>
      <c r="D130" s="246">
        <f t="shared" ca="1" si="13"/>
        <v>1.0526315789473684</v>
      </c>
      <c r="E130" s="238"/>
      <c r="F130" s="225">
        <v>0.4</v>
      </c>
      <c r="G130" s="425">
        <v>100</v>
      </c>
      <c r="H130" s="377">
        <v>116</v>
      </c>
      <c r="I130" s="394"/>
      <c r="J130" s="394"/>
      <c r="K130" s="403"/>
      <c r="L130" s="403"/>
      <c r="M130" s="403"/>
      <c r="N130" s="441"/>
      <c r="O130" s="403"/>
      <c r="P130" s="403"/>
      <c r="Q130" s="403"/>
      <c r="R130" s="441"/>
      <c r="S130" s="433"/>
      <c r="T130" s="412" t="str" cm="1">
        <f t="array" aca="1" ref="T130" ca="1">IF(AND($U$12,B154&lt;=$C$17,C154&lt;&gt;""),TRANSPOSE(INDEX(getcds(C154,$C$6,G154/10000,F154,D154,$C$13,$C$14,$C$15,$C$8,,,TRUE,TRUE,FALSE,$C$29:$C$31,$C$33),{1;2;3;4;5})),"")</f>
        <v/>
      </c>
      <c r="U130" s="413"/>
      <c r="V130" s="413"/>
      <c r="W130" s="414"/>
      <c r="X130" s="415"/>
      <c r="Y130" s="416" t="str">
        <f t="shared" ca="1" si="7"/>
        <v/>
      </c>
      <c r="Z130" s="417" t="str">
        <f t="shared" ca="1" si="8"/>
        <v/>
      </c>
      <c r="AA130" s="416" t="str">
        <f t="shared" ca="1" si="9"/>
        <v/>
      </c>
      <c r="AB130" s="418" t="str">
        <f t="shared" ca="1" si="10"/>
        <v/>
      </c>
      <c r="AC130" s="417" t="str">
        <f t="shared" ca="1" si="11"/>
        <v/>
      </c>
      <c r="AD130" s="220"/>
    </row>
    <row r="131" spans="1:30" customFormat="1" ht="15">
      <c r="A131" s="220"/>
      <c r="B131" s="267">
        <v>93</v>
      </c>
      <c r="C131" s="68" t="s">
        <v>591</v>
      </c>
      <c r="D131" s="246">
        <f t="shared" ca="1" si="13"/>
        <v>1.0526315789473684</v>
      </c>
      <c r="E131" s="238"/>
      <c r="F131" s="225">
        <v>0.4</v>
      </c>
      <c r="G131" s="425">
        <v>100</v>
      </c>
      <c r="H131" s="377">
        <v>117</v>
      </c>
      <c r="I131" s="394"/>
      <c r="J131" s="394"/>
      <c r="K131" s="403"/>
      <c r="L131" s="403"/>
      <c r="M131" s="403"/>
      <c r="N131" s="441"/>
      <c r="O131" s="403"/>
      <c r="P131" s="403"/>
      <c r="Q131" s="403"/>
      <c r="R131" s="441"/>
      <c r="S131" s="433"/>
      <c r="T131" s="412" t="str" cm="1">
        <f t="array" aca="1" ref="T131" ca="1">IF(AND($U$12,B155&lt;=$C$17,C155&lt;&gt;""),TRANSPOSE(INDEX(getcds(C155,$C$6,G155/10000,F155,D155,$C$13,$C$14,$C$15,$C$8,,,TRUE,TRUE,FALSE,$C$29:$C$31,$C$33),{1;2;3;4;5})),"")</f>
        <v/>
      </c>
      <c r="U131" s="413"/>
      <c r="V131" s="413"/>
      <c r="W131" s="414"/>
      <c r="X131" s="415"/>
      <c r="Y131" s="416" t="str">
        <f t="shared" ca="1" si="7"/>
        <v/>
      </c>
      <c r="Z131" s="417" t="str">
        <f t="shared" ca="1" si="8"/>
        <v/>
      </c>
      <c r="AA131" s="416" t="str">
        <f t="shared" ca="1" si="9"/>
        <v/>
      </c>
      <c r="AB131" s="418" t="str">
        <f t="shared" ca="1" si="10"/>
        <v/>
      </c>
      <c r="AC131" s="417" t="str">
        <f t="shared" ca="1" si="11"/>
        <v/>
      </c>
      <c r="AD131" s="220"/>
    </row>
    <row r="132" spans="1:30" customFormat="1" ht="15">
      <c r="A132" s="220"/>
      <c r="B132" s="267">
        <v>94</v>
      </c>
      <c r="C132" s="68" t="s">
        <v>592</v>
      </c>
      <c r="D132" s="246">
        <f t="shared" ca="1" si="13"/>
        <v>1.0526315789473684</v>
      </c>
      <c r="E132" s="238"/>
      <c r="F132" s="225">
        <v>0.4</v>
      </c>
      <c r="G132" s="425">
        <v>100</v>
      </c>
      <c r="H132" s="377">
        <v>118</v>
      </c>
      <c r="I132" s="394"/>
      <c r="J132" s="394"/>
      <c r="K132" s="403"/>
      <c r="L132" s="403"/>
      <c r="M132" s="403"/>
      <c r="N132" s="441"/>
      <c r="O132" s="403"/>
      <c r="P132" s="403"/>
      <c r="Q132" s="403"/>
      <c r="R132" s="441"/>
      <c r="S132" s="433"/>
      <c r="T132" s="412" t="str" cm="1">
        <f t="array" aca="1" ref="T132" ca="1">IF(AND($U$12,B156&lt;=$C$17,C156&lt;&gt;""),TRANSPOSE(INDEX(getcds(C156,$C$6,G156/10000,F156,D156,$C$13,$C$14,$C$15,$C$8,,,TRUE,TRUE,FALSE,$C$29:$C$31,$C$33),{1;2;3;4;5})),"")</f>
        <v/>
      </c>
      <c r="U132" s="413"/>
      <c r="V132" s="413"/>
      <c r="W132" s="414"/>
      <c r="X132" s="415"/>
      <c r="Y132" s="416" t="str">
        <f t="shared" ca="1" si="7"/>
        <v/>
      </c>
      <c r="Z132" s="417" t="str">
        <f t="shared" ca="1" si="8"/>
        <v/>
      </c>
      <c r="AA132" s="416" t="str">
        <f t="shared" ca="1" si="9"/>
        <v/>
      </c>
      <c r="AB132" s="418" t="str">
        <f t="shared" ca="1" si="10"/>
        <v/>
      </c>
      <c r="AC132" s="417" t="str">
        <f t="shared" ca="1" si="11"/>
        <v/>
      </c>
      <c r="AD132" s="220"/>
    </row>
    <row r="133" spans="1:30" customFormat="1" ht="15">
      <c r="A133" s="220"/>
      <c r="B133" s="267">
        <v>95</v>
      </c>
      <c r="C133" s="68" t="s">
        <v>593</v>
      </c>
      <c r="D133" s="246">
        <f t="shared" ca="1" si="13"/>
        <v>1.0526315789473684</v>
      </c>
      <c r="E133" s="238"/>
      <c r="F133" s="225">
        <v>0.4</v>
      </c>
      <c r="G133" s="425">
        <v>100</v>
      </c>
      <c r="H133" s="377">
        <v>119</v>
      </c>
      <c r="I133" s="394"/>
      <c r="J133" s="394"/>
      <c r="K133" s="403"/>
      <c r="L133" s="403"/>
      <c r="M133" s="403"/>
      <c r="N133" s="441"/>
      <c r="O133" s="403"/>
      <c r="P133" s="403"/>
      <c r="Q133" s="403"/>
      <c r="R133" s="441"/>
      <c r="S133" s="433"/>
      <c r="T133" s="412" t="str" cm="1">
        <f t="array" aca="1" ref="T133" ca="1">IF(AND($U$12,B157&lt;=$C$17,C157&lt;&gt;""),TRANSPOSE(INDEX(getcds(C157,$C$6,G157/10000,F157,D157,$C$13,$C$14,$C$15,$C$8,,,TRUE,TRUE,FALSE,$C$29:$C$31,$C$33),{1;2;3;4;5})),"")</f>
        <v/>
      </c>
      <c r="U133" s="413"/>
      <c r="V133" s="413"/>
      <c r="W133" s="414"/>
      <c r="X133" s="415"/>
      <c r="Y133" s="416" t="str">
        <f t="shared" ca="1" si="7"/>
        <v/>
      </c>
      <c r="Z133" s="417" t="str">
        <f t="shared" ca="1" si="8"/>
        <v/>
      </c>
      <c r="AA133" s="416" t="str">
        <f t="shared" ca="1" si="9"/>
        <v/>
      </c>
      <c r="AB133" s="418" t="str">
        <f t="shared" ca="1" si="10"/>
        <v/>
      </c>
      <c r="AC133" s="417" t="str">
        <f t="shared" ca="1" si="11"/>
        <v/>
      </c>
      <c r="AD133" s="220"/>
    </row>
    <row r="134" spans="1:30" customFormat="1" ht="15">
      <c r="A134" s="220"/>
      <c r="B134" s="267">
        <v>96</v>
      </c>
      <c r="C134" s="245"/>
      <c r="D134" s="246"/>
      <c r="E134" s="238"/>
      <c r="F134" s="225"/>
      <c r="G134" s="425"/>
      <c r="H134" s="377">
        <v>120</v>
      </c>
      <c r="I134" s="394"/>
      <c r="J134" s="394"/>
      <c r="K134" s="403"/>
      <c r="L134" s="403"/>
      <c r="M134" s="403"/>
      <c r="N134" s="441"/>
      <c r="O134" s="403"/>
      <c r="P134" s="403"/>
      <c r="Q134" s="403"/>
      <c r="R134" s="441"/>
      <c r="S134" s="433"/>
      <c r="T134" s="412" t="str" cm="1">
        <f t="array" aca="1" ref="T134" ca="1">IF(AND($U$12,B158&lt;=$C$17,C158&lt;&gt;""),TRANSPOSE(INDEX(getcds(C158,$C$6,G158/10000,F158,D158,$C$13,$C$14,$C$15,$C$8,,,TRUE,TRUE,FALSE,$C$29:$C$31,$C$33),{1;2;3;4;5})),"")</f>
        <v/>
      </c>
      <c r="U134" s="413"/>
      <c r="V134" s="413"/>
      <c r="W134" s="414"/>
      <c r="X134" s="415"/>
      <c r="Y134" s="416" t="str">
        <f t="shared" ca="1" si="7"/>
        <v/>
      </c>
      <c r="Z134" s="417" t="str">
        <f t="shared" ca="1" si="8"/>
        <v/>
      </c>
      <c r="AA134" s="416" t="str">
        <f t="shared" ca="1" si="9"/>
        <v/>
      </c>
      <c r="AB134" s="418" t="str">
        <f t="shared" ca="1" si="10"/>
        <v/>
      </c>
      <c r="AC134" s="417" t="str">
        <f t="shared" ca="1" si="11"/>
        <v/>
      </c>
      <c r="AD134" s="220"/>
    </row>
    <row r="135" spans="1:30" customFormat="1" ht="15">
      <c r="A135" s="220"/>
      <c r="B135" s="267">
        <v>97</v>
      </c>
      <c r="C135" s="245"/>
      <c r="D135" s="246"/>
      <c r="E135" s="238"/>
      <c r="F135" s="225"/>
      <c r="G135" s="425"/>
      <c r="H135" s="377">
        <v>121</v>
      </c>
      <c r="I135" s="394"/>
      <c r="J135" s="394"/>
      <c r="K135" s="403"/>
      <c r="L135" s="403"/>
      <c r="M135" s="403"/>
      <c r="N135" s="441"/>
      <c r="O135" s="403"/>
      <c r="P135" s="403"/>
      <c r="Q135" s="403"/>
      <c r="R135" s="441"/>
      <c r="S135" s="433"/>
      <c r="T135" s="412" t="str" cm="1">
        <f t="array" aca="1" ref="T135" ca="1">IF(AND($U$12,B159&lt;=$C$17,C159&lt;&gt;""),TRANSPOSE(INDEX(getcds(C159,$C$6,G159/10000,F159,D159,$C$13,$C$14,$C$15,$C$8,,,TRUE,TRUE,FALSE,$C$29:$C$31,$C$33),{1;2;3;4;5})),"")</f>
        <v/>
      </c>
      <c r="U135" s="413"/>
      <c r="V135" s="413"/>
      <c r="W135" s="414"/>
      <c r="X135" s="415"/>
      <c r="Y135" s="416" t="str">
        <f t="shared" ca="1" si="7"/>
        <v/>
      </c>
      <c r="Z135" s="417" t="str">
        <f t="shared" ca="1" si="8"/>
        <v/>
      </c>
      <c r="AA135" s="416" t="str">
        <f t="shared" ca="1" si="9"/>
        <v/>
      </c>
      <c r="AB135" s="418" t="str">
        <f t="shared" ca="1" si="10"/>
        <v/>
      </c>
      <c r="AC135" s="417" t="str">
        <f t="shared" ca="1" si="11"/>
        <v/>
      </c>
      <c r="AD135" s="220"/>
    </row>
    <row r="136" spans="1:30" customFormat="1" ht="15">
      <c r="A136" s="220"/>
      <c r="B136" s="267">
        <v>98</v>
      </c>
      <c r="C136" s="245"/>
      <c r="D136" s="246"/>
      <c r="E136" s="238"/>
      <c r="F136" s="225"/>
      <c r="G136" s="425"/>
      <c r="H136" s="377">
        <v>122</v>
      </c>
      <c r="I136" s="394"/>
      <c r="J136" s="394"/>
      <c r="K136" s="403"/>
      <c r="L136" s="403"/>
      <c r="M136" s="403"/>
      <c r="N136" s="441"/>
      <c r="O136" s="403"/>
      <c r="P136" s="403"/>
      <c r="Q136" s="403"/>
      <c r="R136" s="441"/>
      <c r="S136" s="433"/>
      <c r="T136" s="412" t="str" cm="1">
        <f t="array" aca="1" ref="T136" ca="1">IF(AND($U$12,B160&lt;=$C$17,C160&lt;&gt;""),TRANSPOSE(INDEX(getcds(C160,$C$6,G160/10000,F160,D160,$C$13,$C$14,$C$15,$C$8,,,TRUE,TRUE,FALSE,$C$29:$C$31,$C$33),{1;2;3;4;5})),"")</f>
        <v/>
      </c>
      <c r="U136" s="413"/>
      <c r="V136" s="413"/>
      <c r="W136" s="414"/>
      <c r="X136" s="415"/>
      <c r="Y136" s="416" t="str">
        <f t="shared" ca="1" si="7"/>
        <v/>
      </c>
      <c r="Z136" s="417" t="str">
        <f t="shared" ca="1" si="8"/>
        <v/>
      </c>
      <c r="AA136" s="416" t="str">
        <f t="shared" ca="1" si="9"/>
        <v/>
      </c>
      <c r="AB136" s="418" t="str">
        <f t="shared" ca="1" si="10"/>
        <v/>
      </c>
      <c r="AC136" s="417" t="str">
        <f t="shared" ca="1" si="11"/>
        <v/>
      </c>
      <c r="AD136" s="220"/>
    </row>
    <row r="137" spans="1:30" customFormat="1" ht="15">
      <c r="A137" s="220"/>
      <c r="B137" s="267">
        <v>99</v>
      </c>
      <c r="C137" s="245"/>
      <c r="D137" s="246"/>
      <c r="E137" s="238"/>
      <c r="F137" s="225"/>
      <c r="G137" s="425"/>
      <c r="H137" s="377">
        <v>123</v>
      </c>
      <c r="I137" s="394"/>
      <c r="J137" s="394"/>
      <c r="K137" s="403"/>
      <c r="L137" s="403"/>
      <c r="M137" s="403"/>
      <c r="N137" s="441"/>
      <c r="O137" s="403"/>
      <c r="P137" s="403"/>
      <c r="Q137" s="403"/>
      <c r="R137" s="441"/>
      <c r="S137" s="433"/>
      <c r="T137" s="412" t="str" cm="1">
        <f t="array" aca="1" ref="T137" ca="1">IF(AND($U$12,B161&lt;=$C$17,C161&lt;&gt;""),TRANSPOSE(INDEX(getcds(C161,$C$6,G161/10000,F161,D161,$C$13,$C$14,$C$15,$C$8,,,TRUE,TRUE,FALSE,$C$29:$C$31,$C$33),{1;2;3;4;5})),"")</f>
        <v/>
      </c>
      <c r="U137" s="413"/>
      <c r="V137" s="413"/>
      <c r="W137" s="414"/>
      <c r="X137" s="415"/>
      <c r="Y137" s="416" t="str">
        <f t="shared" ca="1" si="7"/>
        <v/>
      </c>
      <c r="Z137" s="417" t="str">
        <f t="shared" ca="1" si="8"/>
        <v/>
      </c>
      <c r="AA137" s="416" t="str">
        <f t="shared" ca="1" si="9"/>
        <v/>
      </c>
      <c r="AB137" s="418" t="str">
        <f t="shared" ca="1" si="10"/>
        <v/>
      </c>
      <c r="AC137" s="417" t="str">
        <f t="shared" ca="1" si="11"/>
        <v/>
      </c>
      <c r="AD137" s="220"/>
    </row>
    <row r="138" spans="1:30" customFormat="1" ht="15">
      <c r="A138" s="220"/>
      <c r="B138" s="267">
        <v>100</v>
      </c>
      <c r="C138" s="245"/>
      <c r="D138" s="246"/>
      <c r="E138" s="238"/>
      <c r="F138" s="225"/>
      <c r="G138" s="425"/>
      <c r="H138" s="377">
        <v>124</v>
      </c>
      <c r="I138" s="394"/>
      <c r="J138" s="394"/>
      <c r="K138" s="403"/>
      <c r="L138" s="403"/>
      <c r="M138" s="403"/>
      <c r="N138" s="441"/>
      <c r="O138" s="403"/>
      <c r="P138" s="403"/>
      <c r="Q138" s="403"/>
      <c r="R138" s="441"/>
      <c r="S138" s="433"/>
      <c r="T138" s="412" t="str" cm="1">
        <f t="array" aca="1" ref="T138" ca="1">IF(AND($U$12,B162&lt;=$C$17,C162&lt;&gt;""),TRANSPOSE(INDEX(getcds(C162,$C$6,G162/10000,F162,D162,$C$13,$C$14,$C$15,$C$8,,,TRUE,TRUE,FALSE,$C$29:$C$31,$C$33),{1;2;3;4;5})),"")</f>
        <v/>
      </c>
      <c r="U138" s="413"/>
      <c r="V138" s="413"/>
      <c r="W138" s="414"/>
      <c r="X138" s="415"/>
      <c r="Y138" s="416" t="str">
        <f t="shared" ca="1" si="7"/>
        <v/>
      </c>
      <c r="Z138" s="417" t="str">
        <f t="shared" ca="1" si="8"/>
        <v/>
      </c>
      <c r="AA138" s="416" t="str">
        <f t="shared" ca="1" si="9"/>
        <v/>
      </c>
      <c r="AB138" s="418" t="str">
        <f t="shared" ca="1" si="10"/>
        <v/>
      </c>
      <c r="AC138" s="417" t="str">
        <f t="shared" ca="1" si="11"/>
        <v/>
      </c>
      <c r="AD138" s="220"/>
    </row>
    <row r="139" spans="1:30" customFormat="1" ht="15">
      <c r="A139" s="220"/>
      <c r="B139" s="267">
        <v>101</v>
      </c>
      <c r="C139" s="245"/>
      <c r="D139" s="246"/>
      <c r="E139" s="238"/>
      <c r="F139" s="225"/>
      <c r="G139" s="231"/>
      <c r="H139" s="377">
        <v>125</v>
      </c>
      <c r="I139" s="394"/>
      <c r="J139" s="394"/>
      <c r="K139" s="403"/>
      <c r="L139" s="403"/>
      <c r="M139" s="403"/>
      <c r="N139" s="441"/>
      <c r="O139" s="403"/>
      <c r="P139" s="403"/>
      <c r="Q139" s="403"/>
      <c r="R139" s="441"/>
      <c r="S139" s="433"/>
      <c r="T139" s="412" t="str" cm="1">
        <f t="array" aca="1" ref="T139" ca="1">IF(AND($U$12,B163&lt;=$C$17,C163&lt;&gt;""),TRANSPOSE(INDEX(getcds(C163,$C$6,G163/10000,F163,D163,$C$13,$C$14,$C$15,$C$8,,,TRUE,TRUE,FALSE,$C$29:$C$31,$C$33),{1;2;3;4;5})),"")</f>
        <v/>
      </c>
      <c r="U139" s="413"/>
      <c r="V139" s="413"/>
      <c r="W139" s="414"/>
      <c r="X139" s="415"/>
      <c r="Y139" s="416" t="str">
        <f t="shared" ca="1" si="7"/>
        <v/>
      </c>
      <c r="Z139" s="417" t="str">
        <f t="shared" ca="1" si="8"/>
        <v/>
      </c>
      <c r="AA139" s="416" t="str">
        <f t="shared" ca="1" si="9"/>
        <v/>
      </c>
      <c r="AB139" s="418" t="str">
        <f t="shared" ca="1" si="10"/>
        <v/>
      </c>
      <c r="AC139" s="417" t="str">
        <f t="shared" ca="1" si="11"/>
        <v/>
      </c>
      <c r="AD139" s="220"/>
    </row>
    <row r="140" spans="1:30" customFormat="1" ht="15">
      <c r="A140" s="220"/>
      <c r="B140" s="267">
        <v>102</v>
      </c>
      <c r="C140" s="245"/>
      <c r="D140" s="246"/>
      <c r="E140" s="238"/>
      <c r="F140" s="225"/>
      <c r="G140" s="231"/>
      <c r="H140" s="377">
        <v>126</v>
      </c>
      <c r="I140" s="394"/>
      <c r="J140" s="394"/>
      <c r="K140" s="403"/>
      <c r="L140" s="403"/>
      <c r="M140" s="394"/>
      <c r="N140" s="442"/>
      <c r="O140" s="394"/>
      <c r="P140" s="394"/>
      <c r="Q140" s="394"/>
      <c r="R140" s="442"/>
      <c r="S140" s="433"/>
      <c r="T140" s="412" t="str" cm="1">
        <f t="array" aca="1" ref="T140" ca="1">IF(AND($U$12,B164&lt;=$C$17,C164&lt;&gt;""),TRANSPOSE(INDEX(getcds(C164,$C$6,G164/10000,F164,D164,$C$13,$C$14,$C$15,$C$8,,,TRUE,TRUE,FALSE,$C$29:$C$31,$C$33),{1;2;3;4;5})),"")</f>
        <v/>
      </c>
      <c r="U140" s="413"/>
      <c r="V140" s="413"/>
      <c r="W140" s="414"/>
      <c r="X140" s="415"/>
      <c r="Y140" s="416" t="str">
        <f t="shared" ca="1" si="7"/>
        <v/>
      </c>
      <c r="Z140" s="417" t="str">
        <f t="shared" ca="1" si="8"/>
        <v/>
      </c>
      <c r="AA140" s="416" t="str">
        <f t="shared" ca="1" si="9"/>
        <v/>
      </c>
      <c r="AB140" s="418" t="str">
        <f t="shared" ca="1" si="10"/>
        <v/>
      </c>
      <c r="AC140" s="417" t="str">
        <f t="shared" ca="1" si="11"/>
        <v/>
      </c>
      <c r="AD140" s="220"/>
    </row>
    <row r="141" spans="1:30" customFormat="1" ht="15">
      <c r="A141" s="220"/>
      <c r="B141" s="267">
        <v>103</v>
      </c>
      <c r="C141" s="245"/>
      <c r="D141" s="246"/>
      <c r="E141" s="238"/>
      <c r="F141" s="225"/>
      <c r="G141" s="231"/>
      <c r="H141" s="377">
        <v>127</v>
      </c>
      <c r="I141" s="394"/>
      <c r="J141" s="394"/>
      <c r="K141" s="403"/>
      <c r="L141" s="403"/>
      <c r="M141" s="394"/>
      <c r="N141" s="442"/>
      <c r="O141" s="394"/>
      <c r="P141" s="394"/>
      <c r="Q141" s="394"/>
      <c r="R141" s="442"/>
      <c r="S141" s="433"/>
      <c r="T141" s="412" t="str" cm="1">
        <f t="array" aca="1" ref="T141" ca="1">IF(AND($U$12,B165&lt;=$C$17,C165&lt;&gt;""),TRANSPOSE(INDEX(getcds(C165,$C$6,G165/10000,F165,D165,$C$13,$C$14,$C$15,$C$8,,,TRUE,TRUE,FALSE,$C$29:$C$31,$C$33),{1;2;3;4;5})),"")</f>
        <v/>
      </c>
      <c r="U141" s="413"/>
      <c r="V141" s="413"/>
      <c r="W141" s="414"/>
      <c r="X141" s="415"/>
      <c r="Y141" s="416" t="str">
        <f t="shared" ca="1" si="7"/>
        <v/>
      </c>
      <c r="Z141" s="417" t="str">
        <f t="shared" ca="1" si="8"/>
        <v/>
      </c>
      <c r="AA141" s="416" t="str">
        <f t="shared" ca="1" si="9"/>
        <v/>
      </c>
      <c r="AB141" s="418" t="str">
        <f t="shared" ca="1" si="10"/>
        <v/>
      </c>
      <c r="AC141" s="417" t="str">
        <f t="shared" ca="1" si="11"/>
        <v/>
      </c>
      <c r="AD141" s="220"/>
    </row>
    <row r="142" spans="1:30" customFormat="1" ht="15">
      <c r="A142" s="220"/>
      <c r="B142" s="267">
        <v>104</v>
      </c>
      <c r="C142" s="245"/>
      <c r="D142" s="246"/>
      <c r="E142" s="238"/>
      <c r="F142" s="225"/>
      <c r="G142" s="231"/>
      <c r="H142" s="377">
        <v>128</v>
      </c>
      <c r="I142" s="394"/>
      <c r="J142" s="394"/>
      <c r="K142" s="403"/>
      <c r="L142" s="403"/>
      <c r="M142" s="394"/>
      <c r="N142" s="442"/>
      <c r="O142" s="394"/>
      <c r="P142" s="394"/>
      <c r="Q142" s="394"/>
      <c r="R142" s="442"/>
      <c r="S142" s="433"/>
      <c r="T142" s="412" t="str" cm="1">
        <f t="array" aca="1" ref="T142" ca="1">IF(AND($U$12,B166&lt;=$C$17,C166&lt;&gt;""),TRANSPOSE(INDEX(getcds(C166,$C$6,G166/10000,F166,D166,$C$13,$C$14,$C$15,$C$8,,,TRUE,TRUE,FALSE,$C$29:$C$31,$C$33),{1;2;3;4;5})),"")</f>
        <v/>
      </c>
      <c r="U142" s="413"/>
      <c r="V142" s="413"/>
      <c r="W142" s="414"/>
      <c r="X142" s="415"/>
      <c r="Y142" s="416" t="str">
        <f t="shared" ca="1" si="7"/>
        <v/>
      </c>
      <c r="Z142" s="417" t="str">
        <f t="shared" ca="1" si="8"/>
        <v/>
      </c>
      <c r="AA142" s="416" t="str">
        <f t="shared" ca="1" si="9"/>
        <v/>
      </c>
      <c r="AB142" s="418" t="str">
        <f t="shared" ca="1" si="10"/>
        <v/>
      </c>
      <c r="AC142" s="417" t="str">
        <f t="shared" ca="1" si="11"/>
        <v/>
      </c>
      <c r="AD142" s="220"/>
    </row>
    <row r="143" spans="1:30" customFormat="1" ht="15">
      <c r="A143" s="220"/>
      <c r="B143" s="267">
        <v>105</v>
      </c>
      <c r="C143" s="245"/>
      <c r="D143" s="246"/>
      <c r="E143" s="238"/>
      <c r="F143" s="225"/>
      <c r="G143" s="231"/>
      <c r="H143" s="377">
        <v>129</v>
      </c>
      <c r="I143" s="394"/>
      <c r="J143" s="394"/>
      <c r="K143" s="403"/>
      <c r="L143" s="403"/>
      <c r="M143" s="394"/>
      <c r="N143" s="442"/>
      <c r="O143" s="394"/>
      <c r="P143" s="394"/>
      <c r="Q143" s="394"/>
      <c r="R143" s="442"/>
      <c r="S143" s="433"/>
      <c r="T143" s="412" t="str" cm="1">
        <f t="array" aca="1" ref="T143" ca="1">IF(AND($U$12,B167&lt;=$C$17,C167&lt;&gt;""),TRANSPOSE(INDEX(getcds(C167,$C$6,G167/10000,F167,D167,$C$13,$C$14,$C$15,$C$8,,,TRUE,TRUE,FALSE,$C$29:$C$31,$C$33),{1;2;3;4;5})),"")</f>
        <v/>
      </c>
      <c r="U143" s="413"/>
      <c r="V143" s="413"/>
      <c r="W143" s="414"/>
      <c r="X143" s="415"/>
      <c r="Y143" s="416" t="str">
        <f t="shared" ca="1" si="7"/>
        <v/>
      </c>
      <c r="Z143" s="417" t="str">
        <f t="shared" ca="1" si="8"/>
        <v/>
      </c>
      <c r="AA143" s="416" t="str">
        <f t="shared" ca="1" si="9"/>
        <v/>
      </c>
      <c r="AB143" s="418" t="str">
        <f t="shared" ca="1" si="10"/>
        <v/>
      </c>
      <c r="AC143" s="417" t="str">
        <f t="shared" ca="1" si="11"/>
        <v/>
      </c>
      <c r="AD143" s="220"/>
    </row>
    <row r="144" spans="1:30" customFormat="1" ht="15">
      <c r="A144" s="220"/>
      <c r="B144" s="267">
        <v>106</v>
      </c>
      <c r="C144" s="245"/>
      <c r="D144" s="246"/>
      <c r="E144" s="238"/>
      <c r="F144" s="225"/>
      <c r="G144" s="231"/>
      <c r="H144" s="377">
        <v>130</v>
      </c>
      <c r="I144" s="394"/>
      <c r="J144" s="394"/>
      <c r="K144" s="403"/>
      <c r="L144" s="403"/>
      <c r="M144" s="394"/>
      <c r="N144" s="442"/>
      <c r="O144" s="394"/>
      <c r="P144" s="394"/>
      <c r="Q144" s="394"/>
      <c r="R144" s="442"/>
      <c r="S144" s="433"/>
      <c r="T144" s="412" t="str" cm="1">
        <f t="array" aca="1" ref="T144" ca="1">IF(AND($U$12,B168&lt;=$C$17,C168&lt;&gt;""),TRANSPOSE(INDEX(getcds(C168,$C$6,G168/10000,F168,D168,$C$13,$C$14,$C$15,$C$8,,,TRUE,TRUE,FALSE,$C$29:$C$31,$C$33),{1;2;3;4;5})),"")</f>
        <v/>
      </c>
      <c r="U144" s="413"/>
      <c r="V144" s="413"/>
      <c r="W144" s="414"/>
      <c r="X144" s="415"/>
      <c r="Y144" s="416" t="str">
        <f t="shared" ref="Y144:Y207" ca="1" si="14">IF($U$12,IF(T144="","",$U$13*D168/$C$18),"")</f>
        <v/>
      </c>
      <c r="Z144" s="417" t="str">
        <f t="shared" ref="Z144:Z207" ca="1" si="15">IF($U$12,IF(Y144="","",Y144*($Z$10-W144)*X144),"")</f>
        <v/>
      </c>
      <c r="AA144" s="416" t="str">
        <f t="shared" ref="AA144:AA207" ca="1" si="16">IF($U$12,IF(OR(T144="",L144=""),"",L144/($C$20-$C$19)),"")</f>
        <v/>
      </c>
      <c r="AB144" s="418" t="str">
        <f t="shared" ref="AB144:AB207" ca="1" si="17">IF($U$12,IF(W144="","",W144*$AC$10),"")</f>
        <v/>
      </c>
      <c r="AC144" s="417" t="str">
        <f t="shared" ref="AC144:AC207" ca="1" si="18">IF($U$12,IF(AA144="","",AA144*(AB144-W144)*X144),"")</f>
        <v/>
      </c>
      <c r="AD144" s="220"/>
    </row>
    <row r="145" spans="1:30" customFormat="1" ht="15">
      <c r="A145" s="220"/>
      <c r="B145" s="267">
        <v>107</v>
      </c>
      <c r="C145" s="245"/>
      <c r="D145" s="246"/>
      <c r="E145" s="238"/>
      <c r="F145" s="225"/>
      <c r="G145" s="231"/>
      <c r="H145" s="377">
        <v>131</v>
      </c>
      <c r="I145" s="394"/>
      <c r="J145" s="394"/>
      <c r="K145" s="403"/>
      <c r="L145" s="403"/>
      <c r="M145" s="394"/>
      <c r="N145" s="442"/>
      <c r="O145" s="394"/>
      <c r="P145" s="394"/>
      <c r="Q145" s="394"/>
      <c r="R145" s="442"/>
      <c r="S145" s="433"/>
      <c r="T145" s="412" t="str" cm="1">
        <f t="array" aca="1" ref="T145" ca="1">IF(AND($U$12,B169&lt;=$C$17,C169&lt;&gt;""),TRANSPOSE(INDEX(getcds(C169,$C$6,G169/10000,F169,D169,$C$13,$C$14,$C$15,$C$8,,,TRUE,TRUE,FALSE,$C$29:$C$31,$C$33),{1;2;3;4;5})),"")</f>
        <v/>
      </c>
      <c r="U145" s="413"/>
      <c r="V145" s="413"/>
      <c r="W145" s="414"/>
      <c r="X145" s="415"/>
      <c r="Y145" s="416" t="str">
        <f t="shared" ca="1" si="14"/>
        <v/>
      </c>
      <c r="Z145" s="417" t="str">
        <f t="shared" ca="1" si="15"/>
        <v/>
      </c>
      <c r="AA145" s="416" t="str">
        <f t="shared" ca="1" si="16"/>
        <v/>
      </c>
      <c r="AB145" s="418" t="str">
        <f t="shared" ca="1" si="17"/>
        <v/>
      </c>
      <c r="AC145" s="417" t="str">
        <f t="shared" ca="1" si="18"/>
        <v/>
      </c>
      <c r="AD145" s="220"/>
    </row>
    <row r="146" spans="1:30" customFormat="1" ht="15">
      <c r="A146" s="220"/>
      <c r="B146" s="267">
        <v>108</v>
      </c>
      <c r="C146" s="245"/>
      <c r="D146" s="246"/>
      <c r="E146" s="238"/>
      <c r="F146" s="225"/>
      <c r="G146" s="231"/>
      <c r="H146" s="377">
        <v>132</v>
      </c>
      <c r="I146" s="394"/>
      <c r="J146" s="394"/>
      <c r="K146" s="403"/>
      <c r="L146" s="403"/>
      <c r="M146" s="394"/>
      <c r="N146" s="442"/>
      <c r="O146" s="394"/>
      <c r="P146" s="394"/>
      <c r="Q146" s="394"/>
      <c r="R146" s="442"/>
      <c r="S146" s="433"/>
      <c r="T146" s="412" t="str" cm="1">
        <f t="array" aca="1" ref="T146" ca="1">IF(AND($U$12,B170&lt;=$C$17,C170&lt;&gt;""),TRANSPOSE(INDEX(getcds(C170,$C$6,G170/10000,F170,D170,$C$13,$C$14,$C$15,$C$8,,,TRUE,TRUE,FALSE,$C$29:$C$31,$C$33),{1;2;3;4;5})),"")</f>
        <v/>
      </c>
      <c r="U146" s="413"/>
      <c r="V146" s="413"/>
      <c r="W146" s="414"/>
      <c r="X146" s="415"/>
      <c r="Y146" s="416" t="str">
        <f t="shared" ca="1" si="14"/>
        <v/>
      </c>
      <c r="Z146" s="417" t="str">
        <f t="shared" ca="1" si="15"/>
        <v/>
      </c>
      <c r="AA146" s="416" t="str">
        <f t="shared" ca="1" si="16"/>
        <v/>
      </c>
      <c r="AB146" s="418" t="str">
        <f t="shared" ca="1" si="17"/>
        <v/>
      </c>
      <c r="AC146" s="417" t="str">
        <f t="shared" ca="1" si="18"/>
        <v/>
      </c>
      <c r="AD146" s="220"/>
    </row>
    <row r="147" spans="1:30" customFormat="1" ht="15">
      <c r="A147" s="220"/>
      <c r="B147" s="267">
        <v>109</v>
      </c>
      <c r="C147" s="245"/>
      <c r="D147" s="246"/>
      <c r="E147" s="238"/>
      <c r="F147" s="225"/>
      <c r="G147" s="231"/>
      <c r="H147" s="377">
        <v>133</v>
      </c>
      <c r="I147" s="394"/>
      <c r="J147" s="394"/>
      <c r="K147" s="403"/>
      <c r="L147" s="403"/>
      <c r="M147" s="394"/>
      <c r="N147" s="442"/>
      <c r="O147" s="394"/>
      <c r="P147" s="394"/>
      <c r="Q147" s="394"/>
      <c r="R147" s="442"/>
      <c r="S147" s="433"/>
      <c r="T147" s="412" t="str" cm="1">
        <f t="array" aca="1" ref="T147" ca="1">IF(AND($U$12,B171&lt;=$C$17,C171&lt;&gt;""),TRANSPOSE(INDEX(getcds(C171,$C$6,G171/10000,F171,D171,$C$13,$C$14,$C$15,$C$8,,,TRUE,TRUE,FALSE,$C$29:$C$31,$C$33),{1;2;3;4;5})),"")</f>
        <v/>
      </c>
      <c r="U147" s="413"/>
      <c r="V147" s="413"/>
      <c r="W147" s="414"/>
      <c r="X147" s="415"/>
      <c r="Y147" s="416" t="str">
        <f t="shared" ca="1" si="14"/>
        <v/>
      </c>
      <c r="Z147" s="417" t="str">
        <f t="shared" ca="1" si="15"/>
        <v/>
      </c>
      <c r="AA147" s="416" t="str">
        <f t="shared" ca="1" si="16"/>
        <v/>
      </c>
      <c r="AB147" s="418" t="str">
        <f t="shared" ca="1" si="17"/>
        <v/>
      </c>
      <c r="AC147" s="417" t="str">
        <f t="shared" ca="1" si="18"/>
        <v/>
      </c>
      <c r="AD147" s="220"/>
    </row>
    <row r="148" spans="1:30" customFormat="1" ht="15">
      <c r="A148" s="220"/>
      <c r="B148" s="267">
        <v>110</v>
      </c>
      <c r="C148" s="245"/>
      <c r="D148" s="246"/>
      <c r="E148" s="238"/>
      <c r="F148" s="225"/>
      <c r="G148" s="231"/>
      <c r="H148" s="377">
        <v>134</v>
      </c>
      <c r="I148" s="394"/>
      <c r="J148" s="394"/>
      <c r="K148" s="403"/>
      <c r="L148" s="403"/>
      <c r="M148" s="394"/>
      <c r="N148" s="442"/>
      <c r="O148" s="394"/>
      <c r="P148" s="394"/>
      <c r="Q148" s="394"/>
      <c r="R148" s="442"/>
      <c r="S148" s="433"/>
      <c r="T148" s="412" t="str" cm="1">
        <f t="array" aca="1" ref="T148" ca="1">IF(AND($U$12,B172&lt;=$C$17,C172&lt;&gt;""),TRANSPOSE(INDEX(getcds(C172,$C$6,G172/10000,F172,D172,$C$13,$C$14,$C$15,$C$8,,,TRUE,TRUE,FALSE,$C$29:$C$31,$C$33),{1;2;3;4;5})),"")</f>
        <v/>
      </c>
      <c r="U148" s="413"/>
      <c r="V148" s="413"/>
      <c r="W148" s="414"/>
      <c r="X148" s="415"/>
      <c r="Y148" s="416" t="str">
        <f t="shared" ca="1" si="14"/>
        <v/>
      </c>
      <c r="Z148" s="417" t="str">
        <f t="shared" ca="1" si="15"/>
        <v/>
      </c>
      <c r="AA148" s="416" t="str">
        <f t="shared" ca="1" si="16"/>
        <v/>
      </c>
      <c r="AB148" s="418" t="str">
        <f t="shared" ca="1" si="17"/>
        <v/>
      </c>
      <c r="AC148" s="417" t="str">
        <f t="shared" ca="1" si="18"/>
        <v/>
      </c>
      <c r="AD148" s="220"/>
    </row>
    <row r="149" spans="1:30" customFormat="1" ht="15">
      <c r="A149" s="220"/>
      <c r="B149" s="267">
        <v>111</v>
      </c>
      <c r="C149" s="245"/>
      <c r="D149" s="246"/>
      <c r="E149" s="238"/>
      <c r="F149" s="225"/>
      <c r="G149" s="231"/>
      <c r="H149" s="377">
        <v>135</v>
      </c>
      <c r="I149" s="394"/>
      <c r="J149" s="394"/>
      <c r="K149" s="403"/>
      <c r="L149" s="403"/>
      <c r="M149" s="394"/>
      <c r="N149" s="442"/>
      <c r="O149" s="394"/>
      <c r="P149" s="394"/>
      <c r="Q149" s="394"/>
      <c r="R149" s="442"/>
      <c r="S149" s="433"/>
      <c r="T149" s="412" t="str" cm="1">
        <f t="array" aca="1" ref="T149" ca="1">IF(AND($U$12,B173&lt;=$C$17,C173&lt;&gt;""),TRANSPOSE(INDEX(getcds(C173,$C$6,G173/10000,F173,D173,$C$13,$C$14,$C$15,$C$8,,,TRUE,TRUE,FALSE,$C$29:$C$31,$C$33),{1;2;3;4;5})),"")</f>
        <v/>
      </c>
      <c r="U149" s="413"/>
      <c r="V149" s="413"/>
      <c r="W149" s="414"/>
      <c r="X149" s="415"/>
      <c r="Y149" s="416" t="str">
        <f t="shared" ca="1" si="14"/>
        <v/>
      </c>
      <c r="Z149" s="417" t="str">
        <f t="shared" ca="1" si="15"/>
        <v/>
      </c>
      <c r="AA149" s="416" t="str">
        <f t="shared" ca="1" si="16"/>
        <v/>
      </c>
      <c r="AB149" s="418" t="str">
        <f t="shared" ca="1" si="17"/>
        <v/>
      </c>
      <c r="AC149" s="417" t="str">
        <f t="shared" ca="1" si="18"/>
        <v/>
      </c>
      <c r="AD149" s="220"/>
    </row>
    <row r="150" spans="1:30" customFormat="1" ht="15">
      <c r="A150" s="220"/>
      <c r="B150" s="267">
        <v>112</v>
      </c>
      <c r="C150" s="245"/>
      <c r="D150" s="246"/>
      <c r="E150" s="238"/>
      <c r="F150" s="225"/>
      <c r="G150" s="231"/>
      <c r="H150" s="377">
        <v>136</v>
      </c>
      <c r="I150" s="394"/>
      <c r="J150" s="394"/>
      <c r="K150" s="403"/>
      <c r="L150" s="403"/>
      <c r="M150" s="394"/>
      <c r="N150" s="442"/>
      <c r="O150" s="394"/>
      <c r="P150" s="394"/>
      <c r="Q150" s="394"/>
      <c r="R150" s="442"/>
      <c r="S150" s="433"/>
      <c r="T150" s="412" t="str" cm="1">
        <f t="array" aca="1" ref="T150" ca="1">IF(AND($U$12,B174&lt;=$C$17,C174&lt;&gt;""),TRANSPOSE(INDEX(getcds(C174,$C$6,G174/10000,F174,D174,$C$13,$C$14,$C$15,$C$8,,,TRUE,TRUE,FALSE,$C$29:$C$31,$C$33),{1;2;3;4;5})),"")</f>
        <v/>
      </c>
      <c r="U150" s="413"/>
      <c r="V150" s="413"/>
      <c r="W150" s="414"/>
      <c r="X150" s="415"/>
      <c r="Y150" s="416" t="str">
        <f t="shared" ca="1" si="14"/>
        <v/>
      </c>
      <c r="Z150" s="417" t="str">
        <f t="shared" ca="1" si="15"/>
        <v/>
      </c>
      <c r="AA150" s="416" t="str">
        <f t="shared" ca="1" si="16"/>
        <v/>
      </c>
      <c r="AB150" s="418" t="str">
        <f t="shared" ca="1" si="17"/>
        <v/>
      </c>
      <c r="AC150" s="417" t="str">
        <f t="shared" ca="1" si="18"/>
        <v/>
      </c>
      <c r="AD150" s="220"/>
    </row>
    <row r="151" spans="1:30" customFormat="1" ht="15">
      <c r="A151" s="220"/>
      <c r="B151" s="267">
        <v>113</v>
      </c>
      <c r="C151" s="245"/>
      <c r="D151" s="246"/>
      <c r="E151" s="238"/>
      <c r="F151" s="225"/>
      <c r="G151" s="231"/>
      <c r="H151" s="377">
        <v>137</v>
      </c>
      <c r="I151" s="394"/>
      <c r="J151" s="394"/>
      <c r="K151" s="403"/>
      <c r="L151" s="403"/>
      <c r="M151" s="394"/>
      <c r="N151" s="442"/>
      <c r="O151" s="394"/>
      <c r="P151" s="394"/>
      <c r="Q151" s="394"/>
      <c r="R151" s="442"/>
      <c r="S151" s="433"/>
      <c r="T151" s="412" t="str" cm="1">
        <f t="array" aca="1" ref="T151" ca="1">IF(AND($U$12,B175&lt;=$C$17,C175&lt;&gt;""),TRANSPOSE(INDEX(getcds(C175,$C$6,G175/10000,F175,D175,$C$13,$C$14,$C$15,$C$8,,,TRUE,TRUE,FALSE,$C$29:$C$31,$C$33),{1;2;3;4;5})),"")</f>
        <v/>
      </c>
      <c r="U151" s="413"/>
      <c r="V151" s="413"/>
      <c r="W151" s="414"/>
      <c r="X151" s="415"/>
      <c r="Y151" s="416" t="str">
        <f t="shared" ca="1" si="14"/>
        <v/>
      </c>
      <c r="Z151" s="417" t="str">
        <f t="shared" ca="1" si="15"/>
        <v/>
      </c>
      <c r="AA151" s="416" t="str">
        <f t="shared" ca="1" si="16"/>
        <v/>
      </c>
      <c r="AB151" s="418" t="str">
        <f t="shared" ca="1" si="17"/>
        <v/>
      </c>
      <c r="AC151" s="417" t="str">
        <f t="shared" ca="1" si="18"/>
        <v/>
      </c>
      <c r="AD151" s="220"/>
    </row>
    <row r="152" spans="1:30" customFormat="1" ht="15">
      <c r="A152" s="220"/>
      <c r="B152" s="267">
        <v>114</v>
      </c>
      <c r="C152" s="245"/>
      <c r="D152" s="246"/>
      <c r="E152" s="238"/>
      <c r="F152" s="225"/>
      <c r="G152" s="231"/>
      <c r="H152" s="377">
        <v>138</v>
      </c>
      <c r="I152" s="394"/>
      <c r="J152" s="394"/>
      <c r="K152" s="403"/>
      <c r="L152" s="403"/>
      <c r="M152" s="394"/>
      <c r="N152" s="442"/>
      <c r="O152" s="394"/>
      <c r="P152" s="394"/>
      <c r="Q152" s="394"/>
      <c r="R152" s="442"/>
      <c r="S152" s="433"/>
      <c r="T152" s="412" t="str" cm="1">
        <f t="array" aca="1" ref="T152" ca="1">IF(AND($U$12,B176&lt;=$C$17,C176&lt;&gt;""),TRANSPOSE(INDEX(getcds(C176,$C$6,G176/10000,F176,D176,$C$13,$C$14,$C$15,$C$8,,,TRUE,TRUE,FALSE,$C$29:$C$31,$C$33),{1;2;3;4;5})),"")</f>
        <v/>
      </c>
      <c r="U152" s="413"/>
      <c r="V152" s="413"/>
      <c r="W152" s="414"/>
      <c r="X152" s="415"/>
      <c r="Y152" s="416" t="str">
        <f t="shared" ca="1" si="14"/>
        <v/>
      </c>
      <c r="Z152" s="417" t="str">
        <f t="shared" ca="1" si="15"/>
        <v/>
      </c>
      <c r="AA152" s="416" t="str">
        <f t="shared" ca="1" si="16"/>
        <v/>
      </c>
      <c r="AB152" s="418" t="str">
        <f t="shared" ca="1" si="17"/>
        <v/>
      </c>
      <c r="AC152" s="417" t="str">
        <f t="shared" ca="1" si="18"/>
        <v/>
      </c>
      <c r="AD152" s="220"/>
    </row>
    <row r="153" spans="1:30" customFormat="1" ht="15">
      <c r="A153" s="220"/>
      <c r="B153" s="267">
        <v>115</v>
      </c>
      <c r="C153" s="245"/>
      <c r="D153" s="246"/>
      <c r="E153" s="238"/>
      <c r="F153" s="225"/>
      <c r="G153" s="231"/>
      <c r="H153" s="377">
        <v>139</v>
      </c>
      <c r="I153" s="394"/>
      <c r="J153" s="394"/>
      <c r="K153" s="403"/>
      <c r="L153" s="403"/>
      <c r="M153" s="394"/>
      <c r="N153" s="442"/>
      <c r="O153" s="394"/>
      <c r="P153" s="394"/>
      <c r="Q153" s="394"/>
      <c r="R153" s="442"/>
      <c r="S153" s="433"/>
      <c r="T153" s="412" t="str" cm="1">
        <f t="array" aca="1" ref="T153" ca="1">IF(AND($U$12,B177&lt;=$C$17,C177&lt;&gt;""),TRANSPOSE(INDEX(getcds(C177,$C$6,G177/10000,F177,D177,$C$13,$C$14,$C$15,$C$8,,,TRUE,TRUE,FALSE,$C$29:$C$31,$C$33),{1;2;3;4;5})),"")</f>
        <v/>
      </c>
      <c r="U153" s="413"/>
      <c r="V153" s="413"/>
      <c r="W153" s="414"/>
      <c r="X153" s="415"/>
      <c r="Y153" s="416" t="str">
        <f t="shared" ca="1" si="14"/>
        <v/>
      </c>
      <c r="Z153" s="417" t="str">
        <f t="shared" ca="1" si="15"/>
        <v/>
      </c>
      <c r="AA153" s="416" t="str">
        <f t="shared" ca="1" si="16"/>
        <v/>
      </c>
      <c r="AB153" s="418" t="str">
        <f t="shared" ca="1" si="17"/>
        <v/>
      </c>
      <c r="AC153" s="417" t="str">
        <f t="shared" ca="1" si="18"/>
        <v/>
      </c>
      <c r="AD153" s="220"/>
    </row>
    <row r="154" spans="1:30" customFormat="1" ht="15">
      <c r="A154" s="220"/>
      <c r="B154" s="267">
        <v>116</v>
      </c>
      <c r="C154" s="245"/>
      <c r="D154" s="246"/>
      <c r="E154" s="238"/>
      <c r="F154" s="225"/>
      <c r="G154" s="231"/>
      <c r="H154" s="377">
        <v>140</v>
      </c>
      <c r="I154" s="394"/>
      <c r="J154" s="394"/>
      <c r="K154" s="403"/>
      <c r="L154" s="403"/>
      <c r="M154" s="394"/>
      <c r="N154" s="442"/>
      <c r="O154" s="394"/>
      <c r="P154" s="394"/>
      <c r="Q154" s="394"/>
      <c r="R154" s="442"/>
      <c r="S154" s="433"/>
      <c r="T154" s="412" t="str" cm="1">
        <f t="array" aca="1" ref="T154" ca="1">IF(AND($U$12,B178&lt;=$C$17,C178&lt;&gt;""),TRANSPOSE(INDEX(getcds(C178,$C$6,G178/10000,F178,D178,$C$13,$C$14,$C$15,$C$8,,,TRUE,TRUE,FALSE,$C$29:$C$31,$C$33),{1;2;3;4;5})),"")</f>
        <v/>
      </c>
      <c r="U154" s="413"/>
      <c r="V154" s="413"/>
      <c r="W154" s="414"/>
      <c r="X154" s="415"/>
      <c r="Y154" s="416" t="str">
        <f t="shared" ca="1" si="14"/>
        <v/>
      </c>
      <c r="Z154" s="417" t="str">
        <f t="shared" ca="1" si="15"/>
        <v/>
      </c>
      <c r="AA154" s="416" t="str">
        <f t="shared" ca="1" si="16"/>
        <v/>
      </c>
      <c r="AB154" s="418" t="str">
        <f t="shared" ca="1" si="17"/>
        <v/>
      </c>
      <c r="AC154" s="417" t="str">
        <f t="shared" ca="1" si="18"/>
        <v/>
      </c>
      <c r="AD154" s="220"/>
    </row>
    <row r="155" spans="1:30" customFormat="1" ht="15">
      <c r="A155" s="220"/>
      <c r="B155" s="267">
        <v>117</v>
      </c>
      <c r="C155" s="245"/>
      <c r="D155" s="246"/>
      <c r="E155" s="238"/>
      <c r="F155" s="225"/>
      <c r="G155" s="231"/>
      <c r="H155" s="377">
        <v>141</v>
      </c>
      <c r="I155" s="394"/>
      <c r="J155" s="394"/>
      <c r="K155" s="403"/>
      <c r="L155" s="403"/>
      <c r="M155" s="394"/>
      <c r="N155" s="442"/>
      <c r="O155" s="394"/>
      <c r="P155" s="394"/>
      <c r="Q155" s="394"/>
      <c r="R155" s="442"/>
      <c r="S155" s="433"/>
      <c r="T155" s="412" t="str" cm="1">
        <f t="array" aca="1" ref="T155" ca="1">IF(AND($U$12,B179&lt;=$C$17,C179&lt;&gt;""),TRANSPOSE(INDEX(getcds(C179,$C$6,G179/10000,F179,D179,$C$13,$C$14,$C$15,$C$8,,,TRUE,TRUE,FALSE,$C$29:$C$31,$C$33),{1;2;3;4;5})),"")</f>
        <v/>
      </c>
      <c r="U155" s="413"/>
      <c r="V155" s="413"/>
      <c r="W155" s="414"/>
      <c r="X155" s="415"/>
      <c r="Y155" s="416" t="str">
        <f t="shared" ca="1" si="14"/>
        <v/>
      </c>
      <c r="Z155" s="417" t="str">
        <f t="shared" ca="1" si="15"/>
        <v/>
      </c>
      <c r="AA155" s="416" t="str">
        <f t="shared" ca="1" si="16"/>
        <v/>
      </c>
      <c r="AB155" s="418" t="str">
        <f t="shared" ca="1" si="17"/>
        <v/>
      </c>
      <c r="AC155" s="417" t="str">
        <f t="shared" ca="1" si="18"/>
        <v/>
      </c>
      <c r="AD155" s="220"/>
    </row>
    <row r="156" spans="1:30" customFormat="1" ht="15">
      <c r="A156" s="220"/>
      <c r="B156" s="267">
        <v>118</v>
      </c>
      <c r="C156" s="245"/>
      <c r="D156" s="246"/>
      <c r="E156" s="238"/>
      <c r="F156" s="225"/>
      <c r="G156" s="231"/>
      <c r="H156" s="377">
        <v>142</v>
      </c>
      <c r="I156" s="394"/>
      <c r="J156" s="394"/>
      <c r="K156" s="403"/>
      <c r="L156" s="403"/>
      <c r="M156" s="394"/>
      <c r="N156" s="442"/>
      <c r="O156" s="394"/>
      <c r="P156" s="394"/>
      <c r="Q156" s="394"/>
      <c r="R156" s="442"/>
      <c r="S156" s="433"/>
      <c r="T156" s="412" t="str" cm="1">
        <f t="array" aca="1" ref="T156" ca="1">IF(AND($U$12,B180&lt;=$C$17,C180&lt;&gt;""),TRANSPOSE(INDEX(getcds(C180,$C$6,G180/10000,F180,D180,$C$13,$C$14,$C$15,$C$8,,,TRUE,TRUE,FALSE,$C$29:$C$31,$C$33),{1;2;3;4;5})),"")</f>
        <v/>
      </c>
      <c r="U156" s="413"/>
      <c r="V156" s="413"/>
      <c r="W156" s="414"/>
      <c r="X156" s="415"/>
      <c r="Y156" s="416" t="str">
        <f t="shared" ca="1" si="14"/>
        <v/>
      </c>
      <c r="Z156" s="417" t="str">
        <f t="shared" ca="1" si="15"/>
        <v/>
      </c>
      <c r="AA156" s="416" t="str">
        <f t="shared" ca="1" si="16"/>
        <v/>
      </c>
      <c r="AB156" s="418" t="str">
        <f t="shared" ca="1" si="17"/>
        <v/>
      </c>
      <c r="AC156" s="417" t="str">
        <f t="shared" ca="1" si="18"/>
        <v/>
      </c>
      <c r="AD156" s="220"/>
    </row>
    <row r="157" spans="1:30" customFormat="1" ht="15">
      <c r="A157" s="220"/>
      <c r="B157" s="267">
        <v>119</v>
      </c>
      <c r="C157" s="245"/>
      <c r="D157" s="246"/>
      <c r="E157" s="238"/>
      <c r="F157" s="225"/>
      <c r="G157" s="231"/>
      <c r="H157" s="377">
        <v>143</v>
      </c>
      <c r="I157" s="394"/>
      <c r="J157" s="394"/>
      <c r="K157" s="403"/>
      <c r="L157" s="403"/>
      <c r="M157" s="394"/>
      <c r="N157" s="442"/>
      <c r="O157" s="394"/>
      <c r="P157" s="394"/>
      <c r="Q157" s="394"/>
      <c r="R157" s="442"/>
      <c r="S157" s="433"/>
      <c r="T157" s="412" t="str" cm="1">
        <f t="array" aca="1" ref="T157" ca="1">IF(AND($U$12,B181&lt;=$C$17,C181&lt;&gt;""),TRANSPOSE(INDEX(getcds(C181,$C$6,G181/10000,F181,D181,$C$13,$C$14,$C$15,$C$8,,,TRUE,TRUE,FALSE,$C$29:$C$31,$C$33),{1;2;3;4;5})),"")</f>
        <v/>
      </c>
      <c r="U157" s="413"/>
      <c r="V157" s="413"/>
      <c r="W157" s="414"/>
      <c r="X157" s="415"/>
      <c r="Y157" s="416" t="str">
        <f t="shared" ca="1" si="14"/>
        <v/>
      </c>
      <c r="Z157" s="417" t="str">
        <f t="shared" ca="1" si="15"/>
        <v/>
      </c>
      <c r="AA157" s="416" t="str">
        <f t="shared" ca="1" si="16"/>
        <v/>
      </c>
      <c r="AB157" s="418" t="str">
        <f t="shared" ca="1" si="17"/>
        <v/>
      </c>
      <c r="AC157" s="417" t="str">
        <f t="shared" ca="1" si="18"/>
        <v/>
      </c>
      <c r="AD157" s="220"/>
    </row>
    <row r="158" spans="1:30" customFormat="1" ht="15">
      <c r="A158" s="220"/>
      <c r="B158" s="267">
        <v>120</v>
      </c>
      <c r="C158" s="245"/>
      <c r="D158" s="246"/>
      <c r="E158" s="238"/>
      <c r="F158" s="225"/>
      <c r="G158" s="231"/>
      <c r="H158" s="377">
        <v>144</v>
      </c>
      <c r="I158" s="394"/>
      <c r="J158" s="394"/>
      <c r="K158" s="403"/>
      <c r="L158" s="403"/>
      <c r="M158" s="394"/>
      <c r="N158" s="442"/>
      <c r="O158" s="394"/>
      <c r="P158" s="394"/>
      <c r="Q158" s="394"/>
      <c r="R158" s="442"/>
      <c r="S158" s="433"/>
      <c r="T158" s="412" t="str" cm="1">
        <f t="array" aca="1" ref="T158" ca="1">IF(AND($U$12,B182&lt;=$C$17,C182&lt;&gt;""),TRANSPOSE(INDEX(getcds(C182,$C$6,G182/10000,F182,D182,$C$13,$C$14,$C$15,$C$8,,,TRUE,TRUE,FALSE,$C$29:$C$31,$C$33),{1;2;3;4;5})),"")</f>
        <v/>
      </c>
      <c r="U158" s="413"/>
      <c r="V158" s="413"/>
      <c r="W158" s="414"/>
      <c r="X158" s="415"/>
      <c r="Y158" s="416" t="str">
        <f t="shared" ca="1" si="14"/>
        <v/>
      </c>
      <c r="Z158" s="417" t="str">
        <f t="shared" ca="1" si="15"/>
        <v/>
      </c>
      <c r="AA158" s="416" t="str">
        <f t="shared" ca="1" si="16"/>
        <v/>
      </c>
      <c r="AB158" s="418" t="str">
        <f t="shared" ca="1" si="17"/>
        <v/>
      </c>
      <c r="AC158" s="417" t="str">
        <f t="shared" ca="1" si="18"/>
        <v/>
      </c>
      <c r="AD158" s="220"/>
    </row>
    <row r="159" spans="1:30" customFormat="1" ht="15">
      <c r="A159" s="220"/>
      <c r="B159" s="267">
        <v>121</v>
      </c>
      <c r="C159" s="245"/>
      <c r="D159" s="246"/>
      <c r="E159" s="238"/>
      <c r="F159" s="225"/>
      <c r="G159" s="231"/>
      <c r="H159" s="377">
        <v>145</v>
      </c>
      <c r="I159" s="394"/>
      <c r="J159" s="394"/>
      <c r="K159" s="403"/>
      <c r="L159" s="403"/>
      <c r="M159" s="394"/>
      <c r="N159" s="442"/>
      <c r="O159" s="394"/>
      <c r="P159" s="394"/>
      <c r="Q159" s="394"/>
      <c r="R159" s="442"/>
      <c r="S159" s="433"/>
      <c r="T159" s="412" t="str" cm="1">
        <f t="array" aca="1" ref="T159" ca="1">IF(AND($U$12,B183&lt;=$C$17,C183&lt;&gt;""),TRANSPOSE(INDEX(getcds(C183,$C$6,G183/10000,F183,D183,$C$13,$C$14,$C$15,$C$8,,,TRUE,TRUE,FALSE,$C$29:$C$31,$C$33),{1;2;3;4;5})),"")</f>
        <v/>
      </c>
      <c r="U159" s="413"/>
      <c r="V159" s="413"/>
      <c r="W159" s="414"/>
      <c r="X159" s="415"/>
      <c r="Y159" s="416" t="str">
        <f t="shared" ca="1" si="14"/>
        <v/>
      </c>
      <c r="Z159" s="417" t="str">
        <f t="shared" ca="1" si="15"/>
        <v/>
      </c>
      <c r="AA159" s="416" t="str">
        <f t="shared" ca="1" si="16"/>
        <v/>
      </c>
      <c r="AB159" s="418" t="str">
        <f t="shared" ca="1" si="17"/>
        <v/>
      </c>
      <c r="AC159" s="417" t="str">
        <f t="shared" ca="1" si="18"/>
        <v/>
      </c>
      <c r="AD159" s="220"/>
    </row>
    <row r="160" spans="1:30" customFormat="1" ht="15">
      <c r="A160" s="220"/>
      <c r="B160" s="267">
        <v>122</v>
      </c>
      <c r="C160" s="245"/>
      <c r="D160" s="246"/>
      <c r="E160" s="238"/>
      <c r="F160" s="225"/>
      <c r="G160" s="231"/>
      <c r="H160" s="377">
        <v>146</v>
      </c>
      <c r="I160" s="394"/>
      <c r="J160" s="394"/>
      <c r="K160" s="403"/>
      <c r="L160" s="403"/>
      <c r="M160" s="394"/>
      <c r="N160" s="442"/>
      <c r="O160" s="394"/>
      <c r="P160" s="394"/>
      <c r="Q160" s="394"/>
      <c r="R160" s="442"/>
      <c r="S160" s="433"/>
      <c r="T160" s="412" t="str" cm="1">
        <f t="array" aca="1" ref="T160" ca="1">IF(AND($U$12,B184&lt;=$C$17,C184&lt;&gt;""),TRANSPOSE(INDEX(getcds(C184,$C$6,G184/10000,F184,D184,$C$13,$C$14,$C$15,$C$8,,,TRUE,TRUE,FALSE,$C$29:$C$31,$C$33),{1;2;3;4;5})),"")</f>
        <v/>
      </c>
      <c r="U160" s="413"/>
      <c r="V160" s="413"/>
      <c r="W160" s="414"/>
      <c r="X160" s="415"/>
      <c r="Y160" s="416" t="str">
        <f t="shared" ca="1" si="14"/>
        <v/>
      </c>
      <c r="Z160" s="417" t="str">
        <f t="shared" ca="1" si="15"/>
        <v/>
      </c>
      <c r="AA160" s="416" t="str">
        <f t="shared" ca="1" si="16"/>
        <v/>
      </c>
      <c r="AB160" s="418" t="str">
        <f t="shared" ca="1" si="17"/>
        <v/>
      </c>
      <c r="AC160" s="417" t="str">
        <f t="shared" ca="1" si="18"/>
        <v/>
      </c>
      <c r="AD160" s="220"/>
    </row>
    <row r="161" spans="1:30" customFormat="1" ht="15">
      <c r="A161" s="220"/>
      <c r="B161" s="267">
        <v>123</v>
      </c>
      <c r="C161" s="245"/>
      <c r="D161" s="246"/>
      <c r="E161" s="238"/>
      <c r="F161" s="225"/>
      <c r="G161" s="231"/>
      <c r="H161" s="377">
        <v>147</v>
      </c>
      <c r="I161" s="394"/>
      <c r="J161" s="394"/>
      <c r="K161" s="403"/>
      <c r="L161" s="403"/>
      <c r="M161" s="394"/>
      <c r="N161" s="442"/>
      <c r="O161" s="394"/>
      <c r="P161" s="394"/>
      <c r="Q161" s="394"/>
      <c r="R161" s="442"/>
      <c r="S161" s="433"/>
      <c r="T161" s="412" t="str" cm="1">
        <f t="array" aca="1" ref="T161" ca="1">IF(AND($U$12,B185&lt;=$C$17,C185&lt;&gt;""),TRANSPOSE(INDEX(getcds(C185,$C$6,G185/10000,F185,D185,$C$13,$C$14,$C$15,$C$8,,,TRUE,TRUE,FALSE,$C$29:$C$31,$C$33),{1;2;3;4;5})),"")</f>
        <v/>
      </c>
      <c r="U161" s="413"/>
      <c r="V161" s="413"/>
      <c r="W161" s="414"/>
      <c r="X161" s="415"/>
      <c r="Y161" s="416" t="str">
        <f t="shared" ca="1" si="14"/>
        <v/>
      </c>
      <c r="Z161" s="417" t="str">
        <f t="shared" ca="1" si="15"/>
        <v/>
      </c>
      <c r="AA161" s="416" t="str">
        <f t="shared" ca="1" si="16"/>
        <v/>
      </c>
      <c r="AB161" s="418" t="str">
        <f t="shared" ca="1" si="17"/>
        <v/>
      </c>
      <c r="AC161" s="417" t="str">
        <f t="shared" ca="1" si="18"/>
        <v/>
      </c>
      <c r="AD161" s="220"/>
    </row>
    <row r="162" spans="1:30" customFormat="1" ht="15">
      <c r="A162" s="220"/>
      <c r="B162" s="267">
        <v>124</v>
      </c>
      <c r="C162" s="245"/>
      <c r="D162" s="246"/>
      <c r="E162" s="238"/>
      <c r="F162" s="225"/>
      <c r="G162" s="231"/>
      <c r="H162" s="377">
        <v>148</v>
      </c>
      <c r="I162" s="394"/>
      <c r="J162" s="394"/>
      <c r="K162" s="403"/>
      <c r="L162" s="403"/>
      <c r="M162" s="394"/>
      <c r="N162" s="442"/>
      <c r="O162" s="394"/>
      <c r="P162" s="394"/>
      <c r="Q162" s="394"/>
      <c r="R162" s="442"/>
      <c r="S162" s="433"/>
      <c r="T162" s="412" t="str" cm="1">
        <f t="array" aca="1" ref="T162" ca="1">IF(AND($U$12,B186&lt;=$C$17,C186&lt;&gt;""),TRANSPOSE(INDEX(getcds(C186,$C$6,G186/10000,F186,D186,$C$13,$C$14,$C$15,$C$8,,,TRUE,TRUE,FALSE,$C$29:$C$31,$C$33),{1;2;3;4;5})),"")</f>
        <v/>
      </c>
      <c r="U162" s="413"/>
      <c r="V162" s="413"/>
      <c r="W162" s="414"/>
      <c r="X162" s="415"/>
      <c r="Y162" s="416" t="str">
        <f t="shared" ca="1" si="14"/>
        <v/>
      </c>
      <c r="Z162" s="417" t="str">
        <f t="shared" ca="1" si="15"/>
        <v/>
      </c>
      <c r="AA162" s="416" t="str">
        <f t="shared" ca="1" si="16"/>
        <v/>
      </c>
      <c r="AB162" s="418" t="str">
        <f t="shared" ca="1" si="17"/>
        <v/>
      </c>
      <c r="AC162" s="417" t="str">
        <f t="shared" ca="1" si="18"/>
        <v/>
      </c>
      <c r="AD162" s="220"/>
    </row>
    <row r="163" spans="1:30" customFormat="1" ht="15">
      <c r="A163" s="220"/>
      <c r="B163" s="267">
        <v>125</v>
      </c>
      <c r="C163" s="245"/>
      <c r="D163" s="246"/>
      <c r="E163" s="238"/>
      <c r="F163" s="225"/>
      <c r="G163" s="231"/>
      <c r="H163" s="377">
        <v>149</v>
      </c>
      <c r="I163" s="394"/>
      <c r="J163" s="394"/>
      <c r="K163" s="403"/>
      <c r="L163" s="403"/>
      <c r="M163" s="403"/>
      <c r="N163" s="441"/>
      <c r="O163" s="403"/>
      <c r="P163" s="403"/>
      <c r="Q163" s="403"/>
      <c r="R163" s="441"/>
      <c r="S163" s="433"/>
      <c r="T163" s="412" t="str" cm="1">
        <f t="array" aca="1" ref="T163" ca="1">IF(AND($U$12,B187&lt;=$C$17,C187&lt;&gt;""),TRANSPOSE(INDEX(getcds(C187,$C$6,G187/10000,F187,D187,$C$13,$C$14,$C$15,$C$8,,,TRUE,TRUE,FALSE,$C$29:$C$31,$C$33),{1;2;3;4;5})),"")</f>
        <v/>
      </c>
      <c r="U163" s="413"/>
      <c r="V163" s="413"/>
      <c r="W163" s="414"/>
      <c r="X163" s="415"/>
      <c r="Y163" s="416" t="str">
        <f t="shared" ca="1" si="14"/>
        <v/>
      </c>
      <c r="Z163" s="417" t="str">
        <f t="shared" ca="1" si="15"/>
        <v/>
      </c>
      <c r="AA163" s="416" t="str">
        <f t="shared" ca="1" si="16"/>
        <v/>
      </c>
      <c r="AB163" s="418" t="str">
        <f t="shared" ca="1" si="17"/>
        <v/>
      </c>
      <c r="AC163" s="417" t="str">
        <f t="shared" ca="1" si="18"/>
        <v/>
      </c>
      <c r="AD163" s="220"/>
    </row>
    <row r="164" spans="1:30" customFormat="1" ht="15">
      <c r="A164" s="220"/>
      <c r="B164" s="267">
        <v>126</v>
      </c>
      <c r="C164" s="245"/>
      <c r="D164" s="246"/>
      <c r="E164" s="238"/>
      <c r="F164" s="225"/>
      <c r="G164" s="231"/>
      <c r="H164" s="377">
        <v>150</v>
      </c>
      <c r="I164" s="394"/>
      <c r="J164" s="394"/>
      <c r="K164" s="403"/>
      <c r="L164" s="403"/>
      <c r="M164" s="403"/>
      <c r="N164" s="441"/>
      <c r="O164" s="403"/>
      <c r="P164" s="403"/>
      <c r="Q164" s="403"/>
      <c r="R164" s="441"/>
      <c r="S164" s="433"/>
      <c r="T164" s="412" t="str" cm="1">
        <f t="array" aca="1" ref="T164" ca="1">IF(AND($U$12,B188&lt;=$C$17,C188&lt;&gt;""),TRANSPOSE(INDEX(getcds(C188,$C$6,G188/10000,F188,D188,$C$13,$C$14,$C$15,$C$8,,,TRUE,TRUE,FALSE,$C$29:$C$31,$C$33),{1;2;3;4;5})),"")</f>
        <v/>
      </c>
      <c r="U164" s="413"/>
      <c r="V164" s="413"/>
      <c r="W164" s="414"/>
      <c r="X164" s="415"/>
      <c r="Y164" s="416" t="str">
        <f t="shared" ca="1" si="14"/>
        <v/>
      </c>
      <c r="Z164" s="417" t="str">
        <f t="shared" ca="1" si="15"/>
        <v/>
      </c>
      <c r="AA164" s="416" t="str">
        <f t="shared" ca="1" si="16"/>
        <v/>
      </c>
      <c r="AB164" s="418" t="str">
        <f t="shared" ca="1" si="17"/>
        <v/>
      </c>
      <c r="AC164" s="417" t="str">
        <f t="shared" ca="1" si="18"/>
        <v/>
      </c>
      <c r="AD164" s="220"/>
    </row>
    <row r="165" spans="1:30" customFormat="1" ht="15">
      <c r="A165" s="220"/>
      <c r="B165" s="267">
        <v>127</v>
      </c>
      <c r="C165" s="245"/>
      <c r="D165" s="246"/>
      <c r="E165" s="238"/>
      <c r="F165" s="225"/>
      <c r="G165" s="231"/>
      <c r="H165" s="377">
        <v>151</v>
      </c>
      <c r="I165" s="394"/>
      <c r="J165" s="394"/>
      <c r="K165" s="403"/>
      <c r="L165" s="403"/>
      <c r="M165" s="403"/>
      <c r="N165" s="441"/>
      <c r="O165" s="403"/>
      <c r="P165" s="403"/>
      <c r="Q165" s="403"/>
      <c r="R165" s="441"/>
      <c r="S165" s="433"/>
      <c r="T165" s="412" t="str" cm="1">
        <f t="array" aca="1" ref="T165" ca="1">IF(AND($U$12,B189&lt;=$C$17,C189&lt;&gt;""),TRANSPOSE(INDEX(getcds(C189,$C$6,G189/10000,F189,D189,$C$13,$C$14,$C$15,$C$8,,,TRUE,TRUE,FALSE,$C$29:$C$31,$C$33),{1;2;3;4;5})),"")</f>
        <v/>
      </c>
      <c r="U165" s="413"/>
      <c r="V165" s="413"/>
      <c r="W165" s="414"/>
      <c r="X165" s="415"/>
      <c r="Y165" s="416" t="str">
        <f t="shared" ca="1" si="14"/>
        <v/>
      </c>
      <c r="Z165" s="417" t="str">
        <f t="shared" ca="1" si="15"/>
        <v/>
      </c>
      <c r="AA165" s="416" t="str">
        <f t="shared" ca="1" si="16"/>
        <v/>
      </c>
      <c r="AB165" s="418" t="str">
        <f t="shared" ca="1" si="17"/>
        <v/>
      </c>
      <c r="AC165" s="417" t="str">
        <f t="shared" ca="1" si="18"/>
        <v/>
      </c>
      <c r="AD165" s="220"/>
    </row>
    <row r="166" spans="1:30" customFormat="1" ht="15">
      <c r="A166" s="220"/>
      <c r="B166" s="267">
        <v>128</v>
      </c>
      <c r="C166" s="245"/>
      <c r="D166" s="246"/>
      <c r="E166" s="238"/>
      <c r="F166" s="225"/>
      <c r="G166" s="231"/>
      <c r="H166" s="377">
        <v>152</v>
      </c>
      <c r="I166" s="394"/>
      <c r="J166" s="394"/>
      <c r="K166" s="403"/>
      <c r="L166" s="403"/>
      <c r="M166" s="403"/>
      <c r="N166" s="441"/>
      <c r="O166" s="403"/>
      <c r="P166" s="403"/>
      <c r="Q166" s="403"/>
      <c r="R166" s="441"/>
      <c r="S166" s="433"/>
      <c r="T166" s="412" t="str" cm="1">
        <f t="array" aca="1" ref="T166" ca="1">IF(AND($U$12,B190&lt;=$C$17,C190&lt;&gt;""),TRANSPOSE(INDEX(getcds(C190,$C$6,G190/10000,F190,D190,$C$13,$C$14,$C$15,$C$8,,,TRUE,TRUE,FALSE,$C$29:$C$31,$C$33),{1;2;3;4;5})),"")</f>
        <v/>
      </c>
      <c r="U166" s="413"/>
      <c r="V166" s="413"/>
      <c r="W166" s="414"/>
      <c r="X166" s="415"/>
      <c r="Y166" s="416" t="str">
        <f t="shared" ca="1" si="14"/>
        <v/>
      </c>
      <c r="Z166" s="417" t="str">
        <f t="shared" ca="1" si="15"/>
        <v/>
      </c>
      <c r="AA166" s="416" t="str">
        <f t="shared" ca="1" si="16"/>
        <v/>
      </c>
      <c r="AB166" s="418" t="str">
        <f t="shared" ca="1" si="17"/>
        <v/>
      </c>
      <c r="AC166" s="417" t="str">
        <f t="shared" ca="1" si="18"/>
        <v/>
      </c>
      <c r="AD166" s="220"/>
    </row>
    <row r="167" spans="1:30" customFormat="1" ht="15">
      <c r="A167" s="220"/>
      <c r="B167" s="267">
        <v>129</v>
      </c>
      <c r="C167" s="245"/>
      <c r="D167" s="246"/>
      <c r="E167" s="238"/>
      <c r="F167" s="225"/>
      <c r="G167" s="231"/>
      <c r="H167" s="377">
        <v>153</v>
      </c>
      <c r="I167" s="394"/>
      <c r="J167" s="394"/>
      <c r="K167" s="403"/>
      <c r="L167" s="403"/>
      <c r="M167" s="403"/>
      <c r="N167" s="441"/>
      <c r="O167" s="403"/>
      <c r="P167" s="403"/>
      <c r="Q167" s="403"/>
      <c r="R167" s="441"/>
      <c r="S167" s="433"/>
      <c r="T167" s="412" t="str" cm="1">
        <f t="array" aca="1" ref="T167" ca="1">IF(AND($U$12,B191&lt;=$C$17,C191&lt;&gt;""),TRANSPOSE(INDEX(getcds(C191,$C$6,G191/10000,F191,D191,$C$13,$C$14,$C$15,$C$8,,,TRUE,TRUE,FALSE,$C$29:$C$31,$C$33),{1;2;3;4;5})),"")</f>
        <v/>
      </c>
      <c r="U167" s="413"/>
      <c r="V167" s="413"/>
      <c r="W167" s="414"/>
      <c r="X167" s="415"/>
      <c r="Y167" s="416" t="str">
        <f t="shared" ca="1" si="14"/>
        <v/>
      </c>
      <c r="Z167" s="417" t="str">
        <f t="shared" ca="1" si="15"/>
        <v/>
      </c>
      <c r="AA167" s="416" t="str">
        <f t="shared" ca="1" si="16"/>
        <v/>
      </c>
      <c r="AB167" s="418" t="str">
        <f t="shared" ca="1" si="17"/>
        <v/>
      </c>
      <c r="AC167" s="417" t="str">
        <f t="shared" ca="1" si="18"/>
        <v/>
      </c>
      <c r="AD167" s="220"/>
    </row>
    <row r="168" spans="1:30" customFormat="1" ht="15">
      <c r="A168" s="220"/>
      <c r="B168" s="267">
        <v>130</v>
      </c>
      <c r="C168" s="245"/>
      <c r="D168" s="246"/>
      <c r="E168" s="238"/>
      <c r="F168" s="225"/>
      <c r="G168" s="231"/>
      <c r="H168" s="377">
        <v>154</v>
      </c>
      <c r="I168" s="394"/>
      <c r="J168" s="394"/>
      <c r="K168" s="403"/>
      <c r="L168" s="403"/>
      <c r="M168" s="403"/>
      <c r="N168" s="441"/>
      <c r="O168" s="403"/>
      <c r="P168" s="403"/>
      <c r="Q168" s="403"/>
      <c r="R168" s="441"/>
      <c r="S168" s="433"/>
      <c r="T168" s="412" t="str" cm="1">
        <f t="array" aca="1" ref="T168" ca="1">IF(AND($U$12,B192&lt;=$C$17,C192&lt;&gt;""),TRANSPOSE(INDEX(getcds(C192,$C$6,G192/10000,F192,D192,$C$13,$C$14,$C$15,$C$8,,,TRUE,TRUE,FALSE,$C$29:$C$31,$C$33),{1;2;3;4;5})),"")</f>
        <v/>
      </c>
      <c r="U168" s="413"/>
      <c r="V168" s="413"/>
      <c r="W168" s="414"/>
      <c r="X168" s="415"/>
      <c r="Y168" s="416" t="str">
        <f t="shared" ca="1" si="14"/>
        <v/>
      </c>
      <c r="Z168" s="417" t="str">
        <f t="shared" ca="1" si="15"/>
        <v/>
      </c>
      <c r="AA168" s="416" t="str">
        <f t="shared" ca="1" si="16"/>
        <v/>
      </c>
      <c r="AB168" s="418" t="str">
        <f t="shared" ca="1" si="17"/>
        <v/>
      </c>
      <c r="AC168" s="417" t="str">
        <f t="shared" ca="1" si="18"/>
        <v/>
      </c>
      <c r="AD168" s="220"/>
    </row>
    <row r="169" spans="1:30" customFormat="1" ht="15">
      <c r="A169" s="220"/>
      <c r="B169" s="267">
        <v>131</v>
      </c>
      <c r="C169" s="245"/>
      <c r="D169" s="246"/>
      <c r="E169" s="238"/>
      <c r="F169" s="225"/>
      <c r="G169" s="231"/>
      <c r="H169" s="377">
        <v>155</v>
      </c>
      <c r="I169" s="394"/>
      <c r="J169" s="394"/>
      <c r="K169" s="403"/>
      <c r="L169" s="403"/>
      <c r="M169" s="403"/>
      <c r="N169" s="441"/>
      <c r="O169" s="403"/>
      <c r="P169" s="403"/>
      <c r="Q169" s="403"/>
      <c r="R169" s="441"/>
      <c r="S169" s="433"/>
      <c r="T169" s="412" t="str" cm="1">
        <f t="array" aca="1" ref="T169" ca="1">IF(AND($U$12,B193&lt;=$C$17,C193&lt;&gt;""),TRANSPOSE(INDEX(getcds(C193,$C$6,G193/10000,F193,D193,$C$13,$C$14,$C$15,$C$8,,,TRUE,TRUE,FALSE,$C$29:$C$31,$C$33),{1;2;3;4;5})),"")</f>
        <v/>
      </c>
      <c r="U169" s="413"/>
      <c r="V169" s="413"/>
      <c r="W169" s="414"/>
      <c r="X169" s="415"/>
      <c r="Y169" s="416" t="str">
        <f t="shared" ca="1" si="14"/>
        <v/>
      </c>
      <c r="Z169" s="417" t="str">
        <f t="shared" ca="1" si="15"/>
        <v/>
      </c>
      <c r="AA169" s="416" t="str">
        <f t="shared" ca="1" si="16"/>
        <v/>
      </c>
      <c r="AB169" s="418" t="str">
        <f t="shared" ca="1" si="17"/>
        <v/>
      </c>
      <c r="AC169" s="417" t="str">
        <f t="shared" ca="1" si="18"/>
        <v/>
      </c>
      <c r="AD169" s="220"/>
    </row>
    <row r="170" spans="1:30" customFormat="1" ht="15">
      <c r="A170" s="220"/>
      <c r="B170" s="267">
        <v>132</v>
      </c>
      <c r="C170" s="245"/>
      <c r="D170" s="246"/>
      <c r="E170" s="238"/>
      <c r="F170" s="225"/>
      <c r="G170" s="231"/>
      <c r="H170" s="377">
        <v>156</v>
      </c>
      <c r="I170" s="394"/>
      <c r="J170" s="394"/>
      <c r="K170" s="403"/>
      <c r="L170" s="403"/>
      <c r="M170" s="403"/>
      <c r="N170" s="441"/>
      <c r="O170" s="403"/>
      <c r="P170" s="403"/>
      <c r="Q170" s="403"/>
      <c r="R170" s="441"/>
      <c r="S170" s="433"/>
      <c r="T170" s="412" t="str" cm="1">
        <f t="array" aca="1" ref="T170" ca="1">IF(AND($U$12,B194&lt;=$C$17,C194&lt;&gt;""),TRANSPOSE(INDEX(getcds(C194,$C$6,G194/10000,F194,D194,$C$13,$C$14,$C$15,$C$8,,,TRUE,TRUE,FALSE,$C$29:$C$31,$C$33),{1;2;3;4;5})),"")</f>
        <v/>
      </c>
      <c r="U170" s="413"/>
      <c r="V170" s="413"/>
      <c r="W170" s="414"/>
      <c r="X170" s="415"/>
      <c r="Y170" s="416" t="str">
        <f t="shared" ca="1" si="14"/>
        <v/>
      </c>
      <c r="Z170" s="417" t="str">
        <f t="shared" ca="1" si="15"/>
        <v/>
      </c>
      <c r="AA170" s="416" t="str">
        <f t="shared" ca="1" si="16"/>
        <v/>
      </c>
      <c r="AB170" s="418" t="str">
        <f t="shared" ca="1" si="17"/>
        <v/>
      </c>
      <c r="AC170" s="417" t="str">
        <f t="shared" ca="1" si="18"/>
        <v/>
      </c>
      <c r="AD170" s="220"/>
    </row>
    <row r="171" spans="1:30" customFormat="1" ht="15">
      <c r="A171" s="220"/>
      <c r="B171" s="267">
        <v>133</v>
      </c>
      <c r="C171" s="245"/>
      <c r="D171" s="246"/>
      <c r="E171" s="238"/>
      <c r="F171" s="225"/>
      <c r="G171" s="231"/>
      <c r="H171" s="377">
        <v>157</v>
      </c>
      <c r="I171" s="394"/>
      <c r="J171" s="394"/>
      <c r="K171" s="403"/>
      <c r="L171" s="403"/>
      <c r="M171" s="403"/>
      <c r="N171" s="441"/>
      <c r="O171" s="403"/>
      <c r="P171" s="403"/>
      <c r="Q171" s="403"/>
      <c r="R171" s="441"/>
      <c r="S171" s="433"/>
      <c r="T171" s="412" t="str" cm="1">
        <f t="array" aca="1" ref="T171" ca="1">IF(AND($U$12,B195&lt;=$C$17,C195&lt;&gt;""),TRANSPOSE(INDEX(getcds(C195,$C$6,G195/10000,F195,D195,$C$13,$C$14,$C$15,$C$8,,,TRUE,TRUE,FALSE,$C$29:$C$31,$C$33),{1;2;3;4;5})),"")</f>
        <v/>
      </c>
      <c r="U171" s="413"/>
      <c r="V171" s="413"/>
      <c r="W171" s="414"/>
      <c r="X171" s="415"/>
      <c r="Y171" s="416" t="str">
        <f t="shared" ca="1" si="14"/>
        <v/>
      </c>
      <c r="Z171" s="417" t="str">
        <f t="shared" ca="1" si="15"/>
        <v/>
      </c>
      <c r="AA171" s="416" t="str">
        <f t="shared" ca="1" si="16"/>
        <v/>
      </c>
      <c r="AB171" s="418" t="str">
        <f t="shared" ca="1" si="17"/>
        <v/>
      </c>
      <c r="AC171" s="417" t="str">
        <f t="shared" ca="1" si="18"/>
        <v/>
      </c>
      <c r="AD171" s="220"/>
    </row>
    <row r="172" spans="1:30" customFormat="1" ht="15">
      <c r="A172" s="220"/>
      <c r="B172" s="267">
        <v>134</v>
      </c>
      <c r="C172" s="245"/>
      <c r="D172" s="246"/>
      <c r="E172" s="238"/>
      <c r="F172" s="225"/>
      <c r="G172" s="231"/>
      <c r="H172" s="377">
        <v>158</v>
      </c>
      <c r="I172" s="394"/>
      <c r="J172" s="394"/>
      <c r="K172" s="403"/>
      <c r="L172" s="403"/>
      <c r="M172" s="403"/>
      <c r="N172" s="441"/>
      <c r="O172" s="403"/>
      <c r="P172" s="403"/>
      <c r="Q172" s="403"/>
      <c r="R172" s="441"/>
      <c r="S172" s="433"/>
      <c r="T172" s="412" t="str" cm="1">
        <f t="array" aca="1" ref="T172" ca="1">IF(AND($U$12,B196&lt;=$C$17,C196&lt;&gt;""),TRANSPOSE(INDEX(getcds(C196,$C$6,G196/10000,F196,D196,$C$13,$C$14,$C$15,$C$8,,,TRUE,TRUE,FALSE,$C$29:$C$31,$C$33),{1;2;3;4;5})),"")</f>
        <v/>
      </c>
      <c r="U172" s="413"/>
      <c r="V172" s="413"/>
      <c r="W172" s="414"/>
      <c r="X172" s="415"/>
      <c r="Y172" s="416" t="str">
        <f t="shared" ca="1" si="14"/>
        <v/>
      </c>
      <c r="Z172" s="417" t="str">
        <f t="shared" ca="1" si="15"/>
        <v/>
      </c>
      <c r="AA172" s="416" t="str">
        <f t="shared" ca="1" si="16"/>
        <v/>
      </c>
      <c r="AB172" s="418" t="str">
        <f t="shared" ca="1" si="17"/>
        <v/>
      </c>
      <c r="AC172" s="417" t="str">
        <f t="shared" ca="1" si="18"/>
        <v/>
      </c>
      <c r="AD172" s="220"/>
    </row>
    <row r="173" spans="1:30" customFormat="1" ht="15">
      <c r="A173" s="220"/>
      <c r="B173" s="267">
        <v>135</v>
      </c>
      <c r="C173" s="245"/>
      <c r="D173" s="246"/>
      <c r="E173" s="238"/>
      <c r="F173" s="225"/>
      <c r="G173" s="231"/>
      <c r="H173" s="377">
        <v>159</v>
      </c>
      <c r="I173" s="394"/>
      <c r="J173" s="394"/>
      <c r="K173" s="403"/>
      <c r="L173" s="403"/>
      <c r="M173" s="403"/>
      <c r="N173" s="441"/>
      <c r="O173" s="403"/>
      <c r="P173" s="403"/>
      <c r="Q173" s="403"/>
      <c r="R173" s="441"/>
      <c r="S173" s="433"/>
      <c r="T173" s="412" t="str" cm="1">
        <f t="array" aca="1" ref="T173" ca="1">IF(AND($U$12,B197&lt;=$C$17,C197&lt;&gt;""),TRANSPOSE(INDEX(getcds(C197,$C$6,G197/10000,F197,D197,$C$13,$C$14,$C$15,$C$8,,,TRUE,TRUE,FALSE,$C$29:$C$31,$C$33),{1;2;3;4;5})),"")</f>
        <v/>
      </c>
      <c r="U173" s="413"/>
      <c r="V173" s="413"/>
      <c r="W173" s="414"/>
      <c r="X173" s="415"/>
      <c r="Y173" s="416" t="str">
        <f t="shared" ca="1" si="14"/>
        <v/>
      </c>
      <c r="Z173" s="417" t="str">
        <f t="shared" ca="1" si="15"/>
        <v/>
      </c>
      <c r="AA173" s="416" t="str">
        <f t="shared" ca="1" si="16"/>
        <v/>
      </c>
      <c r="AB173" s="418" t="str">
        <f t="shared" ca="1" si="17"/>
        <v/>
      </c>
      <c r="AC173" s="417" t="str">
        <f t="shared" ca="1" si="18"/>
        <v/>
      </c>
      <c r="AD173" s="220"/>
    </row>
    <row r="174" spans="1:30" customFormat="1" ht="15">
      <c r="A174" s="220"/>
      <c r="B174" s="267">
        <v>136</v>
      </c>
      <c r="C174" s="245"/>
      <c r="D174" s="246"/>
      <c r="E174" s="238"/>
      <c r="F174" s="225"/>
      <c r="G174" s="231"/>
      <c r="H174" s="377">
        <v>160</v>
      </c>
      <c r="I174" s="394"/>
      <c r="J174" s="394"/>
      <c r="K174" s="403"/>
      <c r="L174" s="403"/>
      <c r="M174" s="403"/>
      <c r="N174" s="441"/>
      <c r="O174" s="403"/>
      <c r="P174" s="403"/>
      <c r="Q174" s="403"/>
      <c r="R174" s="441"/>
      <c r="S174" s="433"/>
      <c r="T174" s="412" t="str" cm="1">
        <f t="array" aca="1" ref="T174" ca="1">IF(AND($U$12,B198&lt;=$C$17,C198&lt;&gt;""),TRANSPOSE(INDEX(getcds(C198,$C$6,G198/10000,F198,D198,$C$13,$C$14,$C$15,$C$8,,,TRUE,TRUE,FALSE,$C$29:$C$31,$C$33),{1;2;3;4;5})),"")</f>
        <v/>
      </c>
      <c r="U174" s="413"/>
      <c r="V174" s="413"/>
      <c r="W174" s="414"/>
      <c r="X174" s="415"/>
      <c r="Y174" s="416" t="str">
        <f t="shared" ca="1" si="14"/>
        <v/>
      </c>
      <c r="Z174" s="417" t="str">
        <f t="shared" ca="1" si="15"/>
        <v/>
      </c>
      <c r="AA174" s="416" t="str">
        <f t="shared" ca="1" si="16"/>
        <v/>
      </c>
      <c r="AB174" s="418" t="str">
        <f t="shared" ca="1" si="17"/>
        <v/>
      </c>
      <c r="AC174" s="417" t="str">
        <f t="shared" ca="1" si="18"/>
        <v/>
      </c>
      <c r="AD174" s="220"/>
    </row>
    <row r="175" spans="1:30" customFormat="1" ht="15">
      <c r="A175" s="220"/>
      <c r="B175" s="267">
        <v>137</v>
      </c>
      <c r="C175" s="245"/>
      <c r="D175" s="246"/>
      <c r="E175" s="238"/>
      <c r="F175" s="225"/>
      <c r="G175" s="231"/>
      <c r="H175" s="377">
        <v>161</v>
      </c>
      <c r="I175" s="394"/>
      <c r="J175" s="394"/>
      <c r="K175" s="403"/>
      <c r="L175" s="403"/>
      <c r="M175" s="403"/>
      <c r="N175" s="441"/>
      <c r="O175" s="403"/>
      <c r="P175" s="403"/>
      <c r="Q175" s="403"/>
      <c r="R175" s="441"/>
      <c r="S175" s="433"/>
      <c r="T175" s="412" t="str" cm="1">
        <f t="array" aca="1" ref="T175" ca="1">IF(AND($U$12,B199&lt;=$C$17,C199&lt;&gt;""),TRANSPOSE(INDEX(getcds(C199,$C$6,G199/10000,F199,D199,$C$13,$C$14,$C$15,$C$8,,,TRUE,TRUE,FALSE,$C$29:$C$31,$C$33),{1;2;3;4;5})),"")</f>
        <v/>
      </c>
      <c r="U175" s="413"/>
      <c r="V175" s="413"/>
      <c r="W175" s="414"/>
      <c r="X175" s="415"/>
      <c r="Y175" s="416" t="str">
        <f t="shared" ca="1" si="14"/>
        <v/>
      </c>
      <c r="Z175" s="417" t="str">
        <f t="shared" ca="1" si="15"/>
        <v/>
      </c>
      <c r="AA175" s="416" t="str">
        <f t="shared" ca="1" si="16"/>
        <v/>
      </c>
      <c r="AB175" s="418" t="str">
        <f t="shared" ca="1" si="17"/>
        <v/>
      </c>
      <c r="AC175" s="417" t="str">
        <f t="shared" ca="1" si="18"/>
        <v/>
      </c>
      <c r="AD175" s="220"/>
    </row>
    <row r="176" spans="1:30" customFormat="1" ht="15">
      <c r="A176" s="220"/>
      <c r="B176" s="267">
        <v>138</v>
      </c>
      <c r="C176" s="245"/>
      <c r="D176" s="246"/>
      <c r="E176" s="238"/>
      <c r="F176" s="225"/>
      <c r="G176" s="231"/>
      <c r="H176" s="377">
        <v>162</v>
      </c>
      <c r="I176" s="394"/>
      <c r="J176" s="394"/>
      <c r="K176" s="403"/>
      <c r="L176" s="403"/>
      <c r="M176" s="403"/>
      <c r="N176" s="441"/>
      <c r="O176" s="403"/>
      <c r="P176" s="403"/>
      <c r="Q176" s="403"/>
      <c r="R176" s="441"/>
      <c r="S176" s="433"/>
      <c r="T176" s="412" t="str" cm="1">
        <f t="array" aca="1" ref="T176" ca="1">IF(AND($U$12,B200&lt;=$C$17,C200&lt;&gt;""),TRANSPOSE(INDEX(getcds(C200,$C$6,G200/10000,F200,D200,$C$13,$C$14,$C$15,$C$8,,,TRUE,TRUE,FALSE,$C$29:$C$31,$C$33),{1;2;3;4;5})),"")</f>
        <v/>
      </c>
      <c r="U176" s="413"/>
      <c r="V176" s="413"/>
      <c r="W176" s="414"/>
      <c r="X176" s="415"/>
      <c r="Y176" s="416" t="str">
        <f t="shared" ca="1" si="14"/>
        <v/>
      </c>
      <c r="Z176" s="417" t="str">
        <f t="shared" ca="1" si="15"/>
        <v/>
      </c>
      <c r="AA176" s="416" t="str">
        <f t="shared" ca="1" si="16"/>
        <v/>
      </c>
      <c r="AB176" s="418" t="str">
        <f t="shared" ca="1" si="17"/>
        <v/>
      </c>
      <c r="AC176" s="417" t="str">
        <f t="shared" ca="1" si="18"/>
        <v/>
      </c>
      <c r="AD176" s="220"/>
    </row>
    <row r="177" spans="1:30" customFormat="1" ht="15">
      <c r="A177" s="220"/>
      <c r="B177" s="267">
        <v>139</v>
      </c>
      <c r="C177" s="245"/>
      <c r="D177" s="246"/>
      <c r="E177" s="238"/>
      <c r="F177" s="225"/>
      <c r="G177" s="231"/>
      <c r="H177" s="377">
        <v>163</v>
      </c>
      <c r="I177" s="394"/>
      <c r="J177" s="394"/>
      <c r="K177" s="403"/>
      <c r="L177" s="403"/>
      <c r="M177" s="403"/>
      <c r="N177" s="441"/>
      <c r="O177" s="403"/>
      <c r="P177" s="403"/>
      <c r="Q177" s="403"/>
      <c r="R177" s="441"/>
      <c r="S177" s="433"/>
      <c r="T177" s="412" t="str" cm="1">
        <f t="array" aca="1" ref="T177" ca="1">IF(AND($U$12,B201&lt;=$C$17,C201&lt;&gt;""),TRANSPOSE(INDEX(getcds(C201,$C$6,G201/10000,F201,D201,$C$13,$C$14,$C$15,$C$8,,,TRUE,TRUE,FALSE,$C$29:$C$31,$C$33),{1;2;3;4;5})),"")</f>
        <v/>
      </c>
      <c r="U177" s="413"/>
      <c r="V177" s="413"/>
      <c r="W177" s="414"/>
      <c r="X177" s="415"/>
      <c r="Y177" s="416" t="str">
        <f t="shared" ca="1" si="14"/>
        <v/>
      </c>
      <c r="Z177" s="417" t="str">
        <f t="shared" ca="1" si="15"/>
        <v/>
      </c>
      <c r="AA177" s="416" t="str">
        <f t="shared" ca="1" si="16"/>
        <v/>
      </c>
      <c r="AB177" s="418" t="str">
        <f t="shared" ca="1" si="17"/>
        <v/>
      </c>
      <c r="AC177" s="417" t="str">
        <f t="shared" ca="1" si="18"/>
        <v/>
      </c>
      <c r="AD177" s="220"/>
    </row>
    <row r="178" spans="1:30" customFormat="1" ht="15">
      <c r="A178" s="220"/>
      <c r="B178" s="267">
        <v>140</v>
      </c>
      <c r="C178" s="245"/>
      <c r="D178" s="246"/>
      <c r="E178" s="238"/>
      <c r="F178" s="225"/>
      <c r="G178" s="231"/>
      <c r="H178" s="377">
        <v>164</v>
      </c>
      <c r="I178" s="394"/>
      <c r="J178" s="394"/>
      <c r="K178" s="403"/>
      <c r="L178" s="403"/>
      <c r="M178" s="403"/>
      <c r="N178" s="441"/>
      <c r="O178" s="403"/>
      <c r="P178" s="403"/>
      <c r="Q178" s="403"/>
      <c r="R178" s="441"/>
      <c r="S178" s="433"/>
      <c r="T178" s="412" t="str" cm="1">
        <f t="array" aca="1" ref="T178" ca="1">IF(AND($U$12,B202&lt;=$C$17,C202&lt;&gt;""),TRANSPOSE(INDEX(getcds(C202,$C$6,G202/10000,F202,D202,$C$13,$C$14,$C$15,$C$8,,,TRUE,TRUE,FALSE,$C$29:$C$31,$C$33),{1;2;3;4;5})),"")</f>
        <v/>
      </c>
      <c r="U178" s="413"/>
      <c r="V178" s="413"/>
      <c r="W178" s="414"/>
      <c r="X178" s="415"/>
      <c r="Y178" s="416" t="str">
        <f t="shared" ca="1" si="14"/>
        <v/>
      </c>
      <c r="Z178" s="417" t="str">
        <f t="shared" ca="1" si="15"/>
        <v/>
      </c>
      <c r="AA178" s="416" t="str">
        <f t="shared" ca="1" si="16"/>
        <v/>
      </c>
      <c r="AB178" s="418" t="str">
        <f t="shared" ca="1" si="17"/>
        <v/>
      </c>
      <c r="AC178" s="417" t="str">
        <f t="shared" ca="1" si="18"/>
        <v/>
      </c>
      <c r="AD178" s="220"/>
    </row>
    <row r="179" spans="1:30" customFormat="1" ht="15">
      <c r="A179" s="220"/>
      <c r="B179" s="267">
        <v>141</v>
      </c>
      <c r="C179" s="245"/>
      <c r="D179" s="246"/>
      <c r="E179" s="238"/>
      <c r="F179" s="225"/>
      <c r="G179" s="231"/>
      <c r="H179" s="377">
        <v>165</v>
      </c>
      <c r="I179" s="394"/>
      <c r="J179" s="394"/>
      <c r="K179" s="403"/>
      <c r="L179" s="403"/>
      <c r="M179" s="403"/>
      <c r="N179" s="441"/>
      <c r="O179" s="403"/>
      <c r="P179" s="403"/>
      <c r="Q179" s="403"/>
      <c r="R179" s="441"/>
      <c r="S179" s="433"/>
      <c r="T179" s="412" t="str" cm="1">
        <f t="array" aca="1" ref="T179" ca="1">IF(AND($U$12,B203&lt;=$C$17,C203&lt;&gt;""),TRANSPOSE(INDEX(getcds(C203,$C$6,G203/10000,F203,D203,$C$13,$C$14,$C$15,$C$8,,,TRUE,TRUE,FALSE,$C$29:$C$31,$C$33),{1;2;3;4;5})),"")</f>
        <v/>
      </c>
      <c r="U179" s="413"/>
      <c r="V179" s="413"/>
      <c r="W179" s="414"/>
      <c r="X179" s="415"/>
      <c r="Y179" s="416" t="str">
        <f t="shared" ca="1" si="14"/>
        <v/>
      </c>
      <c r="Z179" s="417" t="str">
        <f t="shared" ca="1" si="15"/>
        <v/>
      </c>
      <c r="AA179" s="416" t="str">
        <f t="shared" ca="1" si="16"/>
        <v/>
      </c>
      <c r="AB179" s="418" t="str">
        <f t="shared" ca="1" si="17"/>
        <v/>
      </c>
      <c r="AC179" s="417" t="str">
        <f t="shared" ca="1" si="18"/>
        <v/>
      </c>
      <c r="AD179" s="220"/>
    </row>
    <row r="180" spans="1:30" customFormat="1" ht="15">
      <c r="A180" s="220"/>
      <c r="B180" s="267">
        <v>142</v>
      </c>
      <c r="C180" s="245"/>
      <c r="D180" s="246"/>
      <c r="E180" s="238"/>
      <c r="F180" s="225"/>
      <c r="G180" s="231"/>
      <c r="H180" s="377">
        <v>166</v>
      </c>
      <c r="I180" s="394"/>
      <c r="J180" s="394"/>
      <c r="K180" s="403"/>
      <c r="L180" s="403"/>
      <c r="M180" s="403"/>
      <c r="N180" s="441"/>
      <c r="O180" s="403"/>
      <c r="P180" s="403"/>
      <c r="Q180" s="403"/>
      <c r="R180" s="441"/>
      <c r="S180" s="433"/>
      <c r="T180" s="412" t="str" cm="1">
        <f t="array" aca="1" ref="T180" ca="1">IF(AND($U$12,B204&lt;=$C$17,C204&lt;&gt;""),TRANSPOSE(INDEX(getcds(C204,$C$6,G204/10000,F204,D204,$C$13,$C$14,$C$15,$C$8,,,TRUE,TRUE,FALSE,$C$29:$C$31,$C$33),{1;2;3;4;5})),"")</f>
        <v/>
      </c>
      <c r="U180" s="413"/>
      <c r="V180" s="413"/>
      <c r="W180" s="414"/>
      <c r="X180" s="415"/>
      <c r="Y180" s="416" t="str">
        <f t="shared" ca="1" si="14"/>
        <v/>
      </c>
      <c r="Z180" s="417" t="str">
        <f t="shared" ca="1" si="15"/>
        <v/>
      </c>
      <c r="AA180" s="416" t="str">
        <f t="shared" ca="1" si="16"/>
        <v/>
      </c>
      <c r="AB180" s="418" t="str">
        <f t="shared" ca="1" si="17"/>
        <v/>
      </c>
      <c r="AC180" s="417" t="str">
        <f t="shared" ca="1" si="18"/>
        <v/>
      </c>
      <c r="AD180" s="220"/>
    </row>
    <row r="181" spans="1:30" customFormat="1" ht="15">
      <c r="A181" s="220"/>
      <c r="B181" s="267">
        <v>143</v>
      </c>
      <c r="C181" s="245"/>
      <c r="D181" s="246"/>
      <c r="E181" s="238"/>
      <c r="F181" s="225"/>
      <c r="G181" s="231"/>
      <c r="H181" s="377">
        <v>167</v>
      </c>
      <c r="I181" s="394"/>
      <c r="J181" s="394"/>
      <c r="K181" s="403"/>
      <c r="L181" s="403"/>
      <c r="M181" s="403"/>
      <c r="N181" s="441"/>
      <c r="O181" s="403"/>
      <c r="P181" s="403"/>
      <c r="Q181" s="403"/>
      <c r="R181" s="441"/>
      <c r="S181" s="433"/>
      <c r="T181" s="412" t="str" cm="1">
        <f t="array" aca="1" ref="T181" ca="1">IF(AND($U$12,B205&lt;=$C$17,C205&lt;&gt;""),TRANSPOSE(INDEX(getcds(C205,$C$6,G205/10000,F205,D205,$C$13,$C$14,$C$15,$C$8,,,TRUE,TRUE,FALSE,$C$29:$C$31,$C$33),{1;2;3;4;5})),"")</f>
        <v/>
      </c>
      <c r="U181" s="413"/>
      <c r="V181" s="413"/>
      <c r="W181" s="414"/>
      <c r="X181" s="415"/>
      <c r="Y181" s="416" t="str">
        <f t="shared" ca="1" si="14"/>
        <v/>
      </c>
      <c r="Z181" s="417" t="str">
        <f t="shared" ca="1" si="15"/>
        <v/>
      </c>
      <c r="AA181" s="416" t="str">
        <f t="shared" ca="1" si="16"/>
        <v/>
      </c>
      <c r="AB181" s="418" t="str">
        <f t="shared" ca="1" si="17"/>
        <v/>
      </c>
      <c r="AC181" s="417" t="str">
        <f t="shared" ca="1" si="18"/>
        <v/>
      </c>
      <c r="AD181" s="220"/>
    </row>
    <row r="182" spans="1:30" customFormat="1" ht="15">
      <c r="A182" s="220"/>
      <c r="B182" s="267">
        <v>144</v>
      </c>
      <c r="C182" s="245"/>
      <c r="D182" s="246"/>
      <c r="E182" s="238"/>
      <c r="F182" s="225"/>
      <c r="G182" s="231"/>
      <c r="H182" s="377">
        <v>168</v>
      </c>
      <c r="I182" s="394"/>
      <c r="J182" s="394"/>
      <c r="K182" s="403"/>
      <c r="L182" s="403"/>
      <c r="M182" s="403"/>
      <c r="N182" s="441"/>
      <c r="O182" s="403"/>
      <c r="P182" s="403"/>
      <c r="Q182" s="403"/>
      <c r="R182" s="441"/>
      <c r="S182" s="433"/>
      <c r="T182" s="412" t="str" cm="1">
        <f t="array" aca="1" ref="T182" ca="1">IF(AND($U$12,B206&lt;=$C$17,C206&lt;&gt;""),TRANSPOSE(INDEX(getcds(C206,$C$6,G206/10000,F206,D206,$C$13,$C$14,$C$15,$C$8,,,TRUE,TRUE,FALSE,$C$29:$C$31,$C$33),{1;2;3;4;5})),"")</f>
        <v/>
      </c>
      <c r="U182" s="413"/>
      <c r="V182" s="413"/>
      <c r="W182" s="414"/>
      <c r="X182" s="415"/>
      <c r="Y182" s="416" t="str">
        <f t="shared" ca="1" si="14"/>
        <v/>
      </c>
      <c r="Z182" s="417" t="str">
        <f t="shared" ca="1" si="15"/>
        <v/>
      </c>
      <c r="AA182" s="416" t="str">
        <f t="shared" ca="1" si="16"/>
        <v/>
      </c>
      <c r="AB182" s="418" t="str">
        <f t="shared" ca="1" si="17"/>
        <v/>
      </c>
      <c r="AC182" s="417" t="str">
        <f t="shared" ca="1" si="18"/>
        <v/>
      </c>
      <c r="AD182" s="220"/>
    </row>
    <row r="183" spans="1:30" customFormat="1" ht="15">
      <c r="A183" s="220"/>
      <c r="B183" s="267">
        <v>145</v>
      </c>
      <c r="C183" s="245"/>
      <c r="D183" s="246"/>
      <c r="E183" s="238"/>
      <c r="F183" s="225"/>
      <c r="G183" s="231"/>
      <c r="H183" s="377">
        <v>169</v>
      </c>
      <c r="I183" s="394"/>
      <c r="J183" s="394"/>
      <c r="K183" s="403"/>
      <c r="L183" s="403"/>
      <c r="M183" s="403"/>
      <c r="N183" s="441"/>
      <c r="O183" s="403"/>
      <c r="P183" s="403"/>
      <c r="Q183" s="403"/>
      <c r="R183" s="441"/>
      <c r="S183" s="433"/>
      <c r="T183" s="412" t="str" cm="1">
        <f t="array" aca="1" ref="T183" ca="1">IF(AND($U$12,B207&lt;=$C$17,C207&lt;&gt;""),TRANSPOSE(INDEX(getcds(C207,$C$6,G207/10000,F207,D207,$C$13,$C$14,$C$15,$C$8,,,TRUE,TRUE,FALSE,$C$29:$C$31,$C$33),{1;2;3;4;5})),"")</f>
        <v/>
      </c>
      <c r="U183" s="413"/>
      <c r="V183" s="413"/>
      <c r="W183" s="414"/>
      <c r="X183" s="415"/>
      <c r="Y183" s="416" t="str">
        <f t="shared" ca="1" si="14"/>
        <v/>
      </c>
      <c r="Z183" s="417" t="str">
        <f t="shared" ca="1" si="15"/>
        <v/>
      </c>
      <c r="AA183" s="416" t="str">
        <f t="shared" ca="1" si="16"/>
        <v/>
      </c>
      <c r="AB183" s="418" t="str">
        <f t="shared" ca="1" si="17"/>
        <v/>
      </c>
      <c r="AC183" s="417" t="str">
        <f t="shared" ca="1" si="18"/>
        <v/>
      </c>
      <c r="AD183" s="220"/>
    </row>
    <row r="184" spans="1:30" customFormat="1" ht="15">
      <c r="A184" s="220"/>
      <c r="B184" s="267">
        <v>146</v>
      </c>
      <c r="C184" s="245"/>
      <c r="D184" s="246"/>
      <c r="E184" s="238"/>
      <c r="F184" s="225"/>
      <c r="G184" s="231"/>
      <c r="H184" s="377">
        <v>170</v>
      </c>
      <c r="I184" s="394"/>
      <c r="J184" s="394"/>
      <c r="K184" s="403"/>
      <c r="L184" s="403"/>
      <c r="M184" s="403"/>
      <c r="N184" s="441"/>
      <c r="O184" s="403"/>
      <c r="P184" s="403"/>
      <c r="Q184" s="403"/>
      <c r="R184" s="441"/>
      <c r="S184" s="433"/>
      <c r="T184" s="412" t="str" cm="1">
        <f t="array" aca="1" ref="T184" ca="1">IF(AND($U$12,B208&lt;=$C$17,C208&lt;&gt;""),TRANSPOSE(INDEX(getcds(C208,$C$6,G208/10000,F208,D208,$C$13,$C$14,$C$15,$C$8,,,TRUE,TRUE,FALSE,$C$29:$C$31,$C$33),{1;2;3;4;5})),"")</f>
        <v/>
      </c>
      <c r="U184" s="413"/>
      <c r="V184" s="413"/>
      <c r="W184" s="414"/>
      <c r="X184" s="415"/>
      <c r="Y184" s="416" t="str">
        <f t="shared" ca="1" si="14"/>
        <v/>
      </c>
      <c r="Z184" s="417" t="str">
        <f t="shared" ca="1" si="15"/>
        <v/>
      </c>
      <c r="AA184" s="416" t="str">
        <f t="shared" ca="1" si="16"/>
        <v/>
      </c>
      <c r="AB184" s="418" t="str">
        <f t="shared" ca="1" si="17"/>
        <v/>
      </c>
      <c r="AC184" s="417" t="str">
        <f t="shared" ca="1" si="18"/>
        <v/>
      </c>
      <c r="AD184" s="220"/>
    </row>
    <row r="185" spans="1:30" customFormat="1" ht="15">
      <c r="A185" s="220"/>
      <c r="B185" s="267">
        <v>147</v>
      </c>
      <c r="C185" s="245"/>
      <c r="D185" s="246"/>
      <c r="E185" s="238"/>
      <c r="F185" s="225"/>
      <c r="G185" s="231"/>
      <c r="H185" s="377">
        <v>171</v>
      </c>
      <c r="I185" s="394"/>
      <c r="J185" s="394"/>
      <c r="K185" s="403"/>
      <c r="L185" s="403"/>
      <c r="M185" s="403"/>
      <c r="N185" s="441"/>
      <c r="O185" s="403"/>
      <c r="P185" s="403"/>
      <c r="Q185" s="403"/>
      <c r="R185" s="441"/>
      <c r="S185" s="433"/>
      <c r="T185" s="412" t="str" cm="1">
        <f t="array" aca="1" ref="T185" ca="1">IF(AND($U$12,B209&lt;=$C$17,C209&lt;&gt;""),TRANSPOSE(INDEX(getcds(C209,$C$6,G209/10000,F209,D209,$C$13,$C$14,$C$15,$C$8,,,TRUE,TRUE,FALSE,$C$29:$C$31,$C$33),{1;2;3;4;5})),"")</f>
        <v/>
      </c>
      <c r="U185" s="413"/>
      <c r="V185" s="413"/>
      <c r="W185" s="414"/>
      <c r="X185" s="415"/>
      <c r="Y185" s="416" t="str">
        <f t="shared" ca="1" si="14"/>
        <v/>
      </c>
      <c r="Z185" s="417" t="str">
        <f t="shared" ca="1" si="15"/>
        <v/>
      </c>
      <c r="AA185" s="416" t="str">
        <f t="shared" ca="1" si="16"/>
        <v/>
      </c>
      <c r="AB185" s="418" t="str">
        <f t="shared" ca="1" si="17"/>
        <v/>
      </c>
      <c r="AC185" s="417" t="str">
        <f t="shared" ca="1" si="18"/>
        <v/>
      </c>
      <c r="AD185" s="220"/>
    </row>
    <row r="186" spans="1:30" customFormat="1" ht="15">
      <c r="A186" s="220"/>
      <c r="B186" s="267">
        <v>148</v>
      </c>
      <c r="C186" s="245"/>
      <c r="D186" s="246"/>
      <c r="E186" s="238"/>
      <c r="F186" s="225"/>
      <c r="G186" s="231"/>
      <c r="H186" s="377">
        <v>172</v>
      </c>
      <c r="I186" s="394"/>
      <c r="J186" s="394"/>
      <c r="K186" s="403"/>
      <c r="L186" s="403"/>
      <c r="M186" s="403"/>
      <c r="N186" s="441"/>
      <c r="O186" s="403"/>
      <c r="P186" s="403"/>
      <c r="Q186" s="403"/>
      <c r="R186" s="441"/>
      <c r="S186" s="433"/>
      <c r="T186" s="412" t="str" cm="1">
        <f t="array" aca="1" ref="T186" ca="1">IF(AND($U$12,B210&lt;=$C$17,C210&lt;&gt;""),TRANSPOSE(INDEX(getcds(C210,$C$6,G210/10000,F210,D210,$C$13,$C$14,$C$15,$C$8,,,TRUE,TRUE,FALSE,$C$29:$C$31,$C$33),{1;2;3;4;5})),"")</f>
        <v/>
      </c>
      <c r="U186" s="413"/>
      <c r="V186" s="413"/>
      <c r="W186" s="414"/>
      <c r="X186" s="415"/>
      <c r="Y186" s="416" t="str">
        <f t="shared" ca="1" si="14"/>
        <v/>
      </c>
      <c r="Z186" s="417" t="str">
        <f t="shared" ca="1" si="15"/>
        <v/>
      </c>
      <c r="AA186" s="416" t="str">
        <f t="shared" ca="1" si="16"/>
        <v/>
      </c>
      <c r="AB186" s="418" t="str">
        <f t="shared" ca="1" si="17"/>
        <v/>
      </c>
      <c r="AC186" s="417" t="str">
        <f t="shared" ca="1" si="18"/>
        <v/>
      </c>
      <c r="AD186" s="220"/>
    </row>
    <row r="187" spans="1:30" customFormat="1" ht="15">
      <c r="A187" s="220"/>
      <c r="B187" s="267">
        <v>149</v>
      </c>
      <c r="C187" s="245"/>
      <c r="D187" s="246"/>
      <c r="E187" s="238"/>
      <c r="F187" s="225"/>
      <c r="G187" s="231"/>
      <c r="H187" s="377">
        <v>173</v>
      </c>
      <c r="I187" s="394"/>
      <c r="J187" s="394"/>
      <c r="K187" s="403"/>
      <c r="L187" s="403"/>
      <c r="M187" s="403"/>
      <c r="N187" s="441"/>
      <c r="O187" s="403"/>
      <c r="P187" s="403"/>
      <c r="Q187" s="403"/>
      <c r="R187" s="441"/>
      <c r="S187" s="433"/>
      <c r="T187" s="412" t="str" cm="1">
        <f t="array" aca="1" ref="T187" ca="1">IF(AND($U$12,B211&lt;=$C$17,C211&lt;&gt;""),TRANSPOSE(INDEX(getcds(C211,$C$6,G211/10000,F211,D211,$C$13,$C$14,$C$15,$C$8,,,TRUE,TRUE,FALSE,$C$29:$C$31,$C$33),{1;2;3;4;5})),"")</f>
        <v/>
      </c>
      <c r="U187" s="413"/>
      <c r="V187" s="413"/>
      <c r="W187" s="414"/>
      <c r="X187" s="415"/>
      <c r="Y187" s="416" t="str">
        <f t="shared" ca="1" si="14"/>
        <v/>
      </c>
      <c r="Z187" s="417" t="str">
        <f t="shared" ca="1" si="15"/>
        <v/>
      </c>
      <c r="AA187" s="416" t="str">
        <f t="shared" ca="1" si="16"/>
        <v/>
      </c>
      <c r="AB187" s="418" t="str">
        <f t="shared" ca="1" si="17"/>
        <v/>
      </c>
      <c r="AC187" s="417" t="str">
        <f t="shared" ca="1" si="18"/>
        <v/>
      </c>
      <c r="AD187" s="220"/>
    </row>
    <row r="188" spans="1:30" customFormat="1" ht="15">
      <c r="A188" s="220"/>
      <c r="B188" s="267">
        <v>150</v>
      </c>
      <c r="C188" s="245"/>
      <c r="D188" s="246"/>
      <c r="E188" s="238"/>
      <c r="F188" s="225"/>
      <c r="G188" s="231"/>
      <c r="H188" s="377">
        <v>174</v>
      </c>
      <c r="I188" s="394"/>
      <c r="J188" s="394"/>
      <c r="K188" s="403"/>
      <c r="L188" s="403"/>
      <c r="M188" s="403"/>
      <c r="N188" s="441"/>
      <c r="O188" s="403"/>
      <c r="P188" s="403"/>
      <c r="Q188" s="403"/>
      <c r="R188" s="441"/>
      <c r="S188" s="433"/>
      <c r="T188" s="412" t="str" cm="1">
        <f t="array" aca="1" ref="T188" ca="1">IF(AND($U$12,B212&lt;=$C$17,C212&lt;&gt;""),TRANSPOSE(INDEX(getcds(C212,$C$6,G212/10000,F212,D212,$C$13,$C$14,$C$15,$C$8,,,TRUE,TRUE,FALSE,$C$29:$C$31,$C$33),{1;2;3;4;5})),"")</f>
        <v/>
      </c>
      <c r="U188" s="413"/>
      <c r="V188" s="413"/>
      <c r="W188" s="414"/>
      <c r="X188" s="415"/>
      <c r="Y188" s="416" t="str">
        <f t="shared" ca="1" si="14"/>
        <v/>
      </c>
      <c r="Z188" s="417" t="str">
        <f t="shared" ca="1" si="15"/>
        <v/>
      </c>
      <c r="AA188" s="416" t="str">
        <f t="shared" ca="1" si="16"/>
        <v/>
      </c>
      <c r="AB188" s="418" t="str">
        <f t="shared" ca="1" si="17"/>
        <v/>
      </c>
      <c r="AC188" s="417" t="str">
        <f t="shared" ca="1" si="18"/>
        <v/>
      </c>
      <c r="AD188" s="220"/>
    </row>
    <row r="189" spans="1:30" customFormat="1" ht="15">
      <c r="A189" s="220"/>
      <c r="B189" s="267">
        <v>151</v>
      </c>
      <c r="C189" s="245"/>
      <c r="D189" s="246"/>
      <c r="E189" s="238"/>
      <c r="F189" s="225"/>
      <c r="G189" s="231"/>
      <c r="H189" s="377">
        <v>175</v>
      </c>
      <c r="I189" s="394"/>
      <c r="J189" s="394"/>
      <c r="K189" s="403"/>
      <c r="L189" s="403"/>
      <c r="M189" s="403"/>
      <c r="N189" s="441"/>
      <c r="O189" s="403"/>
      <c r="P189" s="403"/>
      <c r="Q189" s="403"/>
      <c r="R189" s="441"/>
      <c r="S189" s="433"/>
      <c r="T189" s="412" t="str" cm="1">
        <f t="array" aca="1" ref="T189" ca="1">IF(AND($U$12,B213&lt;=$C$17,C213&lt;&gt;""),TRANSPOSE(INDEX(getcds(C213,$C$6,G213/10000,F213,D213,$C$13,$C$14,$C$15,$C$8,,,TRUE,TRUE,FALSE,$C$29:$C$31,$C$33),{1;2;3;4;5})),"")</f>
        <v/>
      </c>
      <c r="U189" s="413"/>
      <c r="V189" s="413"/>
      <c r="W189" s="414"/>
      <c r="X189" s="415"/>
      <c r="Y189" s="416" t="str">
        <f t="shared" ca="1" si="14"/>
        <v/>
      </c>
      <c r="Z189" s="417" t="str">
        <f t="shared" ca="1" si="15"/>
        <v/>
      </c>
      <c r="AA189" s="416" t="str">
        <f t="shared" ca="1" si="16"/>
        <v/>
      </c>
      <c r="AB189" s="418" t="str">
        <f t="shared" ca="1" si="17"/>
        <v/>
      </c>
      <c r="AC189" s="417" t="str">
        <f t="shared" ca="1" si="18"/>
        <v/>
      </c>
      <c r="AD189" s="220"/>
    </row>
    <row r="190" spans="1:30" customFormat="1" ht="15">
      <c r="A190" s="220"/>
      <c r="B190" s="267">
        <v>152</v>
      </c>
      <c r="C190" s="245"/>
      <c r="D190" s="246"/>
      <c r="E190" s="238"/>
      <c r="F190" s="225"/>
      <c r="G190" s="231"/>
      <c r="H190" s="377">
        <v>176</v>
      </c>
      <c r="I190" s="394"/>
      <c r="J190" s="394"/>
      <c r="K190" s="403"/>
      <c r="L190" s="403"/>
      <c r="M190" s="403"/>
      <c r="N190" s="441"/>
      <c r="O190" s="403"/>
      <c r="P190" s="403"/>
      <c r="Q190" s="403"/>
      <c r="R190" s="441"/>
      <c r="S190" s="433"/>
      <c r="T190" s="412" t="str" cm="1">
        <f t="array" aca="1" ref="T190" ca="1">IF(AND($U$12,B214&lt;=$C$17,C214&lt;&gt;""),TRANSPOSE(INDEX(getcds(C214,$C$6,G214/10000,F214,D214,$C$13,$C$14,$C$15,$C$8,,,TRUE,TRUE,FALSE,$C$29:$C$31,$C$33),{1;2;3;4;5})),"")</f>
        <v/>
      </c>
      <c r="U190" s="413"/>
      <c r="V190" s="413"/>
      <c r="W190" s="414"/>
      <c r="X190" s="415"/>
      <c r="Y190" s="416" t="str">
        <f t="shared" ca="1" si="14"/>
        <v/>
      </c>
      <c r="Z190" s="417" t="str">
        <f t="shared" ca="1" si="15"/>
        <v/>
      </c>
      <c r="AA190" s="416" t="str">
        <f t="shared" ca="1" si="16"/>
        <v/>
      </c>
      <c r="AB190" s="418" t="str">
        <f t="shared" ca="1" si="17"/>
        <v/>
      </c>
      <c r="AC190" s="417" t="str">
        <f t="shared" ca="1" si="18"/>
        <v/>
      </c>
      <c r="AD190" s="220"/>
    </row>
    <row r="191" spans="1:30" customFormat="1" ht="15">
      <c r="A191" s="220"/>
      <c r="B191" s="267">
        <v>153</v>
      </c>
      <c r="C191" s="245"/>
      <c r="D191" s="246"/>
      <c r="E191" s="238"/>
      <c r="F191" s="225"/>
      <c r="G191" s="231"/>
      <c r="H191" s="377">
        <v>177</v>
      </c>
      <c r="I191" s="394"/>
      <c r="J191" s="394"/>
      <c r="K191" s="403"/>
      <c r="L191" s="403"/>
      <c r="M191" s="403"/>
      <c r="N191" s="441"/>
      <c r="O191" s="403"/>
      <c r="P191" s="403"/>
      <c r="Q191" s="403"/>
      <c r="R191" s="441"/>
      <c r="S191" s="433"/>
      <c r="T191" s="412" t="str" cm="1">
        <f t="array" aca="1" ref="T191" ca="1">IF(AND($U$12,B215&lt;=$C$17,C215&lt;&gt;""),TRANSPOSE(INDEX(getcds(C215,$C$6,G215/10000,F215,D215,$C$13,$C$14,$C$15,$C$8,,,TRUE,TRUE,FALSE,$C$29:$C$31,$C$33),{1;2;3;4;5})),"")</f>
        <v/>
      </c>
      <c r="U191" s="413"/>
      <c r="V191" s="413"/>
      <c r="W191" s="414"/>
      <c r="X191" s="415"/>
      <c r="Y191" s="416" t="str">
        <f t="shared" ca="1" si="14"/>
        <v/>
      </c>
      <c r="Z191" s="417" t="str">
        <f t="shared" ca="1" si="15"/>
        <v/>
      </c>
      <c r="AA191" s="416" t="str">
        <f t="shared" ca="1" si="16"/>
        <v/>
      </c>
      <c r="AB191" s="418" t="str">
        <f t="shared" ca="1" si="17"/>
        <v/>
      </c>
      <c r="AC191" s="417" t="str">
        <f t="shared" ca="1" si="18"/>
        <v/>
      </c>
      <c r="AD191" s="220"/>
    </row>
    <row r="192" spans="1:30" customFormat="1" ht="15">
      <c r="A192" s="220"/>
      <c r="B192" s="267">
        <v>154</v>
      </c>
      <c r="C192" s="245"/>
      <c r="D192" s="246"/>
      <c r="E192" s="238"/>
      <c r="F192" s="225"/>
      <c r="G192" s="231"/>
      <c r="H192" s="377">
        <v>178</v>
      </c>
      <c r="I192" s="394"/>
      <c r="J192" s="394"/>
      <c r="K192" s="403"/>
      <c r="L192" s="403"/>
      <c r="M192" s="403"/>
      <c r="N192" s="441"/>
      <c r="O192" s="403"/>
      <c r="P192" s="403"/>
      <c r="Q192" s="403"/>
      <c r="R192" s="441"/>
      <c r="S192" s="433"/>
      <c r="T192" s="412" t="str" cm="1">
        <f t="array" aca="1" ref="T192" ca="1">IF(AND($U$12,B216&lt;=$C$17,C216&lt;&gt;""),TRANSPOSE(INDEX(getcds(C216,$C$6,G216/10000,F216,D216,$C$13,$C$14,$C$15,$C$8,,,TRUE,TRUE,FALSE,$C$29:$C$31,$C$33),{1;2;3;4;5})),"")</f>
        <v/>
      </c>
      <c r="U192" s="413"/>
      <c r="V192" s="413"/>
      <c r="W192" s="414"/>
      <c r="X192" s="415"/>
      <c r="Y192" s="416" t="str">
        <f t="shared" ca="1" si="14"/>
        <v/>
      </c>
      <c r="Z192" s="417" t="str">
        <f t="shared" ca="1" si="15"/>
        <v/>
      </c>
      <c r="AA192" s="416" t="str">
        <f t="shared" ca="1" si="16"/>
        <v/>
      </c>
      <c r="AB192" s="418" t="str">
        <f t="shared" ca="1" si="17"/>
        <v/>
      </c>
      <c r="AC192" s="417" t="str">
        <f t="shared" ca="1" si="18"/>
        <v/>
      </c>
      <c r="AD192" s="220"/>
    </row>
    <row r="193" spans="1:30" customFormat="1" ht="15">
      <c r="A193" s="220"/>
      <c r="B193" s="267">
        <v>155</v>
      </c>
      <c r="C193" s="245"/>
      <c r="D193" s="246"/>
      <c r="E193" s="238"/>
      <c r="F193" s="225"/>
      <c r="G193" s="231"/>
      <c r="H193" s="377">
        <v>179</v>
      </c>
      <c r="I193" s="394"/>
      <c r="J193" s="394"/>
      <c r="K193" s="403"/>
      <c r="L193" s="403"/>
      <c r="M193" s="403"/>
      <c r="N193" s="441"/>
      <c r="O193" s="403"/>
      <c r="P193" s="403"/>
      <c r="Q193" s="403"/>
      <c r="R193" s="441"/>
      <c r="S193" s="433"/>
      <c r="T193" s="412" t="str" cm="1">
        <f t="array" aca="1" ref="T193" ca="1">IF(AND($U$12,B217&lt;=$C$17,C217&lt;&gt;""),TRANSPOSE(INDEX(getcds(C217,$C$6,G217/10000,F217,D217,$C$13,$C$14,$C$15,$C$8,,,TRUE,TRUE,FALSE,$C$29:$C$31,$C$33),{1;2;3;4;5})),"")</f>
        <v/>
      </c>
      <c r="U193" s="413"/>
      <c r="V193" s="413"/>
      <c r="W193" s="414"/>
      <c r="X193" s="415"/>
      <c r="Y193" s="416" t="str">
        <f t="shared" ca="1" si="14"/>
        <v/>
      </c>
      <c r="Z193" s="417" t="str">
        <f t="shared" ca="1" si="15"/>
        <v/>
      </c>
      <c r="AA193" s="416" t="str">
        <f t="shared" ca="1" si="16"/>
        <v/>
      </c>
      <c r="AB193" s="418" t="str">
        <f t="shared" ca="1" si="17"/>
        <v/>
      </c>
      <c r="AC193" s="417" t="str">
        <f t="shared" ca="1" si="18"/>
        <v/>
      </c>
      <c r="AD193" s="220"/>
    </row>
    <row r="194" spans="1:30" customFormat="1" ht="15">
      <c r="A194" s="220"/>
      <c r="B194" s="267">
        <v>156</v>
      </c>
      <c r="C194" s="245"/>
      <c r="D194" s="246"/>
      <c r="E194" s="238"/>
      <c r="F194" s="225"/>
      <c r="G194" s="231"/>
      <c r="H194" s="377">
        <v>180</v>
      </c>
      <c r="I194" s="394"/>
      <c r="J194" s="394"/>
      <c r="K194" s="403"/>
      <c r="L194" s="403"/>
      <c r="M194" s="403"/>
      <c r="N194" s="441"/>
      <c r="O194" s="403"/>
      <c r="P194" s="403"/>
      <c r="Q194" s="403"/>
      <c r="R194" s="441"/>
      <c r="S194" s="433"/>
      <c r="T194" s="412" t="str" cm="1">
        <f t="array" aca="1" ref="T194" ca="1">IF(AND($U$12,B218&lt;=$C$17,C218&lt;&gt;""),TRANSPOSE(INDEX(getcds(C218,$C$6,G218/10000,F218,D218,$C$13,$C$14,$C$15,$C$8,,,TRUE,TRUE,FALSE,$C$29:$C$31,$C$33),{1;2;3;4;5})),"")</f>
        <v/>
      </c>
      <c r="U194" s="413"/>
      <c r="V194" s="413"/>
      <c r="W194" s="414"/>
      <c r="X194" s="415"/>
      <c r="Y194" s="416" t="str">
        <f t="shared" ca="1" si="14"/>
        <v/>
      </c>
      <c r="Z194" s="417" t="str">
        <f t="shared" ca="1" si="15"/>
        <v/>
      </c>
      <c r="AA194" s="416" t="str">
        <f t="shared" ca="1" si="16"/>
        <v/>
      </c>
      <c r="AB194" s="418" t="str">
        <f t="shared" ca="1" si="17"/>
        <v/>
      </c>
      <c r="AC194" s="417" t="str">
        <f t="shared" ca="1" si="18"/>
        <v/>
      </c>
      <c r="AD194" s="220"/>
    </row>
    <row r="195" spans="1:30" customFormat="1" ht="15">
      <c r="A195" s="220"/>
      <c r="B195" s="267">
        <v>157</v>
      </c>
      <c r="C195" s="245"/>
      <c r="D195" s="246"/>
      <c r="E195" s="238"/>
      <c r="F195" s="225"/>
      <c r="G195" s="231"/>
      <c r="H195" s="377">
        <v>181</v>
      </c>
      <c r="I195" s="394"/>
      <c r="J195" s="394"/>
      <c r="K195" s="403"/>
      <c r="L195" s="403"/>
      <c r="M195" s="403"/>
      <c r="N195" s="441"/>
      <c r="O195" s="403"/>
      <c r="P195" s="403"/>
      <c r="Q195" s="403"/>
      <c r="R195" s="441"/>
      <c r="S195" s="433"/>
      <c r="T195" s="412" t="str" cm="1">
        <f t="array" aca="1" ref="T195" ca="1">IF(AND($U$12,B219&lt;=$C$17,C219&lt;&gt;""),TRANSPOSE(INDEX(getcds(C219,$C$6,G219/10000,F219,D219,$C$13,$C$14,$C$15,$C$8,,,TRUE,TRUE,FALSE,$C$29:$C$31,$C$33),{1;2;3;4;5})),"")</f>
        <v/>
      </c>
      <c r="U195" s="413"/>
      <c r="V195" s="413"/>
      <c r="W195" s="414"/>
      <c r="X195" s="415"/>
      <c r="Y195" s="416" t="str">
        <f t="shared" ca="1" si="14"/>
        <v/>
      </c>
      <c r="Z195" s="417" t="str">
        <f t="shared" ca="1" si="15"/>
        <v/>
      </c>
      <c r="AA195" s="416" t="str">
        <f t="shared" ca="1" si="16"/>
        <v/>
      </c>
      <c r="AB195" s="418" t="str">
        <f t="shared" ca="1" si="17"/>
        <v/>
      </c>
      <c r="AC195" s="417" t="str">
        <f t="shared" ca="1" si="18"/>
        <v/>
      </c>
      <c r="AD195" s="220"/>
    </row>
    <row r="196" spans="1:30" customFormat="1" ht="15">
      <c r="A196" s="220"/>
      <c r="B196" s="267">
        <v>158</v>
      </c>
      <c r="C196" s="245"/>
      <c r="D196" s="246"/>
      <c r="E196" s="238"/>
      <c r="F196" s="225"/>
      <c r="G196" s="231"/>
      <c r="H196" s="377">
        <v>182</v>
      </c>
      <c r="I196" s="394"/>
      <c r="J196" s="394"/>
      <c r="K196" s="403"/>
      <c r="L196" s="403"/>
      <c r="M196" s="403"/>
      <c r="N196" s="441"/>
      <c r="O196" s="403"/>
      <c r="P196" s="403"/>
      <c r="Q196" s="403"/>
      <c r="R196" s="441"/>
      <c r="S196" s="433"/>
      <c r="T196" s="412" t="str" cm="1">
        <f t="array" aca="1" ref="T196" ca="1">IF(AND($U$12,B220&lt;=$C$17,C220&lt;&gt;""),TRANSPOSE(INDEX(getcds(C220,$C$6,G220/10000,F220,D220,$C$13,$C$14,$C$15,$C$8,,,TRUE,TRUE,FALSE,$C$29:$C$31,$C$33),{1;2;3;4;5})),"")</f>
        <v/>
      </c>
      <c r="U196" s="413"/>
      <c r="V196" s="413"/>
      <c r="W196" s="414"/>
      <c r="X196" s="415"/>
      <c r="Y196" s="416" t="str">
        <f t="shared" ca="1" si="14"/>
        <v/>
      </c>
      <c r="Z196" s="417" t="str">
        <f t="shared" ca="1" si="15"/>
        <v/>
      </c>
      <c r="AA196" s="416" t="str">
        <f t="shared" ca="1" si="16"/>
        <v/>
      </c>
      <c r="AB196" s="418" t="str">
        <f t="shared" ca="1" si="17"/>
        <v/>
      </c>
      <c r="AC196" s="417" t="str">
        <f t="shared" ca="1" si="18"/>
        <v/>
      </c>
      <c r="AD196" s="220"/>
    </row>
    <row r="197" spans="1:30" customFormat="1" ht="15">
      <c r="A197" s="220"/>
      <c r="B197" s="267">
        <v>159</v>
      </c>
      <c r="C197" s="245"/>
      <c r="D197" s="246"/>
      <c r="E197" s="238"/>
      <c r="F197" s="225"/>
      <c r="G197" s="231"/>
      <c r="H197" s="377">
        <v>183</v>
      </c>
      <c r="I197" s="394"/>
      <c r="J197" s="394"/>
      <c r="K197" s="403"/>
      <c r="L197" s="403"/>
      <c r="M197" s="403"/>
      <c r="N197" s="441"/>
      <c r="O197" s="403"/>
      <c r="P197" s="403"/>
      <c r="Q197" s="403"/>
      <c r="R197" s="441"/>
      <c r="S197" s="433"/>
      <c r="T197" s="412" t="str" cm="1">
        <f t="array" aca="1" ref="T197" ca="1">IF(AND($U$12,B221&lt;=$C$17,C221&lt;&gt;""),TRANSPOSE(INDEX(getcds(C221,$C$6,G221/10000,F221,D221,$C$13,$C$14,$C$15,$C$8,,,TRUE,TRUE,FALSE,$C$29:$C$31,$C$33),{1;2;3;4;5})),"")</f>
        <v/>
      </c>
      <c r="U197" s="413"/>
      <c r="V197" s="413"/>
      <c r="W197" s="414"/>
      <c r="X197" s="415"/>
      <c r="Y197" s="416" t="str">
        <f t="shared" ca="1" si="14"/>
        <v/>
      </c>
      <c r="Z197" s="417" t="str">
        <f t="shared" ca="1" si="15"/>
        <v/>
      </c>
      <c r="AA197" s="416" t="str">
        <f t="shared" ca="1" si="16"/>
        <v/>
      </c>
      <c r="AB197" s="418" t="str">
        <f t="shared" ca="1" si="17"/>
        <v/>
      </c>
      <c r="AC197" s="417" t="str">
        <f t="shared" ca="1" si="18"/>
        <v/>
      </c>
      <c r="AD197" s="220"/>
    </row>
    <row r="198" spans="1:30" customFormat="1" ht="15">
      <c r="A198" s="220"/>
      <c r="B198" s="267">
        <v>160</v>
      </c>
      <c r="C198" s="245"/>
      <c r="D198" s="246"/>
      <c r="E198" s="238"/>
      <c r="F198" s="225"/>
      <c r="G198" s="231"/>
      <c r="H198" s="377">
        <v>184</v>
      </c>
      <c r="I198" s="394"/>
      <c r="J198" s="394"/>
      <c r="K198" s="403"/>
      <c r="L198" s="403"/>
      <c r="M198" s="403"/>
      <c r="N198" s="441"/>
      <c r="O198" s="403"/>
      <c r="P198" s="403"/>
      <c r="Q198" s="403"/>
      <c r="R198" s="441"/>
      <c r="S198" s="433"/>
      <c r="T198" s="412" t="str" cm="1">
        <f t="array" aca="1" ref="T198" ca="1">IF(AND($U$12,B222&lt;=$C$17,C222&lt;&gt;""),TRANSPOSE(INDEX(getcds(C222,$C$6,G222/10000,F222,D222,$C$13,$C$14,$C$15,$C$8,,,TRUE,TRUE,FALSE,$C$29:$C$31,$C$33),{1;2;3;4;5})),"")</f>
        <v/>
      </c>
      <c r="U198" s="413"/>
      <c r="V198" s="413"/>
      <c r="W198" s="414"/>
      <c r="X198" s="415"/>
      <c r="Y198" s="416" t="str">
        <f t="shared" ca="1" si="14"/>
        <v/>
      </c>
      <c r="Z198" s="417" t="str">
        <f t="shared" ca="1" si="15"/>
        <v/>
      </c>
      <c r="AA198" s="416" t="str">
        <f t="shared" ca="1" si="16"/>
        <v/>
      </c>
      <c r="AB198" s="418" t="str">
        <f t="shared" ca="1" si="17"/>
        <v/>
      </c>
      <c r="AC198" s="417" t="str">
        <f t="shared" ca="1" si="18"/>
        <v/>
      </c>
      <c r="AD198" s="220"/>
    </row>
    <row r="199" spans="1:30" customFormat="1" ht="15">
      <c r="A199" s="220"/>
      <c r="B199" s="267">
        <v>161</v>
      </c>
      <c r="C199" s="245"/>
      <c r="D199" s="246"/>
      <c r="E199" s="238"/>
      <c r="F199" s="225"/>
      <c r="G199" s="231"/>
      <c r="H199" s="377">
        <v>185</v>
      </c>
      <c r="I199" s="394"/>
      <c r="J199" s="394"/>
      <c r="K199" s="403"/>
      <c r="L199" s="403"/>
      <c r="M199" s="403"/>
      <c r="N199" s="441"/>
      <c r="O199" s="403"/>
      <c r="P199" s="403"/>
      <c r="Q199" s="403"/>
      <c r="R199" s="441"/>
      <c r="S199" s="433"/>
      <c r="T199" s="412" t="str" cm="1">
        <f t="array" aca="1" ref="T199" ca="1">IF(AND($U$12,B223&lt;=$C$17,C223&lt;&gt;""),TRANSPOSE(INDEX(getcds(C223,$C$6,G223/10000,F223,D223,$C$13,$C$14,$C$15,$C$8,,,TRUE,TRUE,FALSE,$C$29:$C$31,$C$33),{1;2;3;4;5})),"")</f>
        <v/>
      </c>
      <c r="U199" s="413"/>
      <c r="V199" s="413"/>
      <c r="W199" s="414"/>
      <c r="X199" s="415"/>
      <c r="Y199" s="416" t="str">
        <f t="shared" ca="1" si="14"/>
        <v/>
      </c>
      <c r="Z199" s="417" t="str">
        <f t="shared" ca="1" si="15"/>
        <v/>
      </c>
      <c r="AA199" s="416" t="str">
        <f t="shared" ca="1" si="16"/>
        <v/>
      </c>
      <c r="AB199" s="418" t="str">
        <f t="shared" ca="1" si="17"/>
        <v/>
      </c>
      <c r="AC199" s="417" t="str">
        <f t="shared" ca="1" si="18"/>
        <v/>
      </c>
      <c r="AD199" s="220"/>
    </row>
    <row r="200" spans="1:30" customFormat="1" ht="15">
      <c r="A200" s="220"/>
      <c r="B200" s="267">
        <v>162</v>
      </c>
      <c r="C200" s="245"/>
      <c r="D200" s="246"/>
      <c r="E200" s="238"/>
      <c r="F200" s="225"/>
      <c r="G200" s="231"/>
      <c r="H200" s="377">
        <v>186</v>
      </c>
      <c r="I200" s="394"/>
      <c r="J200" s="394"/>
      <c r="K200" s="403"/>
      <c r="L200" s="403"/>
      <c r="M200" s="403"/>
      <c r="N200" s="441"/>
      <c r="O200" s="403"/>
      <c r="P200" s="403"/>
      <c r="Q200" s="403"/>
      <c r="R200" s="441"/>
      <c r="S200" s="433"/>
      <c r="T200" s="412" t="str" cm="1">
        <f t="array" aca="1" ref="T200" ca="1">IF(AND($U$12,B224&lt;=$C$17,C224&lt;&gt;""),TRANSPOSE(INDEX(getcds(C224,$C$6,G224/10000,F224,D224,$C$13,$C$14,$C$15,$C$8,,,TRUE,TRUE,FALSE,$C$29:$C$31,$C$33),{1;2;3;4;5})),"")</f>
        <v/>
      </c>
      <c r="U200" s="413"/>
      <c r="V200" s="413"/>
      <c r="W200" s="414"/>
      <c r="X200" s="415"/>
      <c r="Y200" s="416" t="str">
        <f t="shared" ca="1" si="14"/>
        <v/>
      </c>
      <c r="Z200" s="417" t="str">
        <f t="shared" ca="1" si="15"/>
        <v/>
      </c>
      <c r="AA200" s="416" t="str">
        <f t="shared" ca="1" si="16"/>
        <v/>
      </c>
      <c r="AB200" s="418" t="str">
        <f t="shared" ca="1" si="17"/>
        <v/>
      </c>
      <c r="AC200" s="417" t="str">
        <f t="shared" ca="1" si="18"/>
        <v/>
      </c>
      <c r="AD200" s="220"/>
    </row>
    <row r="201" spans="1:30" customFormat="1" ht="15">
      <c r="A201" s="220"/>
      <c r="B201" s="267">
        <v>163</v>
      </c>
      <c r="C201" s="245"/>
      <c r="D201" s="246"/>
      <c r="E201" s="238"/>
      <c r="F201" s="225"/>
      <c r="G201" s="231"/>
      <c r="H201" s="377">
        <v>187</v>
      </c>
      <c r="I201" s="394"/>
      <c r="J201" s="394"/>
      <c r="K201" s="403"/>
      <c r="L201" s="403"/>
      <c r="M201" s="403"/>
      <c r="N201" s="441"/>
      <c r="O201" s="403"/>
      <c r="P201" s="403"/>
      <c r="Q201" s="403"/>
      <c r="R201" s="441"/>
      <c r="S201" s="433"/>
      <c r="T201" s="412" t="str" cm="1">
        <f t="array" aca="1" ref="T201" ca="1">IF(AND($U$12,B225&lt;=$C$17,C225&lt;&gt;""),TRANSPOSE(INDEX(getcds(C225,$C$6,G225/10000,F225,D225,$C$13,$C$14,$C$15,$C$8,,,TRUE,TRUE,FALSE,$C$29:$C$31,$C$33),{1;2;3;4;5})),"")</f>
        <v/>
      </c>
      <c r="U201" s="413"/>
      <c r="V201" s="413"/>
      <c r="W201" s="414"/>
      <c r="X201" s="415"/>
      <c r="Y201" s="416" t="str">
        <f t="shared" ca="1" si="14"/>
        <v/>
      </c>
      <c r="Z201" s="417" t="str">
        <f t="shared" ca="1" si="15"/>
        <v/>
      </c>
      <c r="AA201" s="416" t="str">
        <f t="shared" ca="1" si="16"/>
        <v/>
      </c>
      <c r="AB201" s="418" t="str">
        <f t="shared" ca="1" si="17"/>
        <v/>
      </c>
      <c r="AC201" s="417" t="str">
        <f t="shared" ca="1" si="18"/>
        <v/>
      </c>
      <c r="AD201" s="220"/>
    </row>
    <row r="202" spans="1:30" customFormat="1" ht="15">
      <c r="A202" s="220"/>
      <c r="B202" s="267">
        <v>164</v>
      </c>
      <c r="C202" s="245"/>
      <c r="D202" s="246"/>
      <c r="E202" s="238"/>
      <c r="F202" s="225"/>
      <c r="G202" s="231"/>
      <c r="H202" s="377">
        <v>188</v>
      </c>
      <c r="I202" s="394"/>
      <c r="J202" s="394"/>
      <c r="K202" s="403"/>
      <c r="L202" s="403"/>
      <c r="M202" s="403"/>
      <c r="N202" s="441"/>
      <c r="O202" s="403"/>
      <c r="P202" s="403"/>
      <c r="Q202" s="403"/>
      <c r="R202" s="441"/>
      <c r="S202" s="433"/>
      <c r="T202" s="412" t="str" cm="1">
        <f t="array" aca="1" ref="T202" ca="1">IF(AND($U$12,B226&lt;=$C$17,C226&lt;&gt;""),TRANSPOSE(INDEX(getcds(C226,$C$6,G226/10000,F226,D226,$C$13,$C$14,$C$15,$C$8,,,TRUE,TRUE,FALSE,$C$29:$C$31,$C$33),{1;2;3;4;5})),"")</f>
        <v/>
      </c>
      <c r="U202" s="413"/>
      <c r="V202" s="413"/>
      <c r="W202" s="414"/>
      <c r="X202" s="415"/>
      <c r="Y202" s="416" t="str">
        <f t="shared" ca="1" si="14"/>
        <v/>
      </c>
      <c r="Z202" s="417" t="str">
        <f t="shared" ca="1" si="15"/>
        <v/>
      </c>
      <c r="AA202" s="416" t="str">
        <f t="shared" ca="1" si="16"/>
        <v/>
      </c>
      <c r="AB202" s="418" t="str">
        <f t="shared" ca="1" si="17"/>
        <v/>
      </c>
      <c r="AC202" s="417" t="str">
        <f t="shared" ca="1" si="18"/>
        <v/>
      </c>
      <c r="AD202" s="220"/>
    </row>
    <row r="203" spans="1:30" customFormat="1" ht="15">
      <c r="A203" s="220"/>
      <c r="B203" s="267">
        <v>165</v>
      </c>
      <c r="C203" s="245"/>
      <c r="D203" s="246"/>
      <c r="E203" s="238"/>
      <c r="F203" s="225"/>
      <c r="G203" s="231"/>
      <c r="H203" s="377">
        <v>189</v>
      </c>
      <c r="I203" s="394"/>
      <c r="J203" s="394"/>
      <c r="K203" s="403"/>
      <c r="L203" s="403"/>
      <c r="M203" s="403"/>
      <c r="N203" s="441"/>
      <c r="O203" s="403"/>
      <c r="P203" s="403"/>
      <c r="Q203" s="403"/>
      <c r="R203" s="441"/>
      <c r="S203" s="433"/>
      <c r="T203" s="412" t="str" cm="1">
        <f t="array" aca="1" ref="T203" ca="1">IF(AND($U$12,B227&lt;=$C$17,C227&lt;&gt;""),TRANSPOSE(INDEX(getcds(C227,$C$6,G227/10000,F227,D227,$C$13,$C$14,$C$15,$C$8,,,TRUE,TRUE,FALSE,$C$29:$C$31,$C$33),{1;2;3;4;5})),"")</f>
        <v/>
      </c>
      <c r="U203" s="413"/>
      <c r="V203" s="413"/>
      <c r="W203" s="414"/>
      <c r="X203" s="415"/>
      <c r="Y203" s="416" t="str">
        <f t="shared" ca="1" si="14"/>
        <v/>
      </c>
      <c r="Z203" s="417" t="str">
        <f t="shared" ca="1" si="15"/>
        <v/>
      </c>
      <c r="AA203" s="416" t="str">
        <f t="shared" ca="1" si="16"/>
        <v/>
      </c>
      <c r="AB203" s="418" t="str">
        <f t="shared" ca="1" si="17"/>
        <v/>
      </c>
      <c r="AC203" s="417" t="str">
        <f t="shared" ca="1" si="18"/>
        <v/>
      </c>
      <c r="AD203" s="220"/>
    </row>
    <row r="204" spans="1:30" customFormat="1" ht="15">
      <c r="A204" s="220"/>
      <c r="B204" s="267">
        <v>166</v>
      </c>
      <c r="C204" s="245"/>
      <c r="D204" s="246"/>
      <c r="E204" s="238"/>
      <c r="F204" s="225"/>
      <c r="G204" s="231"/>
      <c r="H204" s="377">
        <v>190</v>
      </c>
      <c r="I204" s="394"/>
      <c r="J204" s="394"/>
      <c r="K204" s="403"/>
      <c r="L204" s="403"/>
      <c r="M204" s="403"/>
      <c r="N204" s="441"/>
      <c r="O204" s="403"/>
      <c r="P204" s="403"/>
      <c r="Q204" s="403"/>
      <c r="R204" s="441"/>
      <c r="S204" s="433"/>
      <c r="T204" s="412" t="str" cm="1">
        <f t="array" aca="1" ref="T204" ca="1">IF(AND($U$12,B228&lt;=$C$17,C228&lt;&gt;""),TRANSPOSE(INDEX(getcds(C228,$C$6,G228/10000,F228,D228,$C$13,$C$14,$C$15,$C$8,,,TRUE,TRUE,FALSE,$C$29:$C$31,$C$33),{1;2;3;4;5})),"")</f>
        <v/>
      </c>
      <c r="U204" s="413"/>
      <c r="V204" s="413"/>
      <c r="W204" s="414"/>
      <c r="X204" s="415"/>
      <c r="Y204" s="416" t="str">
        <f t="shared" ca="1" si="14"/>
        <v/>
      </c>
      <c r="Z204" s="417" t="str">
        <f t="shared" ca="1" si="15"/>
        <v/>
      </c>
      <c r="AA204" s="416" t="str">
        <f t="shared" ca="1" si="16"/>
        <v/>
      </c>
      <c r="AB204" s="418" t="str">
        <f t="shared" ca="1" si="17"/>
        <v/>
      </c>
      <c r="AC204" s="417" t="str">
        <f t="shared" ca="1" si="18"/>
        <v/>
      </c>
      <c r="AD204" s="220"/>
    </row>
    <row r="205" spans="1:30" customFormat="1" ht="15">
      <c r="A205" s="220"/>
      <c r="B205" s="267">
        <v>167</v>
      </c>
      <c r="C205" s="245"/>
      <c r="D205" s="246"/>
      <c r="E205" s="238"/>
      <c r="F205" s="225"/>
      <c r="G205" s="231"/>
      <c r="H205" s="377">
        <v>191</v>
      </c>
      <c r="I205" s="394"/>
      <c r="J205" s="394"/>
      <c r="K205" s="403"/>
      <c r="L205" s="403"/>
      <c r="M205" s="403"/>
      <c r="N205" s="441"/>
      <c r="O205" s="403"/>
      <c r="P205" s="403"/>
      <c r="Q205" s="403"/>
      <c r="R205" s="441"/>
      <c r="S205" s="433"/>
      <c r="T205" s="412" t="str" cm="1">
        <f t="array" aca="1" ref="T205" ca="1">IF(AND($U$12,B229&lt;=$C$17,C229&lt;&gt;""),TRANSPOSE(INDEX(getcds(C229,$C$6,G229/10000,F229,D229,$C$13,$C$14,$C$15,$C$8,,,TRUE,TRUE,FALSE,$C$29:$C$31,$C$33),{1;2;3;4;5})),"")</f>
        <v/>
      </c>
      <c r="U205" s="413"/>
      <c r="V205" s="413"/>
      <c r="W205" s="414"/>
      <c r="X205" s="415"/>
      <c r="Y205" s="416" t="str">
        <f t="shared" ca="1" si="14"/>
        <v/>
      </c>
      <c r="Z205" s="417" t="str">
        <f t="shared" ca="1" si="15"/>
        <v/>
      </c>
      <c r="AA205" s="416" t="str">
        <f t="shared" ca="1" si="16"/>
        <v/>
      </c>
      <c r="AB205" s="418" t="str">
        <f t="shared" ca="1" si="17"/>
        <v/>
      </c>
      <c r="AC205" s="417" t="str">
        <f t="shared" ca="1" si="18"/>
        <v/>
      </c>
      <c r="AD205" s="220"/>
    </row>
    <row r="206" spans="1:30" customFormat="1" ht="15">
      <c r="A206" s="220"/>
      <c r="B206" s="267">
        <v>168</v>
      </c>
      <c r="C206" s="245"/>
      <c r="D206" s="246"/>
      <c r="E206" s="238"/>
      <c r="F206" s="225"/>
      <c r="G206" s="231"/>
      <c r="H206" s="377">
        <v>192</v>
      </c>
      <c r="I206" s="394"/>
      <c r="J206" s="394"/>
      <c r="K206" s="403"/>
      <c r="L206" s="403"/>
      <c r="M206" s="403"/>
      <c r="N206" s="441"/>
      <c r="O206" s="403"/>
      <c r="P206" s="403"/>
      <c r="Q206" s="403"/>
      <c r="R206" s="441"/>
      <c r="S206" s="433"/>
      <c r="T206" s="412" t="str" cm="1">
        <f t="array" aca="1" ref="T206" ca="1">IF(AND($U$12,B230&lt;=$C$17,C230&lt;&gt;""),TRANSPOSE(INDEX(getcds(C230,$C$6,G230/10000,F230,D230,$C$13,$C$14,$C$15,$C$8,,,TRUE,TRUE,FALSE,$C$29:$C$31,$C$33),{1;2;3;4;5})),"")</f>
        <v/>
      </c>
      <c r="U206" s="413"/>
      <c r="V206" s="413"/>
      <c r="W206" s="414"/>
      <c r="X206" s="415"/>
      <c r="Y206" s="416" t="str">
        <f t="shared" ca="1" si="14"/>
        <v/>
      </c>
      <c r="Z206" s="417" t="str">
        <f t="shared" ca="1" si="15"/>
        <v/>
      </c>
      <c r="AA206" s="416" t="str">
        <f t="shared" ca="1" si="16"/>
        <v/>
      </c>
      <c r="AB206" s="418" t="str">
        <f t="shared" ca="1" si="17"/>
        <v/>
      </c>
      <c r="AC206" s="417" t="str">
        <f t="shared" ca="1" si="18"/>
        <v/>
      </c>
      <c r="AD206" s="220"/>
    </row>
    <row r="207" spans="1:30" customFormat="1" ht="15">
      <c r="A207" s="220"/>
      <c r="B207" s="267">
        <v>169</v>
      </c>
      <c r="C207" s="245"/>
      <c r="D207" s="246"/>
      <c r="E207" s="238"/>
      <c r="F207" s="225"/>
      <c r="G207" s="231"/>
      <c r="H207" s="377">
        <v>193</v>
      </c>
      <c r="I207" s="394"/>
      <c r="J207" s="394"/>
      <c r="K207" s="403"/>
      <c r="L207" s="403"/>
      <c r="M207" s="403"/>
      <c r="N207" s="441"/>
      <c r="O207" s="403"/>
      <c r="P207" s="403"/>
      <c r="Q207" s="403"/>
      <c r="R207" s="441"/>
      <c r="S207" s="433"/>
      <c r="T207" s="412" t="str" cm="1">
        <f t="array" aca="1" ref="T207" ca="1">IF(AND($U$12,B231&lt;=$C$17,C231&lt;&gt;""),TRANSPOSE(INDEX(getcds(C231,$C$6,G231/10000,F231,D231,$C$13,$C$14,$C$15,$C$8,,,TRUE,TRUE,FALSE,$C$29:$C$31,$C$33),{1;2;3;4;5})),"")</f>
        <v/>
      </c>
      <c r="U207" s="413"/>
      <c r="V207" s="413"/>
      <c r="W207" s="414"/>
      <c r="X207" s="415"/>
      <c r="Y207" s="416" t="str">
        <f t="shared" ca="1" si="14"/>
        <v/>
      </c>
      <c r="Z207" s="417" t="str">
        <f t="shared" ca="1" si="15"/>
        <v/>
      </c>
      <c r="AA207" s="416" t="str">
        <f t="shared" ca="1" si="16"/>
        <v/>
      </c>
      <c r="AB207" s="418" t="str">
        <f t="shared" ca="1" si="17"/>
        <v/>
      </c>
      <c r="AC207" s="417" t="str">
        <f t="shared" ca="1" si="18"/>
        <v/>
      </c>
      <c r="AD207" s="220"/>
    </row>
    <row r="208" spans="1:30" customFormat="1" ht="15">
      <c r="A208" s="220"/>
      <c r="B208" s="267">
        <v>170</v>
      </c>
      <c r="C208" s="245"/>
      <c r="D208" s="246"/>
      <c r="E208" s="238"/>
      <c r="F208" s="225"/>
      <c r="G208" s="231"/>
      <c r="H208" s="377">
        <v>194</v>
      </c>
      <c r="I208" s="394"/>
      <c r="J208" s="394"/>
      <c r="K208" s="403"/>
      <c r="L208" s="403"/>
      <c r="M208" s="403"/>
      <c r="N208" s="441"/>
      <c r="O208" s="403"/>
      <c r="P208" s="403"/>
      <c r="Q208" s="403"/>
      <c r="R208" s="441"/>
      <c r="S208" s="433"/>
      <c r="T208" s="412" t="str" cm="1">
        <f t="array" aca="1" ref="T208" ca="1">IF(AND($U$12,B232&lt;=$C$17,C232&lt;&gt;""),TRANSPOSE(INDEX(getcds(C232,$C$6,G232/10000,F232,D232,$C$13,$C$14,$C$15,$C$8,,,TRUE,TRUE,FALSE,$C$29:$C$31,$C$33),{1;2;3;4;5})),"")</f>
        <v/>
      </c>
      <c r="U208" s="413"/>
      <c r="V208" s="413"/>
      <c r="W208" s="414"/>
      <c r="X208" s="415"/>
      <c r="Y208" s="416" t="str">
        <f t="shared" ref="Y208:Y271" ca="1" si="19">IF($U$12,IF(T208="","",$U$13*D232/$C$18),"")</f>
        <v/>
      </c>
      <c r="Z208" s="417" t="str">
        <f t="shared" ref="Z208:Z271" ca="1" si="20">IF($U$12,IF(Y208="","",Y208*($Z$10-W208)*X208),"")</f>
        <v/>
      </c>
      <c r="AA208" s="416" t="str">
        <f t="shared" ref="AA208:AA271" ca="1" si="21">IF($U$12,IF(OR(T208="",L208=""),"",L208/($C$20-$C$19)),"")</f>
        <v/>
      </c>
      <c r="AB208" s="418" t="str">
        <f t="shared" ref="AB208:AB271" ca="1" si="22">IF($U$12,IF(W208="","",W208*$AC$10),"")</f>
        <v/>
      </c>
      <c r="AC208" s="417" t="str">
        <f t="shared" ref="AC208:AC271" ca="1" si="23">IF($U$12,IF(AA208="","",AA208*(AB208-W208)*X208),"")</f>
        <v/>
      </c>
      <c r="AD208" s="220"/>
    </row>
    <row r="209" spans="1:30" customFormat="1" ht="15">
      <c r="A209" s="220"/>
      <c r="B209" s="267">
        <v>171</v>
      </c>
      <c r="C209" s="245"/>
      <c r="D209" s="246"/>
      <c r="E209" s="238"/>
      <c r="F209" s="225"/>
      <c r="G209" s="231"/>
      <c r="H209" s="377">
        <v>195</v>
      </c>
      <c r="I209" s="394"/>
      <c r="J209" s="394"/>
      <c r="K209" s="403"/>
      <c r="L209" s="403"/>
      <c r="M209" s="403"/>
      <c r="N209" s="441"/>
      <c r="O209" s="403"/>
      <c r="P209" s="403"/>
      <c r="Q209" s="403"/>
      <c r="R209" s="441"/>
      <c r="S209" s="433"/>
      <c r="T209" s="412" t="str" cm="1">
        <f t="array" aca="1" ref="T209" ca="1">IF(AND($U$12,B233&lt;=$C$17,C233&lt;&gt;""),TRANSPOSE(INDEX(getcds(C233,$C$6,G233/10000,F233,D233,$C$13,$C$14,$C$15,$C$8,,,TRUE,TRUE,FALSE,$C$29:$C$31,$C$33),{1;2;3;4;5})),"")</f>
        <v/>
      </c>
      <c r="U209" s="413"/>
      <c r="V209" s="413"/>
      <c r="W209" s="414"/>
      <c r="X209" s="415"/>
      <c r="Y209" s="416" t="str">
        <f t="shared" ca="1" si="19"/>
        <v/>
      </c>
      <c r="Z209" s="417" t="str">
        <f t="shared" ca="1" si="20"/>
        <v/>
      </c>
      <c r="AA209" s="416" t="str">
        <f t="shared" ca="1" si="21"/>
        <v/>
      </c>
      <c r="AB209" s="418" t="str">
        <f t="shared" ca="1" si="22"/>
        <v/>
      </c>
      <c r="AC209" s="417" t="str">
        <f t="shared" ca="1" si="23"/>
        <v/>
      </c>
      <c r="AD209" s="220"/>
    </row>
    <row r="210" spans="1:30" customFormat="1" ht="15">
      <c r="A210" s="220"/>
      <c r="B210" s="267">
        <v>172</v>
      </c>
      <c r="C210" s="245"/>
      <c r="D210" s="246"/>
      <c r="E210" s="238"/>
      <c r="F210" s="225"/>
      <c r="G210" s="231"/>
      <c r="H210" s="377">
        <v>196</v>
      </c>
      <c r="I210" s="394"/>
      <c r="J210" s="394"/>
      <c r="K210" s="403"/>
      <c r="L210" s="403"/>
      <c r="M210" s="403"/>
      <c r="N210" s="441"/>
      <c r="O210" s="403"/>
      <c r="P210" s="403"/>
      <c r="Q210" s="403"/>
      <c r="R210" s="441"/>
      <c r="S210" s="433"/>
      <c r="T210" s="412" t="str" cm="1">
        <f t="array" aca="1" ref="T210" ca="1">IF(AND($U$12,B234&lt;=$C$17,C234&lt;&gt;""),TRANSPOSE(INDEX(getcds(C234,$C$6,G234/10000,F234,D234,$C$13,$C$14,$C$15,$C$8,,,TRUE,TRUE,FALSE,$C$29:$C$31,$C$33),{1;2;3;4;5})),"")</f>
        <v/>
      </c>
      <c r="U210" s="413"/>
      <c r="V210" s="413"/>
      <c r="W210" s="414"/>
      <c r="X210" s="415"/>
      <c r="Y210" s="416" t="str">
        <f t="shared" ca="1" si="19"/>
        <v/>
      </c>
      <c r="Z210" s="417" t="str">
        <f t="shared" ca="1" si="20"/>
        <v/>
      </c>
      <c r="AA210" s="416" t="str">
        <f t="shared" ca="1" si="21"/>
        <v/>
      </c>
      <c r="AB210" s="418" t="str">
        <f t="shared" ca="1" si="22"/>
        <v/>
      </c>
      <c r="AC210" s="417" t="str">
        <f t="shared" ca="1" si="23"/>
        <v/>
      </c>
      <c r="AD210" s="220"/>
    </row>
    <row r="211" spans="1:30" customFormat="1" ht="15">
      <c r="A211" s="220"/>
      <c r="B211" s="267">
        <v>173</v>
      </c>
      <c r="C211" s="245"/>
      <c r="D211" s="246"/>
      <c r="E211" s="238"/>
      <c r="F211" s="225"/>
      <c r="G211" s="231"/>
      <c r="H211" s="377">
        <v>197</v>
      </c>
      <c r="I211" s="394"/>
      <c r="J211" s="394"/>
      <c r="K211" s="403"/>
      <c r="L211" s="403"/>
      <c r="M211" s="403"/>
      <c r="N211" s="441"/>
      <c r="O211" s="403"/>
      <c r="P211" s="403"/>
      <c r="Q211" s="403"/>
      <c r="R211" s="441"/>
      <c r="S211" s="433"/>
      <c r="T211" s="412" t="str" cm="1">
        <f t="array" aca="1" ref="T211" ca="1">IF(AND($U$12,B235&lt;=$C$17,C235&lt;&gt;""),TRANSPOSE(INDEX(getcds(C235,$C$6,G235/10000,F235,D235,$C$13,$C$14,$C$15,$C$8,,,TRUE,TRUE,FALSE,$C$29:$C$31,$C$33),{1;2;3;4;5})),"")</f>
        <v/>
      </c>
      <c r="U211" s="413"/>
      <c r="V211" s="413"/>
      <c r="W211" s="414"/>
      <c r="X211" s="415"/>
      <c r="Y211" s="416" t="str">
        <f t="shared" ca="1" si="19"/>
        <v/>
      </c>
      <c r="Z211" s="417" t="str">
        <f t="shared" ca="1" si="20"/>
        <v/>
      </c>
      <c r="AA211" s="416" t="str">
        <f t="shared" ca="1" si="21"/>
        <v/>
      </c>
      <c r="AB211" s="418" t="str">
        <f t="shared" ca="1" si="22"/>
        <v/>
      </c>
      <c r="AC211" s="417" t="str">
        <f t="shared" ca="1" si="23"/>
        <v/>
      </c>
      <c r="AD211" s="220"/>
    </row>
    <row r="212" spans="1:30" customFormat="1" ht="15">
      <c r="A212" s="220"/>
      <c r="B212" s="267">
        <v>174</v>
      </c>
      <c r="C212" s="245"/>
      <c r="D212" s="246"/>
      <c r="E212" s="238"/>
      <c r="F212" s="225"/>
      <c r="G212" s="231"/>
      <c r="H212" s="377">
        <v>198</v>
      </c>
      <c r="I212" s="394"/>
      <c r="J212" s="394"/>
      <c r="K212" s="403"/>
      <c r="L212" s="403"/>
      <c r="M212" s="403"/>
      <c r="N212" s="441"/>
      <c r="O212" s="403"/>
      <c r="P212" s="403"/>
      <c r="Q212" s="403"/>
      <c r="R212" s="441"/>
      <c r="S212" s="433"/>
      <c r="T212" s="412" t="str" cm="1">
        <f t="array" aca="1" ref="T212" ca="1">IF(AND($U$12,B236&lt;=$C$17,C236&lt;&gt;""),TRANSPOSE(INDEX(getcds(C236,$C$6,G236/10000,F236,D236,$C$13,$C$14,$C$15,$C$8,,,TRUE,TRUE,FALSE,$C$29:$C$31,$C$33),{1;2;3;4;5})),"")</f>
        <v/>
      </c>
      <c r="U212" s="413"/>
      <c r="V212" s="413"/>
      <c r="W212" s="414"/>
      <c r="X212" s="415"/>
      <c r="Y212" s="416" t="str">
        <f t="shared" ca="1" si="19"/>
        <v/>
      </c>
      <c r="Z212" s="417" t="str">
        <f t="shared" ca="1" si="20"/>
        <v/>
      </c>
      <c r="AA212" s="416" t="str">
        <f t="shared" ca="1" si="21"/>
        <v/>
      </c>
      <c r="AB212" s="418" t="str">
        <f t="shared" ca="1" si="22"/>
        <v/>
      </c>
      <c r="AC212" s="417" t="str">
        <f t="shared" ca="1" si="23"/>
        <v/>
      </c>
      <c r="AD212" s="220"/>
    </row>
    <row r="213" spans="1:30" customFormat="1" ht="15">
      <c r="A213" s="220"/>
      <c r="B213" s="267">
        <v>175</v>
      </c>
      <c r="C213" s="245"/>
      <c r="D213" s="246"/>
      <c r="E213" s="238"/>
      <c r="F213" s="225"/>
      <c r="G213" s="231"/>
      <c r="H213" s="377">
        <v>199</v>
      </c>
      <c r="I213" s="394"/>
      <c r="J213" s="394"/>
      <c r="K213" s="403"/>
      <c r="L213" s="403"/>
      <c r="M213" s="403"/>
      <c r="N213" s="441"/>
      <c r="O213" s="403"/>
      <c r="P213" s="403"/>
      <c r="Q213" s="403"/>
      <c r="R213" s="441"/>
      <c r="S213" s="433"/>
      <c r="T213" s="412" t="str" cm="1">
        <f t="array" aca="1" ref="T213" ca="1">IF(AND($U$12,B237&lt;=$C$17,C237&lt;&gt;""),TRANSPOSE(INDEX(getcds(C237,$C$6,G237/10000,F237,D237,$C$13,$C$14,$C$15,$C$8,,,TRUE,TRUE,FALSE,$C$29:$C$31,$C$33),{1;2;3;4;5})),"")</f>
        <v/>
      </c>
      <c r="U213" s="413"/>
      <c r="V213" s="413"/>
      <c r="W213" s="414"/>
      <c r="X213" s="415"/>
      <c r="Y213" s="416" t="str">
        <f t="shared" ca="1" si="19"/>
        <v/>
      </c>
      <c r="Z213" s="417" t="str">
        <f t="shared" ca="1" si="20"/>
        <v/>
      </c>
      <c r="AA213" s="416" t="str">
        <f t="shared" ca="1" si="21"/>
        <v/>
      </c>
      <c r="AB213" s="418" t="str">
        <f t="shared" ca="1" si="22"/>
        <v/>
      </c>
      <c r="AC213" s="417" t="str">
        <f t="shared" ca="1" si="23"/>
        <v/>
      </c>
      <c r="AD213" s="220"/>
    </row>
    <row r="214" spans="1:30" customFormat="1" ht="15">
      <c r="A214" s="220"/>
      <c r="B214" s="267">
        <v>176</v>
      </c>
      <c r="C214" s="245"/>
      <c r="D214" s="246"/>
      <c r="E214" s="238"/>
      <c r="F214" s="225"/>
      <c r="G214" s="231"/>
      <c r="H214" s="377">
        <v>200</v>
      </c>
      <c r="I214" s="394"/>
      <c r="J214" s="394"/>
      <c r="K214" s="403"/>
      <c r="L214" s="403"/>
      <c r="M214" s="403"/>
      <c r="N214" s="441"/>
      <c r="O214" s="403"/>
      <c r="P214" s="403"/>
      <c r="Q214" s="403"/>
      <c r="R214" s="441"/>
      <c r="S214" s="433"/>
      <c r="T214" s="412" t="str" cm="1">
        <f t="array" aca="1" ref="T214" ca="1">IF(AND($U$12,B238&lt;=$C$17,C238&lt;&gt;""),TRANSPOSE(INDEX(getcds(C238,$C$6,G238/10000,F238,D238,$C$13,$C$14,$C$15,$C$8,,,TRUE,TRUE,FALSE,$C$29:$C$31,$C$33),{1;2;3;4;5})),"")</f>
        <v/>
      </c>
      <c r="U214" s="413"/>
      <c r="V214" s="413"/>
      <c r="W214" s="414"/>
      <c r="X214" s="415"/>
      <c r="Y214" s="416" t="str">
        <f t="shared" ca="1" si="19"/>
        <v/>
      </c>
      <c r="Z214" s="417" t="str">
        <f t="shared" ca="1" si="20"/>
        <v/>
      </c>
      <c r="AA214" s="416" t="str">
        <f t="shared" ca="1" si="21"/>
        <v/>
      </c>
      <c r="AB214" s="418" t="str">
        <f t="shared" ca="1" si="22"/>
        <v/>
      </c>
      <c r="AC214" s="417" t="str">
        <f t="shared" ca="1" si="23"/>
        <v/>
      </c>
      <c r="AD214" s="220"/>
    </row>
    <row r="215" spans="1:30" customFormat="1" ht="15">
      <c r="A215" s="220"/>
      <c r="B215" s="267">
        <v>177</v>
      </c>
      <c r="C215" s="245"/>
      <c r="D215" s="246"/>
      <c r="E215" s="238"/>
      <c r="F215" s="225"/>
      <c r="G215" s="231"/>
      <c r="H215" s="377">
        <v>201</v>
      </c>
      <c r="I215" s="394"/>
      <c r="J215" s="394"/>
      <c r="K215" s="403"/>
      <c r="L215" s="403"/>
      <c r="M215" s="403"/>
      <c r="N215" s="441"/>
      <c r="O215" s="403"/>
      <c r="P215" s="403"/>
      <c r="Q215" s="403"/>
      <c r="R215" s="441"/>
      <c r="S215" s="433"/>
      <c r="T215" s="412" t="str" cm="1">
        <f t="array" aca="1" ref="T215" ca="1">IF(AND($U$12,B239&lt;=$C$17,C239&lt;&gt;""),TRANSPOSE(INDEX(getcds(C239,$C$6,G239/10000,F239,D239,$C$13,$C$14,$C$15,$C$8,,,TRUE,TRUE,FALSE,$C$29:$C$31,$C$33),{1;2;3;4;5})),"")</f>
        <v/>
      </c>
      <c r="U215" s="413"/>
      <c r="V215" s="413"/>
      <c r="W215" s="414"/>
      <c r="X215" s="415"/>
      <c r="Y215" s="416" t="str">
        <f t="shared" ca="1" si="19"/>
        <v/>
      </c>
      <c r="Z215" s="417" t="str">
        <f t="shared" ca="1" si="20"/>
        <v/>
      </c>
      <c r="AA215" s="416" t="str">
        <f t="shared" ca="1" si="21"/>
        <v/>
      </c>
      <c r="AB215" s="418" t="str">
        <f t="shared" ca="1" si="22"/>
        <v/>
      </c>
      <c r="AC215" s="417" t="str">
        <f t="shared" ca="1" si="23"/>
        <v/>
      </c>
      <c r="AD215" s="220"/>
    </row>
    <row r="216" spans="1:30" customFormat="1" ht="15">
      <c r="A216" s="220"/>
      <c r="B216" s="267">
        <v>178</v>
      </c>
      <c r="C216" s="245"/>
      <c r="D216" s="246"/>
      <c r="E216" s="238"/>
      <c r="F216" s="225"/>
      <c r="G216" s="231"/>
      <c r="H216" s="377">
        <v>202</v>
      </c>
      <c r="I216" s="394"/>
      <c r="J216" s="394"/>
      <c r="K216" s="403"/>
      <c r="L216" s="403"/>
      <c r="M216" s="403"/>
      <c r="N216" s="441"/>
      <c r="O216" s="403"/>
      <c r="P216" s="403"/>
      <c r="Q216" s="403"/>
      <c r="R216" s="441"/>
      <c r="S216" s="433"/>
      <c r="T216" s="412" t="str" cm="1">
        <f t="array" aca="1" ref="T216" ca="1">IF(AND($U$12,B240&lt;=$C$17,C240&lt;&gt;""),TRANSPOSE(INDEX(getcds(C240,$C$6,G240/10000,F240,D240,$C$13,$C$14,$C$15,$C$8,,,TRUE,TRUE,FALSE,$C$29:$C$31,$C$33),{1;2;3;4;5})),"")</f>
        <v/>
      </c>
      <c r="U216" s="413"/>
      <c r="V216" s="413"/>
      <c r="W216" s="414"/>
      <c r="X216" s="415"/>
      <c r="Y216" s="416" t="str">
        <f t="shared" ca="1" si="19"/>
        <v/>
      </c>
      <c r="Z216" s="417" t="str">
        <f t="shared" ca="1" si="20"/>
        <v/>
      </c>
      <c r="AA216" s="416" t="str">
        <f t="shared" ca="1" si="21"/>
        <v/>
      </c>
      <c r="AB216" s="418" t="str">
        <f t="shared" ca="1" si="22"/>
        <v/>
      </c>
      <c r="AC216" s="417" t="str">
        <f t="shared" ca="1" si="23"/>
        <v/>
      </c>
      <c r="AD216" s="220"/>
    </row>
    <row r="217" spans="1:30" customFormat="1" ht="15">
      <c r="A217" s="220"/>
      <c r="B217" s="267">
        <v>179</v>
      </c>
      <c r="C217" s="245"/>
      <c r="D217" s="246"/>
      <c r="E217" s="238"/>
      <c r="F217" s="225"/>
      <c r="G217" s="231"/>
      <c r="H217" s="377">
        <v>203</v>
      </c>
      <c r="I217" s="394"/>
      <c r="J217" s="394"/>
      <c r="K217" s="403"/>
      <c r="L217" s="403"/>
      <c r="M217" s="403"/>
      <c r="N217" s="441"/>
      <c r="O217" s="403"/>
      <c r="P217" s="403"/>
      <c r="Q217" s="403"/>
      <c r="R217" s="441"/>
      <c r="S217" s="433"/>
      <c r="T217" s="412" t="str" cm="1">
        <f t="array" aca="1" ref="T217" ca="1">IF(AND($U$12,B241&lt;=$C$17,C241&lt;&gt;""),TRANSPOSE(INDEX(getcds(C241,$C$6,G241/10000,F241,D241,$C$13,$C$14,$C$15,$C$8,,,TRUE,TRUE,FALSE,$C$29:$C$31,$C$33),{1;2;3;4;5})),"")</f>
        <v/>
      </c>
      <c r="U217" s="413"/>
      <c r="V217" s="413"/>
      <c r="W217" s="414"/>
      <c r="X217" s="415"/>
      <c r="Y217" s="416" t="str">
        <f t="shared" ca="1" si="19"/>
        <v/>
      </c>
      <c r="Z217" s="417" t="str">
        <f t="shared" ca="1" si="20"/>
        <v/>
      </c>
      <c r="AA217" s="416" t="str">
        <f t="shared" ca="1" si="21"/>
        <v/>
      </c>
      <c r="AB217" s="418" t="str">
        <f t="shared" ca="1" si="22"/>
        <v/>
      </c>
      <c r="AC217" s="417" t="str">
        <f t="shared" ca="1" si="23"/>
        <v/>
      </c>
      <c r="AD217" s="220"/>
    </row>
    <row r="218" spans="1:30" customFormat="1" ht="15">
      <c r="A218" s="220"/>
      <c r="B218" s="267">
        <v>180</v>
      </c>
      <c r="C218" s="245"/>
      <c r="D218" s="246"/>
      <c r="E218" s="238"/>
      <c r="F218" s="225"/>
      <c r="G218" s="231"/>
      <c r="H218" s="377">
        <v>204</v>
      </c>
      <c r="I218" s="394"/>
      <c r="J218" s="394"/>
      <c r="K218" s="403"/>
      <c r="L218" s="403"/>
      <c r="M218" s="403"/>
      <c r="N218" s="441"/>
      <c r="O218" s="403"/>
      <c r="P218" s="403"/>
      <c r="Q218" s="403"/>
      <c r="R218" s="441"/>
      <c r="S218" s="433"/>
      <c r="T218" s="412" t="str" cm="1">
        <f t="array" aca="1" ref="T218" ca="1">IF(AND($U$12,B242&lt;=$C$17,C242&lt;&gt;""),TRANSPOSE(INDEX(getcds(C242,$C$6,G242/10000,F242,D242,$C$13,$C$14,$C$15,$C$8,,,TRUE,TRUE,FALSE,$C$29:$C$31,$C$33),{1;2;3;4;5})),"")</f>
        <v/>
      </c>
      <c r="U218" s="413"/>
      <c r="V218" s="413"/>
      <c r="W218" s="414"/>
      <c r="X218" s="415"/>
      <c r="Y218" s="416" t="str">
        <f t="shared" ca="1" si="19"/>
        <v/>
      </c>
      <c r="Z218" s="417" t="str">
        <f t="shared" ca="1" si="20"/>
        <v/>
      </c>
      <c r="AA218" s="416" t="str">
        <f t="shared" ca="1" si="21"/>
        <v/>
      </c>
      <c r="AB218" s="418" t="str">
        <f t="shared" ca="1" si="22"/>
        <v/>
      </c>
      <c r="AC218" s="417" t="str">
        <f t="shared" ca="1" si="23"/>
        <v/>
      </c>
      <c r="AD218" s="220"/>
    </row>
    <row r="219" spans="1:30" customFormat="1" ht="15">
      <c r="A219" s="220"/>
      <c r="B219" s="267">
        <v>181</v>
      </c>
      <c r="C219" s="245"/>
      <c r="D219" s="246"/>
      <c r="E219" s="238"/>
      <c r="F219" s="225"/>
      <c r="G219" s="231"/>
      <c r="H219" s="377">
        <v>205</v>
      </c>
      <c r="I219" s="394"/>
      <c r="J219" s="394"/>
      <c r="K219" s="403"/>
      <c r="L219" s="403"/>
      <c r="M219" s="403"/>
      <c r="N219" s="441"/>
      <c r="O219" s="403"/>
      <c r="P219" s="403"/>
      <c r="Q219" s="403"/>
      <c r="R219" s="441"/>
      <c r="S219" s="433"/>
      <c r="T219" s="412" t="str" cm="1">
        <f t="array" aca="1" ref="T219" ca="1">IF(AND($U$12,B243&lt;=$C$17,C243&lt;&gt;""),TRANSPOSE(INDEX(getcds(C243,$C$6,G243/10000,F243,D243,$C$13,$C$14,$C$15,$C$8,,,TRUE,TRUE,FALSE,$C$29:$C$31,$C$33),{1;2;3;4;5})),"")</f>
        <v/>
      </c>
      <c r="U219" s="413"/>
      <c r="V219" s="413"/>
      <c r="W219" s="414"/>
      <c r="X219" s="415"/>
      <c r="Y219" s="416" t="str">
        <f t="shared" ca="1" si="19"/>
        <v/>
      </c>
      <c r="Z219" s="417" t="str">
        <f t="shared" ca="1" si="20"/>
        <v/>
      </c>
      <c r="AA219" s="416" t="str">
        <f t="shared" ca="1" si="21"/>
        <v/>
      </c>
      <c r="AB219" s="418" t="str">
        <f t="shared" ca="1" si="22"/>
        <v/>
      </c>
      <c r="AC219" s="417" t="str">
        <f t="shared" ca="1" si="23"/>
        <v/>
      </c>
      <c r="AD219" s="220"/>
    </row>
    <row r="220" spans="1:30" customFormat="1" ht="15">
      <c r="A220" s="220"/>
      <c r="B220" s="267">
        <v>182</v>
      </c>
      <c r="C220" s="245"/>
      <c r="D220" s="246"/>
      <c r="E220" s="238"/>
      <c r="F220" s="225"/>
      <c r="G220" s="231"/>
      <c r="H220" s="377">
        <v>206</v>
      </c>
      <c r="I220" s="394"/>
      <c r="J220" s="394"/>
      <c r="K220" s="403"/>
      <c r="L220" s="403"/>
      <c r="M220" s="403"/>
      <c r="N220" s="441"/>
      <c r="O220" s="403"/>
      <c r="P220" s="403"/>
      <c r="Q220" s="403"/>
      <c r="R220" s="441"/>
      <c r="S220" s="433"/>
      <c r="T220" s="412" t="str" cm="1">
        <f t="array" aca="1" ref="T220" ca="1">IF(AND($U$12,B244&lt;=$C$17,C244&lt;&gt;""),TRANSPOSE(INDEX(getcds(C244,$C$6,G244/10000,F244,D244,$C$13,$C$14,$C$15,$C$8,,,TRUE,TRUE,FALSE,$C$29:$C$31,$C$33),{1;2;3;4;5})),"")</f>
        <v/>
      </c>
      <c r="U220" s="413"/>
      <c r="V220" s="413"/>
      <c r="W220" s="414"/>
      <c r="X220" s="415"/>
      <c r="Y220" s="416" t="str">
        <f t="shared" ca="1" si="19"/>
        <v/>
      </c>
      <c r="Z220" s="417" t="str">
        <f t="shared" ca="1" si="20"/>
        <v/>
      </c>
      <c r="AA220" s="416" t="str">
        <f t="shared" ca="1" si="21"/>
        <v/>
      </c>
      <c r="AB220" s="418" t="str">
        <f t="shared" ca="1" si="22"/>
        <v/>
      </c>
      <c r="AC220" s="417" t="str">
        <f t="shared" ca="1" si="23"/>
        <v/>
      </c>
      <c r="AD220" s="220"/>
    </row>
    <row r="221" spans="1:30" customFormat="1" ht="15">
      <c r="A221" s="220"/>
      <c r="B221" s="267">
        <v>183</v>
      </c>
      <c r="C221" s="245"/>
      <c r="D221" s="246"/>
      <c r="E221" s="238"/>
      <c r="F221" s="225"/>
      <c r="G221" s="231"/>
      <c r="H221" s="377">
        <v>207</v>
      </c>
      <c r="I221" s="394"/>
      <c r="J221" s="394"/>
      <c r="K221" s="403"/>
      <c r="L221" s="403"/>
      <c r="M221" s="403"/>
      <c r="N221" s="441"/>
      <c r="O221" s="403"/>
      <c r="P221" s="403"/>
      <c r="Q221" s="403"/>
      <c r="R221" s="441"/>
      <c r="S221" s="433"/>
      <c r="T221" s="412" t="str" cm="1">
        <f t="array" aca="1" ref="T221" ca="1">IF(AND($U$12,B245&lt;=$C$17,C245&lt;&gt;""),TRANSPOSE(INDEX(getcds(C245,$C$6,G245/10000,F245,D245,$C$13,$C$14,$C$15,$C$8,,,TRUE,TRUE,FALSE,$C$29:$C$31,$C$33),{1;2;3;4;5})),"")</f>
        <v/>
      </c>
      <c r="U221" s="413"/>
      <c r="V221" s="413"/>
      <c r="W221" s="414"/>
      <c r="X221" s="415"/>
      <c r="Y221" s="416" t="str">
        <f t="shared" ca="1" si="19"/>
        <v/>
      </c>
      <c r="Z221" s="417" t="str">
        <f t="shared" ca="1" si="20"/>
        <v/>
      </c>
      <c r="AA221" s="416" t="str">
        <f t="shared" ca="1" si="21"/>
        <v/>
      </c>
      <c r="AB221" s="418" t="str">
        <f t="shared" ca="1" si="22"/>
        <v/>
      </c>
      <c r="AC221" s="417" t="str">
        <f t="shared" ca="1" si="23"/>
        <v/>
      </c>
      <c r="AD221" s="220"/>
    </row>
    <row r="222" spans="1:30" customFormat="1" ht="15">
      <c r="A222" s="220"/>
      <c r="B222" s="267">
        <v>184</v>
      </c>
      <c r="C222" s="245"/>
      <c r="D222" s="246"/>
      <c r="E222" s="238"/>
      <c r="F222" s="225"/>
      <c r="G222" s="231"/>
      <c r="H222" s="377">
        <v>208</v>
      </c>
      <c r="I222" s="394"/>
      <c r="J222" s="394"/>
      <c r="K222" s="403"/>
      <c r="L222" s="403"/>
      <c r="M222" s="403"/>
      <c r="N222" s="441"/>
      <c r="O222" s="403"/>
      <c r="P222" s="403"/>
      <c r="Q222" s="403"/>
      <c r="R222" s="441"/>
      <c r="S222" s="433"/>
      <c r="T222" s="412" t="str" cm="1">
        <f t="array" aca="1" ref="T222" ca="1">IF(AND($U$12,B246&lt;=$C$17,C246&lt;&gt;""),TRANSPOSE(INDEX(getcds(C246,$C$6,G246/10000,F246,D246,$C$13,$C$14,$C$15,$C$8,,,TRUE,TRUE,FALSE,$C$29:$C$31,$C$33),{1;2;3;4;5})),"")</f>
        <v/>
      </c>
      <c r="U222" s="413"/>
      <c r="V222" s="413"/>
      <c r="W222" s="414"/>
      <c r="X222" s="415"/>
      <c r="Y222" s="416" t="str">
        <f t="shared" ca="1" si="19"/>
        <v/>
      </c>
      <c r="Z222" s="417" t="str">
        <f t="shared" ca="1" si="20"/>
        <v/>
      </c>
      <c r="AA222" s="416" t="str">
        <f t="shared" ca="1" si="21"/>
        <v/>
      </c>
      <c r="AB222" s="418" t="str">
        <f t="shared" ca="1" si="22"/>
        <v/>
      </c>
      <c r="AC222" s="417" t="str">
        <f t="shared" ca="1" si="23"/>
        <v/>
      </c>
      <c r="AD222" s="220"/>
    </row>
    <row r="223" spans="1:30" customFormat="1" ht="15">
      <c r="A223" s="220"/>
      <c r="B223" s="267">
        <v>185</v>
      </c>
      <c r="C223" s="245"/>
      <c r="D223" s="246"/>
      <c r="E223" s="238"/>
      <c r="F223" s="225"/>
      <c r="G223" s="231"/>
      <c r="H223" s="377">
        <v>209</v>
      </c>
      <c r="I223" s="394"/>
      <c r="J223" s="394"/>
      <c r="K223" s="403"/>
      <c r="L223" s="403"/>
      <c r="M223" s="403"/>
      <c r="N223" s="441"/>
      <c r="O223" s="403"/>
      <c r="P223" s="403"/>
      <c r="Q223" s="403"/>
      <c r="R223" s="441"/>
      <c r="S223" s="433"/>
      <c r="T223" s="412" t="str" cm="1">
        <f t="array" aca="1" ref="T223" ca="1">IF(AND($U$12,B247&lt;=$C$17,C247&lt;&gt;""),TRANSPOSE(INDEX(getcds(C247,$C$6,G247/10000,F247,D247,$C$13,$C$14,$C$15,$C$8,,,TRUE,TRUE,FALSE,$C$29:$C$31,$C$33),{1;2;3;4;5})),"")</f>
        <v/>
      </c>
      <c r="U223" s="413"/>
      <c r="V223" s="413"/>
      <c r="W223" s="414"/>
      <c r="X223" s="415"/>
      <c r="Y223" s="416" t="str">
        <f t="shared" ca="1" si="19"/>
        <v/>
      </c>
      <c r="Z223" s="417" t="str">
        <f t="shared" ca="1" si="20"/>
        <v/>
      </c>
      <c r="AA223" s="416" t="str">
        <f t="shared" ca="1" si="21"/>
        <v/>
      </c>
      <c r="AB223" s="418" t="str">
        <f t="shared" ca="1" si="22"/>
        <v/>
      </c>
      <c r="AC223" s="417" t="str">
        <f t="shared" ca="1" si="23"/>
        <v/>
      </c>
      <c r="AD223" s="220"/>
    </row>
    <row r="224" spans="1:30" customFormat="1" ht="15">
      <c r="A224" s="220"/>
      <c r="B224" s="267">
        <v>186</v>
      </c>
      <c r="C224" s="245"/>
      <c r="D224" s="246"/>
      <c r="E224" s="238"/>
      <c r="F224" s="225"/>
      <c r="G224" s="231"/>
      <c r="H224" s="377">
        <v>210</v>
      </c>
      <c r="I224" s="394"/>
      <c r="J224" s="394"/>
      <c r="K224" s="403"/>
      <c r="L224" s="403"/>
      <c r="M224" s="403"/>
      <c r="N224" s="441"/>
      <c r="O224" s="403"/>
      <c r="P224" s="403"/>
      <c r="Q224" s="403"/>
      <c r="R224" s="441"/>
      <c r="S224" s="433"/>
      <c r="T224" s="412" t="str" cm="1">
        <f t="array" aca="1" ref="T224" ca="1">IF(AND($U$12,B248&lt;=$C$17,C248&lt;&gt;""),TRANSPOSE(INDEX(getcds(C248,$C$6,G248/10000,F248,D248,$C$13,$C$14,$C$15,$C$8,,,TRUE,TRUE,FALSE,$C$29:$C$31,$C$33),{1;2;3;4;5})),"")</f>
        <v/>
      </c>
      <c r="U224" s="413"/>
      <c r="V224" s="413"/>
      <c r="W224" s="414"/>
      <c r="X224" s="415"/>
      <c r="Y224" s="416" t="str">
        <f t="shared" ca="1" si="19"/>
        <v/>
      </c>
      <c r="Z224" s="417" t="str">
        <f t="shared" ca="1" si="20"/>
        <v/>
      </c>
      <c r="AA224" s="416" t="str">
        <f t="shared" ca="1" si="21"/>
        <v/>
      </c>
      <c r="AB224" s="418" t="str">
        <f t="shared" ca="1" si="22"/>
        <v/>
      </c>
      <c r="AC224" s="417" t="str">
        <f t="shared" ca="1" si="23"/>
        <v/>
      </c>
      <c r="AD224" s="220"/>
    </row>
    <row r="225" spans="1:30" customFormat="1" ht="15">
      <c r="A225" s="220"/>
      <c r="B225" s="267">
        <v>187</v>
      </c>
      <c r="C225" s="245"/>
      <c r="D225" s="246"/>
      <c r="E225" s="238"/>
      <c r="F225" s="225"/>
      <c r="G225" s="231"/>
      <c r="H225" s="377">
        <v>211</v>
      </c>
      <c r="I225" s="394"/>
      <c r="J225" s="394"/>
      <c r="K225" s="403"/>
      <c r="L225" s="403"/>
      <c r="M225" s="403"/>
      <c r="N225" s="441"/>
      <c r="O225" s="403"/>
      <c r="P225" s="403"/>
      <c r="Q225" s="403"/>
      <c r="R225" s="441"/>
      <c r="S225" s="433"/>
      <c r="T225" s="412" t="str" cm="1">
        <f t="array" aca="1" ref="T225" ca="1">IF(AND($U$12,B249&lt;=$C$17,C249&lt;&gt;""),TRANSPOSE(INDEX(getcds(C249,$C$6,G249/10000,F249,D249,$C$13,$C$14,$C$15,$C$8,,,TRUE,TRUE,FALSE,$C$29:$C$31,$C$33),{1;2;3;4;5})),"")</f>
        <v/>
      </c>
      <c r="U225" s="413"/>
      <c r="V225" s="413"/>
      <c r="W225" s="414"/>
      <c r="X225" s="415"/>
      <c r="Y225" s="416" t="str">
        <f t="shared" ca="1" si="19"/>
        <v/>
      </c>
      <c r="Z225" s="417" t="str">
        <f t="shared" ca="1" si="20"/>
        <v/>
      </c>
      <c r="AA225" s="416" t="str">
        <f t="shared" ca="1" si="21"/>
        <v/>
      </c>
      <c r="AB225" s="418" t="str">
        <f t="shared" ca="1" si="22"/>
        <v/>
      </c>
      <c r="AC225" s="417" t="str">
        <f t="shared" ca="1" si="23"/>
        <v/>
      </c>
      <c r="AD225" s="220"/>
    </row>
    <row r="226" spans="1:30" customFormat="1" ht="15">
      <c r="A226" s="220"/>
      <c r="B226" s="267">
        <v>188</v>
      </c>
      <c r="C226" s="245"/>
      <c r="D226" s="246"/>
      <c r="E226" s="238"/>
      <c r="F226" s="225"/>
      <c r="G226" s="231"/>
      <c r="H226" s="377">
        <v>212</v>
      </c>
      <c r="I226" s="394"/>
      <c r="J226" s="394"/>
      <c r="K226" s="403"/>
      <c r="L226" s="403"/>
      <c r="M226" s="403"/>
      <c r="N226" s="441"/>
      <c r="O226" s="403"/>
      <c r="P226" s="403"/>
      <c r="Q226" s="403"/>
      <c r="R226" s="441"/>
      <c r="S226" s="433"/>
      <c r="T226" s="412" t="str" cm="1">
        <f t="array" aca="1" ref="T226" ca="1">IF(AND($U$12,B250&lt;=$C$17,C250&lt;&gt;""),TRANSPOSE(INDEX(getcds(C250,$C$6,G250/10000,F250,D250,$C$13,$C$14,$C$15,$C$8,,,TRUE,TRUE,FALSE,$C$29:$C$31,$C$33),{1;2;3;4;5})),"")</f>
        <v/>
      </c>
      <c r="U226" s="413"/>
      <c r="V226" s="413"/>
      <c r="W226" s="414"/>
      <c r="X226" s="415"/>
      <c r="Y226" s="416" t="str">
        <f t="shared" ca="1" si="19"/>
        <v/>
      </c>
      <c r="Z226" s="417" t="str">
        <f t="shared" ca="1" si="20"/>
        <v/>
      </c>
      <c r="AA226" s="416" t="str">
        <f t="shared" ca="1" si="21"/>
        <v/>
      </c>
      <c r="AB226" s="418" t="str">
        <f t="shared" ca="1" si="22"/>
        <v/>
      </c>
      <c r="AC226" s="417" t="str">
        <f t="shared" ca="1" si="23"/>
        <v/>
      </c>
      <c r="AD226" s="220"/>
    </row>
    <row r="227" spans="1:30" customFormat="1" ht="15">
      <c r="A227" s="220"/>
      <c r="B227" s="267">
        <v>189</v>
      </c>
      <c r="C227" s="245"/>
      <c r="D227" s="246"/>
      <c r="E227" s="238"/>
      <c r="F227" s="225"/>
      <c r="G227" s="231"/>
      <c r="H227" s="377">
        <v>213</v>
      </c>
      <c r="I227" s="394"/>
      <c r="J227" s="394"/>
      <c r="K227" s="403"/>
      <c r="L227" s="403"/>
      <c r="M227" s="403"/>
      <c r="N227" s="441"/>
      <c r="O227" s="403"/>
      <c r="P227" s="403"/>
      <c r="Q227" s="403"/>
      <c r="R227" s="441"/>
      <c r="S227" s="433"/>
      <c r="T227" s="412" t="str" cm="1">
        <f t="array" aca="1" ref="T227" ca="1">IF(AND($U$12,B251&lt;=$C$17,C251&lt;&gt;""),TRANSPOSE(INDEX(getcds(C251,$C$6,G251/10000,F251,D251,$C$13,$C$14,$C$15,$C$8,,,TRUE,TRUE,FALSE,$C$29:$C$31,$C$33),{1;2;3;4;5})),"")</f>
        <v/>
      </c>
      <c r="U227" s="413"/>
      <c r="V227" s="413"/>
      <c r="W227" s="414"/>
      <c r="X227" s="415"/>
      <c r="Y227" s="416" t="str">
        <f t="shared" ca="1" si="19"/>
        <v/>
      </c>
      <c r="Z227" s="417" t="str">
        <f t="shared" ca="1" si="20"/>
        <v/>
      </c>
      <c r="AA227" s="416" t="str">
        <f t="shared" ca="1" si="21"/>
        <v/>
      </c>
      <c r="AB227" s="418" t="str">
        <f t="shared" ca="1" si="22"/>
        <v/>
      </c>
      <c r="AC227" s="417" t="str">
        <f t="shared" ca="1" si="23"/>
        <v/>
      </c>
      <c r="AD227" s="220"/>
    </row>
    <row r="228" spans="1:30" customFormat="1" ht="15">
      <c r="A228" s="220"/>
      <c r="B228" s="267">
        <v>190</v>
      </c>
      <c r="C228" s="245"/>
      <c r="D228" s="246"/>
      <c r="E228" s="238"/>
      <c r="F228" s="225"/>
      <c r="G228" s="231"/>
      <c r="H228" s="377">
        <v>214</v>
      </c>
      <c r="I228" s="394"/>
      <c r="J228" s="394"/>
      <c r="K228" s="403"/>
      <c r="L228" s="403"/>
      <c r="M228" s="403"/>
      <c r="N228" s="441"/>
      <c r="O228" s="403"/>
      <c r="P228" s="403"/>
      <c r="Q228" s="403"/>
      <c r="R228" s="441"/>
      <c r="S228" s="433"/>
      <c r="T228" s="412" t="str" cm="1">
        <f t="array" aca="1" ref="T228" ca="1">IF(AND($U$12,B252&lt;=$C$17,C252&lt;&gt;""),TRANSPOSE(INDEX(getcds(C252,$C$6,G252/10000,F252,D252,$C$13,$C$14,$C$15,$C$8,,,TRUE,TRUE,FALSE,$C$29:$C$31,$C$33),{1;2;3;4;5})),"")</f>
        <v/>
      </c>
      <c r="U228" s="413"/>
      <c r="V228" s="413"/>
      <c r="W228" s="414"/>
      <c r="X228" s="415"/>
      <c r="Y228" s="416" t="str">
        <f t="shared" ca="1" si="19"/>
        <v/>
      </c>
      <c r="Z228" s="417" t="str">
        <f t="shared" ca="1" si="20"/>
        <v/>
      </c>
      <c r="AA228" s="416" t="str">
        <f t="shared" ca="1" si="21"/>
        <v/>
      </c>
      <c r="AB228" s="418" t="str">
        <f t="shared" ca="1" si="22"/>
        <v/>
      </c>
      <c r="AC228" s="417" t="str">
        <f t="shared" ca="1" si="23"/>
        <v/>
      </c>
      <c r="AD228" s="220"/>
    </row>
    <row r="229" spans="1:30" customFormat="1" ht="15">
      <c r="A229" s="220"/>
      <c r="B229" s="267">
        <v>191</v>
      </c>
      <c r="C229" s="245"/>
      <c r="D229" s="246"/>
      <c r="E229" s="238"/>
      <c r="F229" s="225"/>
      <c r="G229" s="231"/>
      <c r="H229" s="377">
        <v>215</v>
      </c>
      <c r="I229" s="394"/>
      <c r="J229" s="394"/>
      <c r="K229" s="403"/>
      <c r="L229" s="403"/>
      <c r="M229" s="403"/>
      <c r="N229" s="441"/>
      <c r="O229" s="403"/>
      <c r="P229" s="403"/>
      <c r="Q229" s="403"/>
      <c r="R229" s="441"/>
      <c r="S229" s="433"/>
      <c r="T229" s="412" t="str" cm="1">
        <f t="array" aca="1" ref="T229" ca="1">IF(AND($U$12,B253&lt;=$C$17,C253&lt;&gt;""),TRANSPOSE(INDEX(getcds(C253,$C$6,G253/10000,F253,D253,$C$13,$C$14,$C$15,$C$8,,,TRUE,TRUE,FALSE,$C$29:$C$31,$C$33),{1;2;3;4;5})),"")</f>
        <v/>
      </c>
      <c r="U229" s="413"/>
      <c r="V229" s="413"/>
      <c r="W229" s="414"/>
      <c r="X229" s="415"/>
      <c r="Y229" s="416" t="str">
        <f t="shared" ca="1" si="19"/>
        <v/>
      </c>
      <c r="Z229" s="417" t="str">
        <f t="shared" ca="1" si="20"/>
        <v/>
      </c>
      <c r="AA229" s="416" t="str">
        <f t="shared" ca="1" si="21"/>
        <v/>
      </c>
      <c r="AB229" s="418" t="str">
        <f t="shared" ca="1" si="22"/>
        <v/>
      </c>
      <c r="AC229" s="417" t="str">
        <f t="shared" ca="1" si="23"/>
        <v/>
      </c>
      <c r="AD229" s="220"/>
    </row>
    <row r="230" spans="1:30" customFormat="1" ht="15">
      <c r="A230" s="220"/>
      <c r="B230" s="267">
        <v>192</v>
      </c>
      <c r="C230" s="245"/>
      <c r="D230" s="246"/>
      <c r="E230" s="238"/>
      <c r="F230" s="225"/>
      <c r="G230" s="231"/>
      <c r="H230" s="377">
        <v>216</v>
      </c>
      <c r="I230" s="394"/>
      <c r="J230" s="394"/>
      <c r="K230" s="403"/>
      <c r="L230" s="403"/>
      <c r="M230" s="403"/>
      <c r="N230" s="441"/>
      <c r="O230" s="403"/>
      <c r="P230" s="403"/>
      <c r="Q230" s="403"/>
      <c r="R230" s="441"/>
      <c r="S230" s="433"/>
      <c r="T230" s="412" t="str" cm="1">
        <f t="array" aca="1" ref="T230" ca="1">IF(AND($U$12,B254&lt;=$C$17,C254&lt;&gt;""),TRANSPOSE(INDEX(getcds(C254,$C$6,G254/10000,F254,D254,$C$13,$C$14,$C$15,$C$8,,,TRUE,TRUE,FALSE,$C$29:$C$31,$C$33),{1;2;3;4;5})),"")</f>
        <v/>
      </c>
      <c r="U230" s="413"/>
      <c r="V230" s="413"/>
      <c r="W230" s="414"/>
      <c r="X230" s="415"/>
      <c r="Y230" s="416" t="str">
        <f t="shared" ca="1" si="19"/>
        <v/>
      </c>
      <c r="Z230" s="417" t="str">
        <f t="shared" ca="1" si="20"/>
        <v/>
      </c>
      <c r="AA230" s="416" t="str">
        <f t="shared" ca="1" si="21"/>
        <v/>
      </c>
      <c r="AB230" s="418" t="str">
        <f t="shared" ca="1" si="22"/>
        <v/>
      </c>
      <c r="AC230" s="417" t="str">
        <f t="shared" ca="1" si="23"/>
        <v/>
      </c>
      <c r="AD230" s="220"/>
    </row>
    <row r="231" spans="1:30" customFormat="1" ht="15">
      <c r="A231" s="220"/>
      <c r="B231" s="267">
        <v>193</v>
      </c>
      <c r="C231" s="245"/>
      <c r="D231" s="246"/>
      <c r="E231" s="238"/>
      <c r="F231" s="225"/>
      <c r="G231" s="231"/>
      <c r="H231" s="377">
        <v>217</v>
      </c>
      <c r="I231" s="394"/>
      <c r="J231" s="394"/>
      <c r="K231" s="403"/>
      <c r="L231" s="403"/>
      <c r="M231" s="403"/>
      <c r="N231" s="441"/>
      <c r="O231" s="403"/>
      <c r="P231" s="403"/>
      <c r="Q231" s="403"/>
      <c r="R231" s="441"/>
      <c r="S231" s="433"/>
      <c r="T231" s="412" t="str" cm="1">
        <f t="array" aca="1" ref="T231" ca="1">IF(AND($U$12,B255&lt;=$C$17,C255&lt;&gt;""),TRANSPOSE(INDEX(getcds(C255,$C$6,G255/10000,F255,D255,$C$13,$C$14,$C$15,$C$8,,,TRUE,TRUE,FALSE,$C$29:$C$31,$C$33),{1;2;3;4;5})),"")</f>
        <v/>
      </c>
      <c r="U231" s="413"/>
      <c r="V231" s="413"/>
      <c r="W231" s="414"/>
      <c r="X231" s="415"/>
      <c r="Y231" s="416" t="str">
        <f t="shared" ca="1" si="19"/>
        <v/>
      </c>
      <c r="Z231" s="417" t="str">
        <f t="shared" ca="1" si="20"/>
        <v/>
      </c>
      <c r="AA231" s="416" t="str">
        <f t="shared" ca="1" si="21"/>
        <v/>
      </c>
      <c r="AB231" s="418" t="str">
        <f t="shared" ca="1" si="22"/>
        <v/>
      </c>
      <c r="AC231" s="417" t="str">
        <f t="shared" ca="1" si="23"/>
        <v/>
      </c>
      <c r="AD231" s="220"/>
    </row>
    <row r="232" spans="1:30" customFormat="1" ht="15">
      <c r="A232" s="220"/>
      <c r="B232" s="267">
        <v>194</v>
      </c>
      <c r="C232" s="245"/>
      <c r="D232" s="246"/>
      <c r="E232" s="238"/>
      <c r="F232" s="225"/>
      <c r="G232" s="231"/>
      <c r="H232" s="377">
        <v>218</v>
      </c>
      <c r="I232" s="394"/>
      <c r="J232" s="394"/>
      <c r="K232" s="403"/>
      <c r="L232" s="403"/>
      <c r="M232" s="403"/>
      <c r="N232" s="441"/>
      <c r="O232" s="403"/>
      <c r="P232" s="403"/>
      <c r="Q232" s="403"/>
      <c r="R232" s="441"/>
      <c r="S232" s="433"/>
      <c r="T232" s="412" t="str" cm="1">
        <f t="array" aca="1" ref="T232" ca="1">IF(AND($U$12,B256&lt;=$C$17,C256&lt;&gt;""),TRANSPOSE(INDEX(getcds(C256,$C$6,G256/10000,F256,D256,$C$13,$C$14,$C$15,$C$8,,,TRUE,TRUE,FALSE,$C$29:$C$31,$C$33),{1;2;3;4;5})),"")</f>
        <v/>
      </c>
      <c r="U232" s="413"/>
      <c r="V232" s="413"/>
      <c r="W232" s="414"/>
      <c r="X232" s="415"/>
      <c r="Y232" s="416" t="str">
        <f t="shared" ca="1" si="19"/>
        <v/>
      </c>
      <c r="Z232" s="417" t="str">
        <f t="shared" ca="1" si="20"/>
        <v/>
      </c>
      <c r="AA232" s="416" t="str">
        <f t="shared" ca="1" si="21"/>
        <v/>
      </c>
      <c r="AB232" s="418" t="str">
        <f t="shared" ca="1" si="22"/>
        <v/>
      </c>
      <c r="AC232" s="417" t="str">
        <f t="shared" ca="1" si="23"/>
        <v/>
      </c>
      <c r="AD232" s="220"/>
    </row>
    <row r="233" spans="1:30" customFormat="1" ht="15">
      <c r="A233" s="220"/>
      <c r="B233" s="267">
        <v>195</v>
      </c>
      <c r="C233" s="245"/>
      <c r="D233" s="246"/>
      <c r="E233" s="238"/>
      <c r="F233" s="225"/>
      <c r="G233" s="231"/>
      <c r="H233" s="377">
        <v>219</v>
      </c>
      <c r="I233" s="394"/>
      <c r="J233" s="394"/>
      <c r="K233" s="403"/>
      <c r="L233" s="403"/>
      <c r="M233" s="403"/>
      <c r="N233" s="441"/>
      <c r="O233" s="403"/>
      <c r="P233" s="403"/>
      <c r="Q233" s="403"/>
      <c r="R233" s="441"/>
      <c r="S233" s="433"/>
      <c r="T233" s="412" t="str" cm="1">
        <f t="array" aca="1" ref="T233" ca="1">IF(AND($U$12,B257&lt;=$C$17,C257&lt;&gt;""),TRANSPOSE(INDEX(getcds(C257,$C$6,G257/10000,F257,D257,$C$13,$C$14,$C$15,$C$8,,,TRUE,TRUE,FALSE,$C$29:$C$31,$C$33),{1;2;3;4;5})),"")</f>
        <v/>
      </c>
      <c r="U233" s="413"/>
      <c r="V233" s="413"/>
      <c r="W233" s="414"/>
      <c r="X233" s="415"/>
      <c r="Y233" s="416" t="str">
        <f t="shared" ca="1" si="19"/>
        <v/>
      </c>
      <c r="Z233" s="417" t="str">
        <f t="shared" ca="1" si="20"/>
        <v/>
      </c>
      <c r="AA233" s="416" t="str">
        <f t="shared" ca="1" si="21"/>
        <v/>
      </c>
      <c r="AB233" s="418" t="str">
        <f t="shared" ca="1" si="22"/>
        <v/>
      </c>
      <c r="AC233" s="417" t="str">
        <f t="shared" ca="1" si="23"/>
        <v/>
      </c>
      <c r="AD233" s="220"/>
    </row>
    <row r="234" spans="1:30" customFormat="1" ht="15">
      <c r="A234" s="220"/>
      <c r="B234" s="267">
        <v>196</v>
      </c>
      <c r="C234" s="245"/>
      <c r="D234" s="246"/>
      <c r="E234" s="238"/>
      <c r="F234" s="225"/>
      <c r="G234" s="231"/>
      <c r="H234" s="377">
        <v>220</v>
      </c>
      <c r="I234" s="394"/>
      <c r="J234" s="394"/>
      <c r="K234" s="403"/>
      <c r="L234" s="403"/>
      <c r="M234" s="403"/>
      <c r="N234" s="441"/>
      <c r="O234" s="403"/>
      <c r="P234" s="403"/>
      <c r="Q234" s="403"/>
      <c r="R234" s="441"/>
      <c r="S234" s="433"/>
      <c r="T234" s="412" t="str" cm="1">
        <f t="array" aca="1" ref="T234" ca="1">IF(AND($U$12,B258&lt;=$C$17,C258&lt;&gt;""),TRANSPOSE(INDEX(getcds(C258,$C$6,G258/10000,F258,D258,$C$13,$C$14,$C$15,$C$8,,,TRUE,TRUE,FALSE,$C$29:$C$31,$C$33),{1;2;3;4;5})),"")</f>
        <v/>
      </c>
      <c r="U234" s="413"/>
      <c r="V234" s="413"/>
      <c r="W234" s="414"/>
      <c r="X234" s="415"/>
      <c r="Y234" s="416" t="str">
        <f t="shared" ca="1" si="19"/>
        <v/>
      </c>
      <c r="Z234" s="417" t="str">
        <f t="shared" ca="1" si="20"/>
        <v/>
      </c>
      <c r="AA234" s="416" t="str">
        <f t="shared" ca="1" si="21"/>
        <v/>
      </c>
      <c r="AB234" s="418" t="str">
        <f t="shared" ca="1" si="22"/>
        <v/>
      </c>
      <c r="AC234" s="417" t="str">
        <f t="shared" ca="1" si="23"/>
        <v/>
      </c>
      <c r="AD234" s="220"/>
    </row>
    <row r="235" spans="1:30" customFormat="1" ht="15">
      <c r="A235" s="220"/>
      <c r="B235" s="267">
        <v>197</v>
      </c>
      <c r="C235" s="245"/>
      <c r="D235" s="246"/>
      <c r="E235" s="238"/>
      <c r="F235" s="225"/>
      <c r="G235" s="231"/>
      <c r="H235" s="377">
        <v>221</v>
      </c>
      <c r="I235" s="394"/>
      <c r="J235" s="394"/>
      <c r="K235" s="403"/>
      <c r="L235" s="403"/>
      <c r="M235" s="403"/>
      <c r="N235" s="441"/>
      <c r="O235" s="403"/>
      <c r="P235" s="403"/>
      <c r="Q235" s="403"/>
      <c r="R235" s="441"/>
      <c r="S235" s="433"/>
      <c r="T235" s="412" t="str" cm="1">
        <f t="array" aca="1" ref="T235" ca="1">IF(AND($U$12,B259&lt;=$C$17,C259&lt;&gt;""),TRANSPOSE(INDEX(getcds(C259,$C$6,G259/10000,F259,D259,$C$13,$C$14,$C$15,$C$8,,,TRUE,TRUE,FALSE,$C$29:$C$31,$C$33),{1;2;3;4;5})),"")</f>
        <v/>
      </c>
      <c r="U235" s="413"/>
      <c r="V235" s="413"/>
      <c r="W235" s="414"/>
      <c r="X235" s="415"/>
      <c r="Y235" s="416" t="str">
        <f t="shared" ca="1" si="19"/>
        <v/>
      </c>
      <c r="Z235" s="417" t="str">
        <f t="shared" ca="1" si="20"/>
        <v/>
      </c>
      <c r="AA235" s="416" t="str">
        <f t="shared" ca="1" si="21"/>
        <v/>
      </c>
      <c r="AB235" s="418" t="str">
        <f t="shared" ca="1" si="22"/>
        <v/>
      </c>
      <c r="AC235" s="417" t="str">
        <f t="shared" ca="1" si="23"/>
        <v/>
      </c>
      <c r="AD235" s="220"/>
    </row>
    <row r="236" spans="1:30" customFormat="1" ht="15">
      <c r="A236" s="220"/>
      <c r="B236" s="267">
        <v>198</v>
      </c>
      <c r="C236" s="245"/>
      <c r="D236" s="246"/>
      <c r="E236" s="238"/>
      <c r="F236" s="225"/>
      <c r="G236" s="231"/>
      <c r="H236" s="377">
        <v>222</v>
      </c>
      <c r="I236" s="394"/>
      <c r="J236" s="394"/>
      <c r="K236" s="403"/>
      <c r="L236" s="403"/>
      <c r="M236" s="403"/>
      <c r="N236" s="441"/>
      <c r="O236" s="403"/>
      <c r="P236" s="403"/>
      <c r="Q236" s="403"/>
      <c r="R236" s="441"/>
      <c r="S236" s="433"/>
      <c r="T236" s="412" t="str" cm="1">
        <f t="array" aca="1" ref="T236" ca="1">IF(AND($U$12,B260&lt;=$C$17,C260&lt;&gt;""),TRANSPOSE(INDEX(getcds(C260,$C$6,G260/10000,F260,D260,$C$13,$C$14,$C$15,$C$8,,,TRUE,TRUE,FALSE,$C$29:$C$31,$C$33),{1;2;3;4;5})),"")</f>
        <v/>
      </c>
      <c r="U236" s="413"/>
      <c r="V236" s="413"/>
      <c r="W236" s="414"/>
      <c r="X236" s="415"/>
      <c r="Y236" s="416" t="str">
        <f t="shared" ca="1" si="19"/>
        <v/>
      </c>
      <c r="Z236" s="417" t="str">
        <f t="shared" ca="1" si="20"/>
        <v/>
      </c>
      <c r="AA236" s="416" t="str">
        <f t="shared" ca="1" si="21"/>
        <v/>
      </c>
      <c r="AB236" s="418" t="str">
        <f t="shared" ca="1" si="22"/>
        <v/>
      </c>
      <c r="AC236" s="417" t="str">
        <f t="shared" ca="1" si="23"/>
        <v/>
      </c>
      <c r="AD236" s="220"/>
    </row>
    <row r="237" spans="1:30" customFormat="1" ht="15">
      <c r="A237" s="220"/>
      <c r="B237" s="267">
        <v>199</v>
      </c>
      <c r="C237" s="245"/>
      <c r="D237" s="246"/>
      <c r="E237" s="238"/>
      <c r="F237" s="225"/>
      <c r="G237" s="231"/>
      <c r="H237" s="377">
        <v>223</v>
      </c>
      <c r="I237" s="394"/>
      <c r="J237" s="394"/>
      <c r="K237" s="403"/>
      <c r="L237" s="403"/>
      <c r="M237" s="403"/>
      <c r="N237" s="441"/>
      <c r="O237" s="403"/>
      <c r="P237" s="403"/>
      <c r="Q237" s="403"/>
      <c r="R237" s="441"/>
      <c r="S237" s="433"/>
      <c r="T237" s="412" t="str" cm="1">
        <f t="array" aca="1" ref="T237" ca="1">IF(AND($U$12,B261&lt;=$C$17,C261&lt;&gt;""),TRANSPOSE(INDEX(getcds(C261,$C$6,G261/10000,F261,D261,$C$13,$C$14,$C$15,$C$8,,,TRUE,TRUE,FALSE,$C$29:$C$31,$C$33),{1;2;3;4;5})),"")</f>
        <v/>
      </c>
      <c r="U237" s="413"/>
      <c r="V237" s="413"/>
      <c r="W237" s="414"/>
      <c r="X237" s="415"/>
      <c r="Y237" s="416" t="str">
        <f t="shared" ca="1" si="19"/>
        <v/>
      </c>
      <c r="Z237" s="417" t="str">
        <f t="shared" ca="1" si="20"/>
        <v/>
      </c>
      <c r="AA237" s="416" t="str">
        <f t="shared" ca="1" si="21"/>
        <v/>
      </c>
      <c r="AB237" s="418" t="str">
        <f t="shared" ca="1" si="22"/>
        <v/>
      </c>
      <c r="AC237" s="417" t="str">
        <f t="shared" ca="1" si="23"/>
        <v/>
      </c>
      <c r="AD237" s="220"/>
    </row>
    <row r="238" spans="1:30" customFormat="1" ht="15">
      <c r="A238" s="220"/>
      <c r="B238" s="267">
        <v>200</v>
      </c>
      <c r="C238" s="245"/>
      <c r="D238" s="246"/>
      <c r="E238" s="238"/>
      <c r="F238" s="225"/>
      <c r="G238" s="231"/>
      <c r="H238" s="377">
        <v>224</v>
      </c>
      <c r="I238" s="394"/>
      <c r="J238" s="394"/>
      <c r="K238" s="403"/>
      <c r="L238" s="403"/>
      <c r="M238" s="403"/>
      <c r="N238" s="441"/>
      <c r="O238" s="403"/>
      <c r="P238" s="403"/>
      <c r="Q238" s="403"/>
      <c r="R238" s="441"/>
      <c r="S238" s="433"/>
      <c r="T238" s="412" t="str" cm="1">
        <f t="array" aca="1" ref="T238" ca="1">IF(AND($U$12,B262&lt;=$C$17,C262&lt;&gt;""),TRANSPOSE(INDEX(getcds(C262,$C$6,G262/10000,F262,D262,$C$13,$C$14,$C$15,$C$8,,,TRUE,TRUE,FALSE,$C$29:$C$31,$C$33),{1;2;3;4;5})),"")</f>
        <v/>
      </c>
      <c r="U238" s="413"/>
      <c r="V238" s="413"/>
      <c r="W238" s="414"/>
      <c r="X238" s="415"/>
      <c r="Y238" s="416" t="str">
        <f t="shared" ca="1" si="19"/>
        <v/>
      </c>
      <c r="Z238" s="417" t="str">
        <f t="shared" ca="1" si="20"/>
        <v/>
      </c>
      <c r="AA238" s="416" t="str">
        <f t="shared" ca="1" si="21"/>
        <v/>
      </c>
      <c r="AB238" s="418" t="str">
        <f t="shared" ca="1" si="22"/>
        <v/>
      </c>
      <c r="AC238" s="417" t="str">
        <f t="shared" ca="1" si="23"/>
        <v/>
      </c>
      <c r="AD238" s="220"/>
    </row>
    <row r="239" spans="1:30" customFormat="1" ht="15">
      <c r="A239" s="220"/>
      <c r="B239" s="267">
        <v>201</v>
      </c>
      <c r="C239" s="245"/>
      <c r="D239" s="246"/>
      <c r="E239" s="238"/>
      <c r="F239" s="225"/>
      <c r="G239" s="231"/>
      <c r="H239" s="377">
        <v>225</v>
      </c>
      <c r="I239" s="394"/>
      <c r="J239" s="394"/>
      <c r="K239" s="403"/>
      <c r="L239" s="403"/>
      <c r="M239" s="403"/>
      <c r="N239" s="441"/>
      <c r="O239" s="403"/>
      <c r="P239" s="403"/>
      <c r="Q239" s="403"/>
      <c r="R239" s="441"/>
      <c r="S239" s="433"/>
      <c r="T239" s="412" t="str" cm="1">
        <f t="array" aca="1" ref="T239" ca="1">IF(AND($U$12,B263&lt;=$C$17,C263&lt;&gt;""),TRANSPOSE(INDEX(getcds(C263,$C$6,G263/10000,F263,D263,$C$13,$C$14,$C$15,$C$8,,,TRUE,TRUE,FALSE,$C$29:$C$31,$C$33),{1;2;3;4;5})),"")</f>
        <v/>
      </c>
      <c r="U239" s="413"/>
      <c r="V239" s="413"/>
      <c r="W239" s="414"/>
      <c r="X239" s="415"/>
      <c r="Y239" s="416" t="str">
        <f t="shared" ca="1" si="19"/>
        <v/>
      </c>
      <c r="Z239" s="417" t="str">
        <f t="shared" ca="1" si="20"/>
        <v/>
      </c>
      <c r="AA239" s="416" t="str">
        <f t="shared" ca="1" si="21"/>
        <v/>
      </c>
      <c r="AB239" s="418" t="str">
        <f t="shared" ca="1" si="22"/>
        <v/>
      </c>
      <c r="AC239" s="417" t="str">
        <f t="shared" ca="1" si="23"/>
        <v/>
      </c>
      <c r="AD239" s="220"/>
    </row>
    <row r="240" spans="1:30" customFormat="1" ht="15">
      <c r="A240" s="220"/>
      <c r="B240" s="267">
        <v>202</v>
      </c>
      <c r="C240" s="245"/>
      <c r="D240" s="246"/>
      <c r="E240" s="238"/>
      <c r="F240" s="225"/>
      <c r="G240" s="231"/>
      <c r="H240" s="377">
        <v>226</v>
      </c>
      <c r="I240" s="394"/>
      <c r="J240" s="394"/>
      <c r="K240" s="403"/>
      <c r="L240" s="403"/>
      <c r="M240" s="403"/>
      <c r="N240" s="441"/>
      <c r="O240" s="403"/>
      <c r="P240" s="403"/>
      <c r="Q240" s="403"/>
      <c r="R240" s="441"/>
      <c r="S240" s="433"/>
      <c r="T240" s="412" t="str" cm="1">
        <f t="array" aca="1" ref="T240" ca="1">IF(AND($U$12,B264&lt;=$C$17,C264&lt;&gt;""),TRANSPOSE(INDEX(getcds(C264,$C$6,G264/10000,F264,D264,$C$13,$C$14,$C$15,$C$8,,,TRUE,TRUE,FALSE,$C$29:$C$31,$C$33),{1;2;3;4;5})),"")</f>
        <v/>
      </c>
      <c r="U240" s="413"/>
      <c r="V240" s="413"/>
      <c r="W240" s="414"/>
      <c r="X240" s="415"/>
      <c r="Y240" s="416" t="str">
        <f t="shared" ca="1" si="19"/>
        <v/>
      </c>
      <c r="Z240" s="417" t="str">
        <f t="shared" ca="1" si="20"/>
        <v/>
      </c>
      <c r="AA240" s="416" t="str">
        <f t="shared" ca="1" si="21"/>
        <v/>
      </c>
      <c r="AB240" s="418" t="str">
        <f t="shared" ca="1" si="22"/>
        <v/>
      </c>
      <c r="AC240" s="417" t="str">
        <f t="shared" ca="1" si="23"/>
        <v/>
      </c>
      <c r="AD240" s="220"/>
    </row>
    <row r="241" spans="1:30" customFormat="1" ht="15">
      <c r="A241" s="220"/>
      <c r="B241" s="267">
        <v>203</v>
      </c>
      <c r="C241" s="245"/>
      <c r="D241" s="246"/>
      <c r="E241" s="238"/>
      <c r="F241" s="225"/>
      <c r="G241" s="231"/>
      <c r="H241" s="377">
        <v>227</v>
      </c>
      <c r="I241" s="394"/>
      <c r="J241" s="394"/>
      <c r="K241" s="403"/>
      <c r="L241" s="403"/>
      <c r="M241" s="403"/>
      <c r="N241" s="441"/>
      <c r="O241" s="403"/>
      <c r="P241" s="403"/>
      <c r="Q241" s="403"/>
      <c r="R241" s="441"/>
      <c r="S241" s="433"/>
      <c r="T241" s="412" t="str" cm="1">
        <f t="array" aca="1" ref="T241" ca="1">IF(AND($U$12,B265&lt;=$C$17,C265&lt;&gt;""),TRANSPOSE(INDEX(getcds(C265,$C$6,G265/10000,F265,D265,$C$13,$C$14,$C$15,$C$8,,,TRUE,TRUE,FALSE,$C$29:$C$31,$C$33),{1;2;3;4;5})),"")</f>
        <v/>
      </c>
      <c r="U241" s="413"/>
      <c r="V241" s="413"/>
      <c r="W241" s="414"/>
      <c r="X241" s="415"/>
      <c r="Y241" s="416" t="str">
        <f t="shared" ca="1" si="19"/>
        <v/>
      </c>
      <c r="Z241" s="417" t="str">
        <f t="shared" ca="1" si="20"/>
        <v/>
      </c>
      <c r="AA241" s="416" t="str">
        <f t="shared" ca="1" si="21"/>
        <v/>
      </c>
      <c r="AB241" s="418" t="str">
        <f t="shared" ca="1" si="22"/>
        <v/>
      </c>
      <c r="AC241" s="417" t="str">
        <f t="shared" ca="1" si="23"/>
        <v/>
      </c>
      <c r="AD241" s="220"/>
    </row>
    <row r="242" spans="1:30" customFormat="1" ht="15">
      <c r="A242" s="220"/>
      <c r="B242" s="267">
        <v>204</v>
      </c>
      <c r="C242" s="245"/>
      <c r="D242" s="246"/>
      <c r="E242" s="238"/>
      <c r="F242" s="225"/>
      <c r="G242" s="231"/>
      <c r="H242" s="377">
        <v>228</v>
      </c>
      <c r="I242" s="394"/>
      <c r="J242" s="394"/>
      <c r="K242" s="403"/>
      <c r="L242" s="403"/>
      <c r="M242" s="403"/>
      <c r="N242" s="441"/>
      <c r="O242" s="403"/>
      <c r="P242" s="403"/>
      <c r="Q242" s="403"/>
      <c r="R242" s="441"/>
      <c r="S242" s="433"/>
      <c r="T242" s="412" t="str" cm="1">
        <f t="array" aca="1" ref="T242" ca="1">IF(AND($U$12,B266&lt;=$C$17,C266&lt;&gt;""),TRANSPOSE(INDEX(getcds(C266,$C$6,G266/10000,F266,D266,$C$13,$C$14,$C$15,$C$8,,,TRUE,TRUE,FALSE,$C$29:$C$31,$C$33),{1;2;3;4;5})),"")</f>
        <v/>
      </c>
      <c r="U242" s="413"/>
      <c r="V242" s="413"/>
      <c r="W242" s="414"/>
      <c r="X242" s="415"/>
      <c r="Y242" s="416" t="str">
        <f t="shared" ca="1" si="19"/>
        <v/>
      </c>
      <c r="Z242" s="417" t="str">
        <f t="shared" ca="1" si="20"/>
        <v/>
      </c>
      <c r="AA242" s="416" t="str">
        <f t="shared" ca="1" si="21"/>
        <v/>
      </c>
      <c r="AB242" s="418" t="str">
        <f t="shared" ca="1" si="22"/>
        <v/>
      </c>
      <c r="AC242" s="417" t="str">
        <f t="shared" ca="1" si="23"/>
        <v/>
      </c>
      <c r="AD242" s="220"/>
    </row>
    <row r="243" spans="1:30" customFormat="1" ht="15">
      <c r="A243" s="220"/>
      <c r="B243" s="267">
        <v>205</v>
      </c>
      <c r="C243" s="245"/>
      <c r="D243" s="246"/>
      <c r="E243" s="238"/>
      <c r="F243" s="225"/>
      <c r="G243" s="231"/>
      <c r="H243" s="377">
        <v>229</v>
      </c>
      <c r="I243" s="394"/>
      <c r="J243" s="394"/>
      <c r="K243" s="403"/>
      <c r="L243" s="403"/>
      <c r="M243" s="403"/>
      <c r="N243" s="441"/>
      <c r="O243" s="403"/>
      <c r="P243" s="403"/>
      <c r="Q243" s="403"/>
      <c r="R243" s="441"/>
      <c r="S243" s="433"/>
      <c r="T243" s="412" t="str" cm="1">
        <f t="array" aca="1" ref="T243" ca="1">IF(AND($U$12,B267&lt;=$C$17,C267&lt;&gt;""),TRANSPOSE(INDEX(getcds(C267,$C$6,G267/10000,F267,D267,$C$13,$C$14,$C$15,$C$8,,,TRUE,TRUE,FALSE,$C$29:$C$31,$C$33),{1;2;3;4;5})),"")</f>
        <v/>
      </c>
      <c r="U243" s="413"/>
      <c r="V243" s="413"/>
      <c r="W243" s="414"/>
      <c r="X243" s="415"/>
      <c r="Y243" s="416" t="str">
        <f t="shared" ca="1" si="19"/>
        <v/>
      </c>
      <c r="Z243" s="417" t="str">
        <f t="shared" ca="1" si="20"/>
        <v/>
      </c>
      <c r="AA243" s="416" t="str">
        <f t="shared" ca="1" si="21"/>
        <v/>
      </c>
      <c r="AB243" s="418" t="str">
        <f t="shared" ca="1" si="22"/>
        <v/>
      </c>
      <c r="AC243" s="417" t="str">
        <f t="shared" ca="1" si="23"/>
        <v/>
      </c>
      <c r="AD243" s="220"/>
    </row>
    <row r="244" spans="1:30" customFormat="1" ht="15">
      <c r="A244" s="220"/>
      <c r="B244" s="267">
        <v>206</v>
      </c>
      <c r="C244" s="245"/>
      <c r="D244" s="246"/>
      <c r="E244" s="238"/>
      <c r="F244" s="225"/>
      <c r="G244" s="231"/>
      <c r="H244" s="377">
        <v>230</v>
      </c>
      <c r="I244" s="394"/>
      <c r="J244" s="394"/>
      <c r="K244" s="403"/>
      <c r="L244" s="403"/>
      <c r="M244" s="403"/>
      <c r="N244" s="441"/>
      <c r="O244" s="403"/>
      <c r="P244" s="403"/>
      <c r="Q244" s="403"/>
      <c r="R244" s="441"/>
      <c r="S244" s="433"/>
      <c r="T244" s="412" t="str" cm="1">
        <f t="array" aca="1" ref="T244" ca="1">IF(AND($U$12,B268&lt;=$C$17,C268&lt;&gt;""),TRANSPOSE(INDEX(getcds(C268,$C$6,G268/10000,F268,D268,$C$13,$C$14,$C$15,$C$8,,,TRUE,TRUE,FALSE,$C$29:$C$31,$C$33),{1;2;3;4;5})),"")</f>
        <v/>
      </c>
      <c r="U244" s="413"/>
      <c r="V244" s="413"/>
      <c r="W244" s="414"/>
      <c r="X244" s="415"/>
      <c r="Y244" s="416" t="str">
        <f t="shared" ca="1" si="19"/>
        <v/>
      </c>
      <c r="Z244" s="417" t="str">
        <f t="shared" ca="1" si="20"/>
        <v/>
      </c>
      <c r="AA244" s="416" t="str">
        <f t="shared" ca="1" si="21"/>
        <v/>
      </c>
      <c r="AB244" s="418" t="str">
        <f t="shared" ca="1" si="22"/>
        <v/>
      </c>
      <c r="AC244" s="417" t="str">
        <f t="shared" ca="1" si="23"/>
        <v/>
      </c>
      <c r="AD244" s="220"/>
    </row>
    <row r="245" spans="1:30" customFormat="1" ht="15">
      <c r="A245" s="220"/>
      <c r="B245" s="267">
        <v>207</v>
      </c>
      <c r="C245" s="245"/>
      <c r="D245" s="246"/>
      <c r="E245" s="238"/>
      <c r="F245" s="225"/>
      <c r="G245" s="231"/>
      <c r="H245" s="377">
        <v>231</v>
      </c>
      <c r="I245" s="394"/>
      <c r="J245" s="394"/>
      <c r="K245" s="403"/>
      <c r="L245" s="403"/>
      <c r="M245" s="403"/>
      <c r="N245" s="441"/>
      <c r="O245" s="403"/>
      <c r="P245" s="403"/>
      <c r="Q245" s="403"/>
      <c r="R245" s="441"/>
      <c r="S245" s="433"/>
      <c r="T245" s="412" t="str" cm="1">
        <f t="array" aca="1" ref="T245" ca="1">IF(AND($U$12,B269&lt;=$C$17,C269&lt;&gt;""),TRANSPOSE(INDEX(getcds(C269,$C$6,G269/10000,F269,D269,$C$13,$C$14,$C$15,$C$8,,,TRUE,TRUE,FALSE,$C$29:$C$31,$C$33),{1;2;3;4;5})),"")</f>
        <v/>
      </c>
      <c r="U245" s="413"/>
      <c r="V245" s="413"/>
      <c r="W245" s="414"/>
      <c r="X245" s="415"/>
      <c r="Y245" s="416" t="str">
        <f t="shared" ca="1" si="19"/>
        <v/>
      </c>
      <c r="Z245" s="417" t="str">
        <f t="shared" ca="1" si="20"/>
        <v/>
      </c>
      <c r="AA245" s="416" t="str">
        <f t="shared" ca="1" si="21"/>
        <v/>
      </c>
      <c r="AB245" s="418" t="str">
        <f t="shared" ca="1" si="22"/>
        <v/>
      </c>
      <c r="AC245" s="417" t="str">
        <f t="shared" ca="1" si="23"/>
        <v/>
      </c>
      <c r="AD245" s="220"/>
    </row>
    <row r="246" spans="1:30" customFormat="1" ht="15">
      <c r="A246" s="220"/>
      <c r="B246" s="267">
        <v>208</v>
      </c>
      <c r="C246" s="245"/>
      <c r="D246" s="246"/>
      <c r="E246" s="238"/>
      <c r="F246" s="225"/>
      <c r="G246" s="231"/>
      <c r="H246" s="377">
        <v>232</v>
      </c>
      <c r="I246" s="394"/>
      <c r="J246" s="394"/>
      <c r="K246" s="403"/>
      <c r="L246" s="403"/>
      <c r="M246" s="403"/>
      <c r="N246" s="441"/>
      <c r="O246" s="403"/>
      <c r="P246" s="403"/>
      <c r="Q246" s="403"/>
      <c r="R246" s="441"/>
      <c r="S246" s="433"/>
      <c r="T246" s="412" t="str" cm="1">
        <f t="array" aca="1" ref="T246" ca="1">IF(AND($U$12,B270&lt;=$C$17,C270&lt;&gt;""),TRANSPOSE(INDEX(getcds(C270,$C$6,G270/10000,F270,D270,$C$13,$C$14,$C$15,$C$8,,,TRUE,TRUE,FALSE,$C$29:$C$31,$C$33),{1;2;3;4;5})),"")</f>
        <v/>
      </c>
      <c r="U246" s="413"/>
      <c r="V246" s="413"/>
      <c r="W246" s="414"/>
      <c r="X246" s="415"/>
      <c r="Y246" s="416" t="str">
        <f t="shared" ca="1" si="19"/>
        <v/>
      </c>
      <c r="Z246" s="417" t="str">
        <f t="shared" ca="1" si="20"/>
        <v/>
      </c>
      <c r="AA246" s="416" t="str">
        <f t="shared" ca="1" si="21"/>
        <v/>
      </c>
      <c r="AB246" s="418" t="str">
        <f t="shared" ca="1" si="22"/>
        <v/>
      </c>
      <c r="AC246" s="417" t="str">
        <f t="shared" ca="1" si="23"/>
        <v/>
      </c>
      <c r="AD246" s="220"/>
    </row>
    <row r="247" spans="1:30" customFormat="1" ht="15">
      <c r="A247" s="220"/>
      <c r="B247" s="267">
        <v>209</v>
      </c>
      <c r="C247" s="245"/>
      <c r="D247" s="246"/>
      <c r="E247" s="238"/>
      <c r="F247" s="225"/>
      <c r="G247" s="231"/>
      <c r="H247" s="377">
        <v>233</v>
      </c>
      <c r="I247" s="394"/>
      <c r="J247" s="394"/>
      <c r="K247" s="403"/>
      <c r="L247" s="403"/>
      <c r="M247" s="403"/>
      <c r="N247" s="441"/>
      <c r="O247" s="403"/>
      <c r="P247" s="403"/>
      <c r="Q247" s="403"/>
      <c r="R247" s="441"/>
      <c r="S247" s="433"/>
      <c r="T247" s="412" t="str" cm="1">
        <f t="array" aca="1" ref="T247" ca="1">IF(AND($U$12,B271&lt;=$C$17,C271&lt;&gt;""),TRANSPOSE(INDEX(getcds(C271,$C$6,G271/10000,F271,D271,$C$13,$C$14,$C$15,$C$8,,,TRUE,TRUE,FALSE,$C$29:$C$31,$C$33),{1;2;3;4;5})),"")</f>
        <v/>
      </c>
      <c r="U247" s="413"/>
      <c r="V247" s="413"/>
      <c r="W247" s="414"/>
      <c r="X247" s="415"/>
      <c r="Y247" s="416" t="str">
        <f t="shared" ca="1" si="19"/>
        <v/>
      </c>
      <c r="Z247" s="417" t="str">
        <f t="shared" ca="1" si="20"/>
        <v/>
      </c>
      <c r="AA247" s="416" t="str">
        <f t="shared" ca="1" si="21"/>
        <v/>
      </c>
      <c r="AB247" s="418" t="str">
        <f t="shared" ca="1" si="22"/>
        <v/>
      </c>
      <c r="AC247" s="417" t="str">
        <f t="shared" ca="1" si="23"/>
        <v/>
      </c>
      <c r="AD247" s="220"/>
    </row>
    <row r="248" spans="1:30" customFormat="1" ht="15">
      <c r="A248" s="220"/>
      <c r="B248" s="267">
        <v>210</v>
      </c>
      <c r="C248" s="245"/>
      <c r="D248" s="246"/>
      <c r="E248" s="238"/>
      <c r="F248" s="225"/>
      <c r="G248" s="231"/>
      <c r="H248" s="377">
        <v>234</v>
      </c>
      <c r="I248" s="394"/>
      <c r="J248" s="394"/>
      <c r="K248" s="403"/>
      <c r="L248" s="403"/>
      <c r="M248" s="403"/>
      <c r="N248" s="441"/>
      <c r="O248" s="403"/>
      <c r="P248" s="403"/>
      <c r="Q248" s="403"/>
      <c r="R248" s="441"/>
      <c r="S248" s="433"/>
      <c r="T248" s="412" t="str" cm="1">
        <f t="array" aca="1" ref="T248" ca="1">IF(AND($U$12,B272&lt;=$C$17,C272&lt;&gt;""),TRANSPOSE(INDEX(getcds(C272,$C$6,G272/10000,F272,D272,$C$13,$C$14,$C$15,$C$8,,,TRUE,TRUE,FALSE,$C$29:$C$31,$C$33),{1;2;3;4;5})),"")</f>
        <v/>
      </c>
      <c r="U248" s="413"/>
      <c r="V248" s="413"/>
      <c r="W248" s="414"/>
      <c r="X248" s="415"/>
      <c r="Y248" s="416" t="str">
        <f t="shared" ca="1" si="19"/>
        <v/>
      </c>
      <c r="Z248" s="417" t="str">
        <f t="shared" ca="1" si="20"/>
        <v/>
      </c>
      <c r="AA248" s="416" t="str">
        <f t="shared" ca="1" si="21"/>
        <v/>
      </c>
      <c r="AB248" s="418" t="str">
        <f t="shared" ca="1" si="22"/>
        <v/>
      </c>
      <c r="AC248" s="417" t="str">
        <f t="shared" ca="1" si="23"/>
        <v/>
      </c>
      <c r="AD248" s="220"/>
    </row>
    <row r="249" spans="1:30" customFormat="1" ht="15">
      <c r="A249" s="220"/>
      <c r="B249" s="267">
        <v>211</v>
      </c>
      <c r="C249" s="245"/>
      <c r="D249" s="246"/>
      <c r="E249" s="238"/>
      <c r="F249" s="225"/>
      <c r="G249" s="231"/>
      <c r="H249" s="377">
        <v>235</v>
      </c>
      <c r="I249" s="394"/>
      <c r="J249" s="394"/>
      <c r="K249" s="403"/>
      <c r="L249" s="403"/>
      <c r="M249" s="403"/>
      <c r="N249" s="441"/>
      <c r="O249" s="403"/>
      <c r="P249" s="403"/>
      <c r="Q249" s="403"/>
      <c r="R249" s="441"/>
      <c r="S249" s="433"/>
      <c r="T249" s="412" t="str" cm="1">
        <f t="array" aca="1" ref="T249" ca="1">IF(AND($U$12,B273&lt;=$C$17,C273&lt;&gt;""),TRANSPOSE(INDEX(getcds(C273,$C$6,G273/10000,F273,D273,$C$13,$C$14,$C$15,$C$8,,,TRUE,TRUE,FALSE,$C$29:$C$31,$C$33),{1;2;3;4;5})),"")</f>
        <v/>
      </c>
      <c r="U249" s="413"/>
      <c r="V249" s="413"/>
      <c r="W249" s="414"/>
      <c r="X249" s="415"/>
      <c r="Y249" s="416" t="str">
        <f t="shared" ca="1" si="19"/>
        <v/>
      </c>
      <c r="Z249" s="417" t="str">
        <f t="shared" ca="1" si="20"/>
        <v/>
      </c>
      <c r="AA249" s="416" t="str">
        <f t="shared" ca="1" si="21"/>
        <v/>
      </c>
      <c r="AB249" s="418" t="str">
        <f t="shared" ca="1" si="22"/>
        <v/>
      </c>
      <c r="AC249" s="417" t="str">
        <f t="shared" ca="1" si="23"/>
        <v/>
      </c>
      <c r="AD249" s="220"/>
    </row>
    <row r="250" spans="1:30" customFormat="1" ht="15">
      <c r="A250" s="220"/>
      <c r="B250" s="267">
        <v>212</v>
      </c>
      <c r="C250" s="245"/>
      <c r="D250" s="246"/>
      <c r="E250" s="238"/>
      <c r="F250" s="225"/>
      <c r="G250" s="231"/>
      <c r="H250" s="377">
        <v>236</v>
      </c>
      <c r="I250" s="394"/>
      <c r="J250" s="394"/>
      <c r="K250" s="403"/>
      <c r="L250" s="403"/>
      <c r="M250" s="403"/>
      <c r="N250" s="441"/>
      <c r="O250" s="403"/>
      <c r="P250" s="403"/>
      <c r="Q250" s="403"/>
      <c r="R250" s="441"/>
      <c r="S250" s="433"/>
      <c r="T250" s="412" t="str" cm="1">
        <f t="array" aca="1" ref="T250" ca="1">IF(AND($U$12,B274&lt;=$C$17,C274&lt;&gt;""),TRANSPOSE(INDEX(getcds(C274,$C$6,G274/10000,F274,D274,$C$13,$C$14,$C$15,$C$8,,,TRUE,TRUE,FALSE,$C$29:$C$31,$C$33),{1;2;3;4;5})),"")</f>
        <v/>
      </c>
      <c r="U250" s="413"/>
      <c r="V250" s="413"/>
      <c r="W250" s="414"/>
      <c r="X250" s="415"/>
      <c r="Y250" s="416" t="str">
        <f t="shared" ca="1" si="19"/>
        <v/>
      </c>
      <c r="Z250" s="417" t="str">
        <f t="shared" ca="1" si="20"/>
        <v/>
      </c>
      <c r="AA250" s="416" t="str">
        <f t="shared" ca="1" si="21"/>
        <v/>
      </c>
      <c r="AB250" s="418" t="str">
        <f t="shared" ca="1" si="22"/>
        <v/>
      </c>
      <c r="AC250" s="417" t="str">
        <f t="shared" ca="1" si="23"/>
        <v/>
      </c>
      <c r="AD250" s="220"/>
    </row>
    <row r="251" spans="1:30" customFormat="1" ht="15">
      <c r="A251" s="220"/>
      <c r="B251" s="267">
        <v>213</v>
      </c>
      <c r="C251" s="245"/>
      <c r="D251" s="246"/>
      <c r="E251" s="238"/>
      <c r="F251" s="225"/>
      <c r="G251" s="231"/>
      <c r="H251" s="377">
        <v>237</v>
      </c>
      <c r="I251" s="394"/>
      <c r="J251" s="394"/>
      <c r="K251" s="403"/>
      <c r="L251" s="403"/>
      <c r="M251" s="403"/>
      <c r="N251" s="441"/>
      <c r="O251" s="403"/>
      <c r="P251" s="403"/>
      <c r="Q251" s="403"/>
      <c r="R251" s="441"/>
      <c r="S251" s="433"/>
      <c r="T251" s="412" t="str" cm="1">
        <f t="array" aca="1" ref="T251" ca="1">IF(AND($U$12,B275&lt;=$C$17,C275&lt;&gt;""),TRANSPOSE(INDEX(getcds(C275,$C$6,G275/10000,F275,D275,$C$13,$C$14,$C$15,$C$8,,,TRUE,TRUE,FALSE,$C$29:$C$31,$C$33),{1;2;3;4;5})),"")</f>
        <v/>
      </c>
      <c r="U251" s="413"/>
      <c r="V251" s="413"/>
      <c r="W251" s="414"/>
      <c r="X251" s="415"/>
      <c r="Y251" s="416" t="str">
        <f t="shared" ca="1" si="19"/>
        <v/>
      </c>
      <c r="Z251" s="417" t="str">
        <f t="shared" ca="1" si="20"/>
        <v/>
      </c>
      <c r="AA251" s="416" t="str">
        <f t="shared" ca="1" si="21"/>
        <v/>
      </c>
      <c r="AB251" s="418" t="str">
        <f t="shared" ca="1" si="22"/>
        <v/>
      </c>
      <c r="AC251" s="417" t="str">
        <f t="shared" ca="1" si="23"/>
        <v/>
      </c>
      <c r="AD251" s="220"/>
    </row>
    <row r="252" spans="1:30" customFormat="1" ht="15">
      <c r="A252" s="220"/>
      <c r="B252" s="267">
        <v>214</v>
      </c>
      <c r="C252" s="245"/>
      <c r="D252" s="246"/>
      <c r="E252" s="238"/>
      <c r="F252" s="225"/>
      <c r="G252" s="231"/>
      <c r="H252" s="377">
        <v>238</v>
      </c>
      <c r="I252" s="394"/>
      <c r="J252" s="394"/>
      <c r="K252" s="403"/>
      <c r="L252" s="403"/>
      <c r="M252" s="403"/>
      <c r="N252" s="441"/>
      <c r="O252" s="403"/>
      <c r="P252" s="403"/>
      <c r="Q252" s="403"/>
      <c r="R252" s="441"/>
      <c r="S252" s="433"/>
      <c r="T252" s="412" t="str" cm="1">
        <f t="array" aca="1" ref="T252" ca="1">IF(AND($U$12,B276&lt;=$C$17,C276&lt;&gt;""),TRANSPOSE(INDEX(getcds(C276,$C$6,G276/10000,F276,D276,$C$13,$C$14,$C$15,$C$8,,,TRUE,TRUE,FALSE,$C$29:$C$31,$C$33),{1;2;3;4;5})),"")</f>
        <v/>
      </c>
      <c r="U252" s="413"/>
      <c r="V252" s="413"/>
      <c r="W252" s="414"/>
      <c r="X252" s="415"/>
      <c r="Y252" s="416" t="str">
        <f t="shared" ca="1" si="19"/>
        <v/>
      </c>
      <c r="Z252" s="417" t="str">
        <f t="shared" ca="1" si="20"/>
        <v/>
      </c>
      <c r="AA252" s="416" t="str">
        <f t="shared" ca="1" si="21"/>
        <v/>
      </c>
      <c r="AB252" s="418" t="str">
        <f t="shared" ca="1" si="22"/>
        <v/>
      </c>
      <c r="AC252" s="417" t="str">
        <f t="shared" ca="1" si="23"/>
        <v/>
      </c>
      <c r="AD252" s="220"/>
    </row>
    <row r="253" spans="1:30" customFormat="1" ht="15">
      <c r="A253" s="220"/>
      <c r="B253" s="267">
        <v>215</v>
      </c>
      <c r="C253" s="245"/>
      <c r="D253" s="246"/>
      <c r="E253" s="238"/>
      <c r="F253" s="225"/>
      <c r="G253" s="231"/>
      <c r="H253" s="377">
        <v>239</v>
      </c>
      <c r="I253" s="394"/>
      <c r="J253" s="394"/>
      <c r="K253" s="403"/>
      <c r="L253" s="403"/>
      <c r="M253" s="403"/>
      <c r="N253" s="441"/>
      <c r="O253" s="403"/>
      <c r="P253" s="403"/>
      <c r="Q253" s="403"/>
      <c r="R253" s="441"/>
      <c r="S253" s="433"/>
      <c r="T253" s="412" t="str" cm="1">
        <f t="array" aca="1" ref="T253" ca="1">IF(AND($U$12,B277&lt;=$C$17,C277&lt;&gt;""),TRANSPOSE(INDEX(getcds(C277,$C$6,G277/10000,F277,D277,$C$13,$C$14,$C$15,$C$8,,,TRUE,TRUE,FALSE,$C$29:$C$31,$C$33),{1;2;3;4;5})),"")</f>
        <v/>
      </c>
      <c r="U253" s="413"/>
      <c r="V253" s="413"/>
      <c r="W253" s="414"/>
      <c r="X253" s="415"/>
      <c r="Y253" s="416" t="str">
        <f t="shared" ca="1" si="19"/>
        <v/>
      </c>
      <c r="Z253" s="417" t="str">
        <f t="shared" ca="1" si="20"/>
        <v/>
      </c>
      <c r="AA253" s="416" t="str">
        <f t="shared" ca="1" si="21"/>
        <v/>
      </c>
      <c r="AB253" s="418" t="str">
        <f t="shared" ca="1" si="22"/>
        <v/>
      </c>
      <c r="AC253" s="417" t="str">
        <f t="shared" ca="1" si="23"/>
        <v/>
      </c>
      <c r="AD253" s="220"/>
    </row>
    <row r="254" spans="1:30" customFormat="1" ht="15">
      <c r="A254" s="220"/>
      <c r="B254" s="267">
        <v>216</v>
      </c>
      <c r="C254" s="245"/>
      <c r="D254" s="246"/>
      <c r="E254" s="238"/>
      <c r="F254" s="225"/>
      <c r="G254" s="231"/>
      <c r="H254" s="377">
        <v>240</v>
      </c>
      <c r="I254" s="394"/>
      <c r="J254" s="394"/>
      <c r="K254" s="403"/>
      <c r="L254" s="403"/>
      <c r="M254" s="403"/>
      <c r="N254" s="441"/>
      <c r="O254" s="403"/>
      <c r="P254" s="403"/>
      <c r="Q254" s="403"/>
      <c r="R254" s="441"/>
      <c r="S254" s="433"/>
      <c r="T254" s="412" t="str" cm="1">
        <f t="array" aca="1" ref="T254" ca="1">IF(AND($U$12,B278&lt;=$C$17,C278&lt;&gt;""),TRANSPOSE(INDEX(getcds(C278,$C$6,G278/10000,F278,D278,$C$13,$C$14,$C$15,$C$8,,,TRUE,TRUE,FALSE,$C$29:$C$31,$C$33),{1;2;3;4;5})),"")</f>
        <v/>
      </c>
      <c r="U254" s="413"/>
      <c r="V254" s="413"/>
      <c r="W254" s="414"/>
      <c r="X254" s="415"/>
      <c r="Y254" s="416" t="str">
        <f t="shared" ca="1" si="19"/>
        <v/>
      </c>
      <c r="Z254" s="417" t="str">
        <f t="shared" ca="1" si="20"/>
        <v/>
      </c>
      <c r="AA254" s="416" t="str">
        <f t="shared" ca="1" si="21"/>
        <v/>
      </c>
      <c r="AB254" s="418" t="str">
        <f t="shared" ca="1" si="22"/>
        <v/>
      </c>
      <c r="AC254" s="417" t="str">
        <f t="shared" ca="1" si="23"/>
        <v/>
      </c>
      <c r="AD254" s="220"/>
    </row>
    <row r="255" spans="1:30" customFormat="1" ht="15">
      <c r="A255" s="220"/>
      <c r="B255" s="267">
        <v>217</v>
      </c>
      <c r="C255" s="245"/>
      <c r="D255" s="246"/>
      <c r="E255" s="238"/>
      <c r="F255" s="225"/>
      <c r="G255" s="231"/>
      <c r="H255" s="377">
        <v>241</v>
      </c>
      <c r="I255" s="394"/>
      <c r="J255" s="394"/>
      <c r="K255" s="403"/>
      <c r="L255" s="403"/>
      <c r="M255" s="403"/>
      <c r="N255" s="441"/>
      <c r="O255" s="403"/>
      <c r="P255" s="403"/>
      <c r="Q255" s="403"/>
      <c r="R255" s="441"/>
      <c r="S255" s="433"/>
      <c r="T255" s="412" t="str" cm="1">
        <f t="array" aca="1" ref="T255" ca="1">IF(AND($U$12,B279&lt;=$C$17,C279&lt;&gt;""),TRANSPOSE(INDEX(getcds(C279,$C$6,G279/10000,F279,D279,$C$13,$C$14,$C$15,$C$8,,,TRUE,TRUE,FALSE,$C$29:$C$31,$C$33),{1;2;3;4;5})),"")</f>
        <v/>
      </c>
      <c r="U255" s="413"/>
      <c r="V255" s="413"/>
      <c r="W255" s="414"/>
      <c r="X255" s="415"/>
      <c r="Y255" s="416" t="str">
        <f t="shared" ca="1" si="19"/>
        <v/>
      </c>
      <c r="Z255" s="417" t="str">
        <f t="shared" ca="1" si="20"/>
        <v/>
      </c>
      <c r="AA255" s="416" t="str">
        <f t="shared" ca="1" si="21"/>
        <v/>
      </c>
      <c r="AB255" s="418" t="str">
        <f t="shared" ca="1" si="22"/>
        <v/>
      </c>
      <c r="AC255" s="417" t="str">
        <f t="shared" ca="1" si="23"/>
        <v/>
      </c>
      <c r="AD255" s="220"/>
    </row>
    <row r="256" spans="1:30" customFormat="1" ht="15">
      <c r="A256" s="220"/>
      <c r="B256" s="267">
        <v>218</v>
      </c>
      <c r="C256" s="245"/>
      <c r="D256" s="246"/>
      <c r="E256" s="238"/>
      <c r="F256" s="225"/>
      <c r="G256" s="231"/>
      <c r="H256" s="377">
        <v>242</v>
      </c>
      <c r="I256" s="394"/>
      <c r="J256" s="394"/>
      <c r="K256" s="403"/>
      <c r="L256" s="403"/>
      <c r="M256" s="403"/>
      <c r="N256" s="441"/>
      <c r="O256" s="403"/>
      <c r="P256" s="403"/>
      <c r="Q256" s="403"/>
      <c r="R256" s="441"/>
      <c r="S256" s="433"/>
      <c r="T256" s="412" t="str" cm="1">
        <f t="array" aca="1" ref="T256" ca="1">IF(AND($U$12,B280&lt;=$C$17,C280&lt;&gt;""),TRANSPOSE(INDEX(getcds(C280,$C$6,G280/10000,F280,D280,$C$13,$C$14,$C$15,$C$8,,,TRUE,TRUE,FALSE,$C$29:$C$31,$C$33),{1;2;3;4;5})),"")</f>
        <v/>
      </c>
      <c r="U256" s="413"/>
      <c r="V256" s="413"/>
      <c r="W256" s="414"/>
      <c r="X256" s="415"/>
      <c r="Y256" s="416" t="str">
        <f t="shared" ca="1" si="19"/>
        <v/>
      </c>
      <c r="Z256" s="417" t="str">
        <f t="shared" ca="1" si="20"/>
        <v/>
      </c>
      <c r="AA256" s="416" t="str">
        <f t="shared" ca="1" si="21"/>
        <v/>
      </c>
      <c r="AB256" s="418" t="str">
        <f t="shared" ca="1" si="22"/>
        <v/>
      </c>
      <c r="AC256" s="417" t="str">
        <f t="shared" ca="1" si="23"/>
        <v/>
      </c>
      <c r="AD256" s="220"/>
    </row>
    <row r="257" spans="1:30" customFormat="1" ht="15">
      <c r="A257" s="220"/>
      <c r="B257" s="267">
        <v>219</v>
      </c>
      <c r="C257" s="245"/>
      <c r="D257" s="246"/>
      <c r="E257" s="238"/>
      <c r="F257" s="225"/>
      <c r="G257" s="231"/>
      <c r="H257" s="377">
        <v>243</v>
      </c>
      <c r="I257" s="394"/>
      <c r="J257" s="394"/>
      <c r="K257" s="403"/>
      <c r="L257" s="403"/>
      <c r="M257" s="403"/>
      <c r="N257" s="441"/>
      <c r="O257" s="403"/>
      <c r="P257" s="403"/>
      <c r="Q257" s="403"/>
      <c r="R257" s="441"/>
      <c r="S257" s="433"/>
      <c r="T257" s="412" t="str" cm="1">
        <f t="array" aca="1" ref="T257" ca="1">IF(AND($U$12,B281&lt;=$C$17,C281&lt;&gt;""),TRANSPOSE(INDEX(getcds(C281,$C$6,G281/10000,F281,D281,$C$13,$C$14,$C$15,$C$8,,,TRUE,TRUE,FALSE,$C$29:$C$31,$C$33),{1;2;3;4;5})),"")</f>
        <v/>
      </c>
      <c r="U257" s="413"/>
      <c r="V257" s="413"/>
      <c r="W257" s="414"/>
      <c r="X257" s="415"/>
      <c r="Y257" s="416" t="str">
        <f t="shared" ca="1" si="19"/>
        <v/>
      </c>
      <c r="Z257" s="417" t="str">
        <f t="shared" ca="1" si="20"/>
        <v/>
      </c>
      <c r="AA257" s="416" t="str">
        <f t="shared" ca="1" si="21"/>
        <v/>
      </c>
      <c r="AB257" s="418" t="str">
        <f t="shared" ca="1" si="22"/>
        <v/>
      </c>
      <c r="AC257" s="417" t="str">
        <f t="shared" ca="1" si="23"/>
        <v/>
      </c>
      <c r="AD257" s="220"/>
    </row>
    <row r="258" spans="1:30" customFormat="1" ht="15">
      <c r="A258" s="220"/>
      <c r="B258" s="267">
        <v>220</v>
      </c>
      <c r="C258" s="245"/>
      <c r="D258" s="246"/>
      <c r="E258" s="238"/>
      <c r="F258" s="225"/>
      <c r="G258" s="231"/>
      <c r="H258" s="377">
        <v>244</v>
      </c>
      <c r="I258" s="394"/>
      <c r="J258" s="394"/>
      <c r="K258" s="403"/>
      <c r="L258" s="403"/>
      <c r="M258" s="403"/>
      <c r="N258" s="441"/>
      <c r="O258" s="403"/>
      <c r="P258" s="403"/>
      <c r="Q258" s="403"/>
      <c r="R258" s="441"/>
      <c r="S258" s="433"/>
      <c r="T258" s="412" t="str" cm="1">
        <f t="array" aca="1" ref="T258" ca="1">IF(AND($U$12,B282&lt;=$C$17,C282&lt;&gt;""),TRANSPOSE(INDEX(getcds(C282,$C$6,G282/10000,F282,D282,$C$13,$C$14,$C$15,$C$8,,,TRUE,TRUE,FALSE,$C$29:$C$31,$C$33),{1;2;3;4;5})),"")</f>
        <v/>
      </c>
      <c r="U258" s="413"/>
      <c r="V258" s="413"/>
      <c r="W258" s="414"/>
      <c r="X258" s="415"/>
      <c r="Y258" s="416" t="str">
        <f t="shared" ca="1" si="19"/>
        <v/>
      </c>
      <c r="Z258" s="417" t="str">
        <f t="shared" ca="1" si="20"/>
        <v/>
      </c>
      <c r="AA258" s="416" t="str">
        <f t="shared" ca="1" si="21"/>
        <v/>
      </c>
      <c r="AB258" s="418" t="str">
        <f t="shared" ca="1" si="22"/>
        <v/>
      </c>
      <c r="AC258" s="417" t="str">
        <f t="shared" ca="1" si="23"/>
        <v/>
      </c>
      <c r="AD258" s="220"/>
    </row>
    <row r="259" spans="1:30" customFormat="1" ht="15">
      <c r="A259" s="220"/>
      <c r="B259" s="267">
        <v>221</v>
      </c>
      <c r="C259" s="245"/>
      <c r="D259" s="246"/>
      <c r="E259" s="238"/>
      <c r="F259" s="225"/>
      <c r="G259" s="231"/>
      <c r="H259" s="377">
        <v>245</v>
      </c>
      <c r="I259" s="394"/>
      <c r="J259" s="394"/>
      <c r="K259" s="403"/>
      <c r="L259" s="403"/>
      <c r="M259" s="403"/>
      <c r="N259" s="441"/>
      <c r="O259" s="403"/>
      <c r="P259" s="403"/>
      <c r="Q259" s="403"/>
      <c r="R259" s="441"/>
      <c r="S259" s="433"/>
      <c r="T259" s="412" t="str" cm="1">
        <f t="array" aca="1" ref="T259" ca="1">IF(AND($U$12,B283&lt;=$C$17,C283&lt;&gt;""),TRANSPOSE(INDEX(getcds(C283,$C$6,G283/10000,F283,D283,$C$13,$C$14,$C$15,$C$8,,,TRUE,TRUE,FALSE,$C$29:$C$31,$C$33),{1;2;3;4;5})),"")</f>
        <v/>
      </c>
      <c r="U259" s="413"/>
      <c r="V259" s="413"/>
      <c r="W259" s="414"/>
      <c r="X259" s="415"/>
      <c r="Y259" s="416" t="str">
        <f t="shared" ca="1" si="19"/>
        <v/>
      </c>
      <c r="Z259" s="417" t="str">
        <f t="shared" ca="1" si="20"/>
        <v/>
      </c>
      <c r="AA259" s="416" t="str">
        <f t="shared" ca="1" si="21"/>
        <v/>
      </c>
      <c r="AB259" s="418" t="str">
        <f t="shared" ca="1" si="22"/>
        <v/>
      </c>
      <c r="AC259" s="417" t="str">
        <f t="shared" ca="1" si="23"/>
        <v/>
      </c>
      <c r="AD259" s="220"/>
    </row>
    <row r="260" spans="1:30" customFormat="1" ht="15">
      <c r="A260" s="220"/>
      <c r="B260" s="267">
        <v>222</v>
      </c>
      <c r="C260" s="245"/>
      <c r="D260" s="246"/>
      <c r="E260" s="238"/>
      <c r="F260" s="225"/>
      <c r="G260" s="231"/>
      <c r="H260" s="377">
        <v>246</v>
      </c>
      <c r="I260" s="394"/>
      <c r="J260" s="394"/>
      <c r="K260" s="403"/>
      <c r="L260" s="403"/>
      <c r="M260" s="403"/>
      <c r="N260" s="441"/>
      <c r="O260" s="403"/>
      <c r="P260" s="403"/>
      <c r="Q260" s="403"/>
      <c r="R260" s="441"/>
      <c r="S260" s="433"/>
      <c r="T260" s="412" t="str" cm="1">
        <f t="array" aca="1" ref="T260" ca="1">IF(AND($U$12,B284&lt;=$C$17,C284&lt;&gt;""),TRANSPOSE(INDEX(getcds(C284,$C$6,G284/10000,F284,D284,$C$13,$C$14,$C$15,$C$8,,,TRUE,TRUE,FALSE,$C$29:$C$31,$C$33),{1;2;3;4;5})),"")</f>
        <v/>
      </c>
      <c r="U260" s="413"/>
      <c r="V260" s="413"/>
      <c r="W260" s="414"/>
      <c r="X260" s="415"/>
      <c r="Y260" s="416" t="str">
        <f t="shared" ca="1" si="19"/>
        <v/>
      </c>
      <c r="Z260" s="417" t="str">
        <f t="shared" ca="1" si="20"/>
        <v/>
      </c>
      <c r="AA260" s="416" t="str">
        <f t="shared" ca="1" si="21"/>
        <v/>
      </c>
      <c r="AB260" s="418" t="str">
        <f t="shared" ca="1" si="22"/>
        <v/>
      </c>
      <c r="AC260" s="417" t="str">
        <f t="shared" ca="1" si="23"/>
        <v/>
      </c>
      <c r="AD260" s="220"/>
    </row>
    <row r="261" spans="1:30" customFormat="1" ht="15">
      <c r="A261" s="220"/>
      <c r="B261" s="267">
        <v>223</v>
      </c>
      <c r="C261" s="245"/>
      <c r="D261" s="246"/>
      <c r="E261" s="238"/>
      <c r="F261" s="225"/>
      <c r="G261" s="231"/>
      <c r="H261" s="377">
        <v>247</v>
      </c>
      <c r="I261" s="394"/>
      <c r="J261" s="394"/>
      <c r="K261" s="403"/>
      <c r="L261" s="403"/>
      <c r="M261" s="403"/>
      <c r="N261" s="441"/>
      <c r="O261" s="403"/>
      <c r="P261" s="403"/>
      <c r="Q261" s="403"/>
      <c r="R261" s="441"/>
      <c r="S261" s="433"/>
      <c r="T261" s="412" t="str" cm="1">
        <f t="array" aca="1" ref="T261" ca="1">IF(AND($U$12,B285&lt;=$C$17,C285&lt;&gt;""),TRANSPOSE(INDEX(getcds(C285,$C$6,G285/10000,F285,D285,$C$13,$C$14,$C$15,$C$8,,,TRUE,TRUE,FALSE,$C$29:$C$31,$C$33),{1;2;3;4;5})),"")</f>
        <v/>
      </c>
      <c r="U261" s="413"/>
      <c r="V261" s="413"/>
      <c r="W261" s="414"/>
      <c r="X261" s="415"/>
      <c r="Y261" s="416" t="str">
        <f t="shared" ca="1" si="19"/>
        <v/>
      </c>
      <c r="Z261" s="417" t="str">
        <f t="shared" ca="1" si="20"/>
        <v/>
      </c>
      <c r="AA261" s="416" t="str">
        <f t="shared" ca="1" si="21"/>
        <v/>
      </c>
      <c r="AB261" s="418" t="str">
        <f t="shared" ca="1" si="22"/>
        <v/>
      </c>
      <c r="AC261" s="417" t="str">
        <f t="shared" ca="1" si="23"/>
        <v/>
      </c>
      <c r="AD261" s="220"/>
    </row>
    <row r="262" spans="1:30" customFormat="1" ht="15">
      <c r="A262" s="220"/>
      <c r="B262" s="267">
        <v>224</v>
      </c>
      <c r="C262" s="245"/>
      <c r="D262" s="246"/>
      <c r="E262" s="238"/>
      <c r="F262" s="225"/>
      <c r="G262" s="231"/>
      <c r="H262" s="377">
        <v>248</v>
      </c>
      <c r="I262" s="394"/>
      <c r="J262" s="394"/>
      <c r="K262" s="403"/>
      <c r="L262" s="403"/>
      <c r="M262" s="403"/>
      <c r="N262" s="441"/>
      <c r="O262" s="403"/>
      <c r="P262" s="403"/>
      <c r="Q262" s="403"/>
      <c r="R262" s="441"/>
      <c r="S262" s="433"/>
      <c r="T262" s="412" t="str" cm="1">
        <f t="array" aca="1" ref="T262" ca="1">IF(AND($U$12,B286&lt;=$C$17,C286&lt;&gt;""),TRANSPOSE(INDEX(getcds(C286,$C$6,G286/10000,F286,D286,$C$13,$C$14,$C$15,$C$8,,,TRUE,TRUE,FALSE,$C$29:$C$31,$C$33),{1;2;3;4;5})),"")</f>
        <v/>
      </c>
      <c r="U262" s="413"/>
      <c r="V262" s="413"/>
      <c r="W262" s="414"/>
      <c r="X262" s="415"/>
      <c r="Y262" s="416" t="str">
        <f t="shared" ca="1" si="19"/>
        <v/>
      </c>
      <c r="Z262" s="417" t="str">
        <f t="shared" ca="1" si="20"/>
        <v/>
      </c>
      <c r="AA262" s="416" t="str">
        <f t="shared" ca="1" si="21"/>
        <v/>
      </c>
      <c r="AB262" s="418" t="str">
        <f t="shared" ca="1" si="22"/>
        <v/>
      </c>
      <c r="AC262" s="417" t="str">
        <f t="shared" ca="1" si="23"/>
        <v/>
      </c>
      <c r="AD262" s="220"/>
    </row>
    <row r="263" spans="1:30" customFormat="1" ht="15">
      <c r="A263" s="220"/>
      <c r="B263" s="267">
        <v>225</v>
      </c>
      <c r="C263" s="245"/>
      <c r="D263" s="246"/>
      <c r="E263" s="238"/>
      <c r="F263" s="225"/>
      <c r="G263" s="231"/>
      <c r="H263" s="377">
        <v>249</v>
      </c>
      <c r="I263" s="394"/>
      <c r="J263" s="394"/>
      <c r="K263" s="403"/>
      <c r="L263" s="403"/>
      <c r="M263" s="403"/>
      <c r="N263" s="441"/>
      <c r="O263" s="403"/>
      <c r="P263" s="403"/>
      <c r="Q263" s="403"/>
      <c r="R263" s="441"/>
      <c r="S263" s="433"/>
      <c r="T263" s="412" t="str" cm="1">
        <f t="array" aca="1" ref="T263" ca="1">IF(AND($U$12,B287&lt;=$C$17,C287&lt;&gt;""),TRANSPOSE(INDEX(getcds(C287,$C$6,G287/10000,F287,D287,$C$13,$C$14,$C$15,$C$8,,,TRUE,TRUE,FALSE,$C$29:$C$31,$C$33),{1;2;3;4;5})),"")</f>
        <v/>
      </c>
      <c r="U263" s="413"/>
      <c r="V263" s="413"/>
      <c r="W263" s="414"/>
      <c r="X263" s="415"/>
      <c r="Y263" s="416" t="str">
        <f t="shared" ca="1" si="19"/>
        <v/>
      </c>
      <c r="Z263" s="417" t="str">
        <f t="shared" ca="1" si="20"/>
        <v/>
      </c>
      <c r="AA263" s="416" t="str">
        <f t="shared" ca="1" si="21"/>
        <v/>
      </c>
      <c r="AB263" s="418" t="str">
        <f t="shared" ca="1" si="22"/>
        <v/>
      </c>
      <c r="AC263" s="417" t="str">
        <f t="shared" ca="1" si="23"/>
        <v/>
      </c>
      <c r="AD263" s="220"/>
    </row>
    <row r="264" spans="1:30" customFormat="1" ht="15">
      <c r="A264" s="220"/>
      <c r="B264" s="267">
        <v>226</v>
      </c>
      <c r="C264" s="245"/>
      <c r="D264" s="246"/>
      <c r="E264" s="238"/>
      <c r="F264" s="225"/>
      <c r="G264" s="231"/>
      <c r="H264" s="377">
        <v>250</v>
      </c>
      <c r="I264" s="394"/>
      <c r="J264" s="394"/>
      <c r="K264" s="403"/>
      <c r="L264" s="403"/>
      <c r="M264" s="403"/>
      <c r="N264" s="441"/>
      <c r="O264" s="403"/>
      <c r="P264" s="403"/>
      <c r="Q264" s="403"/>
      <c r="R264" s="441"/>
      <c r="S264" s="433"/>
      <c r="T264" s="412" t="str" cm="1">
        <f t="array" aca="1" ref="T264" ca="1">IF(AND($U$12,B288&lt;=$C$17,C288&lt;&gt;""),TRANSPOSE(INDEX(getcds(C288,$C$6,G288/10000,F288,D288,$C$13,$C$14,$C$15,$C$8,,,TRUE,TRUE,FALSE,$C$29:$C$31,$C$33),{1;2;3;4;5})),"")</f>
        <v/>
      </c>
      <c r="U264" s="413"/>
      <c r="V264" s="413"/>
      <c r="W264" s="414"/>
      <c r="X264" s="415"/>
      <c r="Y264" s="416" t="str">
        <f t="shared" ca="1" si="19"/>
        <v/>
      </c>
      <c r="Z264" s="417" t="str">
        <f t="shared" ca="1" si="20"/>
        <v/>
      </c>
      <c r="AA264" s="416" t="str">
        <f t="shared" ca="1" si="21"/>
        <v/>
      </c>
      <c r="AB264" s="418" t="str">
        <f t="shared" ca="1" si="22"/>
        <v/>
      </c>
      <c r="AC264" s="417" t="str">
        <f t="shared" ca="1" si="23"/>
        <v/>
      </c>
      <c r="AD264" s="220"/>
    </row>
    <row r="265" spans="1:30" customFormat="1" ht="15">
      <c r="A265" s="220"/>
      <c r="B265" s="267">
        <v>227</v>
      </c>
      <c r="C265" s="245"/>
      <c r="D265" s="246"/>
      <c r="E265" s="238"/>
      <c r="F265" s="225"/>
      <c r="G265" s="231"/>
      <c r="H265" s="377">
        <v>251</v>
      </c>
      <c r="I265" s="394"/>
      <c r="J265" s="394"/>
      <c r="K265" s="403"/>
      <c r="L265" s="403"/>
      <c r="M265" s="403"/>
      <c r="N265" s="441"/>
      <c r="O265" s="403"/>
      <c r="P265" s="403"/>
      <c r="Q265" s="403"/>
      <c r="R265" s="441"/>
      <c r="S265" s="433"/>
      <c r="T265" s="412" t="str" cm="1">
        <f t="array" aca="1" ref="T265" ca="1">IF(AND($U$12,B289&lt;=$C$17,C289&lt;&gt;""),TRANSPOSE(INDEX(getcds(C289,$C$6,G289/10000,F289,D289,$C$13,$C$14,$C$15,$C$8,,,TRUE,TRUE,FALSE,$C$29:$C$31,$C$33),{1;2;3;4;5})),"")</f>
        <v/>
      </c>
      <c r="U265" s="413"/>
      <c r="V265" s="413"/>
      <c r="W265" s="414"/>
      <c r="X265" s="415"/>
      <c r="Y265" s="416" t="str">
        <f t="shared" ca="1" si="19"/>
        <v/>
      </c>
      <c r="Z265" s="417" t="str">
        <f t="shared" ca="1" si="20"/>
        <v/>
      </c>
      <c r="AA265" s="416" t="str">
        <f t="shared" ca="1" si="21"/>
        <v/>
      </c>
      <c r="AB265" s="418" t="str">
        <f t="shared" ca="1" si="22"/>
        <v/>
      </c>
      <c r="AC265" s="417" t="str">
        <f t="shared" ca="1" si="23"/>
        <v/>
      </c>
      <c r="AD265" s="220"/>
    </row>
    <row r="266" spans="1:30" customFormat="1" ht="15">
      <c r="A266" s="220"/>
      <c r="B266" s="267">
        <v>228</v>
      </c>
      <c r="C266" s="245"/>
      <c r="D266" s="246"/>
      <c r="E266" s="238"/>
      <c r="F266" s="225"/>
      <c r="G266" s="231"/>
      <c r="H266" s="377">
        <v>252</v>
      </c>
      <c r="I266" s="394"/>
      <c r="J266" s="394"/>
      <c r="K266" s="403"/>
      <c r="L266" s="403"/>
      <c r="M266" s="403"/>
      <c r="N266" s="441"/>
      <c r="O266" s="403"/>
      <c r="P266" s="403"/>
      <c r="Q266" s="403"/>
      <c r="R266" s="441"/>
      <c r="S266" s="433"/>
      <c r="T266" s="412" t="str" cm="1">
        <f t="array" aca="1" ref="T266" ca="1">IF(AND($U$12,B290&lt;=$C$17,C290&lt;&gt;""),TRANSPOSE(INDEX(getcds(C290,$C$6,G290/10000,F290,D290,$C$13,$C$14,$C$15,$C$8,,,TRUE,TRUE,FALSE,$C$29:$C$31,$C$33),{1;2;3;4;5})),"")</f>
        <v/>
      </c>
      <c r="U266" s="413"/>
      <c r="V266" s="413"/>
      <c r="W266" s="414"/>
      <c r="X266" s="415"/>
      <c r="Y266" s="416" t="str">
        <f t="shared" ca="1" si="19"/>
        <v/>
      </c>
      <c r="Z266" s="417" t="str">
        <f t="shared" ca="1" si="20"/>
        <v/>
      </c>
      <c r="AA266" s="416" t="str">
        <f t="shared" ca="1" si="21"/>
        <v/>
      </c>
      <c r="AB266" s="418" t="str">
        <f t="shared" ca="1" si="22"/>
        <v/>
      </c>
      <c r="AC266" s="417" t="str">
        <f t="shared" ca="1" si="23"/>
        <v/>
      </c>
      <c r="AD266" s="220"/>
    </row>
    <row r="267" spans="1:30" customFormat="1" ht="15">
      <c r="A267" s="220"/>
      <c r="B267" s="267">
        <v>229</v>
      </c>
      <c r="C267" s="245"/>
      <c r="D267" s="246"/>
      <c r="E267" s="238"/>
      <c r="F267" s="225"/>
      <c r="G267" s="231"/>
      <c r="H267" s="377">
        <v>253</v>
      </c>
      <c r="I267" s="394"/>
      <c r="J267" s="394"/>
      <c r="K267" s="403"/>
      <c r="L267" s="403"/>
      <c r="M267" s="403"/>
      <c r="N267" s="441"/>
      <c r="O267" s="403"/>
      <c r="P267" s="403"/>
      <c r="Q267" s="403"/>
      <c r="R267" s="441"/>
      <c r="S267" s="433"/>
      <c r="T267" s="412" t="str" cm="1">
        <f t="array" aca="1" ref="T267" ca="1">IF(AND($U$12,B291&lt;=$C$17,C291&lt;&gt;""),TRANSPOSE(INDEX(getcds(C291,$C$6,G291/10000,F291,D291,$C$13,$C$14,$C$15,$C$8,,,TRUE,TRUE,FALSE,$C$29:$C$31,$C$33),{1;2;3;4;5})),"")</f>
        <v/>
      </c>
      <c r="U267" s="413"/>
      <c r="V267" s="413"/>
      <c r="W267" s="414"/>
      <c r="X267" s="415"/>
      <c r="Y267" s="416" t="str">
        <f t="shared" ca="1" si="19"/>
        <v/>
      </c>
      <c r="Z267" s="417" t="str">
        <f t="shared" ca="1" si="20"/>
        <v/>
      </c>
      <c r="AA267" s="416" t="str">
        <f t="shared" ca="1" si="21"/>
        <v/>
      </c>
      <c r="AB267" s="418" t="str">
        <f t="shared" ca="1" si="22"/>
        <v/>
      </c>
      <c r="AC267" s="417" t="str">
        <f t="shared" ca="1" si="23"/>
        <v/>
      </c>
      <c r="AD267" s="220"/>
    </row>
    <row r="268" spans="1:30" customFormat="1" ht="15">
      <c r="A268" s="220"/>
      <c r="B268" s="267">
        <v>230</v>
      </c>
      <c r="C268" s="245"/>
      <c r="D268" s="246"/>
      <c r="E268" s="238"/>
      <c r="F268" s="225"/>
      <c r="G268" s="231"/>
      <c r="H268" s="377">
        <v>254</v>
      </c>
      <c r="I268" s="394"/>
      <c r="J268" s="394"/>
      <c r="K268" s="403"/>
      <c r="L268" s="403"/>
      <c r="M268" s="403"/>
      <c r="N268" s="441"/>
      <c r="O268" s="403"/>
      <c r="P268" s="403"/>
      <c r="Q268" s="403"/>
      <c r="R268" s="441"/>
      <c r="S268" s="433"/>
      <c r="T268" s="412" t="str" cm="1">
        <f t="array" aca="1" ref="T268" ca="1">IF(AND($U$12,B292&lt;=$C$17,C292&lt;&gt;""),TRANSPOSE(INDEX(getcds(C292,$C$6,G292/10000,F292,D292,$C$13,$C$14,$C$15,$C$8,,,TRUE,TRUE,FALSE,$C$29:$C$31,$C$33),{1;2;3;4;5})),"")</f>
        <v/>
      </c>
      <c r="U268" s="413"/>
      <c r="V268" s="413"/>
      <c r="W268" s="414"/>
      <c r="X268" s="415"/>
      <c r="Y268" s="416" t="str">
        <f t="shared" ca="1" si="19"/>
        <v/>
      </c>
      <c r="Z268" s="417" t="str">
        <f t="shared" ca="1" si="20"/>
        <v/>
      </c>
      <c r="AA268" s="416" t="str">
        <f t="shared" ca="1" si="21"/>
        <v/>
      </c>
      <c r="AB268" s="418" t="str">
        <f t="shared" ca="1" si="22"/>
        <v/>
      </c>
      <c r="AC268" s="417" t="str">
        <f t="shared" ca="1" si="23"/>
        <v/>
      </c>
      <c r="AD268" s="220"/>
    </row>
    <row r="269" spans="1:30" customFormat="1" ht="15">
      <c r="A269" s="220"/>
      <c r="B269" s="267">
        <v>231</v>
      </c>
      <c r="C269" s="245"/>
      <c r="D269" s="246"/>
      <c r="E269" s="238"/>
      <c r="F269" s="225"/>
      <c r="G269" s="231"/>
      <c r="H269" s="377">
        <v>255</v>
      </c>
      <c r="I269" s="394"/>
      <c r="J269" s="394"/>
      <c r="K269" s="403"/>
      <c r="L269" s="403"/>
      <c r="M269" s="403"/>
      <c r="N269" s="441"/>
      <c r="O269" s="403"/>
      <c r="P269" s="403"/>
      <c r="Q269" s="403"/>
      <c r="R269" s="441"/>
      <c r="S269" s="433"/>
      <c r="T269" s="412" t="str" cm="1">
        <f t="array" aca="1" ref="T269" ca="1">IF(AND($U$12,B293&lt;=$C$17,C293&lt;&gt;""),TRANSPOSE(INDEX(getcds(C293,$C$6,G293/10000,F293,D293,$C$13,$C$14,$C$15,$C$8,,,TRUE,TRUE,FALSE,$C$29:$C$31,$C$33),{1;2;3;4;5})),"")</f>
        <v/>
      </c>
      <c r="U269" s="413"/>
      <c r="V269" s="413"/>
      <c r="W269" s="414"/>
      <c r="X269" s="415"/>
      <c r="Y269" s="416" t="str">
        <f t="shared" ca="1" si="19"/>
        <v/>
      </c>
      <c r="Z269" s="417" t="str">
        <f t="shared" ca="1" si="20"/>
        <v/>
      </c>
      <c r="AA269" s="416" t="str">
        <f t="shared" ca="1" si="21"/>
        <v/>
      </c>
      <c r="AB269" s="418" t="str">
        <f t="shared" ca="1" si="22"/>
        <v/>
      </c>
      <c r="AC269" s="417" t="str">
        <f t="shared" ca="1" si="23"/>
        <v/>
      </c>
      <c r="AD269" s="220"/>
    </row>
    <row r="270" spans="1:30" customFormat="1" ht="15">
      <c r="A270" s="220"/>
      <c r="B270" s="267">
        <v>232</v>
      </c>
      <c r="C270" s="245"/>
      <c r="D270" s="246"/>
      <c r="E270" s="238"/>
      <c r="F270" s="225"/>
      <c r="G270" s="231"/>
      <c r="H270" s="377">
        <v>256</v>
      </c>
      <c r="I270" s="394"/>
      <c r="J270" s="394"/>
      <c r="K270" s="403"/>
      <c r="L270" s="403"/>
      <c r="M270" s="403"/>
      <c r="N270" s="441"/>
      <c r="O270" s="403"/>
      <c r="P270" s="403"/>
      <c r="Q270" s="403"/>
      <c r="R270" s="441"/>
      <c r="S270" s="433"/>
      <c r="T270" s="412" t="str" cm="1">
        <f t="array" aca="1" ref="T270" ca="1">IF(AND($U$12,B294&lt;=$C$17,C294&lt;&gt;""),TRANSPOSE(INDEX(getcds(C294,$C$6,G294/10000,F294,D294,$C$13,$C$14,$C$15,$C$8,,,TRUE,TRUE,FALSE,$C$29:$C$31,$C$33),{1;2;3;4;5})),"")</f>
        <v/>
      </c>
      <c r="U270" s="413"/>
      <c r="V270" s="413"/>
      <c r="W270" s="414"/>
      <c r="X270" s="415"/>
      <c r="Y270" s="416" t="str">
        <f t="shared" ca="1" si="19"/>
        <v/>
      </c>
      <c r="Z270" s="417" t="str">
        <f t="shared" ca="1" si="20"/>
        <v/>
      </c>
      <c r="AA270" s="416" t="str">
        <f t="shared" ca="1" si="21"/>
        <v/>
      </c>
      <c r="AB270" s="418" t="str">
        <f t="shared" ca="1" si="22"/>
        <v/>
      </c>
      <c r="AC270" s="417" t="str">
        <f t="shared" ca="1" si="23"/>
        <v/>
      </c>
      <c r="AD270" s="220"/>
    </row>
    <row r="271" spans="1:30" customFormat="1" ht="15">
      <c r="A271" s="220"/>
      <c r="B271" s="267">
        <v>233</v>
      </c>
      <c r="C271" s="245"/>
      <c r="D271" s="246"/>
      <c r="E271" s="238"/>
      <c r="F271" s="225"/>
      <c r="G271" s="231"/>
      <c r="H271" s="377">
        <v>257</v>
      </c>
      <c r="I271" s="394"/>
      <c r="J271" s="394"/>
      <c r="K271" s="403"/>
      <c r="L271" s="403"/>
      <c r="M271" s="403"/>
      <c r="N271" s="441"/>
      <c r="O271" s="403"/>
      <c r="P271" s="403"/>
      <c r="Q271" s="403"/>
      <c r="R271" s="441"/>
      <c r="S271" s="433"/>
      <c r="T271" s="412" t="str" cm="1">
        <f t="array" aca="1" ref="T271" ca="1">IF(AND($U$12,B295&lt;=$C$17,C295&lt;&gt;""),TRANSPOSE(INDEX(getcds(C295,$C$6,G295/10000,F295,D295,$C$13,$C$14,$C$15,$C$8,,,TRUE,TRUE,FALSE,$C$29:$C$31,$C$33),{1;2;3;4;5})),"")</f>
        <v/>
      </c>
      <c r="U271" s="413"/>
      <c r="V271" s="413"/>
      <c r="W271" s="414"/>
      <c r="X271" s="415"/>
      <c r="Y271" s="416" t="str">
        <f t="shared" ca="1" si="19"/>
        <v/>
      </c>
      <c r="Z271" s="417" t="str">
        <f t="shared" ca="1" si="20"/>
        <v/>
      </c>
      <c r="AA271" s="416" t="str">
        <f t="shared" ca="1" si="21"/>
        <v/>
      </c>
      <c r="AB271" s="418" t="str">
        <f t="shared" ca="1" si="22"/>
        <v/>
      </c>
      <c r="AC271" s="417" t="str">
        <f t="shared" ca="1" si="23"/>
        <v/>
      </c>
      <c r="AD271" s="220"/>
    </row>
    <row r="272" spans="1:30" customFormat="1" ht="15">
      <c r="A272" s="220"/>
      <c r="B272" s="267">
        <v>234</v>
      </c>
      <c r="C272" s="245"/>
      <c r="D272" s="246"/>
      <c r="E272" s="238"/>
      <c r="F272" s="225"/>
      <c r="G272" s="231"/>
      <c r="H272" s="377">
        <v>258</v>
      </c>
      <c r="I272" s="394"/>
      <c r="J272" s="394"/>
      <c r="K272" s="403"/>
      <c r="L272" s="403"/>
      <c r="M272" s="403"/>
      <c r="N272" s="441"/>
      <c r="O272" s="403"/>
      <c r="P272" s="403"/>
      <c r="Q272" s="403"/>
      <c r="R272" s="441"/>
      <c r="S272" s="433"/>
      <c r="T272" s="412" t="str" cm="1">
        <f t="array" aca="1" ref="T272" ca="1">IF(AND($U$12,B296&lt;=$C$17,C296&lt;&gt;""),TRANSPOSE(INDEX(getcds(C296,$C$6,G296/10000,F296,D296,$C$13,$C$14,$C$15,$C$8,,,TRUE,TRUE,FALSE,$C$29:$C$31,$C$33),{1;2;3;4;5})),"")</f>
        <v/>
      </c>
      <c r="U272" s="413"/>
      <c r="V272" s="413"/>
      <c r="W272" s="414"/>
      <c r="X272" s="415"/>
      <c r="Y272" s="416" t="str">
        <f t="shared" ref="Y272:Y314" ca="1" si="24">IF($U$12,IF(T272="","",$U$13*D296/$C$18),"")</f>
        <v/>
      </c>
      <c r="Z272" s="417" t="str">
        <f t="shared" ref="Z272:Z314" ca="1" si="25">IF($U$12,IF(Y272="","",Y272*($Z$10-W272)*X272),"")</f>
        <v/>
      </c>
      <c r="AA272" s="416" t="str">
        <f t="shared" ref="AA272:AA313" ca="1" si="26">IF($U$12,IF(OR(T272="",L272=""),"",L272/($C$20-$C$19)),"")</f>
        <v/>
      </c>
      <c r="AB272" s="418" t="str">
        <f t="shared" ref="AB272:AB313" ca="1" si="27">IF($U$12,IF(W272="","",W272*$AC$10),"")</f>
        <v/>
      </c>
      <c r="AC272" s="417" t="str">
        <f t="shared" ref="AC272:AC313" ca="1" si="28">IF($U$12,IF(AA272="","",AA272*(AB272-W272)*X272),"")</f>
        <v/>
      </c>
      <c r="AD272" s="220"/>
    </row>
    <row r="273" spans="1:30" customFormat="1" ht="15">
      <c r="A273" s="220"/>
      <c r="B273" s="267">
        <v>235</v>
      </c>
      <c r="C273" s="245"/>
      <c r="D273" s="246"/>
      <c r="E273" s="238"/>
      <c r="F273" s="225"/>
      <c r="G273" s="231"/>
      <c r="H273" s="377">
        <v>259</v>
      </c>
      <c r="I273" s="394"/>
      <c r="J273" s="394"/>
      <c r="K273" s="403"/>
      <c r="L273" s="403"/>
      <c r="M273" s="403"/>
      <c r="N273" s="441"/>
      <c r="O273" s="403"/>
      <c r="P273" s="403"/>
      <c r="Q273" s="403"/>
      <c r="R273" s="441"/>
      <c r="S273" s="433"/>
      <c r="T273" s="412" t="str" cm="1">
        <f t="array" aca="1" ref="T273" ca="1">IF(AND($U$12,B297&lt;=$C$17,C297&lt;&gt;""),TRANSPOSE(INDEX(getcds(C297,$C$6,G297/10000,F297,D297,$C$13,$C$14,$C$15,$C$8,,,TRUE,TRUE,FALSE,$C$29:$C$31,$C$33),{1;2;3;4;5})),"")</f>
        <v/>
      </c>
      <c r="U273" s="413"/>
      <c r="V273" s="413"/>
      <c r="W273" s="414"/>
      <c r="X273" s="415"/>
      <c r="Y273" s="416" t="str">
        <f t="shared" ca="1" si="24"/>
        <v/>
      </c>
      <c r="Z273" s="417" t="str">
        <f t="shared" ca="1" si="25"/>
        <v/>
      </c>
      <c r="AA273" s="416" t="str">
        <f t="shared" ca="1" si="26"/>
        <v/>
      </c>
      <c r="AB273" s="418" t="str">
        <f t="shared" ca="1" si="27"/>
        <v/>
      </c>
      <c r="AC273" s="417" t="str">
        <f t="shared" ca="1" si="28"/>
        <v/>
      </c>
      <c r="AD273" s="220"/>
    </row>
    <row r="274" spans="1:30" customFormat="1" ht="15">
      <c r="A274" s="220"/>
      <c r="B274" s="267">
        <v>236</v>
      </c>
      <c r="C274" s="245"/>
      <c r="D274" s="246"/>
      <c r="E274" s="238"/>
      <c r="F274" s="225"/>
      <c r="G274" s="231"/>
      <c r="H274" s="377">
        <v>260</v>
      </c>
      <c r="I274" s="394"/>
      <c r="J274" s="394"/>
      <c r="K274" s="403"/>
      <c r="L274" s="403"/>
      <c r="M274" s="403"/>
      <c r="N274" s="441"/>
      <c r="O274" s="403"/>
      <c r="P274" s="403"/>
      <c r="Q274" s="403"/>
      <c r="R274" s="441"/>
      <c r="S274" s="433"/>
      <c r="T274" s="412" t="str" cm="1">
        <f t="array" aca="1" ref="T274" ca="1">IF(AND($U$12,B298&lt;=$C$17,C298&lt;&gt;""),TRANSPOSE(INDEX(getcds(C298,$C$6,G298/10000,F298,D298,$C$13,$C$14,$C$15,$C$8,,,TRUE,TRUE,FALSE,$C$29:$C$31,$C$33),{1;2;3;4;5})),"")</f>
        <v/>
      </c>
      <c r="U274" s="413"/>
      <c r="V274" s="413"/>
      <c r="W274" s="414"/>
      <c r="X274" s="415"/>
      <c r="Y274" s="416" t="str">
        <f t="shared" ca="1" si="24"/>
        <v/>
      </c>
      <c r="Z274" s="417" t="str">
        <f t="shared" ca="1" si="25"/>
        <v/>
      </c>
      <c r="AA274" s="416" t="str">
        <f t="shared" ca="1" si="26"/>
        <v/>
      </c>
      <c r="AB274" s="418" t="str">
        <f t="shared" ca="1" si="27"/>
        <v/>
      </c>
      <c r="AC274" s="417" t="str">
        <f t="shared" ca="1" si="28"/>
        <v/>
      </c>
      <c r="AD274" s="220"/>
    </row>
    <row r="275" spans="1:30" customFormat="1" ht="15">
      <c r="A275" s="220"/>
      <c r="B275" s="267">
        <v>237</v>
      </c>
      <c r="C275" s="245"/>
      <c r="D275" s="246"/>
      <c r="E275" s="238"/>
      <c r="F275" s="225"/>
      <c r="G275" s="231"/>
      <c r="H275" s="377">
        <v>261</v>
      </c>
      <c r="I275" s="394"/>
      <c r="J275" s="394"/>
      <c r="K275" s="403"/>
      <c r="L275" s="403"/>
      <c r="M275" s="403"/>
      <c r="N275" s="441"/>
      <c r="O275" s="403"/>
      <c r="P275" s="403"/>
      <c r="Q275" s="403"/>
      <c r="R275" s="441"/>
      <c r="S275" s="433"/>
      <c r="T275" s="412" t="str" cm="1">
        <f t="array" aca="1" ref="T275" ca="1">IF(AND($U$12,B299&lt;=$C$17,C299&lt;&gt;""),TRANSPOSE(INDEX(getcds(C299,$C$6,G299/10000,F299,D299,$C$13,$C$14,$C$15,$C$8,,,TRUE,TRUE,FALSE,$C$29:$C$31,$C$33),{1;2;3;4;5})),"")</f>
        <v/>
      </c>
      <c r="U275" s="413"/>
      <c r="V275" s="413"/>
      <c r="W275" s="414"/>
      <c r="X275" s="415"/>
      <c r="Y275" s="416" t="str">
        <f t="shared" ca="1" si="24"/>
        <v/>
      </c>
      <c r="Z275" s="417" t="str">
        <f t="shared" ca="1" si="25"/>
        <v/>
      </c>
      <c r="AA275" s="416" t="str">
        <f t="shared" ca="1" si="26"/>
        <v/>
      </c>
      <c r="AB275" s="418" t="str">
        <f t="shared" ca="1" si="27"/>
        <v/>
      </c>
      <c r="AC275" s="417" t="str">
        <f t="shared" ca="1" si="28"/>
        <v/>
      </c>
      <c r="AD275" s="220"/>
    </row>
    <row r="276" spans="1:30" customFormat="1" ht="15">
      <c r="A276" s="220"/>
      <c r="B276" s="267">
        <v>238</v>
      </c>
      <c r="C276" s="245"/>
      <c r="D276" s="246"/>
      <c r="E276" s="238"/>
      <c r="F276" s="225"/>
      <c r="G276" s="231"/>
      <c r="H276" s="377">
        <v>262</v>
      </c>
      <c r="I276" s="394"/>
      <c r="J276" s="394"/>
      <c r="K276" s="403"/>
      <c r="L276" s="403"/>
      <c r="M276" s="403"/>
      <c r="N276" s="441"/>
      <c r="O276" s="403"/>
      <c r="P276" s="403"/>
      <c r="Q276" s="403"/>
      <c r="R276" s="441"/>
      <c r="S276" s="433"/>
      <c r="T276" s="412" t="str" cm="1">
        <f t="array" aca="1" ref="T276" ca="1">IF(AND($U$12,B300&lt;=$C$17,C300&lt;&gt;""),TRANSPOSE(INDEX(getcds(C300,$C$6,G300/10000,F300,D300,$C$13,$C$14,$C$15,$C$8,,,TRUE,TRUE,FALSE,$C$29:$C$31,$C$33),{1;2;3;4;5})),"")</f>
        <v/>
      </c>
      <c r="U276" s="413"/>
      <c r="V276" s="413"/>
      <c r="W276" s="414"/>
      <c r="X276" s="415"/>
      <c r="Y276" s="416" t="str">
        <f t="shared" ca="1" si="24"/>
        <v/>
      </c>
      <c r="Z276" s="417" t="str">
        <f t="shared" ca="1" si="25"/>
        <v/>
      </c>
      <c r="AA276" s="416" t="str">
        <f t="shared" ca="1" si="26"/>
        <v/>
      </c>
      <c r="AB276" s="418" t="str">
        <f t="shared" ca="1" si="27"/>
        <v/>
      </c>
      <c r="AC276" s="417" t="str">
        <f t="shared" ca="1" si="28"/>
        <v/>
      </c>
      <c r="AD276" s="220"/>
    </row>
    <row r="277" spans="1:30" customFormat="1" ht="15">
      <c r="A277" s="220"/>
      <c r="B277" s="267">
        <v>239</v>
      </c>
      <c r="C277" s="245"/>
      <c r="D277" s="246"/>
      <c r="E277" s="238"/>
      <c r="F277" s="225"/>
      <c r="G277" s="231"/>
      <c r="H277" s="377">
        <v>263</v>
      </c>
      <c r="I277" s="394"/>
      <c r="J277" s="394"/>
      <c r="K277" s="403"/>
      <c r="L277" s="403"/>
      <c r="M277" s="403"/>
      <c r="N277" s="441"/>
      <c r="O277" s="403"/>
      <c r="P277" s="403"/>
      <c r="Q277" s="403"/>
      <c r="R277" s="441"/>
      <c r="S277" s="433"/>
      <c r="T277" s="412" t="str" cm="1">
        <f t="array" aca="1" ref="T277" ca="1">IF(AND($U$12,B301&lt;=$C$17,C301&lt;&gt;""),TRANSPOSE(INDEX(getcds(C301,$C$6,G301/10000,F301,D301,$C$13,$C$14,$C$15,$C$8,,,TRUE,TRUE,FALSE,$C$29:$C$31,$C$33),{1;2;3;4;5})),"")</f>
        <v/>
      </c>
      <c r="U277" s="413"/>
      <c r="V277" s="413"/>
      <c r="W277" s="414"/>
      <c r="X277" s="415"/>
      <c r="Y277" s="416" t="str">
        <f t="shared" ca="1" si="24"/>
        <v/>
      </c>
      <c r="Z277" s="417" t="str">
        <f t="shared" ca="1" si="25"/>
        <v/>
      </c>
      <c r="AA277" s="416" t="str">
        <f t="shared" ca="1" si="26"/>
        <v/>
      </c>
      <c r="AB277" s="418" t="str">
        <f t="shared" ca="1" si="27"/>
        <v/>
      </c>
      <c r="AC277" s="417" t="str">
        <f t="shared" ca="1" si="28"/>
        <v/>
      </c>
      <c r="AD277" s="220"/>
    </row>
    <row r="278" spans="1:30" customFormat="1" ht="15">
      <c r="A278" s="220"/>
      <c r="B278" s="267">
        <v>240</v>
      </c>
      <c r="C278" s="245"/>
      <c r="D278" s="246"/>
      <c r="E278" s="238"/>
      <c r="F278" s="225"/>
      <c r="G278" s="231"/>
      <c r="H278" s="377">
        <v>264</v>
      </c>
      <c r="I278" s="394"/>
      <c r="J278" s="394"/>
      <c r="K278" s="403"/>
      <c r="L278" s="403"/>
      <c r="M278" s="403"/>
      <c r="N278" s="441"/>
      <c r="O278" s="403"/>
      <c r="P278" s="403"/>
      <c r="Q278" s="403"/>
      <c r="R278" s="441"/>
      <c r="S278" s="433"/>
      <c r="T278" s="412" t="str" cm="1">
        <f t="array" aca="1" ref="T278" ca="1">IF(AND($U$12,B302&lt;=$C$17,C302&lt;&gt;""),TRANSPOSE(INDEX(getcds(C302,$C$6,G302/10000,F302,D302,$C$13,$C$14,$C$15,$C$8,,,TRUE,TRUE,FALSE,$C$29:$C$31,$C$33),{1;2;3;4;5})),"")</f>
        <v/>
      </c>
      <c r="U278" s="413"/>
      <c r="V278" s="413"/>
      <c r="W278" s="414"/>
      <c r="X278" s="415"/>
      <c r="Y278" s="416" t="str">
        <f t="shared" ca="1" si="24"/>
        <v/>
      </c>
      <c r="Z278" s="417" t="str">
        <f t="shared" ca="1" si="25"/>
        <v/>
      </c>
      <c r="AA278" s="416" t="str">
        <f t="shared" ca="1" si="26"/>
        <v/>
      </c>
      <c r="AB278" s="418" t="str">
        <f t="shared" ca="1" si="27"/>
        <v/>
      </c>
      <c r="AC278" s="417" t="str">
        <f t="shared" ca="1" si="28"/>
        <v/>
      </c>
      <c r="AD278" s="220"/>
    </row>
    <row r="279" spans="1:30" customFormat="1" ht="15">
      <c r="A279" s="220"/>
      <c r="B279" s="267">
        <v>241</v>
      </c>
      <c r="C279" s="245"/>
      <c r="D279" s="246"/>
      <c r="E279" s="238"/>
      <c r="F279" s="225"/>
      <c r="G279" s="231"/>
      <c r="H279" s="377">
        <v>265</v>
      </c>
      <c r="I279" s="394"/>
      <c r="J279" s="394"/>
      <c r="K279" s="403"/>
      <c r="L279" s="403"/>
      <c r="M279" s="403"/>
      <c r="N279" s="441"/>
      <c r="O279" s="403"/>
      <c r="P279" s="403"/>
      <c r="Q279" s="403"/>
      <c r="R279" s="441"/>
      <c r="S279" s="433"/>
      <c r="T279" s="412" t="str" cm="1">
        <f t="array" aca="1" ref="T279" ca="1">IF(AND($U$12,B303&lt;=$C$17,C303&lt;&gt;""),TRANSPOSE(INDEX(getcds(C303,$C$6,G303/10000,F303,D303,$C$13,$C$14,$C$15,$C$8,,,TRUE,TRUE,FALSE,$C$29:$C$31,$C$33),{1;2;3;4;5})),"")</f>
        <v/>
      </c>
      <c r="U279" s="413"/>
      <c r="V279" s="413"/>
      <c r="W279" s="414"/>
      <c r="X279" s="415"/>
      <c r="Y279" s="416" t="str">
        <f t="shared" ca="1" si="24"/>
        <v/>
      </c>
      <c r="Z279" s="417" t="str">
        <f t="shared" ca="1" si="25"/>
        <v/>
      </c>
      <c r="AA279" s="416" t="str">
        <f t="shared" ca="1" si="26"/>
        <v/>
      </c>
      <c r="AB279" s="418" t="str">
        <f t="shared" ca="1" si="27"/>
        <v/>
      </c>
      <c r="AC279" s="417" t="str">
        <f t="shared" ca="1" si="28"/>
        <v/>
      </c>
      <c r="AD279" s="220"/>
    </row>
    <row r="280" spans="1:30" customFormat="1" ht="15">
      <c r="A280" s="220"/>
      <c r="B280" s="267">
        <v>242</v>
      </c>
      <c r="C280" s="245"/>
      <c r="D280" s="246"/>
      <c r="E280" s="238"/>
      <c r="F280" s="225"/>
      <c r="G280" s="231"/>
      <c r="H280" s="377">
        <v>266</v>
      </c>
      <c r="I280" s="394"/>
      <c r="J280" s="394"/>
      <c r="K280" s="403"/>
      <c r="L280" s="403"/>
      <c r="M280" s="403"/>
      <c r="N280" s="441"/>
      <c r="O280" s="403"/>
      <c r="P280" s="403"/>
      <c r="Q280" s="403"/>
      <c r="R280" s="441"/>
      <c r="S280" s="433"/>
      <c r="T280" s="412" t="str" cm="1">
        <f t="array" aca="1" ref="T280" ca="1">IF(AND($U$12,B304&lt;=$C$17,C304&lt;&gt;""),TRANSPOSE(INDEX(getcds(C304,$C$6,G304/10000,F304,D304,$C$13,$C$14,$C$15,$C$8,,,TRUE,TRUE,FALSE,$C$29:$C$31,$C$33),{1;2;3;4;5})),"")</f>
        <v/>
      </c>
      <c r="U280" s="413"/>
      <c r="V280" s="413"/>
      <c r="W280" s="414"/>
      <c r="X280" s="415"/>
      <c r="Y280" s="416" t="str">
        <f t="shared" ca="1" si="24"/>
        <v/>
      </c>
      <c r="Z280" s="417" t="str">
        <f t="shared" ca="1" si="25"/>
        <v/>
      </c>
      <c r="AA280" s="416" t="str">
        <f t="shared" ca="1" si="26"/>
        <v/>
      </c>
      <c r="AB280" s="418" t="str">
        <f t="shared" ca="1" si="27"/>
        <v/>
      </c>
      <c r="AC280" s="417" t="str">
        <f t="shared" ca="1" si="28"/>
        <v/>
      </c>
      <c r="AD280" s="220"/>
    </row>
    <row r="281" spans="1:30" customFormat="1" ht="15">
      <c r="A281" s="220"/>
      <c r="B281" s="267">
        <v>243</v>
      </c>
      <c r="C281" s="245"/>
      <c r="D281" s="246"/>
      <c r="E281" s="238"/>
      <c r="F281" s="225"/>
      <c r="G281" s="231"/>
      <c r="H281" s="377">
        <v>267</v>
      </c>
      <c r="I281" s="394"/>
      <c r="J281" s="394"/>
      <c r="K281" s="403"/>
      <c r="L281" s="403"/>
      <c r="M281" s="403"/>
      <c r="N281" s="441"/>
      <c r="O281" s="403"/>
      <c r="P281" s="403"/>
      <c r="Q281" s="403"/>
      <c r="R281" s="441"/>
      <c r="S281" s="433"/>
      <c r="T281" s="412" t="str" cm="1">
        <f t="array" aca="1" ref="T281" ca="1">IF(AND($U$12,B305&lt;=$C$17,C305&lt;&gt;""),TRANSPOSE(INDEX(getcds(C305,$C$6,G305/10000,F305,D305,$C$13,$C$14,$C$15,$C$8,,,TRUE,TRUE,FALSE,$C$29:$C$31,$C$33),{1;2;3;4;5})),"")</f>
        <v/>
      </c>
      <c r="U281" s="413"/>
      <c r="V281" s="413"/>
      <c r="W281" s="414"/>
      <c r="X281" s="415"/>
      <c r="Y281" s="416" t="str">
        <f t="shared" ca="1" si="24"/>
        <v/>
      </c>
      <c r="Z281" s="417" t="str">
        <f t="shared" ca="1" si="25"/>
        <v/>
      </c>
      <c r="AA281" s="416" t="str">
        <f t="shared" ca="1" si="26"/>
        <v/>
      </c>
      <c r="AB281" s="418" t="str">
        <f t="shared" ca="1" si="27"/>
        <v/>
      </c>
      <c r="AC281" s="417" t="str">
        <f t="shared" ca="1" si="28"/>
        <v/>
      </c>
      <c r="AD281" s="220"/>
    </row>
    <row r="282" spans="1:30" customFormat="1" ht="15">
      <c r="A282" s="220"/>
      <c r="B282" s="267">
        <v>244</v>
      </c>
      <c r="C282" s="245"/>
      <c r="D282" s="246"/>
      <c r="E282" s="238"/>
      <c r="F282" s="225"/>
      <c r="G282" s="231"/>
      <c r="H282" s="377">
        <v>268</v>
      </c>
      <c r="I282" s="394"/>
      <c r="J282" s="394"/>
      <c r="K282" s="403"/>
      <c r="L282" s="403"/>
      <c r="M282" s="403"/>
      <c r="N282" s="441"/>
      <c r="O282" s="403"/>
      <c r="P282" s="403"/>
      <c r="Q282" s="403"/>
      <c r="R282" s="441"/>
      <c r="S282" s="433"/>
      <c r="T282" s="412" t="str" cm="1">
        <f t="array" aca="1" ref="T282" ca="1">IF(AND($U$12,B306&lt;=$C$17,C306&lt;&gt;""),TRANSPOSE(INDEX(getcds(C306,$C$6,G306/10000,F306,D306,$C$13,$C$14,$C$15,$C$8,,,TRUE,TRUE,FALSE,$C$29:$C$31,$C$33),{1;2;3;4;5})),"")</f>
        <v/>
      </c>
      <c r="U282" s="413"/>
      <c r="V282" s="413"/>
      <c r="W282" s="414"/>
      <c r="X282" s="415"/>
      <c r="Y282" s="416" t="str">
        <f t="shared" ca="1" si="24"/>
        <v/>
      </c>
      <c r="Z282" s="417" t="str">
        <f t="shared" ca="1" si="25"/>
        <v/>
      </c>
      <c r="AA282" s="416" t="str">
        <f t="shared" ca="1" si="26"/>
        <v/>
      </c>
      <c r="AB282" s="418" t="str">
        <f t="shared" ca="1" si="27"/>
        <v/>
      </c>
      <c r="AC282" s="417" t="str">
        <f t="shared" ca="1" si="28"/>
        <v/>
      </c>
      <c r="AD282" s="220"/>
    </row>
    <row r="283" spans="1:30" customFormat="1" ht="15">
      <c r="A283" s="220"/>
      <c r="B283" s="267">
        <v>245</v>
      </c>
      <c r="C283" s="245"/>
      <c r="D283" s="246"/>
      <c r="E283" s="238"/>
      <c r="F283" s="225"/>
      <c r="G283" s="231"/>
      <c r="H283" s="377">
        <v>269</v>
      </c>
      <c r="I283" s="394"/>
      <c r="J283" s="394"/>
      <c r="K283" s="403"/>
      <c r="L283" s="403"/>
      <c r="M283" s="403"/>
      <c r="N283" s="441"/>
      <c r="O283" s="403"/>
      <c r="P283" s="403"/>
      <c r="Q283" s="403"/>
      <c r="R283" s="441"/>
      <c r="S283" s="433"/>
      <c r="T283" s="412" t="str" cm="1">
        <f t="array" aca="1" ref="T283" ca="1">IF(AND($U$12,B307&lt;=$C$17,C307&lt;&gt;""),TRANSPOSE(INDEX(getcds(C307,$C$6,G307/10000,F307,D307,$C$13,$C$14,$C$15,$C$8,,,TRUE,TRUE,FALSE,$C$29:$C$31,$C$33),{1;2;3;4;5})),"")</f>
        <v/>
      </c>
      <c r="U283" s="413"/>
      <c r="V283" s="413"/>
      <c r="W283" s="414"/>
      <c r="X283" s="415"/>
      <c r="Y283" s="416" t="str">
        <f t="shared" ca="1" si="24"/>
        <v/>
      </c>
      <c r="Z283" s="417" t="str">
        <f t="shared" ca="1" si="25"/>
        <v/>
      </c>
      <c r="AA283" s="416" t="str">
        <f t="shared" ca="1" si="26"/>
        <v/>
      </c>
      <c r="AB283" s="418" t="str">
        <f t="shared" ca="1" si="27"/>
        <v/>
      </c>
      <c r="AC283" s="417" t="str">
        <f t="shared" ca="1" si="28"/>
        <v/>
      </c>
      <c r="AD283" s="220"/>
    </row>
    <row r="284" spans="1:30" customFormat="1" ht="15">
      <c r="A284" s="220"/>
      <c r="B284" s="267">
        <v>246</v>
      </c>
      <c r="C284" s="245"/>
      <c r="D284" s="246"/>
      <c r="E284" s="238"/>
      <c r="F284" s="225"/>
      <c r="G284" s="231"/>
      <c r="H284" s="377">
        <v>270</v>
      </c>
      <c r="I284" s="394"/>
      <c r="J284" s="394"/>
      <c r="K284" s="403"/>
      <c r="L284" s="403"/>
      <c r="M284" s="403"/>
      <c r="N284" s="441"/>
      <c r="O284" s="403"/>
      <c r="P284" s="403"/>
      <c r="Q284" s="403"/>
      <c r="R284" s="441"/>
      <c r="S284" s="433"/>
      <c r="T284" s="412" t="str" cm="1">
        <f t="array" aca="1" ref="T284" ca="1">IF(AND($U$12,B308&lt;=$C$17,C308&lt;&gt;""),TRANSPOSE(INDEX(getcds(C308,$C$6,G308/10000,F308,D308,$C$13,$C$14,$C$15,$C$8,,,TRUE,TRUE,FALSE,$C$29:$C$31,$C$33),{1;2;3;4;5})),"")</f>
        <v/>
      </c>
      <c r="U284" s="413"/>
      <c r="V284" s="413"/>
      <c r="W284" s="414"/>
      <c r="X284" s="415"/>
      <c r="Y284" s="416" t="str">
        <f t="shared" ca="1" si="24"/>
        <v/>
      </c>
      <c r="Z284" s="417" t="str">
        <f t="shared" ca="1" si="25"/>
        <v/>
      </c>
      <c r="AA284" s="416" t="str">
        <f t="shared" ca="1" si="26"/>
        <v/>
      </c>
      <c r="AB284" s="418" t="str">
        <f t="shared" ca="1" si="27"/>
        <v/>
      </c>
      <c r="AC284" s="417" t="str">
        <f t="shared" ca="1" si="28"/>
        <v/>
      </c>
      <c r="AD284" s="220"/>
    </row>
    <row r="285" spans="1:30" customFormat="1" ht="15">
      <c r="A285" s="220"/>
      <c r="B285" s="267">
        <v>247</v>
      </c>
      <c r="C285" s="245"/>
      <c r="D285" s="246"/>
      <c r="E285" s="238"/>
      <c r="F285" s="225"/>
      <c r="G285" s="231"/>
      <c r="H285" s="377">
        <v>271</v>
      </c>
      <c r="I285" s="394"/>
      <c r="J285" s="394"/>
      <c r="K285" s="403"/>
      <c r="L285" s="403"/>
      <c r="M285" s="403"/>
      <c r="N285" s="441"/>
      <c r="O285" s="403"/>
      <c r="P285" s="403"/>
      <c r="Q285" s="403"/>
      <c r="R285" s="441"/>
      <c r="S285" s="433"/>
      <c r="T285" s="412" t="str" cm="1">
        <f t="array" aca="1" ref="T285" ca="1">IF(AND($U$12,B309&lt;=$C$17,C309&lt;&gt;""),TRANSPOSE(INDEX(getcds(C309,$C$6,G309/10000,F309,D309,$C$13,$C$14,$C$15,$C$8,,,TRUE,TRUE,FALSE,$C$29:$C$31,$C$33),{1;2;3;4;5})),"")</f>
        <v/>
      </c>
      <c r="U285" s="413"/>
      <c r="V285" s="413"/>
      <c r="W285" s="414"/>
      <c r="X285" s="415"/>
      <c r="Y285" s="416" t="str">
        <f t="shared" ca="1" si="24"/>
        <v/>
      </c>
      <c r="Z285" s="417" t="str">
        <f t="shared" ca="1" si="25"/>
        <v/>
      </c>
      <c r="AA285" s="416" t="str">
        <f t="shared" ca="1" si="26"/>
        <v/>
      </c>
      <c r="AB285" s="418" t="str">
        <f t="shared" ca="1" si="27"/>
        <v/>
      </c>
      <c r="AC285" s="417" t="str">
        <f t="shared" ca="1" si="28"/>
        <v/>
      </c>
      <c r="AD285" s="220"/>
    </row>
    <row r="286" spans="1:30" customFormat="1" ht="15">
      <c r="A286" s="220"/>
      <c r="B286" s="267">
        <v>248</v>
      </c>
      <c r="C286" s="245"/>
      <c r="D286" s="246"/>
      <c r="E286" s="238"/>
      <c r="F286" s="225"/>
      <c r="G286" s="231"/>
      <c r="H286" s="377">
        <v>272</v>
      </c>
      <c r="I286" s="394"/>
      <c r="J286" s="394"/>
      <c r="K286" s="403"/>
      <c r="L286" s="403"/>
      <c r="M286" s="403"/>
      <c r="N286" s="441"/>
      <c r="O286" s="403"/>
      <c r="P286" s="403"/>
      <c r="Q286" s="403"/>
      <c r="R286" s="441"/>
      <c r="S286" s="433"/>
      <c r="T286" s="412" t="str" cm="1">
        <f t="array" aca="1" ref="T286" ca="1">IF(AND($U$12,B310&lt;=$C$17,C310&lt;&gt;""),TRANSPOSE(INDEX(getcds(C310,$C$6,G310/10000,F310,D310,$C$13,$C$14,$C$15,$C$8,,,TRUE,TRUE,FALSE,$C$29:$C$31,$C$33),{1;2;3;4;5})),"")</f>
        <v/>
      </c>
      <c r="U286" s="413"/>
      <c r="V286" s="413"/>
      <c r="W286" s="414"/>
      <c r="X286" s="415"/>
      <c r="Y286" s="416" t="str">
        <f t="shared" ca="1" si="24"/>
        <v/>
      </c>
      <c r="Z286" s="417" t="str">
        <f t="shared" ca="1" si="25"/>
        <v/>
      </c>
      <c r="AA286" s="416" t="str">
        <f t="shared" ca="1" si="26"/>
        <v/>
      </c>
      <c r="AB286" s="418" t="str">
        <f t="shared" ca="1" si="27"/>
        <v/>
      </c>
      <c r="AC286" s="417" t="str">
        <f t="shared" ca="1" si="28"/>
        <v/>
      </c>
      <c r="AD286" s="220"/>
    </row>
    <row r="287" spans="1:30" customFormat="1" ht="15">
      <c r="A287" s="220"/>
      <c r="B287" s="267">
        <v>249</v>
      </c>
      <c r="C287" s="245"/>
      <c r="D287" s="246"/>
      <c r="E287" s="238"/>
      <c r="F287" s="225"/>
      <c r="G287" s="231"/>
      <c r="H287" s="377">
        <v>273</v>
      </c>
      <c r="I287" s="394"/>
      <c r="J287" s="394"/>
      <c r="K287" s="403"/>
      <c r="L287" s="403"/>
      <c r="M287" s="403"/>
      <c r="N287" s="441"/>
      <c r="O287" s="403"/>
      <c r="P287" s="403"/>
      <c r="Q287" s="403"/>
      <c r="R287" s="441"/>
      <c r="S287" s="433"/>
      <c r="T287" s="412" t="str" cm="1">
        <f t="array" aca="1" ref="T287" ca="1">IF(AND($U$12,B311&lt;=$C$17,C311&lt;&gt;""),TRANSPOSE(INDEX(getcds(C311,$C$6,G311/10000,F311,D311,$C$13,$C$14,$C$15,$C$8,,,TRUE,TRUE,FALSE,$C$29:$C$31,$C$33),{1;2;3;4;5})),"")</f>
        <v/>
      </c>
      <c r="U287" s="413"/>
      <c r="V287" s="413"/>
      <c r="W287" s="414"/>
      <c r="X287" s="415"/>
      <c r="Y287" s="416" t="str">
        <f t="shared" ca="1" si="24"/>
        <v/>
      </c>
      <c r="Z287" s="417" t="str">
        <f t="shared" ca="1" si="25"/>
        <v/>
      </c>
      <c r="AA287" s="416" t="str">
        <f t="shared" ca="1" si="26"/>
        <v/>
      </c>
      <c r="AB287" s="418" t="str">
        <f t="shared" ca="1" si="27"/>
        <v/>
      </c>
      <c r="AC287" s="417" t="str">
        <f t="shared" ca="1" si="28"/>
        <v/>
      </c>
      <c r="AD287" s="220"/>
    </row>
    <row r="288" spans="1:30" customFormat="1" ht="15">
      <c r="A288" s="220"/>
      <c r="B288" s="267">
        <v>250</v>
      </c>
      <c r="C288" s="245"/>
      <c r="D288" s="246"/>
      <c r="E288" s="238"/>
      <c r="F288" s="225"/>
      <c r="G288" s="231"/>
      <c r="H288" s="377">
        <v>274</v>
      </c>
      <c r="I288" s="394"/>
      <c r="J288" s="394"/>
      <c r="K288" s="403"/>
      <c r="L288" s="403"/>
      <c r="M288" s="403"/>
      <c r="N288" s="441"/>
      <c r="O288" s="403"/>
      <c r="P288" s="403"/>
      <c r="Q288" s="403"/>
      <c r="R288" s="441"/>
      <c r="S288" s="433"/>
      <c r="T288" s="412" t="str" cm="1">
        <f t="array" aca="1" ref="T288" ca="1">IF(AND($U$12,B312&lt;=$C$17,C312&lt;&gt;""),TRANSPOSE(INDEX(getcds(C312,$C$6,G312/10000,F312,D312,$C$13,$C$14,$C$15,$C$8,,,TRUE,TRUE,FALSE,$C$29:$C$31,$C$33),{1;2;3;4;5})),"")</f>
        <v/>
      </c>
      <c r="U288" s="413"/>
      <c r="V288" s="413"/>
      <c r="W288" s="414"/>
      <c r="X288" s="415"/>
      <c r="Y288" s="416" t="str">
        <f t="shared" ca="1" si="24"/>
        <v/>
      </c>
      <c r="Z288" s="417" t="str">
        <f t="shared" ca="1" si="25"/>
        <v/>
      </c>
      <c r="AA288" s="416" t="str">
        <f t="shared" ca="1" si="26"/>
        <v/>
      </c>
      <c r="AB288" s="418" t="str">
        <f t="shared" ca="1" si="27"/>
        <v/>
      </c>
      <c r="AC288" s="417" t="str">
        <f t="shared" ca="1" si="28"/>
        <v/>
      </c>
      <c r="AD288" s="220"/>
    </row>
    <row r="289" spans="1:30" customFormat="1" ht="15">
      <c r="A289" s="220"/>
      <c r="B289" s="267">
        <v>251</v>
      </c>
      <c r="C289" s="245"/>
      <c r="D289" s="246"/>
      <c r="E289" s="238"/>
      <c r="F289" s="225"/>
      <c r="G289" s="231"/>
      <c r="H289" s="377">
        <v>275</v>
      </c>
      <c r="I289" s="394"/>
      <c r="J289" s="394"/>
      <c r="K289" s="403"/>
      <c r="L289" s="403"/>
      <c r="M289" s="403"/>
      <c r="N289" s="441"/>
      <c r="O289" s="403"/>
      <c r="P289" s="403"/>
      <c r="Q289" s="403"/>
      <c r="R289" s="441"/>
      <c r="S289" s="433"/>
      <c r="T289" s="412" t="str" cm="1">
        <f t="array" aca="1" ref="T289" ca="1">IF(AND($U$12,B313&lt;=$C$17,C313&lt;&gt;""),TRANSPOSE(INDEX(getcds(C313,$C$6,G313/10000,F313,D313,$C$13,$C$14,$C$15,$C$8,,,TRUE,TRUE,FALSE,$C$29:$C$31,$C$33),{1;2;3;4;5})),"")</f>
        <v/>
      </c>
      <c r="U289" s="413"/>
      <c r="V289" s="413"/>
      <c r="W289" s="414"/>
      <c r="X289" s="415"/>
      <c r="Y289" s="416" t="str">
        <f t="shared" ca="1" si="24"/>
        <v/>
      </c>
      <c r="Z289" s="417" t="str">
        <f t="shared" ca="1" si="25"/>
        <v/>
      </c>
      <c r="AA289" s="416" t="str">
        <f t="shared" ca="1" si="26"/>
        <v/>
      </c>
      <c r="AB289" s="418" t="str">
        <f t="shared" ca="1" si="27"/>
        <v/>
      </c>
      <c r="AC289" s="417" t="str">
        <f t="shared" ca="1" si="28"/>
        <v/>
      </c>
      <c r="AD289" s="220"/>
    </row>
    <row r="290" spans="1:30" customFormat="1" ht="15">
      <c r="A290" s="220"/>
      <c r="B290" s="267">
        <v>252</v>
      </c>
      <c r="C290" s="245"/>
      <c r="D290" s="246"/>
      <c r="E290" s="238"/>
      <c r="F290" s="225"/>
      <c r="G290" s="231"/>
      <c r="H290" s="377">
        <v>276</v>
      </c>
      <c r="I290" s="394"/>
      <c r="J290" s="394"/>
      <c r="K290" s="403"/>
      <c r="L290" s="403"/>
      <c r="M290" s="403"/>
      <c r="N290" s="441"/>
      <c r="O290" s="403"/>
      <c r="P290" s="403"/>
      <c r="Q290" s="403"/>
      <c r="R290" s="441"/>
      <c r="S290" s="433"/>
      <c r="T290" s="412" t="str" cm="1">
        <f t="array" aca="1" ref="T290" ca="1">IF(AND($U$12,B314&lt;=$C$17,C314&lt;&gt;""),TRANSPOSE(INDEX(getcds(C314,$C$6,G314/10000,F314,D314,$C$13,$C$14,$C$15,$C$8,,,TRUE,TRUE,FALSE,$C$29:$C$31,$C$33),{1;2;3;4;5})),"")</f>
        <v/>
      </c>
      <c r="U290" s="413"/>
      <c r="V290" s="413"/>
      <c r="W290" s="414"/>
      <c r="X290" s="415"/>
      <c r="Y290" s="416" t="str">
        <f t="shared" ca="1" si="24"/>
        <v/>
      </c>
      <c r="Z290" s="417" t="str">
        <f t="shared" ca="1" si="25"/>
        <v/>
      </c>
      <c r="AA290" s="416" t="str">
        <f t="shared" ca="1" si="26"/>
        <v/>
      </c>
      <c r="AB290" s="418" t="str">
        <f t="shared" ca="1" si="27"/>
        <v/>
      </c>
      <c r="AC290" s="417" t="str">
        <f t="shared" ca="1" si="28"/>
        <v/>
      </c>
      <c r="AD290" s="220"/>
    </row>
    <row r="291" spans="1:30" customFormat="1" ht="15">
      <c r="A291" s="220"/>
      <c r="B291" s="267">
        <v>253</v>
      </c>
      <c r="C291" s="245"/>
      <c r="D291" s="246"/>
      <c r="E291" s="238"/>
      <c r="F291" s="225"/>
      <c r="G291" s="231"/>
      <c r="H291" s="377">
        <v>277</v>
      </c>
      <c r="I291" s="394"/>
      <c r="J291" s="394"/>
      <c r="K291" s="403"/>
      <c r="L291" s="403"/>
      <c r="M291" s="403"/>
      <c r="N291" s="441"/>
      <c r="O291" s="403"/>
      <c r="P291" s="403"/>
      <c r="Q291" s="403"/>
      <c r="R291" s="441"/>
      <c r="S291" s="433"/>
      <c r="T291" s="412" t="str" cm="1">
        <f t="array" aca="1" ref="T291" ca="1">IF(AND($U$12,B315&lt;=$C$17,C315&lt;&gt;""),TRANSPOSE(INDEX(getcds(C315,$C$6,G315/10000,F315,D315,$C$13,$C$14,$C$15,$C$8,,,TRUE,TRUE,FALSE,$C$29:$C$31,$C$33),{1;2;3;4;5})),"")</f>
        <v/>
      </c>
      <c r="U291" s="413"/>
      <c r="V291" s="413"/>
      <c r="W291" s="414"/>
      <c r="X291" s="415"/>
      <c r="Y291" s="416" t="str">
        <f t="shared" ca="1" si="24"/>
        <v/>
      </c>
      <c r="Z291" s="417" t="str">
        <f t="shared" ca="1" si="25"/>
        <v/>
      </c>
      <c r="AA291" s="416" t="str">
        <f t="shared" ca="1" si="26"/>
        <v/>
      </c>
      <c r="AB291" s="418" t="str">
        <f t="shared" ca="1" si="27"/>
        <v/>
      </c>
      <c r="AC291" s="417" t="str">
        <f t="shared" ca="1" si="28"/>
        <v/>
      </c>
      <c r="AD291" s="220"/>
    </row>
    <row r="292" spans="1:30" customFormat="1" ht="15">
      <c r="A292" s="220"/>
      <c r="B292" s="267">
        <v>254</v>
      </c>
      <c r="C292" s="245"/>
      <c r="D292" s="246"/>
      <c r="E292" s="238"/>
      <c r="F292" s="225"/>
      <c r="G292" s="231"/>
      <c r="H292" s="377">
        <v>278</v>
      </c>
      <c r="I292" s="394"/>
      <c r="J292" s="394"/>
      <c r="K292" s="403"/>
      <c r="L292" s="403"/>
      <c r="M292" s="403"/>
      <c r="N292" s="441"/>
      <c r="O292" s="403"/>
      <c r="P292" s="403"/>
      <c r="Q292" s="403"/>
      <c r="R292" s="441"/>
      <c r="S292" s="433"/>
      <c r="T292" s="412" t="str" cm="1">
        <f t="array" aca="1" ref="T292" ca="1">IF(AND($U$12,B316&lt;=$C$17,C316&lt;&gt;""),TRANSPOSE(INDEX(getcds(C316,$C$6,G316/10000,F316,D316,$C$13,$C$14,$C$15,$C$8,,,TRUE,TRUE,FALSE,$C$29:$C$31,$C$33),{1;2;3;4;5})),"")</f>
        <v/>
      </c>
      <c r="U292" s="413"/>
      <c r="V292" s="413"/>
      <c r="W292" s="414"/>
      <c r="X292" s="415"/>
      <c r="Y292" s="416" t="str">
        <f t="shared" ca="1" si="24"/>
        <v/>
      </c>
      <c r="Z292" s="417" t="str">
        <f t="shared" ca="1" si="25"/>
        <v/>
      </c>
      <c r="AA292" s="416" t="str">
        <f t="shared" ca="1" si="26"/>
        <v/>
      </c>
      <c r="AB292" s="418" t="str">
        <f t="shared" ca="1" si="27"/>
        <v/>
      </c>
      <c r="AC292" s="417" t="str">
        <f t="shared" ca="1" si="28"/>
        <v/>
      </c>
      <c r="AD292" s="220"/>
    </row>
    <row r="293" spans="1:30" customFormat="1" ht="15">
      <c r="A293" s="220"/>
      <c r="B293" s="267">
        <v>255</v>
      </c>
      <c r="C293" s="245"/>
      <c r="D293" s="246"/>
      <c r="E293" s="238"/>
      <c r="F293" s="225"/>
      <c r="G293" s="231"/>
      <c r="H293" s="377">
        <v>279</v>
      </c>
      <c r="I293" s="394"/>
      <c r="J293" s="394"/>
      <c r="K293" s="403"/>
      <c r="L293" s="403"/>
      <c r="M293" s="403"/>
      <c r="N293" s="441"/>
      <c r="O293" s="403"/>
      <c r="P293" s="403"/>
      <c r="Q293" s="403"/>
      <c r="R293" s="441"/>
      <c r="S293" s="433"/>
      <c r="T293" s="412" t="str" cm="1">
        <f t="array" aca="1" ref="T293" ca="1">IF(AND($U$12,B317&lt;=$C$17,C317&lt;&gt;""),TRANSPOSE(INDEX(getcds(C317,$C$6,G317/10000,F317,D317,$C$13,$C$14,$C$15,$C$8,,,TRUE,TRUE,FALSE,$C$29:$C$31,$C$33),{1;2;3;4;5})),"")</f>
        <v/>
      </c>
      <c r="U293" s="413"/>
      <c r="V293" s="413"/>
      <c r="W293" s="414"/>
      <c r="X293" s="415"/>
      <c r="Y293" s="416" t="str">
        <f t="shared" ca="1" si="24"/>
        <v/>
      </c>
      <c r="Z293" s="417" t="str">
        <f t="shared" ca="1" si="25"/>
        <v/>
      </c>
      <c r="AA293" s="416" t="str">
        <f t="shared" ca="1" si="26"/>
        <v/>
      </c>
      <c r="AB293" s="418" t="str">
        <f t="shared" ca="1" si="27"/>
        <v/>
      </c>
      <c r="AC293" s="417" t="str">
        <f t="shared" ca="1" si="28"/>
        <v/>
      </c>
      <c r="AD293" s="220"/>
    </row>
    <row r="294" spans="1:30" customFormat="1" ht="15">
      <c r="A294" s="220"/>
      <c r="B294" s="267">
        <v>256</v>
      </c>
      <c r="C294" s="245"/>
      <c r="D294" s="246"/>
      <c r="E294" s="238"/>
      <c r="F294" s="225"/>
      <c r="G294" s="231"/>
      <c r="H294" s="377">
        <v>280</v>
      </c>
      <c r="I294" s="394"/>
      <c r="J294" s="394"/>
      <c r="K294" s="403"/>
      <c r="L294" s="403"/>
      <c r="M294" s="403"/>
      <c r="N294" s="441"/>
      <c r="O294" s="403"/>
      <c r="P294" s="403"/>
      <c r="Q294" s="403"/>
      <c r="R294" s="441"/>
      <c r="S294" s="433"/>
      <c r="T294" s="412" t="str" cm="1">
        <f t="array" aca="1" ref="T294" ca="1">IF(AND($U$12,B318&lt;=$C$17,C318&lt;&gt;""),TRANSPOSE(INDEX(getcds(C318,$C$6,G318/10000,F318,D318,$C$13,$C$14,$C$15,$C$8,,,TRUE,TRUE,FALSE,$C$29:$C$31,$C$33),{1;2;3;4;5})),"")</f>
        <v/>
      </c>
      <c r="U294" s="413"/>
      <c r="V294" s="413"/>
      <c r="W294" s="414"/>
      <c r="X294" s="415"/>
      <c r="Y294" s="416" t="str">
        <f t="shared" ca="1" si="24"/>
        <v/>
      </c>
      <c r="Z294" s="417" t="str">
        <f t="shared" ca="1" si="25"/>
        <v/>
      </c>
      <c r="AA294" s="416" t="str">
        <f t="shared" ca="1" si="26"/>
        <v/>
      </c>
      <c r="AB294" s="418" t="str">
        <f t="shared" ca="1" si="27"/>
        <v/>
      </c>
      <c r="AC294" s="417" t="str">
        <f t="shared" ca="1" si="28"/>
        <v/>
      </c>
      <c r="AD294" s="220"/>
    </row>
    <row r="295" spans="1:30" customFormat="1" ht="15">
      <c r="A295" s="220"/>
      <c r="B295" s="267">
        <v>257</v>
      </c>
      <c r="C295" s="245"/>
      <c r="D295" s="246"/>
      <c r="E295" s="238"/>
      <c r="F295" s="225"/>
      <c r="G295" s="231"/>
      <c r="H295" s="377">
        <v>281</v>
      </c>
      <c r="I295" s="394"/>
      <c r="J295" s="394"/>
      <c r="K295" s="403"/>
      <c r="L295" s="403"/>
      <c r="M295" s="403"/>
      <c r="N295" s="441"/>
      <c r="O295" s="403"/>
      <c r="P295" s="403"/>
      <c r="Q295" s="403"/>
      <c r="R295" s="441"/>
      <c r="S295" s="433"/>
      <c r="T295" s="412" t="str" cm="1">
        <f t="array" aca="1" ref="T295" ca="1">IF(AND($U$12,B319&lt;=$C$17,C319&lt;&gt;""),TRANSPOSE(INDEX(getcds(C319,$C$6,G319/10000,F319,D319,$C$13,$C$14,$C$15,$C$8,,,TRUE,TRUE,FALSE,$C$29:$C$31,$C$33),{1;2;3;4;5})),"")</f>
        <v/>
      </c>
      <c r="U295" s="413"/>
      <c r="V295" s="413"/>
      <c r="W295" s="414"/>
      <c r="X295" s="415"/>
      <c r="Y295" s="416" t="str">
        <f t="shared" ca="1" si="24"/>
        <v/>
      </c>
      <c r="Z295" s="417" t="str">
        <f t="shared" ca="1" si="25"/>
        <v/>
      </c>
      <c r="AA295" s="416" t="str">
        <f t="shared" ca="1" si="26"/>
        <v/>
      </c>
      <c r="AB295" s="418" t="str">
        <f t="shared" ca="1" si="27"/>
        <v/>
      </c>
      <c r="AC295" s="417" t="str">
        <f t="shared" ca="1" si="28"/>
        <v/>
      </c>
      <c r="AD295" s="220"/>
    </row>
    <row r="296" spans="1:30" customFormat="1" ht="15">
      <c r="A296" s="220"/>
      <c r="B296" s="267">
        <v>258</v>
      </c>
      <c r="C296" s="245"/>
      <c r="D296" s="246"/>
      <c r="E296" s="238"/>
      <c r="F296" s="225"/>
      <c r="G296" s="231"/>
      <c r="H296" s="377">
        <v>282</v>
      </c>
      <c r="I296" s="394"/>
      <c r="J296" s="394"/>
      <c r="K296" s="403"/>
      <c r="L296" s="403"/>
      <c r="M296" s="403"/>
      <c r="N296" s="441"/>
      <c r="O296" s="403"/>
      <c r="P296" s="403"/>
      <c r="Q296" s="403"/>
      <c r="R296" s="441"/>
      <c r="S296" s="433"/>
      <c r="T296" s="412" t="str" cm="1">
        <f t="array" aca="1" ref="T296" ca="1">IF(AND($U$12,B320&lt;=$C$17,C320&lt;&gt;""),TRANSPOSE(INDEX(getcds(C320,$C$6,G320/10000,F320,D320,$C$13,$C$14,$C$15,$C$8,,,TRUE,TRUE,FALSE,$C$29:$C$31,$C$33),{1;2;3;4;5})),"")</f>
        <v/>
      </c>
      <c r="U296" s="413"/>
      <c r="V296" s="413"/>
      <c r="W296" s="414"/>
      <c r="X296" s="415"/>
      <c r="Y296" s="416" t="str">
        <f t="shared" ca="1" si="24"/>
        <v/>
      </c>
      <c r="Z296" s="417" t="str">
        <f t="shared" ca="1" si="25"/>
        <v/>
      </c>
      <c r="AA296" s="416" t="str">
        <f t="shared" ca="1" si="26"/>
        <v/>
      </c>
      <c r="AB296" s="418" t="str">
        <f t="shared" ca="1" si="27"/>
        <v/>
      </c>
      <c r="AC296" s="417" t="str">
        <f t="shared" ca="1" si="28"/>
        <v/>
      </c>
      <c r="AD296" s="220"/>
    </row>
    <row r="297" spans="1:30" customFormat="1" ht="15">
      <c r="A297" s="220"/>
      <c r="B297" s="267">
        <v>259</v>
      </c>
      <c r="C297" s="245"/>
      <c r="D297" s="246"/>
      <c r="E297" s="238"/>
      <c r="F297" s="225"/>
      <c r="G297" s="231"/>
      <c r="H297" s="377">
        <v>283</v>
      </c>
      <c r="I297" s="394"/>
      <c r="J297" s="394"/>
      <c r="K297" s="403"/>
      <c r="L297" s="403"/>
      <c r="M297" s="403"/>
      <c r="N297" s="441"/>
      <c r="O297" s="403"/>
      <c r="P297" s="403"/>
      <c r="Q297" s="403"/>
      <c r="R297" s="441"/>
      <c r="S297" s="433"/>
      <c r="T297" s="412" t="str" cm="1">
        <f t="array" aca="1" ref="T297" ca="1">IF(AND($U$12,B321&lt;=$C$17,C321&lt;&gt;""),TRANSPOSE(INDEX(getcds(C321,$C$6,G321/10000,F321,D321,$C$13,$C$14,$C$15,$C$8,,,TRUE,TRUE,FALSE,$C$29:$C$31,$C$33),{1;2;3;4;5})),"")</f>
        <v/>
      </c>
      <c r="U297" s="413"/>
      <c r="V297" s="413"/>
      <c r="W297" s="414"/>
      <c r="X297" s="415"/>
      <c r="Y297" s="416" t="str">
        <f t="shared" ca="1" si="24"/>
        <v/>
      </c>
      <c r="Z297" s="417" t="str">
        <f t="shared" ca="1" si="25"/>
        <v/>
      </c>
      <c r="AA297" s="416" t="str">
        <f t="shared" ca="1" si="26"/>
        <v/>
      </c>
      <c r="AB297" s="418" t="str">
        <f t="shared" ca="1" si="27"/>
        <v/>
      </c>
      <c r="AC297" s="417" t="str">
        <f t="shared" ca="1" si="28"/>
        <v/>
      </c>
      <c r="AD297" s="220"/>
    </row>
    <row r="298" spans="1:30" customFormat="1" ht="15">
      <c r="A298" s="220"/>
      <c r="B298" s="267">
        <v>260</v>
      </c>
      <c r="C298" s="245"/>
      <c r="D298" s="246"/>
      <c r="E298" s="238"/>
      <c r="F298" s="225"/>
      <c r="G298" s="231"/>
      <c r="H298" s="377">
        <v>284</v>
      </c>
      <c r="I298" s="394"/>
      <c r="J298" s="394"/>
      <c r="K298" s="403"/>
      <c r="L298" s="403"/>
      <c r="M298" s="403"/>
      <c r="N298" s="441"/>
      <c r="O298" s="403"/>
      <c r="P298" s="403"/>
      <c r="Q298" s="403"/>
      <c r="R298" s="441"/>
      <c r="S298" s="433"/>
      <c r="T298" s="412" t="str" cm="1">
        <f t="array" aca="1" ref="T298" ca="1">IF(AND($U$12,B322&lt;=$C$17,C322&lt;&gt;""),TRANSPOSE(INDEX(getcds(C322,$C$6,G322/10000,F322,D322,$C$13,$C$14,$C$15,$C$8,,,TRUE,TRUE,FALSE,$C$29:$C$31,$C$33),{1;2;3;4;5})),"")</f>
        <v/>
      </c>
      <c r="U298" s="413"/>
      <c r="V298" s="413"/>
      <c r="W298" s="414"/>
      <c r="X298" s="415"/>
      <c r="Y298" s="416" t="str">
        <f t="shared" ca="1" si="24"/>
        <v/>
      </c>
      <c r="Z298" s="417" t="str">
        <f t="shared" ca="1" si="25"/>
        <v/>
      </c>
      <c r="AA298" s="416" t="str">
        <f t="shared" ca="1" si="26"/>
        <v/>
      </c>
      <c r="AB298" s="418" t="str">
        <f t="shared" ca="1" si="27"/>
        <v/>
      </c>
      <c r="AC298" s="417" t="str">
        <f t="shared" ca="1" si="28"/>
        <v/>
      </c>
      <c r="AD298" s="220"/>
    </row>
    <row r="299" spans="1:30" customFormat="1" ht="15">
      <c r="A299" s="220"/>
      <c r="B299" s="267">
        <v>261</v>
      </c>
      <c r="C299" s="245"/>
      <c r="D299" s="246"/>
      <c r="E299" s="238"/>
      <c r="F299" s="225"/>
      <c r="G299" s="231"/>
      <c r="H299" s="377">
        <v>285</v>
      </c>
      <c r="I299" s="394"/>
      <c r="J299" s="394"/>
      <c r="K299" s="403"/>
      <c r="L299" s="403"/>
      <c r="M299" s="403"/>
      <c r="N299" s="441"/>
      <c r="O299" s="403"/>
      <c r="P299" s="403"/>
      <c r="Q299" s="403"/>
      <c r="R299" s="441"/>
      <c r="S299" s="433"/>
      <c r="T299" s="412" t="str" cm="1">
        <f t="array" aca="1" ref="T299" ca="1">IF(AND($U$12,B323&lt;=$C$17,C323&lt;&gt;""),TRANSPOSE(INDEX(getcds(C323,$C$6,G323/10000,F323,D323,$C$13,$C$14,$C$15,$C$8,,,TRUE,TRUE,FALSE,$C$29:$C$31,$C$33),{1;2;3;4;5})),"")</f>
        <v/>
      </c>
      <c r="U299" s="413"/>
      <c r="V299" s="413"/>
      <c r="W299" s="414"/>
      <c r="X299" s="415"/>
      <c r="Y299" s="416" t="str">
        <f t="shared" ca="1" si="24"/>
        <v/>
      </c>
      <c r="Z299" s="417" t="str">
        <f t="shared" ca="1" si="25"/>
        <v/>
      </c>
      <c r="AA299" s="416" t="str">
        <f t="shared" ca="1" si="26"/>
        <v/>
      </c>
      <c r="AB299" s="418" t="str">
        <f t="shared" ca="1" si="27"/>
        <v/>
      </c>
      <c r="AC299" s="417" t="str">
        <f t="shared" ca="1" si="28"/>
        <v/>
      </c>
      <c r="AD299" s="220"/>
    </row>
    <row r="300" spans="1:30" customFormat="1" ht="15">
      <c r="A300" s="220"/>
      <c r="B300" s="267">
        <v>262</v>
      </c>
      <c r="C300" s="245"/>
      <c r="D300" s="246"/>
      <c r="E300" s="238"/>
      <c r="F300" s="225"/>
      <c r="G300" s="231"/>
      <c r="H300" s="377">
        <v>286</v>
      </c>
      <c r="I300" s="394"/>
      <c r="J300" s="394"/>
      <c r="K300" s="403"/>
      <c r="L300" s="403"/>
      <c r="M300" s="403"/>
      <c r="N300" s="441"/>
      <c r="O300" s="403"/>
      <c r="P300" s="403"/>
      <c r="Q300" s="403"/>
      <c r="R300" s="441"/>
      <c r="S300" s="433"/>
      <c r="T300" s="412" t="str" cm="1">
        <f t="array" aca="1" ref="T300" ca="1">IF(AND($U$12,B324&lt;=$C$17,C324&lt;&gt;""),TRANSPOSE(INDEX(getcds(C324,$C$6,G324/10000,F324,D324,$C$13,$C$14,$C$15,$C$8,,,TRUE,TRUE,FALSE,$C$29:$C$31,$C$33),{1;2;3;4;5})),"")</f>
        <v/>
      </c>
      <c r="U300" s="413"/>
      <c r="V300" s="413"/>
      <c r="W300" s="414"/>
      <c r="X300" s="415"/>
      <c r="Y300" s="416" t="str">
        <f t="shared" ca="1" si="24"/>
        <v/>
      </c>
      <c r="Z300" s="417" t="str">
        <f t="shared" ca="1" si="25"/>
        <v/>
      </c>
      <c r="AA300" s="416" t="str">
        <f t="shared" ca="1" si="26"/>
        <v/>
      </c>
      <c r="AB300" s="418" t="str">
        <f t="shared" ca="1" si="27"/>
        <v/>
      </c>
      <c r="AC300" s="417" t="str">
        <f t="shared" ca="1" si="28"/>
        <v/>
      </c>
      <c r="AD300" s="220"/>
    </row>
    <row r="301" spans="1:30" customFormat="1" ht="15">
      <c r="A301" s="220"/>
      <c r="B301" s="267">
        <v>263</v>
      </c>
      <c r="C301" s="245"/>
      <c r="D301" s="246"/>
      <c r="E301" s="238"/>
      <c r="F301" s="225"/>
      <c r="G301" s="231"/>
      <c r="H301" s="377">
        <v>287</v>
      </c>
      <c r="I301" s="394"/>
      <c r="J301" s="394"/>
      <c r="K301" s="403"/>
      <c r="L301" s="403"/>
      <c r="M301" s="403"/>
      <c r="N301" s="441"/>
      <c r="O301" s="403"/>
      <c r="P301" s="403"/>
      <c r="Q301" s="403"/>
      <c r="R301" s="441"/>
      <c r="S301" s="433"/>
      <c r="T301" s="412" t="str" cm="1">
        <f t="array" aca="1" ref="T301" ca="1">IF(AND($U$12,B325&lt;=$C$17,C325&lt;&gt;""),TRANSPOSE(INDEX(getcds(C325,$C$6,G325/10000,F325,D325,$C$13,$C$14,$C$15,$C$8,,,TRUE,TRUE,FALSE,$C$29:$C$31,$C$33),{1;2;3;4;5})),"")</f>
        <v/>
      </c>
      <c r="U301" s="413"/>
      <c r="V301" s="413"/>
      <c r="W301" s="414"/>
      <c r="X301" s="415"/>
      <c r="Y301" s="416" t="str">
        <f t="shared" ca="1" si="24"/>
        <v/>
      </c>
      <c r="Z301" s="417" t="str">
        <f t="shared" ca="1" si="25"/>
        <v/>
      </c>
      <c r="AA301" s="416" t="str">
        <f t="shared" ca="1" si="26"/>
        <v/>
      </c>
      <c r="AB301" s="418" t="str">
        <f t="shared" ca="1" si="27"/>
        <v/>
      </c>
      <c r="AC301" s="417" t="str">
        <f t="shared" ca="1" si="28"/>
        <v/>
      </c>
      <c r="AD301" s="220"/>
    </row>
    <row r="302" spans="1:30" customFormat="1" ht="15">
      <c r="A302" s="220"/>
      <c r="B302" s="267">
        <v>264</v>
      </c>
      <c r="C302" s="245"/>
      <c r="D302" s="246"/>
      <c r="E302" s="238"/>
      <c r="F302" s="225"/>
      <c r="G302" s="231"/>
      <c r="H302" s="377">
        <v>288</v>
      </c>
      <c r="I302" s="394"/>
      <c r="J302" s="394"/>
      <c r="K302" s="403"/>
      <c r="L302" s="403"/>
      <c r="M302" s="403"/>
      <c r="N302" s="441"/>
      <c r="O302" s="403"/>
      <c r="P302" s="403"/>
      <c r="Q302" s="403"/>
      <c r="R302" s="441"/>
      <c r="S302" s="433"/>
      <c r="T302" s="412" t="str" cm="1">
        <f t="array" aca="1" ref="T302" ca="1">IF(AND($U$12,B326&lt;=$C$17,C326&lt;&gt;""),TRANSPOSE(INDEX(getcds(C326,$C$6,G326/10000,F326,D326,$C$13,$C$14,$C$15,$C$8,,,TRUE,TRUE,FALSE,$C$29:$C$31,$C$33),{1;2;3;4;5})),"")</f>
        <v/>
      </c>
      <c r="U302" s="413"/>
      <c r="V302" s="413"/>
      <c r="W302" s="414"/>
      <c r="X302" s="415"/>
      <c r="Y302" s="416" t="str">
        <f t="shared" ca="1" si="24"/>
        <v/>
      </c>
      <c r="Z302" s="417" t="str">
        <f t="shared" ca="1" si="25"/>
        <v/>
      </c>
      <c r="AA302" s="416" t="str">
        <f t="shared" ca="1" si="26"/>
        <v/>
      </c>
      <c r="AB302" s="418" t="str">
        <f t="shared" ca="1" si="27"/>
        <v/>
      </c>
      <c r="AC302" s="417" t="str">
        <f t="shared" ca="1" si="28"/>
        <v/>
      </c>
      <c r="AD302" s="220"/>
    </row>
    <row r="303" spans="1:30" customFormat="1" ht="15">
      <c r="A303" s="220"/>
      <c r="B303" s="267">
        <v>265</v>
      </c>
      <c r="C303" s="245"/>
      <c r="D303" s="246"/>
      <c r="E303" s="238"/>
      <c r="F303" s="225"/>
      <c r="G303" s="231"/>
      <c r="H303" s="377">
        <v>289</v>
      </c>
      <c r="I303" s="394"/>
      <c r="J303" s="394"/>
      <c r="K303" s="403"/>
      <c r="L303" s="403"/>
      <c r="M303" s="403"/>
      <c r="N303" s="441"/>
      <c r="O303" s="403"/>
      <c r="P303" s="403"/>
      <c r="Q303" s="403"/>
      <c r="R303" s="441"/>
      <c r="S303" s="433"/>
      <c r="T303" s="412" t="str" cm="1">
        <f t="array" aca="1" ref="T303" ca="1">IF(AND($U$12,B327&lt;=$C$17,C327&lt;&gt;""),TRANSPOSE(INDEX(getcds(C327,$C$6,G327/10000,F327,D327,$C$13,$C$14,$C$15,$C$8,,,TRUE,TRUE,FALSE,$C$29:$C$31,$C$33),{1;2;3;4;5})),"")</f>
        <v/>
      </c>
      <c r="U303" s="413"/>
      <c r="V303" s="413"/>
      <c r="W303" s="414"/>
      <c r="X303" s="415"/>
      <c r="Y303" s="416" t="str">
        <f t="shared" ca="1" si="24"/>
        <v/>
      </c>
      <c r="Z303" s="417" t="str">
        <f t="shared" ca="1" si="25"/>
        <v/>
      </c>
      <c r="AA303" s="416" t="str">
        <f t="shared" ca="1" si="26"/>
        <v/>
      </c>
      <c r="AB303" s="418" t="str">
        <f t="shared" ca="1" si="27"/>
        <v/>
      </c>
      <c r="AC303" s="417" t="str">
        <f t="shared" ca="1" si="28"/>
        <v/>
      </c>
      <c r="AD303" s="220"/>
    </row>
    <row r="304" spans="1:30" customFormat="1" ht="15">
      <c r="A304" s="220"/>
      <c r="B304" s="267">
        <v>266</v>
      </c>
      <c r="C304" s="245"/>
      <c r="D304" s="246"/>
      <c r="E304" s="238"/>
      <c r="F304" s="225"/>
      <c r="G304" s="231"/>
      <c r="H304" s="377">
        <v>290</v>
      </c>
      <c r="I304" s="394"/>
      <c r="J304" s="394"/>
      <c r="K304" s="403"/>
      <c r="L304" s="403"/>
      <c r="M304" s="403"/>
      <c r="N304" s="441"/>
      <c r="O304" s="403"/>
      <c r="P304" s="403"/>
      <c r="Q304" s="403"/>
      <c r="R304" s="441"/>
      <c r="S304" s="433"/>
      <c r="T304" s="412" t="str" cm="1">
        <f t="array" aca="1" ref="T304" ca="1">IF(AND($U$12,B328&lt;=$C$17,C328&lt;&gt;""),TRANSPOSE(INDEX(getcds(C328,$C$6,G328/10000,F328,D328,$C$13,$C$14,$C$15,$C$8,,,TRUE,TRUE,FALSE,$C$29:$C$31,$C$33),{1;2;3;4;5})),"")</f>
        <v/>
      </c>
      <c r="U304" s="413"/>
      <c r="V304" s="413"/>
      <c r="W304" s="414"/>
      <c r="X304" s="415"/>
      <c r="Y304" s="416" t="str">
        <f t="shared" ca="1" si="24"/>
        <v/>
      </c>
      <c r="Z304" s="417" t="str">
        <f t="shared" ca="1" si="25"/>
        <v/>
      </c>
      <c r="AA304" s="416" t="str">
        <f t="shared" ca="1" si="26"/>
        <v/>
      </c>
      <c r="AB304" s="418" t="str">
        <f t="shared" ca="1" si="27"/>
        <v/>
      </c>
      <c r="AC304" s="417" t="str">
        <f t="shared" ca="1" si="28"/>
        <v/>
      </c>
      <c r="AD304" s="220"/>
    </row>
    <row r="305" spans="1:30" customFormat="1" ht="15">
      <c r="A305" s="220"/>
      <c r="B305" s="267">
        <v>267</v>
      </c>
      <c r="C305" s="245"/>
      <c r="D305" s="246"/>
      <c r="E305" s="238"/>
      <c r="F305" s="225"/>
      <c r="G305" s="231"/>
      <c r="H305" s="377">
        <v>291</v>
      </c>
      <c r="I305" s="394"/>
      <c r="J305" s="394"/>
      <c r="K305" s="403"/>
      <c r="L305" s="403"/>
      <c r="M305" s="403"/>
      <c r="N305" s="441"/>
      <c r="O305" s="403"/>
      <c r="P305" s="403"/>
      <c r="Q305" s="403"/>
      <c r="R305" s="441"/>
      <c r="S305" s="433"/>
      <c r="T305" s="412" t="str" cm="1">
        <f t="array" aca="1" ref="T305" ca="1">IF(AND($U$12,B329&lt;=$C$17,C329&lt;&gt;""),TRANSPOSE(INDEX(getcds(C329,$C$6,G329/10000,F329,D329,$C$13,$C$14,$C$15,$C$8,,,TRUE,TRUE,FALSE,$C$29:$C$31,$C$33),{1;2;3;4;5})),"")</f>
        <v/>
      </c>
      <c r="U305" s="413"/>
      <c r="V305" s="413"/>
      <c r="W305" s="414"/>
      <c r="X305" s="415"/>
      <c r="Y305" s="416" t="str">
        <f t="shared" ca="1" si="24"/>
        <v/>
      </c>
      <c r="Z305" s="417" t="str">
        <f t="shared" ca="1" si="25"/>
        <v/>
      </c>
      <c r="AA305" s="416" t="str">
        <f t="shared" ca="1" si="26"/>
        <v/>
      </c>
      <c r="AB305" s="418" t="str">
        <f t="shared" ca="1" si="27"/>
        <v/>
      </c>
      <c r="AC305" s="417" t="str">
        <f t="shared" ca="1" si="28"/>
        <v/>
      </c>
      <c r="AD305" s="220"/>
    </row>
    <row r="306" spans="1:30" customFormat="1" ht="15">
      <c r="A306" s="220"/>
      <c r="B306" s="267">
        <v>268</v>
      </c>
      <c r="C306" s="245"/>
      <c r="D306" s="246"/>
      <c r="E306" s="238"/>
      <c r="F306" s="225"/>
      <c r="G306" s="231"/>
      <c r="H306" s="377">
        <v>292</v>
      </c>
      <c r="I306" s="394"/>
      <c r="J306" s="394"/>
      <c r="K306" s="403"/>
      <c r="L306" s="403"/>
      <c r="M306" s="403"/>
      <c r="N306" s="441"/>
      <c r="O306" s="403"/>
      <c r="P306" s="403"/>
      <c r="Q306" s="403"/>
      <c r="R306" s="441"/>
      <c r="S306" s="433"/>
      <c r="T306" s="412" t="str" cm="1">
        <f t="array" aca="1" ref="T306" ca="1">IF(AND($U$12,B330&lt;=$C$17,C330&lt;&gt;""),TRANSPOSE(INDEX(getcds(C330,$C$6,G330/10000,F330,D330,$C$13,$C$14,$C$15,$C$8,,,TRUE,TRUE,FALSE,$C$29:$C$31,$C$33),{1;2;3;4;5})),"")</f>
        <v/>
      </c>
      <c r="U306" s="413"/>
      <c r="V306" s="413"/>
      <c r="W306" s="414"/>
      <c r="X306" s="415"/>
      <c r="Y306" s="416" t="str">
        <f t="shared" ca="1" si="24"/>
        <v/>
      </c>
      <c r="Z306" s="417" t="str">
        <f t="shared" ca="1" si="25"/>
        <v/>
      </c>
      <c r="AA306" s="416" t="str">
        <f t="shared" ca="1" si="26"/>
        <v/>
      </c>
      <c r="AB306" s="418" t="str">
        <f t="shared" ca="1" si="27"/>
        <v/>
      </c>
      <c r="AC306" s="417" t="str">
        <f t="shared" ca="1" si="28"/>
        <v/>
      </c>
      <c r="AD306" s="220"/>
    </row>
    <row r="307" spans="1:30" customFormat="1" ht="15">
      <c r="A307" s="220"/>
      <c r="B307" s="267">
        <v>269</v>
      </c>
      <c r="C307" s="245"/>
      <c r="D307" s="246"/>
      <c r="E307" s="238"/>
      <c r="F307" s="225"/>
      <c r="G307" s="231"/>
      <c r="H307" s="377">
        <v>293</v>
      </c>
      <c r="I307" s="394"/>
      <c r="J307" s="394"/>
      <c r="K307" s="403"/>
      <c r="L307" s="403"/>
      <c r="M307" s="403"/>
      <c r="N307" s="441"/>
      <c r="O307" s="403"/>
      <c r="P307" s="403"/>
      <c r="Q307" s="403"/>
      <c r="R307" s="441"/>
      <c r="S307" s="433"/>
      <c r="T307" s="412" t="str" cm="1">
        <f t="array" aca="1" ref="T307" ca="1">IF(AND($U$12,B331&lt;=$C$17,C331&lt;&gt;""),TRANSPOSE(INDEX(getcds(C331,$C$6,G331/10000,F331,D331,$C$13,$C$14,$C$15,$C$8,,,TRUE,TRUE,FALSE,$C$29:$C$31,$C$33),{1;2;3;4;5})),"")</f>
        <v/>
      </c>
      <c r="U307" s="413"/>
      <c r="V307" s="413"/>
      <c r="W307" s="414"/>
      <c r="X307" s="415"/>
      <c r="Y307" s="416" t="str">
        <f t="shared" ca="1" si="24"/>
        <v/>
      </c>
      <c r="Z307" s="417" t="str">
        <f t="shared" ca="1" si="25"/>
        <v/>
      </c>
      <c r="AA307" s="416" t="str">
        <f t="shared" ca="1" si="26"/>
        <v/>
      </c>
      <c r="AB307" s="418" t="str">
        <f t="shared" ca="1" si="27"/>
        <v/>
      </c>
      <c r="AC307" s="417" t="str">
        <f t="shared" ca="1" si="28"/>
        <v/>
      </c>
      <c r="AD307" s="220"/>
    </row>
    <row r="308" spans="1:30" customFormat="1" ht="15">
      <c r="A308" s="220"/>
      <c r="B308" s="267">
        <v>270</v>
      </c>
      <c r="C308" s="245"/>
      <c r="D308" s="246"/>
      <c r="E308" s="238"/>
      <c r="F308" s="225"/>
      <c r="G308" s="231"/>
      <c r="H308" s="377">
        <v>294</v>
      </c>
      <c r="I308" s="394"/>
      <c r="J308" s="394"/>
      <c r="K308" s="403"/>
      <c r="L308" s="403"/>
      <c r="M308" s="403"/>
      <c r="N308" s="441"/>
      <c r="O308" s="403"/>
      <c r="P308" s="403"/>
      <c r="Q308" s="403"/>
      <c r="R308" s="441"/>
      <c r="S308" s="433"/>
      <c r="T308" s="412" t="str" cm="1">
        <f t="array" aca="1" ref="T308" ca="1">IF(AND($U$12,B332&lt;=$C$17,C332&lt;&gt;""),TRANSPOSE(INDEX(getcds(C332,$C$6,G332/10000,F332,D332,$C$13,$C$14,$C$15,$C$8,,,TRUE,TRUE,FALSE,$C$29:$C$31,$C$33),{1;2;3;4;5})),"")</f>
        <v/>
      </c>
      <c r="U308" s="413"/>
      <c r="V308" s="413"/>
      <c r="W308" s="414"/>
      <c r="X308" s="415"/>
      <c r="Y308" s="416" t="str">
        <f t="shared" ca="1" si="24"/>
        <v/>
      </c>
      <c r="Z308" s="417" t="str">
        <f t="shared" ca="1" si="25"/>
        <v/>
      </c>
      <c r="AA308" s="416" t="str">
        <f t="shared" ca="1" si="26"/>
        <v/>
      </c>
      <c r="AB308" s="418" t="str">
        <f t="shared" ca="1" si="27"/>
        <v/>
      </c>
      <c r="AC308" s="417" t="str">
        <f t="shared" ca="1" si="28"/>
        <v/>
      </c>
      <c r="AD308" s="220"/>
    </row>
    <row r="309" spans="1:30" customFormat="1" ht="15">
      <c r="A309" s="220"/>
      <c r="B309" s="267">
        <v>271</v>
      </c>
      <c r="C309" s="245"/>
      <c r="D309" s="246"/>
      <c r="E309" s="238"/>
      <c r="F309" s="225"/>
      <c r="G309" s="231"/>
      <c r="H309" s="377">
        <v>295</v>
      </c>
      <c r="I309" s="394"/>
      <c r="J309" s="394"/>
      <c r="K309" s="403"/>
      <c r="L309" s="403"/>
      <c r="M309" s="403"/>
      <c r="N309" s="441"/>
      <c r="O309" s="403"/>
      <c r="P309" s="403"/>
      <c r="Q309" s="403"/>
      <c r="R309" s="441"/>
      <c r="S309" s="433"/>
      <c r="T309" s="412" t="str" cm="1">
        <f t="array" aca="1" ref="T309" ca="1">IF(AND($U$12,B333&lt;=$C$17,C333&lt;&gt;""),TRANSPOSE(INDEX(getcds(C333,$C$6,G333/10000,F333,D333,$C$13,$C$14,$C$15,$C$8,,,TRUE,TRUE,FALSE,$C$29:$C$31,$C$33),{1;2;3;4;5})),"")</f>
        <v/>
      </c>
      <c r="U309" s="413"/>
      <c r="V309" s="413"/>
      <c r="W309" s="414"/>
      <c r="X309" s="415"/>
      <c r="Y309" s="416" t="str">
        <f t="shared" ca="1" si="24"/>
        <v/>
      </c>
      <c r="Z309" s="417" t="str">
        <f t="shared" ca="1" si="25"/>
        <v/>
      </c>
      <c r="AA309" s="416" t="str">
        <f t="shared" ca="1" si="26"/>
        <v/>
      </c>
      <c r="AB309" s="418" t="str">
        <f t="shared" ca="1" si="27"/>
        <v/>
      </c>
      <c r="AC309" s="417" t="str">
        <f t="shared" ca="1" si="28"/>
        <v/>
      </c>
      <c r="AD309" s="220"/>
    </row>
    <row r="310" spans="1:30" customFormat="1" ht="15">
      <c r="A310" s="220"/>
      <c r="B310" s="267">
        <v>272</v>
      </c>
      <c r="C310" s="245"/>
      <c r="D310" s="246"/>
      <c r="E310" s="238"/>
      <c r="F310" s="225"/>
      <c r="G310" s="231"/>
      <c r="H310" s="377">
        <v>296</v>
      </c>
      <c r="I310" s="394"/>
      <c r="J310" s="394"/>
      <c r="K310" s="403"/>
      <c r="L310" s="403"/>
      <c r="M310" s="403"/>
      <c r="N310" s="441"/>
      <c r="O310" s="403"/>
      <c r="P310" s="403"/>
      <c r="Q310" s="403"/>
      <c r="R310" s="441"/>
      <c r="S310" s="433"/>
      <c r="T310" s="412" t="str" cm="1">
        <f t="array" aca="1" ref="T310" ca="1">IF(AND($U$12,B334&lt;=$C$17,C334&lt;&gt;""),TRANSPOSE(INDEX(getcds(C334,$C$6,G334/10000,F334,D334,$C$13,$C$14,$C$15,$C$8,,,TRUE,TRUE,FALSE,$C$29:$C$31,$C$33),{1;2;3;4;5})),"")</f>
        <v/>
      </c>
      <c r="U310" s="413"/>
      <c r="V310" s="413"/>
      <c r="W310" s="414"/>
      <c r="X310" s="415"/>
      <c r="Y310" s="416" t="str">
        <f t="shared" ca="1" si="24"/>
        <v/>
      </c>
      <c r="Z310" s="417" t="str">
        <f t="shared" ca="1" si="25"/>
        <v/>
      </c>
      <c r="AA310" s="416" t="str">
        <f t="shared" ca="1" si="26"/>
        <v/>
      </c>
      <c r="AB310" s="418" t="str">
        <f t="shared" ca="1" si="27"/>
        <v/>
      </c>
      <c r="AC310" s="417" t="str">
        <f t="shared" ca="1" si="28"/>
        <v/>
      </c>
      <c r="AD310" s="220"/>
    </row>
    <row r="311" spans="1:30" customFormat="1" ht="15">
      <c r="A311" s="220"/>
      <c r="B311" s="267">
        <v>273</v>
      </c>
      <c r="C311" s="245"/>
      <c r="D311" s="246"/>
      <c r="E311" s="238"/>
      <c r="F311" s="225"/>
      <c r="G311" s="231"/>
      <c r="H311" s="377">
        <v>297</v>
      </c>
      <c r="I311" s="394"/>
      <c r="J311" s="394"/>
      <c r="K311" s="403"/>
      <c r="L311" s="403"/>
      <c r="M311" s="403"/>
      <c r="N311" s="441"/>
      <c r="O311" s="403"/>
      <c r="P311" s="403"/>
      <c r="Q311" s="403"/>
      <c r="R311" s="441"/>
      <c r="S311" s="433"/>
      <c r="T311" s="412" t="str" cm="1">
        <f t="array" aca="1" ref="T311" ca="1">IF(AND($U$12,B335&lt;=$C$17,C335&lt;&gt;""),TRANSPOSE(INDEX(getcds(C335,$C$6,G335/10000,F335,D335,$C$13,$C$14,$C$15,$C$8,,,TRUE,TRUE,FALSE,$C$29:$C$31,$C$33),{1;2;3;4;5})),"")</f>
        <v/>
      </c>
      <c r="U311" s="413"/>
      <c r="V311" s="413"/>
      <c r="W311" s="414"/>
      <c r="X311" s="415"/>
      <c r="Y311" s="416" t="str">
        <f t="shared" ca="1" si="24"/>
        <v/>
      </c>
      <c r="Z311" s="417" t="str">
        <f t="shared" ca="1" si="25"/>
        <v/>
      </c>
      <c r="AA311" s="416" t="str">
        <f t="shared" ca="1" si="26"/>
        <v/>
      </c>
      <c r="AB311" s="418" t="str">
        <f t="shared" ca="1" si="27"/>
        <v/>
      </c>
      <c r="AC311" s="417" t="str">
        <f t="shared" ca="1" si="28"/>
        <v/>
      </c>
      <c r="AD311" s="220"/>
    </row>
    <row r="312" spans="1:30" customFormat="1" ht="15">
      <c r="A312" s="220"/>
      <c r="B312" s="267">
        <v>274</v>
      </c>
      <c r="C312" s="245"/>
      <c r="D312" s="246"/>
      <c r="E312" s="238"/>
      <c r="F312" s="225"/>
      <c r="G312" s="231"/>
      <c r="H312" s="377">
        <v>298</v>
      </c>
      <c r="I312" s="394"/>
      <c r="J312" s="394"/>
      <c r="K312" s="403"/>
      <c r="L312" s="403"/>
      <c r="M312" s="403"/>
      <c r="N312" s="441"/>
      <c r="O312" s="403"/>
      <c r="P312" s="403"/>
      <c r="Q312" s="403"/>
      <c r="R312" s="441"/>
      <c r="S312" s="433"/>
      <c r="T312" s="412" t="str" cm="1">
        <f t="array" aca="1" ref="T312" ca="1">IF(AND($U$12,B336&lt;=$C$17,C336&lt;&gt;""),TRANSPOSE(INDEX(getcds(C336,$C$6,G336/10000,F336,D336,$C$13,$C$14,$C$15,$C$8,,,TRUE,TRUE,FALSE,$C$29:$C$31,$C$33),{1;2;3;4;5})),"")</f>
        <v/>
      </c>
      <c r="U312" s="413"/>
      <c r="V312" s="413"/>
      <c r="W312" s="414"/>
      <c r="X312" s="415"/>
      <c r="Y312" s="416" t="str">
        <f t="shared" ca="1" si="24"/>
        <v/>
      </c>
      <c r="Z312" s="417" t="str">
        <f t="shared" ca="1" si="25"/>
        <v/>
      </c>
      <c r="AA312" s="416" t="str">
        <f t="shared" ca="1" si="26"/>
        <v/>
      </c>
      <c r="AB312" s="418" t="str">
        <f t="shared" ca="1" si="27"/>
        <v/>
      </c>
      <c r="AC312" s="417" t="str">
        <f t="shared" ca="1" si="28"/>
        <v/>
      </c>
      <c r="AD312" s="220"/>
    </row>
    <row r="313" spans="1:30" customFormat="1" ht="15">
      <c r="A313" s="220"/>
      <c r="B313" s="267">
        <v>275</v>
      </c>
      <c r="C313" s="245"/>
      <c r="D313" s="246"/>
      <c r="E313" s="238"/>
      <c r="F313" s="225"/>
      <c r="G313" s="231"/>
      <c r="H313" s="377">
        <v>299</v>
      </c>
      <c r="I313" s="394"/>
      <c r="J313" s="394"/>
      <c r="K313" s="403"/>
      <c r="L313" s="403"/>
      <c r="M313" s="403"/>
      <c r="N313" s="441"/>
      <c r="O313" s="403"/>
      <c r="P313" s="403"/>
      <c r="Q313" s="403"/>
      <c r="R313" s="441"/>
      <c r="S313" s="433"/>
      <c r="T313" s="412" t="str" cm="1">
        <f t="array" aca="1" ref="T313" ca="1">IF(AND($U$12,B337&lt;=$C$17,C337&lt;&gt;""),TRANSPOSE(INDEX(getcds(C337,$C$6,G337/10000,F337,D337,$C$13,$C$14,$C$15,$C$8,,,TRUE,TRUE,FALSE,$C$29:$C$31,$C$33),{1;2;3;4;5})),"")</f>
        <v/>
      </c>
      <c r="U313" s="413"/>
      <c r="V313" s="413"/>
      <c r="W313" s="414"/>
      <c r="X313" s="415"/>
      <c r="Y313" s="416" t="str">
        <f t="shared" ca="1" si="24"/>
        <v/>
      </c>
      <c r="Z313" s="417" t="str">
        <f t="shared" ca="1" si="25"/>
        <v/>
      </c>
      <c r="AA313" s="416" t="str">
        <f t="shared" ca="1" si="26"/>
        <v/>
      </c>
      <c r="AB313" s="418" t="str">
        <f t="shared" ca="1" si="27"/>
        <v/>
      </c>
      <c r="AC313" s="417" t="str">
        <f t="shared" ca="1" si="28"/>
        <v/>
      </c>
      <c r="AD313" s="220"/>
    </row>
    <row r="314" spans="1:30" customFormat="1" ht="15.75" thickBot="1">
      <c r="A314" s="220"/>
      <c r="B314" s="267">
        <v>276</v>
      </c>
      <c r="C314" s="245"/>
      <c r="D314" s="246"/>
      <c r="E314" s="238"/>
      <c r="F314" s="225"/>
      <c r="G314" s="231"/>
      <c r="H314" s="380">
        <v>300</v>
      </c>
      <c r="I314" s="404"/>
      <c r="J314" s="404"/>
      <c r="K314" s="405"/>
      <c r="L314" s="405"/>
      <c r="M314" s="405"/>
      <c r="N314" s="406"/>
      <c r="O314" s="405"/>
      <c r="P314" s="405"/>
      <c r="Q314" s="405"/>
      <c r="R314" s="406"/>
      <c r="S314" s="443"/>
      <c r="T314" s="420" t="str" cm="1">
        <f t="array" aca="1" ref="T314" ca="1">IF(AND($U$12,B338&lt;=$C$17,C338&lt;&gt;""),TRANSPOSE(INDEX(getcds(C338,$C$6,G338/10000,F338,D338,$C$13,$C$14,$C$15,$C$8,,,TRUE,TRUE,FALSE,$C$29:$C$31,$C$33),{1;2;3;4;5})),"")</f>
        <v/>
      </c>
      <c r="U314" s="419"/>
      <c r="V314" s="419"/>
      <c r="W314" s="420"/>
      <c r="X314" s="421"/>
      <c r="Y314" s="416" t="str">
        <f t="shared" ca="1" si="24"/>
        <v/>
      </c>
      <c r="Z314" s="417" t="str">
        <f t="shared" ca="1" si="25"/>
        <v/>
      </c>
      <c r="AA314" s="420"/>
      <c r="AB314" s="420"/>
      <c r="AC314" s="406"/>
      <c r="AD314" s="220"/>
    </row>
    <row r="315" spans="1:30" customFormat="1" ht="15">
      <c r="A315" s="220"/>
      <c r="B315" s="267">
        <v>277</v>
      </c>
      <c r="C315" s="245"/>
      <c r="D315" s="246"/>
      <c r="E315" s="238"/>
      <c r="F315" s="225"/>
      <c r="G315" s="231"/>
      <c r="S315" s="85"/>
      <c r="T315" s="79"/>
      <c r="U315" s="79"/>
      <c r="V315" s="79"/>
      <c r="W315" s="79"/>
      <c r="X315" s="79"/>
      <c r="Y315" s="79"/>
      <c r="Z315" s="79"/>
      <c r="AA315" s="79"/>
      <c r="AB315" s="79"/>
    </row>
    <row r="316" spans="1:30" customFormat="1" ht="15">
      <c r="A316" s="220"/>
      <c r="B316" s="267">
        <v>278</v>
      </c>
      <c r="C316" s="245"/>
      <c r="D316" s="246"/>
      <c r="E316" s="238"/>
      <c r="F316" s="225"/>
      <c r="G316" s="231"/>
      <c r="S316" s="434"/>
      <c r="T316" s="79"/>
      <c r="U316" s="79"/>
      <c r="V316" s="79"/>
      <c r="W316" s="79"/>
      <c r="X316" s="79"/>
      <c r="Y316" s="79"/>
      <c r="Z316" s="79"/>
      <c r="AA316" s="79"/>
      <c r="AB316" s="79"/>
      <c r="AC316" s="79"/>
    </row>
    <row r="317" spans="1:30" customFormat="1" ht="15">
      <c r="A317" s="220"/>
      <c r="B317" s="267">
        <v>279</v>
      </c>
      <c r="C317" s="245"/>
      <c r="D317" s="246"/>
      <c r="E317" s="238"/>
      <c r="F317" s="225"/>
      <c r="G317" s="231"/>
      <c r="S317" s="434"/>
    </row>
    <row r="318" spans="1:30" customFormat="1" ht="15">
      <c r="A318" s="220"/>
      <c r="B318" s="267">
        <v>280</v>
      </c>
      <c r="C318" s="245"/>
      <c r="D318" s="246"/>
      <c r="E318" s="238"/>
      <c r="F318" s="225"/>
      <c r="G318" s="231"/>
      <c r="S318" s="434"/>
    </row>
    <row r="319" spans="1:30" customFormat="1" ht="15">
      <c r="A319" s="220"/>
      <c r="B319" s="267">
        <v>281</v>
      </c>
      <c r="C319" s="245"/>
      <c r="D319" s="246"/>
      <c r="E319" s="238"/>
      <c r="F319" s="225"/>
      <c r="G319" s="231"/>
      <c r="S319" s="434"/>
    </row>
    <row r="320" spans="1:30" customFormat="1" ht="15">
      <c r="A320" s="220"/>
      <c r="B320" s="267">
        <v>282</v>
      </c>
      <c r="C320" s="245"/>
      <c r="D320" s="246"/>
      <c r="E320" s="238"/>
      <c r="F320" s="225"/>
      <c r="G320" s="231"/>
      <c r="S320" s="434"/>
    </row>
    <row r="321" spans="1:19" customFormat="1" ht="15">
      <c r="A321" s="220"/>
      <c r="B321" s="267">
        <v>283</v>
      </c>
      <c r="C321" s="245"/>
      <c r="D321" s="246"/>
      <c r="E321" s="238"/>
      <c r="F321" s="225"/>
      <c r="G321" s="231"/>
      <c r="S321" s="434"/>
    </row>
    <row r="322" spans="1:19" customFormat="1" ht="15">
      <c r="A322" s="220"/>
      <c r="B322" s="267">
        <v>284</v>
      </c>
      <c r="C322" s="245"/>
      <c r="D322" s="246"/>
      <c r="E322" s="238"/>
      <c r="F322" s="225"/>
      <c r="G322" s="231"/>
      <c r="S322" s="434"/>
    </row>
    <row r="323" spans="1:19" customFormat="1" ht="15">
      <c r="A323" s="220"/>
      <c r="B323" s="267">
        <v>285</v>
      </c>
      <c r="C323" s="245"/>
      <c r="D323" s="246"/>
      <c r="E323" s="238"/>
      <c r="F323" s="225"/>
      <c r="G323" s="231"/>
      <c r="S323" s="434"/>
    </row>
    <row r="324" spans="1:19" customFormat="1" ht="15">
      <c r="A324" s="220"/>
      <c r="B324" s="267">
        <v>286</v>
      </c>
      <c r="C324" s="245"/>
      <c r="D324" s="246"/>
      <c r="E324" s="238"/>
      <c r="F324" s="225"/>
      <c r="G324" s="231"/>
      <c r="S324" s="434"/>
    </row>
    <row r="325" spans="1:19" customFormat="1" ht="15">
      <c r="A325" s="220"/>
      <c r="B325" s="267">
        <v>287</v>
      </c>
      <c r="C325" s="245"/>
      <c r="D325" s="246"/>
      <c r="E325" s="238"/>
      <c r="F325" s="225"/>
      <c r="G325" s="231"/>
      <c r="S325" s="434"/>
    </row>
    <row r="326" spans="1:19" customFormat="1" ht="15">
      <c r="A326" s="220"/>
      <c r="B326" s="267">
        <v>288</v>
      </c>
      <c r="C326" s="245"/>
      <c r="D326" s="246"/>
      <c r="E326" s="238"/>
      <c r="F326" s="225"/>
      <c r="G326" s="231"/>
      <c r="S326" s="434"/>
    </row>
    <row r="327" spans="1:19" customFormat="1" ht="15">
      <c r="A327" s="220"/>
      <c r="B327" s="267">
        <v>289</v>
      </c>
      <c r="C327" s="245"/>
      <c r="D327" s="246"/>
      <c r="E327" s="238"/>
      <c r="F327" s="225"/>
      <c r="G327" s="231"/>
      <c r="S327" s="434"/>
    </row>
    <row r="328" spans="1:19" customFormat="1" ht="15">
      <c r="A328" s="220"/>
      <c r="B328" s="267">
        <v>290</v>
      </c>
      <c r="C328" s="245"/>
      <c r="D328" s="246"/>
      <c r="E328" s="238"/>
      <c r="F328" s="225"/>
      <c r="G328" s="231"/>
    </row>
    <row r="329" spans="1:19" customFormat="1" ht="15">
      <c r="A329" s="220"/>
      <c r="B329" s="267">
        <v>291</v>
      </c>
      <c r="C329" s="245"/>
      <c r="D329" s="246"/>
      <c r="E329" s="238"/>
      <c r="F329" s="225"/>
      <c r="G329" s="231"/>
    </row>
    <row r="330" spans="1:19" customFormat="1" ht="15">
      <c r="A330" s="220"/>
      <c r="B330" s="267">
        <v>292</v>
      </c>
      <c r="C330" s="245"/>
      <c r="D330" s="246"/>
      <c r="E330" s="238"/>
      <c r="F330" s="225"/>
      <c r="G330" s="231"/>
    </row>
    <row r="331" spans="1:19" customFormat="1" ht="15">
      <c r="A331" s="220"/>
      <c r="B331" s="267">
        <v>293</v>
      </c>
      <c r="C331" s="245"/>
      <c r="D331" s="246"/>
      <c r="E331" s="238"/>
      <c r="F331" s="225"/>
      <c r="G331" s="231"/>
    </row>
    <row r="332" spans="1:19" customFormat="1" ht="15">
      <c r="A332" s="220"/>
      <c r="B332" s="267">
        <v>294</v>
      </c>
      <c r="C332" s="245"/>
      <c r="D332" s="246"/>
      <c r="E332" s="238"/>
      <c r="F332" s="225"/>
      <c r="G332" s="231"/>
    </row>
    <row r="333" spans="1:19" customFormat="1" ht="15">
      <c r="A333" s="220"/>
      <c r="B333" s="267">
        <v>295</v>
      </c>
      <c r="C333" s="245"/>
      <c r="D333" s="246"/>
      <c r="E333" s="238"/>
      <c r="F333" s="225"/>
      <c r="G333" s="231"/>
    </row>
    <row r="334" spans="1:19" customFormat="1" ht="15">
      <c r="A334" s="220"/>
      <c r="B334" s="267">
        <v>296</v>
      </c>
      <c r="C334" s="245"/>
      <c r="D334" s="246"/>
      <c r="E334" s="238"/>
      <c r="F334" s="225"/>
      <c r="G334" s="231"/>
    </row>
    <row r="335" spans="1:19" customFormat="1" ht="15">
      <c r="A335" s="220"/>
      <c r="B335" s="267">
        <v>297</v>
      </c>
      <c r="C335" s="245"/>
      <c r="D335" s="246"/>
      <c r="E335" s="238"/>
      <c r="F335" s="225"/>
      <c r="G335" s="231"/>
    </row>
    <row r="336" spans="1:19" customFormat="1" ht="15">
      <c r="A336" s="220"/>
      <c r="B336" s="267">
        <v>298</v>
      </c>
      <c r="C336" s="245"/>
      <c r="D336" s="246"/>
      <c r="E336" s="238"/>
      <c r="F336" s="225"/>
      <c r="G336" s="231"/>
    </row>
    <row r="337" spans="1:7" customFormat="1" ht="15">
      <c r="A337" s="220"/>
      <c r="B337" s="267">
        <v>299</v>
      </c>
      <c r="C337" s="245"/>
      <c r="D337" s="246"/>
      <c r="E337" s="238"/>
      <c r="F337" s="225"/>
      <c r="G337" s="231"/>
    </row>
    <row r="338" spans="1:7" customFormat="1" ht="15.75" thickBot="1">
      <c r="A338" s="220"/>
      <c r="B338" s="429">
        <v>300</v>
      </c>
      <c r="C338" s="430"/>
      <c r="D338" s="430"/>
      <c r="E338" s="430"/>
      <c r="F338" s="430"/>
      <c r="G338" s="430"/>
    </row>
  </sheetData>
  <dataValidations count="5">
    <dataValidation type="list" allowBlank="1" showInputMessage="1" showErrorMessage="1" sqref="C33" xr:uid="{8E7644AA-F3D4-4B02-8068-4C491DA5D76E}">
      <formula1>"1m,3m"</formula1>
    </dataValidation>
    <dataValidation type="list" allowBlank="1" showInputMessage="1" showErrorMessage="1" sqref="C8" xr:uid="{1616E251-939B-4756-9DEF-D822C00DA5A7}">
      <formula1>"EUR,JPY,USD"</formula1>
    </dataValidation>
    <dataValidation type="list" allowBlank="1" showInputMessage="1" showErrorMessage="1" sqref="C13" xr:uid="{889B973C-4E03-40DA-B608-A7ABD28A72E5}">
      <formula1>"3m,6m,1y"</formula1>
    </dataValidation>
    <dataValidation type="list" allowBlank="1" showInputMessage="1" showErrorMessage="1" sqref="C14" xr:uid="{864E5B19-D78E-4E3C-AA90-D614A84EAF8C}">
      <formula1>"ShortFirst,LongFirst,ShortLast,LongLast"</formula1>
    </dataValidation>
    <dataValidation type="list" allowBlank="1" showInputMessage="1" showErrorMessage="1" sqref="I5 C24:C25 C27 C30:C31 U12 L5:L6" xr:uid="{F2089A6D-A7E4-42C7-84B2-685AE7B2E9DE}">
      <formula1>TrueFalseTab</formula1>
    </dataValidation>
  </dataValidations>
  <pageMargins left="0.78740157499999996" right="0.78740157499999996" top="0.984251969" bottom="0.984251969" header="0.5" footer="0.5"/>
  <pageSetup paperSize="9" scale="7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2" r:id="rId4" name="Button 28">
              <controlPr defaultSize="0" print="0" autoFill="0" autoPict="0" macro="[0]!CDOBespokePricing">
                <anchor moveWithCells="1">
                  <from>
                    <xdr:col>6</xdr:col>
                    <xdr:colOff>638175</xdr:colOff>
                    <xdr:row>5</xdr:row>
                    <xdr:rowOff>104775</xdr:rowOff>
                  </from>
                  <to>
                    <xdr:col>9</xdr:col>
                    <xdr:colOff>723900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4" r:id="rId5" name="Button 30">
              <controlPr defaultSize="0" print="0" autoFill="0" autoPict="0" macro="[0]!jtdORIGINAL">
                <anchor moveWithCells="1">
                  <from>
                    <xdr:col>4</xdr:col>
                    <xdr:colOff>314325</xdr:colOff>
                    <xdr:row>10</xdr:row>
                    <xdr:rowOff>114300</xdr:rowOff>
                  </from>
                  <to>
                    <xdr:col>6</xdr:col>
                    <xdr:colOff>209550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5" r:id="rId6" name="Button 31">
              <controlPr defaultSize="0" print="0" autoFill="0" autoPict="0" macro="[0]!jtdDEFAUT">
                <anchor moveWithCells="1">
                  <from>
                    <xdr:col>4</xdr:col>
                    <xdr:colOff>314325</xdr:colOff>
                    <xdr:row>12</xdr:row>
                    <xdr:rowOff>152400</xdr:rowOff>
                  </from>
                  <to>
                    <xdr:col>6</xdr:col>
                    <xdr:colOff>209550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7" name="Button 65">
              <controlPr defaultSize="0" print="0" autoFill="0" autoPict="0" macro="[0]!CurrentRegionCalculate">
                <anchor moveWithCells="1">
                  <from>
                    <xdr:col>21</xdr:col>
                    <xdr:colOff>381000</xdr:colOff>
                    <xdr:row>9</xdr:row>
                    <xdr:rowOff>85725</xdr:rowOff>
                  </from>
                  <to>
                    <xdr:col>22</xdr:col>
                    <xdr:colOff>123825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8E048-3245-4E24-912E-3BBF0790E685}">
  <sheetPr codeName="Feuil8"/>
  <dimension ref="A1:HU808"/>
  <sheetViews>
    <sheetView topLeftCell="A2" zoomScale="115" zoomScaleNormal="115" workbookViewId="0">
      <selection activeCell="K14" sqref="K14"/>
    </sheetView>
  </sheetViews>
  <sheetFormatPr defaultColWidth="9.140625" defaultRowHeight="11.25"/>
  <cols>
    <col min="1" max="1" width="2.85546875" style="272" customWidth="1"/>
    <col min="2" max="2" width="17" style="272" bestFit="1" customWidth="1"/>
    <col min="3" max="3" width="10.42578125" style="272" bestFit="1" customWidth="1"/>
    <col min="4" max="4" width="10.5703125" style="273" customWidth="1"/>
    <col min="5" max="5" width="9.85546875" style="273" customWidth="1"/>
    <col min="6" max="6" width="22.5703125" style="273" bestFit="1" customWidth="1"/>
    <col min="7" max="12" width="12.42578125" style="273" customWidth="1"/>
    <col min="13" max="13" width="36.28515625" style="273" bestFit="1" customWidth="1"/>
    <col min="14" max="14" width="12.42578125" style="273" customWidth="1"/>
    <col min="15" max="15" width="9.85546875" style="273" customWidth="1"/>
    <col min="16" max="16" width="9.85546875" style="79" bestFit="1" customWidth="1"/>
    <col min="17" max="17" width="9.140625" style="79"/>
    <col min="18" max="18" width="12.140625" style="79" bestFit="1" customWidth="1"/>
    <col min="19" max="19" width="12.28515625" style="79" bestFit="1" customWidth="1"/>
    <col min="20" max="21" width="10.28515625" style="79" bestFit="1" customWidth="1"/>
    <col min="22" max="22" width="12.140625" style="79" bestFit="1" customWidth="1"/>
    <col min="23" max="23" width="12.28515625" style="79" bestFit="1" customWidth="1"/>
    <col min="24" max="25" width="10.28515625" style="79" bestFit="1" customWidth="1"/>
    <col min="26" max="26" width="9.140625" style="79"/>
    <col min="27" max="27" width="10.28515625" style="79" bestFit="1" customWidth="1"/>
    <col min="28" max="32" width="8.5703125" style="79" customWidth="1"/>
    <col min="33" max="33" width="28.5703125" style="272" customWidth="1"/>
    <col min="34" max="48" width="8.5703125" style="272" customWidth="1"/>
    <col min="49" max="54" width="9.140625" style="272"/>
    <col min="55" max="55" width="20.5703125" style="272" bestFit="1" customWidth="1"/>
    <col min="56" max="16384" width="9.140625" style="272"/>
  </cols>
  <sheetData>
    <row r="1" spans="1:229" s="478" customFormat="1" ht="29.25" customHeight="1">
      <c r="A1" s="477"/>
      <c r="B1" s="477"/>
      <c r="C1" s="477"/>
      <c r="D1" s="477"/>
      <c r="E1" s="477"/>
      <c r="F1" s="477"/>
      <c r="G1" s="477"/>
      <c r="H1" s="477"/>
      <c r="I1" s="477"/>
      <c r="J1" s="477"/>
      <c r="K1" s="477"/>
      <c r="L1" s="477"/>
      <c r="M1" s="477"/>
      <c r="N1" s="477"/>
      <c r="O1" s="477"/>
      <c r="P1" s="477"/>
      <c r="Q1" s="477"/>
      <c r="R1" s="477"/>
      <c r="S1" s="477"/>
      <c r="T1" s="477"/>
      <c r="U1" s="477"/>
      <c r="V1" s="477"/>
      <c r="W1" s="477"/>
      <c r="X1" s="477"/>
      <c r="Y1" s="477"/>
      <c r="Z1" s="477"/>
      <c r="AA1" s="477"/>
      <c r="AB1" s="477"/>
      <c r="AC1" s="477"/>
      <c r="AD1" s="477"/>
      <c r="AE1" s="477"/>
      <c r="AF1" s="477"/>
      <c r="AG1" s="477"/>
      <c r="AH1" s="477"/>
      <c r="AI1" s="477"/>
      <c r="AJ1" s="477"/>
      <c r="AK1" s="477"/>
      <c r="AL1" s="477"/>
      <c r="AM1" s="477"/>
      <c r="AN1" s="477"/>
      <c r="AO1" s="477"/>
      <c r="AP1" s="477"/>
      <c r="AQ1" s="477"/>
      <c r="AR1" s="477"/>
      <c r="AS1" s="477"/>
      <c r="AT1" s="477"/>
      <c r="AU1" s="477"/>
      <c r="AV1" s="477"/>
      <c r="AW1" s="477"/>
      <c r="AX1" s="477"/>
      <c r="AY1" s="477"/>
      <c r="AZ1" s="477"/>
      <c r="BA1" s="477"/>
      <c r="BB1" s="477"/>
      <c r="BC1" s="477"/>
      <c r="BD1" s="477"/>
      <c r="BE1" s="477"/>
      <c r="BF1" s="477"/>
      <c r="BG1" s="477"/>
      <c r="BH1" s="477"/>
      <c r="BI1" s="477"/>
      <c r="BJ1" s="477"/>
      <c r="BK1" s="477"/>
      <c r="BL1" s="477"/>
      <c r="BM1" s="477"/>
      <c r="BN1" s="477"/>
      <c r="BO1" s="477"/>
      <c r="BP1" s="477"/>
      <c r="BQ1" s="477"/>
      <c r="BR1" s="477"/>
      <c r="BS1" s="477"/>
      <c r="BT1" s="477"/>
      <c r="BU1" s="477"/>
      <c r="BV1" s="477"/>
      <c r="BW1" s="477"/>
      <c r="BX1" s="477"/>
      <c r="BY1" s="477"/>
      <c r="BZ1" s="477"/>
      <c r="CA1" s="477"/>
      <c r="CB1" s="477"/>
      <c r="CC1" s="477"/>
      <c r="CD1" s="477"/>
      <c r="CE1" s="477"/>
      <c r="CF1" s="477"/>
      <c r="CG1" s="477"/>
      <c r="CH1" s="477"/>
      <c r="CI1" s="477"/>
      <c r="CJ1" s="477"/>
      <c r="CK1" s="477"/>
      <c r="CL1" s="477"/>
      <c r="CM1" s="477"/>
      <c r="CN1" s="477"/>
      <c r="CO1" s="477"/>
      <c r="CP1" s="477"/>
      <c r="CQ1" s="477"/>
      <c r="CR1" s="477"/>
      <c r="CS1" s="477"/>
      <c r="CT1" s="477"/>
      <c r="CU1" s="477"/>
      <c r="CV1" s="477"/>
      <c r="CW1" s="477"/>
      <c r="CX1" s="477"/>
      <c r="CY1" s="477"/>
      <c r="CZ1" s="477"/>
      <c r="DA1" s="477"/>
      <c r="DB1" s="477"/>
      <c r="DC1" s="477"/>
      <c r="DD1" s="477"/>
      <c r="DE1" s="477"/>
      <c r="DF1" s="477"/>
      <c r="DG1" s="477"/>
      <c r="DH1" s="477"/>
      <c r="DI1" s="477"/>
      <c r="DJ1" s="477"/>
      <c r="DK1" s="477"/>
      <c r="DL1" s="477"/>
      <c r="DM1" s="477"/>
      <c r="DN1" s="477"/>
      <c r="DO1" s="477"/>
      <c r="DP1" s="477"/>
      <c r="DQ1" s="477"/>
      <c r="DR1" s="477"/>
      <c r="DS1" s="477"/>
      <c r="DT1" s="477"/>
      <c r="DU1" s="477"/>
      <c r="DV1" s="477"/>
      <c r="DW1" s="477"/>
      <c r="DX1" s="477"/>
      <c r="DY1" s="477"/>
      <c r="DZ1" s="477"/>
      <c r="EA1" s="477"/>
      <c r="EB1" s="477"/>
      <c r="EC1" s="477"/>
      <c r="ED1" s="477"/>
      <c r="EE1" s="477"/>
      <c r="EF1" s="477"/>
      <c r="EG1" s="477"/>
      <c r="EH1" s="477"/>
      <c r="EI1" s="477"/>
      <c r="EJ1" s="477"/>
      <c r="EK1" s="477"/>
      <c r="EL1" s="477"/>
      <c r="EM1" s="477"/>
      <c r="EN1" s="477"/>
      <c r="EO1" s="477"/>
      <c r="EP1" s="477"/>
      <c r="EQ1" s="477"/>
      <c r="ER1" s="477"/>
      <c r="ES1" s="477"/>
      <c r="ET1" s="477"/>
      <c r="EU1" s="477"/>
      <c r="EV1" s="477"/>
      <c r="EW1" s="477"/>
      <c r="EX1" s="477"/>
      <c r="EY1" s="477"/>
      <c r="EZ1" s="477"/>
      <c r="FA1" s="477"/>
      <c r="FB1" s="477"/>
      <c r="FC1" s="477"/>
      <c r="FD1" s="477"/>
      <c r="FE1" s="477"/>
      <c r="FF1" s="477"/>
      <c r="FG1" s="477"/>
      <c r="FH1" s="477"/>
      <c r="FI1" s="477"/>
      <c r="FJ1" s="477"/>
      <c r="FK1" s="477"/>
      <c r="FL1" s="477"/>
      <c r="FM1" s="477"/>
      <c r="FN1" s="477"/>
      <c r="FO1" s="477"/>
      <c r="FP1" s="477"/>
      <c r="FQ1" s="477"/>
      <c r="FR1" s="477"/>
      <c r="FS1" s="477"/>
      <c r="FT1" s="477"/>
      <c r="FU1" s="477"/>
      <c r="FV1" s="477"/>
      <c r="FW1" s="477"/>
      <c r="FX1" s="477"/>
      <c r="FY1" s="477"/>
      <c r="FZ1" s="477"/>
      <c r="GA1" s="477"/>
      <c r="GB1" s="477"/>
      <c r="GC1" s="477"/>
      <c r="GD1" s="477"/>
      <c r="GE1" s="477"/>
      <c r="GF1" s="477"/>
      <c r="GG1" s="477"/>
      <c r="GH1" s="477"/>
      <c r="GI1" s="477"/>
      <c r="GJ1" s="477"/>
      <c r="GK1" s="477"/>
      <c r="GL1" s="477"/>
      <c r="GM1" s="477"/>
      <c r="GN1" s="477"/>
      <c r="GO1" s="477"/>
      <c r="GP1" s="477"/>
      <c r="GQ1" s="477"/>
      <c r="GR1" s="477"/>
      <c r="GS1" s="477"/>
      <c r="GT1" s="477"/>
      <c r="GU1" s="477"/>
      <c r="GV1" s="477"/>
      <c r="GW1" s="477"/>
      <c r="GX1" s="477"/>
      <c r="GY1" s="477"/>
      <c r="GZ1" s="477"/>
      <c r="HA1" s="477"/>
      <c r="HB1" s="477"/>
      <c r="HC1" s="477"/>
      <c r="HD1" s="477"/>
      <c r="HE1" s="477"/>
      <c r="HF1" s="477"/>
      <c r="HG1" s="477"/>
      <c r="HH1" s="477"/>
      <c r="HI1" s="477"/>
      <c r="HJ1" s="477"/>
      <c r="HK1" s="477"/>
      <c r="HL1" s="477"/>
      <c r="HM1" s="477"/>
      <c r="HN1" s="477"/>
      <c r="HO1" s="477"/>
      <c r="HP1" s="477"/>
      <c r="HQ1" s="477"/>
      <c r="HR1" s="477"/>
      <c r="HS1" s="477"/>
      <c r="HT1" s="477"/>
      <c r="HU1" s="477"/>
    </row>
    <row r="2" spans="1:229" s="478" customFormat="1" ht="54.75" customHeight="1">
      <c r="A2" s="477"/>
      <c r="B2" s="477"/>
      <c r="C2" s="479"/>
      <c r="D2" s="477"/>
      <c r="E2" s="477"/>
      <c r="F2" s="477"/>
      <c r="G2" s="477"/>
      <c r="H2" s="477"/>
      <c r="I2" s="477"/>
      <c r="J2" s="477"/>
      <c r="K2" s="477"/>
      <c r="L2" s="477"/>
      <c r="M2" s="477"/>
      <c r="N2" s="477"/>
      <c r="O2" s="477"/>
      <c r="P2" s="477"/>
      <c r="Q2" s="477"/>
      <c r="R2" s="477"/>
      <c r="S2" s="477"/>
      <c r="T2" s="477"/>
      <c r="U2" s="477"/>
      <c r="V2" s="477"/>
      <c r="W2" s="477"/>
      <c r="X2" s="477"/>
      <c r="Y2" s="477"/>
      <c r="Z2" s="477"/>
      <c r="AA2" s="477"/>
      <c r="AB2" s="477"/>
      <c r="AC2" s="477"/>
      <c r="AD2" s="477"/>
      <c r="AE2" s="477"/>
      <c r="AF2" s="477"/>
      <c r="AG2" s="477"/>
      <c r="AH2" s="477"/>
      <c r="AI2" s="477"/>
      <c r="AJ2" s="477"/>
      <c r="AK2" s="477"/>
      <c r="AL2" s="477"/>
      <c r="AM2" s="477"/>
      <c r="AN2" s="477"/>
      <c r="AO2" s="477"/>
      <c r="AP2" s="477"/>
      <c r="AQ2" s="477"/>
      <c r="AR2" s="477"/>
      <c r="AS2" s="477"/>
      <c r="AT2" s="477"/>
      <c r="AU2" s="477"/>
      <c r="AV2" s="477"/>
      <c r="AW2" s="477"/>
      <c r="AX2" s="477"/>
      <c r="AY2" s="477"/>
      <c r="AZ2" s="477"/>
      <c r="BA2" s="477"/>
      <c r="BB2" s="477"/>
      <c r="BC2" s="477"/>
      <c r="BD2" s="477"/>
      <c r="BE2" s="477"/>
      <c r="BF2" s="477"/>
      <c r="BG2" s="477"/>
      <c r="BH2" s="477"/>
      <c r="BI2" s="477"/>
      <c r="BJ2" s="477"/>
      <c r="BK2" s="477"/>
      <c r="BL2" s="477"/>
      <c r="BM2" s="477"/>
      <c r="BN2" s="477"/>
      <c r="BO2" s="477"/>
      <c r="BP2" s="477"/>
      <c r="BQ2" s="477"/>
      <c r="BR2" s="477"/>
      <c r="BS2" s="477"/>
      <c r="BT2" s="477"/>
      <c r="BU2" s="477"/>
      <c r="BV2" s="477"/>
      <c r="BW2" s="477"/>
      <c r="BX2" s="477"/>
      <c r="BY2" s="477"/>
      <c r="BZ2" s="477"/>
      <c r="CA2" s="477"/>
      <c r="CB2" s="477"/>
      <c r="CC2" s="477"/>
      <c r="CD2" s="477"/>
      <c r="CE2" s="477"/>
      <c r="CF2" s="477"/>
      <c r="CG2" s="477"/>
      <c r="CH2" s="477"/>
      <c r="CI2" s="477"/>
      <c r="CJ2" s="477"/>
      <c r="CK2" s="477"/>
      <c r="CL2" s="477"/>
      <c r="CM2" s="477"/>
      <c r="CN2" s="477"/>
      <c r="CO2" s="477"/>
      <c r="CP2" s="477"/>
      <c r="CQ2" s="477"/>
      <c r="CR2" s="477"/>
      <c r="CS2" s="477"/>
      <c r="CT2" s="477"/>
      <c r="CU2" s="477"/>
      <c r="CV2" s="477"/>
      <c r="CW2" s="477"/>
      <c r="CX2" s="477"/>
      <c r="CY2" s="477"/>
      <c r="CZ2" s="477"/>
      <c r="DA2" s="477"/>
      <c r="DB2" s="477"/>
      <c r="DC2" s="477"/>
      <c r="DD2" s="477"/>
      <c r="DE2" s="477"/>
      <c r="DF2" s="477"/>
      <c r="DG2" s="477"/>
      <c r="DH2" s="477"/>
      <c r="DI2" s="477"/>
      <c r="DJ2" s="477"/>
      <c r="DK2" s="477"/>
      <c r="DL2" s="477"/>
      <c r="DM2" s="477"/>
      <c r="DN2" s="477"/>
      <c r="DO2" s="477"/>
      <c r="DP2" s="477"/>
      <c r="DQ2" s="477"/>
      <c r="DR2" s="477"/>
      <c r="DS2" s="477"/>
      <c r="DT2" s="477"/>
      <c r="DU2" s="477"/>
      <c r="DV2" s="477"/>
      <c r="DW2" s="477"/>
      <c r="DX2" s="477"/>
      <c r="DY2" s="477"/>
      <c r="DZ2" s="477"/>
      <c r="EA2" s="477"/>
      <c r="EB2" s="477"/>
      <c r="EC2" s="477"/>
      <c r="ED2" s="477"/>
      <c r="EE2" s="477"/>
      <c r="EF2" s="477"/>
      <c r="EG2" s="477"/>
      <c r="EH2" s="477"/>
      <c r="EI2" s="477"/>
      <c r="EJ2" s="477"/>
      <c r="EK2" s="477"/>
      <c r="EL2" s="477"/>
      <c r="EM2" s="477"/>
      <c r="EN2" s="477"/>
      <c r="EO2" s="477"/>
      <c r="EP2" s="477"/>
      <c r="EQ2" s="477"/>
      <c r="ER2" s="477"/>
      <c r="ES2" s="477"/>
      <c r="ET2" s="477"/>
      <c r="EU2" s="477"/>
      <c r="EV2" s="477"/>
      <c r="EW2" s="477"/>
      <c r="EX2" s="477"/>
      <c r="EY2" s="477"/>
      <c r="EZ2" s="477"/>
      <c r="FA2" s="477"/>
      <c r="FB2" s="477"/>
      <c r="FC2" s="477"/>
      <c r="FD2" s="477"/>
      <c r="FE2" s="477"/>
      <c r="FF2" s="477"/>
      <c r="FG2" s="477"/>
      <c r="FH2" s="477"/>
      <c r="FI2" s="477"/>
      <c r="FJ2" s="477"/>
      <c r="FK2" s="477"/>
      <c r="FL2" s="477"/>
      <c r="FM2" s="477"/>
      <c r="FN2" s="477"/>
      <c r="FO2" s="477"/>
      <c r="FP2" s="477"/>
      <c r="FQ2" s="477"/>
      <c r="FR2" s="477"/>
      <c r="FS2" s="477"/>
      <c r="FT2" s="477"/>
      <c r="FU2" s="477"/>
      <c r="FV2" s="477"/>
      <c r="FW2" s="477"/>
      <c r="FX2" s="477"/>
      <c r="FY2" s="477"/>
      <c r="FZ2" s="477"/>
      <c r="GA2" s="477"/>
      <c r="GB2" s="477"/>
      <c r="GC2" s="477"/>
      <c r="GD2" s="477"/>
      <c r="GE2" s="477"/>
      <c r="GF2" s="477"/>
      <c r="GG2" s="477"/>
      <c r="GH2" s="477"/>
      <c r="GI2" s="477"/>
      <c r="GJ2" s="477"/>
      <c r="GK2" s="477"/>
      <c r="GL2" s="477"/>
      <c r="GM2" s="477"/>
      <c r="GN2" s="477"/>
      <c r="GO2" s="477"/>
      <c r="GP2" s="477"/>
      <c r="GQ2" s="477"/>
      <c r="GR2" s="477"/>
      <c r="GS2" s="477"/>
      <c r="GT2" s="477"/>
      <c r="GU2" s="477"/>
      <c r="GV2" s="477"/>
      <c r="GW2" s="477"/>
      <c r="GX2" s="477"/>
      <c r="GY2" s="477"/>
      <c r="GZ2" s="477"/>
      <c r="HA2" s="477"/>
      <c r="HB2" s="477"/>
      <c r="HC2" s="477"/>
      <c r="HD2" s="477"/>
      <c r="HE2" s="477"/>
      <c r="HF2" s="477"/>
      <c r="HG2" s="477"/>
      <c r="HH2" s="477"/>
      <c r="HI2" s="477"/>
      <c r="HJ2" s="477"/>
      <c r="HK2" s="477"/>
      <c r="HL2" s="477"/>
      <c r="HM2" s="477"/>
      <c r="HN2" s="477"/>
      <c r="HO2" s="477"/>
      <c r="HP2" s="477"/>
      <c r="HQ2" s="477"/>
      <c r="HR2" s="477"/>
      <c r="HS2" s="477"/>
      <c r="HT2" s="477"/>
      <c r="HU2" s="477"/>
    </row>
    <row r="3" spans="1:229" s="478" customFormat="1" ht="36.75" customHeight="1">
      <c r="A3" s="477"/>
      <c r="B3" s="477"/>
      <c r="C3" s="477"/>
      <c r="D3" s="477"/>
      <c r="E3" s="477"/>
      <c r="F3" s="477"/>
      <c r="G3" s="477"/>
      <c r="H3" s="477"/>
      <c r="I3" s="480"/>
      <c r="J3" s="480"/>
      <c r="K3" s="480"/>
      <c r="L3" s="480"/>
      <c r="M3" s="480"/>
      <c r="N3" s="480"/>
      <c r="O3" s="480"/>
      <c r="P3" s="480"/>
      <c r="Q3" s="480"/>
      <c r="R3" s="477"/>
      <c r="S3" s="477"/>
      <c r="T3" s="477"/>
      <c r="U3" s="477"/>
      <c r="V3" s="477"/>
      <c r="W3" s="477"/>
      <c r="X3" s="477"/>
      <c r="Y3" s="477"/>
      <c r="Z3" s="477"/>
      <c r="AA3" s="477"/>
      <c r="AB3" s="477"/>
      <c r="AC3" s="480"/>
      <c r="AD3" s="477"/>
      <c r="AE3" s="477"/>
      <c r="AF3" s="477"/>
      <c r="AG3" s="477"/>
      <c r="AH3" s="477"/>
      <c r="AI3" s="477"/>
      <c r="AJ3" s="477"/>
      <c r="AK3" s="477"/>
      <c r="AL3" s="477"/>
      <c r="AM3" s="477"/>
      <c r="AN3" s="477"/>
      <c r="AO3" s="477"/>
      <c r="AP3" s="477"/>
      <c r="AQ3" s="477"/>
      <c r="AR3" s="477"/>
      <c r="AS3" s="477"/>
      <c r="AT3" s="477"/>
      <c r="AU3" s="477"/>
      <c r="AV3" s="477"/>
      <c r="AW3" s="477"/>
      <c r="AX3" s="477"/>
      <c r="AY3" s="477"/>
      <c r="AZ3" s="477"/>
      <c r="BA3" s="477"/>
      <c r="BB3" s="477"/>
      <c r="BC3" s="477"/>
      <c r="BD3" s="477"/>
      <c r="BE3" s="477"/>
      <c r="BF3" s="477"/>
      <c r="BG3" s="477"/>
      <c r="BH3" s="477"/>
      <c r="BI3" s="477"/>
      <c r="BJ3" s="477"/>
      <c r="BK3" s="477"/>
      <c r="BL3" s="477"/>
      <c r="BM3" s="477"/>
      <c r="BN3" s="477"/>
      <c r="BO3" s="477"/>
      <c r="BP3" s="477"/>
      <c r="BQ3" s="477"/>
      <c r="BR3" s="477"/>
      <c r="BS3" s="477"/>
      <c r="BT3" s="477"/>
      <c r="BU3" s="477"/>
      <c r="BV3" s="477"/>
      <c r="BW3" s="477"/>
      <c r="BX3" s="477"/>
      <c r="BY3" s="477"/>
      <c r="BZ3" s="477"/>
      <c r="CA3" s="477"/>
      <c r="CB3" s="477"/>
      <c r="CC3" s="477"/>
      <c r="CD3" s="477"/>
      <c r="CE3" s="477"/>
      <c r="CF3" s="477"/>
      <c r="CG3" s="477"/>
      <c r="CH3" s="477"/>
      <c r="CI3" s="477"/>
      <c r="CJ3" s="477"/>
      <c r="CK3" s="477"/>
      <c r="CL3" s="477"/>
      <c r="CM3" s="477"/>
      <c r="CN3" s="477"/>
      <c r="CO3" s="477"/>
      <c r="CP3" s="477"/>
      <c r="CQ3" s="477"/>
      <c r="CR3" s="477"/>
      <c r="CS3" s="477"/>
      <c r="CT3" s="477"/>
      <c r="CU3" s="477"/>
      <c r="CV3" s="477"/>
      <c r="CW3" s="477"/>
      <c r="CX3" s="477"/>
      <c r="CY3" s="477"/>
      <c r="CZ3" s="477"/>
      <c r="DA3" s="477"/>
      <c r="DB3" s="477"/>
      <c r="DC3" s="477"/>
      <c r="DD3" s="477"/>
      <c r="DE3" s="477"/>
      <c r="DF3" s="477"/>
      <c r="DG3" s="477"/>
      <c r="DH3" s="477"/>
      <c r="DI3" s="477"/>
      <c r="DJ3" s="477"/>
      <c r="DK3" s="477"/>
      <c r="DL3" s="477"/>
      <c r="DM3" s="477"/>
      <c r="DN3" s="477"/>
      <c r="DO3" s="477"/>
      <c r="DP3" s="477"/>
      <c r="DQ3" s="477"/>
      <c r="DR3" s="477"/>
      <c r="DS3" s="477"/>
      <c r="DT3" s="477"/>
      <c r="DU3" s="477"/>
      <c r="DV3" s="477"/>
      <c r="DW3" s="477"/>
      <c r="DX3" s="477"/>
      <c r="DY3" s="477"/>
      <c r="DZ3" s="477"/>
      <c r="EA3" s="477"/>
      <c r="EB3" s="477"/>
      <c r="EC3" s="477"/>
      <c r="ED3" s="477"/>
      <c r="EE3" s="477"/>
      <c r="EF3" s="477"/>
      <c r="EG3" s="477"/>
      <c r="EH3" s="477"/>
      <c r="EI3" s="477"/>
      <c r="EJ3" s="477"/>
      <c r="EK3" s="477"/>
      <c r="EL3" s="477"/>
      <c r="EM3" s="477"/>
      <c r="EN3" s="477"/>
      <c r="EO3" s="477"/>
      <c r="EP3" s="477"/>
      <c r="EQ3" s="477"/>
      <c r="ER3" s="477"/>
      <c r="ES3" s="477"/>
      <c r="ET3" s="477"/>
      <c r="EU3" s="477"/>
      <c r="EV3" s="477"/>
      <c r="EW3" s="477"/>
      <c r="EX3" s="477"/>
      <c r="EY3" s="477"/>
      <c r="EZ3" s="477"/>
      <c r="FA3" s="477"/>
      <c r="FB3" s="477"/>
      <c r="FC3" s="477"/>
      <c r="FD3" s="477"/>
      <c r="FE3" s="477"/>
      <c r="FF3" s="477"/>
      <c r="FG3" s="477"/>
      <c r="FH3" s="477"/>
      <c r="FI3" s="477"/>
      <c r="FJ3" s="477"/>
      <c r="FK3" s="477"/>
      <c r="FL3" s="477"/>
      <c r="FM3" s="477"/>
      <c r="FN3" s="477"/>
      <c r="FO3" s="477"/>
      <c r="FP3" s="477"/>
      <c r="FQ3" s="477"/>
      <c r="FR3" s="477"/>
      <c r="FS3" s="477"/>
      <c r="FT3" s="477"/>
      <c r="FU3" s="477"/>
      <c r="FV3" s="477"/>
      <c r="FW3" s="477"/>
      <c r="FX3" s="477"/>
      <c r="FY3" s="477"/>
      <c r="FZ3" s="477"/>
      <c r="GA3" s="477"/>
      <c r="GB3" s="477"/>
      <c r="GC3" s="477"/>
      <c r="GD3" s="477"/>
      <c r="GE3" s="477"/>
      <c r="GF3" s="477"/>
      <c r="GG3" s="477"/>
      <c r="GH3" s="477"/>
      <c r="GI3" s="477"/>
      <c r="GJ3" s="477"/>
      <c r="GK3" s="477"/>
      <c r="GL3" s="477"/>
      <c r="GM3" s="477"/>
      <c r="GN3" s="477"/>
      <c r="GO3" s="477"/>
      <c r="GP3" s="477"/>
      <c r="GQ3" s="477"/>
      <c r="GR3" s="477"/>
      <c r="GS3" s="477"/>
      <c r="GT3" s="477"/>
      <c r="GU3" s="477"/>
      <c r="GV3" s="477"/>
      <c r="GW3" s="477"/>
      <c r="GX3" s="477"/>
      <c r="GY3" s="477"/>
      <c r="GZ3" s="477"/>
      <c r="HA3" s="477"/>
      <c r="HB3" s="477"/>
      <c r="HC3" s="477"/>
      <c r="HD3" s="477"/>
      <c r="HE3" s="477"/>
      <c r="HF3" s="477"/>
      <c r="HG3" s="477"/>
      <c r="HH3" s="477"/>
      <c r="HI3" s="477"/>
      <c r="HJ3" s="477"/>
      <c r="HK3" s="477"/>
      <c r="HL3" s="477"/>
      <c r="HM3" s="477"/>
      <c r="HN3" s="477"/>
      <c r="HO3" s="477"/>
      <c r="HP3" s="477"/>
      <c r="HQ3" s="477"/>
      <c r="HR3" s="477"/>
      <c r="HS3" s="477"/>
      <c r="HT3" s="477"/>
      <c r="HU3" s="477"/>
    </row>
    <row r="4" spans="1:229">
      <c r="D4" s="272"/>
      <c r="E4" s="272"/>
      <c r="F4" s="272"/>
      <c r="G4" s="272"/>
      <c r="H4" s="272"/>
      <c r="I4" s="272"/>
      <c r="J4" s="272"/>
      <c r="K4" s="272"/>
      <c r="L4" s="272"/>
      <c r="M4" s="272"/>
      <c r="N4" s="272"/>
      <c r="O4" s="272"/>
      <c r="P4" s="272"/>
      <c r="Q4" s="272"/>
      <c r="R4" s="272"/>
      <c r="S4" s="272"/>
      <c r="T4" s="272"/>
      <c r="U4" s="272"/>
      <c r="V4" s="272"/>
      <c r="W4" s="272"/>
      <c r="X4" s="272"/>
      <c r="Y4" s="272"/>
      <c r="Z4" s="272"/>
      <c r="AA4" s="272"/>
      <c r="AB4" s="272"/>
      <c r="AC4" s="272"/>
      <c r="AD4" s="272"/>
      <c r="AE4" s="272"/>
      <c r="AF4" s="272"/>
    </row>
    <row r="5" spans="1:229">
      <c r="D5" s="272"/>
      <c r="E5" s="272"/>
      <c r="F5" s="272"/>
      <c r="G5" s="272"/>
      <c r="H5" s="607"/>
      <c r="I5" s="272"/>
      <c r="J5" s="272"/>
      <c r="K5" s="272"/>
      <c r="L5" s="272"/>
      <c r="M5" s="272"/>
      <c r="N5" s="272"/>
      <c r="O5" s="272"/>
      <c r="P5" s="272"/>
      <c r="Q5" s="272"/>
      <c r="R5" s="272"/>
      <c r="S5" s="272"/>
      <c r="T5" s="272"/>
      <c r="U5" s="272"/>
      <c r="V5" s="272"/>
      <c r="W5" s="272"/>
      <c r="X5" s="272"/>
      <c r="Y5" s="272"/>
      <c r="Z5" s="272"/>
      <c r="AA5" s="272"/>
      <c r="AB5" s="272"/>
      <c r="AC5" s="272"/>
      <c r="AD5" s="272"/>
      <c r="AE5" s="272"/>
      <c r="AF5" s="272"/>
    </row>
    <row r="6" spans="1:229">
      <c r="D6" s="272"/>
      <c r="E6" s="272"/>
      <c r="F6" s="272"/>
      <c r="G6" s="272"/>
      <c r="H6" s="272"/>
      <c r="I6" s="272"/>
      <c r="J6" s="272"/>
      <c r="K6" s="272"/>
      <c r="L6" s="272"/>
      <c r="M6" s="272"/>
      <c r="P6" s="273"/>
      <c r="Q6" s="273"/>
      <c r="R6" s="272"/>
      <c r="S6" s="272"/>
      <c r="T6" s="272"/>
      <c r="U6" s="272"/>
      <c r="V6" s="272"/>
      <c r="W6" s="272"/>
      <c r="X6" s="272"/>
      <c r="Y6" s="272"/>
      <c r="Z6" s="272"/>
      <c r="AA6" s="272"/>
      <c r="AB6" s="272"/>
      <c r="AC6" s="272"/>
      <c r="AD6" s="272"/>
      <c r="AE6" s="272"/>
      <c r="AF6" s="272"/>
    </row>
    <row r="7" spans="1:229" ht="12" thickBot="1">
      <c r="D7" s="272"/>
      <c r="E7" s="272"/>
      <c r="F7" s="272"/>
      <c r="G7" s="272"/>
      <c r="H7" s="272"/>
      <c r="I7" s="272"/>
      <c r="J7" s="272"/>
      <c r="K7" s="272"/>
      <c r="P7" s="273"/>
      <c r="Q7" s="273"/>
      <c r="R7" s="272"/>
      <c r="S7" s="272"/>
      <c r="T7" s="272"/>
      <c r="U7" s="272"/>
      <c r="V7" s="272"/>
      <c r="W7" s="272"/>
      <c r="X7" s="272"/>
      <c r="Y7" s="272"/>
      <c r="Z7" s="272"/>
      <c r="AA7" s="272"/>
      <c r="AB7" s="272"/>
      <c r="AC7" s="272"/>
      <c r="AD7" s="272"/>
      <c r="AE7" s="272"/>
      <c r="AF7" s="272"/>
      <c r="AG7" s="578"/>
      <c r="AJ7" s="79"/>
    </row>
    <row r="8" spans="1:229" ht="12" thickBot="1">
      <c r="B8" s="468" t="s">
        <v>627</v>
      </c>
      <c r="C8" s="476" t="s">
        <v>628</v>
      </c>
      <c r="D8" s="272"/>
      <c r="E8" s="272"/>
      <c r="F8" s="272"/>
      <c r="G8" s="272"/>
      <c r="H8" s="272"/>
      <c r="I8" s="272"/>
      <c r="J8" s="272"/>
      <c r="K8" s="272"/>
      <c r="P8" s="273"/>
      <c r="Q8" s="273"/>
      <c r="R8" s="273"/>
      <c r="S8" s="273"/>
      <c r="T8" s="468" t="s">
        <v>666</v>
      </c>
      <c r="U8" s="476" t="s">
        <v>655</v>
      </c>
      <c r="V8" s="476" t="s">
        <v>667</v>
      </c>
      <c r="W8" s="476" t="s">
        <v>668</v>
      </c>
      <c r="X8" s="468" t="s">
        <v>607</v>
      </c>
      <c r="Y8" s="144" t="b">
        <v>1</v>
      </c>
      <c r="Z8" s="272"/>
      <c r="AA8" s="272"/>
      <c r="AB8" s="272"/>
      <c r="AC8" s="272"/>
      <c r="AD8" s="272"/>
      <c r="AE8" s="272"/>
      <c r="AF8" s="272"/>
      <c r="AM8" s="79"/>
    </row>
    <row r="9" spans="1:229" ht="12" thickBot="1">
      <c r="B9" s="468" t="s">
        <v>629</v>
      </c>
      <c r="C9" s="524">
        <v>45412</v>
      </c>
      <c r="D9" s="272"/>
      <c r="E9" s="272"/>
      <c r="F9" s="272"/>
      <c r="G9" s="272"/>
      <c r="H9" s="272"/>
      <c r="I9" s="272"/>
      <c r="J9" s="272"/>
      <c r="K9" s="272"/>
      <c r="P9" s="273"/>
      <c r="Q9" s="273"/>
      <c r="R9" s="273"/>
      <c r="S9" s="273"/>
      <c r="T9" s="575" cm="1">
        <f t="array" aca="1" ref="T9:U133" ca="1">riskWeight(E25:E399)</f>
        <v>0.03</v>
      </c>
      <c r="U9" s="572">
        <f ca="1"/>
        <v>1</v>
      </c>
      <c r="V9" s="576">
        <f t="shared" ref="V9:V40" ca="1" si="0">AA14*T9</f>
        <v>0</v>
      </c>
      <c r="W9" s="576">
        <f t="shared" ref="W9:W40" ca="1" si="1">AE14*T9</f>
        <v>0</v>
      </c>
      <c r="X9" s="465" t="s">
        <v>601</v>
      </c>
      <c r="Y9" s="481"/>
      <c r="Z9" s="272"/>
      <c r="AA9" s="272"/>
      <c r="AB9" s="465" t="s">
        <v>602</v>
      </c>
      <c r="AC9" s="483"/>
      <c r="AD9" s="272"/>
      <c r="AE9" s="272"/>
      <c r="AF9" s="272"/>
    </row>
    <row r="10" spans="1:229" ht="12" thickBot="1">
      <c r="B10" s="468" t="s">
        <v>630</v>
      </c>
      <c r="C10" s="468" t="s">
        <v>82</v>
      </c>
      <c r="D10" s="468" t="s">
        <v>432</v>
      </c>
      <c r="E10" s="468" t="s">
        <v>631</v>
      </c>
      <c r="F10" s="468" t="s">
        <v>632</v>
      </c>
      <c r="G10" s="468" t="s">
        <v>633</v>
      </c>
      <c r="H10" s="468" t="s">
        <v>634</v>
      </c>
      <c r="I10" s="468" t="s">
        <v>635</v>
      </c>
      <c r="J10" s="468" t="s">
        <v>636</v>
      </c>
      <c r="K10" s="476" t="s">
        <v>485</v>
      </c>
      <c r="L10" s="272" t="s">
        <v>695</v>
      </c>
      <c r="M10" s="468" t="s">
        <v>678</v>
      </c>
      <c r="N10" s="468" t="s">
        <v>692</v>
      </c>
      <c r="P10" s="273"/>
      <c r="Q10" s="273"/>
      <c r="R10" s="273"/>
      <c r="S10" s="273"/>
      <c r="T10" s="576">
        <f ca="1"/>
        <v>0.03</v>
      </c>
      <c r="U10" s="573">
        <f ca="1"/>
        <v>2</v>
      </c>
      <c r="V10" s="576">
        <f t="shared" ca="1" si="0"/>
        <v>0</v>
      </c>
      <c r="W10" s="576">
        <f t="shared" ca="1" si="1"/>
        <v>0</v>
      </c>
      <c r="X10" s="466" t="s">
        <v>604</v>
      </c>
      <c r="Y10" s="493">
        <f ca="1">MAX(MAX(Y11,0)+0.5*MIN(Y11,0),0)</f>
        <v>8.8874266759939299E-2</v>
      </c>
      <c r="Z10" s="272"/>
      <c r="AA10" s="272"/>
      <c r="AB10" s="466" t="s">
        <v>604</v>
      </c>
      <c r="AC10" s="493">
        <f ca="1">MAX(MAX(AC11,0)+0.5*MIN(AC11,0),0)</f>
        <v>13.291921784362536</v>
      </c>
      <c r="AD10" s="272"/>
      <c r="AE10" s="272"/>
      <c r="AF10" s="272"/>
      <c r="AG10" s="79"/>
    </row>
    <row r="11" spans="1:229" ht="12" thickBot="1">
      <c r="B11" s="529" t="s">
        <v>637</v>
      </c>
      <c r="C11" s="530" t="s">
        <v>66</v>
      </c>
      <c r="D11" s="530" t="s">
        <v>55</v>
      </c>
      <c r="E11" s="530">
        <v>0.12</v>
      </c>
      <c r="F11" s="530">
        <v>1</v>
      </c>
      <c r="G11" s="530" t="s">
        <v>434</v>
      </c>
      <c r="H11" s="530">
        <v>100</v>
      </c>
      <c r="I11" s="530">
        <v>9.4748000000000001</v>
      </c>
      <c r="J11" s="544">
        <v>46376</v>
      </c>
      <c r="K11" s="608"/>
      <c r="L11" s="272"/>
      <c r="M11" s="588" t="s">
        <v>679</v>
      </c>
      <c r="N11" s="590">
        <v>1</v>
      </c>
      <c r="P11" s="273"/>
      <c r="Q11" s="273"/>
      <c r="R11" s="273"/>
      <c r="S11" s="273"/>
      <c r="T11" s="576">
        <f ca="1"/>
        <v>0.06</v>
      </c>
      <c r="U11" s="573">
        <f ca="1"/>
        <v>3</v>
      </c>
      <c r="V11" s="576">
        <f t="shared" ca="1" si="0"/>
        <v>0</v>
      </c>
      <c r="W11" s="576">
        <f t="shared" ca="1" si="1"/>
        <v>0</v>
      </c>
      <c r="X11" s="466" t="s">
        <v>603</v>
      </c>
      <c r="Y11" s="493">
        <f ca="1">15%*SUM(Z14:Z313)-Y12*SUM(V9:V133)</f>
        <v>8.8874266759939299E-2</v>
      </c>
      <c r="Z11" s="272"/>
      <c r="AA11" s="272"/>
      <c r="AB11" s="466" t="s">
        <v>603</v>
      </c>
      <c r="AC11" s="493">
        <f ca="1">15%*SUM(AD14:AD313)-AC12*SUM(W9:W133)</f>
        <v>13.291921784362536</v>
      </c>
      <c r="AD11" s="272"/>
      <c r="AE11" s="272"/>
      <c r="AF11" s="272"/>
    </row>
    <row r="12" spans="1:229" ht="12" thickBot="1">
      <c r="B12" s="517" t="s">
        <v>637</v>
      </c>
      <c r="C12" s="518" t="s">
        <v>66</v>
      </c>
      <c r="D12" s="518" t="s">
        <v>57</v>
      </c>
      <c r="E12" s="518">
        <v>0.12</v>
      </c>
      <c r="F12" s="518">
        <v>1</v>
      </c>
      <c r="G12" s="518" t="s">
        <v>434</v>
      </c>
      <c r="H12" s="518">
        <v>100</v>
      </c>
      <c r="I12" s="518">
        <v>22.439800000000002</v>
      </c>
      <c r="J12" s="523">
        <v>47107</v>
      </c>
      <c r="K12" s="609"/>
      <c r="L12" s="272"/>
      <c r="M12" s="598" t="s">
        <v>680</v>
      </c>
      <c r="N12" s="599">
        <v>1</v>
      </c>
      <c r="P12" s="273"/>
      <c r="Q12" s="273"/>
      <c r="R12" s="273"/>
      <c r="S12" s="273"/>
      <c r="T12" s="576">
        <f ca="1"/>
        <v>0.06</v>
      </c>
      <c r="U12" s="573">
        <f ca="1"/>
        <v>4</v>
      </c>
      <c r="V12" s="576">
        <f t="shared" ca="1" si="0"/>
        <v>0</v>
      </c>
      <c r="W12" s="576">
        <f t="shared" ca="1" si="1"/>
        <v>0</v>
      </c>
      <c r="X12" s="466" t="s">
        <v>600</v>
      </c>
      <c r="Y12" s="493">
        <f ca="1">SUM(Z14:Z313)/(SUM(Z14:Z313)+SUM(AA14:AA313))</f>
        <v>1</v>
      </c>
      <c r="Z12" s="272"/>
      <c r="AA12" s="272"/>
      <c r="AB12" s="466" t="s">
        <v>600</v>
      </c>
      <c r="AC12" s="493">
        <f ca="1">SUM(AD14:AD313)/(SUM(AD14:AD313)+SUM(AE14:AE313))</f>
        <v>1</v>
      </c>
      <c r="AD12" s="272"/>
      <c r="AE12" s="272"/>
      <c r="AF12" s="272"/>
      <c r="AH12" s="476" t="s">
        <v>670</v>
      </c>
      <c r="AM12" s="476" t="s">
        <v>609</v>
      </c>
      <c r="AO12" s="580"/>
      <c r="AP12" s="580"/>
      <c r="AQ12" s="580"/>
      <c r="AR12" s="580"/>
      <c r="AS12" s="580"/>
      <c r="AT12" s="580"/>
      <c r="AU12" s="580"/>
      <c r="AV12" s="580"/>
      <c r="AW12" s="580"/>
      <c r="AZ12" s="547"/>
    </row>
    <row r="13" spans="1:229" ht="12" thickBot="1">
      <c r="B13" s="534" t="s">
        <v>637</v>
      </c>
      <c r="C13" s="535" t="s">
        <v>66</v>
      </c>
      <c r="D13" s="535" t="s">
        <v>59</v>
      </c>
      <c r="E13" s="535">
        <v>0.12</v>
      </c>
      <c r="F13" s="535">
        <v>1</v>
      </c>
      <c r="G13" s="535" t="s">
        <v>434</v>
      </c>
      <c r="H13" s="535">
        <v>100</v>
      </c>
      <c r="I13" s="535">
        <v>37.011200000000002</v>
      </c>
      <c r="J13" s="545">
        <v>47837</v>
      </c>
      <c r="K13" s="610"/>
      <c r="L13" s="272"/>
      <c r="M13" s="596" t="s">
        <v>681</v>
      </c>
      <c r="N13" s="597">
        <v>2</v>
      </c>
      <c r="P13" s="273"/>
      <c r="Q13" s="273"/>
      <c r="R13" s="273"/>
      <c r="S13" s="273"/>
      <c r="T13" s="576">
        <f ca="1"/>
        <v>0.06</v>
      </c>
      <c r="U13" s="573">
        <f ca="1"/>
        <v>5</v>
      </c>
      <c r="V13" s="576">
        <f t="shared" ca="1" si="0"/>
        <v>0</v>
      </c>
      <c r="W13" s="576">
        <f t="shared" ca="1" si="1"/>
        <v>0</v>
      </c>
      <c r="X13" s="468" t="s">
        <v>598</v>
      </c>
      <c r="Y13" s="476" t="s">
        <v>599</v>
      </c>
      <c r="Z13" s="482" t="s">
        <v>605</v>
      </c>
      <c r="AA13" s="476" t="s">
        <v>606</v>
      </c>
      <c r="AB13" s="482" t="s">
        <v>598</v>
      </c>
      <c r="AC13" s="476" t="s">
        <v>599</v>
      </c>
      <c r="AD13" s="482" t="s">
        <v>605</v>
      </c>
      <c r="AE13" s="476" t="s">
        <v>606</v>
      </c>
      <c r="AF13" s="272"/>
      <c r="AG13" s="476" t="s">
        <v>80</v>
      </c>
      <c r="AH13" s="476" t="s">
        <v>84</v>
      </c>
      <c r="AI13" s="476" t="s">
        <v>53</v>
      </c>
      <c r="AJ13" s="476" t="s">
        <v>55</v>
      </c>
      <c r="AK13" s="476" t="s">
        <v>57</v>
      </c>
      <c r="AL13" s="476" t="s">
        <v>62</v>
      </c>
      <c r="AM13" s="476" t="s">
        <v>84</v>
      </c>
      <c r="AN13" s="476" t="s">
        <v>53</v>
      </c>
      <c r="AO13" s="476" t="s">
        <v>55</v>
      </c>
      <c r="AP13" s="476" t="s">
        <v>57</v>
      </c>
      <c r="AQ13" s="476" t="s">
        <v>59</v>
      </c>
      <c r="AR13" s="330" t="s">
        <v>83</v>
      </c>
      <c r="AS13" s="501" t="s">
        <v>84</v>
      </c>
      <c r="AT13" s="501" t="s">
        <v>53</v>
      </c>
      <c r="AU13" s="501" t="s">
        <v>54</v>
      </c>
      <c r="AV13" s="501" t="s">
        <v>55</v>
      </c>
      <c r="AW13" s="501" t="s">
        <v>57</v>
      </c>
      <c r="AX13" s="501" t="s">
        <v>62</v>
      </c>
      <c r="AY13" s="501" t="s">
        <v>63</v>
      </c>
      <c r="AZ13" s="501" t="s">
        <v>64</v>
      </c>
      <c r="BA13" s="501" t="s">
        <v>608</v>
      </c>
      <c r="BB13" s="581" t="s">
        <v>499</v>
      </c>
      <c r="BC13" s="476" t="s">
        <v>669</v>
      </c>
    </row>
    <row r="14" spans="1:229" ht="12" thickBot="1">
      <c r="B14" s="539" t="s">
        <v>638</v>
      </c>
      <c r="C14" s="540" t="s">
        <v>66</v>
      </c>
      <c r="D14" s="540" t="s">
        <v>55</v>
      </c>
      <c r="E14" s="540">
        <v>0.06</v>
      </c>
      <c r="F14" s="540">
        <v>0.12</v>
      </c>
      <c r="G14" s="540" t="s">
        <v>434</v>
      </c>
      <c r="H14" s="540">
        <v>100</v>
      </c>
      <c r="I14" s="540">
        <v>35.963500000000003</v>
      </c>
      <c r="J14" s="546">
        <v>46376</v>
      </c>
      <c r="K14" s="611">
        <v>0.93662999999999996</v>
      </c>
      <c r="L14" s="272"/>
      <c r="M14" s="587" t="s">
        <v>682</v>
      </c>
      <c r="N14" s="591">
        <v>2</v>
      </c>
      <c r="P14" s="273"/>
      <c r="Q14" s="273"/>
      <c r="R14" s="273"/>
      <c r="S14" s="273"/>
      <c r="T14" s="576">
        <f ca="1"/>
        <v>0.06</v>
      </c>
      <c r="U14" s="573">
        <f ca="1"/>
        <v>6</v>
      </c>
      <c r="V14" s="576">
        <f t="shared" ca="1" si="0"/>
        <v>0</v>
      </c>
      <c r="W14" s="576">
        <f t="shared" ca="1" si="1"/>
        <v>0</v>
      </c>
      <c r="X14" s="486">
        <f ca="1">IF('CDO Bespoke'!O15&lt;&gt;"",'CDO Bespoke'!O15,"")</f>
        <v>1.1947389585969099</v>
      </c>
      <c r="Y14" s="487">
        <f ca="1">IF(X14&lt;&gt;"",ABS(MIN(-0.75*('CDO Bespoke'!Q15)+'CDO Bespoke'!T15,0)),"")</f>
        <v>1.1880812580678877</v>
      </c>
      <c r="Z14" s="487">
        <f t="shared" ref="Z14:Z77" ca="1" si="2">IF(X14&lt;&gt;"",IF($Y$8,MAX(X14-Y14,0),X14),0)</f>
        <v>6.6577005290222591E-3</v>
      </c>
      <c r="AA14" s="487">
        <f t="shared" ref="AA14:AA77" ca="1" si="3">IF(X14&lt;&gt;"",IF($Y$8,0,Y14),0)</f>
        <v>0</v>
      </c>
      <c r="AB14" s="486">
        <f ca="1">IF('CDO Bespoke'!O15&lt;&gt;"",'CDO Bespoke'!O15,"")</f>
        <v>1.1947389585969099</v>
      </c>
      <c r="AC14" s="487">
        <f ca="1">IF(AB14&lt;&gt;"",ABS(MIN(-0.75*'CDO Bespoke'!K15+'CDO Bespoke'!T15,0)),"")</f>
        <v>0.26031838191441597</v>
      </c>
      <c r="AD14" s="487">
        <f t="shared" ref="AD14:AD77" ca="1" si="4">IF(AB14&lt;&gt;"",IF($Y$8,MAX(AB14-AC14,0),AB14),0)</f>
        <v>0.93442057668249401</v>
      </c>
      <c r="AE14" s="488">
        <f t="shared" ref="AE14:AE77" ca="1" si="5">IF(AB14&lt;&gt;"",IF($Y$8,0,AC14),0)</f>
        <v>0</v>
      </c>
      <c r="AF14" s="272"/>
      <c r="AG14" s="471" t="str">
        <f ca="1">IF('CDO Bespoke'!C39&lt;&gt;"",'CDO Bespoke'!C39,"")</f>
        <v>Airbus SE</v>
      </c>
      <c r="AH14" s="503" cm="1">
        <f t="array" aca="1" ref="AH14:AQ108" ca="1">GetDeltaCSR(B25:B309,E25:E309,J25:J309,'CDO Bespoke'!C5,CDSRollDate,'CDS Strip'!J4,'CDS Strip'!J6,'CDO Bespoke'!C6,'CDO Bespoke'!C19:C20,'CDO Bespoke'!C21:C22,'CDO Bespoke'!G39:G133,'CDO Bespoke'!C8,'CDO Bespoke'!C17,'CDO Bespoke'!C39:C133,'CDO Bespoke'!D39:D133,'CDO Bespoke'!C12,'CDO Bespoke'!C13,'CDO Bespoke'!C14,'CDO Bespoke'!C15,'CDO Bespoke'!C9,'CDO Bespoke'!C10,'CDO Bespoke'!E39:E133,'CDO Bespoke'!F39:F133,'CDO Bespoke'!C24,'CDO Bespoke'!C25,FALSE,FALSE,'CDO Bespoke'!L6,'CDO Bespoke'!C29:C31,'CDO Bespoke'!C36,'CDO Bespoke'!C33,'CDO Bespoke'!C35,'CDO Bespoke'!C34)</f>
        <v>3.8903149102154089E-3</v>
      </c>
      <c r="AI14" s="504">
        <f ca="1"/>
        <v>1.2694197550899844E-2</v>
      </c>
      <c r="AJ14" s="504">
        <f ca="1"/>
        <v>3.6011112810596657E-2</v>
      </c>
      <c r="AK14" s="504">
        <f ca="1"/>
        <v>0.33748799068034074</v>
      </c>
      <c r="AL14" s="505">
        <f ca="1"/>
        <v>0</v>
      </c>
      <c r="AM14" s="503">
        <f ca="1"/>
        <v>6.5567771189573021E-5</v>
      </c>
      <c r="AN14" s="504">
        <f ca="1"/>
        <v>3.067544462401206E-4</v>
      </c>
      <c r="AO14" s="504">
        <f ca="1"/>
        <v>1.3734914433294332E-3</v>
      </c>
      <c r="AP14" s="504">
        <f ca="1"/>
        <v>0.13608908002745965</v>
      </c>
      <c r="AQ14" s="505">
        <f ca="1"/>
        <v>0</v>
      </c>
      <c r="AR14" s="506" cm="1">
        <f t="array" aca="1" ref="AR14:BB16" ca="1">GetGirr('CDO Bespoke'!C5,'CDO Bespoke'!C6,'CDO Bespoke'!C19:C20,'CDO Bespoke'!C21:C22,'CDO Bespoke'!G39:G133,'CDO Bespoke'!C8,'CDO Bespoke'!C17,'CDO Bespoke'!C39:C133,'CDO Bespoke'!D39:D133,'CDO Bespoke'!C12,'CDO Bespoke'!C13,'CDO Bespoke'!C14,'CDO Bespoke'!C15,'CDO Bespoke'!C9,'CDO Bespoke'!C10,'CDO Bespoke'!E39:E133,'CDO Bespoke'!F39:F133,'CDO Bespoke'!C24,'CDO Bespoke'!C25,FALSE,FALSE,'CDO Bespoke'!L6,'CDO Bespoke'!C29:C31,'CDO Bespoke'!C36,'CDO Bespoke'!C33,'CDO Bespoke'!C35,'CDO Bespoke'!C34)</f>
        <v>7.5053952844838378E-5</v>
      </c>
      <c r="AS14" s="580">
        <f ca="1"/>
        <v>1.5774402567885035E-4</v>
      </c>
      <c r="AT14" s="580">
        <f ca="1"/>
        <v>1.4556616706500177E-4</v>
      </c>
      <c r="AU14" s="580">
        <f ca="1"/>
        <v>2.6182418154184467E-4</v>
      </c>
      <c r="AV14" s="580">
        <f ca="1"/>
        <v>3.680316745034609E-4</v>
      </c>
      <c r="AW14" s="580">
        <f ca="1"/>
        <v>2.2174911048993698E-3</v>
      </c>
      <c r="AX14" s="580">
        <f ca="1"/>
        <v>0</v>
      </c>
      <c r="AY14" s="580">
        <f ca="1"/>
        <v>0</v>
      </c>
      <c r="AZ14" s="580">
        <f ca="1"/>
        <v>0</v>
      </c>
      <c r="BA14" s="580">
        <f ca="1"/>
        <v>0</v>
      </c>
      <c r="BB14" s="583">
        <f ca="1"/>
        <v>0</v>
      </c>
      <c r="BC14" s="475" t="str">
        <f ca="1">IF('IRS Strip'!F21="","",'IRS Strip'!F21)</f>
        <v>6-month EURIBOR Swaps</v>
      </c>
      <c r="BD14" s="475" t="str">
        <f ca="1">IF('IRS Strip'!B21="","",'IRS Strip'!B21)</f>
        <v>EUR</v>
      </c>
    </row>
    <row r="15" spans="1:229" ht="12" thickBot="1">
      <c r="B15" s="517" t="s">
        <v>638</v>
      </c>
      <c r="C15" s="518" t="s">
        <v>66</v>
      </c>
      <c r="D15" s="518" t="s">
        <v>57</v>
      </c>
      <c r="E15" s="518">
        <v>0.06</v>
      </c>
      <c r="F15" s="518">
        <v>0.12</v>
      </c>
      <c r="G15" s="518" t="s">
        <v>434</v>
      </c>
      <c r="H15" s="518">
        <v>100</v>
      </c>
      <c r="I15" s="518">
        <v>92.850899999999996</v>
      </c>
      <c r="J15" s="523">
        <v>47107</v>
      </c>
      <c r="K15" s="609"/>
      <c r="L15" s="272"/>
      <c r="M15" s="587" t="s">
        <v>683</v>
      </c>
      <c r="N15" s="591">
        <v>2</v>
      </c>
      <c r="P15" s="273"/>
      <c r="Q15" s="273"/>
      <c r="R15" s="273"/>
      <c r="S15" s="273"/>
      <c r="T15" s="576">
        <f ca="1"/>
        <v>0.03</v>
      </c>
      <c r="U15" s="573">
        <f ca="1"/>
        <v>7</v>
      </c>
      <c r="V15" s="576">
        <f t="shared" ca="1" si="0"/>
        <v>0</v>
      </c>
      <c r="W15" s="576">
        <f t="shared" ca="1" si="1"/>
        <v>0</v>
      </c>
      <c r="X15" s="484">
        <f ca="1">IF('CDO Bespoke'!O16&lt;&gt;"",'CDO Bespoke'!O16,"")</f>
        <v>1.19481178926761</v>
      </c>
      <c r="Y15" s="485">
        <f ca="1">IF(X15&lt;&gt;"",ABS(MIN(-0.75*('CDO Bespoke'!Q16)+'CDO Bespoke'!T16,0)),"")</f>
        <v>1.1879925998998448</v>
      </c>
      <c r="Z15" s="485">
        <f t="shared" ca="1" si="2"/>
        <v>6.8191893677651549E-3</v>
      </c>
      <c r="AA15" s="485">
        <f t="shared" ca="1" si="3"/>
        <v>0</v>
      </c>
      <c r="AB15" s="484">
        <f ca="1">IF('CDO Bespoke'!O16&lt;&gt;"",'CDO Bespoke'!O16,"")</f>
        <v>1.19481178926761</v>
      </c>
      <c r="AC15" s="485">
        <f ca="1">IF(AB15&lt;&gt;"",ABS(MIN(-0.75*('CDO Bespoke'!K16)+'CDO Bespoke'!T16,0)),"")</f>
        <v>0.25526712636831683</v>
      </c>
      <c r="AD15" s="485">
        <f t="shared" ca="1" si="4"/>
        <v>0.93954466289929317</v>
      </c>
      <c r="AE15" s="489">
        <f t="shared" ca="1" si="5"/>
        <v>0</v>
      </c>
      <c r="AF15" s="272"/>
      <c r="AG15" s="494" t="str">
        <f ca="1">IF('CDO Bespoke'!C40&lt;&gt;"",'CDO Bespoke'!C40,"")</f>
        <v>Aktiebolaget Volvo</v>
      </c>
      <c r="AH15" s="496">
        <f ca="1"/>
        <v>3.6368002709341596E-3</v>
      </c>
      <c r="AI15" s="585">
        <f ca="1"/>
        <v>1.1573013380949959E-2</v>
      </c>
      <c r="AJ15" s="585">
        <f ca="1"/>
        <v>3.2382531750529964E-2</v>
      </c>
      <c r="AK15" s="585">
        <f ca="1"/>
        <v>0.37452551011063484</v>
      </c>
      <c r="AL15" s="497">
        <f ca="1"/>
        <v>0</v>
      </c>
      <c r="AM15" s="496">
        <f ca="1"/>
        <v>6.136717541939396E-5</v>
      </c>
      <c r="AN15" s="585">
        <f ca="1"/>
        <v>2.8729574075986308E-4</v>
      </c>
      <c r="AO15" s="585">
        <f ca="1"/>
        <v>1.2728739547197832E-3</v>
      </c>
      <c r="AP15" s="585">
        <f ca="1"/>
        <v>0.13599298312367938</v>
      </c>
      <c r="AQ15" s="497">
        <f ca="1"/>
        <v>0</v>
      </c>
      <c r="AR15" s="506">
        <f ca="1"/>
        <v>7.5053952844838378E-5</v>
      </c>
      <c r="AS15" s="580">
        <f ca="1"/>
        <v>1.5774402567885035E-4</v>
      </c>
      <c r="AT15" s="580">
        <f ca="1"/>
        <v>1.4556616706500177E-4</v>
      </c>
      <c r="AU15" s="580">
        <f ca="1"/>
        <v>2.6182418154184467E-4</v>
      </c>
      <c r="AV15" s="580">
        <f ca="1"/>
        <v>3.680316745034609E-4</v>
      </c>
      <c r="AW15" s="580">
        <f ca="1"/>
        <v>2.2174911048993698E-3</v>
      </c>
      <c r="AX15" s="580">
        <f ca="1"/>
        <v>0</v>
      </c>
      <c r="AY15" s="580">
        <f ca="1"/>
        <v>0</v>
      </c>
      <c r="AZ15" s="580">
        <f ca="1"/>
        <v>0</v>
      </c>
      <c r="BA15" s="580">
        <f ca="1"/>
        <v>0</v>
      </c>
      <c r="BB15" s="582">
        <f ca="1"/>
        <v>0</v>
      </c>
      <c r="BC15" s="475" t="str">
        <f ca="1">IF('IRS Strip'!F22="","",'IRS Strip'!F22)</f>
        <v>3-month EURIBOR Swaps</v>
      </c>
      <c r="BD15" s="475" t="str">
        <f ca="1">IF('IRS Strip'!B22="","",'IRS Strip'!B22)</f>
        <v>EUR</v>
      </c>
    </row>
    <row r="16" spans="1:229" ht="12" thickBot="1">
      <c r="B16" s="534" t="s">
        <v>638</v>
      </c>
      <c r="C16" s="535" t="s">
        <v>66</v>
      </c>
      <c r="D16" s="535" t="s">
        <v>59</v>
      </c>
      <c r="E16" s="535">
        <v>0.06</v>
      </c>
      <c r="F16" s="535">
        <v>0.12</v>
      </c>
      <c r="G16" s="535" t="s">
        <v>434</v>
      </c>
      <c r="H16" s="535">
        <v>100</v>
      </c>
      <c r="I16" s="535">
        <v>155.51650000000001</v>
      </c>
      <c r="J16" s="545">
        <v>47837</v>
      </c>
      <c r="K16" s="610"/>
      <c r="L16" s="272"/>
      <c r="M16" s="598" t="s">
        <v>684</v>
      </c>
      <c r="N16" s="599">
        <v>2</v>
      </c>
      <c r="P16" s="273"/>
      <c r="Q16" s="273"/>
      <c r="R16" s="273"/>
      <c r="S16" s="273"/>
      <c r="T16" s="576">
        <f ca="1"/>
        <v>0.06</v>
      </c>
      <c r="U16" s="573">
        <f ca="1"/>
        <v>8</v>
      </c>
      <c r="V16" s="576">
        <f t="shared" ca="1" si="0"/>
        <v>0</v>
      </c>
      <c r="W16" s="576">
        <f t="shared" ca="1" si="1"/>
        <v>0</v>
      </c>
      <c r="X16" s="484">
        <f ca="1">IF('CDO Bespoke'!O17&lt;&gt;"",'CDO Bespoke'!O17,"")</f>
        <v>1.19476330836088</v>
      </c>
      <c r="Y16" s="485">
        <f ca="1">IF(X16&lt;&gt;"",ABS(MIN(-0.75*('CDO Bespoke'!Q17)+'CDO Bespoke'!T17,0)),"")</f>
        <v>1.188052105758584</v>
      </c>
      <c r="Z16" s="485">
        <f t="shared" ca="1" si="2"/>
        <v>6.7112026022959625E-3</v>
      </c>
      <c r="AA16" s="485">
        <f t="shared" ca="1" si="3"/>
        <v>0</v>
      </c>
      <c r="AB16" s="484">
        <f ca="1">IF('CDO Bespoke'!O17&lt;&gt;"",'CDO Bespoke'!O17,"")</f>
        <v>1.19476330836088</v>
      </c>
      <c r="AC16" s="485">
        <f ca="1">IF(AB16&lt;&gt;"",ABS(MIN(-0.75*('CDO Bespoke'!K17)+'CDO Bespoke'!T17,0)),"")</f>
        <v>0.25866721420277139</v>
      </c>
      <c r="AD16" s="485">
        <f t="shared" ca="1" si="4"/>
        <v>0.93609609415810857</v>
      </c>
      <c r="AE16" s="489">
        <f t="shared" ca="1" si="5"/>
        <v>0</v>
      </c>
      <c r="AF16" s="272"/>
      <c r="AG16" s="494" t="str">
        <f ca="1">IF('CDO Bespoke'!C41&lt;&gt;"",'CDO Bespoke'!C41,"")</f>
        <v>Akzo Nobel N.V.</v>
      </c>
      <c r="AH16" s="496">
        <f ca="1"/>
        <v>3.6545338499838209E-3</v>
      </c>
      <c r="AI16" s="585">
        <f ca="1"/>
        <v>1.1646366920858853E-2</v>
      </c>
      <c r="AJ16" s="585">
        <f ca="1"/>
        <v>3.2604740810571187E-2</v>
      </c>
      <c r="AK16" s="585">
        <f ca="1"/>
        <v>0.39465240197045226</v>
      </c>
      <c r="AL16" s="497">
        <f ca="1"/>
        <v>0</v>
      </c>
      <c r="AM16" s="496">
        <f ca="1"/>
        <v>5.8868867459926921E-5</v>
      </c>
      <c r="AN16" s="585">
        <f ca="1"/>
        <v>2.7580045355961313E-4</v>
      </c>
      <c r="AO16" s="585">
        <f ca="1"/>
        <v>1.2159161861400453E-3</v>
      </c>
      <c r="AP16" s="585">
        <f ca="1"/>
        <v>0.13586933702373</v>
      </c>
      <c r="AQ16" s="497">
        <f ca="1"/>
        <v>0</v>
      </c>
      <c r="AR16" s="506">
        <f ca="1"/>
        <v>0</v>
      </c>
      <c r="AS16" s="580">
        <f ca="1"/>
        <v>0</v>
      </c>
      <c r="AT16" s="580">
        <f ca="1"/>
        <v>0</v>
      </c>
      <c r="AU16" s="580">
        <f ca="1"/>
        <v>0</v>
      </c>
      <c r="AV16" s="580">
        <f ca="1"/>
        <v>0</v>
      </c>
      <c r="AW16" s="580">
        <f ca="1"/>
        <v>0</v>
      </c>
      <c r="AX16" s="580">
        <f ca="1"/>
        <v>0</v>
      </c>
      <c r="AY16" s="580">
        <f ca="1"/>
        <v>0</v>
      </c>
      <c r="AZ16" s="580">
        <f ca="1"/>
        <v>0</v>
      </c>
      <c r="BA16" s="580">
        <f ca="1"/>
        <v>0</v>
      </c>
      <c r="BB16" s="582">
        <f ca="1"/>
        <v>0</v>
      </c>
      <c r="BC16" s="475" t="str">
        <f ca="1">IF('IRS Strip'!F23="","",'IRS Strip'!F23)</f>
        <v>1-month Term SOFR Swaps</v>
      </c>
      <c r="BD16" s="475" t="str">
        <f ca="1">IF('IRS Strip'!B23="","",'IRS Strip'!B23)</f>
        <v>USD</v>
      </c>
    </row>
    <row r="17" spans="2:56" ht="12" thickBot="1">
      <c r="B17" s="539" t="s">
        <v>639</v>
      </c>
      <c r="C17" s="540" t="s">
        <v>66</v>
      </c>
      <c r="D17" s="540" t="s">
        <v>55</v>
      </c>
      <c r="E17" s="540">
        <v>0.03</v>
      </c>
      <c r="F17" s="540">
        <v>0.06</v>
      </c>
      <c r="G17" s="540" t="s">
        <v>640</v>
      </c>
      <c r="H17" s="540">
        <v>100</v>
      </c>
      <c r="I17" s="541">
        <v>-6.1151900000000004E-3</v>
      </c>
      <c r="J17" s="546">
        <v>46376</v>
      </c>
      <c r="K17" s="611">
        <v>0.82702600000000004</v>
      </c>
      <c r="L17" s="272"/>
      <c r="M17" s="600" t="s">
        <v>676</v>
      </c>
      <c r="N17" s="601">
        <v>3</v>
      </c>
      <c r="P17" s="273"/>
      <c r="Q17" s="273"/>
      <c r="R17" s="273"/>
      <c r="S17" s="273"/>
      <c r="T17" s="576">
        <f ca="1"/>
        <v>0.03</v>
      </c>
      <c r="U17" s="573">
        <f ca="1"/>
        <v>9</v>
      </c>
      <c r="V17" s="576">
        <f t="shared" ca="1" si="0"/>
        <v>0</v>
      </c>
      <c r="W17" s="576">
        <f t="shared" ca="1" si="1"/>
        <v>0</v>
      </c>
      <c r="X17" s="484">
        <f ca="1">IF('CDO Bespoke'!O18&lt;&gt;"",'CDO Bespoke'!O18,"")</f>
        <v>1.1897092296084699</v>
      </c>
      <c r="Y17" s="485">
        <f ca="1">IF(X17&lt;&gt;"",ABS(MIN(-0.75*('CDO Bespoke'!Q18)+'CDO Bespoke'!T18,0)),"")</f>
        <v>1.1906917042126934</v>
      </c>
      <c r="Z17" s="485">
        <f t="shared" ca="1" si="2"/>
        <v>0</v>
      </c>
      <c r="AA17" s="485">
        <f t="shared" ca="1" si="3"/>
        <v>0</v>
      </c>
      <c r="AB17" s="484">
        <f ca="1">IF('CDO Bespoke'!O18&lt;&gt;"",'CDO Bespoke'!O18,"")</f>
        <v>1.1897092296084699</v>
      </c>
      <c r="AC17" s="485">
        <f ca="1">IF(AB17&lt;&gt;"",ABS(MIN(-0.75*('CDO Bespoke'!K18)+'CDO Bespoke'!T18,0)),"")</f>
        <v>0.38875320182118894</v>
      </c>
      <c r="AD17" s="485">
        <f t="shared" ca="1" si="4"/>
        <v>0.80095602778728092</v>
      </c>
      <c r="AE17" s="489">
        <f t="shared" ca="1" si="5"/>
        <v>0</v>
      </c>
      <c r="AF17" s="272"/>
      <c r="AG17" s="494" t="str">
        <f ca="1">IF('CDO Bespoke'!C42&lt;&gt;"",'CDO Bespoke'!C42,"")</f>
        <v>ALSTOM</v>
      </c>
      <c r="AH17" s="496">
        <f ca="1"/>
        <v>3.1655648702333394E-3</v>
      </c>
      <c r="AI17" s="585">
        <f ca="1"/>
        <v>1.0680456360434576E-2</v>
      </c>
      <c r="AJ17" s="585">
        <f ca="1"/>
        <v>2.6350143110809299E-2</v>
      </c>
      <c r="AK17" s="585">
        <f ca="1"/>
        <v>1.2833523985700257</v>
      </c>
      <c r="AL17" s="497">
        <f ca="1"/>
        <v>0</v>
      </c>
      <c r="AM17" s="496">
        <f ca="1"/>
        <v>-4.9698766830044705E-5</v>
      </c>
      <c r="AN17" s="585">
        <f ca="1"/>
        <v>-2.2794739589944435E-4</v>
      </c>
      <c r="AO17" s="585">
        <f ca="1"/>
        <v>-1.1433581014495126E-3</v>
      </c>
      <c r="AP17" s="585">
        <f ca="1"/>
        <v>0.1292986365201306</v>
      </c>
      <c r="AQ17" s="497">
        <f ca="1"/>
        <v>0</v>
      </c>
      <c r="AR17" s="506"/>
      <c r="AS17" s="580"/>
      <c r="AT17" s="580"/>
      <c r="AU17" s="580"/>
      <c r="AV17" s="580"/>
      <c r="AW17" s="580"/>
      <c r="AX17" s="579"/>
      <c r="AY17" s="579"/>
      <c r="AZ17" s="579"/>
      <c r="BA17" s="547"/>
      <c r="BC17" s="475" t="str">
        <f ca="1">IF('IRS Strip'!F24="","",'IRS Strip'!F24)</f>
        <v/>
      </c>
      <c r="BD17" s="475" t="str">
        <f ca="1">IF('IRS Strip'!B24="","",'IRS Strip'!B24)</f>
        <v/>
      </c>
    </row>
    <row r="18" spans="2:56" ht="12" thickBot="1">
      <c r="B18" s="517" t="s">
        <v>639</v>
      </c>
      <c r="C18" s="518" t="s">
        <v>66</v>
      </c>
      <c r="D18" s="518" t="s">
        <v>57</v>
      </c>
      <c r="E18" s="518">
        <v>0.03</v>
      </c>
      <c r="F18" s="518">
        <v>0.06</v>
      </c>
      <c r="G18" s="518" t="s">
        <v>640</v>
      </c>
      <c r="H18" s="518">
        <v>100</v>
      </c>
      <c r="I18" s="525">
        <v>3.497422E-2</v>
      </c>
      <c r="J18" s="523">
        <v>47107</v>
      </c>
      <c r="K18" s="609"/>
      <c r="L18" s="272"/>
      <c r="M18" s="596" t="s">
        <v>675</v>
      </c>
      <c r="N18" s="597">
        <v>4</v>
      </c>
      <c r="P18" s="273"/>
      <c r="Q18" s="273"/>
      <c r="R18" s="273"/>
      <c r="S18" s="273"/>
      <c r="T18" s="576">
        <f ca="1"/>
        <v>0.06</v>
      </c>
      <c r="U18" s="573">
        <f ca="1"/>
        <v>10</v>
      </c>
      <c r="V18" s="576">
        <f t="shared" ca="1" si="0"/>
        <v>0</v>
      </c>
      <c r="W18" s="576">
        <f t="shared" ca="1" si="1"/>
        <v>0</v>
      </c>
      <c r="X18" s="484">
        <f ca="1">IF('CDO Bespoke'!O19&lt;&gt;"",'CDO Bespoke'!O19,"")</f>
        <v>1.1937767124457199</v>
      </c>
      <c r="Y18" s="485">
        <f ca="1">IF(X18&lt;&gt;"",ABS(MIN(-0.75*('CDO Bespoke'!Q19)+'CDO Bespoke'!T19,0)),"")</f>
        <v>1.1889707626823978</v>
      </c>
      <c r="Z18" s="485">
        <f t="shared" ca="1" si="2"/>
        <v>4.8059497633221593E-3</v>
      </c>
      <c r="AA18" s="485">
        <f t="shared" ca="1" si="3"/>
        <v>0</v>
      </c>
      <c r="AB18" s="484">
        <f ca="1">IF('CDO Bespoke'!O19&lt;&gt;"",'CDO Bespoke'!O19,"")</f>
        <v>1.1937767124457199</v>
      </c>
      <c r="AC18" s="485">
        <f ca="1">IF(AB18&lt;&gt;"",ABS(MIN(-0.75*('CDO Bespoke'!K19)+'CDO Bespoke'!T19,0)),"")</f>
        <v>0.30705993776959067</v>
      </c>
      <c r="AD18" s="485">
        <f t="shared" ca="1" si="4"/>
        <v>0.8867167746761293</v>
      </c>
      <c r="AE18" s="489">
        <f t="shared" ca="1" si="5"/>
        <v>0</v>
      </c>
      <c r="AF18" s="272"/>
      <c r="AG18" s="494" t="str">
        <f ca="1">IF('CDO Bespoke'!C43&lt;&gt;"",'CDO Bespoke'!C43,"")</f>
        <v>Anglo American plc</v>
      </c>
      <c r="AH18" s="496">
        <f ca="1"/>
        <v>2.9788255706542088E-3</v>
      </c>
      <c r="AI18" s="585">
        <f ca="1"/>
        <v>8.7377143709321814E-3</v>
      </c>
      <c r="AJ18" s="585">
        <f ca="1"/>
        <v>2.1435025250315931E-2</v>
      </c>
      <c r="AK18" s="585">
        <f ca="1"/>
        <v>0.88758911865105539</v>
      </c>
      <c r="AL18" s="497">
        <f ca="1"/>
        <v>0</v>
      </c>
      <c r="AM18" s="496">
        <f ca="1"/>
        <v>1.0700917200522769E-6</v>
      </c>
      <c r="AN18" s="585">
        <f ca="1"/>
        <v>8.8942240500985287E-6</v>
      </c>
      <c r="AO18" s="585">
        <f ca="1"/>
        <v>-1.0016167229995321E-5</v>
      </c>
      <c r="AP18" s="585">
        <f ca="1"/>
        <v>0.13300994286360002</v>
      </c>
      <c r="AQ18" s="497">
        <f ca="1"/>
        <v>0</v>
      </c>
      <c r="AR18" s="506"/>
      <c r="AS18" s="580"/>
      <c r="AT18" s="580"/>
      <c r="AU18" s="580"/>
      <c r="AV18" s="580"/>
      <c r="AW18" s="580"/>
      <c r="AX18" s="579"/>
      <c r="AY18" s="579"/>
      <c r="AZ18" s="579"/>
      <c r="BA18" s="547"/>
      <c r="BC18" s="475" t="str">
        <f ca="1">IF('IRS Strip'!F25="","",'IRS Strip'!F25)</f>
        <v/>
      </c>
      <c r="BD18" s="475" t="str">
        <f ca="1">IF('IRS Strip'!B25="","",'IRS Strip'!B25)</f>
        <v/>
      </c>
    </row>
    <row r="19" spans="2:56" ht="12" thickBot="1">
      <c r="B19" s="534" t="s">
        <v>639</v>
      </c>
      <c r="C19" s="535" t="s">
        <v>66</v>
      </c>
      <c r="D19" s="535" t="s">
        <v>59</v>
      </c>
      <c r="E19" s="535">
        <v>0.03</v>
      </c>
      <c r="F19" s="535">
        <v>0.06</v>
      </c>
      <c r="G19" s="535" t="s">
        <v>640</v>
      </c>
      <c r="H19" s="535">
        <v>100</v>
      </c>
      <c r="I19" s="536">
        <v>0.10563547</v>
      </c>
      <c r="J19" s="545">
        <v>47837</v>
      </c>
      <c r="K19" s="610"/>
      <c r="L19" s="272"/>
      <c r="M19" s="587" t="s">
        <v>652</v>
      </c>
      <c r="N19" s="591">
        <v>4</v>
      </c>
      <c r="P19" s="273"/>
      <c r="Q19" s="273"/>
      <c r="R19" s="273"/>
      <c r="S19" s="273"/>
      <c r="T19" s="576">
        <f ca="1"/>
        <v>0.03</v>
      </c>
      <c r="U19" s="573">
        <f ca="1"/>
        <v>11</v>
      </c>
      <c r="V19" s="576">
        <f t="shared" ca="1" si="0"/>
        <v>0</v>
      </c>
      <c r="W19" s="576">
        <f t="shared" ca="1" si="1"/>
        <v>0</v>
      </c>
      <c r="X19" s="484">
        <f ca="1">IF('CDO Bespoke'!O20&lt;&gt;"",'CDO Bespoke'!O20,"")</f>
        <v>1.1923059383874099</v>
      </c>
      <c r="Y19" s="485">
        <f ca="1">IF(X19&lt;&gt;"",ABS(MIN(-0.75*('CDO Bespoke'!Q20)+'CDO Bespoke'!T20,0)),"")</f>
        <v>1.1898208789148816</v>
      </c>
      <c r="Z19" s="485">
        <f t="shared" ca="1" si="2"/>
        <v>2.4850594725283059E-3</v>
      </c>
      <c r="AA19" s="485">
        <f t="shared" ca="1" si="3"/>
        <v>0</v>
      </c>
      <c r="AB19" s="484">
        <f ca="1">IF('CDO Bespoke'!O20&lt;&gt;"",'CDO Bespoke'!O20,"")</f>
        <v>1.1923059383874099</v>
      </c>
      <c r="AC19" s="485">
        <f ca="1">IF(AB19&lt;&gt;"",ABS(MIN(-0.75*('CDO Bespoke'!K20)+'CDO Bespoke'!T20,0)),"")</f>
        <v>0.34762612329150094</v>
      </c>
      <c r="AD19" s="485">
        <f t="shared" ca="1" si="4"/>
        <v>0.84467981509590895</v>
      </c>
      <c r="AE19" s="489">
        <f t="shared" ca="1" si="5"/>
        <v>0</v>
      </c>
      <c r="AF19" s="272"/>
      <c r="AG19" s="494" t="str">
        <f ca="1">IF('CDO Bespoke'!C44&lt;&gt;"",'CDO Bespoke'!C44,"")</f>
        <v>ArcelorMittal</v>
      </c>
      <c r="AH19" s="496">
        <f ca="1"/>
        <v>2.2998461002288195E-3</v>
      </c>
      <c r="AI19" s="585">
        <f ca="1"/>
        <v>6.0593807105213671E-3</v>
      </c>
      <c r="AJ19" s="585">
        <f ca="1"/>
        <v>9.5307026604096734E-3</v>
      </c>
      <c r="AK19" s="585">
        <f ca="1"/>
        <v>1.2511931790704089</v>
      </c>
      <c r="AL19" s="497">
        <f ca="1"/>
        <v>0</v>
      </c>
      <c r="AM19" s="496">
        <f ca="1"/>
        <v>-4.2610900320705358E-5</v>
      </c>
      <c r="AN19" s="585">
        <f ca="1"/>
        <v>-1.9398907767018136E-4</v>
      </c>
      <c r="AO19" s="585">
        <f ca="1"/>
        <v>-9.7283304480028088E-4</v>
      </c>
      <c r="AP19" s="585">
        <f ca="1"/>
        <v>0.13061057570745022</v>
      </c>
      <c r="AQ19" s="497">
        <f ca="1"/>
        <v>0</v>
      </c>
      <c r="AR19" s="506"/>
      <c r="AS19" s="580"/>
      <c r="AT19" s="580"/>
      <c r="AU19" s="580"/>
      <c r="AV19" s="580"/>
      <c r="AW19" s="580"/>
      <c r="AX19" s="579"/>
      <c r="AY19" s="579"/>
      <c r="AZ19" s="579"/>
      <c r="BA19" s="547"/>
      <c r="BC19" s="475" t="str">
        <f ca="1">IF('IRS Strip'!F26="","",'IRS Strip'!F26)</f>
        <v/>
      </c>
      <c r="BD19" s="475" t="str">
        <f ca="1">IF('IRS Strip'!B26="","",'IRS Strip'!B26)</f>
        <v/>
      </c>
    </row>
    <row r="20" spans="2:56" ht="12" thickBot="1">
      <c r="B20" s="517" t="s">
        <v>641</v>
      </c>
      <c r="C20" s="518" t="s">
        <v>66</v>
      </c>
      <c r="D20" s="518" t="s">
        <v>55</v>
      </c>
      <c r="E20" s="518">
        <v>0</v>
      </c>
      <c r="F20" s="518">
        <v>0.03</v>
      </c>
      <c r="G20" s="518" t="s">
        <v>640</v>
      </c>
      <c r="H20" s="518">
        <v>100</v>
      </c>
      <c r="I20" s="605">
        <v>0.1057844</v>
      </c>
      <c r="J20" s="523">
        <v>46376</v>
      </c>
      <c r="K20" s="609">
        <v>0.710345</v>
      </c>
      <c r="L20" s="272">
        <v>28</v>
      </c>
      <c r="M20" s="587" t="s">
        <v>648</v>
      </c>
      <c r="N20" s="591">
        <v>4</v>
      </c>
      <c r="P20" s="273"/>
      <c r="Q20" s="273"/>
      <c r="R20" s="273"/>
      <c r="S20" s="273"/>
      <c r="T20" s="576">
        <f ca="1"/>
        <v>0.03</v>
      </c>
      <c r="U20" s="573">
        <f ca="1"/>
        <v>12</v>
      </c>
      <c r="V20" s="576">
        <f t="shared" ca="1" si="0"/>
        <v>0</v>
      </c>
      <c r="W20" s="576">
        <f t="shared" ca="1" si="1"/>
        <v>0</v>
      </c>
      <c r="X20" s="484">
        <f ca="1">IF('CDO Bespoke'!O21&lt;&gt;"",'CDO Bespoke'!O21,"")</f>
        <v>1.19514460132804</v>
      </c>
      <c r="Y20" s="485">
        <f ca="1">IF(X20&lt;&gt;"",ABS(MIN(-0.75*('CDO Bespoke'!Q21)+'CDO Bespoke'!T21,0)),"")</f>
        <v>1.1875165091048103</v>
      </c>
      <c r="Z20" s="485">
        <f t="shared" ca="1" si="2"/>
        <v>7.6280922232296877E-3</v>
      </c>
      <c r="AA20" s="485">
        <f t="shared" ca="1" si="3"/>
        <v>0</v>
      </c>
      <c r="AB20" s="484">
        <f ca="1">IF('CDO Bespoke'!O21&lt;&gt;"",'CDO Bespoke'!O21,"")</f>
        <v>1.19514460132804</v>
      </c>
      <c r="AC20" s="485">
        <f ca="1">IF(AB20&lt;&gt;"",ABS(MIN(-0.75*('CDO Bespoke'!K21)+'CDO Bespoke'!T21,0)),"")</f>
        <v>0.22639146723817313</v>
      </c>
      <c r="AD20" s="485">
        <f t="shared" ca="1" si="4"/>
        <v>0.96875313408986685</v>
      </c>
      <c r="AE20" s="489">
        <f t="shared" ca="1" si="5"/>
        <v>0</v>
      </c>
      <c r="AF20" s="272"/>
      <c r="AG20" s="494" t="str">
        <f ca="1">IF('CDO Bespoke'!C45&lt;&gt;"",'CDO Bespoke'!C45,"")</f>
        <v>ASTRAZENECA PLC</v>
      </c>
      <c r="AH20" s="496">
        <f ca="1"/>
        <v>3.4712401708603124E-3</v>
      </c>
      <c r="AI20" s="585">
        <f ca="1"/>
        <v>1.0961635040773743E-2</v>
      </c>
      <c r="AJ20" s="585">
        <f ca="1"/>
        <v>3.0285158920673183E-2</v>
      </c>
      <c r="AK20" s="585">
        <f ca="1"/>
        <v>0.20147544901094605</v>
      </c>
      <c r="AL20" s="497">
        <f ca="1"/>
        <v>0</v>
      </c>
      <c r="AM20" s="496">
        <f ca="1"/>
        <v>4.1894777339998579E-5</v>
      </c>
      <c r="AN20" s="585">
        <f ca="1"/>
        <v>1.9518650044517832E-4</v>
      </c>
      <c r="AO20" s="585">
        <f ca="1"/>
        <v>8.9218923601478567E-4</v>
      </c>
      <c r="AP20" s="585">
        <f ca="1"/>
        <v>6.8525382541860178E-2</v>
      </c>
      <c r="AQ20" s="497">
        <f ca="1"/>
        <v>0</v>
      </c>
      <c r="AR20" s="506"/>
      <c r="AS20" s="580"/>
      <c r="AT20" s="580"/>
      <c r="AU20" s="580"/>
      <c r="AV20" s="580"/>
      <c r="AW20" s="580"/>
      <c r="AX20" s="579"/>
      <c r="AY20" s="579"/>
      <c r="AZ20" s="579"/>
      <c r="BA20" s="547"/>
      <c r="BC20" s="475" t="str">
        <f ca="1">IF('IRS Strip'!F27="","",'IRS Strip'!F27)</f>
        <v/>
      </c>
      <c r="BD20" s="475" t="str">
        <f ca="1">IF('IRS Strip'!B27="","",'IRS Strip'!B27)</f>
        <v/>
      </c>
    </row>
    <row r="21" spans="2:56" ht="12" thickBot="1">
      <c r="B21" s="517" t="s">
        <v>641</v>
      </c>
      <c r="C21" s="518" t="s">
        <v>66</v>
      </c>
      <c r="D21" s="518" t="s">
        <v>57</v>
      </c>
      <c r="E21" s="518">
        <v>0</v>
      </c>
      <c r="F21" s="518">
        <v>0.03</v>
      </c>
      <c r="G21" s="518" t="s">
        <v>640</v>
      </c>
      <c r="H21" s="518">
        <v>100</v>
      </c>
      <c r="I21" s="525">
        <v>0.25752876000000002</v>
      </c>
      <c r="J21" s="523">
        <v>47107</v>
      </c>
      <c r="K21" s="609" t="s">
        <v>75</v>
      </c>
      <c r="L21" s="565"/>
      <c r="M21" s="587" t="s">
        <v>685</v>
      </c>
      <c r="N21" s="591">
        <v>4</v>
      </c>
      <c r="P21" s="273"/>
      <c r="Q21" s="273"/>
      <c r="R21" s="273"/>
      <c r="S21" s="273"/>
      <c r="T21" s="576">
        <f ca="1"/>
        <v>0.06</v>
      </c>
      <c r="U21" s="573">
        <f ca="1"/>
        <v>13</v>
      </c>
      <c r="V21" s="576">
        <f t="shared" ca="1" si="0"/>
        <v>0</v>
      </c>
      <c r="W21" s="576">
        <f t="shared" ca="1" si="1"/>
        <v>0</v>
      </c>
      <c r="X21" s="484">
        <f ca="1">IF('CDO Bespoke'!O22&lt;&gt;"",'CDO Bespoke'!O22,"")</f>
        <v>1.1952157117095901</v>
      </c>
      <c r="Y21" s="485">
        <f ca="1">IF(X21&lt;&gt;"",ABS(MIN(-0.75*('CDO Bespoke'!Q22)+'CDO Bespoke'!T22,0)),"")</f>
        <v>1.1873937530959269</v>
      </c>
      <c r="Z21" s="485">
        <f t="shared" ca="1" si="2"/>
        <v>7.8219586136631936E-3</v>
      </c>
      <c r="AA21" s="485">
        <f t="shared" ca="1" si="3"/>
        <v>0</v>
      </c>
      <c r="AB21" s="484">
        <f ca="1">IF('CDO Bespoke'!O22&lt;&gt;"",'CDO Bespoke'!O22,"")</f>
        <v>1.1952157117095901</v>
      </c>
      <c r="AC21" s="485">
        <f ca="1">IF(AB21&lt;&gt;"",ABS(MIN(-0.75*('CDO Bespoke'!K22)+'CDO Bespoke'!T22,0)),"")</f>
        <v>0.21836816350650973</v>
      </c>
      <c r="AD21" s="485">
        <f t="shared" ca="1" si="4"/>
        <v>0.97684754820308028</v>
      </c>
      <c r="AE21" s="489">
        <f t="shared" ca="1" si="5"/>
        <v>0</v>
      </c>
      <c r="AF21" s="272"/>
      <c r="AG21" s="494" t="str">
        <f ca="1">IF('CDO Bespoke'!C46&lt;&gt;"",'CDO Bespoke'!C46,"")</f>
        <v>BAE SYSTEMS PLC</v>
      </c>
      <c r="AH21" s="496">
        <f ca="1"/>
        <v>3.1824002200142587E-3</v>
      </c>
      <c r="AI21" s="585">
        <f ca="1"/>
        <v>9.7405606203082584E-3</v>
      </c>
      <c r="AJ21" s="585">
        <f ca="1"/>
        <v>2.6600639490004241E-2</v>
      </c>
      <c r="AK21" s="585">
        <f ca="1"/>
        <v>0.23018933746010717</v>
      </c>
      <c r="AL21" s="497">
        <f ca="1"/>
        <v>0</v>
      </c>
      <c r="AM21" s="496">
        <f ca="1"/>
        <v>8.0305806390151835E-5</v>
      </c>
      <c r="AN21" s="585">
        <f ca="1"/>
        <v>3.7420441308007313E-4</v>
      </c>
      <c r="AO21" s="585">
        <f ca="1"/>
        <v>1.7000210774401059E-3</v>
      </c>
      <c r="AP21" s="585">
        <f ca="1"/>
        <v>0.13699116153272972</v>
      </c>
      <c r="AQ21" s="497">
        <f ca="1"/>
        <v>0</v>
      </c>
      <c r="AR21" s="506"/>
      <c r="AS21" s="580"/>
      <c r="AT21" s="580"/>
      <c r="AU21" s="580"/>
      <c r="AV21" s="580"/>
      <c r="AW21" s="580"/>
      <c r="AX21" s="579"/>
      <c r="AY21" s="579"/>
      <c r="AZ21" s="579"/>
      <c r="BA21" s="547"/>
      <c r="BC21" s="475" t="str">
        <f ca="1">IF('IRS Strip'!F28="","",'IRS Strip'!F28)</f>
        <v/>
      </c>
      <c r="BD21" s="475" t="str">
        <f ca="1">IF('IRS Strip'!B28="","",'IRS Strip'!B28)</f>
        <v/>
      </c>
    </row>
    <row r="22" spans="2:56" ht="12" thickBot="1">
      <c r="B22" s="520" t="s">
        <v>641</v>
      </c>
      <c r="C22" s="521" t="s">
        <v>66</v>
      </c>
      <c r="D22" s="521" t="s">
        <v>59</v>
      </c>
      <c r="E22" s="521">
        <v>0</v>
      </c>
      <c r="F22" s="521">
        <v>0.03</v>
      </c>
      <c r="G22" s="521" t="s">
        <v>640</v>
      </c>
      <c r="H22" s="521">
        <v>100</v>
      </c>
      <c r="I22" s="526">
        <v>0.38828527000000002</v>
      </c>
      <c r="J22" s="524">
        <v>47837</v>
      </c>
      <c r="K22" s="612"/>
      <c r="L22" s="565"/>
      <c r="M22" s="587" t="s">
        <v>686</v>
      </c>
      <c r="N22" s="591">
        <v>4</v>
      </c>
      <c r="P22" s="273"/>
      <c r="Q22" s="273"/>
      <c r="R22" s="273"/>
      <c r="S22" s="273"/>
      <c r="T22" s="576">
        <f ca="1"/>
        <v>0.06</v>
      </c>
      <c r="U22" s="573">
        <f ca="1"/>
        <v>14</v>
      </c>
      <c r="V22" s="576">
        <f t="shared" ca="1" si="0"/>
        <v>0</v>
      </c>
      <c r="W22" s="576">
        <f t="shared" ca="1" si="1"/>
        <v>0</v>
      </c>
      <c r="X22" s="484">
        <f ca="1">IF('CDO Bespoke'!O23&lt;&gt;"",'CDO Bespoke'!O23,"")</f>
        <v>1.19513401946859</v>
      </c>
      <c r="Y22" s="485">
        <f ca="1">IF(X22&lt;&gt;"",ABS(MIN(-0.75*('CDO Bespoke'!Q23)+'CDO Bespoke'!T23,0)),"")</f>
        <v>1.18753397321928</v>
      </c>
      <c r="Z22" s="485">
        <f t="shared" ca="1" si="2"/>
        <v>7.6000462493099885E-3</v>
      </c>
      <c r="AA22" s="485">
        <f t="shared" ca="1" si="3"/>
        <v>0</v>
      </c>
      <c r="AB22" s="484">
        <f ca="1">IF('CDO Bespoke'!O23&lt;&gt;"",'CDO Bespoke'!O23,"")</f>
        <v>1.19513401946859</v>
      </c>
      <c r="AC22" s="485">
        <f ca="1">IF(AB22&lt;&gt;"",ABS(MIN(-0.75*('CDO Bespoke'!K23)+'CDO Bespoke'!T23,0)),"")</f>
        <v>0.22751109461173874</v>
      </c>
      <c r="AD22" s="485">
        <f t="shared" ca="1" si="4"/>
        <v>0.96762292485685131</v>
      </c>
      <c r="AE22" s="489">
        <f t="shared" ca="1" si="5"/>
        <v>0</v>
      </c>
      <c r="AF22" s="272"/>
      <c r="AG22" s="494" t="str">
        <f ca="1">IF('CDO Bespoke'!C47&lt;&gt;"",'CDO Bespoke'!C47,"")</f>
        <v>BASF SE</v>
      </c>
      <c r="AH22" s="496">
        <f ca="1"/>
        <v>3.1521901899811411E-3</v>
      </c>
      <c r="AI22" s="585">
        <f ca="1"/>
        <v>9.53852645091402E-3</v>
      </c>
      <c r="AJ22" s="585">
        <f ca="1"/>
        <v>2.6007535630645506E-2</v>
      </c>
      <c r="AK22" s="585">
        <f ca="1"/>
        <v>0.310166879480267</v>
      </c>
      <c r="AL22" s="497">
        <f ca="1"/>
        <v>0</v>
      </c>
      <c r="AM22" s="496">
        <f ca="1"/>
        <v>7.0051793279665708E-5</v>
      </c>
      <c r="AN22" s="585">
        <f ca="1"/>
        <v>3.2702697830983007E-4</v>
      </c>
      <c r="AO22" s="585">
        <f ca="1"/>
        <v>1.4643038523293878E-3</v>
      </c>
      <c r="AP22" s="585">
        <f ca="1"/>
        <v>0.13655592105479944</v>
      </c>
      <c r="AQ22" s="497">
        <f ca="1"/>
        <v>0</v>
      </c>
      <c r="AR22" s="506"/>
      <c r="AS22" s="580"/>
      <c r="AT22" s="580"/>
      <c r="AU22" s="580"/>
      <c r="AV22" s="580"/>
      <c r="AW22" s="580"/>
      <c r="AX22" s="579"/>
      <c r="AY22" s="579"/>
      <c r="AZ22" s="579"/>
      <c r="BA22" s="547"/>
      <c r="BC22" s="475" t="str">
        <f ca="1">IF('IRS Strip'!F29="","",'IRS Strip'!F29)</f>
        <v/>
      </c>
      <c r="BD22" s="475" t="str">
        <f ca="1">IF('IRS Strip'!B29="","",'IRS Strip'!B29)</f>
        <v/>
      </c>
    </row>
    <row r="23" spans="2:56" ht="12" thickBot="1">
      <c r="D23" s="272"/>
      <c r="E23" s="272"/>
      <c r="F23" s="272"/>
      <c r="G23" s="272"/>
      <c r="H23" s="272"/>
      <c r="I23" s="272"/>
      <c r="J23" s="272"/>
      <c r="K23" s="272"/>
      <c r="L23" s="272"/>
      <c r="M23" s="598" t="s">
        <v>687</v>
      </c>
      <c r="N23" s="599">
        <v>4</v>
      </c>
      <c r="P23" s="273"/>
      <c r="Q23" s="273"/>
      <c r="R23" s="273"/>
      <c r="S23" s="273"/>
      <c r="T23" s="576">
        <f ca="1"/>
        <v>0.06</v>
      </c>
      <c r="U23" s="573">
        <f ca="1"/>
        <v>15</v>
      </c>
      <c r="V23" s="576">
        <f t="shared" ca="1" si="0"/>
        <v>0</v>
      </c>
      <c r="W23" s="576">
        <f t="shared" ca="1" si="1"/>
        <v>0</v>
      </c>
      <c r="X23" s="484">
        <f ca="1">IF('CDO Bespoke'!O24&lt;&gt;"",'CDO Bespoke'!O24,"")</f>
        <v>1.1916555861675699</v>
      </c>
      <c r="Y23" s="485">
        <f ca="1">IF(X23&lt;&gt;"",ABS(MIN(-0.75*('CDO Bespoke'!Q24)+'CDO Bespoke'!T24,0)),"")</f>
        <v>1.1900940175033672</v>
      </c>
      <c r="Z23" s="485">
        <f t="shared" ca="1" si="2"/>
        <v>1.5615686642027615E-3</v>
      </c>
      <c r="AA23" s="485">
        <f t="shared" ca="1" si="3"/>
        <v>0</v>
      </c>
      <c r="AB23" s="484">
        <f ca="1">IF('CDO Bespoke'!O24&lt;&gt;"",'CDO Bespoke'!O24,"")</f>
        <v>1.1916555861675699</v>
      </c>
      <c r="AC23" s="485">
        <f ca="1">IF(AB23&lt;&gt;"",ABS(MIN(-0.75*('CDO Bespoke'!K24)+'CDO Bespoke'!T24,0)),"")</f>
        <v>0.3603467297437718</v>
      </c>
      <c r="AD23" s="485">
        <f t="shared" ca="1" si="4"/>
        <v>0.83130885642379815</v>
      </c>
      <c r="AE23" s="489">
        <f t="shared" ca="1" si="5"/>
        <v>0</v>
      </c>
      <c r="AF23" s="272"/>
      <c r="AG23" s="494" t="str">
        <f ca="1">IF('CDO Bespoke'!C48&lt;&gt;"",'CDO Bespoke'!C48,"")</f>
        <v>Bayer Aktiengesellschaft</v>
      </c>
      <c r="AH23" s="496">
        <f ca="1"/>
        <v>3.875239150685772E-3</v>
      </c>
      <c r="AI23" s="585">
        <f ca="1"/>
        <v>1.3375953770156102E-2</v>
      </c>
      <c r="AJ23" s="585">
        <f ca="1"/>
        <v>3.7468046470978678E-2</v>
      </c>
      <c r="AK23" s="585">
        <f ca="1"/>
        <v>0.99296319142072598</v>
      </c>
      <c r="AL23" s="497">
        <f ca="1"/>
        <v>0</v>
      </c>
      <c r="AM23" s="496">
        <f ca="1"/>
        <v>-7.0778466147898567E-6</v>
      </c>
      <c r="AN23" s="585">
        <f ca="1"/>
        <v>-3.0939367184901201E-5</v>
      </c>
      <c r="AO23" s="585">
        <f ca="1"/>
        <v>-1.7406213521989344E-4</v>
      </c>
      <c r="AP23" s="585">
        <f ca="1"/>
        <v>6.5720345963280163E-2</v>
      </c>
      <c r="AQ23" s="497">
        <f ca="1"/>
        <v>0</v>
      </c>
      <c r="AR23" s="507"/>
      <c r="AS23" s="508"/>
      <c r="AT23" s="508"/>
      <c r="AU23" s="508"/>
      <c r="AV23" s="508"/>
      <c r="AW23" s="508"/>
      <c r="AX23" s="584"/>
      <c r="AY23" s="584"/>
      <c r="AZ23" s="584"/>
      <c r="BA23" s="586"/>
      <c r="BB23" s="348"/>
      <c r="BC23" s="474" t="str">
        <f ca="1">IF('IRS Strip'!F30="","",'IRS Strip'!F30)</f>
        <v/>
      </c>
      <c r="BD23" s="474" t="str">
        <f ca="1">IF('IRS Strip'!B30="","",'IRS Strip'!B30)</f>
        <v/>
      </c>
    </row>
    <row r="24" spans="2:56" ht="12" thickBot="1">
      <c r="B24" s="468" t="s">
        <v>642</v>
      </c>
      <c r="C24" s="468" t="s">
        <v>82</v>
      </c>
      <c r="D24" s="468" t="s">
        <v>432</v>
      </c>
      <c r="E24" s="468" t="s">
        <v>643</v>
      </c>
      <c r="F24" s="468" t="s">
        <v>644</v>
      </c>
      <c r="G24" s="468" t="s">
        <v>645</v>
      </c>
      <c r="H24" s="468" t="s">
        <v>646</v>
      </c>
      <c r="I24" s="468" t="s">
        <v>85</v>
      </c>
      <c r="J24" s="468" t="s">
        <v>694</v>
      </c>
      <c r="K24" s="476" t="s">
        <v>655</v>
      </c>
      <c r="L24" s="272"/>
      <c r="M24" s="596" t="s">
        <v>673</v>
      </c>
      <c r="N24" s="597">
        <v>5</v>
      </c>
      <c r="P24" s="273"/>
      <c r="Q24" s="273"/>
      <c r="R24" s="273"/>
      <c r="S24" s="273"/>
      <c r="T24" s="576">
        <f ca="1"/>
        <v>0.06</v>
      </c>
      <c r="U24" s="573">
        <f ca="1"/>
        <v>16</v>
      </c>
      <c r="V24" s="576">
        <f t="shared" ca="1" si="0"/>
        <v>0</v>
      </c>
      <c r="W24" s="576">
        <f t="shared" ca="1" si="1"/>
        <v>0</v>
      </c>
      <c r="X24" s="484">
        <f ca="1">IF('CDO Bespoke'!O25&lt;&gt;"",'CDO Bespoke'!O25,"")</f>
        <v>1.1948626212564899</v>
      </c>
      <c r="Y24" s="485">
        <f ca="1">IF(X24&lt;&gt;"",ABS(MIN(-0.75*('CDO Bespoke'!Q25)+'CDO Bespoke'!T25,0)),"")</f>
        <v>1.1879279728092742</v>
      </c>
      <c r="Z24" s="485">
        <f t="shared" ca="1" si="2"/>
        <v>6.9346484472156966E-3</v>
      </c>
      <c r="AA24" s="485">
        <f t="shared" ca="1" si="3"/>
        <v>0</v>
      </c>
      <c r="AB24" s="484">
        <f ca="1">IF('CDO Bespoke'!O25&lt;&gt;"",'CDO Bespoke'!O25,"")</f>
        <v>1.1948626212564899</v>
      </c>
      <c r="AC24" s="485">
        <f ca="1">IF(AB24&lt;&gt;"",ABS(MIN(-0.75*('CDO Bespoke'!K25)+'CDO Bespoke'!T25,0)),"")</f>
        <v>0.25152742104471221</v>
      </c>
      <c r="AD24" s="485">
        <f t="shared" ca="1" si="4"/>
        <v>0.94333520021177764</v>
      </c>
      <c r="AE24" s="489">
        <f t="shared" ca="1" si="5"/>
        <v>0</v>
      </c>
      <c r="AF24" s="272"/>
      <c r="AG24" s="494" t="str">
        <f ca="1">IF('CDO Bespoke'!C49&lt;&gt;"",'CDO Bespoke'!C49,"")</f>
        <v>Bayerische Motoren Werke Aktiengesellschaft</v>
      </c>
      <c r="AH24" s="496">
        <f ca="1"/>
        <v>3.5140720699988748E-3</v>
      </c>
      <c r="AI24" s="585">
        <f ca="1"/>
        <v>1.1035169040773951E-2</v>
      </c>
      <c r="AJ24" s="585">
        <f ca="1"/>
        <v>3.0649026760976028E-2</v>
      </c>
      <c r="AK24" s="585">
        <f ca="1"/>
        <v>0.38263244967029486</v>
      </c>
      <c r="AL24" s="497">
        <f ca="1"/>
        <v>0</v>
      </c>
      <c r="AM24" s="496">
        <f ca="1"/>
        <v>6.0555837419484781E-5</v>
      </c>
      <c r="AN24" s="585">
        <f ca="1"/>
        <v>2.8350424955969622E-4</v>
      </c>
      <c r="AO24" s="585">
        <f ca="1"/>
        <v>1.2522531725098901E-3</v>
      </c>
      <c r="AP24" s="585">
        <f ca="1"/>
        <v>0.1360020417538795</v>
      </c>
      <c r="AQ24" s="497">
        <f ca="1"/>
        <v>0</v>
      </c>
      <c r="AR24" s="580"/>
      <c r="AS24" s="580"/>
      <c r="AT24" s="580"/>
      <c r="AU24" s="580"/>
      <c r="AV24" s="580"/>
      <c r="AW24" s="580"/>
      <c r="AX24" s="579"/>
      <c r="AY24" s="579"/>
      <c r="AZ24" s="579"/>
    </row>
    <row r="25" spans="2:56">
      <c r="B25" s="529" t="s">
        <v>510</v>
      </c>
      <c r="C25" s="530" t="s">
        <v>66</v>
      </c>
      <c r="D25" s="530" t="s">
        <v>55</v>
      </c>
      <c r="E25" s="530" t="s">
        <v>647</v>
      </c>
      <c r="F25" s="530" t="s">
        <v>648</v>
      </c>
      <c r="G25" s="531">
        <v>0.01</v>
      </c>
      <c r="H25" s="531">
        <v>3.0899999999999999E-3</v>
      </c>
      <c r="I25" s="532">
        <v>0.4</v>
      </c>
      <c r="J25" s="593">
        <v>4</v>
      </c>
      <c r="K25" s="533">
        <v>1</v>
      </c>
      <c r="L25" s="272"/>
      <c r="M25" s="587" t="s">
        <v>689</v>
      </c>
      <c r="N25" s="591">
        <v>5</v>
      </c>
      <c r="P25" s="273"/>
      <c r="Q25" s="273"/>
      <c r="R25" s="273"/>
      <c r="S25" s="273"/>
      <c r="T25" s="576">
        <f ca="1"/>
        <v>0.03</v>
      </c>
      <c r="U25" s="573">
        <f ca="1"/>
        <v>17</v>
      </c>
      <c r="V25" s="576">
        <f t="shared" ca="1" si="0"/>
        <v>0</v>
      </c>
      <c r="W25" s="576">
        <f t="shared" ca="1" si="1"/>
        <v>0</v>
      </c>
      <c r="X25" s="484">
        <f ca="1">IF('CDO Bespoke'!O26&lt;&gt;"",'CDO Bespoke'!O26,"")</f>
        <v>1.19514175996612</v>
      </c>
      <c r="Y25" s="485">
        <f ca="1">IF(X25&lt;&gt;"",ABS(MIN(-0.75*('CDO Bespoke'!Q26)+'CDO Bespoke'!T26,0)),"")</f>
        <v>1.1875212175192917</v>
      </c>
      <c r="Z25" s="485">
        <f t="shared" ca="1" si="2"/>
        <v>7.6205424468283045E-3</v>
      </c>
      <c r="AA25" s="485">
        <f t="shared" ca="1" si="3"/>
        <v>0</v>
      </c>
      <c r="AB25" s="484">
        <f ca="1">IF('CDO Bespoke'!O26&lt;&gt;"",'CDO Bespoke'!O26,"")</f>
        <v>1.19514175996612</v>
      </c>
      <c r="AC25" s="485">
        <f ca="1">IF(AB25&lt;&gt;"",ABS(MIN(-0.75*('CDO Bespoke'!K26)+'CDO Bespoke'!T26,0)),"")</f>
        <v>0.22669383961084488</v>
      </c>
      <c r="AD25" s="485">
        <f t="shared" ca="1" si="4"/>
        <v>0.96844792035527516</v>
      </c>
      <c r="AE25" s="489">
        <f t="shared" ca="1" si="5"/>
        <v>0</v>
      </c>
      <c r="AF25" s="272"/>
      <c r="AG25" s="494" t="str">
        <f ca="1">IF('CDO Bespoke'!C50&lt;&gt;"",'CDO Bespoke'!C50,"")</f>
        <v>BOUYGUES</v>
      </c>
      <c r="AH25" s="496">
        <f ca="1"/>
        <v>3.4078312305396707E-3</v>
      </c>
      <c r="AI25" s="585">
        <f ca="1"/>
        <v>1.0678548320042225E-2</v>
      </c>
      <c r="AJ25" s="585">
        <f ca="1"/>
        <v>2.9467855400255871E-2</v>
      </c>
      <c r="AK25" s="585">
        <f ca="1"/>
        <v>0.22426633680017183</v>
      </c>
      <c r="AL25" s="497">
        <f ca="1"/>
        <v>0</v>
      </c>
      <c r="AM25" s="496">
        <f ca="1"/>
        <v>8.08077932401563E-5</v>
      </c>
      <c r="AN25" s="585">
        <f ca="1"/>
        <v>3.7662658466941501E-4</v>
      </c>
      <c r="AO25" s="585">
        <f ca="1"/>
        <v>1.7149465115693513E-3</v>
      </c>
      <c r="AP25" s="585">
        <f ca="1"/>
        <v>0.13694277457850929</v>
      </c>
      <c r="AQ25" s="497">
        <f ca="1"/>
        <v>0</v>
      </c>
      <c r="AR25" s="580"/>
      <c r="AS25" s="580"/>
      <c r="AT25" s="580"/>
      <c r="AU25" s="580"/>
      <c r="AV25" s="580"/>
      <c r="AW25" s="580"/>
      <c r="AX25" s="579"/>
      <c r="AY25" s="579"/>
      <c r="AZ25" s="579"/>
    </row>
    <row r="26" spans="2:56">
      <c r="B26" s="517" t="s">
        <v>510</v>
      </c>
      <c r="C26" s="518" t="s">
        <v>66</v>
      </c>
      <c r="D26" s="518" t="s">
        <v>57</v>
      </c>
      <c r="E26" s="518" t="s">
        <v>647</v>
      </c>
      <c r="F26" s="518" t="s">
        <v>648</v>
      </c>
      <c r="G26" s="525">
        <v>0.01</v>
      </c>
      <c r="H26" s="525">
        <v>4.5950000000000001E-3</v>
      </c>
      <c r="I26" s="527">
        <v>0.4</v>
      </c>
      <c r="J26" s="594">
        <v>4</v>
      </c>
      <c r="K26" s="519">
        <v>1</v>
      </c>
      <c r="L26" s="272"/>
      <c r="M26" s="598" t="s">
        <v>688</v>
      </c>
      <c r="N26" s="599">
        <v>5</v>
      </c>
      <c r="P26" s="273"/>
      <c r="Q26" s="273"/>
      <c r="R26" s="273"/>
      <c r="S26" s="273"/>
      <c r="T26" s="576">
        <f ca="1"/>
        <v>0.06</v>
      </c>
      <c r="U26" s="573">
        <f ca="1"/>
        <v>18</v>
      </c>
      <c r="V26" s="576">
        <f t="shared" ca="1" si="0"/>
        <v>0</v>
      </c>
      <c r="W26" s="576">
        <f t="shared" ca="1" si="1"/>
        <v>0</v>
      </c>
      <c r="X26" s="484">
        <f ca="1">IF('CDO Bespoke'!O27&lt;&gt;"",'CDO Bespoke'!O27,"")</f>
        <v>1.1933674022207501</v>
      </c>
      <c r="Y26" s="485">
        <f ca="1">IF(X26&lt;&gt;"",ABS(MIN(-0.75*('CDO Bespoke'!Q27)+'CDO Bespoke'!T27,0)),"")</f>
        <v>1.1892501014475581</v>
      </c>
      <c r="Z26" s="485">
        <f t="shared" ca="1" si="2"/>
        <v>4.1173007731920563E-3</v>
      </c>
      <c r="AA26" s="485">
        <f t="shared" ca="1" si="3"/>
        <v>0</v>
      </c>
      <c r="AB26" s="484">
        <f ca="1">IF('CDO Bespoke'!O27&lt;&gt;"",'CDO Bespoke'!O27,"")</f>
        <v>1.1933674022207501</v>
      </c>
      <c r="AC26" s="485">
        <f ca="1">IF(AB26&lt;&gt;"",ABS(MIN(-0.75*('CDO Bespoke'!K27)+'CDO Bespoke'!T27,0)),"")</f>
        <v>0.32067269775813484</v>
      </c>
      <c r="AD26" s="485">
        <f t="shared" ca="1" si="4"/>
        <v>0.87269470446261521</v>
      </c>
      <c r="AE26" s="489">
        <f t="shared" ca="1" si="5"/>
        <v>0</v>
      </c>
      <c r="AF26" s="272"/>
      <c r="AG26" s="494" t="str">
        <f ca="1">IF('CDO Bespoke'!C51&lt;&gt;"",'CDO Bespoke'!C51,"")</f>
        <v>CNH Industrial N.V</v>
      </c>
      <c r="AH26" s="496">
        <f ca="1"/>
        <v>3.8976477301222445E-3</v>
      </c>
      <c r="AI26" s="585">
        <f ca="1"/>
        <v>1.2972951159984092E-2</v>
      </c>
      <c r="AJ26" s="585">
        <f ca="1"/>
        <v>3.662054331998732E-2</v>
      </c>
      <c r="AK26" s="585">
        <f ca="1"/>
        <v>0.7533891645805646</v>
      </c>
      <c r="AL26" s="497">
        <f ca="1"/>
        <v>0</v>
      </c>
      <c r="AM26" s="496">
        <f ca="1"/>
        <v>1.524709751996034E-5</v>
      </c>
      <c r="AN26" s="585">
        <f ca="1"/>
        <v>7.4614446989983846E-5</v>
      </c>
      <c r="AO26" s="585">
        <f ca="1"/>
        <v>3.0308933123995331E-4</v>
      </c>
      <c r="AP26" s="585">
        <f ca="1"/>
        <v>0.13334263683797992</v>
      </c>
      <c r="AQ26" s="497">
        <f ca="1"/>
        <v>0</v>
      </c>
      <c r="AR26" s="580"/>
      <c r="AS26" s="580"/>
      <c r="AT26" s="580"/>
      <c r="AU26" s="580"/>
      <c r="AV26" s="580"/>
      <c r="AW26" s="580"/>
      <c r="AX26" s="579"/>
    </row>
    <row r="27" spans="2:56">
      <c r="B27" s="534" t="s">
        <v>510</v>
      </c>
      <c r="C27" s="535" t="s">
        <v>66</v>
      </c>
      <c r="D27" s="535" t="s">
        <v>59</v>
      </c>
      <c r="E27" s="535" t="s">
        <v>647</v>
      </c>
      <c r="F27" s="535" t="s">
        <v>648</v>
      </c>
      <c r="G27" s="536">
        <v>0.01</v>
      </c>
      <c r="H27" s="536">
        <v>6.3160000000000004E-3</v>
      </c>
      <c r="I27" s="537">
        <v>0.4</v>
      </c>
      <c r="J27" s="595">
        <v>4</v>
      </c>
      <c r="K27" s="538">
        <v>1</v>
      </c>
      <c r="L27" s="272"/>
      <c r="M27" s="596" t="s">
        <v>654</v>
      </c>
      <c r="N27" s="597">
        <v>6</v>
      </c>
      <c r="P27" s="273"/>
      <c r="Q27" s="273"/>
      <c r="R27" s="273"/>
      <c r="S27" s="273"/>
      <c r="T27" s="576">
        <f ca="1"/>
        <v>0.06</v>
      </c>
      <c r="U27" s="573">
        <f ca="1"/>
        <v>19</v>
      </c>
      <c r="V27" s="576">
        <f t="shared" ca="1" si="0"/>
        <v>0</v>
      </c>
      <c r="W27" s="576">
        <f t="shared" ca="1" si="1"/>
        <v>0</v>
      </c>
      <c r="X27" s="484">
        <f ca="1">IF('CDO Bespoke'!O28&lt;&gt;"",'CDO Bespoke'!O28,"")</f>
        <v>1.19482966003038</v>
      </c>
      <c r="Y27" s="485">
        <f ca="1">IF(X27&lt;&gt;"",ABS(MIN(-0.75*('CDO Bespoke'!Q28)+'CDO Bespoke'!T28,0)),"")</f>
        <v>1.1879701496762969</v>
      </c>
      <c r="Z27" s="485">
        <f t="shared" ca="1" si="2"/>
        <v>6.8595103540831648E-3</v>
      </c>
      <c r="AA27" s="485">
        <f t="shared" ca="1" si="3"/>
        <v>0</v>
      </c>
      <c r="AB27" s="484">
        <f ca="1">IF('CDO Bespoke'!O28&lt;&gt;"",'CDO Bespoke'!O28,"")</f>
        <v>1.19482966003038</v>
      </c>
      <c r="AC27" s="485">
        <f ca="1">IF(AB27&lt;&gt;"",ABS(MIN(-0.75*('CDO Bespoke'!K28)+'CDO Bespoke'!T28,0)),"")</f>
        <v>0.25397368814804838</v>
      </c>
      <c r="AD27" s="485">
        <f t="shared" ca="1" si="4"/>
        <v>0.94085597188233172</v>
      </c>
      <c r="AE27" s="489">
        <f t="shared" ca="1" si="5"/>
        <v>0</v>
      </c>
      <c r="AF27" s="272"/>
      <c r="AG27" s="494" t="str">
        <f ca="1">IF('CDO Bespoke'!C52&lt;&gt;"",'CDO Bespoke'!C52,"")</f>
        <v>COMPAGNIE DE SAINT-GOBAIN</v>
      </c>
      <c r="AH27" s="496">
        <f ca="1"/>
        <v>-1.9096491069570121E-2</v>
      </c>
      <c r="AI27" s="585">
        <f ca="1"/>
        <v>-9.1540276789814357E-2</v>
      </c>
      <c r="AJ27" s="585">
        <f ca="1"/>
        <v>-0.36303946210902716</v>
      </c>
      <c r="AK27" s="585">
        <f ca="1"/>
        <v>3.1741473774704598</v>
      </c>
      <c r="AL27" s="497">
        <f ca="1"/>
        <v>0</v>
      </c>
      <c r="AM27" s="496">
        <f ca="1"/>
        <v>-4.0262077470321067E-4</v>
      </c>
      <c r="AN27" s="585">
        <f ca="1"/>
        <v>-1.8552630356993838E-3</v>
      </c>
      <c r="AO27" s="585">
        <f ca="1"/>
        <v>-8.2616089455006536E-3</v>
      </c>
      <c r="AP27" s="585">
        <f ca="1"/>
        <v>0.11711696675759664</v>
      </c>
      <c r="AQ27" s="497">
        <f ca="1"/>
        <v>0</v>
      </c>
      <c r="AR27" s="580"/>
      <c r="AS27" s="580"/>
      <c r="AT27" s="580"/>
      <c r="AU27" s="580"/>
      <c r="AV27" s="580"/>
      <c r="AW27" s="580"/>
      <c r="AX27" s="579"/>
    </row>
    <row r="28" spans="2:56">
      <c r="B28" s="539" t="s">
        <v>511</v>
      </c>
      <c r="C28" s="540" t="s">
        <v>66</v>
      </c>
      <c r="D28" s="540" t="s">
        <v>55</v>
      </c>
      <c r="E28" s="540" t="s">
        <v>647</v>
      </c>
      <c r="F28" s="540" t="s">
        <v>648</v>
      </c>
      <c r="G28" s="541">
        <v>0.01</v>
      </c>
      <c r="H28" s="541">
        <v>2.9420000000000002E-3</v>
      </c>
      <c r="I28" s="542">
        <v>0.4</v>
      </c>
      <c r="J28" s="602">
        <v>4</v>
      </c>
      <c r="K28" s="543">
        <v>2</v>
      </c>
      <c r="L28" s="272"/>
      <c r="M28" s="598" t="s">
        <v>677</v>
      </c>
      <c r="N28" s="599">
        <v>6</v>
      </c>
      <c r="P28" s="273"/>
      <c r="Q28" s="273"/>
      <c r="R28" s="273"/>
      <c r="S28" s="273"/>
      <c r="T28" s="576">
        <f ca="1"/>
        <v>5.0000000000000001E-3</v>
      </c>
      <c r="U28" s="573">
        <f ca="1"/>
        <v>20</v>
      </c>
      <c r="V28" s="576">
        <f t="shared" ca="1" si="0"/>
        <v>0</v>
      </c>
      <c r="W28" s="576">
        <f t="shared" ca="1" si="1"/>
        <v>0</v>
      </c>
      <c r="X28" s="484">
        <f ca="1">IF('CDO Bespoke'!O29&lt;&gt;"",'CDO Bespoke'!O29,"")</f>
        <v>1.1935203680678901</v>
      </c>
      <c r="Y28" s="485">
        <f ca="1">IF(X28&lt;&gt;"",ABS(MIN(-0.75*('CDO Bespoke'!Q29)+'CDO Bespoke'!T29,0)),"")</f>
        <v>1.1891505521473211</v>
      </c>
      <c r="Z28" s="485">
        <f t="shared" ca="1" si="2"/>
        <v>4.3698159205689535E-3</v>
      </c>
      <c r="AA28" s="485">
        <f t="shared" ca="1" si="3"/>
        <v>0</v>
      </c>
      <c r="AB28" s="484">
        <f ca="1">IF('CDO Bespoke'!O29&lt;&gt;"",'CDO Bespoke'!O29,"")</f>
        <v>1.1935203680678901</v>
      </c>
      <c r="AC28" s="485">
        <f ca="1">IF(AB28&lt;&gt;"",ABS(MIN(-0.75*('CDO Bespoke'!K29)+'CDO Bespoke'!T29,0)),"")</f>
        <v>0.31586314400195292</v>
      </c>
      <c r="AD28" s="485">
        <f t="shared" ca="1" si="4"/>
        <v>0.87765722406593716</v>
      </c>
      <c r="AE28" s="489">
        <f t="shared" ca="1" si="5"/>
        <v>0</v>
      </c>
      <c r="AF28" s="272"/>
      <c r="AG28" s="494" t="str">
        <f ca="1">IF('CDO Bespoke'!C53&lt;&gt;"",'CDO Bespoke'!C53,"")</f>
        <v>Continental Aktiengesellschaft</v>
      </c>
      <c r="AH28" s="496">
        <f ca="1"/>
        <v>3.3628861806356269E-3</v>
      </c>
      <c r="AI28" s="585">
        <f ca="1"/>
        <v>1.0527592070319614E-2</v>
      </c>
      <c r="AJ28" s="585">
        <f ca="1"/>
        <v>2.7756067270123808E-2</v>
      </c>
      <c r="AK28" s="585">
        <f ca="1"/>
        <v>0.85138062988043828</v>
      </c>
      <c r="AL28" s="497">
        <f ca="1"/>
        <v>0</v>
      </c>
      <c r="AM28" s="496">
        <f ca="1"/>
        <v>4.6279713603047945E-6</v>
      </c>
      <c r="AN28" s="585">
        <f ca="1"/>
        <v>2.5385271241486467E-5</v>
      </c>
      <c r="AO28" s="585">
        <f ca="1"/>
        <v>6.8379985921490638E-5</v>
      </c>
      <c r="AP28" s="585">
        <f ca="1"/>
        <v>0.1330125887651103</v>
      </c>
      <c r="AQ28" s="497">
        <f ca="1"/>
        <v>0</v>
      </c>
      <c r="AR28" s="580"/>
      <c r="AS28" s="580"/>
      <c r="AT28" s="604"/>
      <c r="AU28" s="580"/>
      <c r="AV28" s="580"/>
      <c r="AW28" s="580"/>
      <c r="AX28" s="579"/>
    </row>
    <row r="29" spans="2:56">
      <c r="B29" s="517" t="s">
        <v>511</v>
      </c>
      <c r="C29" s="518" t="s">
        <v>66</v>
      </c>
      <c r="D29" s="518" t="s">
        <v>57</v>
      </c>
      <c r="E29" s="518" t="s">
        <v>647</v>
      </c>
      <c r="F29" s="518" t="s">
        <v>648</v>
      </c>
      <c r="G29" s="525">
        <v>0.01</v>
      </c>
      <c r="H29" s="525">
        <v>4.9529999999999999E-3</v>
      </c>
      <c r="I29" s="527">
        <v>0.4</v>
      </c>
      <c r="J29" s="594">
        <v>4</v>
      </c>
      <c r="K29" s="519">
        <v>2</v>
      </c>
      <c r="L29" s="272"/>
      <c r="M29" s="596" t="s">
        <v>674</v>
      </c>
      <c r="N29" s="597">
        <v>7</v>
      </c>
      <c r="P29" s="273"/>
      <c r="Q29" s="273"/>
      <c r="R29" s="273"/>
      <c r="S29" s="273"/>
      <c r="T29" s="576">
        <f ca="1"/>
        <v>0.03</v>
      </c>
      <c r="U29" s="573">
        <f ca="1"/>
        <v>21</v>
      </c>
      <c r="V29" s="576">
        <f t="shared" ca="1" si="0"/>
        <v>0</v>
      </c>
      <c r="W29" s="576">
        <f t="shared" ca="1" si="1"/>
        <v>0</v>
      </c>
      <c r="X29" s="484">
        <f ca="1">IF('CDO Bespoke'!O30&lt;&gt;"",'CDO Bespoke'!O30,"")</f>
        <v>1.1935458406925701</v>
      </c>
      <c r="Y29" s="485">
        <f ca="1">IF(X29&lt;&gt;"",ABS(MIN(-0.75*('CDO Bespoke'!Q30)+'CDO Bespoke'!T30,0)),"")</f>
        <v>1.1891334422904116</v>
      </c>
      <c r="Z29" s="485">
        <f t="shared" ca="1" si="2"/>
        <v>4.4123984021584572E-3</v>
      </c>
      <c r="AA29" s="485">
        <f t="shared" ca="1" si="3"/>
        <v>0</v>
      </c>
      <c r="AB29" s="484">
        <f ca="1">IF('CDO Bespoke'!O30&lt;&gt;"",'CDO Bespoke'!O30,"")</f>
        <v>1.1935458406925701</v>
      </c>
      <c r="AC29" s="485">
        <f ca="1">IF(AB29&lt;&gt;"",ABS(MIN(-0.75*('CDO Bespoke'!K30)+'CDO Bespoke'!T30,0)),"")</f>
        <v>0.31503212513594964</v>
      </c>
      <c r="AD29" s="485">
        <f t="shared" ca="1" si="4"/>
        <v>0.8785137155566205</v>
      </c>
      <c r="AE29" s="489">
        <f t="shared" ca="1" si="5"/>
        <v>0</v>
      </c>
      <c r="AF29" s="272"/>
      <c r="AG29" s="494" t="str">
        <f ca="1">IF('CDO Bespoke'!C54&lt;&gt;"",'CDO Bespoke'!C54,"")</f>
        <v>Glencore International AG</v>
      </c>
      <c r="AH29" s="496">
        <f ca="1"/>
        <v>2.8454874601013813E-3</v>
      </c>
      <c r="AI29" s="585">
        <f ca="1"/>
        <v>8.1926043804525506E-3</v>
      </c>
      <c r="AJ29" s="585">
        <f ca="1"/>
        <v>1.9104576119977068E-2</v>
      </c>
      <c r="AK29" s="585">
        <f ca="1"/>
        <v>0.96405279739086858</v>
      </c>
      <c r="AL29" s="497">
        <f ca="1"/>
        <v>0</v>
      </c>
      <c r="AM29" s="496">
        <f ca="1"/>
        <v>-7.9158281700297817E-6</v>
      </c>
      <c r="AN29" s="585">
        <f ca="1"/>
        <v>-3.2733888419896745E-5</v>
      </c>
      <c r="AO29" s="585">
        <f ca="1"/>
        <v>-2.0751920576985577E-4</v>
      </c>
      <c r="AP29" s="585">
        <f ca="1"/>
        <v>0.13254366699786002</v>
      </c>
      <c r="AQ29" s="497">
        <f ca="1"/>
        <v>0</v>
      </c>
      <c r="AR29" s="580"/>
      <c r="AS29" s="580"/>
      <c r="AT29" s="580"/>
      <c r="AU29" s="580"/>
      <c r="AV29" s="580"/>
      <c r="AW29" s="580"/>
      <c r="AX29" s="579"/>
    </row>
    <row r="30" spans="2:56">
      <c r="B30" s="534" t="s">
        <v>511</v>
      </c>
      <c r="C30" s="535" t="s">
        <v>66</v>
      </c>
      <c r="D30" s="535" t="s">
        <v>59</v>
      </c>
      <c r="E30" s="535" t="s">
        <v>647</v>
      </c>
      <c r="F30" s="535" t="s">
        <v>648</v>
      </c>
      <c r="G30" s="536">
        <v>0.01</v>
      </c>
      <c r="H30" s="536">
        <v>7.0489999999999997E-3</v>
      </c>
      <c r="I30" s="537">
        <v>0.4</v>
      </c>
      <c r="J30" s="595">
        <v>4</v>
      </c>
      <c r="K30" s="538">
        <v>2</v>
      </c>
      <c r="L30" s="272"/>
      <c r="M30" s="587" t="s">
        <v>653</v>
      </c>
      <c r="N30" s="591">
        <v>7</v>
      </c>
      <c r="P30" s="273"/>
      <c r="Q30" s="273"/>
      <c r="R30" s="273"/>
      <c r="S30" s="273"/>
      <c r="T30" s="576">
        <f ca="1"/>
        <v>0.06</v>
      </c>
      <c r="U30" s="573">
        <f ca="1"/>
        <v>22</v>
      </c>
      <c r="V30" s="576">
        <f t="shared" ca="1" si="0"/>
        <v>0</v>
      </c>
      <c r="W30" s="576">
        <f t="shared" ca="1" si="1"/>
        <v>0</v>
      </c>
      <c r="X30" s="484">
        <f ca="1">IF('CDO Bespoke'!O31&lt;&gt;"",'CDO Bespoke'!O31,"")</f>
        <v>1.1953888514928499</v>
      </c>
      <c r="Y30" s="485">
        <f ca="1">IF(X30&lt;&gt;"",ABS(MIN(-0.75*('CDO Bespoke'!Q31)+'CDO Bespoke'!T31,0)),"")</f>
        <v>1.1870429139716236</v>
      </c>
      <c r="Z30" s="485">
        <f t="shared" ca="1" si="2"/>
        <v>8.3459375212262543E-3</v>
      </c>
      <c r="AA30" s="485">
        <f t="shared" ca="1" si="3"/>
        <v>0</v>
      </c>
      <c r="AB30" s="484">
        <f ca="1">IF('CDO Bespoke'!O31&lt;&gt;"",'CDO Bespoke'!O31,"")</f>
        <v>1.1953888514928499</v>
      </c>
      <c r="AC30" s="485">
        <f ca="1">IF(AB30&lt;&gt;"",ABS(MIN(-0.75*('CDO Bespoke'!K31)+'CDO Bespoke'!T31,0)),"")</f>
        <v>0.1937017356694487</v>
      </c>
      <c r="AD30" s="485">
        <f t="shared" ca="1" si="4"/>
        <v>1.0016871158234011</v>
      </c>
      <c r="AE30" s="489">
        <f t="shared" ca="1" si="5"/>
        <v>0</v>
      </c>
      <c r="AF30" s="272"/>
      <c r="AG30" s="494" t="str">
        <f ca="1">IF('CDO Bespoke'!C55&lt;&gt;"",'CDO Bespoke'!C55,"")</f>
        <v>GSK PLC</v>
      </c>
      <c r="AH30" s="496">
        <f ca="1"/>
        <v>2.8283095709902284E-3</v>
      </c>
      <c r="AI30" s="585">
        <f ca="1"/>
        <v>8.4232903108105717E-3</v>
      </c>
      <c r="AJ30" s="585">
        <f ca="1"/>
        <v>2.2486410070632346E-2</v>
      </c>
      <c r="AK30" s="585">
        <f ca="1"/>
        <v>0.14937274807058643</v>
      </c>
      <c r="AL30" s="497">
        <f ca="1"/>
        <v>0</v>
      </c>
      <c r="AM30" s="496">
        <f ca="1"/>
        <v>4.5910729079903789E-5</v>
      </c>
      <c r="AN30" s="585">
        <f ca="1"/>
        <v>2.1348458894947242E-4</v>
      </c>
      <c r="AO30" s="585">
        <f ca="1"/>
        <v>9.7975251112519812E-4</v>
      </c>
      <c r="AP30" s="585">
        <f ca="1"/>
        <v>6.8785341160499877E-2</v>
      </c>
      <c r="AQ30" s="497">
        <f ca="1"/>
        <v>0</v>
      </c>
      <c r="AR30" s="580"/>
      <c r="AS30" s="580"/>
      <c r="AT30" s="580"/>
      <c r="AU30" s="580"/>
      <c r="AV30" s="580"/>
      <c r="AW30" s="580"/>
      <c r="AX30" s="579"/>
    </row>
    <row r="31" spans="2:56">
      <c r="B31" s="539" t="s">
        <v>529</v>
      </c>
      <c r="C31" s="540" t="s">
        <v>66</v>
      </c>
      <c r="D31" s="540" t="s">
        <v>55</v>
      </c>
      <c r="E31" s="540" t="s">
        <v>649</v>
      </c>
      <c r="F31" s="540" t="s">
        <v>675</v>
      </c>
      <c r="G31" s="541">
        <v>0.01</v>
      </c>
      <c r="H31" s="541">
        <v>3.0409999999999999E-3</v>
      </c>
      <c r="I31" s="542">
        <v>0.4</v>
      </c>
      <c r="J31" s="602">
        <v>4</v>
      </c>
      <c r="K31" s="543">
        <v>3</v>
      </c>
      <c r="L31" s="272"/>
      <c r="M31" s="598" t="s">
        <v>690</v>
      </c>
      <c r="N31" s="599">
        <v>7</v>
      </c>
      <c r="P31" s="273"/>
      <c r="Q31" s="273"/>
      <c r="R31" s="273"/>
      <c r="S31" s="273"/>
      <c r="T31" s="576">
        <f ca="1"/>
        <v>0.06</v>
      </c>
      <c r="U31" s="573">
        <f ca="1"/>
        <v>23</v>
      </c>
      <c r="V31" s="576">
        <f t="shared" ca="1" si="0"/>
        <v>0</v>
      </c>
      <c r="W31" s="576">
        <f t="shared" ca="1" si="1"/>
        <v>0</v>
      </c>
      <c r="X31" s="484">
        <f ca="1">IF('CDO Bespoke'!O32&lt;&gt;"",'CDO Bespoke'!O32,"")</f>
        <v>1.1935752032463101</v>
      </c>
      <c r="Y31" s="485">
        <f ca="1">IF(X31&lt;&gt;"",ABS(MIN(-0.75*('CDO Bespoke'!Q32)+'CDO Bespoke'!T32,0)),"")</f>
        <v>1.1891135222435627</v>
      </c>
      <c r="Z31" s="485">
        <f t="shared" ca="1" si="2"/>
        <v>4.461681002747353E-3</v>
      </c>
      <c r="AA31" s="485">
        <f t="shared" ca="1" si="3"/>
        <v>0</v>
      </c>
      <c r="AB31" s="484">
        <f ca="1">IF('CDO Bespoke'!O32&lt;&gt;"",'CDO Bespoke'!O32,"")</f>
        <v>1.1935752032463101</v>
      </c>
      <c r="AC31" s="485">
        <f ca="1">IF(AB31&lt;&gt;"",ABS(MIN(-0.75*('CDO Bespoke'!K32)+'CDO Bespoke'!T32,0)),"")</f>
        <v>0.3140629141086797</v>
      </c>
      <c r="AD31" s="485">
        <f t="shared" ca="1" si="4"/>
        <v>0.87951228913763035</v>
      </c>
      <c r="AE31" s="489">
        <f t="shared" ca="1" si="5"/>
        <v>0</v>
      </c>
      <c r="AF31" s="272"/>
      <c r="AG31" s="494" t="str">
        <f ca="1">IF('CDO Bespoke'!C56&lt;&gt;"",'CDO Bespoke'!C56,"")</f>
        <v>Heidelberg Materials AG</v>
      </c>
      <c r="AH31" s="496">
        <f ca="1"/>
        <v>3.7100341210294374E-3</v>
      </c>
      <c r="AI31" s="585">
        <f ca="1"/>
        <v>1.207363146016327E-2</v>
      </c>
      <c r="AJ31" s="585">
        <f ca="1"/>
        <v>3.3468038940220879E-2</v>
      </c>
      <c r="AK31" s="585">
        <f ca="1"/>
        <v>0.75757615958016444</v>
      </c>
      <c r="AL31" s="497">
        <f ca="1"/>
        <v>0</v>
      </c>
      <c r="AM31" s="496">
        <f ca="1"/>
        <v>1.5166255769999415E-5</v>
      </c>
      <c r="AN31" s="585">
        <f ca="1"/>
        <v>7.4204161173074476E-5</v>
      </c>
      <c r="AO31" s="585">
        <f ca="1"/>
        <v>3.0082725210006482E-4</v>
      </c>
      <c r="AP31" s="585">
        <f ca="1"/>
        <v>0.13344432973812009</v>
      </c>
      <c r="AQ31" s="497">
        <f ca="1"/>
        <v>0</v>
      </c>
      <c r="AR31" s="580"/>
      <c r="AS31" s="580"/>
      <c r="AT31" s="580"/>
      <c r="AU31" s="580"/>
      <c r="AV31" s="580"/>
      <c r="AW31" s="580"/>
      <c r="AX31" s="579"/>
    </row>
    <row r="32" spans="2:56">
      <c r="B32" s="517" t="s">
        <v>529</v>
      </c>
      <c r="C32" s="518" t="s">
        <v>66</v>
      </c>
      <c r="D32" s="518" t="s">
        <v>57</v>
      </c>
      <c r="E32" s="518" t="s">
        <v>649</v>
      </c>
      <c r="F32" s="518" t="s">
        <v>675</v>
      </c>
      <c r="G32" s="525">
        <v>0.01</v>
      </c>
      <c r="H32" s="525">
        <v>5.1590000000000004E-3</v>
      </c>
      <c r="I32" s="527">
        <v>0.4</v>
      </c>
      <c r="J32" s="594">
        <v>4</v>
      </c>
      <c r="K32" s="519">
        <v>3</v>
      </c>
      <c r="L32" s="272"/>
      <c r="M32" s="600" t="s">
        <v>691</v>
      </c>
      <c r="N32" s="601">
        <v>8</v>
      </c>
      <c r="P32" s="273"/>
      <c r="Q32" s="273"/>
      <c r="R32" s="273"/>
      <c r="S32" s="273"/>
      <c r="T32" s="576">
        <f ca="1"/>
        <v>0.03</v>
      </c>
      <c r="U32" s="573">
        <f ca="1"/>
        <v>24</v>
      </c>
      <c r="V32" s="576">
        <f t="shared" ca="1" si="0"/>
        <v>0</v>
      </c>
      <c r="W32" s="576">
        <f t="shared" ca="1" si="1"/>
        <v>0</v>
      </c>
      <c r="X32" s="484">
        <f ca="1">IF('CDO Bespoke'!O33&lt;&gt;"",'CDO Bespoke'!O33,"")</f>
        <v>1.19421377669364</v>
      </c>
      <c r="Y32" s="485">
        <f ca="1">IF(X32&lt;&gt;"",ABS(MIN(-0.75*('CDO Bespoke'!Q33)+'CDO Bespoke'!T33,0)),"")</f>
        <v>1.1886179462263353</v>
      </c>
      <c r="Z32" s="485">
        <f t="shared" ca="1" si="2"/>
        <v>5.5958304673047188E-3</v>
      </c>
      <c r="AA32" s="485">
        <f t="shared" ca="1" si="3"/>
        <v>0</v>
      </c>
      <c r="AB32" s="484">
        <f ca="1">IF('CDO Bespoke'!O33&lt;&gt;"",'CDO Bespoke'!O33,"")</f>
        <v>1.19421377669364</v>
      </c>
      <c r="AC32" s="485">
        <f ca="1">IF(AB32&lt;&gt;"",ABS(MIN(-0.75*('CDO Bespoke'!K33)+'CDO Bespoke'!T33,0)),"")</f>
        <v>0.28924816463659753</v>
      </c>
      <c r="AD32" s="485">
        <f t="shared" ca="1" si="4"/>
        <v>0.90496561205704251</v>
      </c>
      <c r="AE32" s="489">
        <f t="shared" ca="1" si="5"/>
        <v>0</v>
      </c>
      <c r="AF32" s="272"/>
      <c r="AG32" s="494" t="str">
        <f ca="1">IF('CDO Bespoke'!C57&lt;&gt;"",'CDO Bespoke'!C57,"")</f>
        <v>Holcim AG</v>
      </c>
      <c r="AH32" s="496">
        <f ca="1"/>
        <v>3.718457450840873E-3</v>
      </c>
      <c r="AI32" s="585">
        <f ca="1"/>
        <v>1.1967320150407801E-2</v>
      </c>
      <c r="AJ32" s="585">
        <f ca="1"/>
        <v>3.3247770651056996E-2</v>
      </c>
      <c r="AK32" s="585">
        <f ca="1"/>
        <v>0.59391584845025491</v>
      </c>
      <c r="AL32" s="497">
        <f ca="1"/>
        <v>0</v>
      </c>
      <c r="AM32" s="496">
        <f ca="1"/>
        <v>3.4778295870258047E-5</v>
      </c>
      <c r="AN32" s="585">
        <f ca="1"/>
        <v>1.6480441098008086E-4</v>
      </c>
      <c r="AO32" s="585">
        <f ca="1"/>
        <v>6.6516544902032321E-4</v>
      </c>
      <c r="AP32" s="585">
        <f ca="1"/>
        <v>0.13465385161671015</v>
      </c>
      <c r="AQ32" s="497">
        <f ca="1"/>
        <v>0</v>
      </c>
      <c r="AR32" s="580"/>
      <c r="AS32" s="580"/>
      <c r="AT32" s="580"/>
      <c r="AU32" s="580"/>
      <c r="AV32" s="580"/>
      <c r="AW32" s="580"/>
      <c r="AX32" s="579"/>
    </row>
    <row r="33" spans="2:50" ht="12" thickBot="1">
      <c r="B33" s="534" t="s">
        <v>529</v>
      </c>
      <c r="C33" s="535" t="s">
        <v>66</v>
      </c>
      <c r="D33" s="535" t="s">
        <v>59</v>
      </c>
      <c r="E33" s="535" t="s">
        <v>649</v>
      </c>
      <c r="F33" s="535" t="s">
        <v>675</v>
      </c>
      <c r="G33" s="536">
        <v>0.01</v>
      </c>
      <c r="H33" s="536">
        <v>6.8450000000000004E-3</v>
      </c>
      <c r="I33" s="537">
        <v>0.4</v>
      </c>
      <c r="J33" s="595">
        <v>4</v>
      </c>
      <c r="K33" s="538">
        <v>3</v>
      </c>
      <c r="L33" s="272"/>
      <c r="M33" s="589" t="s">
        <v>693</v>
      </c>
      <c r="N33" s="592">
        <v>16</v>
      </c>
      <c r="P33" s="273"/>
      <c r="Q33" s="273"/>
      <c r="R33" s="273"/>
      <c r="S33" s="273"/>
      <c r="T33" s="576">
        <f ca="1"/>
        <v>0.06</v>
      </c>
      <c r="U33" s="573">
        <f ca="1"/>
        <v>25</v>
      </c>
      <c r="V33" s="576">
        <f t="shared" ca="1" si="0"/>
        <v>0</v>
      </c>
      <c r="W33" s="576">
        <f t="shared" ca="1" si="1"/>
        <v>0</v>
      </c>
      <c r="X33" s="484">
        <f ca="1">IF('CDO Bespoke'!O34&lt;&gt;"",'CDO Bespoke'!O34,"")</f>
        <v>1.19548923248878</v>
      </c>
      <c r="Y33" s="485">
        <f ca="1">IF(X33&lt;&gt;"",ABS(MIN(-0.75*('CDO Bespoke'!Q34)+'CDO Bespoke'!T34,0)),"")</f>
        <v>1.1867856268093591</v>
      </c>
      <c r="Z33" s="485">
        <f t="shared" ca="1" si="2"/>
        <v>8.7036056794209671E-3</v>
      </c>
      <c r="AA33" s="485">
        <f t="shared" ca="1" si="3"/>
        <v>0</v>
      </c>
      <c r="AB33" s="484">
        <f ca="1">IF('CDO Bespoke'!O34&lt;&gt;"",'CDO Bespoke'!O34,"")</f>
        <v>1.19548923248878</v>
      </c>
      <c r="AC33" s="485">
        <f ca="1">IF(AB33&lt;&gt;"",ABS(MIN(-0.75*('CDO Bespoke'!K34)+'CDO Bespoke'!T34,0)),"")</f>
        <v>0.17349491431973174</v>
      </c>
      <c r="AD33" s="485">
        <f t="shared" ca="1" si="4"/>
        <v>1.0219943181690483</v>
      </c>
      <c r="AE33" s="489">
        <f t="shared" ca="1" si="5"/>
        <v>0</v>
      </c>
      <c r="AF33" s="272"/>
      <c r="AG33" s="494" t="str">
        <f ca="1">IF('CDO Bespoke'!C58&lt;&gt;"",'CDO Bespoke'!C58,"")</f>
        <v>DSM B.V</v>
      </c>
      <c r="AH33" s="496">
        <f ca="1"/>
        <v>2.4863334402436266E-3</v>
      </c>
      <c r="AI33" s="585">
        <f ca="1"/>
        <v>7.1910259602514515E-3</v>
      </c>
      <c r="AJ33" s="585">
        <f ca="1"/>
        <v>1.8757417070691673E-2</v>
      </c>
      <c r="AK33" s="585">
        <f ca="1"/>
        <v>0.10286415470073251</v>
      </c>
      <c r="AL33" s="497">
        <f ca="1"/>
        <v>0</v>
      </c>
      <c r="AM33" s="496">
        <f ca="1"/>
        <v>9.9147825599610329E-5</v>
      </c>
      <c r="AN33" s="585">
        <f ca="1"/>
        <v>4.6048447260096936E-4</v>
      </c>
      <c r="AO33" s="585">
        <f ca="1"/>
        <v>2.1236052048304033E-3</v>
      </c>
      <c r="AP33" s="585">
        <f ca="1"/>
        <v>0.13794775211210947</v>
      </c>
      <c r="AQ33" s="497">
        <f ca="1"/>
        <v>0</v>
      </c>
      <c r="AR33" s="580"/>
      <c r="AS33" s="580"/>
      <c r="AT33" s="580"/>
      <c r="AU33" s="580"/>
      <c r="AV33" s="580"/>
      <c r="AW33" s="580"/>
      <c r="AX33" s="579"/>
    </row>
    <row r="34" spans="2:50">
      <c r="B34" s="539" t="s">
        <v>611</v>
      </c>
      <c r="C34" s="540" t="s">
        <v>66</v>
      </c>
      <c r="D34" s="540" t="s">
        <v>55</v>
      </c>
      <c r="E34" s="540" t="s">
        <v>649</v>
      </c>
      <c r="F34" s="540" t="s">
        <v>648</v>
      </c>
      <c r="G34" s="541">
        <v>0.01</v>
      </c>
      <c r="H34" s="541">
        <v>9.8239999999999994E-3</v>
      </c>
      <c r="I34" s="542">
        <v>0.4</v>
      </c>
      <c r="J34" s="602">
        <v>4</v>
      </c>
      <c r="K34" s="543">
        <v>4</v>
      </c>
      <c r="L34" s="272"/>
      <c r="M34" s="272" t="s">
        <v>75</v>
      </c>
      <c r="P34" s="273"/>
      <c r="Q34" s="273"/>
      <c r="R34" s="273"/>
      <c r="S34" s="273"/>
      <c r="T34" s="576">
        <f ca="1"/>
        <v>0.06</v>
      </c>
      <c r="U34" s="573">
        <f ca="1"/>
        <v>26</v>
      </c>
      <c r="V34" s="576">
        <f t="shared" ca="1" si="0"/>
        <v>0</v>
      </c>
      <c r="W34" s="576">
        <f t="shared" ca="1" si="1"/>
        <v>0</v>
      </c>
      <c r="X34" s="484">
        <f ca="1">IF('CDO Bespoke'!O35&lt;&gt;"",'CDO Bespoke'!O35,"")</f>
        <v>1.19548537770432</v>
      </c>
      <c r="Y34" s="485">
        <f ca="1">IF(X34&lt;&gt;"",ABS(MIN(-0.75*('CDO Bespoke'!Q35)+'CDO Bespoke'!T35,0)),"")</f>
        <v>1.1867966350948453</v>
      </c>
      <c r="Z34" s="485">
        <f t="shared" ca="1" si="2"/>
        <v>8.688742609474609E-3</v>
      </c>
      <c r="AA34" s="485">
        <f t="shared" ca="1" si="3"/>
        <v>0</v>
      </c>
      <c r="AB34" s="484">
        <f ca="1">IF('CDO Bespoke'!O35&lt;&gt;"",'CDO Bespoke'!O35,"")</f>
        <v>1.19548537770432</v>
      </c>
      <c r="AC34" s="485">
        <f ca="1">IF(AB34&lt;&gt;"",ABS(MIN(-0.75*('CDO Bespoke'!K35)+'CDO Bespoke'!T35,0)),"")</f>
        <v>0.17440546438500207</v>
      </c>
      <c r="AD34" s="485">
        <f t="shared" ca="1" si="4"/>
        <v>1.0210799133193178</v>
      </c>
      <c r="AE34" s="489">
        <f t="shared" ca="1" si="5"/>
        <v>0</v>
      </c>
      <c r="AF34" s="272"/>
      <c r="AG34" s="494" t="str">
        <f ca="1">IF('CDO Bespoke'!C59&lt;&gt;"",'CDO Bespoke'!C59,"")</f>
        <v>L'AIR LIQUIDE SOCIETE ANONYME POUR L'ETUDE ET L'EXPLOITATION DES PROCEDES GEORGES CLAUDE</v>
      </c>
      <c r="AH34" s="496">
        <f ca="1"/>
        <v>2.4925829400501698E-3</v>
      </c>
      <c r="AI34" s="585">
        <f ca="1"/>
        <v>7.2046637400458025E-3</v>
      </c>
      <c r="AJ34" s="585">
        <f ca="1"/>
        <v>1.8820353400172962E-2</v>
      </c>
      <c r="AK34" s="585">
        <f ca="1"/>
        <v>0.10803452519025925</v>
      </c>
      <c r="AL34" s="497">
        <f ca="1"/>
        <v>0</v>
      </c>
      <c r="AM34" s="496">
        <f ca="1"/>
        <v>9.8332313460541831E-5</v>
      </c>
      <c r="AN34" s="585">
        <f ca="1"/>
        <v>4.5673944551877232E-4</v>
      </c>
      <c r="AO34" s="585">
        <f ca="1"/>
        <v>2.1049242979798155E-3</v>
      </c>
      <c r="AP34" s="585">
        <f ca="1"/>
        <v>0.13791403474218006</v>
      </c>
      <c r="AQ34" s="497">
        <f ca="1"/>
        <v>0</v>
      </c>
      <c r="AR34" s="580"/>
      <c r="AS34" s="580"/>
      <c r="AT34" s="580"/>
      <c r="AU34" s="580"/>
      <c r="AV34" s="580"/>
      <c r="AW34" s="580"/>
      <c r="AX34" s="579"/>
    </row>
    <row r="35" spans="2:50">
      <c r="B35" s="517" t="s">
        <v>611</v>
      </c>
      <c r="C35" s="518" t="s">
        <v>66</v>
      </c>
      <c r="D35" s="518" t="s">
        <v>57</v>
      </c>
      <c r="E35" s="518" t="s">
        <v>649</v>
      </c>
      <c r="F35" s="518" t="s">
        <v>648</v>
      </c>
      <c r="G35" s="525">
        <v>0.01</v>
      </c>
      <c r="H35" s="525">
        <v>1.4659E-2</v>
      </c>
      <c r="I35" s="527">
        <v>0.4</v>
      </c>
      <c r="J35" s="594">
        <v>4</v>
      </c>
      <c r="K35" s="519">
        <v>4</v>
      </c>
      <c r="L35" s="272"/>
      <c r="M35" s="272"/>
      <c r="P35" s="273"/>
      <c r="Q35" s="273"/>
      <c r="R35" s="273"/>
      <c r="S35" s="273"/>
      <c r="T35" s="576">
        <f ca="1"/>
        <v>0.02</v>
      </c>
      <c r="U35" s="573">
        <f ca="1"/>
        <v>27</v>
      </c>
      <c r="V35" s="576">
        <f t="shared" ca="1" si="0"/>
        <v>0</v>
      </c>
      <c r="W35" s="576">
        <f t="shared" ca="1" si="1"/>
        <v>0</v>
      </c>
      <c r="X35" s="484">
        <f ca="1">IF('CDO Bespoke'!O36&lt;&gt;"",'CDO Bespoke'!O36,"")</f>
        <v>1.18800537691567</v>
      </c>
      <c r="Y35" s="485">
        <f ca="1">IF(X35&lt;&gt;"",ABS(MIN(-0.75*('CDO Bespoke'!Q36)+'CDO Bespoke'!T36,0)),"")</f>
        <v>1.1910343835337216</v>
      </c>
      <c r="Z35" s="485">
        <f t="shared" ca="1" si="2"/>
        <v>0</v>
      </c>
      <c r="AA35" s="485">
        <f t="shared" ca="1" si="3"/>
        <v>0</v>
      </c>
      <c r="AB35" s="484">
        <f ca="1">IF('CDO Bespoke'!O36&lt;&gt;"",'CDO Bespoke'!O36,"")</f>
        <v>1.18800537691567</v>
      </c>
      <c r="AC35" s="485">
        <f ca="1">IF(AB35&lt;&gt;"",ABS(MIN(-0.75*('CDO Bespoke'!K36)+'CDO Bespoke'!T36,0)),"")</f>
        <v>0.4064740252230622</v>
      </c>
      <c r="AD35" s="485">
        <f t="shared" ca="1" si="4"/>
        <v>0.78153135169260779</v>
      </c>
      <c r="AE35" s="489">
        <f t="shared" ca="1" si="5"/>
        <v>0</v>
      </c>
      <c r="AF35" s="272"/>
      <c r="AG35" s="494" t="str">
        <f ca="1">IF('CDO Bespoke'!C60&lt;&gt;"",'CDO Bespoke'!C60,"")</f>
        <v>LANXESS Aktiengesellschaft</v>
      </c>
      <c r="AH35" s="496">
        <f ca="1"/>
        <v>2.3938397808453971E-3</v>
      </c>
      <c r="AI35" s="585">
        <f ca="1"/>
        <v>7.5516983100154533E-3</v>
      </c>
      <c r="AJ35" s="585">
        <f ca="1"/>
        <v>1.3261723570412443E-2</v>
      </c>
      <c r="AK35" s="585">
        <f ca="1"/>
        <v>1.5018332270000379</v>
      </c>
      <c r="AL35" s="497">
        <f ca="1"/>
        <v>0</v>
      </c>
      <c r="AM35" s="496">
        <f ca="1"/>
        <v>-7.7492683051710864E-5</v>
      </c>
      <c r="AN35" s="585">
        <f ca="1"/>
        <v>-3.5858559117030175E-4</v>
      </c>
      <c r="AO35" s="585">
        <f ca="1"/>
        <v>-1.7705338112711244E-3</v>
      </c>
      <c r="AP35" s="585">
        <f ca="1"/>
        <v>0.12759794071784886</v>
      </c>
      <c r="AQ35" s="497">
        <f ca="1"/>
        <v>0</v>
      </c>
      <c r="AR35" s="580"/>
      <c r="AS35" s="580"/>
      <c r="AT35" s="580"/>
      <c r="AU35" s="580"/>
      <c r="AV35" s="580"/>
      <c r="AW35" s="580"/>
      <c r="AX35" s="579"/>
    </row>
    <row r="36" spans="2:50">
      <c r="B36" s="534" t="s">
        <v>611</v>
      </c>
      <c r="C36" s="535" t="s">
        <v>66</v>
      </c>
      <c r="D36" s="535" t="s">
        <v>59</v>
      </c>
      <c r="E36" s="535" t="s">
        <v>649</v>
      </c>
      <c r="F36" s="535" t="s">
        <v>648</v>
      </c>
      <c r="G36" s="536">
        <v>0.01</v>
      </c>
      <c r="H36" s="536">
        <v>1.8731999999999999E-2</v>
      </c>
      <c r="I36" s="537">
        <v>0.4</v>
      </c>
      <c r="J36" s="595">
        <v>4</v>
      </c>
      <c r="K36" s="538">
        <v>4</v>
      </c>
      <c r="L36" s="272"/>
      <c r="M36" s="272"/>
      <c r="P36" s="273"/>
      <c r="Q36" s="273"/>
      <c r="R36" s="273"/>
      <c r="S36" s="273"/>
      <c r="T36" s="576">
        <f ca="1"/>
        <v>0.02</v>
      </c>
      <c r="U36" s="573">
        <f ca="1"/>
        <v>28</v>
      </c>
      <c r="V36" s="576">
        <f t="shared" ca="1" si="0"/>
        <v>0</v>
      </c>
      <c r="W36" s="576">
        <f t="shared" ca="1" si="1"/>
        <v>0</v>
      </c>
      <c r="X36" s="484">
        <f ca="1">IF('CDO Bespoke'!O37&lt;&gt;"",'CDO Bespoke'!O37,"")</f>
        <v>1.19452791514679</v>
      </c>
      <c r="Y36" s="485">
        <f ca="1">IF(X36&lt;&gt;"",ABS(MIN(-0.75*('CDO Bespoke'!Q37)+'CDO Bespoke'!T37,0)),"")</f>
        <v>1.1883159741800362</v>
      </c>
      <c r="Z36" s="485">
        <f t="shared" ca="1" si="2"/>
        <v>6.211940966753815E-3</v>
      </c>
      <c r="AA36" s="485">
        <f t="shared" ca="1" si="3"/>
        <v>0</v>
      </c>
      <c r="AB36" s="484">
        <f ca="1">IF('CDO Bespoke'!O37&lt;&gt;"",'CDO Bespoke'!O37,"")</f>
        <v>1.19452791514679</v>
      </c>
      <c r="AC36" s="485">
        <f ca="1">IF(AB36&lt;&gt;"",ABS(MIN(-0.75*('CDO Bespoke'!K37)+'CDO Bespoke'!T37,0)),"")</f>
        <v>0.27329080199424421</v>
      </c>
      <c r="AD36" s="485">
        <f t="shared" ca="1" si="4"/>
        <v>0.92123711315254586</v>
      </c>
      <c r="AE36" s="489">
        <f t="shared" ca="1" si="5"/>
        <v>0</v>
      </c>
      <c r="AF36" s="272"/>
      <c r="AG36" s="494" t="str">
        <f ca="1">IF('CDO Bespoke'!C61&lt;&gt;"",'CDO Bespoke'!C61,"")</f>
        <v>LEONARDO SOCIETA' PER AZIONI</v>
      </c>
      <c r="AH36" s="496">
        <f ca="1"/>
        <v>3.4718445007797527E-3</v>
      </c>
      <c r="AI36" s="585">
        <f ca="1"/>
        <v>1.0827749460373681E-2</v>
      </c>
      <c r="AJ36" s="585">
        <f ca="1"/>
        <v>2.9593492500978869E-2</v>
      </c>
      <c r="AK36" s="585">
        <f ca="1"/>
        <v>0.55028130348078186</v>
      </c>
      <c r="AL36" s="497">
        <f ca="1"/>
        <v>0</v>
      </c>
      <c r="AM36" s="496">
        <f ca="1"/>
        <v>4.0417645470053332E-5</v>
      </c>
      <c r="AN36" s="585">
        <f ca="1"/>
        <v>1.9071807132002572E-4</v>
      </c>
      <c r="AO36" s="585">
        <f ca="1"/>
        <v>7.900640376902468E-4</v>
      </c>
      <c r="AP36" s="585">
        <f ca="1"/>
        <v>0.13505390384400007</v>
      </c>
      <c r="AQ36" s="497">
        <f ca="1"/>
        <v>0</v>
      </c>
      <c r="AR36" s="580"/>
      <c r="AS36" s="580"/>
      <c r="AT36" s="580"/>
      <c r="AU36" s="580"/>
      <c r="AV36" s="580"/>
      <c r="AW36" s="580"/>
      <c r="AX36" s="579"/>
    </row>
    <row r="37" spans="2:50">
      <c r="B37" s="539" t="s">
        <v>512</v>
      </c>
      <c r="C37" s="540" t="s">
        <v>66</v>
      </c>
      <c r="D37" s="540" t="s">
        <v>55</v>
      </c>
      <c r="E37" s="540" t="s">
        <v>649</v>
      </c>
      <c r="F37" s="540" t="s">
        <v>675</v>
      </c>
      <c r="G37" s="541">
        <v>0.01</v>
      </c>
      <c r="H37" s="541">
        <v>4.7670000000000004E-3</v>
      </c>
      <c r="I37" s="542">
        <v>0.4</v>
      </c>
      <c r="J37" s="602">
        <v>4</v>
      </c>
      <c r="K37" s="543">
        <v>5</v>
      </c>
      <c r="L37" s="272"/>
      <c r="M37" s="272"/>
      <c r="P37" s="273"/>
      <c r="Q37" s="273"/>
      <c r="R37" s="273"/>
      <c r="S37" s="273"/>
      <c r="T37" s="576">
        <f ca="1"/>
        <v>0.06</v>
      </c>
      <c r="U37" s="573">
        <f ca="1"/>
        <v>29</v>
      </c>
      <c r="V37" s="576">
        <f t="shared" ca="1" si="0"/>
        <v>0</v>
      </c>
      <c r="W37" s="576">
        <f t="shared" ca="1" si="1"/>
        <v>0</v>
      </c>
      <c r="X37" s="484">
        <f ca="1">IF('CDO Bespoke'!O38&lt;&gt;"",'CDO Bespoke'!O38,"")</f>
        <v>1.1948983699463001</v>
      </c>
      <c r="Y37" s="485">
        <f ca="1">IF(X37&lt;&gt;"",ABS(MIN(-0.75*('CDO Bespoke'!Q38)+'CDO Bespoke'!T38,0)),"")</f>
        <v>1.1878810441192651</v>
      </c>
      <c r="Z37" s="485">
        <f t="shared" ca="1" si="2"/>
        <v>7.0173258270349592E-3</v>
      </c>
      <c r="AA37" s="485">
        <f t="shared" ca="1" si="3"/>
        <v>0</v>
      </c>
      <c r="AB37" s="484">
        <f ca="1">IF('CDO Bespoke'!O38&lt;&gt;"",'CDO Bespoke'!O38,"")</f>
        <v>1.1948983699463001</v>
      </c>
      <c r="AC37" s="485">
        <f ca="1">IF(AB37&lt;&gt;"",ABS(MIN(-0.75*('CDO Bespoke'!K38)+'CDO Bespoke'!T38,0)),"")</f>
        <v>0.24877979770536235</v>
      </c>
      <c r="AD37" s="485">
        <f t="shared" ca="1" si="4"/>
        <v>0.94611857224093776</v>
      </c>
      <c r="AE37" s="489">
        <f t="shared" ca="1" si="5"/>
        <v>0</v>
      </c>
      <c r="AF37" s="272"/>
      <c r="AG37" s="494" t="str">
        <f ca="1">IF('CDO Bespoke'!C62&lt;&gt;"",'CDO Bespoke'!C62,"")</f>
        <v>Mercedes-Benz Group AG</v>
      </c>
      <c r="AH37" s="496">
        <f ca="1"/>
        <v>3.5173235701790873E-3</v>
      </c>
      <c r="AI37" s="585">
        <f ca="1"/>
        <v>1.1057458040308887E-2</v>
      </c>
      <c r="AJ37" s="585">
        <f ca="1"/>
        <v>3.0738491449966432E-2</v>
      </c>
      <c r="AK37" s="585">
        <f ca="1"/>
        <v>0.36117022432002877</v>
      </c>
      <c r="AL37" s="497">
        <f ca="1"/>
        <v>0</v>
      </c>
      <c r="AM37" s="496">
        <f ca="1"/>
        <v>6.3194488649290226E-5</v>
      </c>
      <c r="AN37" s="585">
        <f ca="1"/>
        <v>2.9564655345017121E-4</v>
      </c>
      <c r="AO37" s="585">
        <f ca="1"/>
        <v>1.3127581074898198E-3</v>
      </c>
      <c r="AP37" s="585">
        <f ca="1"/>
        <v>0.13612234686173963</v>
      </c>
      <c r="AQ37" s="497">
        <f ca="1"/>
        <v>0</v>
      </c>
      <c r="AR37" s="580"/>
      <c r="AS37" s="580"/>
      <c r="AT37" s="580"/>
      <c r="AU37" s="580"/>
      <c r="AV37" s="580"/>
      <c r="AW37" s="580"/>
      <c r="AX37" s="579"/>
    </row>
    <row r="38" spans="2:50">
      <c r="B38" s="517" t="s">
        <v>512</v>
      </c>
      <c r="C38" s="518" t="s">
        <v>66</v>
      </c>
      <c r="D38" s="518" t="s">
        <v>57</v>
      </c>
      <c r="E38" s="518" t="s">
        <v>649</v>
      </c>
      <c r="F38" s="518" t="s">
        <v>675</v>
      </c>
      <c r="G38" s="525">
        <v>0.01</v>
      </c>
      <c r="H38" s="525">
        <v>1.0057999999999999E-2</v>
      </c>
      <c r="I38" s="527">
        <v>0.4</v>
      </c>
      <c r="J38" s="594">
        <v>4</v>
      </c>
      <c r="K38" s="519">
        <v>5</v>
      </c>
      <c r="L38" s="272"/>
      <c r="M38" s="272"/>
      <c r="P38" s="273"/>
      <c r="Q38" s="273"/>
      <c r="R38" s="273"/>
      <c r="S38" s="273"/>
      <c r="T38" s="576">
        <f ca="1"/>
        <v>0.06</v>
      </c>
      <c r="U38" s="573">
        <f ca="1"/>
        <v>30</v>
      </c>
      <c r="V38" s="576">
        <f t="shared" ca="1" si="0"/>
        <v>0</v>
      </c>
      <c r="W38" s="576">
        <f t="shared" ca="1" si="1"/>
        <v>0</v>
      </c>
      <c r="X38" s="484">
        <f ca="1">IF('CDO Bespoke'!O39&lt;&gt;"",'CDO Bespoke'!O39,"")</f>
        <v>1.19130044529</v>
      </c>
      <c r="Y38" s="485">
        <f ca="1">IF(X38&lt;&gt;"",ABS(MIN(-0.75*('CDO Bespoke'!Q39)+'CDO Bespoke'!T39,0)),"")</f>
        <v>1.1902248998425982</v>
      </c>
      <c r="Z38" s="485">
        <f t="shared" ca="1" si="2"/>
        <v>1.0755454474018489E-3</v>
      </c>
      <c r="AA38" s="485">
        <f t="shared" ca="1" si="3"/>
        <v>0</v>
      </c>
      <c r="AB38" s="484">
        <f ca="1">IF('CDO Bespoke'!O39&lt;&gt;"",'CDO Bespoke'!O39,"")</f>
        <v>1.19130044529</v>
      </c>
      <c r="AC38" s="485">
        <f ca="1">IF(AB38&lt;&gt;"",ABS(MIN(-0.75*('CDO Bespoke'!K39)+'CDO Bespoke'!T39,0)),"")</f>
        <v>0.36645791075407602</v>
      </c>
      <c r="AD38" s="485">
        <f t="shared" ca="1" si="4"/>
        <v>0.82484253453592404</v>
      </c>
      <c r="AE38" s="489">
        <f t="shared" ca="1" si="5"/>
        <v>0</v>
      </c>
      <c r="AF38" s="272"/>
      <c r="AG38" s="494" t="str">
        <f ca="1">IF('CDO Bespoke'!C63&lt;&gt;"",'CDO Bespoke'!C63,"")</f>
        <v>PostNL N.V.</v>
      </c>
      <c r="AH38" s="496">
        <f ca="1"/>
        <v>3.5391414210383942E-3</v>
      </c>
      <c r="AI38" s="585">
        <f ca="1"/>
        <v>1.1956035860238856E-2</v>
      </c>
      <c r="AJ38" s="585">
        <f ca="1"/>
        <v>3.1864592260344438E-2</v>
      </c>
      <c r="AK38" s="585">
        <f ca="1"/>
        <v>1.0977760300701078</v>
      </c>
      <c r="AL38" s="497">
        <f ca="1"/>
        <v>0</v>
      </c>
      <c r="AM38" s="496">
        <f ca="1"/>
        <v>-2.6443437929971059E-5</v>
      </c>
      <c r="AN38" s="585">
        <f ca="1"/>
        <v>-1.1910598023013447E-4</v>
      </c>
      <c r="AO38" s="585">
        <f ca="1"/>
        <v>-6.2124698594987621E-4</v>
      </c>
      <c r="AP38" s="585">
        <f ca="1"/>
        <v>0.13081792806411002</v>
      </c>
      <c r="AQ38" s="497">
        <f ca="1"/>
        <v>0</v>
      </c>
      <c r="AR38" s="580"/>
      <c r="AS38" s="580"/>
      <c r="AT38" s="580"/>
      <c r="AU38" s="580"/>
      <c r="AV38" s="580"/>
      <c r="AW38" s="580"/>
      <c r="AX38" s="579"/>
    </row>
    <row r="39" spans="2:50">
      <c r="B39" s="534" t="s">
        <v>512</v>
      </c>
      <c r="C39" s="535" t="s">
        <v>66</v>
      </c>
      <c r="D39" s="535" t="s">
        <v>59</v>
      </c>
      <c r="E39" s="535" t="s">
        <v>649</v>
      </c>
      <c r="F39" s="535" t="s">
        <v>675</v>
      </c>
      <c r="G39" s="536">
        <v>0.01</v>
      </c>
      <c r="H39" s="536">
        <v>1.5502E-2</v>
      </c>
      <c r="I39" s="537">
        <v>0.4</v>
      </c>
      <c r="J39" s="595">
        <v>4</v>
      </c>
      <c r="K39" s="538">
        <v>5</v>
      </c>
      <c r="L39" s="272"/>
      <c r="M39" s="272"/>
      <c r="P39" s="273"/>
      <c r="Q39" s="273"/>
      <c r="R39" s="273"/>
      <c r="S39" s="273"/>
      <c r="T39" s="576">
        <f ca="1"/>
        <v>0.06</v>
      </c>
      <c r="U39" s="573">
        <f ca="1"/>
        <v>31</v>
      </c>
      <c r="V39" s="576">
        <f t="shared" ca="1" si="0"/>
        <v>0</v>
      </c>
      <c r="W39" s="576">
        <f t="shared" ca="1" si="1"/>
        <v>0</v>
      </c>
      <c r="X39" s="484">
        <f ca="1">IF('CDO Bespoke'!O40&lt;&gt;"",'CDO Bespoke'!O40,"")</f>
        <v>1.1945626510256999</v>
      </c>
      <c r="Y39" s="485">
        <f ca="1">IF(X39&lt;&gt;"",ABS(MIN(-0.75*('CDO Bespoke'!Q40)+'CDO Bespoke'!T40,0)),"")</f>
        <v>1.1882793580517756</v>
      </c>
      <c r="Z39" s="485">
        <f t="shared" ca="1" si="2"/>
        <v>6.2832929739242704E-3</v>
      </c>
      <c r="AA39" s="485">
        <f t="shared" ca="1" si="3"/>
        <v>0</v>
      </c>
      <c r="AB39" s="484">
        <f ca="1">IF('CDO Bespoke'!O40&lt;&gt;"",'CDO Bespoke'!O40,"")</f>
        <v>1.1945626510256999</v>
      </c>
      <c r="AC39" s="485">
        <f ca="1">IF(AB39&lt;&gt;"",ABS(MIN(-0.75*('CDO Bespoke'!K40)+'CDO Bespoke'!T40,0)),"")</f>
        <v>0.27130266496871969</v>
      </c>
      <c r="AD39" s="485">
        <f t="shared" ca="1" si="4"/>
        <v>0.92325998605698023</v>
      </c>
      <c r="AE39" s="489">
        <f t="shared" ca="1" si="5"/>
        <v>0</v>
      </c>
      <c r="AF39" s="272"/>
      <c r="AG39" s="494" t="str">
        <f ca="1">IF('CDO Bespoke'!C64&lt;&gt;"",'CDO Bespoke'!C64,"")</f>
        <v>RENTOKIL INITIAL PLC</v>
      </c>
      <c r="AH39" s="496">
        <f ca="1"/>
        <v>3.8129886803517365E-3</v>
      </c>
      <c r="AI39" s="585">
        <f ca="1"/>
        <v>1.2349110830589538E-2</v>
      </c>
      <c r="AJ39" s="585">
        <f ca="1"/>
        <v>3.4853262090850379E-2</v>
      </c>
      <c r="AK39" s="585">
        <f ca="1"/>
        <v>0.44193542626080884</v>
      </c>
      <c r="AL39" s="497">
        <f ca="1"/>
        <v>0</v>
      </c>
      <c r="AM39" s="496">
        <f ca="1"/>
        <v>5.2851395280009705E-5</v>
      </c>
      <c r="AN39" s="585">
        <f ca="1"/>
        <v>2.4816092165994008E-4</v>
      </c>
      <c r="AO39" s="585">
        <f ca="1"/>
        <v>1.0808050756799109E-3</v>
      </c>
      <c r="AP39" s="585">
        <f ca="1"/>
        <v>0.13551697996308021</v>
      </c>
      <c r="AQ39" s="497">
        <f ca="1"/>
        <v>0</v>
      </c>
      <c r="AR39" s="580"/>
      <c r="AS39" s="580"/>
      <c r="AT39" s="580"/>
      <c r="AU39" s="580"/>
      <c r="AV39" s="580"/>
      <c r="AW39" s="580"/>
      <c r="AX39" s="579"/>
    </row>
    <row r="40" spans="2:50">
      <c r="B40" s="539" t="s">
        <v>513</v>
      </c>
      <c r="C40" s="540" t="s">
        <v>66</v>
      </c>
      <c r="D40" s="540" t="s">
        <v>55</v>
      </c>
      <c r="E40" s="540" t="s">
        <v>649</v>
      </c>
      <c r="F40" s="540" t="s">
        <v>675</v>
      </c>
      <c r="G40" s="541">
        <v>0.01</v>
      </c>
      <c r="H40" s="541">
        <v>6.8230000000000001E-3</v>
      </c>
      <c r="I40" s="542">
        <v>0.4</v>
      </c>
      <c r="J40" s="602">
        <v>4</v>
      </c>
      <c r="K40" s="543">
        <v>6</v>
      </c>
      <c r="L40" s="272"/>
      <c r="M40" s="272"/>
      <c r="P40" s="273"/>
      <c r="Q40" s="273"/>
      <c r="R40" s="273"/>
      <c r="S40" s="273"/>
      <c r="T40" s="576">
        <f ca="1"/>
        <v>0.06</v>
      </c>
      <c r="U40" s="573">
        <f ca="1"/>
        <v>32</v>
      </c>
      <c r="V40" s="576">
        <f t="shared" ca="1" si="0"/>
        <v>0</v>
      </c>
      <c r="W40" s="576">
        <f t="shared" ca="1" si="1"/>
        <v>0</v>
      </c>
      <c r="X40" s="484">
        <f ca="1">IF('CDO Bespoke'!O41&lt;&gt;"",'CDO Bespoke'!O41,"")</f>
        <v>1.19519477738168</v>
      </c>
      <c r="Y40" s="485">
        <f ca="1">IF(X40&lt;&gt;"",ABS(MIN(-0.75*('CDO Bespoke'!Q41)+'CDO Bespoke'!T41,0)),"")</f>
        <v>1.1874309237297671</v>
      </c>
      <c r="Z40" s="485">
        <f t="shared" ca="1" si="2"/>
        <v>7.7638536519128998E-3</v>
      </c>
      <c r="AA40" s="485">
        <f t="shared" ca="1" si="3"/>
        <v>0</v>
      </c>
      <c r="AB40" s="484">
        <f ca="1">IF('CDO Bespoke'!O41&lt;&gt;"",'CDO Bespoke'!O41,"")</f>
        <v>1.19519477738168</v>
      </c>
      <c r="AC40" s="485">
        <f ca="1">IF(AB40&lt;&gt;"",ABS(MIN(-0.75*('CDO Bespoke'!K41)+'CDO Bespoke'!T41,0)),"")</f>
        <v>0.22082686466667856</v>
      </c>
      <c r="AD40" s="485">
        <f t="shared" ca="1" si="4"/>
        <v>0.97436791271500145</v>
      </c>
      <c r="AE40" s="489">
        <f t="shared" ca="1" si="5"/>
        <v>0</v>
      </c>
      <c r="AF40" s="272"/>
      <c r="AG40" s="494" t="str">
        <f ca="1">IF('CDO Bespoke'!C65&lt;&gt;"",'CDO Bespoke'!C65,"")</f>
        <v>SANOFI</v>
      </c>
      <c r="AH40" s="496">
        <f ca="1"/>
        <v>3.2789490200801907E-3</v>
      </c>
      <c r="AI40" s="585">
        <f ca="1"/>
        <v>1.0149142380955212E-2</v>
      </c>
      <c r="AJ40" s="585">
        <f ca="1"/>
        <v>2.7829154870540052E-2</v>
      </c>
      <c r="AK40" s="585">
        <f ca="1"/>
        <v>0.21882467486022961</v>
      </c>
      <c r="AL40" s="497">
        <f ca="1"/>
        <v>0</v>
      </c>
      <c r="AM40" s="496">
        <f ca="1"/>
        <v>4.0848292110276518E-5</v>
      </c>
      <c r="AN40" s="585">
        <f ca="1"/>
        <v>1.9032391366507334E-4</v>
      </c>
      <c r="AO40" s="585">
        <f ca="1"/>
        <v>8.6668974751489408E-4</v>
      </c>
      <c r="AP40" s="585">
        <f ca="1"/>
        <v>6.8510612618550251E-2</v>
      </c>
      <c r="AQ40" s="497">
        <f ca="1"/>
        <v>0</v>
      </c>
      <c r="AR40" s="580"/>
      <c r="AS40" s="580"/>
      <c r="AT40" s="580"/>
      <c r="AU40" s="580"/>
      <c r="AV40" s="580"/>
      <c r="AW40" s="580"/>
      <c r="AX40" s="579"/>
    </row>
    <row r="41" spans="2:50">
      <c r="B41" s="517" t="s">
        <v>513</v>
      </c>
      <c r="C41" s="518" t="s">
        <v>66</v>
      </c>
      <c r="D41" s="518" t="s">
        <v>57</v>
      </c>
      <c r="E41" s="518" t="s">
        <v>649</v>
      </c>
      <c r="F41" s="518" t="s">
        <v>675</v>
      </c>
      <c r="G41" s="525">
        <v>0.01</v>
      </c>
      <c r="H41" s="525">
        <v>1.3924000000000001E-2</v>
      </c>
      <c r="I41" s="527">
        <v>0.4</v>
      </c>
      <c r="J41" s="594">
        <v>4</v>
      </c>
      <c r="K41" s="519">
        <v>6</v>
      </c>
      <c r="L41" s="272"/>
      <c r="M41" s="272"/>
      <c r="P41" s="273"/>
      <c r="Q41" s="273"/>
      <c r="R41" s="273"/>
      <c r="S41" s="273"/>
      <c r="T41" s="576">
        <f ca="1"/>
        <v>0.06</v>
      </c>
      <c r="U41" s="573">
        <f ca="1"/>
        <v>33</v>
      </c>
      <c r="V41" s="576">
        <f t="shared" ref="V41:V72" ca="1" si="6">AA46*T41</f>
        <v>0</v>
      </c>
      <c r="W41" s="576">
        <f t="shared" ref="W41:W72" ca="1" si="7">AE46*T41</f>
        <v>0</v>
      </c>
      <c r="X41" s="484">
        <f ca="1">IF('CDO Bespoke'!O42&lt;&gt;"",'CDO Bespoke'!O42,"")</f>
        <v>1.19507445416665</v>
      </c>
      <c r="Y41" s="485">
        <f ca="1">IF(X41&lt;&gt;"",ABS(MIN(-0.75*('CDO Bespoke'!Q42)+'CDO Bespoke'!T42,0)),"")</f>
        <v>1.1876288529187027</v>
      </c>
      <c r="Z41" s="485">
        <f t="shared" ca="1" si="2"/>
        <v>7.4456012479473532E-3</v>
      </c>
      <c r="AA41" s="485">
        <f t="shared" ca="1" si="3"/>
        <v>0</v>
      </c>
      <c r="AB41" s="484">
        <f ca="1">IF('CDO Bespoke'!O42&lt;&gt;"",'CDO Bespoke'!O42,"")</f>
        <v>1.19507445416665</v>
      </c>
      <c r="AC41" s="485">
        <f ca="1">IF(AB41&lt;&gt;"",ABS(MIN(-0.75*('CDO Bespoke'!K42)+'CDO Bespoke'!T42,0)),"")</f>
        <v>0.23350522058030992</v>
      </c>
      <c r="AD41" s="485">
        <f t="shared" ca="1" si="4"/>
        <v>0.96156923358634017</v>
      </c>
      <c r="AE41" s="489">
        <f t="shared" ca="1" si="5"/>
        <v>0</v>
      </c>
      <c r="AF41" s="272"/>
      <c r="AG41" s="494" t="str">
        <f ca="1">IF('CDO Bespoke'!C66&lt;&gt;"",'CDO Bespoke'!C66,"")</f>
        <v>Siemens Aktiengesellschaft</v>
      </c>
      <c r="AH41" s="496">
        <f ca="1"/>
        <v>3.5559834810072743E-3</v>
      </c>
      <c r="AI41" s="585">
        <f ca="1"/>
        <v>1.1294387211036039E-2</v>
      </c>
      <c r="AJ41" s="585">
        <f ca="1"/>
        <v>3.1396739900158011E-2</v>
      </c>
      <c r="AK41" s="585">
        <f ca="1"/>
        <v>0.23132662886005129</v>
      </c>
      <c r="AL41" s="497">
        <f ca="1"/>
        <v>0</v>
      </c>
      <c r="AM41" s="496">
        <f ca="1"/>
        <v>3.9837983789939302E-5</v>
      </c>
      <c r="AN41" s="585">
        <f ca="1"/>
        <v>1.85746996079518E-4</v>
      </c>
      <c r="AO41" s="585">
        <f ca="1"/>
        <v>8.4564557561971065E-4</v>
      </c>
      <c r="AP41" s="585">
        <f ca="1"/>
        <v>6.842271521827481E-2</v>
      </c>
      <c r="AQ41" s="497">
        <f ca="1"/>
        <v>0</v>
      </c>
      <c r="AR41" s="580"/>
      <c r="AS41" s="580"/>
      <c r="AT41" s="580"/>
      <c r="AU41" s="580"/>
      <c r="AV41" s="580"/>
      <c r="AW41" s="580"/>
      <c r="AX41" s="579"/>
    </row>
    <row r="42" spans="2:50">
      <c r="B42" s="534" t="s">
        <v>513</v>
      </c>
      <c r="C42" s="535" t="s">
        <v>66</v>
      </c>
      <c r="D42" s="535" t="s">
        <v>59</v>
      </c>
      <c r="E42" s="535" t="s">
        <v>649</v>
      </c>
      <c r="F42" s="535" t="s">
        <v>675</v>
      </c>
      <c r="G42" s="536">
        <v>0.01</v>
      </c>
      <c r="H42" s="536">
        <v>2.0253E-2</v>
      </c>
      <c r="I42" s="537">
        <v>0.4</v>
      </c>
      <c r="J42" s="595">
        <v>4</v>
      </c>
      <c r="K42" s="538">
        <v>6</v>
      </c>
      <c r="L42" s="272"/>
      <c r="M42" s="272"/>
      <c r="P42" s="273"/>
      <c r="Q42" s="273"/>
      <c r="R42" s="273"/>
      <c r="S42" s="273"/>
      <c r="T42" s="576">
        <f ca="1"/>
        <v>0.03</v>
      </c>
      <c r="U42" s="573">
        <f ca="1"/>
        <v>34</v>
      </c>
      <c r="V42" s="576">
        <f t="shared" ca="1" si="6"/>
        <v>0</v>
      </c>
      <c r="W42" s="576">
        <f t="shared" ca="1" si="7"/>
        <v>0</v>
      </c>
      <c r="X42" s="484">
        <f ca="1">IF('CDO Bespoke'!O43&lt;&gt;"",'CDO Bespoke'!O43,"")</f>
        <v>1.1947991502469799</v>
      </c>
      <c r="Y42" s="485">
        <f ca="1">IF(X42&lt;&gt;"",ABS(MIN(-0.75*('CDO Bespoke'!Q43)+'CDO Bespoke'!T43,0)),"")</f>
        <v>1.1880083068418335</v>
      </c>
      <c r="Z42" s="485">
        <f t="shared" ca="1" si="2"/>
        <v>6.7908434051464628E-3</v>
      </c>
      <c r="AA42" s="485">
        <f t="shared" ca="1" si="3"/>
        <v>0</v>
      </c>
      <c r="AB42" s="484">
        <f ca="1">IF('CDO Bespoke'!O43&lt;&gt;"",'CDO Bespoke'!O43,"")</f>
        <v>1.1947991502469799</v>
      </c>
      <c r="AC42" s="485">
        <f ca="1">IF(AB42&lt;&gt;"",ABS(MIN(-0.75*('CDO Bespoke'!K43)+'CDO Bespoke'!T43,0)),"")</f>
        <v>0.25616854811454015</v>
      </c>
      <c r="AD42" s="485">
        <f t="shared" ca="1" si="4"/>
        <v>0.93863060213243976</v>
      </c>
      <c r="AE42" s="489">
        <f t="shared" ca="1" si="5"/>
        <v>0</v>
      </c>
      <c r="AF42" s="272"/>
      <c r="AG42" s="494" t="str">
        <f ca="1">IF('CDO Bespoke'!C67&lt;&gt;"",'CDO Bespoke'!C67,"")</f>
        <v>SMURFIT KAPPA ACQUISITIONS UNLIMITED COMPANY</v>
      </c>
      <c r="AH42" s="496">
        <f ca="1"/>
        <v>3.7069274305689959E-3</v>
      </c>
      <c r="AI42" s="585">
        <f ca="1"/>
        <v>1.1883533000967006E-2</v>
      </c>
      <c r="AJ42" s="585">
        <f ca="1"/>
        <v>3.3389277620532454E-2</v>
      </c>
      <c r="AK42" s="585">
        <f ca="1"/>
        <v>0.36061238805062956</v>
      </c>
      <c r="AL42" s="497">
        <f ca="1"/>
        <v>0</v>
      </c>
      <c r="AM42" s="496">
        <f ca="1"/>
        <v>6.2977287120652425E-5</v>
      </c>
      <c r="AN42" s="585">
        <f ca="1"/>
        <v>2.9474135325099904E-4</v>
      </c>
      <c r="AO42" s="585">
        <f ca="1"/>
        <v>1.3109583359705024E-3</v>
      </c>
      <c r="AP42" s="585">
        <f ca="1"/>
        <v>0.1360407048030001</v>
      </c>
      <c r="AQ42" s="497">
        <f ca="1"/>
        <v>0</v>
      </c>
      <c r="AR42" s="580"/>
      <c r="AS42" s="580"/>
      <c r="AT42" s="580"/>
      <c r="AU42" s="580"/>
      <c r="AV42" s="580"/>
      <c r="AW42" s="580"/>
      <c r="AX42" s="579"/>
    </row>
    <row r="43" spans="2:50">
      <c r="B43" s="539" t="s">
        <v>514</v>
      </c>
      <c r="C43" s="540" t="s">
        <v>66</v>
      </c>
      <c r="D43" s="540" t="s">
        <v>55</v>
      </c>
      <c r="E43" s="540" t="s">
        <v>647</v>
      </c>
      <c r="F43" s="540" t="s">
        <v>674</v>
      </c>
      <c r="G43" s="541">
        <v>0.01</v>
      </c>
      <c r="H43" s="541">
        <v>2.196E-3</v>
      </c>
      <c r="I43" s="542">
        <v>0.4</v>
      </c>
      <c r="J43" s="602">
        <v>7</v>
      </c>
      <c r="K43" s="543">
        <v>7</v>
      </c>
      <c r="L43" s="272"/>
      <c r="M43" s="272"/>
      <c r="P43" s="273"/>
      <c r="Q43" s="273"/>
      <c r="R43" s="273"/>
      <c r="S43" s="273"/>
      <c r="T43" s="576">
        <f ca="1"/>
        <v>0.03</v>
      </c>
      <c r="U43" s="573">
        <f ca="1"/>
        <v>35</v>
      </c>
      <c r="V43" s="576">
        <f t="shared" ca="1" si="6"/>
        <v>0</v>
      </c>
      <c r="W43" s="576">
        <f t="shared" ca="1" si="7"/>
        <v>0</v>
      </c>
      <c r="X43" s="484">
        <f ca="1">IF('CDO Bespoke'!O44&lt;&gt;"",'CDO Bespoke'!O44,"")</f>
        <v>1.19351969631266</v>
      </c>
      <c r="Y43" s="485">
        <f ca="1">IF(X43&lt;&gt;"",ABS(MIN(-0.75*('CDO Bespoke'!Q44)+'CDO Bespoke'!T44,0)),"")</f>
        <v>1.1891510012365707</v>
      </c>
      <c r="Z43" s="485">
        <f t="shared" ca="1" si="2"/>
        <v>4.3686950760892795E-3</v>
      </c>
      <c r="AA43" s="485">
        <f t="shared" ca="1" si="3"/>
        <v>0</v>
      </c>
      <c r="AB43" s="484">
        <f ca="1">IF('CDO Bespoke'!O44&lt;&gt;"",'CDO Bespoke'!O44,"")</f>
        <v>1.19351969631266</v>
      </c>
      <c r="AC43" s="485">
        <f ca="1">IF(AB43&lt;&gt;"",ABS(MIN(-0.75*('CDO Bespoke'!K44)+'CDO Bespoke'!T44,0)),"")</f>
        <v>0.31588493812224044</v>
      </c>
      <c r="AD43" s="485">
        <f t="shared" ca="1" si="4"/>
        <v>0.87763475819041958</v>
      </c>
      <c r="AE43" s="489">
        <f t="shared" ca="1" si="5"/>
        <v>0</v>
      </c>
      <c r="AF43" s="272"/>
      <c r="AG43" s="494" t="str">
        <f ca="1">IF('CDO Bespoke'!C68&lt;&gt;"",'CDO Bespoke'!C68,"")</f>
        <v>Solvay</v>
      </c>
      <c r="AH43" s="496">
        <f ca="1"/>
        <v>4.0340071705280423E-3</v>
      </c>
      <c r="AI43" s="585">
        <f ca="1"/>
        <v>1.3543319770104034E-2</v>
      </c>
      <c r="AJ43" s="585">
        <f ca="1"/>
        <v>3.8383017501031347E-2</v>
      </c>
      <c r="AK43" s="585">
        <f ca="1"/>
        <v>0.68963927617016196</v>
      </c>
      <c r="AL43" s="497">
        <f ca="1"/>
        <v>0</v>
      </c>
      <c r="AM43" s="496">
        <f ca="1"/>
        <v>2.2679430629855835E-5</v>
      </c>
      <c r="AN43" s="585">
        <f ca="1"/>
        <v>1.090502420099046E-4</v>
      </c>
      <c r="AO43" s="585">
        <f ca="1"/>
        <v>3.9414064122002615E-4</v>
      </c>
      <c r="AP43" s="585">
        <f ca="1"/>
        <v>0.13382921961020985</v>
      </c>
      <c r="AQ43" s="497">
        <f ca="1"/>
        <v>0</v>
      </c>
      <c r="AR43" s="580"/>
      <c r="AS43" s="580"/>
      <c r="AT43" s="580"/>
      <c r="AU43" s="580"/>
      <c r="AV43" s="580"/>
      <c r="AW43" s="580"/>
      <c r="AX43" s="579"/>
    </row>
    <row r="44" spans="2:50">
      <c r="B44" s="517" t="s">
        <v>514</v>
      </c>
      <c r="C44" s="518" t="s">
        <v>66</v>
      </c>
      <c r="D44" s="518" t="s">
        <v>57</v>
      </c>
      <c r="E44" s="518" t="s">
        <v>647</v>
      </c>
      <c r="F44" s="518" t="s">
        <v>674</v>
      </c>
      <c r="G44" s="525">
        <v>0.01</v>
      </c>
      <c r="H44" s="525">
        <v>3.117E-3</v>
      </c>
      <c r="I44" s="527">
        <v>0.4</v>
      </c>
      <c r="J44" s="594">
        <v>7</v>
      </c>
      <c r="K44" s="519">
        <v>7</v>
      </c>
      <c r="L44" s="272"/>
      <c r="M44" s="272"/>
      <c r="P44" s="273"/>
      <c r="Q44" s="273"/>
      <c r="R44" s="273"/>
      <c r="S44" s="273"/>
      <c r="T44" s="576">
        <f ca="1"/>
        <v>0.06</v>
      </c>
      <c r="U44" s="573">
        <f ca="1"/>
        <v>36</v>
      </c>
      <c r="V44" s="576">
        <f t="shared" ca="1" si="6"/>
        <v>0</v>
      </c>
      <c r="W44" s="576">
        <f t="shared" ca="1" si="7"/>
        <v>0</v>
      </c>
      <c r="X44" s="484">
        <f ca="1">IF('CDO Bespoke'!O45&lt;&gt;"",'CDO Bespoke'!O45,"")</f>
        <v>1.19301110937059</v>
      </c>
      <c r="Y44" s="485">
        <f ca="1">IF(X44&lt;&gt;"",ABS(MIN(-0.75*('CDO Bespoke'!Q45)+'CDO Bespoke'!T45,0)),"")</f>
        <v>1.189462910718283</v>
      </c>
      <c r="Z44" s="485">
        <f t="shared" ca="1" si="2"/>
        <v>3.5481986523069331E-3</v>
      </c>
      <c r="AA44" s="485">
        <f t="shared" ca="1" si="3"/>
        <v>0</v>
      </c>
      <c r="AB44" s="484">
        <f ca="1">IF('CDO Bespoke'!O45&lt;&gt;"",'CDO Bespoke'!O45,"")</f>
        <v>1.19301110937059</v>
      </c>
      <c r="AC44" s="485">
        <f ca="1">IF(AB44&lt;&gt;"",ABS(MIN(-0.75*('CDO Bespoke'!K45)+'CDO Bespoke'!T45,0)),"")</f>
        <v>0.33082597851985557</v>
      </c>
      <c r="AD44" s="485">
        <f t="shared" ca="1" si="4"/>
        <v>0.86218513085073445</v>
      </c>
      <c r="AE44" s="489">
        <f t="shared" ca="1" si="5"/>
        <v>0</v>
      </c>
      <c r="AF44" s="272"/>
      <c r="AG44" s="494" t="str">
        <f ca="1">IF('CDO Bespoke'!C69&lt;&gt;"",'CDO Bespoke'!C69,"")</f>
        <v>Stellantis N.V.</v>
      </c>
      <c r="AH44" s="496">
        <f ca="1"/>
        <v>3.5616329707721661E-3</v>
      </c>
      <c r="AI44" s="585">
        <f ca="1"/>
        <v>1.1561880880472941E-2</v>
      </c>
      <c r="AJ44" s="585">
        <f ca="1"/>
        <v>3.1192885820985339E-2</v>
      </c>
      <c r="AK44" s="585">
        <f ca="1"/>
        <v>0.89455555035033996</v>
      </c>
      <c r="AL44" s="497">
        <f ca="1"/>
        <v>0</v>
      </c>
      <c r="AM44" s="496">
        <f ca="1"/>
        <v>-1.0768631699895059E-6</v>
      </c>
      <c r="AN44" s="585">
        <f ca="1"/>
        <v>-1.0480226400252923E-6</v>
      </c>
      <c r="AO44" s="585">
        <f ca="1"/>
        <v>-5.7334853700028235E-5</v>
      </c>
      <c r="AP44" s="585">
        <f ca="1"/>
        <v>0.13254328478547006</v>
      </c>
      <c r="AQ44" s="497">
        <f ca="1"/>
        <v>0</v>
      </c>
      <c r="AR44" s="580"/>
      <c r="AS44" s="580"/>
      <c r="AT44" s="580"/>
      <c r="AU44" s="580"/>
      <c r="AV44" s="580"/>
      <c r="AW44" s="580"/>
      <c r="AX44" s="579"/>
    </row>
    <row r="45" spans="2:50">
      <c r="B45" s="534" t="s">
        <v>514</v>
      </c>
      <c r="C45" s="535" t="s">
        <v>66</v>
      </c>
      <c r="D45" s="535" t="s">
        <v>59</v>
      </c>
      <c r="E45" s="535" t="s">
        <v>647</v>
      </c>
      <c r="F45" s="535" t="s">
        <v>674</v>
      </c>
      <c r="G45" s="536">
        <v>0.01</v>
      </c>
      <c r="H45" s="536">
        <v>4.3610000000000003E-3</v>
      </c>
      <c r="I45" s="537">
        <v>0.4</v>
      </c>
      <c r="J45" s="595">
        <v>7</v>
      </c>
      <c r="K45" s="538">
        <v>7</v>
      </c>
      <c r="L45" s="272"/>
      <c r="M45" s="272"/>
      <c r="P45" s="273"/>
      <c r="Q45" s="273"/>
      <c r="R45" s="273"/>
      <c r="S45" s="273"/>
      <c r="T45" s="576">
        <f ca="1"/>
        <v>0.06</v>
      </c>
      <c r="U45" s="573">
        <f ca="1"/>
        <v>37</v>
      </c>
      <c r="V45" s="576">
        <f t="shared" ca="1" si="6"/>
        <v>0</v>
      </c>
      <c r="W45" s="576">
        <f t="shared" ca="1" si="7"/>
        <v>0</v>
      </c>
      <c r="X45" s="484">
        <f ca="1">IF('CDO Bespoke'!O46&lt;&gt;"",'CDO Bespoke'!O46,"")</f>
        <v>1.1936479849942201</v>
      </c>
      <c r="Y45" s="485">
        <f ca="1">IF(X45&lt;&gt;"",ABS(MIN(-0.75*('CDO Bespoke'!Q46)+'CDO Bespoke'!T46,0)),"")</f>
        <v>1.1890632079105301</v>
      </c>
      <c r="Z45" s="485">
        <f t="shared" ca="1" si="2"/>
        <v>4.5847770836899837E-3</v>
      </c>
      <c r="AA45" s="485">
        <f t="shared" ca="1" si="3"/>
        <v>0</v>
      </c>
      <c r="AB45" s="484">
        <f ca="1">IF('CDO Bespoke'!O46&lt;&gt;"",'CDO Bespoke'!O46,"")</f>
        <v>1.1936479849942201</v>
      </c>
      <c r="AC45" s="485">
        <f ca="1">IF(AB45&lt;&gt;"",ABS(MIN(-0.75*('CDO Bespoke'!K46)+'CDO Bespoke'!T46,0)),"")</f>
        <v>0.31160646087065663</v>
      </c>
      <c r="AD45" s="485">
        <f t="shared" ca="1" si="4"/>
        <v>0.88204152412356351</v>
      </c>
      <c r="AE45" s="489">
        <f t="shared" ca="1" si="5"/>
        <v>0</v>
      </c>
      <c r="AF45" s="272"/>
      <c r="AG45" s="494" t="str">
        <f ca="1">IF('CDO Bespoke'!C70&lt;&gt;"",'CDO Bespoke'!C70,"")</f>
        <v>Stora Enso Oyj</v>
      </c>
      <c r="AH45" s="496">
        <f ca="1"/>
        <v>3.9392839701335447E-3</v>
      </c>
      <c r="AI45" s="585">
        <f ca="1"/>
        <v>1.3083694000437518E-2</v>
      </c>
      <c r="AJ45" s="585">
        <f ca="1"/>
        <v>3.6785439530007125E-2</v>
      </c>
      <c r="AK45" s="585">
        <f ca="1"/>
        <v>0.67012259455045964</v>
      </c>
      <c r="AL45" s="497">
        <f ca="1"/>
        <v>0</v>
      </c>
      <c r="AM45" s="496">
        <f ca="1"/>
        <v>2.3365878390208678E-5</v>
      </c>
      <c r="AN45" s="585">
        <f ca="1"/>
        <v>1.1216905983317538E-4</v>
      </c>
      <c r="AO45" s="585">
        <f ca="1"/>
        <v>4.0785862856999172E-4</v>
      </c>
      <c r="AP45" s="585">
        <f ca="1"/>
        <v>0.13089945524481017</v>
      </c>
      <c r="AQ45" s="497">
        <f ca="1"/>
        <v>0</v>
      </c>
      <c r="AR45" s="580"/>
      <c r="AS45" s="580"/>
      <c r="AT45" s="580"/>
      <c r="AU45" s="580"/>
      <c r="AV45" s="580"/>
      <c r="AW45" s="580"/>
      <c r="AX45" s="579"/>
    </row>
    <row r="46" spans="2:50">
      <c r="B46" s="539" t="s">
        <v>515</v>
      </c>
      <c r="C46" s="540" t="s">
        <v>66</v>
      </c>
      <c r="D46" s="540" t="s">
        <v>55</v>
      </c>
      <c r="E46" s="540" t="s">
        <v>649</v>
      </c>
      <c r="F46" s="540" t="s">
        <v>648</v>
      </c>
      <c r="G46" s="541">
        <v>0.01</v>
      </c>
      <c r="H46" s="541">
        <v>2.016E-3</v>
      </c>
      <c r="I46" s="542">
        <v>0.4</v>
      </c>
      <c r="J46" s="602">
        <v>4</v>
      </c>
      <c r="K46" s="543">
        <v>8</v>
      </c>
      <c r="L46" s="272"/>
      <c r="M46" s="272"/>
      <c r="P46" s="273"/>
      <c r="Q46" s="273"/>
      <c r="R46" s="273"/>
      <c r="S46" s="273"/>
      <c r="T46" s="576">
        <f ca="1"/>
        <v>0.03</v>
      </c>
      <c r="U46" s="573">
        <f ca="1"/>
        <v>38</v>
      </c>
      <c r="V46" s="576">
        <f t="shared" ca="1" si="6"/>
        <v>0</v>
      </c>
      <c r="W46" s="576">
        <f t="shared" ca="1" si="7"/>
        <v>0</v>
      </c>
      <c r="X46" s="484">
        <f ca="1">IF('CDO Bespoke'!O47&lt;&gt;"",'CDO Bespoke'!O47,"")</f>
        <v>1.1923668264923699</v>
      </c>
      <c r="Y46" s="485">
        <f ca="1">IF(X46&lt;&gt;"",ABS(MIN(-0.75*('CDO Bespoke'!Q47)+'CDO Bespoke'!T47,0)),"")</f>
        <v>1.1897927686621754</v>
      </c>
      <c r="Z46" s="485">
        <f t="shared" ca="1" si="2"/>
        <v>2.5740578301944872E-3</v>
      </c>
      <c r="AA46" s="485">
        <f t="shared" ca="1" si="3"/>
        <v>0</v>
      </c>
      <c r="AB46" s="484">
        <f ca="1">IF('CDO Bespoke'!O47&lt;&gt;"",'CDO Bespoke'!O47,"")</f>
        <v>1.1923668264923699</v>
      </c>
      <c r="AC46" s="485">
        <f ca="1">IF(AB46&lt;&gt;"",ABS(MIN(-0.75*('CDO Bespoke'!K47)+'CDO Bespoke'!T47,0)),"")</f>
        <v>0.34631500470191157</v>
      </c>
      <c r="AD46" s="485">
        <f t="shared" ca="1" si="4"/>
        <v>0.84605182179045835</v>
      </c>
      <c r="AE46" s="489">
        <f t="shared" ca="1" si="5"/>
        <v>0</v>
      </c>
      <c r="AF46" s="272"/>
      <c r="AG46" s="494" t="str">
        <f ca="1">IF('CDO Bespoke'!C71&lt;&gt;"",'CDO Bespoke'!C71,"")</f>
        <v>UNIBAIL-RODAMCO-WESTFIELD SE</v>
      </c>
      <c r="AH46" s="496">
        <f ca="1"/>
        <v>3.2042610009774819E-3</v>
      </c>
      <c r="AI46" s="585">
        <f ca="1"/>
        <v>1.0133911640952675E-2</v>
      </c>
      <c r="AJ46" s="585">
        <f ca="1"/>
        <v>2.5342592350208193E-2</v>
      </c>
      <c r="AK46" s="585">
        <f ca="1"/>
        <v>1.0607606954204929</v>
      </c>
      <c r="AL46" s="497">
        <f ca="1"/>
        <v>0</v>
      </c>
      <c r="AM46" s="496">
        <f ca="1"/>
        <v>-3.4560878599959599E-5</v>
      </c>
      <c r="AN46" s="585">
        <f ca="1"/>
        <v>-1.5393898945056245E-4</v>
      </c>
      <c r="AO46" s="585">
        <f ca="1"/>
        <v>-8.199485820505753E-4</v>
      </c>
      <c r="AP46" s="585">
        <f ca="1"/>
        <v>0.21914838325054997</v>
      </c>
      <c r="AQ46" s="497">
        <f ca="1"/>
        <v>0</v>
      </c>
      <c r="AR46" s="580"/>
      <c r="AS46" s="580"/>
      <c r="AT46" s="580"/>
      <c r="AU46" s="580"/>
      <c r="AV46" s="580"/>
      <c r="AW46" s="580"/>
      <c r="AX46" s="579"/>
    </row>
    <row r="47" spans="2:50">
      <c r="B47" s="517" t="s">
        <v>515</v>
      </c>
      <c r="C47" s="518" t="s">
        <v>66</v>
      </c>
      <c r="D47" s="518" t="s">
        <v>57</v>
      </c>
      <c r="E47" s="518" t="s">
        <v>649</v>
      </c>
      <c r="F47" s="518" t="s">
        <v>648</v>
      </c>
      <c r="G47" s="525">
        <v>0.01</v>
      </c>
      <c r="H47" s="525">
        <v>3.4150000000000001E-3</v>
      </c>
      <c r="I47" s="527">
        <v>0.4</v>
      </c>
      <c r="J47" s="594">
        <v>4</v>
      </c>
      <c r="K47" s="519">
        <v>8</v>
      </c>
      <c r="L47" s="272"/>
      <c r="M47" s="272"/>
      <c r="P47" s="273"/>
      <c r="Q47" s="273"/>
      <c r="R47" s="273"/>
      <c r="S47" s="273"/>
      <c r="T47" s="576">
        <f ca="1"/>
        <v>0.06</v>
      </c>
      <c r="U47" s="573">
        <f ca="1"/>
        <v>39</v>
      </c>
      <c r="V47" s="576">
        <f t="shared" ca="1" si="6"/>
        <v>0</v>
      </c>
      <c r="W47" s="576">
        <f t="shared" ca="1" si="7"/>
        <v>0</v>
      </c>
      <c r="X47" s="484">
        <f ca="1">IF('CDO Bespoke'!O48&lt;&gt;"",'CDO Bespoke'!O48,"")</f>
        <v>1.19524570960914</v>
      </c>
      <c r="Y47" s="485">
        <f ca="1">IF(X47&lt;&gt;"",ABS(MIN(-0.75*('CDO Bespoke'!Q48)+'CDO Bespoke'!T48,0)),"")</f>
        <v>1.1873388311722077</v>
      </c>
      <c r="Z47" s="485">
        <f t="shared" ca="1" si="2"/>
        <v>7.9068784369322742E-3</v>
      </c>
      <c r="AA47" s="485">
        <f t="shared" ca="1" si="3"/>
        <v>0</v>
      </c>
      <c r="AB47" s="484">
        <f ca="1">IF('CDO Bespoke'!O48&lt;&gt;"",'CDO Bespoke'!O48,"")</f>
        <v>1.19524570960914</v>
      </c>
      <c r="AC47" s="485">
        <f ca="1">IF(AB47&lt;&gt;"",ABS(MIN(-0.75*('CDO Bespoke'!K48)+'CDO Bespoke'!T48,0)),"")</f>
        <v>0.21468619779151921</v>
      </c>
      <c r="AD47" s="485">
        <f t="shared" ca="1" si="4"/>
        <v>0.9805595118176208</v>
      </c>
      <c r="AE47" s="489">
        <f t="shared" ca="1" si="5"/>
        <v>0</v>
      </c>
      <c r="AF47" s="272"/>
      <c r="AG47" s="494" t="str">
        <f ca="1">IF('CDO Bespoke'!C72&lt;&gt;"",'CDO Bespoke'!C72,"")</f>
        <v>VINCI</v>
      </c>
      <c r="AH47" s="496">
        <f ca="1"/>
        <v>3.1809155109918663E-3</v>
      </c>
      <c r="AI47" s="585">
        <f ca="1"/>
        <v>9.764934900680089E-3</v>
      </c>
      <c r="AJ47" s="585">
        <f ca="1"/>
        <v>2.6623410170900641E-2</v>
      </c>
      <c r="AK47" s="585">
        <f ca="1"/>
        <v>0.20151219133013321</v>
      </c>
      <c r="AL47" s="497">
        <f ca="1"/>
        <v>0</v>
      </c>
      <c r="AM47" s="496">
        <f ca="1"/>
        <v>8.4147539880854993E-5</v>
      </c>
      <c r="AN47" s="585">
        <f ca="1"/>
        <v>3.9186310137086233E-4</v>
      </c>
      <c r="AO47" s="585">
        <f ca="1"/>
        <v>1.7881576103100094E-3</v>
      </c>
      <c r="AP47" s="585">
        <f ca="1"/>
        <v>0.13715482282442987</v>
      </c>
      <c r="AQ47" s="497">
        <f ca="1"/>
        <v>0</v>
      </c>
      <c r="AR47" s="580"/>
      <c r="AS47" s="580"/>
      <c r="AT47" s="580"/>
      <c r="AU47" s="580"/>
      <c r="AV47" s="580"/>
      <c r="AW47" s="580"/>
      <c r="AX47" s="579"/>
    </row>
    <row r="48" spans="2:50">
      <c r="B48" s="534" t="s">
        <v>515</v>
      </c>
      <c r="C48" s="535" t="s">
        <v>66</v>
      </c>
      <c r="D48" s="535" t="s">
        <v>59</v>
      </c>
      <c r="E48" s="535" t="s">
        <v>649</v>
      </c>
      <c r="F48" s="535" t="s">
        <v>648</v>
      </c>
      <c r="G48" s="536">
        <v>0.01</v>
      </c>
      <c r="H48" s="536">
        <v>5.3829999999999998E-3</v>
      </c>
      <c r="I48" s="537">
        <v>0.4</v>
      </c>
      <c r="J48" s="595">
        <v>4</v>
      </c>
      <c r="K48" s="538">
        <v>8</v>
      </c>
      <c r="L48" s="272"/>
      <c r="M48" s="272"/>
      <c r="P48" s="273"/>
      <c r="Q48" s="273"/>
      <c r="R48" s="273"/>
      <c r="S48" s="273"/>
      <c r="T48" s="576">
        <f ca="1"/>
        <v>0.02</v>
      </c>
      <c r="U48" s="573">
        <f ca="1"/>
        <v>40</v>
      </c>
      <c r="V48" s="576">
        <f t="shared" ca="1" si="6"/>
        <v>0</v>
      </c>
      <c r="W48" s="576">
        <f t="shared" ca="1" si="7"/>
        <v>0</v>
      </c>
      <c r="X48" s="484">
        <f ca="1">IF('CDO Bespoke'!O49&lt;&gt;"",'CDO Bespoke'!O49,"")</f>
        <v>1.19375610874465</v>
      </c>
      <c r="Y48" s="485">
        <f ca="1">IF(X48&lt;&gt;"",ABS(MIN(-0.75*('CDO Bespoke'!Q49)+'CDO Bespoke'!T49,0)),"")</f>
        <v>1.1889858690053425</v>
      </c>
      <c r="Z48" s="485">
        <f t="shared" ca="1" si="2"/>
        <v>4.770239739307458E-3</v>
      </c>
      <c r="AA48" s="485">
        <f t="shared" ca="1" si="3"/>
        <v>0</v>
      </c>
      <c r="AB48" s="484">
        <f ca="1">IF('CDO Bespoke'!O49&lt;&gt;"",'CDO Bespoke'!O49,"")</f>
        <v>1.19375610874465</v>
      </c>
      <c r="AC48" s="485">
        <f ca="1">IF(AB48&lt;&gt;"",ABS(MIN(-0.75*('CDO Bespoke'!K49)+'CDO Bespoke'!T49,0)),"")</f>
        <v>0.30780593472077139</v>
      </c>
      <c r="AD48" s="485">
        <f t="shared" ca="1" si="4"/>
        <v>0.88595017402387866</v>
      </c>
      <c r="AE48" s="489">
        <f t="shared" ca="1" si="5"/>
        <v>0</v>
      </c>
      <c r="AF48" s="272"/>
      <c r="AG48" s="494" t="str">
        <f ca="1">IF('CDO Bespoke'!C73&lt;&gt;"",'CDO Bespoke'!C73,"")</f>
        <v>VOLKSWAGEN AKTIENGESELLSCHAFT</v>
      </c>
      <c r="AH48" s="496">
        <f ca="1"/>
        <v>3.5749270310692083E-3</v>
      </c>
      <c r="AI48" s="585">
        <f ca="1"/>
        <v>1.1421044260329083E-2</v>
      </c>
      <c r="AJ48" s="585">
        <f ca="1"/>
        <v>3.1235725570510908E-2</v>
      </c>
      <c r="AK48" s="585">
        <f ca="1"/>
        <v>0.75113384640057568</v>
      </c>
      <c r="AL48" s="497">
        <f ca="1"/>
        <v>0</v>
      </c>
      <c r="AM48" s="496">
        <f ca="1"/>
        <v>1.6229437440045541E-5</v>
      </c>
      <c r="AN48" s="585">
        <f ca="1"/>
        <v>7.9095689670041075E-5</v>
      </c>
      <c r="AO48" s="585">
        <f ca="1"/>
        <v>3.2386565769009466E-4</v>
      </c>
      <c r="AP48" s="585">
        <f ca="1"/>
        <v>0.13357927385802007</v>
      </c>
      <c r="AQ48" s="497">
        <f ca="1"/>
        <v>0</v>
      </c>
      <c r="AR48" s="580"/>
      <c r="AS48" s="580"/>
      <c r="AT48" s="580"/>
      <c r="AU48" s="580"/>
      <c r="AV48" s="580"/>
      <c r="AW48" s="580"/>
      <c r="AX48" s="579"/>
    </row>
    <row r="49" spans="2:50">
      <c r="B49" s="539" t="s">
        <v>530</v>
      </c>
      <c r="C49" s="540" t="s">
        <v>66</v>
      </c>
      <c r="D49" s="540" t="s">
        <v>55</v>
      </c>
      <c r="E49" s="540" t="s">
        <v>647</v>
      </c>
      <c r="F49" s="540" t="s">
        <v>675</v>
      </c>
      <c r="G49" s="541">
        <v>0.01</v>
      </c>
      <c r="H49" s="541">
        <v>2.222E-3</v>
      </c>
      <c r="I49" s="542">
        <v>0.4</v>
      </c>
      <c r="J49" s="602">
        <v>4</v>
      </c>
      <c r="K49" s="543">
        <v>9</v>
      </c>
      <c r="L49" s="272"/>
      <c r="M49" s="272"/>
      <c r="P49" s="273"/>
      <c r="Q49" s="273"/>
      <c r="R49" s="273"/>
      <c r="S49" s="273"/>
      <c r="T49" s="576">
        <f ca="1"/>
        <v>0.06</v>
      </c>
      <c r="U49" s="573">
        <f ca="1"/>
        <v>41</v>
      </c>
      <c r="V49" s="576">
        <f t="shared" ca="1" si="6"/>
        <v>0</v>
      </c>
      <c r="W49" s="576">
        <f t="shared" ca="1" si="7"/>
        <v>0</v>
      </c>
      <c r="X49" s="484">
        <f ca="1">IF('CDO Bespoke'!O50&lt;&gt;"",'CDO Bespoke'!O50,"")</f>
        <v>1.1940707736093901</v>
      </c>
      <c r="Y49" s="485">
        <f ca="1">IF(X49&lt;&gt;"",ABS(MIN(-0.75*('CDO Bespoke'!Q50)+'CDO Bespoke'!T50,0)),"")</f>
        <v>1.1887408016673047</v>
      </c>
      <c r="Z49" s="485">
        <f t="shared" ca="1" si="2"/>
        <v>5.3299719420853986E-3</v>
      </c>
      <c r="AA49" s="485">
        <f t="shared" ca="1" si="3"/>
        <v>0</v>
      </c>
      <c r="AB49" s="484">
        <f ca="1">IF('CDO Bespoke'!O50&lt;&gt;"",'CDO Bespoke'!O50,"")</f>
        <v>1.1940707736093901</v>
      </c>
      <c r="AC49" s="485">
        <f ca="1">IF(AB49&lt;&gt;"",ABS(MIN(-0.75*('CDO Bespoke'!K50)+'CDO Bespoke'!T50,0)),"")</f>
        <v>0.29554105022568622</v>
      </c>
      <c r="AD49" s="485">
        <f t="shared" ca="1" si="4"/>
        <v>0.89852972338370385</v>
      </c>
      <c r="AE49" s="489">
        <f t="shared" ca="1" si="5"/>
        <v>0</v>
      </c>
      <c r="AF49" s="272"/>
      <c r="AG49" s="494" t="str">
        <f ca="1">IF('CDO Bespoke'!C74&lt;&gt;"",'CDO Bespoke'!C74,"")</f>
        <v>WENDEL</v>
      </c>
      <c r="AH49" s="496">
        <f ca="1"/>
        <v>4.0368078702002208E-3</v>
      </c>
      <c r="AI49" s="585">
        <f ca="1"/>
        <v>1.3419202380404727E-2</v>
      </c>
      <c r="AJ49" s="585">
        <f ca="1"/>
        <v>3.828046642007088E-2</v>
      </c>
      <c r="AK49" s="585">
        <f ca="1"/>
        <v>0.55232254514092638</v>
      </c>
      <c r="AL49" s="497">
        <f ca="1"/>
        <v>0</v>
      </c>
      <c r="AM49" s="496">
        <f ca="1"/>
        <v>6.5232258750040628E-5</v>
      </c>
      <c r="AN49" s="585">
        <f ca="1"/>
        <v>3.0841747525062885E-4</v>
      </c>
      <c r="AO49" s="585">
        <f ca="1"/>
        <v>1.2850099517505362E-3</v>
      </c>
      <c r="AP49" s="585">
        <f ca="1"/>
        <v>0.22453740119725027</v>
      </c>
      <c r="AQ49" s="497">
        <f ca="1"/>
        <v>0</v>
      </c>
      <c r="AR49" s="580"/>
      <c r="AS49" s="580"/>
      <c r="AT49" s="580"/>
      <c r="AU49" s="580"/>
      <c r="AV49" s="580"/>
      <c r="AW49" s="580"/>
      <c r="AX49" s="579"/>
    </row>
    <row r="50" spans="2:50">
      <c r="B50" s="517" t="s">
        <v>530</v>
      </c>
      <c r="C50" s="518" t="s">
        <v>66</v>
      </c>
      <c r="D50" s="518" t="s">
        <v>57</v>
      </c>
      <c r="E50" s="518" t="s">
        <v>647</v>
      </c>
      <c r="F50" s="518" t="s">
        <v>675</v>
      </c>
      <c r="G50" s="525">
        <v>0.01</v>
      </c>
      <c r="H50" s="525">
        <v>4.2570000000000004E-3</v>
      </c>
      <c r="I50" s="527">
        <v>0.4</v>
      </c>
      <c r="J50" s="594">
        <v>4</v>
      </c>
      <c r="K50" s="519">
        <v>9</v>
      </c>
      <c r="L50" s="272"/>
      <c r="M50" s="272"/>
      <c r="P50" s="273"/>
      <c r="Q50" s="273"/>
      <c r="R50" s="273"/>
      <c r="S50" s="273"/>
      <c r="T50" s="576">
        <f ca="1"/>
        <v>0.02</v>
      </c>
      <c r="U50" s="573">
        <f ca="1"/>
        <v>42</v>
      </c>
      <c r="V50" s="576">
        <f t="shared" ca="1" si="6"/>
        <v>0</v>
      </c>
      <c r="W50" s="576">
        <f t="shared" ca="1" si="7"/>
        <v>0</v>
      </c>
      <c r="X50" s="484">
        <f ca="1">IF('CDO Bespoke'!O51&lt;&gt;"",'CDO Bespoke'!O51,"")</f>
        <v>1.1891860448635301</v>
      </c>
      <c r="Y50" s="485">
        <f ca="1">IF(X50&lt;&gt;"",ABS(MIN(-0.75*('CDO Bespoke'!Q51)+'CDO Bespoke'!T51,0)),"")</f>
        <v>1.1908113472194108</v>
      </c>
      <c r="Z50" s="485">
        <f t="shared" ca="1" si="2"/>
        <v>0</v>
      </c>
      <c r="AA50" s="485">
        <f t="shared" ca="1" si="3"/>
        <v>0</v>
      </c>
      <c r="AB50" s="484">
        <f ca="1">IF('CDO Bespoke'!O51&lt;&gt;"",'CDO Bespoke'!O51,"")</f>
        <v>1.1891860448635301</v>
      </c>
      <c r="AC50" s="485">
        <f ca="1">IF(AB50&lt;&gt;"",ABS(MIN(-0.75*('CDO Bespoke'!K51)+'CDO Bespoke'!T51,0)),"")</f>
        <v>0.39473075629615234</v>
      </c>
      <c r="AD50" s="485">
        <f t="shared" ca="1" si="4"/>
        <v>0.79445528856737768</v>
      </c>
      <c r="AE50" s="489">
        <f t="shared" ca="1" si="5"/>
        <v>0</v>
      </c>
      <c r="AF50" s="272"/>
      <c r="AG50" s="494" t="str">
        <f ca="1">IF('CDO Bespoke'!C75&lt;&gt;"",'CDO Bespoke'!C75,"")</f>
        <v>Aktiebolaget Electrolux</v>
      </c>
      <c r="AH50" s="496">
        <f ca="1"/>
        <v>2.3694406103835775E-3</v>
      </c>
      <c r="AI50" s="585">
        <f ca="1"/>
        <v>7.178628580462032E-3</v>
      </c>
      <c r="AJ50" s="585">
        <f ca="1"/>
        <v>1.2092897220261634E-2</v>
      </c>
      <c r="AK50" s="585">
        <f ca="1"/>
        <v>1.4568458005403961</v>
      </c>
      <c r="AL50" s="497">
        <f ca="1"/>
        <v>0</v>
      </c>
      <c r="AM50" s="496">
        <f ca="1"/>
        <v>-7.0799708789398563E-5</v>
      </c>
      <c r="AN50" s="585">
        <f ca="1"/>
        <v>-3.2668782014994013E-4</v>
      </c>
      <c r="AO50" s="585">
        <f ca="1"/>
        <v>-1.6134208845598047E-3</v>
      </c>
      <c r="AP50" s="585">
        <f ca="1"/>
        <v>0.12827384803278002</v>
      </c>
      <c r="AQ50" s="497">
        <f ca="1"/>
        <v>0</v>
      </c>
      <c r="AR50" s="580"/>
      <c r="AS50" s="580"/>
      <c r="AT50" s="580"/>
      <c r="AU50" s="580"/>
      <c r="AV50" s="580"/>
      <c r="AW50" s="580"/>
      <c r="AX50" s="579"/>
    </row>
    <row r="51" spans="2:50">
      <c r="B51" s="534" t="s">
        <v>530</v>
      </c>
      <c r="C51" s="535" t="s">
        <v>66</v>
      </c>
      <c r="D51" s="535" t="s">
        <v>59</v>
      </c>
      <c r="E51" s="535" t="s">
        <v>647</v>
      </c>
      <c r="F51" s="535" t="s">
        <v>675</v>
      </c>
      <c r="G51" s="536">
        <v>0.01</v>
      </c>
      <c r="H51" s="536">
        <v>6.2550000000000001E-3</v>
      </c>
      <c r="I51" s="537">
        <v>0.4</v>
      </c>
      <c r="J51" s="595">
        <v>4</v>
      </c>
      <c r="K51" s="538">
        <v>9</v>
      </c>
      <c r="L51" s="272"/>
      <c r="M51" s="272"/>
      <c r="P51" s="273"/>
      <c r="Q51" s="273"/>
      <c r="R51" s="273"/>
      <c r="S51" s="273"/>
      <c r="T51" s="576">
        <f ca="1"/>
        <v>0.03</v>
      </c>
      <c r="U51" s="573">
        <f ca="1"/>
        <v>43</v>
      </c>
      <c r="V51" s="576">
        <f t="shared" ca="1" si="6"/>
        <v>0</v>
      </c>
      <c r="W51" s="576">
        <f t="shared" ca="1" si="7"/>
        <v>0</v>
      </c>
      <c r="X51" s="484">
        <f ca="1">IF('CDO Bespoke'!O52&lt;&gt;"",'CDO Bespoke'!O52,"")</f>
        <v>1.1950029204824699</v>
      </c>
      <c r="Y51" s="485">
        <f ca="1">IF(X51&lt;&gt;"",ABS(MIN(-0.75*('CDO Bespoke'!Q52)+'CDO Bespoke'!T52,0)),"")</f>
        <v>1.1877359250174482</v>
      </c>
      <c r="Z51" s="485">
        <f t="shared" ca="1" si="2"/>
        <v>7.2669954650217417E-3</v>
      </c>
      <c r="AA51" s="485">
        <f t="shared" ca="1" si="3"/>
        <v>0</v>
      </c>
      <c r="AB51" s="484">
        <f ca="1">IF('CDO Bespoke'!O52&lt;&gt;"",'CDO Bespoke'!O52,"")</f>
        <v>1.1950029204824699</v>
      </c>
      <c r="AC51" s="485">
        <f ca="1">IF(AB51&lt;&gt;"",ABS(MIN(-0.75*('CDO Bespoke'!K52)+'CDO Bespoke'!T52,0)),"")</f>
        <v>0.24010064853684601</v>
      </c>
      <c r="AD51" s="485">
        <f t="shared" ca="1" si="4"/>
        <v>0.95490227194562394</v>
      </c>
      <c r="AE51" s="489">
        <f t="shared" ca="1" si="5"/>
        <v>0</v>
      </c>
      <c r="AF51" s="272"/>
      <c r="AG51" s="494" t="str">
        <f ca="1">IF('CDO Bespoke'!C76&lt;&gt;"",'CDO Bespoke'!C76,"")</f>
        <v>Anheuser-Busch InBev</v>
      </c>
      <c r="AH51" s="496">
        <f ca="1"/>
        <v>3.5666776110332421E-3</v>
      </c>
      <c r="AI51" s="585">
        <f ca="1"/>
        <v>1.1309352470068035E-2</v>
      </c>
      <c r="AJ51" s="585">
        <f ca="1"/>
        <v>3.1523707080260976E-2</v>
      </c>
      <c r="AK51" s="585">
        <f ca="1"/>
        <v>0.27993116502034177</v>
      </c>
      <c r="AL51" s="497">
        <f ca="1"/>
        <v>0</v>
      </c>
      <c r="AM51" s="496">
        <f ca="1"/>
        <v>7.3330783500677454E-5</v>
      </c>
      <c r="AN51" s="585">
        <f ca="1"/>
        <v>3.42321691950212E-4</v>
      </c>
      <c r="AO51" s="585">
        <f ca="1"/>
        <v>1.5459799755899312E-3</v>
      </c>
      <c r="AP51" s="585">
        <f ca="1"/>
        <v>0.13656258440312982</v>
      </c>
      <c r="AQ51" s="497">
        <f ca="1"/>
        <v>0</v>
      </c>
      <c r="AR51" s="580"/>
      <c r="AS51" s="580"/>
      <c r="AT51" s="580"/>
      <c r="AU51" s="580"/>
      <c r="AV51" s="580"/>
      <c r="AW51" s="580"/>
      <c r="AX51" s="579"/>
    </row>
    <row r="52" spans="2:50">
      <c r="B52" s="539" t="s">
        <v>531</v>
      </c>
      <c r="C52" s="540" t="s">
        <v>66</v>
      </c>
      <c r="D52" s="540" t="s">
        <v>55</v>
      </c>
      <c r="E52" s="540" t="s">
        <v>649</v>
      </c>
      <c r="F52" s="540" t="s">
        <v>674</v>
      </c>
      <c r="G52" s="541">
        <v>0.01</v>
      </c>
      <c r="H52" s="541">
        <v>7.633E-3</v>
      </c>
      <c r="I52" s="542">
        <v>0.4</v>
      </c>
      <c r="J52" s="602">
        <v>7</v>
      </c>
      <c r="K52" s="543">
        <v>10</v>
      </c>
      <c r="L52" s="272"/>
      <c r="M52" s="272"/>
      <c r="P52" s="273"/>
      <c r="Q52" s="273"/>
      <c r="R52" s="273"/>
      <c r="S52" s="273"/>
      <c r="T52" s="576">
        <f ca="1"/>
        <v>0.02</v>
      </c>
      <c r="U52" s="573">
        <f ca="1"/>
        <v>44</v>
      </c>
      <c r="V52" s="576">
        <f t="shared" ca="1" si="6"/>
        <v>0</v>
      </c>
      <c r="W52" s="576">
        <f t="shared" ca="1" si="7"/>
        <v>0</v>
      </c>
      <c r="X52" s="484">
        <f ca="1">IF('CDO Bespoke'!O53&lt;&gt;"",'CDO Bespoke'!O53,"")</f>
        <v>1.19427829776965</v>
      </c>
      <c r="Y52" s="485">
        <f ca="1">IF(X52&lt;&gt;"",ABS(MIN(-0.75*('CDO Bespoke'!Q53)+'CDO Bespoke'!T53,0)),"")</f>
        <v>1.188559777048493</v>
      </c>
      <c r="Z52" s="485">
        <f t="shared" ca="1" si="2"/>
        <v>5.7185207211569722E-3</v>
      </c>
      <c r="AA52" s="485">
        <f t="shared" ca="1" si="3"/>
        <v>0</v>
      </c>
      <c r="AB52" s="484">
        <f ca="1">IF('CDO Bespoke'!O53&lt;&gt;"",'CDO Bespoke'!O53,"")</f>
        <v>1.19427829776965</v>
      </c>
      <c r="AC52" s="485">
        <f ca="1">IF(AB52&lt;&gt;"",ABS(MIN(-0.75*('CDO Bespoke'!K53)+'CDO Bespoke'!T53,0)),"")</f>
        <v>0.28623094963932283</v>
      </c>
      <c r="AD52" s="485">
        <f t="shared" ca="1" si="4"/>
        <v>0.90804734813032717</v>
      </c>
      <c r="AE52" s="489">
        <f t="shared" ca="1" si="5"/>
        <v>0</v>
      </c>
      <c r="AF52" s="272"/>
      <c r="AG52" s="494" t="str">
        <f ca="1">IF('CDO Bespoke'!C77&lt;&gt;"",'CDO Bespoke'!C77,"")</f>
        <v>BRITISH AMERICAN TOBACCO p.l.c.</v>
      </c>
      <c r="AH52" s="496">
        <f ca="1"/>
        <v>3.8048745309993137E-3</v>
      </c>
      <c r="AI52" s="585">
        <f ca="1"/>
        <v>1.2343338980924656E-2</v>
      </c>
      <c r="AJ52" s="585">
        <f ca="1"/>
        <v>3.4636522900921562E-2</v>
      </c>
      <c r="AK52" s="585">
        <f ca="1"/>
        <v>0.55019121080079891</v>
      </c>
      <c r="AL52" s="497">
        <f ca="1"/>
        <v>0</v>
      </c>
      <c r="AM52" s="496">
        <f ca="1"/>
        <v>3.9838666290349656E-5</v>
      </c>
      <c r="AN52" s="585">
        <f ca="1"/>
        <v>1.881809905198914E-4</v>
      </c>
      <c r="AO52" s="585">
        <f ca="1"/>
        <v>7.8265210743007352E-4</v>
      </c>
      <c r="AP52" s="585">
        <f ca="1"/>
        <v>0.13487285101881005</v>
      </c>
      <c r="AQ52" s="497">
        <f ca="1"/>
        <v>0</v>
      </c>
      <c r="AR52" s="580"/>
      <c r="AS52" s="580"/>
      <c r="AT52" s="580"/>
      <c r="AU52" s="580"/>
      <c r="AV52" s="580"/>
      <c r="AW52" s="580"/>
      <c r="AX52" s="579"/>
    </row>
    <row r="53" spans="2:50">
      <c r="B53" s="517" t="s">
        <v>531</v>
      </c>
      <c r="C53" s="518" t="s">
        <v>66</v>
      </c>
      <c r="D53" s="518" t="s">
        <v>57</v>
      </c>
      <c r="E53" s="518" t="s">
        <v>649</v>
      </c>
      <c r="F53" s="518" t="s">
        <v>674</v>
      </c>
      <c r="G53" s="525">
        <v>0.01</v>
      </c>
      <c r="H53" s="525">
        <v>1.1407E-2</v>
      </c>
      <c r="I53" s="527">
        <v>0.4</v>
      </c>
      <c r="J53" s="594">
        <v>7</v>
      </c>
      <c r="K53" s="519">
        <v>10</v>
      </c>
      <c r="L53" s="272"/>
      <c r="M53" s="272"/>
      <c r="P53" s="273"/>
      <c r="Q53" s="273"/>
      <c r="R53" s="273"/>
      <c r="S53" s="273"/>
      <c r="T53" s="576">
        <f ca="1"/>
        <v>0.06</v>
      </c>
      <c r="U53" s="573">
        <f ca="1"/>
        <v>45</v>
      </c>
      <c r="V53" s="576">
        <f t="shared" ca="1" si="6"/>
        <v>0</v>
      </c>
      <c r="W53" s="576">
        <f t="shared" ca="1" si="7"/>
        <v>0</v>
      </c>
      <c r="X53" s="484">
        <f ca="1">IF('CDO Bespoke'!O54&lt;&gt;"",'CDO Bespoke'!O54,"")</f>
        <v>1.1953178757982701</v>
      </c>
      <c r="Y53" s="485">
        <f ca="1">IF(X53&lt;&gt;"",ABS(MIN(-0.75*('CDO Bespoke'!Q54)+'CDO Bespoke'!T54,0)),"")</f>
        <v>1.1871975411194653</v>
      </c>
      <c r="Z53" s="485">
        <f t="shared" ca="1" si="2"/>
        <v>8.120334678804797E-3</v>
      </c>
      <c r="AA53" s="485">
        <f t="shared" ca="1" si="3"/>
        <v>0</v>
      </c>
      <c r="AB53" s="484">
        <f ca="1">IF('CDO Bespoke'!O54&lt;&gt;"",'CDO Bespoke'!O54,"")</f>
        <v>1.1953178757982701</v>
      </c>
      <c r="AC53" s="485">
        <f ca="1">IF(AB53&lt;&gt;"",ABS(MIN(-0.75*('CDO Bespoke'!K54)+'CDO Bespoke'!T54,0)),"")</f>
        <v>0.20492414983173129</v>
      </c>
      <c r="AD53" s="485">
        <f t="shared" ca="1" si="4"/>
        <v>0.99039372596653874</v>
      </c>
      <c r="AE53" s="489">
        <f t="shared" ca="1" si="5"/>
        <v>0</v>
      </c>
      <c r="AF53" s="272"/>
      <c r="AG53" s="494" t="str">
        <f ca="1">IF('CDO Bespoke'!C78&lt;&gt;"",'CDO Bespoke'!C78,"")</f>
        <v>CARLSBERG BREWERIES A/S</v>
      </c>
      <c r="AH53" s="496">
        <f ca="1"/>
        <v>2.9772982201858866E-3</v>
      </c>
      <c r="AI53" s="585">
        <f ca="1"/>
        <v>8.9561522709225017E-3</v>
      </c>
      <c r="AJ53" s="585">
        <f ca="1"/>
        <v>2.4167919230322354E-2</v>
      </c>
      <c r="AK53" s="585">
        <f ca="1"/>
        <v>0.18989438472005737</v>
      </c>
      <c r="AL53" s="497">
        <f ca="1"/>
        <v>0</v>
      </c>
      <c r="AM53" s="496">
        <f ca="1"/>
        <v>8.5967785110399597E-5</v>
      </c>
      <c r="AN53" s="585">
        <f ca="1"/>
        <v>4.0013332779018085E-4</v>
      </c>
      <c r="AO53" s="585">
        <f ca="1"/>
        <v>1.8270663595502251E-3</v>
      </c>
      <c r="AP53" s="585">
        <f ca="1"/>
        <v>0.13728946606998069</v>
      </c>
      <c r="AQ53" s="497">
        <f ca="1"/>
        <v>0</v>
      </c>
      <c r="AR53" s="580"/>
      <c r="AS53" s="580"/>
      <c r="AT53" s="580"/>
      <c r="AU53" s="580"/>
      <c r="AV53" s="580"/>
      <c r="AW53" s="580"/>
      <c r="AX53" s="579"/>
    </row>
    <row r="54" spans="2:50">
      <c r="B54" s="534" t="s">
        <v>531</v>
      </c>
      <c r="C54" s="535" t="s">
        <v>66</v>
      </c>
      <c r="D54" s="535" t="s">
        <v>59</v>
      </c>
      <c r="E54" s="535" t="s">
        <v>649</v>
      </c>
      <c r="F54" s="535" t="s">
        <v>674</v>
      </c>
      <c r="G54" s="536">
        <v>0.01</v>
      </c>
      <c r="H54" s="536">
        <v>1.4759E-2</v>
      </c>
      <c r="I54" s="537">
        <v>0.4</v>
      </c>
      <c r="J54" s="595">
        <v>7</v>
      </c>
      <c r="K54" s="538">
        <v>10</v>
      </c>
      <c r="L54" s="272"/>
      <c r="M54" s="272"/>
      <c r="P54" s="273"/>
      <c r="Q54" s="273"/>
      <c r="R54" s="273"/>
      <c r="S54" s="273"/>
      <c r="T54" s="576">
        <f ca="1"/>
        <v>0.06</v>
      </c>
      <c r="U54" s="573">
        <f ca="1"/>
        <v>46</v>
      </c>
      <c r="V54" s="576">
        <f t="shared" ca="1" si="6"/>
        <v>0</v>
      </c>
      <c r="W54" s="576">
        <f t="shared" ca="1" si="7"/>
        <v>0</v>
      </c>
      <c r="X54" s="484">
        <f ca="1">IF('CDO Bespoke'!O55&lt;&gt;"",'CDO Bespoke'!O55,"")</f>
        <v>1.1948349466764701</v>
      </c>
      <c r="Y54" s="485">
        <f ca="1">IF(X54&lt;&gt;"",ABS(MIN(-0.75*('CDO Bespoke'!Q55)+'CDO Bespoke'!T55,0)),"")</f>
        <v>1.1879634529735561</v>
      </c>
      <c r="Z54" s="485">
        <f t="shared" ca="1" si="2"/>
        <v>6.8714937029139556E-3</v>
      </c>
      <c r="AA54" s="485">
        <f t="shared" ca="1" si="3"/>
        <v>0</v>
      </c>
      <c r="AB54" s="484">
        <f ca="1">IF('CDO Bespoke'!O55&lt;&gt;"",'CDO Bespoke'!O55,"")</f>
        <v>1.1948349466764701</v>
      </c>
      <c r="AC54" s="485">
        <f ca="1">IF(AB54&lt;&gt;"",ABS(MIN(-0.75*('CDO Bespoke'!K55)+'CDO Bespoke'!T55,0)),"")</f>
        <v>0.25358671003356748</v>
      </c>
      <c r="AD54" s="485">
        <f t="shared" ca="1" si="4"/>
        <v>0.94124823664290258</v>
      </c>
      <c r="AE54" s="489">
        <f t="shared" ca="1" si="5"/>
        <v>0</v>
      </c>
      <c r="AF54" s="272"/>
      <c r="AG54" s="494" t="str">
        <f ca="1">IF('CDO Bespoke'!C79&lt;&gt;"",'CDO Bespoke'!C79,"")</f>
        <v>Carrefour</v>
      </c>
      <c r="AH54" s="496">
        <f ca="1"/>
        <v>3.5627309502572757E-3</v>
      </c>
      <c r="AI54" s="585">
        <f ca="1"/>
        <v>1.1246766080663662E-2</v>
      </c>
      <c r="AJ54" s="585">
        <f ca="1"/>
        <v>3.1326252710739411E-2</v>
      </c>
      <c r="AK54" s="585">
        <f ca="1"/>
        <v>0.38370639601104095</v>
      </c>
      <c r="AL54" s="497">
        <f ca="1"/>
        <v>0</v>
      </c>
      <c r="AM54" s="496">
        <f ca="1"/>
        <v>6.0351873419628443E-5</v>
      </c>
      <c r="AN54" s="585">
        <f ca="1"/>
        <v>2.8258647488989264E-4</v>
      </c>
      <c r="AO54" s="585">
        <f ca="1"/>
        <v>1.2483603718499436E-3</v>
      </c>
      <c r="AP54" s="585">
        <f ca="1"/>
        <v>0.13597414013040016</v>
      </c>
      <c r="AQ54" s="497">
        <f ca="1"/>
        <v>0</v>
      </c>
      <c r="AR54" s="580"/>
      <c r="AS54" s="580"/>
      <c r="AT54" s="580"/>
      <c r="AU54" s="580"/>
      <c r="AV54" s="580"/>
      <c r="AW54" s="580"/>
      <c r="AX54" s="579"/>
    </row>
    <row r="55" spans="2:50">
      <c r="B55" s="539" t="s">
        <v>532</v>
      </c>
      <c r="C55" s="540" t="s">
        <v>66</v>
      </c>
      <c r="D55" s="540" t="s">
        <v>55</v>
      </c>
      <c r="E55" s="540" t="s">
        <v>647</v>
      </c>
      <c r="F55" s="540" t="s">
        <v>673</v>
      </c>
      <c r="G55" s="541">
        <v>0.01</v>
      </c>
      <c r="H55" s="541">
        <v>2.836E-3</v>
      </c>
      <c r="I55" s="542">
        <v>0.4</v>
      </c>
      <c r="J55" s="602">
        <v>5</v>
      </c>
      <c r="K55" s="543">
        <v>11</v>
      </c>
      <c r="L55" s="272"/>
      <c r="M55" s="272"/>
      <c r="P55" s="273"/>
      <c r="Q55" s="273"/>
      <c r="R55" s="273"/>
      <c r="S55" s="273"/>
      <c r="T55" s="576">
        <f ca="1"/>
        <v>0.03</v>
      </c>
      <c r="U55" s="573">
        <f ca="1"/>
        <v>47</v>
      </c>
      <c r="V55" s="576">
        <f t="shared" ca="1" si="6"/>
        <v>0</v>
      </c>
      <c r="W55" s="576">
        <f t="shared" ca="1" si="7"/>
        <v>0</v>
      </c>
      <c r="X55" s="484">
        <f ca="1">IF('CDO Bespoke'!O56&lt;&gt;"",'CDO Bespoke'!O56,"")</f>
        <v>1.19545553645325</v>
      </c>
      <c r="Y55" s="485">
        <f ca="1">IF(X55&lt;&gt;"",ABS(MIN(-0.75*('CDO Bespoke'!Q56)+'CDO Bespoke'!T56,0)),"")</f>
        <v>1.1868783781580468</v>
      </c>
      <c r="Z55" s="485">
        <f t="shared" ca="1" si="2"/>
        <v>8.5771582952032244E-3</v>
      </c>
      <c r="AA55" s="485">
        <f t="shared" ca="1" si="3"/>
        <v>0</v>
      </c>
      <c r="AB55" s="484">
        <f ca="1">IF('CDO Bespoke'!O56&lt;&gt;"",'CDO Bespoke'!O56,"")</f>
        <v>1.19545553645325</v>
      </c>
      <c r="AC55" s="485">
        <f ca="1">IF(AB55&lt;&gt;"",ABS(MIN(-0.75*('CDO Bespoke'!K56)+'CDO Bespoke'!T56,0)),"")</f>
        <v>0.1810292627680806</v>
      </c>
      <c r="AD55" s="485">
        <f t="shared" ca="1" si="4"/>
        <v>1.0144262736851695</v>
      </c>
      <c r="AE55" s="489">
        <f t="shared" ca="1" si="5"/>
        <v>0</v>
      </c>
      <c r="AF55" s="272"/>
      <c r="AG55" s="494" t="str">
        <f ca="1">IF('CDO Bespoke'!C80&lt;&gt;"",'CDO Bespoke'!C80,"")</f>
        <v>COMPASS GROUP PLC</v>
      </c>
      <c r="AH55" s="496">
        <f ca="1"/>
        <v>2.5884608501058892E-3</v>
      </c>
      <c r="AI55" s="585">
        <f ca="1"/>
        <v>7.5304453006630467E-3</v>
      </c>
      <c r="AJ55" s="585">
        <f ca="1"/>
        <v>1.9830360060701935E-2</v>
      </c>
      <c r="AK55" s="585">
        <f ca="1"/>
        <v>0.12842285590064506</v>
      </c>
      <c r="AL55" s="497">
        <f ca="1"/>
        <v>0</v>
      </c>
      <c r="AM55" s="496">
        <f ca="1"/>
        <v>9.5135380200755959E-5</v>
      </c>
      <c r="AN55" s="585">
        <f ca="1"/>
        <v>4.4209353998875267E-4</v>
      </c>
      <c r="AO55" s="585">
        <f ca="1"/>
        <v>2.0326064306394609E-3</v>
      </c>
      <c r="AP55" s="585">
        <f ca="1"/>
        <v>0.13776422075817002</v>
      </c>
      <c r="AQ55" s="497">
        <f ca="1"/>
        <v>0</v>
      </c>
      <c r="AR55" s="580"/>
      <c r="AS55" s="580"/>
      <c r="AT55" s="580"/>
      <c r="AU55" s="580"/>
      <c r="AV55" s="580"/>
      <c r="AW55" s="580"/>
      <c r="AX55" s="579"/>
    </row>
    <row r="56" spans="2:50">
      <c r="B56" s="517" t="s">
        <v>532</v>
      </c>
      <c r="C56" s="518" t="s">
        <v>66</v>
      </c>
      <c r="D56" s="518" t="s">
        <v>57</v>
      </c>
      <c r="E56" s="518" t="s">
        <v>647</v>
      </c>
      <c r="F56" s="518" t="s">
        <v>673</v>
      </c>
      <c r="G56" s="525">
        <v>0.01</v>
      </c>
      <c r="H56" s="525">
        <v>5.025E-3</v>
      </c>
      <c r="I56" s="527">
        <v>0.4</v>
      </c>
      <c r="J56" s="594">
        <v>5</v>
      </c>
      <c r="K56" s="519">
        <v>11</v>
      </c>
      <c r="L56" s="272"/>
      <c r="M56" s="272"/>
      <c r="P56" s="273"/>
      <c r="Q56" s="273"/>
      <c r="R56" s="273"/>
      <c r="S56" s="273"/>
      <c r="T56" s="576">
        <f ca="1"/>
        <v>0.06</v>
      </c>
      <c r="U56" s="573">
        <f ca="1"/>
        <v>48</v>
      </c>
      <c r="V56" s="576">
        <f t="shared" ca="1" si="6"/>
        <v>0</v>
      </c>
      <c r="W56" s="576">
        <f t="shared" ca="1" si="7"/>
        <v>0</v>
      </c>
      <c r="X56" s="484">
        <f ca="1">IF('CDO Bespoke'!O57&lt;&gt;"",'CDO Bespoke'!O57,"")</f>
        <v>1.19515309169683</v>
      </c>
      <c r="Y56" s="485">
        <f ca="1">IF(X56&lt;&gt;"",ABS(MIN(-0.75*('CDO Bespoke'!Q57)+'CDO Bespoke'!T57,0)),"")</f>
        <v>1.1875023548497055</v>
      </c>
      <c r="Z56" s="485">
        <f t="shared" ca="1" si="2"/>
        <v>7.650736847124584E-3</v>
      </c>
      <c r="AA56" s="485">
        <f t="shared" ca="1" si="3"/>
        <v>0</v>
      </c>
      <c r="AB56" s="484">
        <f ca="1">IF('CDO Bespoke'!O57&lt;&gt;"",'CDO Bespoke'!O57,"")</f>
        <v>1.19515309169683</v>
      </c>
      <c r="AC56" s="485">
        <f ca="1">IF(AB56&lt;&gt;"",ABS(MIN(-0.75*('CDO Bespoke'!K57)+'CDO Bespoke'!T57,0)),"")</f>
        <v>0.22548017568257511</v>
      </c>
      <c r="AD56" s="485">
        <f t="shared" ca="1" si="4"/>
        <v>0.96967291601425498</v>
      </c>
      <c r="AE56" s="489">
        <f t="shared" ca="1" si="5"/>
        <v>0</v>
      </c>
      <c r="AF56" s="272"/>
      <c r="AG56" s="494" t="str">
        <f ca="1">IF('CDO Bespoke'!C81&lt;&gt;"",'CDO Bespoke'!C81,"")</f>
        <v>DANONE</v>
      </c>
      <c r="AH56" s="496">
        <f ca="1"/>
        <v>3.3251886299989764E-3</v>
      </c>
      <c r="AI56" s="585">
        <f ca="1"/>
        <v>1.0320268331032167E-2</v>
      </c>
      <c r="AJ56" s="585">
        <f ca="1"/>
        <v>2.8391681921036138E-2</v>
      </c>
      <c r="AK56" s="585">
        <f ca="1"/>
        <v>0.24090071097049304</v>
      </c>
      <c r="AL56" s="497">
        <f ca="1"/>
        <v>0</v>
      </c>
      <c r="AM56" s="496">
        <f ca="1"/>
        <v>7.8716512319845777E-5</v>
      </c>
      <c r="AN56" s="585">
        <f ca="1"/>
        <v>3.669621778196186E-4</v>
      </c>
      <c r="AO56" s="585">
        <f ca="1"/>
        <v>1.6656729825894473E-3</v>
      </c>
      <c r="AP56" s="585">
        <f ca="1"/>
        <v>0.1368787020403498</v>
      </c>
      <c r="AQ56" s="497">
        <f ca="1"/>
        <v>0</v>
      </c>
      <c r="AR56" s="580"/>
      <c r="AS56" s="580"/>
      <c r="AT56" s="580"/>
      <c r="AU56" s="580"/>
      <c r="AV56" s="580"/>
      <c r="AW56" s="580"/>
      <c r="AX56" s="579"/>
    </row>
    <row r="57" spans="2:50">
      <c r="B57" s="534" t="s">
        <v>532</v>
      </c>
      <c r="C57" s="535" t="s">
        <v>66</v>
      </c>
      <c r="D57" s="535" t="s">
        <v>59</v>
      </c>
      <c r="E57" s="535" t="s">
        <v>647</v>
      </c>
      <c r="F57" s="535" t="s">
        <v>673</v>
      </c>
      <c r="G57" s="536">
        <v>0.01</v>
      </c>
      <c r="H57" s="536">
        <v>7.2620000000000002E-3</v>
      </c>
      <c r="I57" s="537">
        <v>0.4</v>
      </c>
      <c r="J57" s="595">
        <v>5</v>
      </c>
      <c r="K57" s="538">
        <v>11</v>
      </c>
      <c r="L57" s="272"/>
      <c r="M57" s="272"/>
      <c r="P57" s="273"/>
      <c r="Q57" s="273"/>
      <c r="R57" s="273"/>
      <c r="S57" s="273"/>
      <c r="T57" s="576">
        <f ca="1"/>
        <v>0.03</v>
      </c>
      <c r="U57" s="573">
        <f ca="1"/>
        <v>49</v>
      </c>
      <c r="V57" s="576">
        <f t="shared" ca="1" si="6"/>
        <v>0</v>
      </c>
      <c r="W57" s="576">
        <f t="shared" ca="1" si="7"/>
        <v>0</v>
      </c>
      <c r="X57" s="484">
        <f ca="1">IF('CDO Bespoke'!O58&lt;&gt;"",'CDO Bespoke'!O58,"")</f>
        <v>1.19533108820154</v>
      </c>
      <c r="Y57" s="485">
        <f ca="1">IF(X57&lt;&gt;"",ABS(MIN(-0.75*('CDO Bespoke'!Q58)+'CDO Bespoke'!T58,0)),"")</f>
        <v>1.1871700680452177</v>
      </c>
      <c r="Z57" s="485">
        <f t="shared" ca="1" si="2"/>
        <v>8.1610201563222518E-3</v>
      </c>
      <c r="AA57" s="485">
        <f t="shared" ca="1" si="3"/>
        <v>0</v>
      </c>
      <c r="AB57" s="484">
        <f ca="1">IF('CDO Bespoke'!O58&lt;&gt;"",'CDO Bespoke'!O58,"")</f>
        <v>1.19533108820154</v>
      </c>
      <c r="AC57" s="485">
        <f ca="1">IF(AB57&lt;&gt;"",ABS(MIN(-0.75*('CDO Bespoke'!K58)+'CDO Bespoke'!T58,0)),"")</f>
        <v>0.20297378177782605</v>
      </c>
      <c r="AD57" s="485">
        <f t="shared" ca="1" si="4"/>
        <v>0.99235730642371389</v>
      </c>
      <c r="AE57" s="489">
        <f t="shared" ca="1" si="5"/>
        <v>0</v>
      </c>
      <c r="AF57" s="272"/>
      <c r="AG57" s="494" t="str">
        <f ca="1">IF('CDO Bespoke'!C82&lt;&gt;"",'CDO Bespoke'!C82,"")</f>
        <v>DIAGEO PLC</v>
      </c>
      <c r="AH57" s="496">
        <f ca="1"/>
        <v>-8.8514508489456745E-3</v>
      </c>
      <c r="AI57" s="585">
        <f ca="1"/>
        <v>-4.4229389319916379E-2</v>
      </c>
      <c r="AJ57" s="585">
        <f ca="1"/>
        <v>-0.17250838986959671</v>
      </c>
      <c r="AK57" s="585">
        <f ca="1"/>
        <v>2.3466005982508698</v>
      </c>
      <c r="AL57" s="497">
        <f ca="1"/>
        <v>0</v>
      </c>
      <c r="AM57" s="496">
        <f ca="1"/>
        <v>-1.859887744190547E-4</v>
      </c>
      <c r="AN57" s="585">
        <f ca="1"/>
        <v>-8.5325649764877998E-4</v>
      </c>
      <c r="AO57" s="585">
        <f ca="1"/>
        <v>-3.954290305496766E-3</v>
      </c>
      <c r="AP57" s="585">
        <f ca="1"/>
        <v>0.12676309557186211</v>
      </c>
      <c r="AQ57" s="497">
        <f ca="1"/>
        <v>0</v>
      </c>
      <c r="AR57" s="580"/>
      <c r="AS57" s="580"/>
      <c r="AT57" s="580"/>
      <c r="AU57" s="580"/>
      <c r="AV57" s="580"/>
      <c r="AW57" s="580"/>
      <c r="AX57" s="579"/>
    </row>
    <row r="58" spans="2:50">
      <c r="B58" s="539" t="s">
        <v>516</v>
      </c>
      <c r="C58" s="540" t="s">
        <v>66</v>
      </c>
      <c r="D58" s="540" t="s">
        <v>55</v>
      </c>
      <c r="E58" s="540" t="s">
        <v>647</v>
      </c>
      <c r="F58" s="540" t="s">
        <v>648</v>
      </c>
      <c r="G58" s="541">
        <v>0.01</v>
      </c>
      <c r="H58" s="541">
        <v>2.2030000000000001E-3</v>
      </c>
      <c r="I58" s="542">
        <v>0.4</v>
      </c>
      <c r="J58" s="602">
        <v>4</v>
      </c>
      <c r="K58" s="543">
        <v>12</v>
      </c>
      <c r="L58" s="272"/>
      <c r="M58" s="272"/>
      <c r="P58" s="273"/>
      <c r="Q58" s="273"/>
      <c r="R58" s="273"/>
      <c r="S58" s="273"/>
      <c r="T58" s="576">
        <f ca="1"/>
        <v>0.06</v>
      </c>
      <c r="U58" s="573">
        <f ca="1"/>
        <v>50</v>
      </c>
      <c r="V58" s="576">
        <f t="shared" ca="1" si="6"/>
        <v>0</v>
      </c>
      <c r="W58" s="576">
        <f t="shared" ca="1" si="7"/>
        <v>0</v>
      </c>
      <c r="X58" s="484">
        <f ca="1">IF('CDO Bespoke'!O59&lt;&gt;"",'CDO Bespoke'!O59,"")</f>
        <v>1.1810613508435699</v>
      </c>
      <c r="Y58" s="485">
        <f ca="1">IF(X58&lt;&gt;"",ABS(MIN(-0.75*('CDO Bespoke'!Q59)+'CDO Bespoke'!T59,0)),"")</f>
        <v>1.1915312426610984</v>
      </c>
      <c r="Z58" s="485">
        <f t="shared" ca="1" si="2"/>
        <v>0</v>
      </c>
      <c r="AA58" s="485">
        <f t="shared" ca="1" si="3"/>
        <v>0</v>
      </c>
      <c r="AB58" s="484">
        <f ca="1">IF('CDO Bespoke'!O59&lt;&gt;"",'CDO Bespoke'!O59,"")</f>
        <v>1.1810613508435699</v>
      </c>
      <c r="AC58" s="485">
        <f ca="1">IF(AB58&lt;&gt;"",ABS(MIN(-0.75*('CDO Bespoke'!K59)+'CDO Bespoke'!T59,0)),"")</f>
        <v>0.44843870726275364</v>
      </c>
      <c r="AD58" s="485">
        <f t="shared" ca="1" si="4"/>
        <v>0.7326226435808163</v>
      </c>
      <c r="AE58" s="489">
        <f t="shared" ca="1" si="5"/>
        <v>0</v>
      </c>
      <c r="AF58" s="272"/>
      <c r="AG58" s="494" t="str">
        <f ca="1">IF('CDO Bespoke'!C83&lt;&gt;"",'CDO Bespoke'!C83,"")</f>
        <v>ELO</v>
      </c>
      <c r="AH58" s="496">
        <f ca="1"/>
        <v>-1.9319062904976647E-4</v>
      </c>
      <c r="AI58" s="585">
        <f ca="1"/>
        <v>-3.2789810089361993E-3</v>
      </c>
      <c r="AJ58" s="585">
        <f ca="1"/>
        <v>-3.3647183809160097E-2</v>
      </c>
      <c r="AK58" s="585">
        <f ca="1"/>
        <v>2.0307024019106112</v>
      </c>
      <c r="AL58" s="497">
        <f ca="1"/>
        <v>0</v>
      </c>
      <c r="AM58" s="496">
        <f ca="1"/>
        <v>-1.5331919571009989E-4</v>
      </c>
      <c r="AN58" s="585">
        <f ca="1"/>
        <v>-7.2146833979963576E-4</v>
      </c>
      <c r="AO58" s="585">
        <f ca="1"/>
        <v>-3.5204924587195485E-3</v>
      </c>
      <c r="AP58" s="585">
        <f ca="1"/>
        <v>0.12238109040947909</v>
      </c>
      <c r="AQ58" s="497">
        <f ca="1"/>
        <v>0</v>
      </c>
      <c r="AR58" s="580"/>
      <c r="AS58" s="580"/>
      <c r="AT58" s="580"/>
      <c r="AU58" s="580"/>
      <c r="AV58" s="580"/>
      <c r="AW58" s="580"/>
      <c r="AX58" s="579"/>
    </row>
    <row r="59" spans="2:50">
      <c r="B59" s="517" t="s">
        <v>516</v>
      </c>
      <c r="C59" s="518" t="s">
        <v>66</v>
      </c>
      <c r="D59" s="518" t="s">
        <v>57</v>
      </c>
      <c r="E59" s="518" t="s">
        <v>647</v>
      </c>
      <c r="F59" s="518" t="s">
        <v>648</v>
      </c>
      <c r="G59" s="525">
        <v>0.01</v>
      </c>
      <c r="H59" s="525">
        <v>3.3639999999999998E-3</v>
      </c>
      <c r="I59" s="527">
        <v>0.4</v>
      </c>
      <c r="J59" s="594">
        <v>4</v>
      </c>
      <c r="K59" s="519">
        <v>12</v>
      </c>
      <c r="L59" s="272"/>
      <c r="M59" s="272"/>
      <c r="P59" s="273"/>
      <c r="Q59" s="273"/>
      <c r="R59" s="273"/>
      <c r="S59" s="273"/>
      <c r="T59" s="576">
        <f ca="1"/>
        <v>0.06</v>
      </c>
      <c r="U59" s="573">
        <f ca="1"/>
        <v>51</v>
      </c>
      <c r="V59" s="576">
        <f t="shared" ca="1" si="6"/>
        <v>0</v>
      </c>
      <c r="W59" s="576">
        <f t="shared" ca="1" si="7"/>
        <v>0</v>
      </c>
      <c r="X59" s="484">
        <f ca="1">IF('CDO Bespoke'!O60&lt;&gt;"",'CDO Bespoke'!O60,"")</f>
        <v>1.19528584983255</v>
      </c>
      <c r="Y59" s="485">
        <f ca="1">IF(X59&lt;&gt;"",ABS(MIN(-0.75*('CDO Bespoke'!Q60)+'CDO Bespoke'!T60,0)),"")</f>
        <v>1.1872619718164032</v>
      </c>
      <c r="Z59" s="485">
        <f t="shared" ca="1" si="2"/>
        <v>8.0238780161467904E-3</v>
      </c>
      <c r="AA59" s="485">
        <f t="shared" ca="1" si="3"/>
        <v>0</v>
      </c>
      <c r="AB59" s="484">
        <f ca="1">IF('CDO Bespoke'!O60&lt;&gt;"",'CDO Bespoke'!O60,"")</f>
        <v>1.19528584983255</v>
      </c>
      <c r="AC59" s="485">
        <f ca="1">IF(AB59&lt;&gt;"",ABS(MIN(-0.75*('CDO Bespoke'!K60)+'CDO Bespoke'!T60,0)),"")</f>
        <v>0.20942985302674733</v>
      </c>
      <c r="AD59" s="485">
        <f t="shared" ca="1" si="4"/>
        <v>0.98585599680580271</v>
      </c>
      <c r="AE59" s="489">
        <f t="shared" ca="1" si="5"/>
        <v>0</v>
      </c>
      <c r="AF59" s="272"/>
      <c r="AG59" s="494" t="str">
        <f ca="1">IF('CDO Bespoke'!C84&lt;&gt;"",'CDO Bespoke'!C84,"")</f>
        <v>Heineken N.V.</v>
      </c>
      <c r="AH59" s="496">
        <f ca="1"/>
        <v>3.058218890350517E-3</v>
      </c>
      <c r="AI59" s="585">
        <f ca="1"/>
        <v>9.2695334608094981E-3</v>
      </c>
      <c r="AJ59" s="585">
        <f ca="1"/>
        <v>2.5124794950093232E-2</v>
      </c>
      <c r="AK59" s="585">
        <f ca="1"/>
        <v>0.19939625968024011</v>
      </c>
      <c r="AL59" s="497">
        <f ca="1"/>
        <v>0</v>
      </c>
      <c r="AM59" s="496">
        <f ca="1"/>
        <v>8.457812892027905E-5</v>
      </c>
      <c r="AN59" s="585">
        <f ca="1"/>
        <v>3.9378604431011821E-4</v>
      </c>
      <c r="AO59" s="585">
        <f ca="1"/>
        <v>1.7963040895501575E-3</v>
      </c>
      <c r="AP59" s="585">
        <f ca="1"/>
        <v>0.13720859757371978</v>
      </c>
      <c r="AQ59" s="497">
        <f ca="1"/>
        <v>0</v>
      </c>
      <c r="AR59" s="580"/>
      <c r="AS59" s="580"/>
      <c r="AT59" s="580"/>
      <c r="AU59" s="580"/>
      <c r="AV59" s="580"/>
      <c r="AW59" s="580"/>
      <c r="AX59" s="579"/>
    </row>
    <row r="60" spans="2:50">
      <c r="B60" s="534" t="s">
        <v>516</v>
      </c>
      <c r="C60" s="535" t="s">
        <v>66</v>
      </c>
      <c r="D60" s="535" t="s">
        <v>59</v>
      </c>
      <c r="E60" s="535" t="s">
        <v>647</v>
      </c>
      <c r="F60" s="535" t="s">
        <v>648</v>
      </c>
      <c r="G60" s="536">
        <v>0.01</v>
      </c>
      <c r="H60" s="536">
        <v>4.9129999999999998E-3</v>
      </c>
      <c r="I60" s="537">
        <v>0.4</v>
      </c>
      <c r="J60" s="595">
        <v>4</v>
      </c>
      <c r="K60" s="538">
        <v>12</v>
      </c>
      <c r="L60" s="272"/>
      <c r="M60" s="272"/>
      <c r="P60" s="273"/>
      <c r="Q60" s="273"/>
      <c r="R60" s="273"/>
      <c r="S60" s="273"/>
      <c r="T60" s="576">
        <f ca="1"/>
        <v>0.06</v>
      </c>
      <c r="U60" s="573">
        <f ca="1"/>
        <v>52</v>
      </c>
      <c r="V60" s="576">
        <f t="shared" ca="1" si="6"/>
        <v>0</v>
      </c>
      <c r="W60" s="576">
        <f t="shared" ca="1" si="7"/>
        <v>0</v>
      </c>
      <c r="X60" s="484">
        <f ca="1">IF('CDO Bespoke'!O61&lt;&gt;"",'CDO Bespoke'!O61,"")</f>
        <v>1.19544730612132</v>
      </c>
      <c r="Y60" s="485">
        <f ca="1">IF(X60&lt;&gt;"",ABS(MIN(-0.75*('CDO Bespoke'!Q61)+'CDO Bespoke'!T61,0)),"")</f>
        <v>1.1868999365916659</v>
      </c>
      <c r="Z60" s="485">
        <f t="shared" ca="1" si="2"/>
        <v>8.5473695296540697E-3</v>
      </c>
      <c r="AA60" s="485">
        <f t="shared" ca="1" si="3"/>
        <v>0</v>
      </c>
      <c r="AB60" s="484">
        <f ca="1">IF('CDO Bespoke'!O61&lt;&gt;"",'CDO Bespoke'!O61,"")</f>
        <v>1.19544730612132</v>
      </c>
      <c r="AC60" s="485">
        <f ca="1">IF(AB60&lt;&gt;"",ABS(MIN(-0.75*('CDO Bespoke'!K61)+'CDO Bespoke'!T61,0)),"")</f>
        <v>0.18273774022382774</v>
      </c>
      <c r="AD60" s="485">
        <f t="shared" ca="1" si="4"/>
        <v>1.0127095658974923</v>
      </c>
      <c r="AE60" s="489">
        <f t="shared" ca="1" si="5"/>
        <v>0</v>
      </c>
      <c r="AF60" s="272"/>
      <c r="AG60" s="494" t="str">
        <f ca="1">IF('CDO Bespoke'!C85&lt;&gt;"",'CDO Bespoke'!C85,"")</f>
        <v>Henkel AG &amp; Co. KGaA</v>
      </c>
      <c r="AH60" s="496">
        <f ca="1"/>
        <v>2.6760806204340071E-3</v>
      </c>
      <c r="AI60" s="585">
        <f ca="1"/>
        <v>7.8934355007831414E-3</v>
      </c>
      <c r="AJ60" s="585">
        <f ca="1"/>
        <v>2.0802545820375329E-2</v>
      </c>
      <c r="AK60" s="585">
        <f ca="1"/>
        <v>0.11233585843095639</v>
      </c>
      <c r="AL60" s="497">
        <f ca="1"/>
        <v>0</v>
      </c>
      <c r="AM60" s="496">
        <f ca="1"/>
        <v>9.7489571640463346E-5</v>
      </c>
      <c r="AN60" s="585">
        <f ca="1"/>
        <v>4.5295544025131251E-4</v>
      </c>
      <c r="AO60" s="585">
        <f ca="1"/>
        <v>2.0878488333000988E-3</v>
      </c>
      <c r="AP60" s="585">
        <f ca="1"/>
        <v>0.13783750662747019</v>
      </c>
      <c r="AQ60" s="497">
        <f ca="1"/>
        <v>0</v>
      </c>
      <c r="AR60" s="580"/>
      <c r="AS60" s="580"/>
      <c r="AT60" s="580"/>
      <c r="AU60" s="580"/>
      <c r="AV60" s="580"/>
      <c r="AW60" s="580"/>
      <c r="AX60" s="579"/>
    </row>
    <row r="61" spans="2:50">
      <c r="B61" s="539" t="s">
        <v>612</v>
      </c>
      <c r="C61" s="540" t="s">
        <v>66</v>
      </c>
      <c r="D61" s="540" t="s">
        <v>55</v>
      </c>
      <c r="E61" s="540" t="s">
        <v>649</v>
      </c>
      <c r="F61" s="540" t="s">
        <v>648</v>
      </c>
      <c r="G61" s="541">
        <v>0.01</v>
      </c>
      <c r="H61" s="541">
        <v>5.3819999999999996E-3</v>
      </c>
      <c r="I61" s="542">
        <v>0.4</v>
      </c>
      <c r="J61" s="602">
        <v>4</v>
      </c>
      <c r="K61" s="543">
        <v>13</v>
      </c>
      <c r="L61" s="272"/>
      <c r="M61" s="272"/>
      <c r="P61" s="273"/>
      <c r="Q61" s="273"/>
      <c r="R61" s="273"/>
      <c r="S61" s="273"/>
      <c r="T61" s="576">
        <f ca="1"/>
        <v>0.02</v>
      </c>
      <c r="U61" s="573">
        <f ca="1"/>
        <v>53</v>
      </c>
      <c r="V61" s="576">
        <f t="shared" ca="1" si="6"/>
        <v>0</v>
      </c>
      <c r="W61" s="576">
        <f t="shared" ca="1" si="7"/>
        <v>0</v>
      </c>
      <c r="X61" s="484">
        <f ca="1">IF('CDO Bespoke'!O62&lt;&gt;"",'CDO Bespoke'!O62,"")</f>
        <v>1.19390683900623</v>
      </c>
      <c r="Y61" s="485">
        <f ca="1">IF(X61&lt;&gt;"",ABS(MIN(-0.75*('CDO Bespoke'!Q62)+'CDO Bespoke'!T62,0)),"")</f>
        <v>1.1888724451269923</v>
      </c>
      <c r="Z61" s="485">
        <f t="shared" ca="1" si="2"/>
        <v>5.034393879237653E-3</v>
      </c>
      <c r="AA61" s="485">
        <f t="shared" ca="1" si="3"/>
        <v>0</v>
      </c>
      <c r="AB61" s="484">
        <f ca="1">IF('CDO Bespoke'!O62&lt;&gt;"",'CDO Bespoke'!O62,"")</f>
        <v>1.19390683900623</v>
      </c>
      <c r="AC61" s="485">
        <f ca="1">IF(AB61&lt;&gt;"",ABS(MIN(-0.75*('CDO Bespoke'!K62)+'CDO Bespoke'!T62,0)),"")</f>
        <v>0.30217376438623145</v>
      </c>
      <c r="AD61" s="485">
        <f t="shared" ca="1" si="4"/>
        <v>0.89173307461999851</v>
      </c>
      <c r="AE61" s="489">
        <f t="shared" ca="1" si="5"/>
        <v>0</v>
      </c>
      <c r="AF61" s="272"/>
      <c r="AG61" s="494" t="str">
        <f ca="1">IF('CDO Bespoke'!C86&lt;&gt;"",'CDO Bespoke'!C86,"")</f>
        <v>IMPERIAL BRANDS PLC</v>
      </c>
      <c r="AH61" s="496">
        <f ca="1"/>
        <v>3.9224156100914342E-3</v>
      </c>
      <c r="AI61" s="585">
        <f ca="1"/>
        <v>1.29436333407007E-2</v>
      </c>
      <c r="AJ61" s="585">
        <f ca="1"/>
        <v>3.6474249890394717E-2</v>
      </c>
      <c r="AK61" s="585">
        <f ca="1"/>
        <v>0.62773783451097742</v>
      </c>
      <c r="AL61" s="497">
        <f ca="1"/>
        <v>0</v>
      </c>
      <c r="AM61" s="496">
        <f ca="1"/>
        <v>3.0337410842837254E-5</v>
      </c>
      <c r="AN61" s="585">
        <f ca="1"/>
        <v>1.4438570307331172E-4</v>
      </c>
      <c r="AO61" s="585">
        <f ca="1"/>
        <v>5.6728449261307656E-4</v>
      </c>
      <c r="AP61" s="585">
        <f ca="1"/>
        <v>0.13431496234896315</v>
      </c>
      <c r="AQ61" s="497">
        <f ca="1"/>
        <v>0</v>
      </c>
      <c r="AR61" s="580"/>
      <c r="AS61" s="580"/>
      <c r="AT61" s="580"/>
      <c r="AU61" s="580"/>
      <c r="AV61" s="580"/>
      <c r="AW61" s="580"/>
      <c r="AX61" s="579"/>
    </row>
    <row r="62" spans="2:50">
      <c r="B62" s="517" t="s">
        <v>612</v>
      </c>
      <c r="C62" s="518" t="s">
        <v>66</v>
      </c>
      <c r="D62" s="518" t="s">
        <v>57</v>
      </c>
      <c r="E62" s="518" t="s">
        <v>649</v>
      </c>
      <c r="F62" s="518" t="s">
        <v>648</v>
      </c>
      <c r="G62" s="525">
        <v>0.01</v>
      </c>
      <c r="H62" s="525">
        <v>8.8269999999999998E-3</v>
      </c>
      <c r="I62" s="527">
        <v>0.4</v>
      </c>
      <c r="J62" s="594">
        <v>4</v>
      </c>
      <c r="K62" s="519">
        <v>13</v>
      </c>
      <c r="L62" s="272"/>
      <c r="M62" s="272"/>
      <c r="P62" s="273"/>
      <c r="Q62" s="273"/>
      <c r="R62" s="273"/>
      <c r="S62" s="273"/>
      <c r="T62" s="576">
        <f ca="1"/>
        <v>0.02</v>
      </c>
      <c r="U62" s="573">
        <f ca="1"/>
        <v>54</v>
      </c>
      <c r="V62" s="576">
        <f t="shared" ca="1" si="6"/>
        <v>0</v>
      </c>
      <c r="W62" s="576">
        <f t="shared" ca="1" si="7"/>
        <v>0</v>
      </c>
      <c r="X62" s="484">
        <f ca="1">IF('CDO Bespoke'!O63&lt;&gt;"",'CDO Bespoke'!O63,"")</f>
        <v>1.19494496186207</v>
      </c>
      <c r="Y62" s="485">
        <f ca="1">IF(X62&lt;&gt;"",ABS(MIN(-0.75*('CDO Bespoke'!Q63)+'CDO Bespoke'!T63,0)),"")</f>
        <v>1.1878178983743448</v>
      </c>
      <c r="Z62" s="485">
        <f t="shared" ca="1" si="2"/>
        <v>7.1270634877251826E-3</v>
      </c>
      <c r="AA62" s="485">
        <f t="shared" ca="1" si="3"/>
        <v>0</v>
      </c>
      <c r="AB62" s="484">
        <f ca="1">IF('CDO Bespoke'!O63&lt;&gt;"",'CDO Bespoke'!O63,"")</f>
        <v>1.19494496186207</v>
      </c>
      <c r="AC62" s="485">
        <f ca="1">IF(AB62&lt;&gt;"",ABS(MIN(-0.75*('CDO Bespoke'!K63)+'CDO Bespoke'!T63,0)),"")</f>
        <v>0.24503814201807592</v>
      </c>
      <c r="AD62" s="485">
        <f t="shared" ca="1" si="4"/>
        <v>0.94990681984399405</v>
      </c>
      <c r="AE62" s="489">
        <f t="shared" ca="1" si="5"/>
        <v>0</v>
      </c>
      <c r="AF62" s="272"/>
      <c r="AG62" s="494" t="str">
        <f ca="1">IF('CDO Bespoke'!C87&lt;&gt;"",'CDO Bespoke'!C87,"")</f>
        <v>Kering</v>
      </c>
      <c r="AH62" s="496">
        <f ca="1"/>
        <v>3.6076100806692324E-3</v>
      </c>
      <c r="AI62" s="585">
        <f ca="1"/>
        <v>1.1471442010746458E-2</v>
      </c>
      <c r="AJ62" s="585">
        <f ca="1"/>
        <v>3.2058231120846159E-2</v>
      </c>
      <c r="AK62" s="585">
        <f ca="1"/>
        <v>0.30562525113020378</v>
      </c>
      <c r="AL62" s="497">
        <f ca="1"/>
        <v>0</v>
      </c>
      <c r="AM62" s="496">
        <f ca="1"/>
        <v>7.0002849180891835E-5</v>
      </c>
      <c r="AN62" s="585">
        <f ca="1"/>
        <v>3.2702507619074284E-4</v>
      </c>
      <c r="AO62" s="585">
        <f ca="1"/>
        <v>1.4703076945506849E-3</v>
      </c>
      <c r="AP62" s="585">
        <f ca="1"/>
        <v>0.13639904045853052</v>
      </c>
      <c r="AQ62" s="497">
        <f ca="1"/>
        <v>0</v>
      </c>
      <c r="AR62" s="580"/>
      <c r="AS62" s="580"/>
      <c r="AT62" s="580"/>
      <c r="AU62" s="580"/>
      <c r="AV62" s="580"/>
      <c r="AW62" s="580"/>
      <c r="AX62" s="579"/>
    </row>
    <row r="63" spans="2:50">
      <c r="B63" s="534" t="s">
        <v>612</v>
      </c>
      <c r="C63" s="535" t="s">
        <v>66</v>
      </c>
      <c r="D63" s="535" t="s">
        <v>59</v>
      </c>
      <c r="E63" s="535" t="s">
        <v>649</v>
      </c>
      <c r="F63" s="535" t="s">
        <v>648</v>
      </c>
      <c r="G63" s="536">
        <v>0.01</v>
      </c>
      <c r="H63" s="536">
        <v>1.2491E-2</v>
      </c>
      <c r="I63" s="537">
        <v>0.4</v>
      </c>
      <c r="J63" s="595">
        <v>4</v>
      </c>
      <c r="K63" s="538">
        <v>13</v>
      </c>
      <c r="L63" s="272"/>
      <c r="M63" s="272"/>
      <c r="P63" s="273"/>
      <c r="Q63" s="273"/>
      <c r="R63" s="273"/>
      <c r="S63" s="273"/>
      <c r="T63" s="576">
        <f ca="1"/>
        <v>0.06</v>
      </c>
      <c r="U63" s="573">
        <f ca="1"/>
        <v>55</v>
      </c>
      <c r="V63" s="576">
        <f t="shared" ca="1" si="6"/>
        <v>0</v>
      </c>
      <c r="W63" s="576">
        <f t="shared" ca="1" si="7"/>
        <v>0</v>
      </c>
      <c r="X63" s="484">
        <f ca="1">IF('CDO Bespoke'!O64&lt;&gt;"",'CDO Bespoke'!O64,"")</f>
        <v>1.19527202250022</v>
      </c>
      <c r="Y63" s="485">
        <f ca="1">IF(X63&lt;&gt;"",ABS(MIN(-0.75*('CDO Bespoke'!Q64)+'CDO Bespoke'!T64,0)),"")</f>
        <v>1.187288911058793</v>
      </c>
      <c r="Z63" s="485">
        <f t="shared" ca="1" si="2"/>
        <v>7.9831114414270488E-3</v>
      </c>
      <c r="AA63" s="485">
        <f t="shared" ca="1" si="3"/>
        <v>0</v>
      </c>
      <c r="AB63" s="484">
        <f ca="1">IF('CDO Bespoke'!O64&lt;&gt;"",'CDO Bespoke'!O64,"")</f>
        <v>1.19527202250022</v>
      </c>
      <c r="AC63" s="485">
        <f ca="1">IF(AB63&lt;&gt;"",ABS(MIN(-0.75*('CDO Bespoke'!K64)+'CDO Bespoke'!T64,0)),"")</f>
        <v>0.21128644080981226</v>
      </c>
      <c r="AD63" s="485">
        <f t="shared" ca="1" si="4"/>
        <v>0.98398558169040773</v>
      </c>
      <c r="AE63" s="489">
        <f t="shared" ca="1" si="5"/>
        <v>0</v>
      </c>
      <c r="AF63" s="272"/>
      <c r="AG63" s="494" t="str">
        <f ca="1">IF('CDO Bespoke'!C88&lt;&gt;"",'CDO Bespoke'!C88,"")</f>
        <v>Koninklijke Ahold Delhaize N.V.</v>
      </c>
      <c r="AH63" s="496">
        <f ca="1"/>
        <v>-1.0945447639354455E-2</v>
      </c>
      <c r="AI63" s="585">
        <f ca="1"/>
        <v>-5.3854391849350591E-2</v>
      </c>
      <c r="AJ63" s="585">
        <f ca="1"/>
        <v>-0.21114454092918677</v>
      </c>
      <c r="AK63" s="585">
        <f ca="1"/>
        <v>2.5802199607405374</v>
      </c>
      <c r="AL63" s="497">
        <f ca="1"/>
        <v>0</v>
      </c>
      <c r="AM63" s="496">
        <f ca="1"/>
        <v>-2.2871983535871498E-4</v>
      </c>
      <c r="AN63" s="585">
        <f ca="1"/>
        <v>-1.0504744311287673E-3</v>
      </c>
      <c r="AO63" s="585">
        <f ca="1"/>
        <v>-4.8266251294809548E-3</v>
      </c>
      <c r="AP63" s="585">
        <f ca="1"/>
        <v>0.12496458663734804</v>
      </c>
      <c r="AQ63" s="497">
        <f ca="1"/>
        <v>0</v>
      </c>
      <c r="AR63" s="580"/>
      <c r="AS63" s="580"/>
      <c r="AT63" s="580"/>
      <c r="AU63" s="580"/>
      <c r="AV63" s="580"/>
      <c r="AW63" s="580"/>
      <c r="AX63" s="579"/>
    </row>
    <row r="64" spans="2:50">
      <c r="B64" s="539" t="s">
        <v>517</v>
      </c>
      <c r="C64" s="540" t="s">
        <v>66</v>
      </c>
      <c r="D64" s="540" t="s">
        <v>55</v>
      </c>
      <c r="E64" s="540" t="s">
        <v>649</v>
      </c>
      <c r="F64" s="540" t="s">
        <v>648</v>
      </c>
      <c r="G64" s="541">
        <v>0.01</v>
      </c>
      <c r="H64" s="541">
        <v>2.905E-3</v>
      </c>
      <c r="I64" s="542">
        <v>0.4</v>
      </c>
      <c r="J64" s="602">
        <v>4</v>
      </c>
      <c r="K64" s="543">
        <v>14</v>
      </c>
      <c r="L64" s="272"/>
      <c r="M64" s="272"/>
      <c r="P64" s="273"/>
      <c r="Q64" s="273"/>
      <c r="R64" s="273"/>
      <c r="S64" s="273"/>
      <c r="T64" s="576">
        <f ca="1"/>
        <v>0.06</v>
      </c>
      <c r="U64" s="573">
        <f ca="1"/>
        <v>56</v>
      </c>
      <c r="V64" s="576">
        <f t="shared" ca="1" si="6"/>
        <v>0</v>
      </c>
      <c r="W64" s="576">
        <f t="shared" ca="1" si="7"/>
        <v>0</v>
      </c>
      <c r="X64" s="484">
        <f ca="1">IF('CDO Bespoke'!O65&lt;&gt;"",'CDO Bespoke'!O65,"")</f>
        <v>1.19470731124271</v>
      </c>
      <c r="Y64" s="485">
        <f ca="1">IF(X64&lt;&gt;"",ABS(MIN(-0.75*('CDO Bespoke'!Q65)+'CDO Bespoke'!T65,0)),"")</f>
        <v>1.1881184514269818</v>
      </c>
      <c r="Z64" s="485">
        <f t="shared" ca="1" si="2"/>
        <v>6.5888598157282097E-3</v>
      </c>
      <c r="AA64" s="485">
        <f t="shared" ca="1" si="3"/>
        <v>0</v>
      </c>
      <c r="AB64" s="484">
        <f ca="1">IF('CDO Bespoke'!O65&lt;&gt;"",'CDO Bespoke'!O65,"")</f>
        <v>1.19470731124271</v>
      </c>
      <c r="AC64" s="485">
        <f ca="1">IF(AB64&lt;&gt;"",ABS(MIN(-0.75*('CDO Bespoke'!K65)+'CDO Bespoke'!T65,0)),"")</f>
        <v>0.26241152867104256</v>
      </c>
      <c r="AD64" s="485">
        <f t="shared" ca="1" si="4"/>
        <v>0.93229578257166745</v>
      </c>
      <c r="AE64" s="489">
        <f t="shared" ca="1" si="5"/>
        <v>0</v>
      </c>
      <c r="AF64" s="272"/>
      <c r="AG64" s="494" t="str">
        <f ca="1">IF('CDO Bespoke'!C89&lt;&gt;"",'CDO Bespoke'!C89,"")</f>
        <v>Koninklijke Philips N.V.</v>
      </c>
      <c r="AH64" s="496">
        <f ca="1"/>
        <v>3.8367374000092269E-3</v>
      </c>
      <c r="AI64" s="585">
        <f ca="1"/>
        <v>1.2454104320047676E-2</v>
      </c>
      <c r="AJ64" s="585">
        <f ca="1"/>
        <v>3.524006679023195E-2</v>
      </c>
      <c r="AK64" s="585">
        <f ca="1"/>
        <v>0.36928265095048651</v>
      </c>
      <c r="AL64" s="497">
        <f ca="1"/>
        <v>0</v>
      </c>
      <c r="AM64" s="496">
        <f ca="1"/>
        <v>6.1700686920101999E-5</v>
      </c>
      <c r="AN64" s="585">
        <f ca="1"/>
        <v>2.8892756862020086E-4</v>
      </c>
      <c r="AO64" s="585">
        <f ca="1"/>
        <v>1.2839516939103235E-3</v>
      </c>
      <c r="AP64" s="585">
        <f ca="1"/>
        <v>0.13592972855277008</v>
      </c>
      <c r="AQ64" s="497">
        <f ca="1"/>
        <v>0</v>
      </c>
      <c r="AR64" s="580"/>
      <c r="AS64" s="580"/>
      <c r="AT64" s="580"/>
      <c r="AU64" s="580"/>
      <c r="AV64" s="580"/>
      <c r="AW64" s="580"/>
      <c r="AX64" s="579"/>
    </row>
    <row r="65" spans="2:50">
      <c r="B65" s="517" t="s">
        <v>517</v>
      </c>
      <c r="C65" s="518" t="s">
        <v>66</v>
      </c>
      <c r="D65" s="518" t="s">
        <v>57</v>
      </c>
      <c r="E65" s="518" t="s">
        <v>649</v>
      </c>
      <c r="F65" s="518" t="s">
        <v>648</v>
      </c>
      <c r="G65" s="525">
        <v>0.01</v>
      </c>
      <c r="H65" s="525">
        <v>4.709E-2</v>
      </c>
      <c r="I65" s="527">
        <v>0.4</v>
      </c>
      <c r="J65" s="594">
        <v>4</v>
      </c>
      <c r="K65" s="519">
        <v>14</v>
      </c>
      <c r="L65" s="272"/>
      <c r="M65" s="272"/>
      <c r="P65" s="273"/>
      <c r="Q65" s="273"/>
      <c r="R65" s="273"/>
      <c r="S65" s="273"/>
      <c r="T65" s="576">
        <f ca="1"/>
        <v>0.06</v>
      </c>
      <c r="U65" s="573">
        <f ca="1"/>
        <v>57</v>
      </c>
      <c r="V65" s="576">
        <f t="shared" ca="1" si="6"/>
        <v>0</v>
      </c>
      <c r="W65" s="576">
        <f t="shared" ca="1" si="7"/>
        <v>0</v>
      </c>
      <c r="X65" s="484">
        <f ca="1">IF('CDO Bespoke'!O66&lt;&gt;"",'CDO Bespoke'!O66,"")</f>
        <v>1.19232393155728</v>
      </c>
      <c r="Y65" s="485">
        <f ca="1">IF(X65&lt;&gt;"",ABS(MIN(-0.75*('CDO Bespoke'!Q66)+'CDO Bespoke'!T66,0)),"")</f>
        <v>1.1898126214722473</v>
      </c>
      <c r="Z65" s="485">
        <f t="shared" ca="1" si="2"/>
        <v>2.5113100850326919E-3</v>
      </c>
      <c r="AA65" s="485">
        <f t="shared" ca="1" si="3"/>
        <v>0</v>
      </c>
      <c r="AB65" s="484">
        <f ca="1">IF('CDO Bespoke'!O66&lt;&gt;"",'CDO Bespoke'!O66,"")</f>
        <v>1.19232393155728</v>
      </c>
      <c r="AC65" s="485">
        <f ca="1">IF(AB65&lt;&gt;"",ABS(MIN(-0.75*('CDO Bespoke'!K66)+'CDO Bespoke'!T66,0)),"")</f>
        <v>0.34724106830112222</v>
      </c>
      <c r="AD65" s="485">
        <f t="shared" ca="1" si="4"/>
        <v>0.84508286325615778</v>
      </c>
      <c r="AE65" s="489">
        <f t="shared" ca="1" si="5"/>
        <v>0</v>
      </c>
      <c r="AF65" s="272"/>
      <c r="AG65" s="494" t="str">
        <f ca="1">IF('CDO Bespoke'!C90&lt;&gt;"",'CDO Bespoke'!C90,"")</f>
        <v>Louis Dreyfus Company B.V.</v>
      </c>
      <c r="AH65" s="496">
        <f ca="1"/>
        <v>3.342311730714087E-3</v>
      </c>
      <c r="AI65" s="585">
        <f ca="1"/>
        <v>1.0770011320548889E-2</v>
      </c>
      <c r="AJ65" s="585">
        <f ca="1"/>
        <v>2.7752378470857764E-2</v>
      </c>
      <c r="AK65" s="585">
        <f ca="1"/>
        <v>1.0363571614102618</v>
      </c>
      <c r="AL65" s="497">
        <f ca="1"/>
        <v>0</v>
      </c>
      <c r="AM65" s="496">
        <f ca="1"/>
        <v>-1.8048948180297841E-5</v>
      </c>
      <c r="AN65" s="585">
        <f ca="1"/>
        <v>-7.9886753280231093E-5</v>
      </c>
      <c r="AO65" s="585">
        <f ca="1"/>
        <v>-4.328196032103368E-4</v>
      </c>
      <c r="AP65" s="585">
        <f ca="1"/>
        <v>0.13157441663174968</v>
      </c>
      <c r="AQ65" s="497">
        <f ca="1"/>
        <v>0</v>
      </c>
      <c r="AR65" s="580"/>
      <c r="AS65" s="580"/>
      <c r="AT65" s="580"/>
      <c r="AU65" s="580"/>
      <c r="AV65" s="580"/>
      <c r="AW65" s="580"/>
      <c r="AX65" s="579"/>
    </row>
    <row r="66" spans="2:50">
      <c r="B66" s="534" t="s">
        <v>517</v>
      </c>
      <c r="C66" s="535" t="s">
        <v>66</v>
      </c>
      <c r="D66" s="535" t="s">
        <v>59</v>
      </c>
      <c r="E66" s="535" t="s">
        <v>649</v>
      </c>
      <c r="F66" s="535" t="s">
        <v>648</v>
      </c>
      <c r="G66" s="536">
        <v>0.01</v>
      </c>
      <c r="H66" s="536">
        <v>6.6230000000000004E-3</v>
      </c>
      <c r="I66" s="537">
        <v>0.4</v>
      </c>
      <c r="J66" s="595">
        <v>4</v>
      </c>
      <c r="K66" s="538">
        <v>14</v>
      </c>
      <c r="L66" s="272"/>
      <c r="M66" s="272"/>
      <c r="P66" s="273"/>
      <c r="Q66" s="273"/>
      <c r="R66" s="273"/>
      <c r="S66" s="273"/>
      <c r="T66" s="576">
        <f ca="1"/>
        <v>0.06</v>
      </c>
      <c r="U66" s="573">
        <f ca="1"/>
        <v>58</v>
      </c>
      <c r="V66" s="576">
        <f t="shared" ca="1" si="6"/>
        <v>0</v>
      </c>
      <c r="W66" s="576">
        <f t="shared" ca="1" si="7"/>
        <v>0</v>
      </c>
      <c r="X66" s="484">
        <f ca="1">IF('CDO Bespoke'!O67&lt;&gt;"",'CDO Bespoke'!O67,"")</f>
        <v>1.1952930550112499</v>
      </c>
      <c r="Y66" s="485">
        <f ca="1">IF(X66&lt;&gt;"",ABS(MIN(-0.75*('CDO Bespoke'!Q67)+'CDO Bespoke'!T67,0)),"")</f>
        <v>1.1872477305208717</v>
      </c>
      <c r="Z66" s="485">
        <f t="shared" ca="1" si="2"/>
        <v>8.0453244903782029E-3</v>
      </c>
      <c r="AA66" s="485">
        <f t="shared" ca="1" si="3"/>
        <v>0</v>
      </c>
      <c r="AB66" s="484">
        <f ca="1">IF('CDO Bespoke'!O67&lt;&gt;"",'CDO Bespoke'!O67,"")</f>
        <v>1.1952930550112499</v>
      </c>
      <c r="AC66" s="485">
        <f ca="1">IF(AB66&lt;&gt;"",ABS(MIN(-0.75*('CDO Bespoke'!K67)+'CDO Bespoke'!T67,0)),"")</f>
        <v>0.20844198146617429</v>
      </c>
      <c r="AD66" s="485">
        <f t="shared" ca="1" si="4"/>
        <v>0.98685107354507562</v>
      </c>
      <c r="AE66" s="489">
        <f t="shared" ca="1" si="5"/>
        <v>0</v>
      </c>
      <c r="AF66" s="272"/>
      <c r="AG66" s="494" t="str">
        <f ca="1">IF('CDO Bespoke'!C91&lt;&gt;"",'CDO Bespoke'!C91,"")</f>
        <v>LVMH MOET HENNESSY LOUIS VUITTON</v>
      </c>
      <c r="AH66" s="496">
        <f ca="1"/>
        <v>3.0429611008742086E-3</v>
      </c>
      <c r="AI66" s="585">
        <f ca="1"/>
        <v>9.2115254901603549E-3</v>
      </c>
      <c r="AJ66" s="585">
        <f ca="1"/>
        <v>2.4944916560132313E-2</v>
      </c>
      <c r="AK66" s="585">
        <f ca="1"/>
        <v>0.1964968081802354</v>
      </c>
      <c r="AL66" s="497">
        <f ca="1"/>
        <v>0</v>
      </c>
      <c r="AM66" s="496">
        <f ca="1"/>
        <v>8.4990067950041492E-5</v>
      </c>
      <c r="AN66" s="585">
        <f ca="1"/>
        <v>3.9567328662046264E-4</v>
      </c>
      <c r="AO66" s="585">
        <f ca="1"/>
        <v>1.805549386109731E-3</v>
      </c>
      <c r="AP66" s="585">
        <f ca="1"/>
        <v>0.13723021986648021</v>
      </c>
      <c r="AQ66" s="497">
        <f ca="1"/>
        <v>0</v>
      </c>
      <c r="AR66" s="580"/>
      <c r="AS66" s="580"/>
      <c r="AT66" s="580"/>
      <c r="AU66" s="580"/>
      <c r="AV66" s="580"/>
      <c r="AW66" s="580"/>
      <c r="AX66" s="579"/>
    </row>
    <row r="67" spans="2:50">
      <c r="B67" s="539" t="s">
        <v>518</v>
      </c>
      <c r="C67" s="540" t="s">
        <v>66</v>
      </c>
      <c r="D67" s="540" t="s">
        <v>55</v>
      </c>
      <c r="E67" s="540" t="s">
        <v>649</v>
      </c>
      <c r="F67" s="540" t="s">
        <v>673</v>
      </c>
      <c r="G67" s="541">
        <v>0.01</v>
      </c>
      <c r="H67" s="541">
        <v>5.1570000000000001E-3</v>
      </c>
      <c r="I67" s="542">
        <v>0.4</v>
      </c>
      <c r="J67" s="602">
        <v>5</v>
      </c>
      <c r="K67" s="543">
        <v>15</v>
      </c>
      <c r="L67" s="272"/>
      <c r="M67" s="272"/>
      <c r="P67" s="273"/>
      <c r="Q67" s="273"/>
      <c r="R67" s="273"/>
      <c r="S67" s="273"/>
      <c r="T67" s="576">
        <f ca="1"/>
        <v>0.06</v>
      </c>
      <c r="U67" s="573">
        <f ca="1"/>
        <v>59</v>
      </c>
      <c r="V67" s="576">
        <f t="shared" ca="1" si="6"/>
        <v>0</v>
      </c>
      <c r="W67" s="576">
        <f t="shared" ca="1" si="7"/>
        <v>0</v>
      </c>
      <c r="X67" s="484">
        <f ca="1">IF('CDO Bespoke'!O68&lt;&gt;"",'CDO Bespoke'!O68,"")</f>
        <v>1.1952381863920101</v>
      </c>
      <c r="Y67" s="485">
        <f ca="1">IF(X67&lt;&gt;"",ABS(MIN(-0.75*('CDO Bespoke'!Q68)+'CDO Bespoke'!T68,0)),"")</f>
        <v>1.1873527969967879</v>
      </c>
      <c r="Z67" s="485">
        <f t="shared" ca="1" si="2"/>
        <v>7.8853893952222087E-3</v>
      </c>
      <c r="AA67" s="485">
        <f t="shared" ca="1" si="3"/>
        <v>0</v>
      </c>
      <c r="AB67" s="484">
        <f ca="1">IF('CDO Bespoke'!O68&lt;&gt;"",'CDO Bespoke'!O68,"")</f>
        <v>1.1952381863920101</v>
      </c>
      <c r="AC67" s="485">
        <f ca="1">IF(AB67&lt;&gt;"",ABS(MIN(-0.75*('CDO Bespoke'!K68)+'CDO Bespoke'!T68,0)),"")</f>
        <v>0.2156281537856804</v>
      </c>
      <c r="AD67" s="485">
        <f t="shared" ca="1" si="4"/>
        <v>0.97961003260632973</v>
      </c>
      <c r="AE67" s="489">
        <f t="shared" ca="1" si="5"/>
        <v>0</v>
      </c>
      <c r="AF67" s="272"/>
      <c r="AG67" s="494" t="str">
        <f ca="1">IF('CDO Bespoke'!C92&lt;&gt;"",'CDO Bespoke'!C92,"")</f>
        <v>Nestle S.A.</v>
      </c>
      <c r="AH67" s="496">
        <f ca="1"/>
        <v>3.3143050504058635E-3</v>
      </c>
      <c r="AI67" s="585">
        <f ca="1"/>
        <v>1.0347551590017545E-2</v>
      </c>
      <c r="AJ67" s="585">
        <f ca="1"/>
        <v>2.8281765430682171E-2</v>
      </c>
      <c r="AK67" s="585">
        <f ca="1"/>
        <v>0.16549329562076665</v>
      </c>
      <c r="AL67" s="497">
        <f ca="1"/>
        <v>0</v>
      </c>
      <c r="AM67" s="496">
        <f ca="1"/>
        <v>8.8970442420691076E-5</v>
      </c>
      <c r="AN67" s="585">
        <f ca="1"/>
        <v>4.1411118195076868E-4</v>
      </c>
      <c r="AO67" s="585">
        <f ca="1"/>
        <v>1.9009051110602249E-3</v>
      </c>
      <c r="AP67" s="585">
        <f ca="1"/>
        <v>0.13731835821135066</v>
      </c>
      <c r="AQ67" s="497">
        <f ca="1"/>
        <v>0</v>
      </c>
      <c r="AR67" s="580"/>
      <c r="AS67" s="580"/>
      <c r="AT67" s="580"/>
      <c r="AU67" s="580"/>
      <c r="AV67" s="580"/>
      <c r="AW67" s="580"/>
      <c r="AX67" s="579"/>
    </row>
    <row r="68" spans="2:50">
      <c r="B68" s="517" t="s">
        <v>518</v>
      </c>
      <c r="C68" s="518" t="s">
        <v>66</v>
      </c>
      <c r="D68" s="518" t="s">
        <v>57</v>
      </c>
      <c r="E68" s="518" t="s">
        <v>649</v>
      </c>
      <c r="F68" s="518" t="s">
        <v>673</v>
      </c>
      <c r="G68" s="525">
        <v>0.01</v>
      </c>
      <c r="H68" s="525">
        <v>9.7490000000000007E-3</v>
      </c>
      <c r="I68" s="527">
        <v>0.4</v>
      </c>
      <c r="J68" s="594">
        <v>5</v>
      </c>
      <c r="K68" s="519">
        <v>15</v>
      </c>
      <c r="L68" s="272"/>
      <c r="M68" s="272"/>
      <c r="P68" s="273"/>
      <c r="Q68" s="273"/>
      <c r="R68" s="273"/>
      <c r="S68" s="273"/>
      <c r="T68" s="576">
        <f ca="1"/>
        <v>0.03</v>
      </c>
      <c r="U68" s="573">
        <f ca="1"/>
        <v>60</v>
      </c>
      <c r="V68" s="576">
        <f t="shared" ca="1" si="6"/>
        <v>0</v>
      </c>
      <c r="W68" s="576">
        <f t="shared" ca="1" si="7"/>
        <v>0</v>
      </c>
      <c r="X68" s="484">
        <f ca="1">IF('CDO Bespoke'!O69&lt;&gt;"",'CDO Bespoke'!O69,"")</f>
        <v>1.1950774231099099</v>
      </c>
      <c r="Y68" s="485">
        <f ca="1">IF(X68&lt;&gt;"",ABS(MIN(-0.75*('CDO Bespoke'!Q69)+'CDO Bespoke'!T69,0)),"")</f>
        <v>1.187624254085357</v>
      </c>
      <c r="Z68" s="485">
        <f t="shared" ca="1" si="2"/>
        <v>7.4531690245529525E-3</v>
      </c>
      <c r="AA68" s="485">
        <f t="shared" ca="1" si="3"/>
        <v>0</v>
      </c>
      <c r="AB68" s="484">
        <f ca="1">IF('CDO Bespoke'!O69&lt;&gt;"",'CDO Bespoke'!O69,"")</f>
        <v>1.1950774231099099</v>
      </c>
      <c r="AC68" s="485">
        <f ca="1">IF(AB68&lt;&gt;"",ABS(MIN(-0.75*('CDO Bespoke'!K69)+'CDO Bespoke'!T69,0)),"")</f>
        <v>0.23321803102815716</v>
      </c>
      <c r="AD68" s="485">
        <f t="shared" ca="1" si="4"/>
        <v>0.96185939208175275</v>
      </c>
      <c r="AE68" s="489">
        <f t="shared" ca="1" si="5"/>
        <v>0</v>
      </c>
      <c r="AF68" s="272"/>
      <c r="AG68" s="494" t="str">
        <f ca="1">IF('CDO Bespoke'!C93&lt;&gt;"",'CDO Bespoke'!C93,"")</f>
        <v>NEXT PLC</v>
      </c>
      <c r="AH68" s="496">
        <f ca="1"/>
        <v>3.1114413800992224E-3</v>
      </c>
      <c r="AI68" s="585">
        <f ca="1"/>
        <v>9.3214661300855539E-3</v>
      </c>
      <c r="AJ68" s="585">
        <f ca="1"/>
        <v>2.5269570710362288E-2</v>
      </c>
      <c r="AK68" s="585">
        <f ca="1"/>
        <v>0.36510948679069344</v>
      </c>
      <c r="AL68" s="497">
        <f ca="1"/>
        <v>0</v>
      </c>
      <c r="AM68" s="496">
        <f ca="1"/>
        <v>6.3275331029996607E-5</v>
      </c>
      <c r="AN68" s="585">
        <f ca="1"/>
        <v>2.958382562704559E-4</v>
      </c>
      <c r="AO68" s="585">
        <f ca="1"/>
        <v>1.3083223291805723E-3</v>
      </c>
      <c r="AP68" s="585">
        <f ca="1"/>
        <v>0.13626839628932996</v>
      </c>
      <c r="AQ68" s="497">
        <f ca="1"/>
        <v>0</v>
      </c>
      <c r="AR68" s="580"/>
      <c r="AS68" s="580"/>
      <c r="AT68" s="580"/>
      <c r="AU68" s="580"/>
      <c r="AV68" s="580"/>
      <c r="AW68" s="580"/>
      <c r="AX68" s="579"/>
    </row>
    <row r="69" spans="2:50">
      <c r="B69" s="534" t="s">
        <v>518</v>
      </c>
      <c r="C69" s="535" t="s">
        <v>66</v>
      </c>
      <c r="D69" s="535" t="s">
        <v>59</v>
      </c>
      <c r="E69" s="535" t="s">
        <v>649</v>
      </c>
      <c r="F69" s="535" t="s">
        <v>673</v>
      </c>
      <c r="G69" s="536">
        <v>0.01</v>
      </c>
      <c r="H69" s="536">
        <v>1.2806E-2</v>
      </c>
      <c r="I69" s="537">
        <v>0.4</v>
      </c>
      <c r="J69" s="595">
        <v>5</v>
      </c>
      <c r="K69" s="538">
        <v>15</v>
      </c>
      <c r="L69" s="272"/>
      <c r="M69" s="272"/>
      <c r="P69" s="273"/>
      <c r="Q69" s="273"/>
      <c r="R69" s="273"/>
      <c r="S69" s="273"/>
      <c r="T69" s="576">
        <f ca="1"/>
        <v>0.03</v>
      </c>
      <c r="U69" s="573">
        <f ca="1"/>
        <v>61</v>
      </c>
      <c r="V69" s="576">
        <f t="shared" ca="1" si="6"/>
        <v>0</v>
      </c>
      <c r="W69" s="576">
        <f t="shared" ca="1" si="7"/>
        <v>0</v>
      </c>
      <c r="X69" s="484">
        <f ca="1">IF('CDO Bespoke'!O70&lt;&gt;"",'CDO Bespoke'!O70,"")</f>
        <v>1.19510514829438</v>
      </c>
      <c r="Y69" s="485">
        <f ca="1">IF(X69&lt;&gt;"",ABS(MIN(-0.75*('CDO Bespoke'!Q70)+'CDO Bespoke'!T70,0)),"")</f>
        <v>1.1875806639844841</v>
      </c>
      <c r="Z69" s="485">
        <f t="shared" ca="1" si="2"/>
        <v>7.5244843098958292E-3</v>
      </c>
      <c r="AA69" s="485">
        <f t="shared" ca="1" si="3"/>
        <v>0</v>
      </c>
      <c r="AB69" s="484">
        <f ca="1">IF('CDO Bespoke'!O70&lt;&gt;"",'CDO Bespoke'!O70,"")</f>
        <v>1.19510514829438</v>
      </c>
      <c r="AC69" s="485">
        <f ca="1">IF(AB69&lt;&gt;"",ABS(MIN(-0.75*('CDO Bespoke'!K70)+'CDO Bespoke'!T70,0)),"")</f>
        <v>0.23047919627810959</v>
      </c>
      <c r="AD69" s="485">
        <f t="shared" ca="1" si="4"/>
        <v>0.96462595201627033</v>
      </c>
      <c r="AE69" s="489">
        <f t="shared" ca="1" si="5"/>
        <v>0</v>
      </c>
      <c r="AF69" s="272"/>
      <c r="AG69" s="494" t="str">
        <f ca="1">IF('CDO Bespoke'!C94&lt;&gt;"",'CDO Bespoke'!C94,"")</f>
        <v>PERNOD RICARD</v>
      </c>
      <c r="AH69" s="496">
        <f ca="1"/>
        <v>3.4085250200099892E-3</v>
      </c>
      <c r="AI69" s="585">
        <f ca="1"/>
        <v>1.0657582411033317E-2</v>
      </c>
      <c r="AJ69" s="585">
        <f ca="1"/>
        <v>2.9453065280016233E-2</v>
      </c>
      <c r="AK69" s="585">
        <f ca="1"/>
        <v>0.25395115312076832</v>
      </c>
      <c r="AL69" s="497">
        <f ca="1"/>
        <v>0</v>
      </c>
      <c r="AM69" s="496">
        <f ca="1"/>
        <v>7.6903779150025442E-5</v>
      </c>
      <c r="AN69" s="585">
        <f ca="1"/>
        <v>3.5866361987983708E-4</v>
      </c>
      <c r="AO69" s="585">
        <f ca="1"/>
        <v>1.6253424311399312E-3</v>
      </c>
      <c r="AP69" s="585">
        <f ca="1"/>
        <v>0.13677315328002002</v>
      </c>
      <c r="AQ69" s="497">
        <f ca="1"/>
        <v>0</v>
      </c>
      <c r="AR69" s="580"/>
      <c r="AS69" s="580"/>
      <c r="AT69" s="580"/>
      <c r="AU69" s="580"/>
      <c r="AV69" s="580"/>
      <c r="AW69" s="580"/>
      <c r="AX69" s="579"/>
    </row>
    <row r="70" spans="2:50">
      <c r="B70" s="539" t="s">
        <v>533</v>
      </c>
      <c r="C70" s="540" t="s">
        <v>66</v>
      </c>
      <c r="D70" s="540" t="s">
        <v>55</v>
      </c>
      <c r="E70" s="540" t="s">
        <v>649</v>
      </c>
      <c r="F70" s="540" t="s">
        <v>675</v>
      </c>
      <c r="G70" s="541">
        <v>0.01</v>
      </c>
      <c r="H70" s="541">
        <v>5.1190000000000003E-3</v>
      </c>
      <c r="I70" s="542">
        <v>0.4</v>
      </c>
      <c r="J70" s="602">
        <v>4</v>
      </c>
      <c r="K70" s="543">
        <v>16</v>
      </c>
      <c r="L70" s="272"/>
      <c r="M70" s="272"/>
      <c r="P70" s="273"/>
      <c r="Q70" s="273"/>
      <c r="R70" s="273"/>
      <c r="S70" s="273"/>
      <c r="T70" s="576">
        <f ca="1"/>
        <v>0.06</v>
      </c>
      <c r="U70" s="573">
        <f ca="1"/>
        <v>62</v>
      </c>
      <c r="V70" s="576">
        <f t="shared" ca="1" si="6"/>
        <v>0</v>
      </c>
      <c r="W70" s="576">
        <f t="shared" ca="1" si="7"/>
        <v>0</v>
      </c>
      <c r="X70" s="484">
        <f ca="1">IF('CDO Bespoke'!O71&lt;&gt;"",'CDO Bespoke'!O71,"")</f>
        <v>1.1953656250770901</v>
      </c>
      <c r="Y70" s="485">
        <f ca="1">IF(X70&lt;&gt;"",ABS(MIN(-0.75*('CDO Bespoke'!Q71)+'CDO Bespoke'!T71,0)),"")</f>
        <v>1.1870955169434858</v>
      </c>
      <c r="Z70" s="485">
        <f t="shared" ca="1" si="2"/>
        <v>8.2701081336042925E-3</v>
      </c>
      <c r="AA70" s="485">
        <f t="shared" ca="1" si="3"/>
        <v>0</v>
      </c>
      <c r="AB70" s="484">
        <f ca="1">IF('CDO Bespoke'!O71&lt;&gt;"",'CDO Bespoke'!O71,"")</f>
        <v>1.1953656250770901</v>
      </c>
      <c r="AC70" s="485">
        <f ca="1">IF(AB70&lt;&gt;"",ABS(MIN(-0.75*('CDO Bespoke'!K71)+'CDO Bespoke'!T71,0)),"")</f>
        <v>0.19758822809848584</v>
      </c>
      <c r="AD70" s="485">
        <f t="shared" ca="1" si="4"/>
        <v>0.99777739697860424</v>
      </c>
      <c r="AE70" s="489">
        <f t="shared" ca="1" si="5"/>
        <v>0</v>
      </c>
      <c r="AF70" s="272"/>
      <c r="AG70" s="494" t="str">
        <f ca="1">IF('CDO Bespoke'!C95&lt;&gt;"",'CDO Bespoke'!C95,"")</f>
        <v>SODEXO</v>
      </c>
      <c r="AH70" s="496">
        <f ca="1"/>
        <v>2.8874022506286678E-3</v>
      </c>
      <c r="AI70" s="585">
        <f ca="1"/>
        <v>8.6386028408380611E-3</v>
      </c>
      <c r="AJ70" s="585">
        <f ca="1"/>
        <v>2.3154328330221574E-2</v>
      </c>
      <c r="AK70" s="585">
        <f ca="1"/>
        <v>0.16089753196002476</v>
      </c>
      <c r="AL70" s="497">
        <f ca="1"/>
        <v>0</v>
      </c>
      <c r="AM70" s="496">
        <f ca="1"/>
        <v>9.0108848518205553E-5</v>
      </c>
      <c r="AN70" s="585">
        <f ca="1"/>
        <v>4.1912883113962018E-4</v>
      </c>
      <c r="AO70" s="585">
        <f ca="1"/>
        <v>1.9209627893097825E-3</v>
      </c>
      <c r="AP70" s="585">
        <f ca="1"/>
        <v>0.13748517507779917</v>
      </c>
      <c r="AQ70" s="497">
        <f ca="1"/>
        <v>0</v>
      </c>
      <c r="AR70" s="580"/>
      <c r="AS70" s="580"/>
      <c r="AT70" s="580"/>
      <c r="AU70" s="580"/>
      <c r="AV70" s="580"/>
      <c r="AW70" s="580"/>
      <c r="AX70" s="579"/>
    </row>
    <row r="71" spans="2:50">
      <c r="B71" s="517" t="s">
        <v>533</v>
      </c>
      <c r="C71" s="518" t="s">
        <v>66</v>
      </c>
      <c r="D71" s="518" t="s">
        <v>57</v>
      </c>
      <c r="E71" s="518" t="s">
        <v>649</v>
      </c>
      <c r="F71" s="518" t="s">
        <v>675</v>
      </c>
      <c r="G71" s="525">
        <v>0.01</v>
      </c>
      <c r="H71" s="525">
        <v>1.0839E-2</v>
      </c>
      <c r="I71" s="527">
        <v>0.4</v>
      </c>
      <c r="J71" s="594">
        <v>4</v>
      </c>
      <c r="K71" s="519">
        <v>16</v>
      </c>
      <c r="L71" s="272"/>
      <c r="M71" s="272"/>
      <c r="P71" s="273"/>
      <c r="Q71" s="273"/>
      <c r="R71" s="273"/>
      <c r="S71" s="273"/>
      <c r="T71" s="576">
        <f ca="1"/>
        <v>0.06</v>
      </c>
      <c r="U71" s="573">
        <f ca="1"/>
        <v>63</v>
      </c>
      <c r="V71" s="576">
        <f t="shared" ca="1" si="6"/>
        <v>0</v>
      </c>
      <c r="W71" s="576">
        <f t="shared" ca="1" si="7"/>
        <v>0</v>
      </c>
      <c r="X71" s="484">
        <f ca="1">IF('CDO Bespoke'!O72&lt;&gt;"",'CDO Bespoke'!O72,"")</f>
        <v>1.1942120185275</v>
      </c>
      <c r="Y71" s="485">
        <f ca="1">IF(X71&lt;&gt;"",ABS(MIN(-0.75*('CDO Bespoke'!Q72)+'CDO Bespoke'!T72,0)),"")</f>
        <v>1.1886195063892133</v>
      </c>
      <c r="Z71" s="485">
        <f t="shared" ca="1" si="2"/>
        <v>5.5925121382867093E-3</v>
      </c>
      <c r="AA71" s="485">
        <f t="shared" ca="1" si="3"/>
        <v>0</v>
      </c>
      <c r="AB71" s="484">
        <f ca="1">IF('CDO Bespoke'!O72&lt;&gt;"",'CDO Bespoke'!O72,"")</f>
        <v>1.1942120185275</v>
      </c>
      <c r="AC71" s="485">
        <f ca="1">IF(AB71&lt;&gt;"",ABS(MIN(-0.75*('CDO Bespoke'!K72)+'CDO Bespoke'!T72,0)),"")</f>
        <v>0.28932874562446109</v>
      </c>
      <c r="AD71" s="485">
        <f t="shared" ca="1" si="4"/>
        <v>0.90488327290303894</v>
      </c>
      <c r="AE71" s="489">
        <f t="shared" ca="1" si="5"/>
        <v>0</v>
      </c>
      <c r="AF71" s="272"/>
      <c r="AG71" s="494" t="str">
        <f ca="1">IF('CDO Bespoke'!C96&lt;&gt;"",'CDO Bespoke'!C96,"")</f>
        <v>Suedzucker AG</v>
      </c>
      <c r="AH71" s="496">
        <f ca="1"/>
        <v>3.805103800935683E-3</v>
      </c>
      <c r="AI71" s="585">
        <f ca="1"/>
        <v>1.2355330510915863E-2</v>
      </c>
      <c r="AJ71" s="585">
        <f ca="1"/>
        <v>3.46224250202809E-2</v>
      </c>
      <c r="AK71" s="585">
        <f ca="1"/>
        <v>0.57149887558005652</v>
      </c>
      <c r="AL71" s="497">
        <f ca="1"/>
        <v>0</v>
      </c>
      <c r="AM71" s="496">
        <f ca="1"/>
        <v>3.7289739240192743E-5</v>
      </c>
      <c r="AN71" s="585">
        <f ca="1"/>
        <v>1.7642882574001734E-4</v>
      </c>
      <c r="AO71" s="585">
        <f ca="1"/>
        <v>7.2429732069032721E-4</v>
      </c>
      <c r="AP71" s="585">
        <f ca="1"/>
        <v>0.13474175825556012</v>
      </c>
      <c r="AQ71" s="497">
        <f ca="1"/>
        <v>0</v>
      </c>
      <c r="AR71" s="580"/>
      <c r="AS71" s="580"/>
      <c r="AT71" s="580"/>
      <c r="AU71" s="580"/>
      <c r="AV71" s="580"/>
      <c r="AW71" s="580"/>
      <c r="AX71" s="579"/>
    </row>
    <row r="72" spans="2:50">
      <c r="B72" s="534" t="s">
        <v>533</v>
      </c>
      <c r="C72" s="535" t="s">
        <v>66</v>
      </c>
      <c r="D72" s="535" t="s">
        <v>59</v>
      </c>
      <c r="E72" s="535" t="s">
        <v>649</v>
      </c>
      <c r="F72" s="535" t="s">
        <v>675</v>
      </c>
      <c r="G72" s="536">
        <v>0.01</v>
      </c>
      <c r="H72" s="536">
        <v>1.6057999999999999E-2</v>
      </c>
      <c r="I72" s="537">
        <v>0.4</v>
      </c>
      <c r="J72" s="595">
        <v>4</v>
      </c>
      <c r="K72" s="538">
        <v>16</v>
      </c>
      <c r="L72" s="272"/>
      <c r="M72" s="272"/>
      <c r="P72" s="273"/>
      <c r="Q72" s="273"/>
      <c r="R72" s="273"/>
      <c r="S72" s="273"/>
      <c r="T72" s="576">
        <f ca="1"/>
        <v>0.06</v>
      </c>
      <c r="U72" s="573">
        <f ca="1"/>
        <v>64</v>
      </c>
      <c r="V72" s="576">
        <f t="shared" ca="1" si="6"/>
        <v>0</v>
      </c>
      <c r="W72" s="576">
        <f t="shared" ca="1" si="7"/>
        <v>0</v>
      </c>
      <c r="X72" s="484">
        <f ca="1">IF('CDO Bespoke'!O73&lt;&gt;"",'CDO Bespoke'!O73,"")</f>
        <v>1.1947269474486399</v>
      </c>
      <c r="Y72" s="485">
        <f ca="1">IF(X72&lt;&gt;"",ABS(MIN(-0.75*('CDO Bespoke'!Q73)+'CDO Bespoke'!T73,0)),"")</f>
        <v>1.1880954650239082</v>
      </c>
      <c r="Z72" s="485">
        <f t="shared" ca="1" si="2"/>
        <v>6.6314824247317716E-3</v>
      </c>
      <c r="AA72" s="485">
        <f t="shared" ca="1" si="3"/>
        <v>0</v>
      </c>
      <c r="AB72" s="484">
        <f ca="1">IF('CDO Bespoke'!O73&lt;&gt;"",'CDO Bespoke'!O73,"")</f>
        <v>1.1947269474486399</v>
      </c>
      <c r="AC72" s="485">
        <f ca="1">IF(AB72&lt;&gt;"",ABS(MIN(-0.75*('CDO Bespoke'!K73)+'CDO Bespoke'!T73,0)),"")</f>
        <v>0.26111967481745696</v>
      </c>
      <c r="AD72" s="485">
        <f t="shared" ca="1" si="4"/>
        <v>0.93360727263118304</v>
      </c>
      <c r="AE72" s="489">
        <f t="shared" ca="1" si="5"/>
        <v>0</v>
      </c>
      <c r="AF72" s="272"/>
      <c r="AG72" s="494" t="str">
        <f ca="1">IF('CDO Bespoke'!C97&lt;&gt;"",'CDO Bespoke'!C97,"")</f>
        <v>TESCO PLC</v>
      </c>
      <c r="AH72" s="496">
        <f ca="1"/>
        <v>3.7071536307387021E-3</v>
      </c>
      <c r="AI72" s="585">
        <f ca="1"/>
        <v>1.1877946920479943E-2</v>
      </c>
      <c r="AJ72" s="585">
        <f ca="1"/>
        <v>3.3353468890107152E-2</v>
      </c>
      <c r="AK72" s="585">
        <f ca="1"/>
        <v>0.3975393554800366</v>
      </c>
      <c r="AL72" s="497">
        <f ca="1"/>
        <v>0</v>
      </c>
      <c r="AM72" s="496">
        <f ca="1"/>
        <v>5.8432563510707469E-5</v>
      </c>
      <c r="AN72" s="585">
        <f ca="1"/>
        <v>2.7381592845078517E-4</v>
      </c>
      <c r="AO72" s="585">
        <f ca="1"/>
        <v>1.2068187629107191E-3</v>
      </c>
      <c r="AP72" s="585">
        <f ca="1"/>
        <v>0.13582789946844084</v>
      </c>
      <c r="AQ72" s="497">
        <f ca="1"/>
        <v>0</v>
      </c>
      <c r="AR72" s="580"/>
      <c r="AS72" s="580"/>
      <c r="AT72" s="580"/>
      <c r="AU72" s="580"/>
      <c r="AV72" s="580"/>
      <c r="AW72" s="580"/>
      <c r="AX72" s="579"/>
    </row>
    <row r="73" spans="2:50">
      <c r="B73" s="539" t="s">
        <v>519</v>
      </c>
      <c r="C73" s="540" t="s">
        <v>66</v>
      </c>
      <c r="D73" s="540" t="s">
        <v>55</v>
      </c>
      <c r="E73" s="540" t="s">
        <v>647</v>
      </c>
      <c r="F73" s="540" t="s">
        <v>674</v>
      </c>
      <c r="G73" s="541">
        <v>0.01</v>
      </c>
      <c r="H73" s="541">
        <v>1.5269999999999999E-3</v>
      </c>
      <c r="I73" s="542">
        <v>0.4</v>
      </c>
      <c r="J73" s="602">
        <v>7</v>
      </c>
      <c r="K73" s="543">
        <v>17</v>
      </c>
      <c r="L73" s="272"/>
      <c r="M73" s="272"/>
      <c r="P73" s="273"/>
      <c r="Q73" s="273"/>
      <c r="R73" s="273"/>
      <c r="S73" s="273"/>
      <c r="T73" s="576">
        <f ca="1"/>
        <v>0.06</v>
      </c>
      <c r="U73" s="573">
        <f ca="1"/>
        <v>65</v>
      </c>
      <c r="V73" s="576">
        <f t="shared" ref="V73:V104" ca="1" si="8">AA78*T73</f>
        <v>0</v>
      </c>
      <c r="W73" s="576">
        <f t="shared" ref="W73:W104" ca="1" si="9">AE78*T73</f>
        <v>0</v>
      </c>
      <c r="X73" s="484">
        <f ca="1">IF('CDO Bespoke'!O74&lt;&gt;"",'CDO Bespoke'!O74,"")</f>
        <v>1.1952800496901099</v>
      </c>
      <c r="Y73" s="485">
        <f ca="1">IF(X73&lt;&gt;"",ABS(MIN(-0.75*('CDO Bespoke'!Q74)+'CDO Bespoke'!T74,0)),"")</f>
        <v>1.1872733336327488</v>
      </c>
      <c r="Z73" s="485">
        <f t="shared" ca="1" si="2"/>
        <v>8.0067160573611407E-3</v>
      </c>
      <c r="AA73" s="485">
        <f t="shared" ca="1" si="3"/>
        <v>0</v>
      </c>
      <c r="AB73" s="484">
        <f ca="1">IF('CDO Bespoke'!O74&lt;&gt;"",'CDO Bespoke'!O74,"")</f>
        <v>1.1952800496901099</v>
      </c>
      <c r="AC73" s="485">
        <f ca="1">IF(AB73&lt;&gt;"",ABS(MIN(-0.75*('CDO Bespoke'!K74)+'CDO Bespoke'!T74,0)),"")</f>
        <v>0.21021479595592016</v>
      </c>
      <c r="AD73" s="485">
        <f t="shared" ca="1" si="4"/>
        <v>0.98506525373418974</v>
      </c>
      <c r="AE73" s="489">
        <f t="shared" ca="1" si="5"/>
        <v>0</v>
      </c>
      <c r="AF73" s="272"/>
      <c r="AG73" s="494" t="str">
        <f ca="1">IF('CDO Bespoke'!C98&lt;&gt;"",'CDO Bespoke'!C98,"")</f>
        <v>UNILEVER PLC</v>
      </c>
      <c r="AH73" s="496">
        <f ca="1"/>
        <v>3.2046211506653322E-3</v>
      </c>
      <c r="AI73" s="585">
        <f ca="1"/>
        <v>9.9102049400112691E-3</v>
      </c>
      <c r="AJ73" s="585">
        <f ca="1"/>
        <v>2.6929175280798745E-2</v>
      </c>
      <c r="AK73" s="585">
        <f ca="1"/>
        <v>0.15769752353067545</v>
      </c>
      <c r="AL73" s="497">
        <f ca="1"/>
        <v>0</v>
      </c>
      <c r="AM73" s="496">
        <f ca="1"/>
        <v>9.0208643400979671E-5</v>
      </c>
      <c r="AN73" s="585">
        <f ca="1"/>
        <v>4.1974696319974081E-4</v>
      </c>
      <c r="AO73" s="585">
        <f ca="1"/>
        <v>1.927718950650581E-3</v>
      </c>
      <c r="AP73" s="585">
        <f ca="1"/>
        <v>0.13740197677017049</v>
      </c>
      <c r="AQ73" s="497">
        <f ca="1"/>
        <v>0</v>
      </c>
      <c r="AR73" s="580"/>
      <c r="AS73" s="580"/>
      <c r="AT73" s="580"/>
      <c r="AU73" s="580"/>
      <c r="AV73" s="580"/>
      <c r="AW73" s="580"/>
      <c r="AX73" s="579"/>
    </row>
    <row r="74" spans="2:50">
      <c r="B74" s="517" t="s">
        <v>519</v>
      </c>
      <c r="C74" s="518" t="s">
        <v>66</v>
      </c>
      <c r="D74" s="518" t="s">
        <v>57</v>
      </c>
      <c r="E74" s="518" t="s">
        <v>647</v>
      </c>
      <c r="F74" s="518" t="s">
        <v>674</v>
      </c>
      <c r="G74" s="525">
        <v>0.01</v>
      </c>
      <c r="H74" s="525">
        <v>2.49E-3</v>
      </c>
      <c r="I74" s="527">
        <v>0.4</v>
      </c>
      <c r="J74" s="594">
        <v>7</v>
      </c>
      <c r="K74" s="519">
        <v>17</v>
      </c>
      <c r="L74" s="272"/>
      <c r="M74" s="272"/>
      <c r="P74" s="273"/>
      <c r="Q74" s="273"/>
      <c r="R74" s="273"/>
      <c r="S74" s="273"/>
      <c r="T74" s="576">
        <f ca="1"/>
        <v>0.06</v>
      </c>
      <c r="U74" s="573">
        <f ca="1"/>
        <v>66</v>
      </c>
      <c r="V74" s="576">
        <f t="shared" ca="1" si="8"/>
        <v>0</v>
      </c>
      <c r="W74" s="576">
        <f t="shared" ca="1" si="9"/>
        <v>0</v>
      </c>
      <c r="X74" s="484">
        <f ca="1">IF('CDO Bespoke'!O75&lt;&gt;"",'CDO Bespoke'!O75,"")</f>
        <v>1.1948127587299699</v>
      </c>
      <c r="Y74" s="485">
        <f ca="1">IF(X74&lt;&gt;"",ABS(MIN(-0.75*('CDO Bespoke'!Q75)+'CDO Bespoke'!T75,0)),"")</f>
        <v>1.187991389323545</v>
      </c>
      <c r="Z74" s="485">
        <f t="shared" ca="1" si="2"/>
        <v>6.8213694064249708E-3</v>
      </c>
      <c r="AA74" s="485">
        <f t="shared" ca="1" si="3"/>
        <v>0</v>
      </c>
      <c r="AB74" s="484">
        <f ca="1">IF('CDO Bespoke'!O75&lt;&gt;"",'CDO Bespoke'!O75,"")</f>
        <v>1.1948127587299699</v>
      </c>
      <c r="AC74" s="485">
        <f ca="1">IF(AB74&lt;&gt;"",ABS(MIN(-0.75*('CDO Bespoke'!K75)+'CDO Bespoke'!T75,0)),"")</f>
        <v>0.2551975320254859</v>
      </c>
      <c r="AD74" s="485">
        <f t="shared" ca="1" si="4"/>
        <v>0.93961522670448405</v>
      </c>
      <c r="AE74" s="489">
        <f t="shared" ca="1" si="5"/>
        <v>0</v>
      </c>
      <c r="AF74" s="272"/>
      <c r="AG74" s="494" t="str">
        <f ca="1">IF('CDO Bespoke'!C99&lt;&gt;"",'CDO Bespoke'!C99,"")</f>
        <v>BP P.L.C.</v>
      </c>
      <c r="AH74" s="496">
        <f ca="1"/>
        <v>3.5707892009906317E-3</v>
      </c>
      <c r="AI74" s="585">
        <f ca="1"/>
        <v>1.1279214640058655E-2</v>
      </c>
      <c r="AJ74" s="585">
        <f ca="1"/>
        <v>3.1421022770317109E-2</v>
      </c>
      <c r="AK74" s="585">
        <f ca="1"/>
        <v>0.39330583733065971</v>
      </c>
      <c r="AL74" s="497">
        <f ca="1"/>
        <v>0</v>
      </c>
      <c r="AM74" s="496">
        <f ca="1"/>
        <v>5.9163511650223155E-5</v>
      </c>
      <c r="AN74" s="585">
        <f ca="1"/>
        <v>2.7711694053009217E-4</v>
      </c>
      <c r="AO74" s="585">
        <f ca="1"/>
        <v>1.2212528554496338E-3</v>
      </c>
      <c r="AP74" s="585">
        <f ca="1"/>
        <v>0.13591572148437014</v>
      </c>
      <c r="AQ74" s="497">
        <f ca="1"/>
        <v>0</v>
      </c>
      <c r="AR74" s="580"/>
      <c r="AS74" s="580"/>
      <c r="AT74" s="580"/>
      <c r="AU74" s="580"/>
      <c r="AV74" s="580"/>
      <c r="AW74" s="580"/>
      <c r="AX74" s="579"/>
    </row>
    <row r="75" spans="2:50">
      <c r="B75" s="534" t="s">
        <v>519</v>
      </c>
      <c r="C75" s="535" t="s">
        <v>66</v>
      </c>
      <c r="D75" s="535" t="s">
        <v>59</v>
      </c>
      <c r="E75" s="535" t="s">
        <v>647</v>
      </c>
      <c r="F75" s="535" t="s">
        <v>674</v>
      </c>
      <c r="G75" s="536">
        <v>0.01</v>
      </c>
      <c r="H75" s="536">
        <v>3.63E-3</v>
      </c>
      <c r="I75" s="537">
        <v>0.4</v>
      </c>
      <c r="J75" s="595">
        <v>7</v>
      </c>
      <c r="K75" s="538">
        <v>17</v>
      </c>
      <c r="L75" s="272"/>
      <c r="M75" s="272"/>
      <c r="P75" s="273"/>
      <c r="Q75" s="273"/>
      <c r="R75" s="273"/>
      <c r="S75" s="273"/>
      <c r="T75" s="576">
        <f ca="1"/>
        <v>0.06</v>
      </c>
      <c r="U75" s="573">
        <f ca="1"/>
        <v>67</v>
      </c>
      <c r="V75" s="576">
        <f t="shared" ca="1" si="8"/>
        <v>0</v>
      </c>
      <c r="W75" s="576">
        <f t="shared" ca="1" si="9"/>
        <v>0</v>
      </c>
      <c r="X75" s="484">
        <f ca="1">IF('CDO Bespoke'!O76&lt;&gt;"",'CDO Bespoke'!O76,"")</f>
        <v>1.19446990338515</v>
      </c>
      <c r="Y75" s="485">
        <f ca="1">IF(X75&lt;&gt;"",ABS(MIN(-0.75*('CDO Bespoke'!Q76)+'CDO Bespoke'!T76,0)),"")</f>
        <v>1.1883755511902039</v>
      </c>
      <c r="Z75" s="485">
        <f t="shared" ca="1" si="2"/>
        <v>6.0943521949461399E-3</v>
      </c>
      <c r="AA75" s="485">
        <f t="shared" ca="1" si="3"/>
        <v>0</v>
      </c>
      <c r="AB75" s="484">
        <f ca="1">IF('CDO Bespoke'!O76&lt;&gt;"",'CDO Bespoke'!O76,"")</f>
        <v>1.19446990338515</v>
      </c>
      <c r="AC75" s="485">
        <f ca="1">IF(AB75&lt;&gt;"",ABS(MIN(-0.75*('CDO Bespoke'!K76)+'CDO Bespoke'!T76,0)),"")</f>
        <v>0.27649954139624089</v>
      </c>
      <c r="AD75" s="485">
        <f t="shared" ca="1" si="4"/>
        <v>0.91797036198890913</v>
      </c>
      <c r="AE75" s="489">
        <f t="shared" ca="1" si="5"/>
        <v>0</v>
      </c>
      <c r="AF75" s="272"/>
      <c r="AG75" s="494" t="str">
        <f ca="1">IF('CDO Bespoke'!C100&lt;&gt;"",'CDO Bespoke'!C100,"")</f>
        <v>Centrica plc</v>
      </c>
      <c r="AH75" s="496">
        <f ca="1"/>
        <v>3.7093315707892316E-3</v>
      </c>
      <c r="AI75" s="585">
        <f ca="1"/>
        <v>1.1892692030057717E-2</v>
      </c>
      <c r="AJ75" s="585">
        <f ca="1"/>
        <v>3.3230481010226853E-2</v>
      </c>
      <c r="AK75" s="585">
        <f ca="1"/>
        <v>0.50811636852055031</v>
      </c>
      <c r="AL75" s="497">
        <f ca="1"/>
        <v>0</v>
      </c>
      <c r="AM75" s="496">
        <f ca="1"/>
        <v>2.2525290944985787E-5</v>
      </c>
      <c r="AN75" s="585">
        <f ca="1"/>
        <v>1.0608455854495269E-4</v>
      </c>
      <c r="AO75" s="585">
        <f ca="1"/>
        <v>4.5013994999995588E-4</v>
      </c>
      <c r="AP75" s="585">
        <f ca="1"/>
        <v>6.7589691071324995E-2</v>
      </c>
      <c r="AQ75" s="497">
        <f ca="1"/>
        <v>0</v>
      </c>
      <c r="AR75" s="580"/>
      <c r="AS75" s="580"/>
      <c r="AT75" s="580"/>
      <c r="AU75" s="580"/>
      <c r="AV75" s="580"/>
      <c r="AW75" s="580"/>
      <c r="AX75" s="579"/>
    </row>
    <row r="76" spans="2:50">
      <c r="B76" s="539" t="s">
        <v>534</v>
      </c>
      <c r="C76" s="540" t="s">
        <v>66</v>
      </c>
      <c r="D76" s="540" t="s">
        <v>55</v>
      </c>
      <c r="E76" s="540" t="s">
        <v>649</v>
      </c>
      <c r="F76" s="540" t="s">
        <v>648</v>
      </c>
      <c r="G76" s="541">
        <v>0.01</v>
      </c>
      <c r="H76" s="541">
        <v>5.0749999999999997E-3</v>
      </c>
      <c r="I76" s="542">
        <v>0.4</v>
      </c>
      <c r="J76" s="602">
        <v>4</v>
      </c>
      <c r="K76" s="543">
        <v>18</v>
      </c>
      <c r="L76" s="272"/>
      <c r="M76" s="272"/>
      <c r="P76" s="273"/>
      <c r="Q76" s="273"/>
      <c r="R76" s="273"/>
      <c r="S76" s="273"/>
      <c r="T76" s="576">
        <f ca="1"/>
        <v>0.03</v>
      </c>
      <c r="U76" s="573">
        <f ca="1"/>
        <v>68</v>
      </c>
      <c r="V76" s="576">
        <f t="shared" ca="1" si="8"/>
        <v>0</v>
      </c>
      <c r="W76" s="576">
        <f t="shared" ca="1" si="9"/>
        <v>0</v>
      </c>
      <c r="X76" s="484">
        <f ca="1">IF('CDO Bespoke'!O77&lt;&gt;"",'CDO Bespoke'!O77,"")</f>
        <v>1.19504964676225</v>
      </c>
      <c r="Y76" s="485">
        <f ca="1">IF(X76&lt;&gt;"",ABS(MIN(-0.75*('CDO Bespoke'!Q77)+'CDO Bespoke'!T77,0)),"")</f>
        <v>1.1876667795959159</v>
      </c>
      <c r="Z76" s="485">
        <f t="shared" ca="1" si="2"/>
        <v>7.3828671663340728E-3</v>
      </c>
      <c r="AA76" s="485">
        <f t="shared" ca="1" si="3"/>
        <v>0</v>
      </c>
      <c r="AB76" s="484">
        <f ca="1">IF('CDO Bespoke'!O77&lt;&gt;"",'CDO Bespoke'!O77,"")</f>
        <v>1.19504964676225</v>
      </c>
      <c r="AC76" s="485">
        <f ca="1">IF(AB76&lt;&gt;"",ABS(MIN(-0.75*('CDO Bespoke'!K77)+'CDO Bespoke'!T77,0)),"")</f>
        <v>0.23586116092627857</v>
      </c>
      <c r="AD76" s="485">
        <f t="shared" ca="1" si="4"/>
        <v>0.95918848583597138</v>
      </c>
      <c r="AE76" s="489">
        <f t="shared" ca="1" si="5"/>
        <v>0</v>
      </c>
      <c r="AF76" s="272"/>
      <c r="AG76" s="494" t="str">
        <f ca="1">IF('CDO Bespoke'!C101&lt;&gt;"",'CDO Bespoke'!C101,"")</f>
        <v>E.ON SE</v>
      </c>
      <c r="AH76" s="496">
        <f ca="1"/>
        <v>3.4535817006187131E-3</v>
      </c>
      <c r="AI76" s="585">
        <f ca="1"/>
        <v>1.082738405044914E-2</v>
      </c>
      <c r="AJ76" s="585">
        <f ca="1"/>
        <v>3.0010992030371497E-2</v>
      </c>
      <c r="AK76" s="585">
        <f ca="1"/>
        <v>0.28191379407016548</v>
      </c>
      <c r="AL76" s="497">
        <f ca="1"/>
        <v>0</v>
      </c>
      <c r="AM76" s="496">
        <f ca="1"/>
        <v>3.6617746469909396E-5</v>
      </c>
      <c r="AN76" s="585">
        <f ca="1"/>
        <v>1.7090810228975045E-4</v>
      </c>
      <c r="AO76" s="585">
        <f ca="1"/>
        <v>7.7096530339462038E-4</v>
      </c>
      <c r="AP76" s="585">
        <f ca="1"/>
        <v>6.829852831358954E-2</v>
      </c>
      <c r="AQ76" s="497">
        <f ca="1"/>
        <v>0</v>
      </c>
      <c r="AR76" s="580"/>
      <c r="AS76" s="580"/>
      <c r="AT76" s="580"/>
      <c r="AU76" s="580"/>
      <c r="AV76" s="580"/>
      <c r="AW76" s="580"/>
      <c r="AX76" s="579"/>
    </row>
    <row r="77" spans="2:50">
      <c r="B77" s="517" t="s">
        <v>534</v>
      </c>
      <c r="C77" s="518" t="s">
        <v>66</v>
      </c>
      <c r="D77" s="518" t="s">
        <v>57</v>
      </c>
      <c r="E77" s="518" t="s">
        <v>649</v>
      </c>
      <c r="F77" s="518" t="s">
        <v>648</v>
      </c>
      <c r="G77" s="525">
        <v>0.01</v>
      </c>
      <c r="H77" s="525">
        <v>8.8369999999999994E-3</v>
      </c>
      <c r="I77" s="527">
        <v>0.4</v>
      </c>
      <c r="J77" s="594">
        <v>4</v>
      </c>
      <c r="K77" s="519">
        <v>18</v>
      </c>
      <c r="L77" s="272"/>
      <c r="M77" s="272"/>
      <c r="P77" s="273"/>
      <c r="Q77" s="273"/>
      <c r="R77" s="273"/>
      <c r="S77" s="273"/>
      <c r="T77" s="576">
        <f ca="1"/>
        <v>0.02</v>
      </c>
      <c r="U77" s="573">
        <f ca="1"/>
        <v>69</v>
      </c>
      <c r="V77" s="576">
        <f t="shared" ca="1" si="8"/>
        <v>0</v>
      </c>
      <c r="W77" s="576">
        <f t="shared" ca="1" si="9"/>
        <v>0</v>
      </c>
      <c r="X77" s="484">
        <f ca="1">IF('CDO Bespoke'!O78&lt;&gt;"",'CDO Bespoke'!O78,"")</f>
        <v>1.19417669781155</v>
      </c>
      <c r="Y77" s="485">
        <f ca="1">IF(X77&lt;&gt;"",ABS(MIN(-0.75*('CDO Bespoke'!Q78)+'CDO Bespoke'!T78,0)),"")</f>
        <v>1.1886505784176848</v>
      </c>
      <c r="Z77" s="485">
        <f t="shared" ca="1" si="2"/>
        <v>5.5261193938651587E-3</v>
      </c>
      <c r="AA77" s="485">
        <f t="shared" ca="1" si="3"/>
        <v>0</v>
      </c>
      <c r="AB77" s="484">
        <f ca="1">IF('CDO Bespoke'!O78&lt;&gt;"",'CDO Bespoke'!O78,"")</f>
        <v>1.19417669781155</v>
      </c>
      <c r="AC77" s="485">
        <f ca="1">IF(AB77&lt;&gt;"",ABS(MIN(-0.75*('CDO Bespoke'!K78)+'CDO Bespoke'!T78,0)),"")</f>
        <v>0.29092993127653088</v>
      </c>
      <c r="AD77" s="485">
        <f t="shared" ca="1" si="4"/>
        <v>0.90324676653501912</v>
      </c>
      <c r="AE77" s="489">
        <f t="shared" ca="1" si="5"/>
        <v>0</v>
      </c>
      <c r="AF77" s="272"/>
      <c r="AG77" s="494" t="str">
        <f ca="1">IF('CDO Bespoke'!C102&lt;&gt;"",'CDO Bespoke'!C102,"")</f>
        <v>EDP - ENERGIAS DE PORTUGAL S.A.</v>
      </c>
      <c r="AH77" s="496">
        <f ca="1"/>
        <v>4.1563439301395277E-3</v>
      </c>
      <c r="AI77" s="585">
        <f ca="1"/>
        <v>1.393219335010798E-2</v>
      </c>
      <c r="AJ77" s="585">
        <f ca="1"/>
        <v>4.0114729650264636E-2</v>
      </c>
      <c r="AK77" s="585">
        <f ca="1"/>
        <v>0.48716898263023722</v>
      </c>
      <c r="AL77" s="497">
        <f ca="1"/>
        <v>0</v>
      </c>
      <c r="AM77" s="496">
        <f ca="1"/>
        <v>2.3375561564783348E-5</v>
      </c>
      <c r="AN77" s="585">
        <f ca="1"/>
        <v>1.1010601849489182E-4</v>
      </c>
      <c r="AO77" s="585">
        <f ca="1"/>
        <v>4.738056112048826E-4</v>
      </c>
      <c r="AP77" s="585">
        <f ca="1"/>
        <v>6.7527908993324823E-2</v>
      </c>
      <c r="AQ77" s="497">
        <f ca="1"/>
        <v>0</v>
      </c>
      <c r="AR77" s="580"/>
      <c r="AS77" s="580"/>
      <c r="AT77" s="580"/>
      <c r="AU77" s="580"/>
      <c r="AV77" s="580"/>
      <c r="AW77" s="580"/>
      <c r="AX77" s="579"/>
    </row>
    <row r="78" spans="2:50">
      <c r="B78" s="534" t="s">
        <v>534</v>
      </c>
      <c r="C78" s="535" t="s">
        <v>66</v>
      </c>
      <c r="D78" s="535" t="s">
        <v>59</v>
      </c>
      <c r="E78" s="535" t="s">
        <v>649</v>
      </c>
      <c r="F78" s="535" t="s">
        <v>648</v>
      </c>
      <c r="G78" s="536">
        <v>0.01</v>
      </c>
      <c r="H78" s="536">
        <v>1.3018E-2</v>
      </c>
      <c r="I78" s="537">
        <v>0.4</v>
      </c>
      <c r="J78" s="595">
        <v>4</v>
      </c>
      <c r="K78" s="538">
        <v>18</v>
      </c>
      <c r="L78" s="272"/>
      <c r="M78" s="272"/>
      <c r="P78" s="273"/>
      <c r="Q78" s="273"/>
      <c r="R78" s="273"/>
      <c r="S78" s="273"/>
      <c r="T78" s="576">
        <f ca="1"/>
        <v>0.06</v>
      </c>
      <c r="U78" s="573">
        <f ca="1"/>
        <v>70</v>
      </c>
      <c r="V78" s="576">
        <f t="shared" ca="1" si="8"/>
        <v>0</v>
      </c>
      <c r="W78" s="576">
        <f t="shared" ca="1" si="9"/>
        <v>0</v>
      </c>
      <c r="X78" s="484">
        <f ca="1">IF('CDO Bespoke'!O79&lt;&gt;"",'CDO Bespoke'!O79,"")</f>
        <v>1.19418024333934</v>
      </c>
      <c r="Y78" s="485">
        <f ca="1">IF(X78&lt;&gt;"",ABS(MIN(-0.75*('CDO Bespoke'!Q79)+'CDO Bespoke'!T79,0)),"")</f>
        <v>1.1886474824311755</v>
      </c>
      <c r="Z78" s="485">
        <f t="shared" ref="Z78:Z141" ca="1" si="10">IF(X78&lt;&gt;"",IF($Y$8,MAX(X78-Y78,0),X78),0)</f>
        <v>5.532760908164569E-3</v>
      </c>
      <c r="AA78" s="485">
        <f t="shared" ref="AA78:AA141" ca="1" si="11">IF(X78&lt;&gt;"",IF($Y$8,0,Y78),0)</f>
        <v>0</v>
      </c>
      <c r="AB78" s="484">
        <f ca="1">IF('CDO Bespoke'!O79&lt;&gt;"",'CDO Bespoke'!O79,"")</f>
        <v>1.19418024333934</v>
      </c>
      <c r="AC78" s="485">
        <f ca="1">IF(AB78&lt;&gt;"",ABS(MIN(-0.75*('CDO Bespoke'!K79)+'CDO Bespoke'!T79,0)),"")</f>
        <v>0.29077070064879601</v>
      </c>
      <c r="AD78" s="485">
        <f t="shared" ref="AD78:AD141" ca="1" si="12">IF(AB78&lt;&gt;"",IF($Y$8,MAX(AB78-AC78,0),AB78),0)</f>
        <v>0.90340954269054397</v>
      </c>
      <c r="AE78" s="489">
        <f t="shared" ref="AE78:AE141" ca="1" si="13">IF(AB78&lt;&gt;"",IF($Y$8,0,AC78),0)</f>
        <v>0</v>
      </c>
      <c r="AF78" s="272"/>
      <c r="AG78" s="494" t="str">
        <f ca="1">IF('CDO Bespoke'!C103&lt;&gt;"",'CDO Bespoke'!C103,"")</f>
        <v>Electricite de France</v>
      </c>
      <c r="AH78" s="496">
        <f ca="1"/>
        <v>3.9840366305998742E-3</v>
      </c>
      <c r="AI78" s="585">
        <f ca="1"/>
        <v>1.3161335070677183E-2</v>
      </c>
      <c r="AJ78" s="585">
        <f ca="1"/>
        <v>3.7436002460200513E-2</v>
      </c>
      <c r="AK78" s="585">
        <f ca="1"/>
        <v>0.53336110447999019</v>
      </c>
      <c r="AL78" s="497">
        <f ca="1"/>
        <v>0</v>
      </c>
      <c r="AM78" s="496">
        <f ca="1"/>
        <v>2.0758613159931744E-5</v>
      </c>
      <c r="AN78" s="585">
        <f ca="1"/>
        <v>9.7999436849890986E-5</v>
      </c>
      <c r="AO78" s="585">
        <f ca="1"/>
        <v>4.1222932551003913E-4</v>
      </c>
      <c r="AP78" s="585">
        <f ca="1"/>
        <v>6.7436131189740026E-2</v>
      </c>
      <c r="AQ78" s="497">
        <f ca="1"/>
        <v>0</v>
      </c>
      <c r="AR78" s="580"/>
      <c r="AS78" s="580"/>
      <c r="AT78" s="580"/>
      <c r="AU78" s="580"/>
      <c r="AV78" s="580"/>
      <c r="AW78" s="580"/>
      <c r="AX78" s="579"/>
    </row>
    <row r="79" spans="2:50">
      <c r="B79" s="539" t="s">
        <v>535</v>
      </c>
      <c r="C79" s="540" t="s">
        <v>66</v>
      </c>
      <c r="D79" s="540" t="s">
        <v>55</v>
      </c>
      <c r="E79" s="540" t="s">
        <v>649</v>
      </c>
      <c r="F79" s="540" t="s">
        <v>648</v>
      </c>
      <c r="G79" s="541">
        <v>0.01</v>
      </c>
      <c r="H79" s="541">
        <v>4.0559999999999997E-3</v>
      </c>
      <c r="I79" s="542">
        <v>0.4</v>
      </c>
      <c r="J79" s="602">
        <v>4</v>
      </c>
      <c r="K79" s="543">
        <v>19</v>
      </c>
      <c r="L79" s="272"/>
      <c r="M79" s="272"/>
      <c r="P79" s="273"/>
      <c r="Q79" s="273"/>
      <c r="R79" s="273"/>
      <c r="S79" s="273"/>
      <c r="T79" s="576">
        <f ca="1"/>
        <v>0.06</v>
      </c>
      <c r="U79" s="573">
        <f ca="1"/>
        <v>71</v>
      </c>
      <c r="V79" s="576">
        <f t="shared" ca="1" si="8"/>
        <v>0</v>
      </c>
      <c r="W79" s="576">
        <f t="shared" ca="1" si="9"/>
        <v>0</v>
      </c>
      <c r="X79" s="484">
        <f ca="1">IF('CDO Bespoke'!O80&lt;&gt;"",'CDO Bespoke'!O80,"")</f>
        <v>1.1946189885202001</v>
      </c>
      <c r="Y79" s="485">
        <f ca="1">IF(X79&lt;&gt;"",ABS(MIN(-0.75*('CDO Bespoke'!Q80)+'CDO Bespoke'!T80,0)),"")</f>
        <v>1.188218372438407</v>
      </c>
      <c r="Z79" s="485">
        <f t="shared" ca="1" si="10"/>
        <v>6.4006160817930979E-3</v>
      </c>
      <c r="AA79" s="485">
        <f t="shared" ca="1" si="11"/>
        <v>0</v>
      </c>
      <c r="AB79" s="484">
        <f ca="1">IF('CDO Bespoke'!O80&lt;&gt;"",'CDO Bespoke'!O80,"")</f>
        <v>1.1946189885202001</v>
      </c>
      <c r="AC79" s="485">
        <f ca="1">IF(AB79&lt;&gt;"",ABS(MIN(-0.75*('CDO Bespoke'!K80)+'CDO Bespoke'!T80,0)),"")</f>
        <v>0.26796314882544103</v>
      </c>
      <c r="AD79" s="485">
        <f t="shared" ca="1" si="12"/>
        <v>0.92665583969475906</v>
      </c>
      <c r="AE79" s="489">
        <f t="shared" ca="1" si="13"/>
        <v>0</v>
      </c>
      <c r="AF79" s="272"/>
      <c r="AG79" s="494" t="str">
        <f ca="1">IF('CDO Bespoke'!C104&lt;&gt;"",'CDO Bespoke'!C104,"")</f>
        <v>ENEL S.P.A.</v>
      </c>
      <c r="AH79" s="496">
        <f ca="1"/>
        <v>3.5234849204979213E-3</v>
      </c>
      <c r="AI79" s="585">
        <f ca="1"/>
        <v>1.1055872930487709E-2</v>
      </c>
      <c r="AJ79" s="585">
        <f ca="1"/>
        <v>3.0496952641012598E-2</v>
      </c>
      <c r="AK79" s="585">
        <f ca="1"/>
        <v>0.49900361961063844</v>
      </c>
      <c r="AL79" s="497">
        <f ca="1"/>
        <v>0</v>
      </c>
      <c r="AM79" s="496">
        <f ca="1"/>
        <v>2.3228146350112722E-5</v>
      </c>
      <c r="AN79" s="585">
        <f ca="1"/>
        <v>1.0928592381002217E-4</v>
      </c>
      <c r="AO79" s="585">
        <f ca="1"/>
        <v>4.6464695940022158E-4</v>
      </c>
      <c r="AP79" s="585">
        <f ca="1"/>
        <v>6.7664481777645044E-2</v>
      </c>
      <c r="AQ79" s="497">
        <f ca="1"/>
        <v>0</v>
      </c>
      <c r="AR79" s="580"/>
      <c r="AS79" s="580"/>
      <c r="AT79" s="580"/>
      <c r="AU79" s="580"/>
      <c r="AV79" s="580"/>
      <c r="AW79" s="580"/>
      <c r="AX79" s="579"/>
    </row>
    <row r="80" spans="2:50">
      <c r="B80" s="517" t="s">
        <v>535</v>
      </c>
      <c r="C80" s="518" t="s">
        <v>66</v>
      </c>
      <c r="D80" s="518" t="s">
        <v>57</v>
      </c>
      <c r="E80" s="518" t="s">
        <v>649</v>
      </c>
      <c r="F80" s="518" t="s">
        <v>648</v>
      </c>
      <c r="G80" s="525">
        <v>0.01</v>
      </c>
      <c r="H80" s="525">
        <v>7.1669999999999998E-3</v>
      </c>
      <c r="I80" s="527">
        <v>0.4</v>
      </c>
      <c r="J80" s="594">
        <v>4</v>
      </c>
      <c r="K80" s="519">
        <v>19</v>
      </c>
      <c r="L80" s="272"/>
      <c r="M80" s="272"/>
      <c r="P80" s="273"/>
      <c r="Q80" s="273"/>
      <c r="R80" s="273"/>
      <c r="S80" s="273"/>
      <c r="T80" s="576">
        <f ca="1"/>
        <v>0.06</v>
      </c>
      <c r="U80" s="573">
        <f ca="1"/>
        <v>72</v>
      </c>
      <c r="V80" s="576">
        <f t="shared" ca="1" si="8"/>
        <v>0</v>
      </c>
      <c r="W80" s="576">
        <f t="shared" ca="1" si="9"/>
        <v>0</v>
      </c>
      <c r="X80" s="484">
        <f ca="1">IF('CDO Bespoke'!O81&lt;&gt;"",'CDO Bespoke'!O81,"")</f>
        <v>1.1949316919738799</v>
      </c>
      <c r="Y80" s="485">
        <f ca="1">IF(X80&lt;&gt;"",ABS(MIN(-0.75*('CDO Bespoke'!Q81)+'CDO Bespoke'!T81,0)),"")</f>
        <v>1.1878361213441389</v>
      </c>
      <c r="Z80" s="485">
        <f t="shared" ca="1" si="10"/>
        <v>7.0955706297410881E-3</v>
      </c>
      <c r="AA80" s="485">
        <f t="shared" ca="1" si="11"/>
        <v>0</v>
      </c>
      <c r="AB80" s="484">
        <f ca="1">IF('CDO Bespoke'!O81&lt;&gt;"",'CDO Bespoke'!O81,"")</f>
        <v>1.1949316919738799</v>
      </c>
      <c r="AC80" s="485">
        <f ca="1">IF(AB80&lt;&gt;"",ABS(MIN(-0.75*('CDO Bespoke'!K81)+'CDO Bespoke'!T81,0)),"")</f>
        <v>0.24612330478364078</v>
      </c>
      <c r="AD80" s="485">
        <f t="shared" ca="1" si="12"/>
        <v>0.94880838719023919</v>
      </c>
      <c r="AE80" s="489">
        <f t="shared" ca="1" si="13"/>
        <v>0</v>
      </c>
      <c r="AF80" s="272"/>
      <c r="AG80" s="494" t="str">
        <f ca="1">IF('CDO Bespoke'!C105&lt;&gt;"",'CDO Bespoke'!C105,"")</f>
        <v>ENGIE</v>
      </c>
      <c r="AH80" s="496">
        <f ca="1"/>
        <v>3.5626188410464721E-3</v>
      </c>
      <c r="AI80" s="585">
        <f ca="1"/>
        <v>1.1267613370113949E-2</v>
      </c>
      <c r="AJ80" s="585">
        <f ca="1"/>
        <v>3.1417871660943675E-2</v>
      </c>
      <c r="AK80" s="585">
        <f ca="1"/>
        <v>0.32757034225006088</v>
      </c>
      <c r="AL80" s="497">
        <f ca="1"/>
        <v>0</v>
      </c>
      <c r="AM80" s="496">
        <f ca="1"/>
        <v>3.3652900335162661E-5</v>
      </c>
      <c r="AN80" s="585">
        <f ca="1"/>
        <v>1.5729639784491795E-4</v>
      </c>
      <c r="AO80" s="585">
        <f ca="1"/>
        <v>7.0387642298989916E-4</v>
      </c>
      <c r="AP80" s="585">
        <f ca="1"/>
        <v>6.8146677792764801E-2</v>
      </c>
      <c r="AQ80" s="497">
        <f ca="1"/>
        <v>0</v>
      </c>
      <c r="AR80" s="580"/>
      <c r="AS80" s="580"/>
      <c r="AT80" s="580"/>
      <c r="AU80" s="580"/>
      <c r="AV80" s="580"/>
      <c r="AW80" s="580"/>
      <c r="AX80" s="579"/>
    </row>
    <row r="81" spans="2:50">
      <c r="B81" s="534" t="s">
        <v>535</v>
      </c>
      <c r="C81" s="535" t="s">
        <v>66</v>
      </c>
      <c r="D81" s="535" t="s">
        <v>59</v>
      </c>
      <c r="E81" s="535" t="s">
        <v>649</v>
      </c>
      <c r="F81" s="535" t="s">
        <v>648</v>
      </c>
      <c r="G81" s="536">
        <v>0.01</v>
      </c>
      <c r="H81" s="536">
        <v>1.0695E-2</v>
      </c>
      <c r="I81" s="537">
        <v>0.4</v>
      </c>
      <c r="J81" s="595">
        <v>4</v>
      </c>
      <c r="K81" s="538">
        <v>19</v>
      </c>
      <c r="L81" s="272"/>
      <c r="M81" s="272"/>
      <c r="P81" s="273"/>
      <c r="Q81" s="273"/>
      <c r="R81" s="273"/>
      <c r="S81" s="273"/>
      <c r="T81" s="576">
        <f ca="1"/>
        <v>0.06</v>
      </c>
      <c r="U81" s="573">
        <f ca="1"/>
        <v>73</v>
      </c>
      <c r="V81" s="576">
        <f t="shared" ca="1" si="8"/>
        <v>0</v>
      </c>
      <c r="W81" s="576">
        <f t="shared" ca="1" si="9"/>
        <v>0</v>
      </c>
      <c r="X81" s="484">
        <f ca="1">IF('CDO Bespoke'!O82&lt;&gt;"",'CDO Bespoke'!O82,"")</f>
        <v>1.1945413205650399</v>
      </c>
      <c r="Y81" s="485">
        <f ca="1">IF(X81&lt;&gt;"",ABS(MIN(-0.75*('CDO Bespoke'!Q82)+'CDO Bespoke'!T82,0)),"")</f>
        <v>1.1883019293025241</v>
      </c>
      <c r="Z81" s="485">
        <f t="shared" ca="1" si="10"/>
        <v>6.2393912625158254E-3</v>
      </c>
      <c r="AA81" s="485">
        <f t="shared" ca="1" si="11"/>
        <v>0</v>
      </c>
      <c r="AB81" s="484">
        <f ca="1">IF('CDO Bespoke'!O82&lt;&gt;"",'CDO Bespoke'!O82,"")</f>
        <v>1.1945413205650399</v>
      </c>
      <c r="AC81" s="485">
        <f ca="1">IF(AB81&lt;&gt;"",ABS(MIN(-0.75*('CDO Bespoke'!K82)+'CDO Bespoke'!T82,0)),"")</f>
        <v>0.27252968109395426</v>
      </c>
      <c r="AD81" s="485">
        <f t="shared" ca="1" si="12"/>
        <v>0.92201163947108566</v>
      </c>
      <c r="AE81" s="489">
        <f t="shared" ca="1" si="13"/>
        <v>0</v>
      </c>
      <c r="AF81" s="272"/>
      <c r="AG81" s="494" t="str">
        <f ca="1">IF('CDO Bespoke'!C106&lt;&gt;"",'CDO Bespoke'!C106,"")</f>
        <v>ENI S.P.A.</v>
      </c>
      <c r="AH81" s="496">
        <f ca="1"/>
        <v>3.864020360344611E-3</v>
      </c>
      <c r="AI81" s="585">
        <f ca="1"/>
        <v>1.2577870300845007E-2</v>
      </c>
      <c r="AJ81" s="585">
        <f ca="1"/>
        <v>3.5614584340537547E-2</v>
      </c>
      <c r="AK81" s="585">
        <f ca="1"/>
        <v>0.43636953088066477</v>
      </c>
      <c r="AL81" s="497">
        <f ca="1"/>
        <v>0</v>
      </c>
      <c r="AM81" s="496">
        <f ca="1"/>
        <v>5.3440177589375581E-5</v>
      </c>
      <c r="AN81" s="585">
        <f ca="1"/>
        <v>2.5089685289983454E-4</v>
      </c>
      <c r="AO81" s="585">
        <f ca="1"/>
        <v>1.0952090287195959E-3</v>
      </c>
      <c r="AP81" s="585">
        <f ca="1"/>
        <v>0.13552357703465986</v>
      </c>
      <c r="AQ81" s="497">
        <f ca="1"/>
        <v>0</v>
      </c>
      <c r="AR81" s="580"/>
      <c r="AS81" s="580"/>
      <c r="AT81" s="580"/>
      <c r="AU81" s="580"/>
      <c r="AV81" s="580"/>
      <c r="AW81" s="580"/>
      <c r="AX81" s="579"/>
    </row>
    <row r="82" spans="2:50">
      <c r="B82" s="539" t="s">
        <v>613</v>
      </c>
      <c r="C82" s="540" t="s">
        <v>66</v>
      </c>
      <c r="D82" s="540" t="s">
        <v>55</v>
      </c>
      <c r="E82" s="540" t="s">
        <v>650</v>
      </c>
      <c r="F82" s="540" t="s">
        <v>675</v>
      </c>
      <c r="G82" s="541">
        <v>0.01</v>
      </c>
      <c r="H82" s="541">
        <v>1.191E-3</v>
      </c>
      <c r="I82" s="542">
        <v>0.4</v>
      </c>
      <c r="J82" s="602">
        <v>4</v>
      </c>
      <c r="K82" s="543">
        <v>20</v>
      </c>
      <c r="L82" s="272"/>
      <c r="M82" s="272"/>
      <c r="P82" s="273"/>
      <c r="Q82" s="273"/>
      <c r="R82" s="273"/>
      <c r="S82" s="273"/>
      <c r="T82" s="576">
        <f ca="1"/>
        <v>0.06</v>
      </c>
      <c r="U82" s="573">
        <f ca="1"/>
        <v>74</v>
      </c>
      <c r="V82" s="576">
        <f t="shared" ca="1" si="8"/>
        <v>0</v>
      </c>
      <c r="W82" s="576">
        <f t="shared" ca="1" si="9"/>
        <v>0</v>
      </c>
      <c r="X82" s="484">
        <f ca="1">IF('CDO Bespoke'!O83&lt;&gt;"",'CDO Bespoke'!O83,"")</f>
        <v>1.1953012788437201</v>
      </c>
      <c r="Y82" s="485">
        <f ca="1">IF(X82&lt;&gt;"",ABS(MIN(-0.75*('CDO Bespoke'!Q83)+'CDO Bespoke'!T83,0)),"")</f>
        <v>1.1872312991313312</v>
      </c>
      <c r="Z82" s="485">
        <f t="shared" ca="1" si="10"/>
        <v>8.069979712388875E-3</v>
      </c>
      <c r="AA82" s="485">
        <f t="shared" ca="1" si="11"/>
        <v>0</v>
      </c>
      <c r="AB82" s="484">
        <f ca="1">IF('CDO Bespoke'!O83&lt;&gt;"",'CDO Bespoke'!O83,"")</f>
        <v>1.1953012788437201</v>
      </c>
      <c r="AC82" s="485">
        <f ca="1">IF(AB82&lt;&gt;"",ABS(MIN(-0.75*('CDO Bespoke'!K83)+'CDO Bespoke'!T83,0)),"")</f>
        <v>0.20729658794709327</v>
      </c>
      <c r="AD82" s="485">
        <f t="shared" ca="1" si="12"/>
        <v>0.98800469089662679</v>
      </c>
      <c r="AE82" s="489">
        <f t="shared" ca="1" si="13"/>
        <v>0</v>
      </c>
      <c r="AF82" s="272"/>
      <c r="AG82" s="494" t="str">
        <f ca="1">IF('CDO Bespoke'!C107&lt;&gt;"",'CDO Bespoke'!C107,"")</f>
        <v>EQUINOR ASA</v>
      </c>
      <c r="AH82" s="496">
        <f ca="1"/>
        <v>3.0921380600457127E-3</v>
      </c>
      <c r="AI82" s="585">
        <f ca="1"/>
        <v>9.4404946004988943E-3</v>
      </c>
      <c r="AJ82" s="585">
        <f ca="1"/>
        <v>2.556659618013768E-2</v>
      </c>
      <c r="AK82" s="585">
        <f ca="1"/>
        <v>0.17126304687087313</v>
      </c>
      <c r="AL82" s="497">
        <f ca="1"/>
        <v>0</v>
      </c>
      <c r="AM82" s="496">
        <f ca="1"/>
        <v>8.8419407760081947E-5</v>
      </c>
      <c r="AN82" s="585">
        <f ca="1"/>
        <v>4.1146311707922212E-4</v>
      </c>
      <c r="AO82" s="585">
        <f ca="1"/>
        <v>1.8849923348999292E-3</v>
      </c>
      <c r="AP82" s="585">
        <f ca="1"/>
        <v>0.13735950749090944</v>
      </c>
      <c r="AQ82" s="497">
        <f ca="1"/>
        <v>0</v>
      </c>
      <c r="AR82" s="580"/>
      <c r="AS82" s="580"/>
      <c r="AT82" s="580"/>
      <c r="AU82" s="580"/>
      <c r="AV82" s="580"/>
      <c r="AW82" s="580"/>
      <c r="AX82" s="579"/>
    </row>
    <row r="83" spans="2:50">
      <c r="B83" s="517" t="s">
        <v>613</v>
      </c>
      <c r="C83" s="518" t="s">
        <v>66</v>
      </c>
      <c r="D83" s="518" t="s">
        <v>57</v>
      </c>
      <c r="E83" s="518" t="s">
        <v>650</v>
      </c>
      <c r="F83" s="518" t="s">
        <v>675</v>
      </c>
      <c r="G83" s="525">
        <v>0.01</v>
      </c>
      <c r="H83" s="525">
        <v>1.908E-3</v>
      </c>
      <c r="I83" s="527">
        <v>0.4</v>
      </c>
      <c r="J83" s="594">
        <v>4</v>
      </c>
      <c r="K83" s="519">
        <v>20</v>
      </c>
      <c r="L83" s="272"/>
      <c r="M83" s="272"/>
      <c r="P83" s="273"/>
      <c r="Q83" s="273"/>
      <c r="R83" s="273"/>
      <c r="S83" s="273"/>
      <c r="T83" s="576">
        <f ca="1"/>
        <v>0.02</v>
      </c>
      <c r="U83" s="573">
        <f ca="1"/>
        <v>75</v>
      </c>
      <c r="V83" s="576">
        <f t="shared" ca="1" si="8"/>
        <v>0</v>
      </c>
      <c r="W83" s="576">
        <f t="shared" ca="1" si="9"/>
        <v>0</v>
      </c>
      <c r="X83" s="484">
        <f ca="1">IF('CDO Bespoke'!O84&lt;&gt;"",'CDO Bespoke'!O84,"")</f>
        <v>1.1949752837084999</v>
      </c>
      <c r="Y83" s="485">
        <f ca="1">IF(X83&lt;&gt;"",ABS(MIN(-0.75*('CDO Bespoke'!Q84)+'CDO Bespoke'!T84,0)),"")</f>
        <v>1.1877755102998668</v>
      </c>
      <c r="Z83" s="485">
        <f t="shared" ca="1" si="10"/>
        <v>7.1997734086330922E-3</v>
      </c>
      <c r="AA83" s="485">
        <f t="shared" ca="1" si="11"/>
        <v>0</v>
      </c>
      <c r="AB83" s="484">
        <f ca="1">IF('CDO Bespoke'!O84&lt;&gt;"",'CDO Bespoke'!O84,"")</f>
        <v>1.1949752837084999</v>
      </c>
      <c r="AC83" s="485">
        <f ca="1">IF(AB83&lt;&gt;"",ABS(MIN(-0.75*('CDO Bespoke'!K84)+'CDO Bespoke'!T84,0)),"")</f>
        <v>0.24249662234658417</v>
      </c>
      <c r="AD83" s="485">
        <f t="shared" ca="1" si="12"/>
        <v>0.95247866136191572</v>
      </c>
      <c r="AE83" s="489">
        <f t="shared" ca="1" si="13"/>
        <v>0</v>
      </c>
      <c r="AF83" s="272"/>
      <c r="AG83" s="494" t="str">
        <f ca="1">IF('CDO Bespoke'!C108&lt;&gt;"",'CDO Bespoke'!C108,"")</f>
        <v>Fortum Oyj</v>
      </c>
      <c r="AH83" s="496">
        <f ca="1"/>
        <v>3.429413030220374E-3</v>
      </c>
      <c r="AI83" s="585">
        <f ca="1"/>
        <v>1.0689066610725106E-2</v>
      </c>
      <c r="AJ83" s="585">
        <f ca="1"/>
        <v>2.9581801940237185E-2</v>
      </c>
      <c r="AK83" s="585">
        <f ca="1"/>
        <v>0.34003264635096286</v>
      </c>
      <c r="AL83" s="497">
        <f ca="1"/>
        <v>0</v>
      </c>
      <c r="AM83" s="496">
        <f ca="1"/>
        <v>3.2971053480143619E-5</v>
      </c>
      <c r="AN83" s="585">
        <f ca="1"/>
        <v>1.5412476142527554E-4</v>
      </c>
      <c r="AO83" s="585">
        <f ca="1"/>
        <v>6.8715943566007021E-4</v>
      </c>
      <c r="AP83" s="585">
        <f ca="1"/>
        <v>6.8139611221560037E-2</v>
      </c>
      <c r="AQ83" s="497">
        <f ca="1"/>
        <v>0</v>
      </c>
      <c r="AR83" s="580"/>
      <c r="AS83" s="580"/>
      <c r="AT83" s="580"/>
      <c r="AU83" s="580"/>
      <c r="AV83" s="580"/>
      <c r="AW83" s="580"/>
      <c r="AX83" s="579"/>
    </row>
    <row r="84" spans="2:50">
      <c r="B84" s="534" t="s">
        <v>613</v>
      </c>
      <c r="C84" s="535" t="s">
        <v>66</v>
      </c>
      <c r="D84" s="535" t="s">
        <v>59</v>
      </c>
      <c r="E84" s="535" t="s">
        <v>650</v>
      </c>
      <c r="F84" s="535" t="s">
        <v>675</v>
      </c>
      <c r="G84" s="536">
        <v>0.01</v>
      </c>
      <c r="H84" s="536">
        <v>2.9069999999999999E-3</v>
      </c>
      <c r="I84" s="537">
        <v>0.4</v>
      </c>
      <c r="J84" s="595">
        <v>4</v>
      </c>
      <c r="K84" s="538">
        <v>20</v>
      </c>
      <c r="L84" s="272"/>
      <c r="M84" s="272"/>
      <c r="P84" s="273"/>
      <c r="Q84" s="273"/>
      <c r="R84" s="273"/>
      <c r="S84" s="273"/>
      <c r="T84" s="576">
        <f ca="1"/>
        <v>0.03</v>
      </c>
      <c r="U84" s="573">
        <f ca="1"/>
        <v>76</v>
      </c>
      <c r="V84" s="576">
        <f t="shared" ca="1" si="8"/>
        <v>0</v>
      </c>
      <c r="W84" s="576">
        <f t="shared" ca="1" si="9"/>
        <v>0</v>
      </c>
      <c r="X84" s="484">
        <f ca="1">IF('CDO Bespoke'!O85&lt;&gt;"",'CDO Bespoke'!O85,"")</f>
        <v>1.19509888979516</v>
      </c>
      <c r="Y84" s="485">
        <f ca="1">IF(X84&lt;&gt;"",ABS(MIN(-0.75*('CDO Bespoke'!Q85)+'CDO Bespoke'!T85,0)),"")</f>
        <v>1.1875906074546356</v>
      </c>
      <c r="Z84" s="485">
        <f t="shared" ca="1" si="10"/>
        <v>7.5082823405243637E-3</v>
      </c>
      <c r="AA84" s="485">
        <f t="shared" ca="1" si="11"/>
        <v>0</v>
      </c>
      <c r="AB84" s="484">
        <f ca="1">IF('CDO Bespoke'!O85&lt;&gt;"",'CDO Bespoke'!O85,"")</f>
        <v>1.19509888979516</v>
      </c>
      <c r="AC84" s="485">
        <f ca="1">IF(AB84&lt;&gt;"",ABS(MIN(-0.75*('CDO Bespoke'!K85)+'CDO Bespoke'!T85,0)),"")</f>
        <v>0.23110664992775951</v>
      </c>
      <c r="AD84" s="485">
        <f t="shared" ca="1" si="12"/>
        <v>0.96399223986740046</v>
      </c>
      <c r="AE84" s="489">
        <f t="shared" ca="1" si="13"/>
        <v>0</v>
      </c>
      <c r="AF84" s="272"/>
      <c r="AG84" s="494" t="str">
        <f ca="1">IF('CDO Bespoke'!C109&lt;&gt;"",'CDO Bespoke'!C109,"")</f>
        <v>Iberdrola, S.A.</v>
      </c>
      <c r="AH84" s="496">
        <f ca="1"/>
        <v>3.3578732505645803E-3</v>
      </c>
      <c r="AI84" s="585">
        <f ca="1"/>
        <v>1.0428990190325393E-2</v>
      </c>
      <c r="AJ84" s="585">
        <f ca="1"/>
        <v>2.8763241251006377E-2</v>
      </c>
      <c r="AK84" s="585">
        <f ca="1"/>
        <v>0.27463621256051951</v>
      </c>
      <c r="AL84" s="497">
        <f ca="1"/>
        <v>0</v>
      </c>
      <c r="AM84" s="496">
        <f ca="1"/>
        <v>3.7148709495019028E-5</v>
      </c>
      <c r="AN84" s="585">
        <f ca="1"/>
        <v>1.7332557925471559E-4</v>
      </c>
      <c r="AO84" s="585">
        <f ca="1"/>
        <v>7.8238666943973578E-4</v>
      </c>
      <c r="AP84" s="585">
        <f ca="1"/>
        <v>6.8337848534654605E-2</v>
      </c>
      <c r="AQ84" s="497">
        <f ca="1"/>
        <v>0</v>
      </c>
      <c r="AR84" s="580"/>
      <c r="AS84" s="580"/>
      <c r="AT84" s="580"/>
      <c r="AU84" s="580"/>
      <c r="AV84" s="580"/>
      <c r="AW84" s="580"/>
      <c r="AX84" s="579"/>
    </row>
    <row r="85" spans="2:50">
      <c r="B85" s="539" t="s">
        <v>520</v>
      </c>
      <c r="C85" s="540" t="s">
        <v>66</v>
      </c>
      <c r="D85" s="540" t="s">
        <v>55</v>
      </c>
      <c r="E85" s="540" t="s">
        <v>647</v>
      </c>
      <c r="F85" s="540" t="s">
        <v>675</v>
      </c>
      <c r="G85" s="541">
        <v>0.01</v>
      </c>
      <c r="H85" s="541">
        <v>1.2049999999999999E-3</v>
      </c>
      <c r="I85" s="542">
        <v>0.4</v>
      </c>
      <c r="J85" s="602">
        <v>4</v>
      </c>
      <c r="K85" s="543">
        <v>21</v>
      </c>
      <c r="L85" s="272"/>
      <c r="M85" s="272"/>
      <c r="P85" s="273"/>
      <c r="Q85" s="273"/>
      <c r="R85" s="273"/>
      <c r="S85" s="273"/>
      <c r="T85" s="576">
        <f ca="1"/>
        <v>0.06</v>
      </c>
      <c r="U85" s="573">
        <f ca="1"/>
        <v>77</v>
      </c>
      <c r="V85" s="576">
        <f t="shared" ca="1" si="8"/>
        <v>0</v>
      </c>
      <c r="W85" s="576">
        <f t="shared" ca="1" si="9"/>
        <v>0</v>
      </c>
      <c r="X85" s="484">
        <f ca="1">IF('CDO Bespoke'!O86&lt;&gt;"",'CDO Bespoke'!O86,"")</f>
        <v>1.1943885453627801</v>
      </c>
      <c r="Y85" s="485">
        <f ca="1">IF(X85&lt;&gt;"",ABS(MIN(-0.75*('CDO Bespoke'!Q86)+'CDO Bespoke'!T86,0)),"")</f>
        <v>1.1884560069560881</v>
      </c>
      <c r="Z85" s="485">
        <f t="shared" ca="1" si="10"/>
        <v>5.9325384066919451E-3</v>
      </c>
      <c r="AA85" s="485">
        <f t="shared" ca="1" si="11"/>
        <v>0</v>
      </c>
      <c r="AB85" s="484">
        <f ca="1">IF('CDO Bespoke'!O86&lt;&gt;"",'CDO Bespoke'!O86,"")</f>
        <v>1.1943885453627801</v>
      </c>
      <c r="AC85" s="485">
        <f ca="1">IF(AB85&lt;&gt;"",ABS(MIN(-0.75*('CDO Bespoke'!K86)+'CDO Bespoke'!T86,0)),"")</f>
        <v>0.28078369178246021</v>
      </c>
      <c r="AD85" s="485">
        <f t="shared" ca="1" si="12"/>
        <v>0.91360485358031984</v>
      </c>
      <c r="AE85" s="489">
        <f t="shared" ca="1" si="13"/>
        <v>0</v>
      </c>
      <c r="AF85" s="272"/>
      <c r="AG85" s="494" t="str">
        <f ca="1">IF('CDO Bespoke'!C110&lt;&gt;"",'CDO Bespoke'!C110,"")</f>
        <v>NATIONAL GRID PLC</v>
      </c>
      <c r="AH85" s="496">
        <f ca="1"/>
        <v>4.007189570165437E-3</v>
      </c>
      <c r="AI85" s="585">
        <f ca="1"/>
        <v>1.3231404670799307E-2</v>
      </c>
      <c r="AJ85" s="585">
        <f ca="1"/>
        <v>3.7772917780287685E-2</v>
      </c>
      <c r="AK85" s="585">
        <f ca="1"/>
        <v>0.45584885649097018</v>
      </c>
      <c r="AL85" s="497">
        <f ca="1"/>
        <v>0</v>
      </c>
      <c r="AM85" s="496">
        <f ca="1"/>
        <v>2.5412053845062788E-5</v>
      </c>
      <c r="AN85" s="585">
        <f ca="1"/>
        <v>1.1945514218989622E-4</v>
      </c>
      <c r="AO85" s="585">
        <f ca="1"/>
        <v>5.1897092428528774E-4</v>
      </c>
      <c r="AP85" s="585">
        <f ca="1"/>
        <v>6.7665716323754913E-2</v>
      </c>
      <c r="AQ85" s="497">
        <f ca="1"/>
        <v>0</v>
      </c>
      <c r="AR85" s="580"/>
      <c r="AS85" s="580"/>
      <c r="AT85" s="580"/>
      <c r="AU85" s="580"/>
      <c r="AV85" s="580"/>
      <c r="AW85" s="580"/>
      <c r="AX85" s="579"/>
    </row>
    <row r="86" spans="2:50">
      <c r="B86" s="517" t="s">
        <v>520</v>
      </c>
      <c r="C86" s="518" t="s">
        <v>66</v>
      </c>
      <c r="D86" s="518" t="s">
        <v>57</v>
      </c>
      <c r="E86" s="518" t="s">
        <v>647</v>
      </c>
      <c r="F86" s="518" t="s">
        <v>675</v>
      </c>
      <c r="G86" s="525">
        <v>0.01</v>
      </c>
      <c r="H86" s="525">
        <v>1.9740000000000001E-3</v>
      </c>
      <c r="I86" s="527">
        <v>0.4</v>
      </c>
      <c r="J86" s="594">
        <v>4</v>
      </c>
      <c r="K86" s="519">
        <v>21</v>
      </c>
      <c r="L86" s="272"/>
      <c r="M86" s="272"/>
      <c r="P86" s="273"/>
      <c r="Q86" s="273"/>
      <c r="R86" s="273"/>
      <c r="S86" s="273"/>
      <c r="T86" s="576">
        <f ca="1"/>
        <v>0.06</v>
      </c>
      <c r="U86" s="573">
        <f ca="1"/>
        <v>78</v>
      </c>
      <c r="V86" s="576">
        <f t="shared" ca="1" si="8"/>
        <v>0</v>
      </c>
      <c r="W86" s="576">
        <f t="shared" ca="1" si="9"/>
        <v>0</v>
      </c>
      <c r="X86" s="484">
        <f ca="1">IF('CDO Bespoke'!O87&lt;&gt;"",'CDO Bespoke'!O87,"")</f>
        <v>1.1947869344686299</v>
      </c>
      <c r="Y86" s="485">
        <f ca="1">IF(X86&lt;&gt;"",ABS(MIN(-0.75*('CDO Bespoke'!Q87)+'CDO Bespoke'!T87,0)),"")</f>
        <v>1.1880233563462868</v>
      </c>
      <c r="Z86" s="485">
        <f t="shared" ca="1" si="10"/>
        <v>6.7635781223431835E-3</v>
      </c>
      <c r="AA86" s="485">
        <f t="shared" ca="1" si="11"/>
        <v>0</v>
      </c>
      <c r="AB86" s="484">
        <f ca="1">IF('CDO Bespoke'!O87&lt;&gt;"",'CDO Bespoke'!O87,"")</f>
        <v>1.1947869344686299</v>
      </c>
      <c r="AC86" s="485">
        <f ca="1">IF(AB86&lt;&gt;"",ABS(MIN(-0.75*('CDO Bespoke'!K87)+'CDO Bespoke'!T87,0)),"")</f>
        <v>0.25702956409141525</v>
      </c>
      <c r="AD86" s="485">
        <f t="shared" ca="1" si="12"/>
        <v>0.93775737037721463</v>
      </c>
      <c r="AE86" s="489">
        <f t="shared" ca="1" si="13"/>
        <v>0</v>
      </c>
      <c r="AF86" s="272"/>
      <c r="AG86" s="494" t="str">
        <f ca="1">IF('CDO Bespoke'!C111&lt;&gt;"",'CDO Bespoke'!C111,"")</f>
        <v>NATURGY ENERGY GROUP, S.A.</v>
      </c>
      <c r="AH86" s="496">
        <f ca="1"/>
        <v>3.7639781602649691E-3</v>
      </c>
      <c r="AI86" s="585">
        <f ca="1"/>
        <v>1.2136035359988639E-2</v>
      </c>
      <c r="AJ86" s="585">
        <f ca="1"/>
        <v>3.4205382130059192E-2</v>
      </c>
      <c r="AK86" s="585">
        <f ca="1"/>
        <v>0.35018705720091248</v>
      </c>
      <c r="AL86" s="497">
        <f ca="1"/>
        <v>0</v>
      </c>
      <c r="AM86" s="496">
        <f ca="1"/>
        <v>3.2091336119727254E-5</v>
      </c>
      <c r="AN86" s="585">
        <f ca="1"/>
        <v>1.501590409945866E-4</v>
      </c>
      <c r="AO86" s="585">
        <f ca="1"/>
        <v>6.6977468788486511E-4</v>
      </c>
      <c r="AP86" s="585">
        <f ca="1"/>
        <v>6.8037236901029821E-2</v>
      </c>
      <c r="AQ86" s="497">
        <f ca="1"/>
        <v>0</v>
      </c>
      <c r="AR86" s="580"/>
      <c r="AS86" s="580"/>
      <c r="AT86" s="580"/>
      <c r="AU86" s="580"/>
      <c r="AV86" s="580"/>
      <c r="AW86" s="580"/>
      <c r="AX86" s="579"/>
    </row>
    <row r="87" spans="2:50">
      <c r="B87" s="534" t="s">
        <v>520</v>
      </c>
      <c r="C87" s="535" t="s">
        <v>66</v>
      </c>
      <c r="D87" s="535" t="s">
        <v>59</v>
      </c>
      <c r="E87" s="535" t="s">
        <v>647</v>
      </c>
      <c r="F87" s="535" t="s">
        <v>675</v>
      </c>
      <c r="G87" s="536">
        <v>0.01</v>
      </c>
      <c r="H87" s="536">
        <v>3.055E-3</v>
      </c>
      <c r="I87" s="537">
        <v>0.4</v>
      </c>
      <c r="J87" s="595">
        <v>4</v>
      </c>
      <c r="K87" s="538">
        <v>21</v>
      </c>
      <c r="L87" s="272"/>
      <c r="M87" s="272"/>
      <c r="P87" s="273"/>
      <c r="Q87" s="273"/>
      <c r="R87" s="273"/>
      <c r="S87" s="273"/>
      <c r="T87" s="576">
        <f ca="1"/>
        <v>0.06</v>
      </c>
      <c r="U87" s="573">
        <f ca="1"/>
        <v>79</v>
      </c>
      <c r="V87" s="576">
        <f t="shared" ca="1" si="8"/>
        <v>0</v>
      </c>
      <c r="W87" s="576">
        <f t="shared" ca="1" si="9"/>
        <v>0</v>
      </c>
      <c r="X87" s="484">
        <f ca="1">IF('CDO Bespoke'!O88&lt;&gt;"",'CDO Bespoke'!O88,"")</f>
        <v>1.19424529484138</v>
      </c>
      <c r="Y87" s="485">
        <f ca="1">IF(X87&lt;&gt;"",ABS(MIN(-0.75*('CDO Bespoke'!Q88)+'CDO Bespoke'!T88,0)),"")</f>
        <v>1.1885897558107783</v>
      </c>
      <c r="Z87" s="485">
        <f t="shared" ca="1" si="10"/>
        <v>5.6555390306016751E-3</v>
      </c>
      <c r="AA87" s="485">
        <f t="shared" ca="1" si="11"/>
        <v>0</v>
      </c>
      <c r="AB87" s="484">
        <f ca="1">IF('CDO Bespoke'!O88&lt;&gt;"",'CDO Bespoke'!O88,"")</f>
        <v>1.19424529484138</v>
      </c>
      <c r="AC87" s="485">
        <f ca="1">IF(AB87&lt;&gt;"",ABS(MIN(-0.75*('CDO Bespoke'!K88)+'CDO Bespoke'!T88,0)),"")</f>
        <v>0.28778908241742351</v>
      </c>
      <c r="AD87" s="485">
        <f t="shared" ca="1" si="12"/>
        <v>0.90645621242395646</v>
      </c>
      <c r="AE87" s="489">
        <f t="shared" ca="1" si="13"/>
        <v>0</v>
      </c>
      <c r="AF87" s="272"/>
      <c r="AG87" s="494" t="str">
        <f ca="1">IF('CDO Bespoke'!C112&lt;&gt;"",'CDO Bespoke'!C112,"")</f>
        <v>REPSOL, S.A.</v>
      </c>
      <c r="AH87" s="496">
        <f ca="1"/>
        <v>4.10305452058779E-3</v>
      </c>
      <c r="AI87" s="585">
        <f ca="1"/>
        <v>1.3681415350630388E-2</v>
      </c>
      <c r="AJ87" s="585">
        <f ca="1"/>
        <v>3.9269400390340437E-2</v>
      </c>
      <c r="AK87" s="585">
        <f ca="1"/>
        <v>0.47949715734074694</v>
      </c>
      <c r="AL87" s="497">
        <f ca="1"/>
        <v>0</v>
      </c>
      <c r="AM87" s="496">
        <f ca="1"/>
        <v>4.778318909923196E-5</v>
      </c>
      <c r="AN87" s="585">
        <f ca="1"/>
        <v>2.2493600874001762E-4</v>
      </c>
      <c r="AO87" s="585">
        <f ca="1"/>
        <v>9.7014539519948984E-4</v>
      </c>
      <c r="AP87" s="585">
        <f ca="1"/>
        <v>0.13513408302710961</v>
      </c>
      <c r="AQ87" s="497">
        <f ca="1"/>
        <v>0</v>
      </c>
      <c r="AR87" s="580"/>
      <c r="AS87" s="580"/>
      <c r="AT87" s="580"/>
      <c r="AU87" s="580"/>
      <c r="AV87" s="580"/>
      <c r="AW87" s="580"/>
      <c r="AX87" s="579"/>
    </row>
    <row r="88" spans="2:50">
      <c r="B88" s="539" t="s">
        <v>614</v>
      </c>
      <c r="C88" s="540" t="s">
        <v>66</v>
      </c>
      <c r="D88" s="540" t="s">
        <v>55</v>
      </c>
      <c r="E88" s="540" t="s">
        <v>649</v>
      </c>
      <c r="F88" s="540" t="s">
        <v>675</v>
      </c>
      <c r="G88" s="541">
        <v>0.01</v>
      </c>
      <c r="H88" s="541">
        <v>1.1557E-2</v>
      </c>
      <c r="I88" s="542">
        <v>0.4</v>
      </c>
      <c r="J88" s="602">
        <v>4</v>
      </c>
      <c r="K88" s="543">
        <v>22</v>
      </c>
      <c r="L88" s="272"/>
      <c r="M88" s="272"/>
      <c r="P88" s="273"/>
      <c r="Q88" s="273"/>
      <c r="R88" s="273"/>
      <c r="S88" s="273"/>
      <c r="T88" s="576">
        <f ca="1"/>
        <v>0.06</v>
      </c>
      <c r="U88" s="573">
        <f ca="1"/>
        <v>80</v>
      </c>
      <c r="V88" s="576">
        <f t="shared" ca="1" si="8"/>
        <v>0</v>
      </c>
      <c r="W88" s="576">
        <f t="shared" ca="1" si="9"/>
        <v>0</v>
      </c>
      <c r="X88" s="484">
        <f ca="1">IF('CDO Bespoke'!O89&lt;&gt;"",'CDO Bespoke'!O89,"")</f>
        <v>1.19524533460169</v>
      </c>
      <c r="Y88" s="485">
        <f ca="1">IF(X88&lt;&gt;"",ABS(MIN(-0.75*('CDO Bespoke'!Q89)+'CDO Bespoke'!T89,0)),"")</f>
        <v>1.1873395304610881</v>
      </c>
      <c r="Z88" s="485">
        <f t="shared" ca="1" si="10"/>
        <v>7.9058041406019353E-3</v>
      </c>
      <c r="AA88" s="485">
        <f t="shared" ca="1" si="11"/>
        <v>0</v>
      </c>
      <c r="AB88" s="484">
        <f ca="1">IF('CDO Bespoke'!O89&lt;&gt;"",'CDO Bespoke'!O89,"")</f>
        <v>1.19524533460169</v>
      </c>
      <c r="AC88" s="485">
        <f ca="1">IF(AB88&lt;&gt;"",ABS(MIN(-0.75*('CDO Bespoke'!K89)+'CDO Bespoke'!T89,0)),"")</f>
        <v>0.21473345671296323</v>
      </c>
      <c r="AD88" s="485">
        <f t="shared" ca="1" si="12"/>
        <v>0.98051187788872674</v>
      </c>
      <c r="AE88" s="489">
        <f t="shared" ca="1" si="13"/>
        <v>0</v>
      </c>
      <c r="AF88" s="272"/>
      <c r="AG88" s="494" t="str">
        <f ca="1">IF('CDO Bespoke'!C113&lt;&gt;"",'CDO Bespoke'!C113,"")</f>
        <v>SHELL PLC</v>
      </c>
      <c r="AH88" s="496">
        <f ca="1"/>
        <v>3.1707296610505864E-3</v>
      </c>
      <c r="AI88" s="585">
        <f ca="1"/>
        <v>9.7194100201480893E-3</v>
      </c>
      <c r="AJ88" s="585">
        <f ca="1"/>
        <v>2.649340390070698E-2</v>
      </c>
      <c r="AK88" s="585">
        <f ca="1"/>
        <v>0.20517733271052663</v>
      </c>
      <c r="AL88" s="497">
        <f ca="1"/>
        <v>0</v>
      </c>
      <c r="AM88" s="496">
        <f ca="1"/>
        <v>8.3661622440195371E-5</v>
      </c>
      <c r="AN88" s="585">
        <f ca="1"/>
        <v>3.896312284500103E-4</v>
      </c>
      <c r="AO88" s="585">
        <f ca="1"/>
        <v>1.7768963304597152E-3</v>
      </c>
      <c r="AP88" s="585">
        <f ca="1"/>
        <v>0.13713736222391962</v>
      </c>
      <c r="AQ88" s="497">
        <f ca="1"/>
        <v>0</v>
      </c>
      <c r="AR88" s="580"/>
      <c r="AS88" s="580"/>
      <c r="AT88" s="580"/>
      <c r="AU88" s="580"/>
      <c r="AV88" s="580"/>
      <c r="AW88" s="580"/>
      <c r="AX88" s="579"/>
    </row>
    <row r="89" spans="2:50">
      <c r="B89" s="517" t="s">
        <v>614</v>
      </c>
      <c r="C89" s="518" t="s">
        <v>66</v>
      </c>
      <c r="D89" s="518" t="s">
        <v>57</v>
      </c>
      <c r="E89" s="518" t="s">
        <v>649</v>
      </c>
      <c r="F89" s="518" t="s">
        <v>675</v>
      </c>
      <c r="G89" s="525">
        <v>0.01</v>
      </c>
      <c r="H89" s="525">
        <v>1.7305000000000001E-2</v>
      </c>
      <c r="I89" s="527">
        <v>0.4</v>
      </c>
      <c r="J89" s="594">
        <v>4</v>
      </c>
      <c r="K89" s="519">
        <v>22</v>
      </c>
      <c r="L89" s="272"/>
      <c r="M89" s="272"/>
      <c r="P89" s="273"/>
      <c r="Q89" s="273"/>
      <c r="R89" s="273"/>
      <c r="S89" s="273"/>
      <c r="T89" s="576">
        <f ca="1"/>
        <v>0.06</v>
      </c>
      <c r="U89" s="573">
        <f ca="1"/>
        <v>81</v>
      </c>
      <c r="V89" s="576">
        <f t="shared" ca="1" si="8"/>
        <v>0</v>
      </c>
      <c r="W89" s="576">
        <f t="shared" ca="1" si="9"/>
        <v>0</v>
      </c>
      <c r="X89" s="484">
        <f ca="1">IF('CDO Bespoke'!O90&lt;&gt;"",'CDO Bespoke'!O90,"")</f>
        <v>1.1953083756890901</v>
      </c>
      <c r="Y89" s="485">
        <f ca="1">IF(X89&lt;&gt;"",ABS(MIN(-0.75*('CDO Bespoke'!Q90)+'CDO Bespoke'!T90,0)),"")</f>
        <v>1.1872169638200187</v>
      </c>
      <c r="Z89" s="485">
        <f t="shared" ca="1" si="10"/>
        <v>8.0914118690713632E-3</v>
      </c>
      <c r="AA89" s="485">
        <f t="shared" ca="1" si="11"/>
        <v>0</v>
      </c>
      <c r="AB89" s="484">
        <f ca="1">IF('CDO Bespoke'!O90&lt;&gt;"",'CDO Bespoke'!O90,"")</f>
        <v>1.1953083756890901</v>
      </c>
      <c r="AC89" s="485">
        <f ca="1">IF(AB89&lt;&gt;"",ABS(MIN(-0.75*('CDO Bespoke'!K90)+'CDO Bespoke'!T90,0)),"")</f>
        <v>0.20629232992793778</v>
      </c>
      <c r="AD89" s="485">
        <f t="shared" ca="1" si="12"/>
        <v>0.98901604576115232</v>
      </c>
      <c r="AE89" s="489">
        <f t="shared" ca="1" si="13"/>
        <v>0</v>
      </c>
      <c r="AF89" s="272"/>
      <c r="AG89" s="494" t="str">
        <f ca="1">IF('CDO Bespoke'!C114&lt;&gt;"",'CDO Bespoke'!C114,"")</f>
        <v>TotalEnergies SE</v>
      </c>
      <c r="AH89" s="496">
        <f ca="1"/>
        <v>3.0072655510249291E-3</v>
      </c>
      <c r="AI89" s="585">
        <f ca="1"/>
        <v>9.0748378800409313E-3</v>
      </c>
      <c r="AJ89" s="585">
        <f ca="1"/>
        <v>2.4524412221005321E-2</v>
      </c>
      <c r="AK89" s="585">
        <f ca="1"/>
        <v>0.19101104663077351</v>
      </c>
      <c r="AL89" s="497">
        <f ca="1"/>
        <v>0</v>
      </c>
      <c r="AM89" s="496">
        <f ca="1"/>
        <v>8.5779173759903404E-5</v>
      </c>
      <c r="AN89" s="585">
        <f ca="1"/>
        <v>3.9928794989957384E-4</v>
      </c>
      <c r="AO89" s="585">
        <f ca="1"/>
        <v>1.8231886345195653E-3</v>
      </c>
      <c r="AP89" s="585">
        <f ca="1"/>
        <v>0.13727332368275999</v>
      </c>
      <c r="AQ89" s="497">
        <f ca="1"/>
        <v>0</v>
      </c>
      <c r="AR89" s="580"/>
      <c r="AS89" s="580"/>
      <c r="AT89" s="580"/>
      <c r="AU89" s="580"/>
      <c r="AV89" s="580"/>
      <c r="AW89" s="580"/>
      <c r="AX89" s="579"/>
    </row>
    <row r="90" spans="2:50">
      <c r="B90" s="534" t="s">
        <v>614</v>
      </c>
      <c r="C90" s="535" t="s">
        <v>66</v>
      </c>
      <c r="D90" s="535" t="s">
        <v>59</v>
      </c>
      <c r="E90" s="535" t="s">
        <v>649</v>
      </c>
      <c r="F90" s="535" t="s">
        <v>675</v>
      </c>
      <c r="G90" s="536">
        <v>0.01</v>
      </c>
      <c r="H90" s="536">
        <v>2.0903000000000001E-2</v>
      </c>
      <c r="I90" s="537">
        <v>0.4</v>
      </c>
      <c r="J90" s="595">
        <v>4</v>
      </c>
      <c r="K90" s="538">
        <v>22</v>
      </c>
      <c r="L90" s="272"/>
      <c r="M90" s="272"/>
      <c r="P90" s="273"/>
      <c r="Q90" s="273"/>
      <c r="R90" s="273"/>
      <c r="S90" s="273"/>
      <c r="T90" s="576">
        <f ca="1"/>
        <v>0.06</v>
      </c>
      <c r="U90" s="573">
        <f ca="1"/>
        <v>82</v>
      </c>
      <c r="V90" s="576">
        <f t="shared" ca="1" si="8"/>
        <v>0</v>
      </c>
      <c r="W90" s="576">
        <f t="shared" ca="1" si="9"/>
        <v>0</v>
      </c>
      <c r="X90" s="484">
        <f ca="1">IF('CDO Bespoke'!O91&lt;&gt;"",'CDO Bespoke'!O91,"")</f>
        <v>1.1950126285609599</v>
      </c>
      <c r="Y90" s="485">
        <f ca="1">IF(X90&lt;&gt;"",ABS(MIN(-0.75*('CDO Bespoke'!Q91)+'CDO Bespoke'!T91,0)),"")</f>
        <v>1.1877217944373863</v>
      </c>
      <c r="Z90" s="485">
        <f t="shared" ca="1" si="10"/>
        <v>7.2908341235735641E-3</v>
      </c>
      <c r="AA90" s="485">
        <f t="shared" ca="1" si="11"/>
        <v>0</v>
      </c>
      <c r="AB90" s="484">
        <f ca="1">IF('CDO Bespoke'!O91&lt;&gt;"",'CDO Bespoke'!O91,"")</f>
        <v>1.1950126285609599</v>
      </c>
      <c r="AC90" s="485">
        <f ca="1">IF(AB90&lt;&gt;"",ABS(MIN(-0.75*('CDO Bespoke'!K91)+'CDO Bespoke'!T91,0)),"")</f>
        <v>0.23923996597902031</v>
      </c>
      <c r="AD90" s="485">
        <f t="shared" ca="1" si="12"/>
        <v>0.9557726625819396</v>
      </c>
      <c r="AE90" s="489">
        <f t="shared" ca="1" si="13"/>
        <v>0</v>
      </c>
      <c r="AF90" s="272"/>
      <c r="AG90" s="494" t="str">
        <f ca="1">IF('CDO Bespoke'!C115&lt;&gt;"",'CDO Bespoke'!C115,"")</f>
        <v>VEOLIA ENVIRONNEMENT</v>
      </c>
      <c r="AH90" s="496">
        <f ca="1"/>
        <v>3.4458116904279024E-3</v>
      </c>
      <c r="AI90" s="585">
        <f ca="1"/>
        <v>1.0776269240286851E-2</v>
      </c>
      <c r="AJ90" s="585">
        <f ca="1"/>
        <v>2.9862602930474935E-2</v>
      </c>
      <c r="AK90" s="585">
        <f ca="1"/>
        <v>0.3103292321604556</v>
      </c>
      <c r="AL90" s="497">
        <f ca="1"/>
        <v>0</v>
      </c>
      <c r="AM90" s="496">
        <f ca="1"/>
        <v>3.4819785780203227E-5</v>
      </c>
      <c r="AN90" s="585">
        <f ca="1"/>
        <v>1.6263313830019999E-4</v>
      </c>
      <c r="AO90" s="585">
        <f ca="1"/>
        <v>7.2966299665480627E-4</v>
      </c>
      <c r="AP90" s="585">
        <f ca="1"/>
        <v>6.8219861720984931E-2</v>
      </c>
      <c r="AQ90" s="497">
        <f ca="1"/>
        <v>0</v>
      </c>
      <c r="AR90" s="580"/>
      <c r="AS90" s="580"/>
      <c r="AT90" s="580"/>
      <c r="AU90" s="580"/>
      <c r="AV90" s="580"/>
      <c r="AW90" s="580"/>
      <c r="AX90" s="579"/>
    </row>
    <row r="91" spans="2:50">
      <c r="B91" s="539" t="s">
        <v>536</v>
      </c>
      <c r="C91" s="540" t="s">
        <v>66</v>
      </c>
      <c r="D91" s="540" t="s">
        <v>55</v>
      </c>
      <c r="E91" s="540" t="s">
        <v>649</v>
      </c>
      <c r="F91" s="540" t="s">
        <v>648</v>
      </c>
      <c r="G91" s="541">
        <v>0.01</v>
      </c>
      <c r="H91" s="541">
        <v>3.4970000000000001E-3</v>
      </c>
      <c r="I91" s="542">
        <v>0.4</v>
      </c>
      <c r="J91" s="602">
        <v>4</v>
      </c>
      <c r="K91" s="543">
        <v>23</v>
      </c>
      <c r="L91" s="272"/>
      <c r="M91" s="272"/>
      <c r="P91" s="273"/>
      <c r="Q91" s="273"/>
      <c r="R91" s="273"/>
      <c r="S91" s="273"/>
      <c r="T91" s="576">
        <f ca="1"/>
        <v>0.06</v>
      </c>
      <c r="U91" s="573">
        <f ca="1"/>
        <v>83</v>
      </c>
      <c r="V91" s="576">
        <f t="shared" ca="1" si="8"/>
        <v>0</v>
      </c>
      <c r="W91" s="576">
        <f t="shared" ca="1" si="9"/>
        <v>0</v>
      </c>
      <c r="X91" s="484">
        <f ca="1">IF('CDO Bespoke'!O92&lt;&gt;"",'CDO Bespoke'!O92,"")</f>
        <v>1.1951663310621199</v>
      </c>
      <c r="Y91" s="485">
        <f ca="1">IF(X91&lt;&gt;"",ABS(MIN(-0.75*('CDO Bespoke'!Q92)+'CDO Bespoke'!T92,0)),"")</f>
        <v>1.1874800240932282</v>
      </c>
      <c r="Z91" s="485">
        <f t="shared" ca="1" si="10"/>
        <v>7.6863069688917207E-3</v>
      </c>
      <c r="AA91" s="485">
        <f t="shared" ca="1" si="11"/>
        <v>0</v>
      </c>
      <c r="AB91" s="484">
        <f ca="1">IF('CDO Bespoke'!O92&lt;&gt;"",'CDO Bespoke'!O92,"")</f>
        <v>1.1951663310621199</v>
      </c>
      <c r="AC91" s="485">
        <f ca="1">IF(AB91&lt;&gt;"",ABS(MIN(-0.75*('CDO Bespoke'!K92)+'CDO Bespoke'!T92,0)),"")</f>
        <v>0.22403531781573735</v>
      </c>
      <c r="AD91" s="485">
        <f t="shared" ca="1" si="12"/>
        <v>0.97113101324638251</v>
      </c>
      <c r="AE91" s="489">
        <f t="shared" ca="1" si="13"/>
        <v>0</v>
      </c>
      <c r="AF91" s="272"/>
      <c r="AG91" s="494" t="str">
        <f ca="1">IF('CDO Bespoke'!C116&lt;&gt;"",'CDO Bespoke'!C116,"")</f>
        <v>Bertelsmann SE &amp; Co. KGaA</v>
      </c>
      <c r="AH91" s="496">
        <f ca="1"/>
        <v>3.3495209605938214E-3</v>
      </c>
      <c r="AI91" s="585">
        <f ca="1"/>
        <v>1.0438291110359543E-2</v>
      </c>
      <c r="AJ91" s="585">
        <f ca="1"/>
        <v>2.8721988400981502E-2</v>
      </c>
      <c r="AK91" s="585">
        <f ca="1"/>
        <v>0.22174340172043117</v>
      </c>
      <c r="AL91" s="497">
        <f ca="1"/>
        <v>0</v>
      </c>
      <c r="AM91" s="496">
        <f ca="1"/>
        <v>8.1218753970185853E-5</v>
      </c>
      <c r="AN91" s="585">
        <f ca="1"/>
        <v>3.7848516978022939E-4</v>
      </c>
      <c r="AO91" s="585">
        <f ca="1"/>
        <v>1.7234731809909198E-3</v>
      </c>
      <c r="AP91" s="585">
        <f ca="1"/>
        <v>0.13697886354006072</v>
      </c>
      <c r="AQ91" s="497">
        <f ca="1"/>
        <v>0</v>
      </c>
      <c r="AR91" s="580"/>
      <c r="AS91" s="580"/>
      <c r="AT91" s="580"/>
      <c r="AU91" s="580"/>
      <c r="AV91" s="580"/>
      <c r="AW91" s="580"/>
      <c r="AX91" s="579"/>
    </row>
    <row r="92" spans="2:50">
      <c r="B92" s="517" t="s">
        <v>536</v>
      </c>
      <c r="C92" s="518" t="s">
        <v>66</v>
      </c>
      <c r="D92" s="518" t="s">
        <v>57</v>
      </c>
      <c r="E92" s="518" t="s">
        <v>649</v>
      </c>
      <c r="F92" s="518" t="s">
        <v>648</v>
      </c>
      <c r="G92" s="525">
        <v>0.01</v>
      </c>
      <c r="H92" s="525">
        <v>6.7010000000000004E-3</v>
      </c>
      <c r="I92" s="527">
        <v>0.4</v>
      </c>
      <c r="J92" s="594">
        <v>4</v>
      </c>
      <c r="K92" s="519">
        <v>23</v>
      </c>
      <c r="L92" s="272"/>
      <c r="M92" s="272"/>
      <c r="P92" s="273"/>
      <c r="Q92" s="273"/>
      <c r="R92" s="273"/>
      <c r="S92" s="273"/>
      <c r="T92" s="576">
        <f ca="1"/>
        <v>0.06</v>
      </c>
      <c r="U92" s="573">
        <f ca="1"/>
        <v>84</v>
      </c>
      <c r="V92" s="576">
        <f t="shared" ca="1" si="8"/>
        <v>0</v>
      </c>
      <c r="W92" s="576">
        <f t="shared" ca="1" si="9"/>
        <v>0</v>
      </c>
      <c r="X92" s="484">
        <f ca="1">IF('CDO Bespoke'!O93&lt;&gt;"",'CDO Bespoke'!O93,"")</f>
        <v>1.19437283379324</v>
      </c>
      <c r="Y92" s="485">
        <f ca="1">IF(X92&lt;&gt;"",ABS(MIN(-0.75*('CDO Bespoke'!Q93)+'CDO Bespoke'!T93,0)),"")</f>
        <v>1.1884711518197748</v>
      </c>
      <c r="Z92" s="485">
        <f t="shared" ca="1" si="10"/>
        <v>5.9016819734651893E-3</v>
      </c>
      <c r="AA92" s="485">
        <f t="shared" ca="1" si="11"/>
        <v>0</v>
      </c>
      <c r="AB92" s="484">
        <f ca="1">IF('CDO Bespoke'!O93&lt;&gt;"",'CDO Bespoke'!O93,"")</f>
        <v>1.19437283379324</v>
      </c>
      <c r="AC92" s="485">
        <f ca="1">IF(AB92&lt;&gt;"",ABS(MIN(-0.75*('CDO Bespoke'!K93)+'CDO Bespoke'!T93,0)),"")</f>
        <v>0.28158406676005604</v>
      </c>
      <c r="AD92" s="485">
        <f t="shared" ca="1" si="12"/>
        <v>0.91278876703318401</v>
      </c>
      <c r="AE92" s="489">
        <f t="shared" ca="1" si="13"/>
        <v>0</v>
      </c>
      <c r="AF92" s="272"/>
      <c r="AG92" s="494" t="str">
        <f ca="1">IF('CDO Bespoke'!C117&lt;&gt;"",'CDO Bespoke'!C117,"")</f>
        <v>BRITISH TELECOMMUNICATIONS public limited company</v>
      </c>
      <c r="AH92" s="496">
        <f ca="1"/>
        <v>3.4399006010321642E-3</v>
      </c>
      <c r="AI92" s="585">
        <f ca="1"/>
        <v>1.0697986400076687E-2</v>
      </c>
      <c r="AJ92" s="585">
        <f ca="1"/>
        <v>2.8919586280151677E-2</v>
      </c>
      <c r="AK92" s="585">
        <f ca="1"/>
        <v>0.61520415382099181</v>
      </c>
      <c r="AL92" s="497">
        <f ca="1"/>
        <v>0</v>
      </c>
      <c r="AM92" s="496">
        <f ca="1"/>
        <v>2.1834091179853687E-5</v>
      </c>
      <c r="AN92" s="585">
        <f ca="1"/>
        <v>1.0357505791994126E-4</v>
      </c>
      <c r="AO92" s="585">
        <f ca="1"/>
        <v>4.0926476949781909E-4</v>
      </c>
      <c r="AP92" s="585">
        <f ca="1"/>
        <v>8.9787849202020015E-2</v>
      </c>
      <c r="AQ92" s="497">
        <f ca="1"/>
        <v>0</v>
      </c>
      <c r="AR92" s="580"/>
      <c r="AS92" s="580"/>
      <c r="AT92" s="580"/>
      <c r="AU92" s="580"/>
      <c r="AV92" s="580"/>
      <c r="AW92" s="580"/>
      <c r="AX92" s="579"/>
    </row>
    <row r="93" spans="2:50">
      <c r="B93" s="534" t="s">
        <v>536</v>
      </c>
      <c r="C93" s="535" t="s">
        <v>66</v>
      </c>
      <c r="D93" s="535" t="s">
        <v>59</v>
      </c>
      <c r="E93" s="535" t="s">
        <v>649</v>
      </c>
      <c r="F93" s="535" t="s">
        <v>648</v>
      </c>
      <c r="G93" s="536">
        <v>0.01</v>
      </c>
      <c r="H93" s="536">
        <v>1.042E-2</v>
      </c>
      <c r="I93" s="537">
        <v>0.4</v>
      </c>
      <c r="J93" s="595">
        <v>4</v>
      </c>
      <c r="K93" s="538">
        <v>23</v>
      </c>
      <c r="L93" s="272"/>
      <c r="M93" s="272"/>
      <c r="P93" s="273"/>
      <c r="Q93" s="273"/>
      <c r="R93" s="273"/>
      <c r="S93" s="273"/>
      <c r="T93" s="576">
        <f ca="1"/>
        <v>0.06</v>
      </c>
      <c r="U93" s="573">
        <f ca="1"/>
        <v>85</v>
      </c>
      <c r="V93" s="576">
        <f t="shared" ca="1" si="8"/>
        <v>0</v>
      </c>
      <c r="W93" s="576">
        <f t="shared" ca="1" si="9"/>
        <v>0</v>
      </c>
      <c r="X93" s="484">
        <f ca="1">IF('CDO Bespoke'!O94&lt;&gt;"",'CDO Bespoke'!O94,"")</f>
        <v>1.1951683260346599</v>
      </c>
      <c r="Y93" s="485">
        <f ca="1">IF(X93&lt;&gt;"",ABS(MIN(-0.75*('CDO Bespoke'!Q94)+'CDO Bespoke'!T94,0)),"")</f>
        <v>1.1874766311795606</v>
      </c>
      <c r="Z93" s="485">
        <f t="shared" ca="1" si="10"/>
        <v>7.6916948550993514E-3</v>
      </c>
      <c r="AA93" s="485">
        <f t="shared" ca="1" si="11"/>
        <v>0</v>
      </c>
      <c r="AB93" s="484">
        <f ca="1">IF('CDO Bespoke'!O94&lt;&gt;"",'CDO Bespoke'!O94,"")</f>
        <v>1.1951683260346599</v>
      </c>
      <c r="AC93" s="485">
        <f ca="1">IF(AB93&lt;&gt;"",ABS(MIN(-0.75*('CDO Bespoke'!K94)+'CDO Bespoke'!T94,0)),"")</f>
        <v>0.22381501355303526</v>
      </c>
      <c r="AD93" s="485">
        <f t="shared" ca="1" si="12"/>
        <v>0.97135331248162471</v>
      </c>
      <c r="AE93" s="489">
        <f t="shared" ca="1" si="13"/>
        <v>0</v>
      </c>
      <c r="AF93" s="272"/>
      <c r="AG93" s="494" t="str">
        <f ca="1">IF('CDO Bespoke'!C118&lt;&gt;"",'CDO Bespoke'!C118,"")</f>
        <v>Deutsche Telekom AG</v>
      </c>
      <c r="AH93" s="496">
        <f ca="1"/>
        <v>3.3792527809328732E-3</v>
      </c>
      <c r="AI93" s="585">
        <f ca="1"/>
        <v>1.0571645110424299E-2</v>
      </c>
      <c r="AJ93" s="585">
        <f ca="1"/>
        <v>2.9106980610205113E-2</v>
      </c>
      <c r="AK93" s="585">
        <f ca="1"/>
        <v>0.21045575108069592</v>
      </c>
      <c r="AL93" s="497">
        <f ca="1"/>
        <v>0</v>
      </c>
      <c r="AM93" s="496">
        <f ca="1"/>
        <v>5.5129502000289543E-5</v>
      </c>
      <c r="AN93" s="585">
        <f ca="1"/>
        <v>2.5685472428010891E-4</v>
      </c>
      <c r="AO93" s="585">
        <f ca="1"/>
        <v>1.171846810459759E-3</v>
      </c>
      <c r="AP93" s="585">
        <f ca="1"/>
        <v>9.1355186831600099E-2</v>
      </c>
      <c r="AQ93" s="497">
        <f ca="1"/>
        <v>0</v>
      </c>
      <c r="AR93" s="580"/>
      <c r="AS93" s="580"/>
      <c r="AT93" s="580"/>
      <c r="AU93" s="580"/>
      <c r="AV93" s="580"/>
      <c r="AW93" s="580"/>
      <c r="AX93" s="579"/>
    </row>
    <row r="94" spans="2:50">
      <c r="B94" s="539" t="s">
        <v>521</v>
      </c>
      <c r="C94" s="540" t="s">
        <v>66</v>
      </c>
      <c r="D94" s="540" t="s">
        <v>55</v>
      </c>
      <c r="E94" s="540" t="s">
        <v>647</v>
      </c>
      <c r="F94" s="540" t="s">
        <v>673</v>
      </c>
      <c r="G94" s="541">
        <v>0.01</v>
      </c>
      <c r="H94" s="541">
        <v>2.7599999999999999E-3</v>
      </c>
      <c r="I94" s="542">
        <v>0.4</v>
      </c>
      <c r="J94" s="602">
        <v>5</v>
      </c>
      <c r="K94" s="543">
        <v>24</v>
      </c>
      <c r="L94" s="272"/>
      <c r="M94" s="272"/>
      <c r="P94" s="273"/>
      <c r="Q94" s="273"/>
      <c r="R94" s="273"/>
      <c r="S94" s="273"/>
      <c r="T94" s="576">
        <f ca="1"/>
        <v>0.06</v>
      </c>
      <c r="U94" s="573">
        <f ca="1"/>
        <v>86</v>
      </c>
      <c r="V94" s="576">
        <f t="shared" ca="1" si="8"/>
        <v>0</v>
      </c>
      <c r="W94" s="576">
        <f t="shared" ca="1" si="9"/>
        <v>0</v>
      </c>
      <c r="X94" s="484">
        <f ca="1">IF('CDO Bespoke'!O95&lt;&gt;"",'CDO Bespoke'!O95,"")</f>
        <v>1.19363218182882</v>
      </c>
      <c r="Y94" s="485">
        <f ca="1">IF(X94&lt;&gt;"",ABS(MIN(-0.75*('CDO Bespoke'!Q95)+'CDO Bespoke'!T95,0)),"")</f>
        <v>1.1890742485839323</v>
      </c>
      <c r="Z94" s="485">
        <f t="shared" ca="1" si="10"/>
        <v>4.5579332448877352E-3</v>
      </c>
      <c r="AA94" s="485">
        <f t="shared" ca="1" si="11"/>
        <v>0</v>
      </c>
      <c r="AB94" s="484">
        <f ca="1">IF('CDO Bespoke'!O95&lt;&gt;"",'CDO Bespoke'!O95,"")</f>
        <v>1.19363218182882</v>
      </c>
      <c r="AC94" s="485">
        <f ca="1">IF(AB94&lt;&gt;"",ABS(MIN(-0.75*('CDO Bespoke'!K95)+'CDO Bespoke'!T95,0)),"")</f>
        <v>0.31214654253122326</v>
      </c>
      <c r="AD94" s="485">
        <f t="shared" ca="1" si="12"/>
        <v>0.88148563929759671</v>
      </c>
      <c r="AE94" s="489">
        <f t="shared" ca="1" si="13"/>
        <v>0</v>
      </c>
      <c r="AF94" s="272"/>
      <c r="AG94" s="494" t="str">
        <f ca="1">IF('CDO Bespoke'!C119&lt;&gt;"",'CDO Bespoke'!C119,"")</f>
        <v>ITV PLC</v>
      </c>
      <c r="AH94" s="496">
        <f ca="1"/>
        <v>3.1019847801516676E-3</v>
      </c>
      <c r="AI94" s="585">
        <f ca="1"/>
        <v>9.3258355005065852E-3</v>
      </c>
      <c r="AJ94" s="585">
        <f ca="1"/>
        <v>2.3430197200191571E-2</v>
      </c>
      <c r="AK94" s="585">
        <f ca="1"/>
        <v>0.88949507389024518</v>
      </c>
      <c r="AL94" s="497">
        <f ca="1"/>
        <v>0</v>
      </c>
      <c r="AM94" s="496">
        <f ca="1"/>
        <v>5.8464930006649207E-7</v>
      </c>
      <c r="AN94" s="585">
        <f ca="1"/>
        <v>6.648828240057858E-6</v>
      </c>
      <c r="AO94" s="585">
        <f ca="1"/>
        <v>-2.0675727179951184E-5</v>
      </c>
      <c r="AP94" s="585">
        <f ca="1"/>
        <v>0.13291506132738001</v>
      </c>
      <c r="AQ94" s="497">
        <f ca="1"/>
        <v>0</v>
      </c>
      <c r="AR94" s="580"/>
      <c r="AS94" s="580"/>
      <c r="AT94" s="580"/>
      <c r="AU94" s="580"/>
      <c r="AV94" s="580"/>
      <c r="AW94" s="580"/>
      <c r="AX94" s="579"/>
    </row>
    <row r="95" spans="2:50">
      <c r="B95" s="517" t="s">
        <v>521</v>
      </c>
      <c r="C95" s="518" t="s">
        <v>66</v>
      </c>
      <c r="D95" s="518" t="s">
        <v>57</v>
      </c>
      <c r="E95" s="518" t="s">
        <v>647</v>
      </c>
      <c r="F95" s="518" t="s">
        <v>673</v>
      </c>
      <c r="G95" s="525">
        <v>0.01</v>
      </c>
      <c r="H95" s="525">
        <v>4.8069999999999996E-3</v>
      </c>
      <c r="I95" s="527">
        <v>0.4</v>
      </c>
      <c r="J95" s="594">
        <v>5</v>
      </c>
      <c r="K95" s="519">
        <v>24</v>
      </c>
      <c r="L95" s="272"/>
      <c r="M95" s="272"/>
      <c r="P95" s="273"/>
      <c r="Q95" s="273"/>
      <c r="R95" s="273"/>
      <c r="S95" s="273"/>
      <c r="T95" s="576">
        <f ca="1"/>
        <v>0.03</v>
      </c>
      <c r="U95" s="573">
        <f ca="1"/>
        <v>87</v>
      </c>
      <c r="V95" s="576">
        <f t="shared" ca="1" si="8"/>
        <v>0</v>
      </c>
      <c r="W95" s="576">
        <f t="shared" ca="1" si="9"/>
        <v>0</v>
      </c>
      <c r="X95" s="484">
        <f ca="1">IF('CDO Bespoke'!O96&lt;&gt;"",'CDO Bespoke'!O96,"")</f>
        <v>1.19491694813357</v>
      </c>
      <c r="Y95" s="485">
        <f ca="1">IF(X95&lt;&gt;"",ABS(MIN(-0.75*('CDO Bespoke'!Q96)+'CDO Bespoke'!T96,0)),"")</f>
        <v>1.1878561431948016</v>
      </c>
      <c r="Z95" s="485">
        <f t="shared" ca="1" si="10"/>
        <v>7.0608049387683725E-3</v>
      </c>
      <c r="AA95" s="485">
        <f t="shared" ca="1" si="11"/>
        <v>0</v>
      </c>
      <c r="AB95" s="484">
        <f ca="1">IF('CDO Bespoke'!O96&lt;&gt;"",'CDO Bespoke'!O96,"")</f>
        <v>1.19491694813357</v>
      </c>
      <c r="AC95" s="485">
        <f ca="1">IF(AB95&lt;&gt;"",ABS(MIN(-0.75*('CDO Bespoke'!K96)+'CDO Bespoke'!T96,0)),"")</f>
        <v>0.24731052980612403</v>
      </c>
      <c r="AD95" s="485">
        <f t="shared" ca="1" si="12"/>
        <v>0.94760641832744597</v>
      </c>
      <c r="AE95" s="489">
        <f t="shared" ca="1" si="13"/>
        <v>0</v>
      </c>
      <c r="AF95" s="272"/>
      <c r="AG95" s="494" t="str">
        <f ca="1">IF('CDO Bespoke'!C120&lt;&gt;"",'CDO Bespoke'!C120,"")</f>
        <v>Koninklijke KPN N.V.</v>
      </c>
      <c r="AH95" s="496">
        <f ca="1"/>
        <v>3.5419162103256241E-3</v>
      </c>
      <c r="AI95" s="585">
        <f ca="1"/>
        <v>1.117153398011439E-2</v>
      </c>
      <c r="AJ95" s="585">
        <f ca="1"/>
        <v>3.1110590750227374E-2</v>
      </c>
      <c r="AK95" s="585">
        <f ca="1"/>
        <v>0.34279420818017492</v>
      </c>
      <c r="AL95" s="497">
        <f ca="1"/>
        <v>0</v>
      </c>
      <c r="AM95" s="496">
        <f ca="1"/>
        <v>4.3624389679808306E-5</v>
      </c>
      <c r="AN95" s="585">
        <f ca="1"/>
        <v>2.0398498021961808E-4</v>
      </c>
      <c r="AO95" s="585">
        <f ca="1"/>
        <v>9.0970121967987039E-4</v>
      </c>
      <c r="AP95" s="585">
        <f ca="1"/>
        <v>9.081056984629951E-2</v>
      </c>
      <c r="AQ95" s="497">
        <f ca="1"/>
        <v>0</v>
      </c>
      <c r="AR95" s="580"/>
      <c r="AS95" s="580"/>
      <c r="AT95" s="580"/>
      <c r="AU95" s="580"/>
      <c r="AV95" s="580"/>
      <c r="AW95" s="580"/>
      <c r="AX95" s="579"/>
    </row>
    <row r="96" spans="2:50">
      <c r="B96" s="534" t="s">
        <v>521</v>
      </c>
      <c r="C96" s="535" t="s">
        <v>66</v>
      </c>
      <c r="D96" s="535" t="s">
        <v>59</v>
      </c>
      <c r="E96" s="535" t="s">
        <v>647</v>
      </c>
      <c r="F96" s="535" t="s">
        <v>673</v>
      </c>
      <c r="G96" s="536">
        <v>0.01</v>
      </c>
      <c r="H96" s="536">
        <v>6.9220000000000002E-3</v>
      </c>
      <c r="I96" s="537">
        <v>0.4</v>
      </c>
      <c r="J96" s="595">
        <v>5</v>
      </c>
      <c r="K96" s="538">
        <v>24</v>
      </c>
      <c r="L96" s="272"/>
      <c r="M96" s="272"/>
      <c r="P96" s="273"/>
      <c r="Q96" s="273"/>
      <c r="R96" s="273"/>
      <c r="S96" s="273"/>
      <c r="T96" s="576">
        <f ca="1"/>
        <v>0.06</v>
      </c>
      <c r="U96" s="573">
        <f ca="1"/>
        <v>88</v>
      </c>
      <c r="V96" s="576">
        <f t="shared" ca="1" si="8"/>
        <v>0</v>
      </c>
      <c r="W96" s="576">
        <f t="shared" ca="1" si="9"/>
        <v>0</v>
      </c>
      <c r="X96" s="484">
        <f ca="1">IF('CDO Bespoke'!O97&lt;&gt;"",'CDO Bespoke'!O97,"")</f>
        <v>1.1953126094289801</v>
      </c>
      <c r="Y96" s="485">
        <f ca="1">IF(X96&lt;&gt;"",ABS(MIN(-0.75*('CDO Bespoke'!Q97)+'CDO Bespoke'!T97,0)),"")</f>
        <v>1.1872083414722898</v>
      </c>
      <c r="Z96" s="485">
        <f t="shared" ca="1" si="10"/>
        <v>8.1042679566902809E-3</v>
      </c>
      <c r="AA96" s="485">
        <f t="shared" ca="1" si="11"/>
        <v>0</v>
      </c>
      <c r="AB96" s="484">
        <f ca="1">IF('CDO Bespoke'!O97&lt;&gt;"",'CDO Bespoke'!O97,"")</f>
        <v>1.1953126094289801</v>
      </c>
      <c r="AC96" s="485">
        <f ca="1">IF(AB96&lt;&gt;"",ABS(MIN(-0.75*('CDO Bespoke'!K97)+'CDO Bespoke'!T97,0)),"")</f>
        <v>0.2056860289874882</v>
      </c>
      <c r="AD96" s="485">
        <f t="shared" ca="1" si="12"/>
        <v>0.98962658044149188</v>
      </c>
      <c r="AE96" s="489">
        <f t="shared" ca="1" si="13"/>
        <v>0</v>
      </c>
      <c r="AF96" s="272"/>
      <c r="AG96" s="494" t="str">
        <f ca="1">IF('CDO Bespoke'!C121&lt;&gt;"",'CDO Bespoke'!C121,"")</f>
        <v>Orange</v>
      </c>
      <c r="AH96" s="496">
        <f ca="1"/>
        <v>2.9567733006441443E-3</v>
      </c>
      <c r="AI96" s="585">
        <f ca="1"/>
        <v>8.8574154399889693E-3</v>
      </c>
      <c r="AJ96" s="585">
        <f ca="1"/>
        <v>2.3897096700364884E-2</v>
      </c>
      <c r="AK96" s="585">
        <f ca="1"/>
        <v>0.20258008555096296</v>
      </c>
      <c r="AL96" s="497">
        <f ca="1"/>
        <v>0</v>
      </c>
      <c r="AM96" s="496">
        <f ca="1"/>
        <v>5.6175348119719137E-5</v>
      </c>
      <c r="AN96" s="585">
        <f ca="1"/>
        <v>2.615252343601826E-4</v>
      </c>
      <c r="AO96" s="585">
        <f ca="1"/>
        <v>1.1917622350997303E-3</v>
      </c>
      <c r="AP96" s="585">
        <f ca="1"/>
        <v>9.1482647272259771E-2</v>
      </c>
      <c r="AQ96" s="497">
        <f ca="1"/>
        <v>0</v>
      </c>
      <c r="AR96" s="580"/>
      <c r="AS96" s="580"/>
      <c r="AT96" s="580"/>
      <c r="AU96" s="580"/>
      <c r="AV96" s="580"/>
      <c r="AW96" s="580"/>
      <c r="AX96" s="579"/>
    </row>
    <row r="97" spans="2:50">
      <c r="B97" s="539" t="s">
        <v>537</v>
      </c>
      <c r="C97" s="540" t="s">
        <v>66</v>
      </c>
      <c r="D97" s="540" t="s">
        <v>55</v>
      </c>
      <c r="E97" s="540" t="s">
        <v>649</v>
      </c>
      <c r="F97" s="540" t="s">
        <v>648</v>
      </c>
      <c r="G97" s="541">
        <v>0.01</v>
      </c>
      <c r="H97" s="541">
        <v>8.0549999999999997E-3</v>
      </c>
      <c r="I97" s="542">
        <v>0.4</v>
      </c>
      <c r="J97" s="602">
        <v>4</v>
      </c>
      <c r="K97" s="543">
        <v>25</v>
      </c>
      <c r="L97" s="272"/>
      <c r="M97" s="272"/>
      <c r="P97" s="273"/>
      <c r="Q97" s="273"/>
      <c r="R97" s="273"/>
      <c r="S97" s="273"/>
      <c r="T97" s="576">
        <f ca="1"/>
        <v>0.06</v>
      </c>
      <c r="U97" s="573">
        <f ca="1"/>
        <v>89</v>
      </c>
      <c r="V97" s="576">
        <f t="shared" ca="1" si="8"/>
        <v>0</v>
      </c>
      <c r="W97" s="576">
        <f t="shared" ca="1" si="9"/>
        <v>0</v>
      </c>
      <c r="X97" s="484">
        <f ca="1">IF('CDO Bespoke'!O98&lt;&gt;"",'CDO Bespoke'!O98,"")</f>
        <v>1.1947299554394399</v>
      </c>
      <c r="Y97" s="485">
        <f ca="1">IF(X97&lt;&gt;"",ABS(MIN(-0.75*('CDO Bespoke'!Q98)+'CDO Bespoke'!T98,0)),"")</f>
        <v>1.1880919176881848</v>
      </c>
      <c r="Z97" s="485">
        <f t="shared" ca="1" si="10"/>
        <v>6.6380377512551547E-3</v>
      </c>
      <c r="AA97" s="485">
        <f t="shared" ca="1" si="11"/>
        <v>0</v>
      </c>
      <c r="AB97" s="484">
        <f ca="1">IF('CDO Bespoke'!O98&lt;&gt;"",'CDO Bespoke'!O98,"")</f>
        <v>1.1947299554394399</v>
      </c>
      <c r="AC97" s="485">
        <f ca="1">IF(AB97&lt;&gt;"",ABS(MIN(-0.75*('CDO Bespoke'!K98)+'CDO Bespoke'!T98,0)),"")</f>
        <v>0.26091980531384956</v>
      </c>
      <c r="AD97" s="485">
        <f t="shared" ca="1" si="12"/>
        <v>0.93381015012559043</v>
      </c>
      <c r="AE97" s="489">
        <f t="shared" ca="1" si="13"/>
        <v>0</v>
      </c>
      <c r="AF97" s="272"/>
      <c r="AG97" s="494" t="str">
        <f ca="1">IF('CDO Bespoke'!C122&lt;&gt;"",'CDO Bespoke'!C122,"")</f>
        <v>PEARSON plc</v>
      </c>
      <c r="AH97" s="496">
        <f ca="1"/>
        <v>3.6226410204953652E-3</v>
      </c>
      <c r="AI97" s="585">
        <f ca="1"/>
        <v>1.1501578190964423E-2</v>
      </c>
      <c r="AJ97" s="585">
        <f ca="1"/>
        <v>3.2106948750776354E-2</v>
      </c>
      <c r="AK97" s="585">
        <f ca="1"/>
        <v>0.42045863648088044</v>
      </c>
      <c r="AL97" s="497">
        <f ca="1"/>
        <v>0</v>
      </c>
      <c r="AM97" s="496">
        <f ca="1"/>
        <v>5.5770129420845693E-5</v>
      </c>
      <c r="AN97" s="585">
        <f ca="1"/>
        <v>2.6151875829050208E-4</v>
      </c>
      <c r="AO97" s="585">
        <f ca="1"/>
        <v>1.1443800837306062E-3</v>
      </c>
      <c r="AP97" s="585">
        <f ca="1"/>
        <v>0.13573584918279077</v>
      </c>
      <c r="AQ97" s="497">
        <f ca="1"/>
        <v>0</v>
      </c>
      <c r="AR97" s="580"/>
      <c r="AS97" s="580"/>
      <c r="AT97" s="580"/>
      <c r="AU97" s="580"/>
      <c r="AV97" s="580"/>
      <c r="AW97" s="580"/>
      <c r="AX97" s="579"/>
    </row>
    <row r="98" spans="2:50">
      <c r="B98" s="517" t="s">
        <v>537</v>
      </c>
      <c r="C98" s="518" t="s">
        <v>66</v>
      </c>
      <c r="D98" s="518" t="s">
        <v>57</v>
      </c>
      <c r="E98" s="518" t="s">
        <v>649</v>
      </c>
      <c r="F98" s="518" t="s">
        <v>648</v>
      </c>
      <c r="G98" s="525">
        <v>0.01</v>
      </c>
      <c r="H98" s="525">
        <v>1.2508999999999999E-2</v>
      </c>
      <c r="I98" s="527">
        <v>0.4</v>
      </c>
      <c r="J98" s="594">
        <v>4</v>
      </c>
      <c r="K98" s="519">
        <v>25</v>
      </c>
      <c r="L98" s="272"/>
      <c r="M98" s="272"/>
      <c r="P98" s="273"/>
      <c r="Q98" s="273"/>
      <c r="R98" s="273"/>
      <c r="S98" s="273"/>
      <c r="T98" s="576">
        <f ca="1"/>
        <v>0.03</v>
      </c>
      <c r="U98" s="573">
        <f ca="1"/>
        <v>90</v>
      </c>
      <c r="V98" s="576">
        <f t="shared" ca="1" si="8"/>
        <v>0</v>
      </c>
      <c r="W98" s="576">
        <f t="shared" ca="1" si="9"/>
        <v>0</v>
      </c>
      <c r="X98" s="484">
        <f ca="1">IF('CDO Bespoke'!O99&lt;&gt;"",'CDO Bespoke'!O99,"")</f>
        <v>1.19502097100073</v>
      </c>
      <c r="Y98" s="485">
        <f ca="1">IF(X98&lt;&gt;"",ABS(MIN(-0.75*('CDO Bespoke'!Q99)+'CDO Bespoke'!T99,0)),"")</f>
        <v>1.1877095550029151</v>
      </c>
      <c r="Z98" s="485">
        <f t="shared" ca="1" si="10"/>
        <v>7.3114159978149296E-3</v>
      </c>
      <c r="AA98" s="485">
        <f t="shared" ca="1" si="11"/>
        <v>0</v>
      </c>
      <c r="AB98" s="484">
        <f ca="1">IF('CDO Bespoke'!O99&lt;&gt;"",'CDO Bespoke'!O99,"")</f>
        <v>1.19502097100073</v>
      </c>
      <c r="AC98" s="485">
        <f ca="1">IF(AB98&lt;&gt;"",ABS(MIN(-0.75*('CDO Bespoke'!K99)+'CDO Bespoke'!T99,0)),"")</f>
        <v>0.23849213272350833</v>
      </c>
      <c r="AD98" s="485">
        <f t="shared" ca="1" si="12"/>
        <v>0.95652883827722168</v>
      </c>
      <c r="AE98" s="489">
        <f t="shared" ca="1" si="13"/>
        <v>0</v>
      </c>
      <c r="AF98" s="272"/>
      <c r="AG98" s="494" t="str">
        <f ca="1">IF('CDO Bespoke'!C123&lt;&gt;"",'CDO Bespoke'!C123,"")</f>
        <v>PUBLICIS GROUPE SA</v>
      </c>
      <c r="AH98" s="496">
        <f ca="1"/>
        <v>3.3426186907270505E-3</v>
      </c>
      <c r="AI98" s="585">
        <f ca="1"/>
        <v>1.0321143950609013E-2</v>
      </c>
      <c r="AJ98" s="585">
        <f ca="1"/>
        <v>2.8425996380088137E-2</v>
      </c>
      <c r="AK98" s="585">
        <f ca="1"/>
        <v>0.33578756297059087</v>
      </c>
      <c r="AL98" s="497">
        <f ca="1"/>
        <v>0</v>
      </c>
      <c r="AM98" s="496">
        <f ca="1"/>
        <v>6.6592684889316134E-5</v>
      </c>
      <c r="AN98" s="585">
        <f ca="1"/>
        <v>3.1119843234006517E-4</v>
      </c>
      <c r="AO98" s="585">
        <f ca="1"/>
        <v>1.38784848251923E-3</v>
      </c>
      <c r="AP98" s="585">
        <f ca="1"/>
        <v>0.13633880567762988</v>
      </c>
      <c r="AQ98" s="497">
        <f ca="1"/>
        <v>0</v>
      </c>
      <c r="AR98" s="580"/>
      <c r="AS98" s="580"/>
      <c r="AT98" s="580"/>
      <c r="AU98" s="580"/>
      <c r="AV98" s="580"/>
      <c r="AW98" s="580"/>
      <c r="AX98" s="579"/>
    </row>
    <row r="99" spans="2:50">
      <c r="B99" s="534" t="s">
        <v>537</v>
      </c>
      <c r="C99" s="535" t="s">
        <v>66</v>
      </c>
      <c r="D99" s="535" t="s">
        <v>59</v>
      </c>
      <c r="E99" s="535" t="s">
        <v>649</v>
      </c>
      <c r="F99" s="535" t="s">
        <v>648</v>
      </c>
      <c r="G99" s="536">
        <v>0.01</v>
      </c>
      <c r="H99" s="536">
        <v>1.5117E-2</v>
      </c>
      <c r="I99" s="537">
        <v>0.4</v>
      </c>
      <c r="J99" s="595">
        <v>4</v>
      </c>
      <c r="K99" s="538">
        <v>25</v>
      </c>
      <c r="L99" s="272"/>
      <c r="M99" s="272"/>
      <c r="P99" s="273"/>
      <c r="Q99" s="273"/>
      <c r="R99" s="273"/>
      <c r="S99" s="273"/>
      <c r="T99" s="576">
        <f ca="1"/>
        <v>0.06</v>
      </c>
      <c r="U99" s="573">
        <f ca="1"/>
        <v>91</v>
      </c>
      <c r="V99" s="576">
        <f t="shared" ca="1" si="8"/>
        <v>0</v>
      </c>
      <c r="W99" s="576">
        <f t="shared" ca="1" si="9"/>
        <v>0</v>
      </c>
      <c r="X99" s="484">
        <f ca="1">IF('CDO Bespoke'!O100&lt;&gt;"",'CDO Bespoke'!O100,"")</f>
        <v>1.18995853408399</v>
      </c>
      <c r="Y99" s="485">
        <f ca="1">IF(X99&lt;&gt;"",ABS(MIN(-0.75*('CDO Bespoke'!Q100)+'CDO Bespoke'!T100,0)),"")</f>
        <v>1.1906294854919606</v>
      </c>
      <c r="Z99" s="485">
        <f t="shared" ca="1" si="10"/>
        <v>0</v>
      </c>
      <c r="AA99" s="485">
        <f t="shared" ca="1" si="11"/>
        <v>0</v>
      </c>
      <c r="AB99" s="484">
        <f ca="1">IF('CDO Bespoke'!O100&lt;&gt;"",'CDO Bespoke'!O100,"")</f>
        <v>1.18995853408399</v>
      </c>
      <c r="AC99" s="485">
        <f ca="1">IF(AB99&lt;&gt;"",ABS(MIN(-0.75*('CDO Bespoke'!K100)+'CDO Bespoke'!T100,0)),"")</f>
        <v>0.38570373360726029</v>
      </c>
      <c r="AD99" s="485">
        <f t="shared" ca="1" si="12"/>
        <v>0.8042548004767297</v>
      </c>
      <c r="AE99" s="489">
        <f t="shared" ca="1" si="13"/>
        <v>0</v>
      </c>
      <c r="AF99" s="272"/>
      <c r="AG99" s="494" t="str">
        <f ca="1">IF('CDO Bespoke'!C124&lt;&gt;"",'CDO Bespoke'!C124,"")</f>
        <v>SES</v>
      </c>
      <c r="AH99" s="496">
        <f ca="1"/>
        <v>2.4728622105563147E-3</v>
      </c>
      <c r="AI99" s="585">
        <f ca="1"/>
        <v>7.4656898207958733E-3</v>
      </c>
      <c r="AJ99" s="585">
        <f ca="1"/>
        <v>1.3552829870588923E-2</v>
      </c>
      <c r="AK99" s="585">
        <f ca="1"/>
        <v>1.3987420408001494</v>
      </c>
      <c r="AL99" s="497">
        <f ca="1"/>
        <v>0</v>
      </c>
      <c r="AM99" s="496">
        <f ca="1"/>
        <v>-4.1982158319880947E-5</v>
      </c>
      <c r="AN99" s="585">
        <f ca="1"/>
        <v>-1.9318567755985394E-4</v>
      </c>
      <c r="AO99" s="585">
        <f ca="1"/>
        <v>-9.5677355317971835E-4</v>
      </c>
      <c r="AP99" s="585">
        <f ca="1"/>
        <v>8.5910062623820171E-2</v>
      </c>
      <c r="AQ99" s="497">
        <f ca="1"/>
        <v>0</v>
      </c>
      <c r="AR99" s="580"/>
      <c r="AS99" s="580"/>
      <c r="AT99" s="580"/>
      <c r="AU99" s="580"/>
      <c r="AV99" s="580"/>
      <c r="AW99" s="580"/>
      <c r="AX99" s="579"/>
    </row>
    <row r="100" spans="2:50">
      <c r="B100" s="539" t="s">
        <v>522</v>
      </c>
      <c r="C100" s="540" t="s">
        <v>66</v>
      </c>
      <c r="D100" s="540" t="s">
        <v>55</v>
      </c>
      <c r="E100" s="540" t="s">
        <v>649</v>
      </c>
      <c r="F100" s="540" t="s">
        <v>648</v>
      </c>
      <c r="G100" s="541">
        <v>0.01</v>
      </c>
      <c r="H100" s="541">
        <v>3.4320000000000002E-3</v>
      </c>
      <c r="I100" s="542">
        <v>0.4</v>
      </c>
      <c r="J100" s="602">
        <v>4</v>
      </c>
      <c r="K100" s="543">
        <v>26</v>
      </c>
      <c r="L100" s="272"/>
      <c r="M100" s="272"/>
      <c r="P100" s="273"/>
      <c r="Q100" s="273"/>
      <c r="R100" s="273"/>
      <c r="S100" s="273"/>
      <c r="T100" s="576">
        <f ca="1"/>
        <v>0.06</v>
      </c>
      <c r="U100" s="573">
        <f ca="1"/>
        <v>92</v>
      </c>
      <c r="V100" s="576">
        <f t="shared" ca="1" si="8"/>
        <v>0</v>
      </c>
      <c r="W100" s="576">
        <f t="shared" ca="1" si="9"/>
        <v>0</v>
      </c>
      <c r="X100" s="484">
        <f ca="1">IF('CDO Bespoke'!O101&lt;&gt;"",'CDO Bespoke'!O101,"")</f>
        <v>1.1955868206168001</v>
      </c>
      <c r="Y100" s="485">
        <f ca="1">IF(X100&lt;&gt;"",ABS(MIN(-0.75*('CDO Bespoke'!Q101)+'CDO Bespoke'!T101,0)),"")</f>
        <v>1.1864569069416633</v>
      </c>
      <c r="Z100" s="485">
        <f t="shared" ca="1" si="10"/>
        <v>9.1299136751368248E-3</v>
      </c>
      <c r="AA100" s="485">
        <f t="shared" ca="1" si="11"/>
        <v>0</v>
      </c>
      <c r="AB100" s="484">
        <f ca="1">IF('CDO Bespoke'!O101&lt;&gt;"",'CDO Bespoke'!O101,"")</f>
        <v>1.1955868206168001</v>
      </c>
      <c r="AC100" s="485">
        <f ca="1">IF(AB100&lt;&gt;"",ABS(MIN(-0.75*('CDO Bespoke'!K101)+'CDO Bespoke'!T101,0)),"")</f>
        <v>0.14380305972402865</v>
      </c>
      <c r="AD100" s="485">
        <f t="shared" ca="1" si="12"/>
        <v>1.0517837608927714</v>
      </c>
      <c r="AE100" s="489">
        <f t="shared" ca="1" si="13"/>
        <v>0</v>
      </c>
      <c r="AF100" s="272"/>
      <c r="AG100" s="494" t="str">
        <f ca="1">IF('CDO Bespoke'!C125&lt;&gt;"",'CDO Bespoke'!C125,"")</f>
        <v>SKY LIMITED</v>
      </c>
      <c r="AH100" s="496">
        <f ca="1"/>
        <v>1.9235760206903763E-3</v>
      </c>
      <c r="AI100" s="585">
        <f ca="1"/>
        <v>5.2344560608208468E-3</v>
      </c>
      <c r="AJ100" s="585">
        <f ca="1"/>
        <v>1.3168968040488949E-2</v>
      </c>
      <c r="AK100" s="585">
        <f ca="1"/>
        <v>6.4033489880488403E-2</v>
      </c>
      <c r="AL100" s="497">
        <f ca="1"/>
        <v>0</v>
      </c>
      <c r="AM100" s="496">
        <f ca="1"/>
        <v>1.0610145215958489E-4</v>
      </c>
      <c r="AN100" s="585">
        <f ca="1"/>
        <v>4.9219354193996701E-4</v>
      </c>
      <c r="AO100" s="585">
        <f ca="1"/>
        <v>2.2772875781389146E-3</v>
      </c>
      <c r="AP100" s="585">
        <f ca="1"/>
        <v>0.13833479343194899</v>
      </c>
      <c r="AQ100" s="497">
        <f ca="1"/>
        <v>0</v>
      </c>
      <c r="AR100" s="580"/>
      <c r="AS100" s="580"/>
      <c r="AT100" s="580"/>
      <c r="AU100" s="580"/>
      <c r="AV100" s="580"/>
      <c r="AW100" s="580"/>
      <c r="AX100" s="579"/>
    </row>
    <row r="101" spans="2:50">
      <c r="B101" s="517" t="s">
        <v>522</v>
      </c>
      <c r="C101" s="518" t="s">
        <v>66</v>
      </c>
      <c r="D101" s="518" t="s">
        <v>57</v>
      </c>
      <c r="E101" s="518" t="s">
        <v>649</v>
      </c>
      <c r="F101" s="518" t="s">
        <v>648</v>
      </c>
      <c r="G101" s="525">
        <v>0.01</v>
      </c>
      <c r="H101" s="525">
        <v>5.6519999999999999E-3</v>
      </c>
      <c r="I101" s="527">
        <v>0.4</v>
      </c>
      <c r="J101" s="594">
        <v>4</v>
      </c>
      <c r="K101" s="519">
        <v>26</v>
      </c>
      <c r="L101" s="272"/>
      <c r="M101" s="272"/>
      <c r="P101" s="273"/>
      <c r="Q101" s="273"/>
      <c r="R101" s="273"/>
      <c r="S101" s="273"/>
      <c r="T101" s="576">
        <f ca="1"/>
        <v>0.06</v>
      </c>
      <c r="U101" s="573">
        <f ca="1"/>
        <v>93</v>
      </c>
      <c r="V101" s="576">
        <f t="shared" ca="1" si="8"/>
        <v>0</v>
      </c>
      <c r="W101" s="576">
        <f t="shared" ca="1" si="9"/>
        <v>0</v>
      </c>
      <c r="X101" s="484">
        <f ca="1">IF('CDO Bespoke'!O102&lt;&gt;"",'CDO Bespoke'!O102,"")</f>
        <v>1.1952738521334501</v>
      </c>
      <c r="Y101" s="485">
        <f ca="1">IF(X101&lt;&gt;"",ABS(MIN(-0.75*('CDO Bespoke'!Q102)+'CDO Bespoke'!T102,0)),"")</f>
        <v>1.1872853753035337</v>
      </c>
      <c r="Z101" s="485">
        <f t="shared" ca="1" si="10"/>
        <v>7.9884768299163245E-3</v>
      </c>
      <c r="AA101" s="485">
        <f t="shared" ca="1" si="11"/>
        <v>0</v>
      </c>
      <c r="AB101" s="484">
        <f ca="1">IF('CDO Bespoke'!O102&lt;&gt;"",'CDO Bespoke'!O102,"")</f>
        <v>1.1952738521334501</v>
      </c>
      <c r="AC101" s="485">
        <f ca="1">IF(AB101&lt;&gt;"",ABS(MIN(-0.75*('CDO Bespoke'!K102)+'CDO Bespoke'!T102,0)),"")</f>
        <v>0.21104365635328767</v>
      </c>
      <c r="AD101" s="485">
        <f t="shared" ca="1" si="12"/>
        <v>0.98423019578016235</v>
      </c>
      <c r="AE101" s="489">
        <f t="shared" ca="1" si="13"/>
        <v>0</v>
      </c>
      <c r="AF101" s="272"/>
      <c r="AG101" s="494" t="str">
        <f ca="1">IF('CDO Bespoke'!C126&lt;&gt;"",'CDO Bespoke'!C126,"")</f>
        <v>STMicroelectronics N.V.</v>
      </c>
      <c r="AH101" s="496">
        <f ca="1"/>
        <v>3.0984083809748597E-3</v>
      </c>
      <c r="AI101" s="585">
        <f ca="1"/>
        <v>9.4322699406568233E-3</v>
      </c>
      <c r="AJ101" s="585">
        <f ca="1"/>
        <v>2.5613716581052159E-2</v>
      </c>
      <c r="AK101" s="585">
        <f ca="1"/>
        <v>0.19920591640021357</v>
      </c>
      <c r="AL101" s="497">
        <f ca="1"/>
        <v>0</v>
      </c>
      <c r="AM101" s="496">
        <f ca="1"/>
        <v>5.6371530560150873E-5</v>
      </c>
      <c r="AN101" s="585">
        <f ca="1"/>
        <v>2.6247338414039922E-4</v>
      </c>
      <c r="AO101" s="585">
        <f ca="1"/>
        <v>1.1975975339403866E-3</v>
      </c>
      <c r="AP101" s="585">
        <f ca="1"/>
        <v>9.1464129976080027E-2</v>
      </c>
      <c r="AQ101" s="497">
        <f ca="1"/>
        <v>0</v>
      </c>
      <c r="AR101" s="580"/>
      <c r="AS101" s="580"/>
      <c r="AT101" s="580"/>
      <c r="AU101" s="580"/>
      <c r="AV101" s="580"/>
      <c r="AW101" s="580"/>
      <c r="AX101" s="579"/>
    </row>
    <row r="102" spans="2:50">
      <c r="B102" s="534" t="s">
        <v>522</v>
      </c>
      <c r="C102" s="535" t="s">
        <v>66</v>
      </c>
      <c r="D102" s="535" t="s">
        <v>59</v>
      </c>
      <c r="E102" s="535" t="s">
        <v>649</v>
      </c>
      <c r="F102" s="535" t="s">
        <v>648</v>
      </c>
      <c r="G102" s="536">
        <v>0.01</v>
      </c>
      <c r="H102" s="536">
        <v>8.0560000000000007E-3</v>
      </c>
      <c r="I102" s="537">
        <v>0.4</v>
      </c>
      <c r="J102" s="595">
        <v>4</v>
      </c>
      <c r="K102" s="538">
        <v>26</v>
      </c>
      <c r="L102" s="272"/>
      <c r="M102" s="272"/>
      <c r="P102" s="273"/>
      <c r="Q102" s="273"/>
      <c r="R102" s="273"/>
      <c r="S102" s="273"/>
      <c r="T102" s="576">
        <f ca="1"/>
        <v>0.06</v>
      </c>
      <c r="U102" s="573">
        <f ca="1"/>
        <v>94</v>
      </c>
      <c r="V102" s="576">
        <f t="shared" ca="1" si="8"/>
        <v>0</v>
      </c>
      <c r="W102" s="576">
        <f t="shared" ca="1" si="9"/>
        <v>0</v>
      </c>
      <c r="X102" s="484">
        <f ca="1">IF('CDO Bespoke'!O103&lt;&gt;"",'CDO Bespoke'!O103,"")</f>
        <v>1.19431787981033</v>
      </c>
      <c r="Y102" s="485">
        <f ca="1">IF(X102&lt;&gt;"",ABS(MIN(-0.75*('CDO Bespoke'!Q103)+'CDO Bespoke'!T103,0)),"")</f>
        <v>1.1885231788178623</v>
      </c>
      <c r="Z102" s="485">
        <f t="shared" ca="1" si="10"/>
        <v>5.7947009924677051E-3</v>
      </c>
      <c r="AA102" s="485">
        <f t="shared" ca="1" si="11"/>
        <v>0</v>
      </c>
      <c r="AB102" s="484">
        <f ca="1">IF('CDO Bespoke'!O103&lt;&gt;"",'CDO Bespoke'!O103,"")</f>
        <v>1.19431787981033</v>
      </c>
      <c r="AC102" s="485">
        <f ca="1">IF(AB102&lt;&gt;"",ABS(MIN(-0.75*('CDO Bespoke'!K103)+'CDO Bespoke'!T103,0)),"")</f>
        <v>0.28431948138445107</v>
      </c>
      <c r="AD102" s="485">
        <f t="shared" ca="1" si="12"/>
        <v>0.90999839842587893</v>
      </c>
      <c r="AE102" s="489">
        <f t="shared" ca="1" si="13"/>
        <v>0</v>
      </c>
      <c r="AF102" s="272"/>
      <c r="AG102" s="494" t="str">
        <f ca="1">IF('CDO Bespoke'!C127&lt;&gt;"",'CDO Bespoke'!C127,"")</f>
        <v>TELEFONICA, S.A.</v>
      </c>
      <c r="AH102" s="496">
        <f ca="1"/>
        <v>3.7707687006172108E-3</v>
      </c>
      <c r="AI102" s="585">
        <f ca="1"/>
        <v>1.2184951960758639E-2</v>
      </c>
      <c r="AJ102" s="585">
        <f ca="1"/>
        <v>3.4114614050340109E-2</v>
      </c>
      <c r="AK102" s="585">
        <f ca="1"/>
        <v>0.54611983704044853</v>
      </c>
      <c r="AL102" s="497">
        <f ca="1"/>
        <v>0</v>
      </c>
      <c r="AM102" s="496">
        <f ca="1"/>
        <v>2.6924121299815029E-5</v>
      </c>
      <c r="AN102" s="585">
        <f ca="1"/>
        <v>1.2713430113976687E-4</v>
      </c>
      <c r="AO102" s="585">
        <f ca="1"/>
        <v>5.2974815217994575E-4</v>
      </c>
      <c r="AP102" s="585">
        <f ca="1"/>
        <v>8.9944687292179901E-2</v>
      </c>
      <c r="AQ102" s="497">
        <f ca="1"/>
        <v>0</v>
      </c>
      <c r="AR102" s="580"/>
      <c r="AS102" s="580"/>
      <c r="AT102" s="580"/>
      <c r="AU102" s="580"/>
      <c r="AV102" s="580"/>
      <c r="AW102" s="580"/>
      <c r="AX102" s="579"/>
    </row>
    <row r="103" spans="2:50">
      <c r="B103" s="539" t="s">
        <v>523</v>
      </c>
      <c r="C103" s="540" t="s">
        <v>66</v>
      </c>
      <c r="D103" s="540" t="s">
        <v>55</v>
      </c>
      <c r="E103" s="540" t="s">
        <v>651</v>
      </c>
      <c r="F103" s="540" t="s">
        <v>674</v>
      </c>
      <c r="G103" s="541">
        <v>0.01</v>
      </c>
      <c r="H103" s="541">
        <v>2.0699999999999998E-3</v>
      </c>
      <c r="I103" s="542">
        <v>0.4</v>
      </c>
      <c r="J103" s="602">
        <v>7</v>
      </c>
      <c r="K103" s="543">
        <v>27</v>
      </c>
      <c r="L103" s="272"/>
      <c r="M103" s="272"/>
      <c r="P103" s="273"/>
      <c r="Q103" s="273"/>
      <c r="R103" s="273"/>
      <c r="S103" s="273"/>
      <c r="T103" s="576">
        <f ca="1"/>
        <v>0.06</v>
      </c>
      <c r="U103" s="573">
        <f ca="1"/>
        <v>95</v>
      </c>
      <c r="V103" s="576">
        <f t="shared" ca="1" si="8"/>
        <v>0</v>
      </c>
      <c r="W103" s="576">
        <f t="shared" ca="1" si="9"/>
        <v>0</v>
      </c>
      <c r="X103" s="484">
        <f ca="1">IF('CDO Bespoke'!O104&lt;&gt;"",'CDO Bespoke'!O104,"")</f>
        <v>1.19545611999172</v>
      </c>
      <c r="Y103" s="485">
        <f ca="1">IF(X103&lt;&gt;"",ABS(MIN(-0.75*('CDO Bespoke'!Q104)+'CDO Bespoke'!T104,0)),"")</f>
        <v>1.1868768344559568</v>
      </c>
      <c r="Z103" s="485">
        <f t="shared" ca="1" si="10"/>
        <v>8.5792855357631481E-3</v>
      </c>
      <c r="AA103" s="485">
        <f t="shared" ca="1" si="11"/>
        <v>0</v>
      </c>
      <c r="AB103" s="484">
        <f ca="1">IF('CDO Bespoke'!O104&lt;&gt;"",'CDO Bespoke'!O104,"")</f>
        <v>1.19545611999172</v>
      </c>
      <c r="AC103" s="485">
        <f ca="1">IF(AB103&lt;&gt;"",ABS(MIN(-0.75*('CDO Bespoke'!K104)+'CDO Bespoke'!T104,0)),"")</f>
        <v>0.18090633182268215</v>
      </c>
      <c r="AD103" s="485">
        <f t="shared" ca="1" si="12"/>
        <v>1.0145497881690377</v>
      </c>
      <c r="AE103" s="489">
        <f t="shared" ca="1" si="13"/>
        <v>0</v>
      </c>
      <c r="AF103" s="272"/>
      <c r="AG103" s="494" t="str">
        <f ca="1">IF('CDO Bespoke'!C128&lt;&gt;"",'CDO Bespoke'!C128,"")</f>
        <v>Telekom Austria Aktiengesellschaft</v>
      </c>
      <c r="AH103" s="496">
        <f ca="1"/>
        <v>2.5662179603536117E-3</v>
      </c>
      <c r="AI103" s="585">
        <f ca="1"/>
        <v>7.4339220201835587E-3</v>
      </c>
      <c r="AJ103" s="585">
        <f ca="1"/>
        <v>1.9576812400057264E-2</v>
      </c>
      <c r="AK103" s="585">
        <f ca="1"/>
        <v>0.13496011498026483</v>
      </c>
      <c r="AL103" s="497">
        <f ca="1"/>
        <v>0</v>
      </c>
      <c r="AM103" s="496">
        <f ca="1"/>
        <v>6.2791698800246376E-5</v>
      </c>
      <c r="AN103" s="585">
        <f ca="1"/>
        <v>2.9181624266044759E-4</v>
      </c>
      <c r="AO103" s="585">
        <f ca="1"/>
        <v>1.3403537994408077E-3</v>
      </c>
      <c r="AP103" s="585">
        <f ca="1"/>
        <v>9.1820969757180904E-2</v>
      </c>
      <c r="AQ103" s="497">
        <f ca="1"/>
        <v>0</v>
      </c>
      <c r="AR103" s="580"/>
      <c r="AS103" s="580"/>
      <c r="AT103" s="580"/>
      <c r="AU103" s="580"/>
      <c r="AV103" s="580"/>
      <c r="AW103" s="580"/>
      <c r="AX103" s="579"/>
    </row>
    <row r="104" spans="2:50">
      <c r="B104" s="517" t="s">
        <v>523</v>
      </c>
      <c r="C104" s="518" t="s">
        <v>66</v>
      </c>
      <c r="D104" s="518" t="s">
        <v>57</v>
      </c>
      <c r="E104" s="518" t="s">
        <v>651</v>
      </c>
      <c r="F104" s="518" t="s">
        <v>674</v>
      </c>
      <c r="G104" s="525">
        <v>0.01</v>
      </c>
      <c r="H104" s="525">
        <v>3.297E-3</v>
      </c>
      <c r="I104" s="527">
        <v>0.4</v>
      </c>
      <c r="J104" s="594">
        <v>7</v>
      </c>
      <c r="K104" s="519">
        <v>27</v>
      </c>
      <c r="L104" s="272"/>
      <c r="M104" s="272"/>
      <c r="P104" s="273"/>
      <c r="Q104" s="273"/>
      <c r="R104" s="273"/>
      <c r="S104" s="273"/>
      <c r="T104" s="576">
        <f ca="1"/>
        <v>0.15</v>
      </c>
      <c r="U104" s="573">
        <f ca="1"/>
        <v>96</v>
      </c>
      <c r="V104" s="576">
        <f t="shared" ca="1" si="8"/>
        <v>0</v>
      </c>
      <c r="W104" s="576">
        <f t="shared" ca="1" si="9"/>
        <v>0</v>
      </c>
      <c r="X104" s="484">
        <f ca="1">IF('CDO Bespoke'!O105&lt;&gt;"",'CDO Bespoke'!O105,"")</f>
        <v>1.1953820522937699</v>
      </c>
      <c r="Y104" s="485">
        <f ca="1">IF(X104&lt;&gt;"",ABS(MIN(-0.75*('CDO Bespoke'!Q105)+'CDO Bespoke'!T105,0)),"")</f>
        <v>1.1870585342060167</v>
      </c>
      <c r="Z104" s="485">
        <f t="shared" ca="1" si="10"/>
        <v>8.3235180877532233E-3</v>
      </c>
      <c r="AA104" s="485">
        <f t="shared" ca="1" si="11"/>
        <v>0</v>
      </c>
      <c r="AB104" s="484">
        <f ca="1">IF('CDO Bespoke'!O105&lt;&gt;"",'CDO Bespoke'!O105,"")</f>
        <v>1.1953820522937699</v>
      </c>
      <c r="AC104" s="485">
        <f ca="1">IF(AB104&lt;&gt;"",ABS(MIN(-0.75*('CDO Bespoke'!K105)+'CDO Bespoke'!T105,0)),"")</f>
        <v>0.19486358926247546</v>
      </c>
      <c r="AD104" s="485">
        <f t="shared" ca="1" si="12"/>
        <v>1.0005184630312944</v>
      </c>
      <c r="AE104" s="489">
        <f t="shared" ca="1" si="13"/>
        <v>0</v>
      </c>
      <c r="AF104" s="272"/>
      <c r="AG104" s="494" t="str">
        <f ca="1">IF('CDO Bespoke'!C129&lt;&gt;"",'CDO Bespoke'!C129,"")</f>
        <v>TELENOR ASA</v>
      </c>
      <c r="AH104" s="496">
        <f ca="1"/>
        <v>2.8371415206063233E-3</v>
      </c>
      <c r="AI104" s="585">
        <f ca="1"/>
        <v>8.4483319007233604E-3</v>
      </c>
      <c r="AJ104" s="585">
        <f ca="1"/>
        <v>2.2579929460642134E-2</v>
      </c>
      <c r="AK104" s="585">
        <f ca="1"/>
        <v>0.15575148244018067</v>
      </c>
      <c r="AL104" s="497">
        <f ca="1"/>
        <v>0</v>
      </c>
      <c r="AM104" s="496">
        <f ca="1"/>
        <v>6.0596449538707908E-5</v>
      </c>
      <c r="AN104" s="585">
        <f ca="1"/>
        <v>2.8181349799871747E-4</v>
      </c>
      <c r="AO104" s="585">
        <f ca="1"/>
        <v>1.2922408686388831E-3</v>
      </c>
      <c r="AP104" s="585">
        <f ca="1"/>
        <v>9.1687064752019043E-2</v>
      </c>
      <c r="AQ104" s="497">
        <f ca="1"/>
        <v>0</v>
      </c>
      <c r="AR104" s="580"/>
      <c r="AS104" s="580"/>
      <c r="AT104" s="580"/>
      <c r="AU104" s="580"/>
      <c r="AV104" s="580"/>
      <c r="AW104" s="580"/>
      <c r="AX104" s="579"/>
    </row>
    <row r="105" spans="2:50">
      <c r="B105" s="534" t="s">
        <v>523</v>
      </c>
      <c r="C105" s="535" t="s">
        <v>66</v>
      </c>
      <c r="D105" s="535" t="s">
        <v>59</v>
      </c>
      <c r="E105" s="535" t="s">
        <v>651</v>
      </c>
      <c r="F105" s="535" t="s">
        <v>674</v>
      </c>
      <c r="G105" s="536">
        <v>0.01</v>
      </c>
      <c r="H105" s="536">
        <v>4.411E-3</v>
      </c>
      <c r="I105" s="537">
        <v>0.4</v>
      </c>
      <c r="J105" s="595">
        <v>7</v>
      </c>
      <c r="K105" s="538">
        <v>27</v>
      </c>
      <c r="L105" s="272"/>
      <c r="M105" s="272"/>
      <c r="P105" s="273"/>
      <c r="Q105" s="273"/>
      <c r="R105" s="273"/>
      <c r="S105" s="273"/>
      <c r="T105" s="576">
        <f ca="1"/>
        <v>0.15</v>
      </c>
      <c r="U105" s="573">
        <f ca="1"/>
        <v>97</v>
      </c>
      <c r="V105" s="576">
        <f t="shared" ref="V105:V133" ca="1" si="14">AA110*T105</f>
        <v>0</v>
      </c>
      <c r="W105" s="576">
        <f t="shared" ref="W105:W133" ca="1" si="15">AE110*T105</f>
        <v>0</v>
      </c>
      <c r="X105" s="484">
        <f ca="1">IF('CDO Bespoke'!O106&lt;&gt;"",'CDO Bespoke'!O106,"")</f>
        <v>1.1953629657653599</v>
      </c>
      <c r="Y105" s="485">
        <f ca="1">IF(X105&lt;&gt;"",ABS(MIN(-0.75*('CDO Bespoke'!Q106)+'CDO Bespoke'!T106,0)),"")</f>
        <v>1.1871014071791912</v>
      </c>
      <c r="Z105" s="485">
        <f t="shared" ca="1" si="10"/>
        <v>8.2615585861687268E-3</v>
      </c>
      <c r="AA105" s="485">
        <f t="shared" ca="1" si="11"/>
        <v>0</v>
      </c>
      <c r="AB105" s="484">
        <f ca="1">IF('CDO Bespoke'!O106&lt;&gt;"",'CDO Bespoke'!O106,"")</f>
        <v>1.1953629657653599</v>
      </c>
      <c r="AC105" s="485">
        <f ca="1">IF(AB105&lt;&gt;"",ABS(MIN(-0.75*('CDO Bespoke'!K106)+'CDO Bespoke'!T106,0)),"")</f>
        <v>0.19801885448538578</v>
      </c>
      <c r="AD105" s="485">
        <f t="shared" ca="1" si="12"/>
        <v>0.99734411127997413</v>
      </c>
      <c r="AE105" s="489">
        <f t="shared" ca="1" si="13"/>
        <v>0</v>
      </c>
      <c r="AF105" s="272"/>
      <c r="AG105" s="494" t="str">
        <f ca="1">IF('CDO Bespoke'!C130&lt;&gt;"",'CDO Bespoke'!C130,"")</f>
        <v>Telia Company AB</v>
      </c>
      <c r="AH105" s="496">
        <f ca="1"/>
        <v>2.887084680214258E-3</v>
      </c>
      <c r="AI105" s="585">
        <f ca="1"/>
        <v>8.6322487302670226E-3</v>
      </c>
      <c r="AJ105" s="585">
        <f ca="1"/>
        <v>2.3145855770900781E-2</v>
      </c>
      <c r="AK105" s="585">
        <f ca="1"/>
        <v>0.16445141970078403</v>
      </c>
      <c r="AL105" s="497">
        <f ca="1"/>
        <v>0</v>
      </c>
      <c r="AM105" s="496">
        <f ca="1"/>
        <v>5.9737126280323682E-5</v>
      </c>
      <c r="AN105" s="585">
        <f ca="1"/>
        <v>2.7787823285996271E-4</v>
      </c>
      <c r="AO105" s="585">
        <f ca="1"/>
        <v>1.2729368829400567E-3</v>
      </c>
      <c r="AP105" s="585">
        <f ca="1"/>
        <v>9.1643059874780414E-2</v>
      </c>
      <c r="AQ105" s="497">
        <f ca="1"/>
        <v>0</v>
      </c>
      <c r="AR105" s="580"/>
      <c r="AS105" s="580"/>
      <c r="AT105" s="580"/>
      <c r="AU105" s="580"/>
      <c r="AV105" s="580"/>
      <c r="AW105" s="580"/>
      <c r="AX105" s="579"/>
    </row>
    <row r="106" spans="2:50">
      <c r="B106" s="539" t="s">
        <v>524</v>
      </c>
      <c r="C106" s="540" t="s">
        <v>66</v>
      </c>
      <c r="D106" s="540" t="s">
        <v>55</v>
      </c>
      <c r="E106" s="540" t="s">
        <v>651</v>
      </c>
      <c r="F106" s="540" t="s">
        <v>674</v>
      </c>
      <c r="G106" s="541">
        <v>0.01</v>
      </c>
      <c r="H106" s="541">
        <v>2.3649999999999999E-3</v>
      </c>
      <c r="I106" s="542">
        <v>0.4</v>
      </c>
      <c r="J106" s="602">
        <v>7</v>
      </c>
      <c r="K106" s="543">
        <v>28</v>
      </c>
      <c r="L106" s="272"/>
      <c r="M106" s="272"/>
      <c r="P106" s="273"/>
      <c r="Q106" s="273"/>
      <c r="R106" s="273"/>
      <c r="S106" s="273"/>
      <c r="T106" s="576">
        <f ca="1"/>
        <v>0.15</v>
      </c>
      <c r="U106" s="573">
        <f ca="1"/>
        <v>98</v>
      </c>
      <c r="V106" s="576">
        <f t="shared" ca="1" si="14"/>
        <v>0</v>
      </c>
      <c r="W106" s="576">
        <f t="shared" ca="1" si="15"/>
        <v>0</v>
      </c>
      <c r="X106" s="484">
        <f ca="1">IF('CDO Bespoke'!O107&lt;&gt;"",'CDO Bespoke'!O107,"")</f>
        <v>1.1947672616781</v>
      </c>
      <c r="Y106" s="485">
        <f ca="1">IF(X106&lt;&gt;"",ABS(MIN(-0.75*('CDO Bespoke'!Q107)+'CDO Bespoke'!T107,0)),"")</f>
        <v>1.1880473274358578</v>
      </c>
      <c r="Z106" s="485">
        <f t="shared" ca="1" si="10"/>
        <v>6.7199342422421537E-3</v>
      </c>
      <c r="AA106" s="485">
        <f t="shared" ca="1" si="11"/>
        <v>0</v>
      </c>
      <c r="AB106" s="484">
        <f ca="1">IF('CDO Bespoke'!O107&lt;&gt;"",'CDO Bespoke'!O107,"")</f>
        <v>1.1947672616781</v>
      </c>
      <c r="AC106" s="485">
        <f ca="1">IF(AB106&lt;&gt;"",ABS(MIN(-0.75*('CDO Bespoke'!K107)+'CDO Bespoke'!T107,0)),"")</f>
        <v>0.25839567265420926</v>
      </c>
      <c r="AD106" s="485">
        <f t="shared" ca="1" si="12"/>
        <v>0.93637158902389073</v>
      </c>
      <c r="AE106" s="489">
        <f t="shared" ca="1" si="13"/>
        <v>0</v>
      </c>
      <c r="AF106" s="272"/>
      <c r="AG106" s="494" t="str">
        <f ca="1">IF('CDO Bespoke'!C131&lt;&gt;"",'CDO Bespoke'!C131,"")</f>
        <v>Vivendi SE</v>
      </c>
      <c r="AH106" s="496">
        <f ca="1"/>
        <v>3.5080047999791475E-3</v>
      </c>
      <c r="AI106" s="585">
        <f ca="1"/>
        <v>1.0993868070352519E-2</v>
      </c>
      <c r="AJ106" s="585">
        <f ca="1"/>
        <v>3.044058588086429E-2</v>
      </c>
      <c r="AK106" s="585">
        <f ca="1"/>
        <v>0.43482178571085939</v>
      </c>
      <c r="AL106" s="497">
        <f ca="1"/>
        <v>0</v>
      </c>
      <c r="AM106" s="496">
        <f ca="1"/>
        <v>5.4207443460005389E-5</v>
      </c>
      <c r="AN106" s="585">
        <f ca="1"/>
        <v>2.5426984353038584E-4</v>
      </c>
      <c r="AO106" s="585">
        <f ca="1"/>
        <v>1.1066437926303407E-3</v>
      </c>
      <c r="AP106" s="585">
        <f ca="1"/>
        <v>0.13570733781452965</v>
      </c>
      <c r="AQ106" s="497">
        <f ca="1"/>
        <v>0</v>
      </c>
      <c r="AR106" s="580"/>
      <c r="AS106" s="580"/>
      <c r="AT106" s="580"/>
      <c r="AU106" s="580"/>
      <c r="AV106" s="580"/>
      <c r="AW106" s="580"/>
      <c r="AX106" s="579"/>
    </row>
    <row r="107" spans="2:50">
      <c r="B107" s="517" t="s">
        <v>524</v>
      </c>
      <c r="C107" s="518" t="s">
        <v>66</v>
      </c>
      <c r="D107" s="518" t="s">
        <v>57</v>
      </c>
      <c r="E107" s="518" t="s">
        <v>651</v>
      </c>
      <c r="F107" s="518" t="s">
        <v>674</v>
      </c>
      <c r="G107" s="525">
        <v>0.01</v>
      </c>
      <c r="H107" s="525">
        <v>3.4499999999999999E-3</v>
      </c>
      <c r="I107" s="527">
        <v>0.4</v>
      </c>
      <c r="J107" s="594">
        <v>7</v>
      </c>
      <c r="K107" s="519">
        <v>28</v>
      </c>
      <c r="L107" s="272"/>
      <c r="M107" s="272"/>
      <c r="P107" s="273"/>
      <c r="Q107" s="273"/>
      <c r="R107" s="273"/>
      <c r="S107" s="273"/>
      <c r="T107" s="576">
        <f ca="1"/>
        <v>0.15</v>
      </c>
      <c r="U107" s="573">
        <f ca="1"/>
        <v>99</v>
      </c>
      <c r="V107" s="576">
        <f t="shared" ca="1" si="14"/>
        <v>0</v>
      </c>
      <c r="W107" s="576">
        <f t="shared" ca="1" si="15"/>
        <v>0</v>
      </c>
      <c r="X107" s="484">
        <f ca="1">IF('CDO Bespoke'!O108&lt;&gt;"",'CDO Bespoke'!O108,"")</f>
        <v>1.19439469908257</v>
      </c>
      <c r="Y107" s="485">
        <f ca="1">IF(X107&lt;&gt;"",ABS(MIN(-0.75*('CDO Bespoke'!Q108)+'CDO Bespoke'!T108,0)),"")</f>
        <v>1.1884500415394441</v>
      </c>
      <c r="Z107" s="485">
        <f t="shared" ca="1" si="10"/>
        <v>5.9446575431258974E-3</v>
      </c>
      <c r="AA107" s="485">
        <f t="shared" ca="1" si="11"/>
        <v>0</v>
      </c>
      <c r="AB107" s="484">
        <f ca="1">IF('CDO Bespoke'!O108&lt;&gt;"",'CDO Bespoke'!O108,"")</f>
        <v>1.19439469908257</v>
      </c>
      <c r="AC107" s="485">
        <f ca="1">IF(AB107&lt;&gt;"",ABS(MIN(-0.75*('CDO Bespoke'!K108)+'CDO Bespoke'!T108,0)),"")</f>
        <v>0.28046791396569032</v>
      </c>
      <c r="AD107" s="485">
        <f t="shared" ca="1" si="12"/>
        <v>0.91392678511687975</v>
      </c>
      <c r="AE107" s="489">
        <f t="shared" ca="1" si="13"/>
        <v>0</v>
      </c>
      <c r="AF107" s="272"/>
      <c r="AG107" s="494" t="str">
        <f ca="1">IF('CDO Bespoke'!C132&lt;&gt;"",'CDO Bespoke'!C132,"")</f>
        <v>VODAFONE GROUP PUBLIC LIMITED COMPANY</v>
      </c>
      <c r="AH107" s="496">
        <f ca="1"/>
        <v>3.6941940007029217E-3</v>
      </c>
      <c r="AI107" s="585">
        <f ca="1"/>
        <v>1.1832683590728976E-2</v>
      </c>
      <c r="AJ107" s="585">
        <f ca="1"/>
        <v>3.2952515710560348E-2</v>
      </c>
      <c r="AK107" s="585">
        <f ca="1"/>
        <v>0.54004066817103791</v>
      </c>
      <c r="AL107" s="497">
        <f ca="1"/>
        <v>0</v>
      </c>
      <c r="AM107" s="496">
        <f ca="1"/>
        <v>2.7501924380196607E-5</v>
      </c>
      <c r="AN107" s="585">
        <f ca="1"/>
        <v>1.2977498318016145E-4</v>
      </c>
      <c r="AO107" s="585">
        <f ca="1"/>
        <v>5.4204386085998646E-4</v>
      </c>
      <c r="AP107" s="585">
        <f ca="1"/>
        <v>8.9997577137680002E-2</v>
      </c>
      <c r="AQ107" s="497">
        <f ca="1"/>
        <v>0</v>
      </c>
      <c r="AR107" s="580"/>
      <c r="AS107" s="580"/>
      <c r="AT107" s="580"/>
      <c r="AU107" s="580"/>
      <c r="AV107" s="580"/>
      <c r="AW107" s="580"/>
      <c r="AX107" s="579"/>
    </row>
    <row r="108" spans="2:50">
      <c r="B108" s="534" t="s">
        <v>524</v>
      </c>
      <c r="C108" s="535" t="s">
        <v>66</v>
      </c>
      <c r="D108" s="535" t="s">
        <v>59</v>
      </c>
      <c r="E108" s="535" t="s">
        <v>651</v>
      </c>
      <c r="F108" s="535" t="s">
        <v>674</v>
      </c>
      <c r="G108" s="536">
        <v>0.01</v>
      </c>
      <c r="H108" s="536">
        <v>4.6579999999999998E-3</v>
      </c>
      <c r="I108" s="537">
        <v>0.4</v>
      </c>
      <c r="J108" s="595">
        <v>7</v>
      </c>
      <c r="K108" s="538">
        <v>28</v>
      </c>
      <c r="L108" s="272"/>
      <c r="M108" s="272"/>
      <c r="P108" s="273"/>
      <c r="Q108" s="273"/>
      <c r="R108" s="273"/>
      <c r="S108" s="273"/>
      <c r="T108" s="576">
        <f ca="1"/>
        <v>0.15</v>
      </c>
      <c r="U108" s="573">
        <f ca="1"/>
        <v>100</v>
      </c>
      <c r="V108" s="576">
        <f t="shared" ca="1" si="14"/>
        <v>0</v>
      </c>
      <c r="W108" s="576">
        <f t="shared" ca="1" si="15"/>
        <v>0</v>
      </c>
      <c r="X108" s="484">
        <f ca="1">IF('CDO Bespoke'!O109&lt;&gt;"",'CDO Bespoke'!O109,"")</f>
        <v>1.1943343942864899</v>
      </c>
      <c r="Y108" s="485">
        <f ca="1">IF(X108&lt;&gt;"",ABS(MIN(-0.75*('CDO Bespoke'!Q109)+'CDO Bespoke'!T109,0)),"")</f>
        <v>1.1885076954170426</v>
      </c>
      <c r="Z108" s="485">
        <f t="shared" ca="1" si="10"/>
        <v>5.826698869447311E-3</v>
      </c>
      <c r="AA108" s="485">
        <f t="shared" ca="1" si="11"/>
        <v>0</v>
      </c>
      <c r="AB108" s="484">
        <f ca="1">IF('CDO Bespoke'!O109&lt;&gt;"",'CDO Bespoke'!O109,"")</f>
        <v>1.1943343942864899</v>
      </c>
      <c r="AC108" s="485">
        <f ca="1">IF(AB108&lt;&gt;"",ABS(MIN(-0.75*('CDO Bespoke'!K109)+'CDO Bespoke'!T109,0)),"")</f>
        <v>0.28350766715935999</v>
      </c>
      <c r="AD108" s="485">
        <f t="shared" ca="1" si="12"/>
        <v>0.91082672712712998</v>
      </c>
      <c r="AE108" s="489">
        <f t="shared" ca="1" si="13"/>
        <v>0</v>
      </c>
      <c r="AF108" s="272"/>
      <c r="AG108" s="494" t="str">
        <f ca="1">IF('CDO Bespoke'!C133&lt;&gt;"",'CDO Bespoke'!C133,"")</f>
        <v>WPP 2005 LIMITED</v>
      </c>
      <c r="AH108" s="496">
        <f ca="1"/>
        <v>3.8384162903692953E-3</v>
      </c>
      <c r="AI108" s="585">
        <f ca="1"/>
        <v>1.2484952480740219E-2</v>
      </c>
      <c r="AJ108" s="585">
        <f ca="1"/>
        <v>3.5175539450094107E-2</v>
      </c>
      <c r="AK108" s="585">
        <f ca="1"/>
        <v>0.52209968586014455</v>
      </c>
      <c r="AL108" s="497">
        <f ca="1"/>
        <v>0</v>
      </c>
      <c r="AM108" s="496">
        <f ca="1"/>
        <v>4.3141524840029088E-5</v>
      </c>
      <c r="AN108" s="585">
        <f ca="1"/>
        <v>2.0342794992012775E-4</v>
      </c>
      <c r="AO108" s="585">
        <f ca="1"/>
        <v>8.5892232741038854E-4</v>
      </c>
      <c r="AP108" s="585">
        <f ca="1"/>
        <v>0.13502493538374033</v>
      </c>
      <c r="AQ108" s="497">
        <f ca="1"/>
        <v>0</v>
      </c>
      <c r="AR108" s="580"/>
      <c r="AS108" s="580"/>
      <c r="AT108" s="580"/>
      <c r="AU108" s="580"/>
      <c r="AV108" s="580"/>
      <c r="AW108" s="580"/>
      <c r="AX108" s="579"/>
    </row>
    <row r="109" spans="2:50">
      <c r="B109" s="539" t="s">
        <v>538</v>
      </c>
      <c r="C109" s="540" t="s">
        <v>66</v>
      </c>
      <c r="D109" s="540" t="s">
        <v>55</v>
      </c>
      <c r="E109" s="540" t="s">
        <v>649</v>
      </c>
      <c r="F109" s="540" t="s">
        <v>648</v>
      </c>
      <c r="G109" s="541">
        <v>0.01</v>
      </c>
      <c r="H109" s="541">
        <v>2.9680000000000002E-3</v>
      </c>
      <c r="I109" s="542">
        <v>0.4</v>
      </c>
      <c r="J109" s="602">
        <v>4</v>
      </c>
      <c r="K109" s="543">
        <v>29</v>
      </c>
      <c r="L109" s="272"/>
      <c r="M109" s="272"/>
      <c r="P109" s="273"/>
      <c r="Q109" s="273"/>
      <c r="R109" s="273"/>
      <c r="S109" s="273"/>
      <c r="T109" s="576">
        <f ca="1"/>
        <v>0.15</v>
      </c>
      <c r="U109" s="573">
        <f ca="1"/>
        <v>101</v>
      </c>
      <c r="V109" s="576">
        <f t="shared" ca="1" si="14"/>
        <v>0</v>
      </c>
      <c r="W109" s="576">
        <f t="shared" ca="1" si="15"/>
        <v>0</v>
      </c>
      <c r="X109" s="484" t="str">
        <f ca="1">IF('CDO Bespoke'!O110&lt;&gt;"",'CDO Bespoke'!O110,"")</f>
        <v/>
      </c>
      <c r="Y109" s="485" t="str">
        <f ca="1">IF(X109&lt;&gt;"",ABS(MIN(-0.75*('CDO Bespoke'!Q110)+'CDO Bespoke'!T110,0)),"")</f>
        <v/>
      </c>
      <c r="Z109" s="485">
        <f t="shared" ca="1" si="10"/>
        <v>0</v>
      </c>
      <c r="AA109" s="485">
        <f t="shared" ca="1" si="11"/>
        <v>0</v>
      </c>
      <c r="AB109" s="484" t="str">
        <f ca="1">IF('CDO Bespoke'!O110&lt;&gt;"",'CDO Bespoke'!O110,"")</f>
        <v/>
      </c>
      <c r="AC109" s="485" t="str">
        <f ca="1">IF(AB109&lt;&gt;"",ABS(MIN(-0.75*('CDO Bespoke'!K110)+'CDO Bespoke'!T110,0)),"")</f>
        <v/>
      </c>
      <c r="AD109" s="485">
        <f t="shared" ca="1" si="12"/>
        <v>0</v>
      </c>
      <c r="AE109" s="489">
        <f t="shared" ca="1" si="13"/>
        <v>0</v>
      </c>
      <c r="AF109" s="272"/>
      <c r="AG109" s="494" t="str">
        <f ca="1">IF('CDO Bespoke'!C134&lt;&gt;"",'CDO Bespoke'!C134,"")</f>
        <v/>
      </c>
      <c r="AH109" s="496"/>
      <c r="AI109" s="585"/>
      <c r="AJ109" s="585"/>
      <c r="AK109" s="585"/>
      <c r="AL109" s="497"/>
      <c r="AM109" s="496"/>
      <c r="AN109" s="585"/>
      <c r="AO109" s="585"/>
      <c r="AP109" s="585"/>
      <c r="AQ109" s="497"/>
      <c r="AR109" s="580"/>
      <c r="AS109" s="580"/>
      <c r="AT109" s="580"/>
      <c r="AU109" s="580"/>
      <c r="AV109" s="580"/>
      <c r="AW109" s="580"/>
      <c r="AX109" s="579"/>
    </row>
    <row r="110" spans="2:50">
      <c r="B110" s="517" t="s">
        <v>538</v>
      </c>
      <c r="C110" s="518" t="s">
        <v>66</v>
      </c>
      <c r="D110" s="518" t="s">
        <v>57</v>
      </c>
      <c r="E110" s="518" t="s">
        <v>649</v>
      </c>
      <c r="F110" s="518" t="s">
        <v>648</v>
      </c>
      <c r="G110" s="525">
        <v>0.01</v>
      </c>
      <c r="H110" s="525">
        <v>4.8170000000000001E-3</v>
      </c>
      <c r="I110" s="527">
        <v>0.4</v>
      </c>
      <c r="J110" s="594">
        <v>4</v>
      </c>
      <c r="K110" s="519">
        <v>29</v>
      </c>
      <c r="L110" s="272"/>
      <c r="M110" s="272"/>
      <c r="P110" s="273"/>
      <c r="Q110" s="273"/>
      <c r="R110" s="273"/>
      <c r="S110" s="273"/>
      <c r="T110" s="576">
        <f ca="1"/>
        <v>0.15</v>
      </c>
      <c r="U110" s="573">
        <f ca="1"/>
        <v>102</v>
      </c>
      <c r="V110" s="576">
        <f t="shared" ca="1" si="14"/>
        <v>0</v>
      </c>
      <c r="W110" s="576">
        <f t="shared" ca="1" si="15"/>
        <v>0</v>
      </c>
      <c r="X110" s="484" t="str">
        <f ca="1">IF('CDO Bespoke'!O111&lt;&gt;"",'CDO Bespoke'!O111,"")</f>
        <v/>
      </c>
      <c r="Y110" s="485" t="str">
        <f ca="1">IF(X110&lt;&gt;"",ABS(MIN(-0.75*('CDO Bespoke'!Q111)+'CDO Bespoke'!T111,0)),"")</f>
        <v/>
      </c>
      <c r="Z110" s="485">
        <f t="shared" ca="1" si="10"/>
        <v>0</v>
      </c>
      <c r="AA110" s="485">
        <f t="shared" ca="1" si="11"/>
        <v>0</v>
      </c>
      <c r="AB110" s="484" t="str">
        <f ca="1">IF('CDO Bespoke'!O111&lt;&gt;"",'CDO Bespoke'!O111,"")</f>
        <v/>
      </c>
      <c r="AC110" s="485" t="str">
        <f ca="1">IF(AB110&lt;&gt;"",ABS(MIN(-0.75*('CDO Bespoke'!K111)+'CDO Bespoke'!T111,0)),"")</f>
        <v/>
      </c>
      <c r="AD110" s="485">
        <f t="shared" ca="1" si="12"/>
        <v>0</v>
      </c>
      <c r="AE110" s="489">
        <f t="shared" ca="1" si="13"/>
        <v>0</v>
      </c>
      <c r="AF110" s="272"/>
      <c r="AG110" s="494" t="str">
        <f ca="1">IF('CDO Bespoke'!C135&lt;&gt;"",'CDO Bespoke'!C135,"")</f>
        <v/>
      </c>
      <c r="AH110" s="496"/>
      <c r="AI110" s="585"/>
      <c r="AJ110" s="585"/>
      <c r="AK110" s="585"/>
      <c r="AL110" s="497"/>
      <c r="AM110" s="496"/>
      <c r="AN110" s="585"/>
      <c r="AO110" s="585"/>
      <c r="AP110" s="585"/>
      <c r="AQ110" s="497"/>
      <c r="AR110" s="580"/>
      <c r="AS110" s="580"/>
      <c r="AT110" s="580"/>
      <c r="AU110" s="580"/>
      <c r="AV110" s="580"/>
      <c r="AW110" s="580"/>
      <c r="AX110" s="579"/>
    </row>
    <row r="111" spans="2:50">
      <c r="B111" s="534" t="s">
        <v>538</v>
      </c>
      <c r="C111" s="535" t="s">
        <v>66</v>
      </c>
      <c r="D111" s="535" t="s">
        <v>59</v>
      </c>
      <c r="E111" s="535" t="s">
        <v>649</v>
      </c>
      <c r="F111" s="535" t="s">
        <v>648</v>
      </c>
      <c r="G111" s="536">
        <v>0.01</v>
      </c>
      <c r="H111" s="536">
        <v>7.1079999999999997E-3</v>
      </c>
      <c r="I111" s="537">
        <v>0.4</v>
      </c>
      <c r="J111" s="595">
        <v>4</v>
      </c>
      <c r="K111" s="538">
        <v>29</v>
      </c>
      <c r="L111" s="272"/>
      <c r="M111" s="272"/>
      <c r="P111" s="273"/>
      <c r="Q111" s="273"/>
      <c r="R111" s="273"/>
      <c r="S111" s="273"/>
      <c r="T111" s="576">
        <f ca="1"/>
        <v>0.15</v>
      </c>
      <c r="U111" s="573">
        <f ca="1"/>
        <v>103</v>
      </c>
      <c r="V111" s="576">
        <f t="shared" ca="1" si="14"/>
        <v>0</v>
      </c>
      <c r="W111" s="576">
        <f t="shared" ca="1" si="15"/>
        <v>0</v>
      </c>
      <c r="X111" s="484" t="str">
        <f ca="1">IF('CDO Bespoke'!O112&lt;&gt;"",'CDO Bespoke'!O112,"")</f>
        <v/>
      </c>
      <c r="Y111" s="485" t="str">
        <f ca="1">IF(X111&lt;&gt;"",ABS(MIN(-0.75*('CDO Bespoke'!Q112)+'CDO Bespoke'!T112,0)),"")</f>
        <v/>
      </c>
      <c r="Z111" s="485">
        <f t="shared" ca="1" si="10"/>
        <v>0</v>
      </c>
      <c r="AA111" s="485">
        <f t="shared" ca="1" si="11"/>
        <v>0</v>
      </c>
      <c r="AB111" s="484" t="str">
        <f ca="1">IF('CDO Bespoke'!O112&lt;&gt;"",'CDO Bespoke'!O112,"")</f>
        <v/>
      </c>
      <c r="AC111" s="485" t="str">
        <f ca="1">IF(AB111&lt;&gt;"",ABS(MIN(-0.75*('CDO Bespoke'!K112)+'CDO Bespoke'!T112,0)),"")</f>
        <v/>
      </c>
      <c r="AD111" s="485">
        <f t="shared" ca="1" si="12"/>
        <v>0</v>
      </c>
      <c r="AE111" s="489">
        <f t="shared" ca="1" si="13"/>
        <v>0</v>
      </c>
      <c r="AF111" s="272"/>
      <c r="AG111" s="494" t="str">
        <f ca="1">IF('CDO Bespoke'!C136&lt;&gt;"",'CDO Bespoke'!C136,"")</f>
        <v/>
      </c>
      <c r="AH111" s="496"/>
      <c r="AI111" s="585"/>
      <c r="AJ111" s="585"/>
      <c r="AK111" s="585"/>
      <c r="AL111" s="497"/>
      <c r="AM111" s="496"/>
      <c r="AN111" s="585"/>
      <c r="AO111" s="585"/>
      <c r="AP111" s="585"/>
      <c r="AQ111" s="497"/>
      <c r="AR111" s="580"/>
      <c r="AS111" s="580"/>
      <c r="AT111" s="580"/>
      <c r="AU111" s="580"/>
      <c r="AV111" s="580"/>
      <c r="AW111" s="580"/>
      <c r="AX111" s="579"/>
    </row>
    <row r="112" spans="2:50">
      <c r="B112" s="539" t="s">
        <v>539</v>
      </c>
      <c r="C112" s="540" t="s">
        <v>66</v>
      </c>
      <c r="D112" s="540" t="s">
        <v>55</v>
      </c>
      <c r="E112" s="540" t="s">
        <v>649</v>
      </c>
      <c r="F112" s="540" t="s">
        <v>675</v>
      </c>
      <c r="G112" s="541">
        <v>0.01</v>
      </c>
      <c r="H112" s="541">
        <v>5.1580000000000003E-3</v>
      </c>
      <c r="I112" s="542">
        <v>0.4</v>
      </c>
      <c r="J112" s="602">
        <v>4</v>
      </c>
      <c r="K112" s="543">
        <v>30</v>
      </c>
      <c r="L112" s="272"/>
      <c r="M112" s="272"/>
      <c r="P112" s="273"/>
      <c r="Q112" s="273"/>
      <c r="R112" s="273"/>
      <c r="S112" s="273"/>
      <c r="T112" s="576">
        <f ca="1"/>
        <v>0.15</v>
      </c>
      <c r="U112" s="573">
        <f ca="1"/>
        <v>104</v>
      </c>
      <c r="V112" s="576">
        <f t="shared" ca="1" si="14"/>
        <v>0</v>
      </c>
      <c r="W112" s="576">
        <f t="shared" ca="1" si="15"/>
        <v>0</v>
      </c>
      <c r="X112" s="484" t="str">
        <f ca="1">IF('CDO Bespoke'!O113&lt;&gt;"",'CDO Bespoke'!O113,"")</f>
        <v/>
      </c>
      <c r="Y112" s="485" t="str">
        <f ca="1">IF(X112&lt;&gt;"",ABS(MIN(-0.75*('CDO Bespoke'!Q113)+'CDO Bespoke'!T113,0)),"")</f>
        <v/>
      </c>
      <c r="Z112" s="485">
        <f t="shared" ca="1" si="10"/>
        <v>0</v>
      </c>
      <c r="AA112" s="485">
        <f t="shared" ca="1" si="11"/>
        <v>0</v>
      </c>
      <c r="AB112" s="484" t="str">
        <f ca="1">IF('CDO Bespoke'!O113&lt;&gt;"",'CDO Bespoke'!O113,"")</f>
        <v/>
      </c>
      <c r="AC112" s="485" t="str">
        <f ca="1">IF(AB112&lt;&gt;"",ABS(MIN(-0.75*('CDO Bespoke'!K113)+'CDO Bespoke'!T113,0)),"")</f>
        <v/>
      </c>
      <c r="AD112" s="485">
        <f t="shared" ca="1" si="12"/>
        <v>0</v>
      </c>
      <c r="AE112" s="489">
        <f t="shared" ca="1" si="13"/>
        <v>0</v>
      </c>
      <c r="AF112" s="272"/>
      <c r="AG112" s="494" t="str">
        <f ca="1">IF('CDO Bespoke'!C137&lt;&gt;"",'CDO Bespoke'!C137,"")</f>
        <v/>
      </c>
      <c r="AH112" s="496"/>
      <c r="AI112" s="585"/>
      <c r="AJ112" s="585"/>
      <c r="AK112" s="585"/>
      <c r="AL112" s="497"/>
      <c r="AM112" s="496"/>
      <c r="AN112" s="585"/>
      <c r="AO112" s="585"/>
      <c r="AP112" s="585"/>
      <c r="AQ112" s="497"/>
      <c r="AR112" s="580"/>
      <c r="AS112" s="580"/>
      <c r="AT112" s="580"/>
      <c r="AU112" s="580"/>
      <c r="AV112" s="580"/>
      <c r="AW112" s="580"/>
      <c r="AX112" s="579"/>
    </row>
    <row r="113" spans="2:50">
      <c r="B113" s="517" t="s">
        <v>539</v>
      </c>
      <c r="C113" s="518" t="s">
        <v>66</v>
      </c>
      <c r="D113" s="518" t="s">
        <v>57</v>
      </c>
      <c r="E113" s="518" t="s">
        <v>649</v>
      </c>
      <c r="F113" s="518" t="s">
        <v>675</v>
      </c>
      <c r="G113" s="525">
        <v>0.01</v>
      </c>
      <c r="H113" s="525">
        <v>8.1840000000000003E-3</v>
      </c>
      <c r="I113" s="527">
        <v>0.4</v>
      </c>
      <c r="J113" s="594">
        <v>4</v>
      </c>
      <c r="K113" s="519">
        <v>30</v>
      </c>
      <c r="L113" s="272"/>
      <c r="M113" s="272"/>
      <c r="P113" s="273"/>
      <c r="Q113" s="273"/>
      <c r="R113" s="273"/>
      <c r="S113" s="273"/>
      <c r="T113" s="576">
        <f ca="1"/>
        <v>0.15</v>
      </c>
      <c r="U113" s="573">
        <f ca="1"/>
        <v>105</v>
      </c>
      <c r="V113" s="576">
        <f t="shared" ca="1" si="14"/>
        <v>0</v>
      </c>
      <c r="W113" s="576">
        <f t="shared" ca="1" si="15"/>
        <v>0</v>
      </c>
      <c r="X113" s="484" t="str">
        <f ca="1">IF('CDO Bespoke'!O114&lt;&gt;"",'CDO Bespoke'!O114,"")</f>
        <v/>
      </c>
      <c r="Y113" s="485" t="str">
        <f ca="1">IF(X113&lt;&gt;"",ABS(MIN(-0.75*('CDO Bespoke'!Q114)+'CDO Bespoke'!T114,0)),"")</f>
        <v/>
      </c>
      <c r="Z113" s="485">
        <f t="shared" ca="1" si="10"/>
        <v>0</v>
      </c>
      <c r="AA113" s="485">
        <f t="shared" ca="1" si="11"/>
        <v>0</v>
      </c>
      <c r="AB113" s="484" t="str">
        <f ca="1">IF('CDO Bespoke'!O114&lt;&gt;"",'CDO Bespoke'!O114,"")</f>
        <v/>
      </c>
      <c r="AC113" s="485" t="str">
        <f ca="1">IF(AB113&lt;&gt;"",ABS(MIN(-0.75*('CDO Bespoke'!K114)+'CDO Bespoke'!T114,0)),"")</f>
        <v/>
      </c>
      <c r="AD113" s="485">
        <f t="shared" ca="1" si="12"/>
        <v>0</v>
      </c>
      <c r="AE113" s="489">
        <f t="shared" ca="1" si="13"/>
        <v>0</v>
      </c>
      <c r="AF113" s="272"/>
      <c r="AG113" s="494" t="str">
        <f ca="1">IF('CDO Bespoke'!C138&lt;&gt;"",'CDO Bespoke'!C138,"")</f>
        <v/>
      </c>
      <c r="AH113" s="496"/>
      <c r="AI113" s="585"/>
      <c r="AJ113" s="585"/>
      <c r="AK113" s="585"/>
      <c r="AL113" s="497"/>
      <c r="AM113" s="496"/>
      <c r="AN113" s="585"/>
      <c r="AO113" s="585"/>
      <c r="AP113" s="585"/>
      <c r="AQ113" s="497"/>
      <c r="AR113" s="580"/>
      <c r="AS113" s="580"/>
      <c r="AT113" s="580"/>
      <c r="AU113" s="580"/>
      <c r="AV113" s="580"/>
      <c r="AW113" s="580"/>
      <c r="AX113" s="579"/>
    </row>
    <row r="114" spans="2:50">
      <c r="B114" s="534" t="s">
        <v>539</v>
      </c>
      <c r="C114" s="535" t="s">
        <v>66</v>
      </c>
      <c r="D114" s="535" t="s">
        <v>59</v>
      </c>
      <c r="E114" s="535" t="s">
        <v>649</v>
      </c>
      <c r="F114" s="535" t="s">
        <v>675</v>
      </c>
      <c r="G114" s="536">
        <v>0.01</v>
      </c>
      <c r="H114" s="536">
        <v>1.0449999999999999E-2</v>
      </c>
      <c r="I114" s="537">
        <v>0.4</v>
      </c>
      <c r="J114" s="595">
        <v>4</v>
      </c>
      <c r="K114" s="538">
        <v>30</v>
      </c>
      <c r="L114" s="272"/>
      <c r="M114" s="272"/>
      <c r="P114" s="273"/>
      <c r="Q114" s="273"/>
      <c r="R114" s="273"/>
      <c r="S114" s="273"/>
      <c r="T114" s="576">
        <f ca="1"/>
        <v>0.15</v>
      </c>
      <c r="U114" s="573">
        <f ca="1"/>
        <v>106</v>
      </c>
      <c r="V114" s="576">
        <f t="shared" ca="1" si="14"/>
        <v>0</v>
      </c>
      <c r="W114" s="576">
        <f t="shared" ca="1" si="15"/>
        <v>0</v>
      </c>
      <c r="X114" s="484" t="str">
        <f ca="1">IF('CDO Bespoke'!O115&lt;&gt;"",'CDO Bespoke'!O115,"")</f>
        <v/>
      </c>
      <c r="Y114" s="485" t="str">
        <f ca="1">IF(X114&lt;&gt;"",ABS(MIN(-0.75*('CDO Bespoke'!Q115)+'CDO Bespoke'!T115,0)),"")</f>
        <v/>
      </c>
      <c r="Z114" s="485">
        <f t="shared" ca="1" si="10"/>
        <v>0</v>
      </c>
      <c r="AA114" s="485">
        <f t="shared" ca="1" si="11"/>
        <v>0</v>
      </c>
      <c r="AB114" s="484" t="str">
        <f ca="1">IF('CDO Bespoke'!O115&lt;&gt;"",'CDO Bespoke'!O115,"")</f>
        <v/>
      </c>
      <c r="AC114" s="485" t="str">
        <f ca="1">IF(AB114&lt;&gt;"",ABS(MIN(-0.75*('CDO Bespoke'!K115)+'CDO Bespoke'!T115,0)),"")</f>
        <v/>
      </c>
      <c r="AD114" s="485">
        <f t="shared" ca="1" si="12"/>
        <v>0</v>
      </c>
      <c r="AE114" s="489">
        <f t="shared" ca="1" si="13"/>
        <v>0</v>
      </c>
      <c r="AF114" s="272"/>
      <c r="AG114" s="494" t="str">
        <f ca="1">IF('CDO Bespoke'!C139&lt;&gt;"",'CDO Bespoke'!C139,"")</f>
        <v/>
      </c>
      <c r="AH114" s="496"/>
      <c r="AI114" s="585"/>
      <c r="AJ114" s="585"/>
      <c r="AK114" s="585"/>
      <c r="AL114" s="497"/>
      <c r="AM114" s="496"/>
      <c r="AN114" s="585"/>
      <c r="AO114" s="585"/>
      <c r="AP114" s="585"/>
      <c r="AQ114" s="497"/>
      <c r="AR114" s="580"/>
      <c r="AS114" s="580"/>
      <c r="AT114" s="580"/>
      <c r="AU114" s="580"/>
      <c r="AV114" s="580"/>
      <c r="AW114" s="580"/>
      <c r="AX114" s="579"/>
    </row>
    <row r="115" spans="2:50">
      <c r="B115" s="539" t="s">
        <v>540</v>
      </c>
      <c r="C115" s="540" t="s">
        <v>66</v>
      </c>
      <c r="D115" s="540" t="s">
        <v>55</v>
      </c>
      <c r="E115" s="540" t="s">
        <v>649</v>
      </c>
      <c r="F115" s="540" t="s">
        <v>673</v>
      </c>
      <c r="G115" s="541">
        <v>0.01</v>
      </c>
      <c r="H115" s="541">
        <v>5.8869999999999999E-3</v>
      </c>
      <c r="I115" s="542">
        <v>0.4</v>
      </c>
      <c r="J115" s="602">
        <v>5</v>
      </c>
      <c r="K115" s="543">
        <v>31</v>
      </c>
      <c r="L115" s="272"/>
      <c r="M115" s="272"/>
      <c r="P115" s="273"/>
      <c r="Q115" s="273"/>
      <c r="R115" s="273"/>
      <c r="S115" s="273"/>
      <c r="T115" s="576">
        <f ca="1"/>
        <v>0.15</v>
      </c>
      <c r="U115" s="573">
        <f ca="1"/>
        <v>107</v>
      </c>
      <c r="V115" s="576">
        <f t="shared" ca="1" si="14"/>
        <v>0</v>
      </c>
      <c r="W115" s="576">
        <f t="shared" ca="1" si="15"/>
        <v>0</v>
      </c>
      <c r="X115" s="484" t="str">
        <f ca="1">IF('CDO Bespoke'!O116&lt;&gt;"",'CDO Bespoke'!O116,"")</f>
        <v/>
      </c>
      <c r="Y115" s="485" t="str">
        <f ca="1">IF(X115&lt;&gt;"",ABS(MIN(-0.75*('CDO Bespoke'!Q116)+'CDO Bespoke'!T116,0)),"")</f>
        <v/>
      </c>
      <c r="Z115" s="485">
        <f t="shared" ca="1" si="10"/>
        <v>0</v>
      </c>
      <c r="AA115" s="485">
        <f t="shared" ca="1" si="11"/>
        <v>0</v>
      </c>
      <c r="AB115" s="484" t="str">
        <f ca="1">IF('CDO Bespoke'!O116&lt;&gt;"",'CDO Bespoke'!O116,"")</f>
        <v/>
      </c>
      <c r="AC115" s="485" t="str">
        <f ca="1">IF(AB115&lt;&gt;"",ABS(MIN(-0.75*('CDO Bespoke'!K116)+'CDO Bespoke'!T116,0)),"")</f>
        <v/>
      </c>
      <c r="AD115" s="485">
        <f t="shared" ca="1" si="12"/>
        <v>0</v>
      </c>
      <c r="AE115" s="489">
        <f t="shared" ca="1" si="13"/>
        <v>0</v>
      </c>
      <c r="AF115" s="272"/>
      <c r="AG115" s="494" t="str">
        <f ca="1">IF('CDO Bespoke'!C140&lt;&gt;"",'CDO Bespoke'!C140,"")</f>
        <v/>
      </c>
      <c r="AH115" s="496"/>
      <c r="AI115" s="585"/>
      <c r="AJ115" s="585"/>
      <c r="AK115" s="585"/>
      <c r="AL115" s="497"/>
      <c r="AM115" s="496"/>
      <c r="AN115" s="585"/>
      <c r="AO115" s="585"/>
      <c r="AP115" s="585"/>
      <c r="AQ115" s="497"/>
      <c r="AR115" s="580"/>
      <c r="AS115" s="580"/>
      <c r="AT115" s="580"/>
      <c r="AU115" s="580"/>
      <c r="AV115" s="580"/>
      <c r="AW115" s="580"/>
      <c r="AX115" s="579"/>
    </row>
    <row r="116" spans="2:50">
      <c r="B116" s="517" t="s">
        <v>540</v>
      </c>
      <c r="C116" s="518" t="s">
        <v>66</v>
      </c>
      <c r="D116" s="518" t="s">
        <v>57</v>
      </c>
      <c r="E116" s="518" t="s">
        <v>649</v>
      </c>
      <c r="F116" s="518" t="s">
        <v>673</v>
      </c>
      <c r="G116" s="525">
        <v>0.01</v>
      </c>
      <c r="H116" s="525">
        <v>1.0245000000000001E-2</v>
      </c>
      <c r="I116" s="527">
        <v>0.4</v>
      </c>
      <c r="J116" s="594">
        <v>5</v>
      </c>
      <c r="K116" s="519">
        <v>31</v>
      </c>
      <c r="L116" s="272"/>
      <c r="M116" s="272"/>
      <c r="P116" s="273"/>
      <c r="Q116" s="273"/>
      <c r="R116" s="273"/>
      <c r="S116" s="273"/>
      <c r="T116" s="576">
        <f ca="1"/>
        <v>0.15</v>
      </c>
      <c r="U116" s="573">
        <f ca="1"/>
        <v>108</v>
      </c>
      <c r="V116" s="576">
        <f t="shared" ca="1" si="14"/>
        <v>0</v>
      </c>
      <c r="W116" s="576">
        <f t="shared" ca="1" si="15"/>
        <v>0</v>
      </c>
      <c r="X116" s="484" t="str">
        <f ca="1">IF('CDO Bespoke'!O117&lt;&gt;"",'CDO Bespoke'!O117,"")</f>
        <v/>
      </c>
      <c r="Y116" s="485" t="str">
        <f ca="1">IF(X116&lt;&gt;"",ABS(MIN(-0.75*('CDO Bespoke'!Q117)+'CDO Bespoke'!T117,0)),"")</f>
        <v/>
      </c>
      <c r="Z116" s="485">
        <f t="shared" ca="1" si="10"/>
        <v>0</v>
      </c>
      <c r="AA116" s="485">
        <f t="shared" ca="1" si="11"/>
        <v>0</v>
      </c>
      <c r="AB116" s="484" t="str">
        <f ca="1">IF('CDO Bespoke'!O117&lt;&gt;"",'CDO Bespoke'!O117,"")</f>
        <v/>
      </c>
      <c r="AC116" s="485" t="str">
        <f ca="1">IF(AB116&lt;&gt;"",ABS(MIN(-0.75*('CDO Bespoke'!K117)+'CDO Bespoke'!T117,0)),"")</f>
        <v/>
      </c>
      <c r="AD116" s="485">
        <f t="shared" ca="1" si="12"/>
        <v>0</v>
      </c>
      <c r="AE116" s="489">
        <f t="shared" ca="1" si="13"/>
        <v>0</v>
      </c>
      <c r="AF116" s="272"/>
      <c r="AG116" s="494" t="str">
        <f ca="1">IF('CDO Bespoke'!C141&lt;&gt;"",'CDO Bespoke'!C141,"")</f>
        <v/>
      </c>
      <c r="AH116" s="496"/>
      <c r="AI116" s="585"/>
      <c r="AJ116" s="585"/>
      <c r="AK116" s="585"/>
      <c r="AL116" s="497"/>
      <c r="AM116" s="496"/>
      <c r="AN116" s="585"/>
      <c r="AO116" s="585"/>
      <c r="AP116" s="585"/>
      <c r="AQ116" s="497"/>
      <c r="AR116" s="580"/>
      <c r="AS116" s="580"/>
      <c r="AT116" s="580"/>
      <c r="AU116" s="580"/>
      <c r="AV116" s="580"/>
      <c r="AW116" s="580"/>
      <c r="AX116" s="579"/>
    </row>
    <row r="117" spans="2:50">
      <c r="B117" s="534" t="s">
        <v>540</v>
      </c>
      <c r="C117" s="535" t="s">
        <v>66</v>
      </c>
      <c r="D117" s="535" t="s">
        <v>59</v>
      </c>
      <c r="E117" s="535" t="s">
        <v>649</v>
      </c>
      <c r="F117" s="535" t="s">
        <v>673</v>
      </c>
      <c r="G117" s="536">
        <v>0.01</v>
      </c>
      <c r="H117" s="536">
        <v>1.4839E-2</v>
      </c>
      <c r="I117" s="537">
        <v>0.4</v>
      </c>
      <c r="J117" s="595">
        <v>5</v>
      </c>
      <c r="K117" s="538">
        <v>31</v>
      </c>
      <c r="L117" s="272"/>
      <c r="M117" s="272"/>
      <c r="P117" s="273"/>
      <c r="Q117" s="273"/>
      <c r="R117" s="273"/>
      <c r="S117" s="273"/>
      <c r="T117" s="576">
        <f ca="1"/>
        <v>0.15</v>
      </c>
      <c r="U117" s="573">
        <f ca="1"/>
        <v>109</v>
      </c>
      <c r="V117" s="576">
        <f t="shared" ca="1" si="14"/>
        <v>0</v>
      </c>
      <c r="W117" s="576">
        <f t="shared" ca="1" si="15"/>
        <v>0</v>
      </c>
      <c r="X117" s="484" t="str">
        <f ca="1">IF('CDO Bespoke'!O118&lt;&gt;"",'CDO Bespoke'!O118,"")</f>
        <v/>
      </c>
      <c r="Y117" s="485" t="str">
        <f ca="1">IF(X117&lt;&gt;"",ABS(MIN(-0.75*('CDO Bespoke'!Q118)+'CDO Bespoke'!T118,0)),"")</f>
        <v/>
      </c>
      <c r="Z117" s="485">
        <f t="shared" ca="1" si="10"/>
        <v>0</v>
      </c>
      <c r="AA117" s="485">
        <f t="shared" ca="1" si="11"/>
        <v>0</v>
      </c>
      <c r="AB117" s="484" t="str">
        <f ca="1">IF('CDO Bespoke'!O118&lt;&gt;"",'CDO Bespoke'!O118,"")</f>
        <v/>
      </c>
      <c r="AC117" s="485" t="str">
        <f ca="1">IF(AB117&lt;&gt;"",ABS(MIN(-0.75*('CDO Bespoke'!K118)+'CDO Bespoke'!T118,0)),"")</f>
        <v/>
      </c>
      <c r="AD117" s="485">
        <f t="shared" ca="1" si="12"/>
        <v>0</v>
      </c>
      <c r="AE117" s="489">
        <f t="shared" ca="1" si="13"/>
        <v>0</v>
      </c>
      <c r="AF117" s="272"/>
      <c r="AG117" s="494" t="str">
        <f ca="1">IF('CDO Bespoke'!C142&lt;&gt;"",'CDO Bespoke'!C142,"")</f>
        <v/>
      </c>
      <c r="AH117" s="496"/>
      <c r="AI117" s="585"/>
      <c r="AJ117" s="585"/>
      <c r="AK117" s="585"/>
      <c r="AL117" s="497"/>
      <c r="AM117" s="496"/>
      <c r="AN117" s="585"/>
      <c r="AO117" s="585"/>
      <c r="AP117" s="585"/>
      <c r="AQ117" s="497"/>
      <c r="AR117" s="580"/>
      <c r="AS117" s="580"/>
      <c r="AT117" s="580"/>
      <c r="AU117" s="580"/>
      <c r="AV117" s="580"/>
      <c r="AW117" s="580"/>
      <c r="AX117" s="579"/>
    </row>
    <row r="118" spans="2:50">
      <c r="B118" s="539" t="s">
        <v>525</v>
      </c>
      <c r="C118" s="540" t="s">
        <v>66</v>
      </c>
      <c r="D118" s="540" t="s">
        <v>55</v>
      </c>
      <c r="E118" s="540" t="s">
        <v>649</v>
      </c>
      <c r="F118" s="540" t="s">
        <v>675</v>
      </c>
      <c r="G118" s="541">
        <v>0.01</v>
      </c>
      <c r="H118" s="541">
        <v>4.9649999999999998E-3</v>
      </c>
      <c r="I118" s="542">
        <v>0.4</v>
      </c>
      <c r="J118" s="602">
        <v>4</v>
      </c>
      <c r="K118" s="543">
        <v>32</v>
      </c>
      <c r="L118" s="272"/>
      <c r="M118" s="272"/>
      <c r="P118" s="273"/>
      <c r="Q118" s="273"/>
      <c r="R118" s="273"/>
      <c r="S118" s="273"/>
      <c r="T118" s="576">
        <f ca="1"/>
        <v>0.15</v>
      </c>
      <c r="U118" s="573">
        <f ca="1"/>
        <v>110</v>
      </c>
      <c r="V118" s="576">
        <f t="shared" ca="1" si="14"/>
        <v>0</v>
      </c>
      <c r="W118" s="576">
        <f t="shared" ca="1" si="15"/>
        <v>0</v>
      </c>
      <c r="X118" s="484" t="str">
        <f ca="1">IF('CDO Bespoke'!O119&lt;&gt;"",'CDO Bespoke'!O119,"")</f>
        <v/>
      </c>
      <c r="Y118" s="485" t="str">
        <f ca="1">IF(X118&lt;&gt;"",ABS(MIN(-0.75*('CDO Bespoke'!Q119)+'CDO Bespoke'!T119,0)),"")</f>
        <v/>
      </c>
      <c r="Z118" s="485">
        <f t="shared" ca="1" si="10"/>
        <v>0</v>
      </c>
      <c r="AA118" s="485">
        <f t="shared" ca="1" si="11"/>
        <v>0</v>
      </c>
      <c r="AB118" s="484" t="str">
        <f ca="1">IF('CDO Bespoke'!O119&lt;&gt;"",'CDO Bespoke'!O119,"")</f>
        <v/>
      </c>
      <c r="AC118" s="485" t="str">
        <f ca="1">IF(AB118&lt;&gt;"",ABS(MIN(-0.75*('CDO Bespoke'!K119)+'CDO Bespoke'!T119,0)),"")</f>
        <v/>
      </c>
      <c r="AD118" s="485">
        <f t="shared" ca="1" si="12"/>
        <v>0</v>
      </c>
      <c r="AE118" s="489">
        <f t="shared" ca="1" si="13"/>
        <v>0</v>
      </c>
      <c r="AF118" s="272"/>
      <c r="AG118" s="494" t="str">
        <f ca="1">IF('CDO Bespoke'!C143&lt;&gt;"",'CDO Bespoke'!C143,"")</f>
        <v/>
      </c>
      <c r="AH118" s="496"/>
      <c r="AI118" s="585"/>
      <c r="AJ118" s="585"/>
      <c r="AK118" s="585"/>
      <c r="AL118" s="497"/>
      <c r="AM118" s="496"/>
      <c r="AN118" s="585"/>
      <c r="AO118" s="585"/>
      <c r="AP118" s="585"/>
      <c r="AQ118" s="497"/>
      <c r="AR118" s="580"/>
      <c r="AS118" s="580"/>
      <c r="AT118" s="580"/>
      <c r="AU118" s="580"/>
      <c r="AV118" s="580"/>
      <c r="AW118" s="580"/>
      <c r="AX118" s="579"/>
    </row>
    <row r="119" spans="2:50">
      <c r="B119" s="517" t="s">
        <v>525</v>
      </c>
      <c r="C119" s="518" t="s">
        <v>66</v>
      </c>
      <c r="D119" s="518" t="s">
        <v>57</v>
      </c>
      <c r="E119" s="518" t="s">
        <v>649</v>
      </c>
      <c r="F119" s="518" t="s">
        <v>675</v>
      </c>
      <c r="G119" s="525">
        <v>0.01</v>
      </c>
      <c r="H119" s="525">
        <v>8.1279999999999998E-3</v>
      </c>
      <c r="I119" s="527">
        <v>0.4</v>
      </c>
      <c r="J119" s="594">
        <v>4</v>
      </c>
      <c r="K119" s="519">
        <v>32</v>
      </c>
      <c r="L119" s="272"/>
      <c r="M119" s="272"/>
      <c r="P119" s="273"/>
      <c r="Q119" s="273"/>
      <c r="R119" s="273"/>
      <c r="S119" s="273"/>
      <c r="T119" s="576">
        <f ca="1"/>
        <v>0.15</v>
      </c>
      <c r="U119" s="573">
        <f ca="1"/>
        <v>111</v>
      </c>
      <c r="V119" s="576">
        <f t="shared" ca="1" si="14"/>
        <v>0</v>
      </c>
      <c r="W119" s="576">
        <f t="shared" ca="1" si="15"/>
        <v>0</v>
      </c>
      <c r="X119" s="484" t="str">
        <f ca="1">IF('CDO Bespoke'!O120&lt;&gt;"",'CDO Bespoke'!O120,"")</f>
        <v/>
      </c>
      <c r="Y119" s="485" t="str">
        <f ca="1">IF(X119&lt;&gt;"",ABS(MIN(-0.75*('CDO Bespoke'!Q120)+'CDO Bespoke'!T120,0)),"")</f>
        <v/>
      </c>
      <c r="Z119" s="485">
        <f t="shared" ca="1" si="10"/>
        <v>0</v>
      </c>
      <c r="AA119" s="485">
        <f t="shared" ca="1" si="11"/>
        <v>0</v>
      </c>
      <c r="AB119" s="484" t="str">
        <f ca="1">IF('CDO Bespoke'!O120&lt;&gt;"",'CDO Bespoke'!O120,"")</f>
        <v/>
      </c>
      <c r="AC119" s="485" t="str">
        <f ca="1">IF(AB119&lt;&gt;"",ABS(MIN(-0.75*('CDO Bespoke'!K120)+'CDO Bespoke'!T120,0)),"")</f>
        <v/>
      </c>
      <c r="AD119" s="485">
        <f t="shared" ca="1" si="12"/>
        <v>0</v>
      </c>
      <c r="AE119" s="489">
        <f t="shared" ca="1" si="13"/>
        <v>0</v>
      </c>
      <c r="AF119" s="272"/>
      <c r="AG119" s="494" t="str">
        <f ca="1">IF('CDO Bespoke'!C144&lt;&gt;"",'CDO Bespoke'!C144,"")</f>
        <v/>
      </c>
      <c r="AH119" s="496"/>
      <c r="AI119" s="585"/>
      <c r="AJ119" s="585"/>
      <c r="AK119" s="585"/>
      <c r="AL119" s="497"/>
      <c r="AM119" s="496"/>
      <c r="AN119" s="585"/>
      <c r="AO119" s="585"/>
      <c r="AP119" s="585"/>
      <c r="AQ119" s="497"/>
      <c r="AR119" s="580"/>
      <c r="AS119" s="580"/>
      <c r="AT119" s="580"/>
      <c r="AU119" s="580"/>
      <c r="AV119" s="580"/>
      <c r="AW119" s="580"/>
      <c r="AX119" s="579"/>
    </row>
    <row r="120" spans="2:50">
      <c r="B120" s="534" t="s">
        <v>525</v>
      </c>
      <c r="C120" s="535" t="s">
        <v>66</v>
      </c>
      <c r="D120" s="535" t="s">
        <v>59</v>
      </c>
      <c r="E120" s="535" t="s">
        <v>649</v>
      </c>
      <c r="F120" s="535" t="s">
        <v>675</v>
      </c>
      <c r="G120" s="536">
        <v>0.01</v>
      </c>
      <c r="H120" s="536">
        <v>1.1227000000000001E-2</v>
      </c>
      <c r="I120" s="537">
        <v>0.4</v>
      </c>
      <c r="J120" s="595">
        <v>4</v>
      </c>
      <c r="K120" s="538">
        <v>32</v>
      </c>
      <c r="L120" s="272"/>
      <c r="M120" s="272"/>
      <c r="P120" s="273"/>
      <c r="Q120" s="273"/>
      <c r="R120" s="273"/>
      <c r="S120" s="273"/>
      <c r="T120" s="576">
        <f ca="1"/>
        <v>0.15</v>
      </c>
      <c r="U120" s="573">
        <f ca="1"/>
        <v>112</v>
      </c>
      <c r="V120" s="576">
        <f t="shared" ca="1" si="14"/>
        <v>0</v>
      </c>
      <c r="W120" s="576">
        <f t="shared" ca="1" si="15"/>
        <v>0</v>
      </c>
      <c r="X120" s="484" t="str">
        <f ca="1">IF('CDO Bespoke'!O121&lt;&gt;"",'CDO Bespoke'!O121,"")</f>
        <v/>
      </c>
      <c r="Y120" s="485" t="str">
        <f ca="1">IF(X120&lt;&gt;"",ABS(MIN(-0.75*('CDO Bespoke'!Q121)+'CDO Bespoke'!T121,0)),"")</f>
        <v/>
      </c>
      <c r="Z120" s="485">
        <f t="shared" ca="1" si="10"/>
        <v>0</v>
      </c>
      <c r="AA120" s="485">
        <f t="shared" ca="1" si="11"/>
        <v>0</v>
      </c>
      <c r="AB120" s="484" t="str">
        <f ca="1">IF('CDO Bespoke'!O121&lt;&gt;"",'CDO Bespoke'!O121,"")</f>
        <v/>
      </c>
      <c r="AC120" s="485" t="str">
        <f ca="1">IF(AB120&lt;&gt;"",ABS(MIN(-0.75*('CDO Bespoke'!K121)+'CDO Bespoke'!T121,0)),"")</f>
        <v/>
      </c>
      <c r="AD120" s="485">
        <f t="shared" ca="1" si="12"/>
        <v>0</v>
      </c>
      <c r="AE120" s="489">
        <f t="shared" ca="1" si="13"/>
        <v>0</v>
      </c>
      <c r="AF120" s="272"/>
      <c r="AG120" s="494" t="str">
        <f ca="1">IF('CDO Bespoke'!C145&lt;&gt;"",'CDO Bespoke'!C145,"")</f>
        <v/>
      </c>
      <c r="AH120" s="496"/>
      <c r="AI120" s="585"/>
      <c r="AJ120" s="585"/>
      <c r="AK120" s="585"/>
      <c r="AL120" s="497"/>
      <c r="AM120" s="496"/>
      <c r="AN120" s="585"/>
      <c r="AO120" s="585"/>
      <c r="AP120" s="585"/>
      <c r="AQ120" s="497"/>
      <c r="AR120" s="580"/>
      <c r="AS120" s="580"/>
      <c r="AT120" s="580"/>
      <c r="AU120" s="580"/>
      <c r="AV120" s="580"/>
      <c r="AW120" s="580"/>
      <c r="AX120" s="579"/>
    </row>
    <row r="121" spans="2:50">
      <c r="B121" s="539" t="s">
        <v>526</v>
      </c>
      <c r="C121" s="540" t="s">
        <v>66</v>
      </c>
      <c r="D121" s="540" t="s">
        <v>55</v>
      </c>
      <c r="E121" s="540" t="s">
        <v>649</v>
      </c>
      <c r="F121" s="540" t="s">
        <v>676</v>
      </c>
      <c r="G121" s="541">
        <v>0.01</v>
      </c>
      <c r="H121" s="541">
        <v>6.7450000000000001E-3</v>
      </c>
      <c r="I121" s="542">
        <v>0.4</v>
      </c>
      <c r="J121" s="602">
        <v>3</v>
      </c>
      <c r="K121" s="543">
        <v>33</v>
      </c>
      <c r="L121" s="272"/>
      <c r="M121" s="272"/>
      <c r="P121" s="273"/>
      <c r="Q121" s="273"/>
      <c r="R121" s="273"/>
      <c r="S121" s="273"/>
      <c r="T121" s="576">
        <f ca="1"/>
        <v>0.15</v>
      </c>
      <c r="U121" s="573">
        <f ca="1"/>
        <v>113</v>
      </c>
      <c r="V121" s="576">
        <f t="shared" ca="1" si="14"/>
        <v>0</v>
      </c>
      <c r="W121" s="576">
        <f t="shared" ca="1" si="15"/>
        <v>0</v>
      </c>
      <c r="X121" s="484" t="str">
        <f ca="1">IF('CDO Bespoke'!O122&lt;&gt;"",'CDO Bespoke'!O122,"")</f>
        <v/>
      </c>
      <c r="Y121" s="485" t="str">
        <f ca="1">IF(X121&lt;&gt;"",ABS(MIN(-0.75*('CDO Bespoke'!Q122)+'CDO Bespoke'!T122,0)),"")</f>
        <v/>
      </c>
      <c r="Z121" s="485">
        <f t="shared" ca="1" si="10"/>
        <v>0</v>
      </c>
      <c r="AA121" s="485">
        <f t="shared" ca="1" si="11"/>
        <v>0</v>
      </c>
      <c r="AB121" s="484" t="str">
        <f ca="1">IF('CDO Bespoke'!O122&lt;&gt;"",'CDO Bespoke'!O122,"")</f>
        <v/>
      </c>
      <c r="AC121" s="485" t="str">
        <f ca="1">IF(AB121&lt;&gt;"",ABS(MIN(-0.75*('CDO Bespoke'!K122)+'CDO Bespoke'!T122,0)),"")</f>
        <v/>
      </c>
      <c r="AD121" s="485">
        <f t="shared" ca="1" si="12"/>
        <v>0</v>
      </c>
      <c r="AE121" s="489">
        <f t="shared" ca="1" si="13"/>
        <v>0</v>
      </c>
      <c r="AF121" s="272"/>
      <c r="AG121" s="494" t="str">
        <f ca="1">IF('CDO Bespoke'!C146&lt;&gt;"",'CDO Bespoke'!C146,"")</f>
        <v/>
      </c>
      <c r="AH121" s="496"/>
      <c r="AI121" s="585"/>
      <c r="AJ121" s="585"/>
      <c r="AK121" s="585"/>
      <c r="AL121" s="497"/>
      <c r="AM121" s="496"/>
      <c r="AN121" s="585"/>
      <c r="AO121" s="585"/>
      <c r="AP121" s="585"/>
      <c r="AQ121" s="497"/>
      <c r="AR121" s="580"/>
      <c r="AS121" s="580"/>
      <c r="AT121" s="580"/>
      <c r="AU121" s="580"/>
      <c r="AV121" s="580"/>
      <c r="AW121" s="580"/>
      <c r="AX121" s="579"/>
    </row>
    <row r="122" spans="2:50">
      <c r="B122" s="517" t="s">
        <v>526</v>
      </c>
      <c r="C122" s="518" t="s">
        <v>66</v>
      </c>
      <c r="D122" s="518" t="s">
        <v>57</v>
      </c>
      <c r="E122" s="518" t="s">
        <v>649</v>
      </c>
      <c r="F122" s="518" t="s">
        <v>676</v>
      </c>
      <c r="G122" s="525">
        <v>0.01</v>
      </c>
      <c r="H122" s="525">
        <v>1.1979999999999999E-2</v>
      </c>
      <c r="I122" s="527">
        <v>0.4</v>
      </c>
      <c r="J122" s="594">
        <v>3</v>
      </c>
      <c r="K122" s="519">
        <v>33</v>
      </c>
      <c r="L122" s="272"/>
      <c r="M122" s="272"/>
      <c r="P122" s="273"/>
      <c r="Q122" s="273"/>
      <c r="R122" s="273"/>
      <c r="S122" s="273"/>
      <c r="T122" s="576">
        <f ca="1"/>
        <v>0.15</v>
      </c>
      <c r="U122" s="573">
        <f ca="1"/>
        <v>114</v>
      </c>
      <c r="V122" s="576">
        <f t="shared" ca="1" si="14"/>
        <v>0</v>
      </c>
      <c r="W122" s="576">
        <f t="shared" ca="1" si="15"/>
        <v>0</v>
      </c>
      <c r="X122" s="484" t="str">
        <f ca="1">IF('CDO Bespoke'!O123&lt;&gt;"",'CDO Bespoke'!O123,"")</f>
        <v/>
      </c>
      <c r="Y122" s="485" t="str">
        <f ca="1">IF(X122&lt;&gt;"",ABS(MIN(-0.75*('CDO Bespoke'!Q123)+'CDO Bespoke'!T123,0)),"")</f>
        <v/>
      </c>
      <c r="Z122" s="485">
        <f t="shared" ca="1" si="10"/>
        <v>0</v>
      </c>
      <c r="AA122" s="485">
        <f t="shared" ca="1" si="11"/>
        <v>0</v>
      </c>
      <c r="AB122" s="484" t="str">
        <f ca="1">IF('CDO Bespoke'!O123&lt;&gt;"",'CDO Bespoke'!O123,"")</f>
        <v/>
      </c>
      <c r="AC122" s="485" t="str">
        <f ca="1">IF(AB122&lt;&gt;"",ABS(MIN(-0.75*('CDO Bespoke'!K123)+'CDO Bespoke'!T123,0)),"")</f>
        <v/>
      </c>
      <c r="AD122" s="485">
        <f t="shared" ca="1" si="12"/>
        <v>0</v>
      </c>
      <c r="AE122" s="489">
        <f t="shared" ca="1" si="13"/>
        <v>0</v>
      </c>
      <c r="AF122" s="272"/>
      <c r="AG122" s="494" t="str">
        <f ca="1">IF('CDO Bespoke'!C147&lt;&gt;"",'CDO Bespoke'!C147,"")</f>
        <v/>
      </c>
      <c r="AH122" s="496"/>
      <c r="AI122" s="585"/>
      <c r="AJ122" s="585"/>
      <c r="AK122" s="585"/>
      <c r="AL122" s="497"/>
      <c r="AM122" s="496"/>
      <c r="AN122" s="585"/>
      <c r="AO122" s="585"/>
      <c r="AP122" s="585"/>
      <c r="AQ122" s="497"/>
      <c r="AR122" s="580"/>
      <c r="AS122" s="580"/>
      <c r="AT122" s="580"/>
      <c r="AU122" s="580"/>
      <c r="AV122" s="580"/>
      <c r="AW122" s="580"/>
      <c r="AX122" s="579"/>
    </row>
    <row r="123" spans="2:50">
      <c r="B123" s="534" t="s">
        <v>526</v>
      </c>
      <c r="C123" s="535" t="s">
        <v>66</v>
      </c>
      <c r="D123" s="535" t="s">
        <v>59</v>
      </c>
      <c r="E123" s="535" t="s">
        <v>649</v>
      </c>
      <c r="F123" s="535" t="s">
        <v>676</v>
      </c>
      <c r="G123" s="536">
        <v>0.01</v>
      </c>
      <c r="H123" s="536">
        <v>1.6924999999999999E-2</v>
      </c>
      <c r="I123" s="537">
        <v>0.4</v>
      </c>
      <c r="J123" s="595">
        <v>3</v>
      </c>
      <c r="K123" s="538">
        <v>33</v>
      </c>
      <c r="L123" s="272"/>
      <c r="M123" s="272"/>
      <c r="P123" s="273"/>
      <c r="Q123" s="273"/>
      <c r="R123" s="273"/>
      <c r="S123" s="273"/>
      <c r="T123" s="576">
        <f ca="1"/>
        <v>0.15</v>
      </c>
      <c r="U123" s="573">
        <f ca="1"/>
        <v>115</v>
      </c>
      <c r="V123" s="576">
        <f t="shared" ca="1" si="14"/>
        <v>0</v>
      </c>
      <c r="W123" s="576">
        <f t="shared" ca="1" si="15"/>
        <v>0</v>
      </c>
      <c r="X123" s="484" t="str">
        <f ca="1">IF('CDO Bespoke'!O124&lt;&gt;"",'CDO Bespoke'!O124,"")</f>
        <v/>
      </c>
      <c r="Y123" s="485" t="str">
        <f ca="1">IF(X123&lt;&gt;"",ABS(MIN(-0.75*('CDO Bespoke'!Q124)+'CDO Bespoke'!T124,0)),"")</f>
        <v/>
      </c>
      <c r="Z123" s="485">
        <f t="shared" ca="1" si="10"/>
        <v>0</v>
      </c>
      <c r="AA123" s="485">
        <f t="shared" ca="1" si="11"/>
        <v>0</v>
      </c>
      <c r="AB123" s="484" t="str">
        <f ca="1">IF('CDO Bespoke'!O124&lt;&gt;"",'CDO Bespoke'!O124,"")</f>
        <v/>
      </c>
      <c r="AC123" s="485" t="str">
        <f ca="1">IF(AB123&lt;&gt;"",ABS(MIN(-0.75*('CDO Bespoke'!K124)+'CDO Bespoke'!T124,0)),"")</f>
        <v/>
      </c>
      <c r="AD123" s="485">
        <f t="shared" ca="1" si="12"/>
        <v>0</v>
      </c>
      <c r="AE123" s="489">
        <f t="shared" ca="1" si="13"/>
        <v>0</v>
      </c>
      <c r="AF123" s="272"/>
      <c r="AG123" s="494" t="str">
        <f ca="1">IF('CDO Bespoke'!C148&lt;&gt;"",'CDO Bespoke'!C148,"")</f>
        <v/>
      </c>
      <c r="AH123" s="496"/>
      <c r="AI123" s="585"/>
      <c r="AJ123" s="585"/>
      <c r="AK123" s="585"/>
      <c r="AL123" s="497"/>
      <c r="AM123" s="496"/>
      <c r="AN123" s="585"/>
      <c r="AO123" s="585"/>
      <c r="AP123" s="585"/>
      <c r="AQ123" s="497"/>
      <c r="AR123" s="580"/>
      <c r="AS123" s="580"/>
      <c r="AT123" s="580"/>
      <c r="AU123" s="580"/>
      <c r="AV123" s="580"/>
      <c r="AW123" s="580"/>
      <c r="AX123" s="579"/>
    </row>
    <row r="124" spans="2:50">
      <c r="B124" s="539" t="s">
        <v>527</v>
      </c>
      <c r="C124" s="540" t="s">
        <v>66</v>
      </c>
      <c r="D124" s="540" t="s">
        <v>55</v>
      </c>
      <c r="E124" s="540" t="s">
        <v>647</v>
      </c>
      <c r="F124" s="540" t="s">
        <v>648</v>
      </c>
      <c r="G124" s="541">
        <v>0.01</v>
      </c>
      <c r="H124" s="541">
        <v>1.9369999999999999E-3</v>
      </c>
      <c r="I124" s="542">
        <v>0.4</v>
      </c>
      <c r="J124" s="602">
        <v>4</v>
      </c>
      <c r="K124" s="543">
        <v>34</v>
      </c>
      <c r="L124" s="272"/>
      <c r="M124" s="272"/>
      <c r="P124" s="273"/>
      <c r="Q124" s="273"/>
      <c r="R124" s="273"/>
      <c r="S124" s="273"/>
      <c r="T124" s="576">
        <f ca="1"/>
        <v>0.15</v>
      </c>
      <c r="U124" s="573">
        <f ca="1"/>
        <v>116</v>
      </c>
      <c r="V124" s="576">
        <f t="shared" ca="1" si="14"/>
        <v>0</v>
      </c>
      <c r="W124" s="576">
        <f t="shared" ca="1" si="15"/>
        <v>0</v>
      </c>
      <c r="X124" s="484" t="str">
        <f ca="1">IF('CDO Bespoke'!O125&lt;&gt;"",'CDO Bespoke'!O125,"")</f>
        <v/>
      </c>
      <c r="Y124" s="485" t="str">
        <f ca="1">IF(X124&lt;&gt;"",ABS(MIN(-0.75*('CDO Bespoke'!Q125)+'CDO Bespoke'!T125,0)),"")</f>
        <v/>
      </c>
      <c r="Z124" s="485">
        <f t="shared" ca="1" si="10"/>
        <v>0</v>
      </c>
      <c r="AA124" s="485">
        <f t="shared" ca="1" si="11"/>
        <v>0</v>
      </c>
      <c r="AB124" s="484" t="str">
        <f ca="1">IF('CDO Bespoke'!O125&lt;&gt;"",'CDO Bespoke'!O125,"")</f>
        <v/>
      </c>
      <c r="AC124" s="485" t="str">
        <f ca="1">IF(AB124&lt;&gt;"",ABS(MIN(-0.75*('CDO Bespoke'!K125)+'CDO Bespoke'!T125,0)),"")</f>
        <v/>
      </c>
      <c r="AD124" s="485">
        <f t="shared" ca="1" si="12"/>
        <v>0</v>
      </c>
      <c r="AE124" s="489">
        <f t="shared" ca="1" si="13"/>
        <v>0</v>
      </c>
      <c r="AF124" s="272"/>
      <c r="AG124" s="494" t="str">
        <f ca="1">IF('CDO Bespoke'!C149&lt;&gt;"",'CDO Bespoke'!C149,"")</f>
        <v/>
      </c>
      <c r="AH124" s="496"/>
      <c r="AI124" s="585"/>
      <c r="AJ124" s="585"/>
      <c r="AK124" s="585"/>
      <c r="AL124" s="497"/>
      <c r="AM124" s="496"/>
      <c r="AN124" s="585"/>
      <c r="AO124" s="585"/>
      <c r="AP124" s="585"/>
      <c r="AQ124" s="497"/>
      <c r="AR124" s="580"/>
      <c r="AS124" s="580"/>
      <c r="AT124" s="580"/>
      <c r="AU124" s="580"/>
      <c r="AV124" s="580"/>
      <c r="AW124" s="580"/>
      <c r="AX124" s="579"/>
    </row>
    <row r="125" spans="2:50">
      <c r="B125" s="517" t="s">
        <v>527</v>
      </c>
      <c r="C125" s="518" t="s">
        <v>66</v>
      </c>
      <c r="D125" s="518" t="s">
        <v>57</v>
      </c>
      <c r="E125" s="518" t="s">
        <v>647</v>
      </c>
      <c r="F125" s="518" t="s">
        <v>648</v>
      </c>
      <c r="G125" s="525">
        <v>0.01</v>
      </c>
      <c r="H125" s="525">
        <v>3.101E-3</v>
      </c>
      <c r="I125" s="527">
        <v>0.4</v>
      </c>
      <c r="J125" s="594">
        <v>4</v>
      </c>
      <c r="K125" s="519">
        <v>34</v>
      </c>
      <c r="L125" s="272"/>
      <c r="M125" s="272"/>
      <c r="P125" s="273"/>
      <c r="Q125" s="273"/>
      <c r="R125" s="273"/>
      <c r="S125" s="273"/>
      <c r="T125" s="576">
        <f ca="1"/>
        <v>0.15</v>
      </c>
      <c r="U125" s="573">
        <f ca="1"/>
        <v>117</v>
      </c>
      <c r="V125" s="576">
        <f t="shared" ca="1" si="14"/>
        <v>0</v>
      </c>
      <c r="W125" s="576">
        <f t="shared" ca="1" si="15"/>
        <v>0</v>
      </c>
      <c r="X125" s="484" t="str">
        <f ca="1">IF('CDO Bespoke'!O126&lt;&gt;"",'CDO Bespoke'!O126,"")</f>
        <v/>
      </c>
      <c r="Y125" s="485" t="str">
        <f ca="1">IF(X125&lt;&gt;"",ABS(MIN(-0.75*('CDO Bespoke'!Q126)+'CDO Bespoke'!T126,0)),"")</f>
        <v/>
      </c>
      <c r="Z125" s="485">
        <f t="shared" ca="1" si="10"/>
        <v>0</v>
      </c>
      <c r="AA125" s="485">
        <f t="shared" ca="1" si="11"/>
        <v>0</v>
      </c>
      <c r="AB125" s="484" t="str">
        <f ca="1">IF('CDO Bespoke'!O126&lt;&gt;"",'CDO Bespoke'!O126,"")</f>
        <v/>
      </c>
      <c r="AC125" s="485" t="str">
        <f ca="1">IF(AB125&lt;&gt;"",ABS(MIN(-0.75*('CDO Bespoke'!K126)+'CDO Bespoke'!T126,0)),"")</f>
        <v/>
      </c>
      <c r="AD125" s="485">
        <f t="shared" ca="1" si="12"/>
        <v>0</v>
      </c>
      <c r="AE125" s="489">
        <f t="shared" ca="1" si="13"/>
        <v>0</v>
      </c>
      <c r="AF125" s="272"/>
      <c r="AG125" s="494" t="str">
        <f ca="1">IF('CDO Bespoke'!C150&lt;&gt;"",'CDO Bespoke'!C150,"")</f>
        <v/>
      </c>
      <c r="AH125" s="496"/>
      <c r="AI125" s="585"/>
      <c r="AJ125" s="585"/>
      <c r="AK125" s="585"/>
      <c r="AL125" s="497"/>
      <c r="AM125" s="496"/>
      <c r="AN125" s="585"/>
      <c r="AO125" s="585"/>
      <c r="AP125" s="585"/>
      <c r="AQ125" s="497"/>
      <c r="AR125" s="580"/>
      <c r="AS125" s="580"/>
      <c r="AT125" s="580"/>
      <c r="AU125" s="580"/>
      <c r="AV125" s="580"/>
      <c r="AW125" s="580"/>
      <c r="AX125" s="579"/>
    </row>
    <row r="126" spans="2:50">
      <c r="B126" s="534" t="s">
        <v>527</v>
      </c>
      <c r="C126" s="535" t="s">
        <v>66</v>
      </c>
      <c r="D126" s="535" t="s">
        <v>59</v>
      </c>
      <c r="E126" s="535" t="s">
        <v>647</v>
      </c>
      <c r="F126" s="535" t="s">
        <v>648</v>
      </c>
      <c r="G126" s="536">
        <v>0.01</v>
      </c>
      <c r="H126" s="536">
        <v>4.6010000000000001E-3</v>
      </c>
      <c r="I126" s="537">
        <v>0.4</v>
      </c>
      <c r="J126" s="595">
        <v>4</v>
      </c>
      <c r="K126" s="538">
        <v>34</v>
      </c>
      <c r="L126" s="272"/>
      <c r="M126" s="272"/>
      <c r="P126" s="273"/>
      <c r="Q126" s="273"/>
      <c r="R126" s="273"/>
      <c r="S126" s="273"/>
      <c r="T126" s="576">
        <f ca="1"/>
        <v>0.15</v>
      </c>
      <c r="U126" s="573">
        <f ca="1"/>
        <v>118</v>
      </c>
      <c r="V126" s="576">
        <f t="shared" ca="1" si="14"/>
        <v>0</v>
      </c>
      <c r="W126" s="576">
        <f t="shared" ca="1" si="15"/>
        <v>0</v>
      </c>
      <c r="X126" s="484" t="str">
        <f ca="1">IF('CDO Bespoke'!O127&lt;&gt;"",'CDO Bespoke'!O127,"")</f>
        <v/>
      </c>
      <c r="Y126" s="485" t="str">
        <f ca="1">IF(X126&lt;&gt;"",ABS(MIN(-0.75*('CDO Bespoke'!Q127)+'CDO Bespoke'!T127,0)),"")</f>
        <v/>
      </c>
      <c r="Z126" s="485">
        <f t="shared" ca="1" si="10"/>
        <v>0</v>
      </c>
      <c r="AA126" s="485">
        <f t="shared" ca="1" si="11"/>
        <v>0</v>
      </c>
      <c r="AB126" s="484" t="str">
        <f ca="1">IF('CDO Bespoke'!O127&lt;&gt;"",'CDO Bespoke'!O127,"")</f>
        <v/>
      </c>
      <c r="AC126" s="485" t="str">
        <f ca="1">IF(AB126&lt;&gt;"",ABS(MIN(-0.75*('CDO Bespoke'!K127)+'CDO Bespoke'!T127,0)),"")</f>
        <v/>
      </c>
      <c r="AD126" s="485">
        <f t="shared" ca="1" si="12"/>
        <v>0</v>
      </c>
      <c r="AE126" s="489">
        <f t="shared" ca="1" si="13"/>
        <v>0</v>
      </c>
      <c r="AF126" s="272"/>
      <c r="AG126" s="494" t="str">
        <f ca="1">IF('CDO Bespoke'!C151&lt;&gt;"",'CDO Bespoke'!C151,"")</f>
        <v/>
      </c>
      <c r="AH126" s="496"/>
      <c r="AI126" s="585"/>
      <c r="AJ126" s="585"/>
      <c r="AK126" s="585"/>
      <c r="AL126" s="497"/>
      <c r="AM126" s="496"/>
      <c r="AN126" s="585"/>
      <c r="AO126" s="585"/>
      <c r="AP126" s="585"/>
      <c r="AQ126" s="497"/>
      <c r="AR126" s="580"/>
      <c r="AS126" s="580"/>
      <c r="AT126" s="580"/>
      <c r="AU126" s="580"/>
      <c r="AV126" s="580"/>
      <c r="AW126" s="580"/>
      <c r="AX126" s="579"/>
    </row>
    <row r="127" spans="2:50">
      <c r="B127" s="539" t="s">
        <v>541</v>
      </c>
      <c r="C127" s="540" t="s">
        <v>66</v>
      </c>
      <c r="D127" s="540" t="s">
        <v>55</v>
      </c>
      <c r="E127" s="540" t="s">
        <v>647</v>
      </c>
      <c r="F127" s="540" t="s">
        <v>673</v>
      </c>
      <c r="G127" s="541">
        <v>0.01</v>
      </c>
      <c r="H127" s="541">
        <v>4.7990000000000003E-3</v>
      </c>
      <c r="I127" s="542">
        <v>0.4</v>
      </c>
      <c r="J127" s="602">
        <v>5</v>
      </c>
      <c r="K127" s="543">
        <v>35</v>
      </c>
      <c r="L127" s="272"/>
      <c r="M127" s="272"/>
      <c r="P127" s="273"/>
      <c r="Q127" s="273"/>
      <c r="R127" s="273"/>
      <c r="S127" s="273"/>
      <c r="T127" s="576">
        <f ca="1"/>
        <v>0.15</v>
      </c>
      <c r="U127" s="573">
        <f ca="1"/>
        <v>119</v>
      </c>
      <c r="V127" s="576">
        <f t="shared" ca="1" si="14"/>
        <v>0</v>
      </c>
      <c r="W127" s="576">
        <f t="shared" ca="1" si="15"/>
        <v>0</v>
      </c>
      <c r="X127" s="484" t="str">
        <f ca="1">IF('CDO Bespoke'!O128&lt;&gt;"",'CDO Bespoke'!O128,"")</f>
        <v/>
      </c>
      <c r="Y127" s="485" t="str">
        <f ca="1">IF(X127&lt;&gt;"",ABS(MIN(-0.75*('CDO Bespoke'!Q128)+'CDO Bespoke'!T128,0)),"")</f>
        <v/>
      </c>
      <c r="Z127" s="485">
        <f t="shared" ca="1" si="10"/>
        <v>0</v>
      </c>
      <c r="AA127" s="485">
        <f t="shared" ca="1" si="11"/>
        <v>0</v>
      </c>
      <c r="AB127" s="484" t="str">
        <f ca="1">IF('CDO Bespoke'!O128&lt;&gt;"",'CDO Bespoke'!O128,"")</f>
        <v/>
      </c>
      <c r="AC127" s="485" t="str">
        <f ca="1">IF(AB127&lt;&gt;"",ABS(MIN(-0.75*('CDO Bespoke'!K128)+'CDO Bespoke'!T128,0)),"")</f>
        <v/>
      </c>
      <c r="AD127" s="485">
        <f t="shared" ca="1" si="12"/>
        <v>0</v>
      </c>
      <c r="AE127" s="489">
        <f t="shared" ca="1" si="13"/>
        <v>0</v>
      </c>
      <c r="AF127" s="272"/>
      <c r="AG127" s="494" t="str">
        <f ca="1">IF('CDO Bespoke'!C152&lt;&gt;"",'CDO Bespoke'!C152,"")</f>
        <v/>
      </c>
      <c r="AH127" s="496"/>
      <c r="AI127" s="585"/>
      <c r="AJ127" s="585"/>
      <c r="AK127" s="585"/>
      <c r="AL127" s="497"/>
      <c r="AM127" s="496"/>
      <c r="AN127" s="585"/>
      <c r="AO127" s="585"/>
      <c r="AP127" s="585"/>
      <c r="AQ127" s="497"/>
      <c r="AR127" s="580"/>
      <c r="AS127" s="580"/>
      <c r="AT127" s="580"/>
      <c r="AU127" s="580"/>
      <c r="AV127" s="580"/>
      <c r="AW127" s="580"/>
      <c r="AX127" s="579"/>
    </row>
    <row r="128" spans="2:50">
      <c r="B128" s="517" t="s">
        <v>541</v>
      </c>
      <c r="C128" s="518" t="s">
        <v>66</v>
      </c>
      <c r="D128" s="518" t="s">
        <v>57</v>
      </c>
      <c r="E128" s="518" t="s">
        <v>647</v>
      </c>
      <c r="F128" s="518" t="s">
        <v>673</v>
      </c>
      <c r="G128" s="525">
        <v>0.01</v>
      </c>
      <c r="H128" s="525">
        <v>8.7480000000000006E-3</v>
      </c>
      <c r="I128" s="527">
        <v>0.4</v>
      </c>
      <c r="J128" s="594">
        <v>5</v>
      </c>
      <c r="K128" s="519">
        <v>35</v>
      </c>
      <c r="L128" s="272"/>
      <c r="M128" s="272"/>
      <c r="P128" s="273"/>
      <c r="Q128" s="273"/>
      <c r="R128" s="273"/>
      <c r="S128" s="273"/>
      <c r="T128" s="576">
        <f ca="1"/>
        <v>0.15</v>
      </c>
      <c r="U128" s="573">
        <f ca="1"/>
        <v>120</v>
      </c>
      <c r="V128" s="576">
        <f t="shared" ca="1" si="14"/>
        <v>0</v>
      </c>
      <c r="W128" s="576">
        <f t="shared" ca="1" si="15"/>
        <v>0</v>
      </c>
      <c r="X128" s="484" t="str">
        <f ca="1">IF('CDO Bespoke'!O129&lt;&gt;"",'CDO Bespoke'!O129,"")</f>
        <v/>
      </c>
      <c r="Y128" s="485" t="str">
        <f ca="1">IF(X128&lt;&gt;"",ABS(MIN(-0.75*('CDO Bespoke'!Q129)+'CDO Bespoke'!T129,0)),"")</f>
        <v/>
      </c>
      <c r="Z128" s="485">
        <f t="shared" ca="1" si="10"/>
        <v>0</v>
      </c>
      <c r="AA128" s="485">
        <f t="shared" ca="1" si="11"/>
        <v>0</v>
      </c>
      <c r="AB128" s="484" t="str">
        <f ca="1">IF('CDO Bespoke'!O129&lt;&gt;"",'CDO Bespoke'!O129,"")</f>
        <v/>
      </c>
      <c r="AC128" s="485" t="str">
        <f ca="1">IF(AB128&lt;&gt;"",ABS(MIN(-0.75*('CDO Bespoke'!K129)+'CDO Bespoke'!T129,0)),"")</f>
        <v/>
      </c>
      <c r="AD128" s="485">
        <f t="shared" ca="1" si="12"/>
        <v>0</v>
      </c>
      <c r="AE128" s="489">
        <f t="shared" ca="1" si="13"/>
        <v>0</v>
      </c>
      <c r="AF128" s="272"/>
      <c r="AG128" s="494" t="str">
        <f ca="1">IF('CDO Bespoke'!C153&lt;&gt;"",'CDO Bespoke'!C153,"")</f>
        <v/>
      </c>
      <c r="AH128" s="496"/>
      <c r="AI128" s="585"/>
      <c r="AJ128" s="585"/>
      <c r="AK128" s="585"/>
      <c r="AL128" s="497"/>
      <c r="AM128" s="496"/>
      <c r="AN128" s="585"/>
      <c r="AO128" s="585"/>
      <c r="AP128" s="585"/>
      <c r="AQ128" s="497"/>
      <c r="AR128" s="580"/>
      <c r="AS128" s="580"/>
      <c r="AT128" s="580"/>
      <c r="AU128" s="580"/>
      <c r="AV128" s="580"/>
      <c r="AW128" s="580"/>
      <c r="AX128" s="579"/>
    </row>
    <row r="129" spans="2:50">
      <c r="B129" s="534" t="s">
        <v>541</v>
      </c>
      <c r="C129" s="535" t="s">
        <v>66</v>
      </c>
      <c r="D129" s="535" t="s">
        <v>59</v>
      </c>
      <c r="E129" s="535" t="s">
        <v>647</v>
      </c>
      <c r="F129" s="535" t="s">
        <v>673</v>
      </c>
      <c r="G129" s="536">
        <v>0.01</v>
      </c>
      <c r="H129" s="536">
        <v>1.2120000000000001E-2</v>
      </c>
      <c r="I129" s="537">
        <v>0.4</v>
      </c>
      <c r="J129" s="595">
        <v>5</v>
      </c>
      <c r="K129" s="538">
        <v>35</v>
      </c>
      <c r="L129" s="272"/>
      <c r="M129" s="272"/>
      <c r="P129" s="273"/>
      <c r="Q129" s="273"/>
      <c r="R129" s="273"/>
      <c r="S129" s="273"/>
      <c r="T129" s="576">
        <f ca="1"/>
        <v>0.15</v>
      </c>
      <c r="U129" s="573">
        <f ca="1"/>
        <v>121</v>
      </c>
      <c r="V129" s="576">
        <f t="shared" ca="1" si="14"/>
        <v>0</v>
      </c>
      <c r="W129" s="576">
        <f t="shared" ca="1" si="15"/>
        <v>0</v>
      </c>
      <c r="X129" s="484" t="str">
        <f ca="1">IF('CDO Bespoke'!O130&lt;&gt;"",'CDO Bespoke'!O130,"")</f>
        <v/>
      </c>
      <c r="Y129" s="485" t="str">
        <f ca="1">IF(X129&lt;&gt;"",ABS(MIN(-0.75*('CDO Bespoke'!Q130)+'CDO Bespoke'!T130,0)),"")</f>
        <v/>
      </c>
      <c r="Z129" s="485">
        <f t="shared" ca="1" si="10"/>
        <v>0</v>
      </c>
      <c r="AA129" s="485">
        <f t="shared" ca="1" si="11"/>
        <v>0</v>
      </c>
      <c r="AB129" s="484" t="str">
        <f ca="1">IF('CDO Bespoke'!O130&lt;&gt;"",'CDO Bespoke'!O130,"")</f>
        <v/>
      </c>
      <c r="AC129" s="485" t="str">
        <f ca="1">IF(AB129&lt;&gt;"",ABS(MIN(-0.75*('CDO Bespoke'!K130)+'CDO Bespoke'!T130,0)),"")</f>
        <v/>
      </c>
      <c r="AD129" s="485">
        <f t="shared" ca="1" si="12"/>
        <v>0</v>
      </c>
      <c r="AE129" s="489">
        <f t="shared" ca="1" si="13"/>
        <v>0</v>
      </c>
      <c r="AF129" s="272"/>
      <c r="AG129" s="494" t="str">
        <f ca="1">IF('CDO Bespoke'!C154&lt;&gt;"",'CDO Bespoke'!C154,"")</f>
        <v/>
      </c>
      <c r="AH129" s="496"/>
      <c r="AI129" s="585"/>
      <c r="AJ129" s="585"/>
      <c r="AK129" s="585"/>
      <c r="AL129" s="497"/>
      <c r="AM129" s="496"/>
      <c r="AN129" s="585"/>
      <c r="AO129" s="585"/>
      <c r="AP129" s="585"/>
      <c r="AQ129" s="497"/>
      <c r="AR129" s="580"/>
      <c r="AS129" s="580"/>
      <c r="AT129" s="580"/>
      <c r="AU129" s="580"/>
      <c r="AV129" s="580"/>
      <c r="AW129" s="580"/>
      <c r="AX129" s="579"/>
    </row>
    <row r="130" spans="2:50">
      <c r="B130" s="539" t="s">
        <v>528</v>
      </c>
      <c r="C130" s="540" t="s">
        <v>66</v>
      </c>
      <c r="D130" s="540" t="s">
        <v>55</v>
      </c>
      <c r="E130" s="540" t="s">
        <v>649</v>
      </c>
      <c r="F130" s="540" t="s">
        <v>676</v>
      </c>
      <c r="G130" s="541">
        <v>0.01</v>
      </c>
      <c r="H130" s="541">
        <v>4.2960000000000003E-3</v>
      </c>
      <c r="I130" s="542">
        <v>0.4</v>
      </c>
      <c r="J130" s="602">
        <v>3</v>
      </c>
      <c r="K130" s="543">
        <v>36</v>
      </c>
      <c r="L130" s="272"/>
      <c r="M130" s="272"/>
      <c r="P130" s="273"/>
      <c r="Q130" s="273"/>
      <c r="R130" s="273"/>
      <c r="S130" s="273"/>
      <c r="T130" s="576">
        <f ca="1"/>
        <v>0.15</v>
      </c>
      <c r="U130" s="573">
        <f ca="1"/>
        <v>122</v>
      </c>
      <c r="V130" s="576">
        <f t="shared" ca="1" si="14"/>
        <v>0</v>
      </c>
      <c r="W130" s="576">
        <f t="shared" ca="1" si="15"/>
        <v>0</v>
      </c>
      <c r="X130" s="484" t="str">
        <f ca="1">IF('CDO Bespoke'!O131&lt;&gt;"",'CDO Bespoke'!O131,"")</f>
        <v/>
      </c>
      <c r="Y130" s="485" t="str">
        <f ca="1">IF(X130&lt;&gt;"",ABS(MIN(-0.75*('CDO Bespoke'!Q131)+'CDO Bespoke'!T131,0)),"")</f>
        <v/>
      </c>
      <c r="Z130" s="485">
        <f t="shared" ca="1" si="10"/>
        <v>0</v>
      </c>
      <c r="AA130" s="485">
        <f t="shared" ca="1" si="11"/>
        <v>0</v>
      </c>
      <c r="AB130" s="484" t="str">
        <f ca="1">IF('CDO Bespoke'!O131&lt;&gt;"",'CDO Bespoke'!O131,"")</f>
        <v/>
      </c>
      <c r="AC130" s="485" t="str">
        <f ca="1">IF(AB130&lt;&gt;"",ABS(MIN(-0.75*('CDO Bespoke'!K131)+'CDO Bespoke'!T131,0)),"")</f>
        <v/>
      </c>
      <c r="AD130" s="485">
        <f t="shared" ca="1" si="12"/>
        <v>0</v>
      </c>
      <c r="AE130" s="489">
        <f t="shared" ca="1" si="13"/>
        <v>0</v>
      </c>
      <c r="AF130" s="272"/>
      <c r="AG130" s="494" t="str">
        <f ca="1">IF('CDO Bespoke'!C155&lt;&gt;"",'CDO Bespoke'!C155,"")</f>
        <v/>
      </c>
      <c r="AH130" s="496"/>
      <c r="AI130" s="585"/>
      <c r="AJ130" s="585"/>
      <c r="AK130" s="585"/>
      <c r="AL130" s="497"/>
      <c r="AM130" s="496"/>
      <c r="AN130" s="585"/>
      <c r="AO130" s="585"/>
      <c r="AP130" s="585"/>
      <c r="AQ130" s="497"/>
      <c r="AR130" s="580"/>
      <c r="AS130" s="580"/>
      <c r="AT130" s="580"/>
      <c r="AU130" s="580"/>
      <c r="AV130" s="580"/>
      <c r="AW130" s="580"/>
      <c r="AX130" s="579"/>
    </row>
    <row r="131" spans="2:50">
      <c r="B131" s="517" t="s">
        <v>528</v>
      </c>
      <c r="C131" s="518" t="s">
        <v>66</v>
      </c>
      <c r="D131" s="518" t="s">
        <v>57</v>
      </c>
      <c r="E131" s="518" t="s">
        <v>649</v>
      </c>
      <c r="F131" s="518" t="s">
        <v>676</v>
      </c>
      <c r="G131" s="525">
        <v>0.01</v>
      </c>
      <c r="H131" s="525">
        <v>6.79E-3</v>
      </c>
      <c r="I131" s="527">
        <v>0.4</v>
      </c>
      <c r="J131" s="594">
        <v>3</v>
      </c>
      <c r="K131" s="519">
        <v>36</v>
      </c>
      <c r="L131" s="272"/>
      <c r="M131" s="272"/>
      <c r="P131" s="273"/>
      <c r="Q131" s="273"/>
      <c r="R131" s="273"/>
      <c r="S131" s="273"/>
      <c r="T131" s="576">
        <f ca="1"/>
        <v>0.15</v>
      </c>
      <c r="U131" s="573">
        <f ca="1"/>
        <v>123</v>
      </c>
      <c r="V131" s="576">
        <f t="shared" ca="1" si="14"/>
        <v>0</v>
      </c>
      <c r="W131" s="576">
        <f t="shared" ca="1" si="15"/>
        <v>0</v>
      </c>
      <c r="X131" s="484" t="str">
        <f ca="1">IF('CDO Bespoke'!O132&lt;&gt;"",'CDO Bespoke'!O132,"")</f>
        <v/>
      </c>
      <c r="Y131" s="485" t="str">
        <f ca="1">IF(X131&lt;&gt;"",ABS(MIN(-0.75*('CDO Bespoke'!Q132)+'CDO Bespoke'!T132,0)),"")</f>
        <v/>
      </c>
      <c r="Z131" s="485">
        <f t="shared" ca="1" si="10"/>
        <v>0</v>
      </c>
      <c r="AA131" s="485">
        <f t="shared" ca="1" si="11"/>
        <v>0</v>
      </c>
      <c r="AB131" s="484" t="str">
        <f ca="1">IF('CDO Bespoke'!O132&lt;&gt;"",'CDO Bespoke'!O132,"")</f>
        <v/>
      </c>
      <c r="AC131" s="485" t="str">
        <f ca="1">IF(AB131&lt;&gt;"",ABS(MIN(-0.75*('CDO Bespoke'!K132)+'CDO Bespoke'!T132,0)),"")</f>
        <v/>
      </c>
      <c r="AD131" s="485">
        <f t="shared" ca="1" si="12"/>
        <v>0</v>
      </c>
      <c r="AE131" s="489">
        <f t="shared" ca="1" si="13"/>
        <v>0</v>
      </c>
      <c r="AF131" s="272"/>
      <c r="AG131" s="494" t="str">
        <f ca="1">IF('CDO Bespoke'!C156&lt;&gt;"",'CDO Bespoke'!C156,"")</f>
        <v/>
      </c>
      <c r="AH131" s="496"/>
      <c r="AI131" s="585"/>
      <c r="AJ131" s="585"/>
      <c r="AK131" s="585"/>
      <c r="AL131" s="497"/>
      <c r="AM131" s="496"/>
      <c r="AN131" s="585"/>
      <c r="AO131" s="585"/>
      <c r="AP131" s="585"/>
      <c r="AQ131" s="497"/>
      <c r="AR131" s="580"/>
      <c r="AS131" s="580"/>
      <c r="AT131" s="580"/>
      <c r="AU131" s="580"/>
      <c r="AV131" s="580"/>
      <c r="AW131" s="580"/>
      <c r="AX131" s="579"/>
    </row>
    <row r="132" spans="2:50">
      <c r="B132" s="534" t="s">
        <v>528</v>
      </c>
      <c r="C132" s="535" t="s">
        <v>66</v>
      </c>
      <c r="D132" s="535" t="s">
        <v>59</v>
      </c>
      <c r="E132" s="535" t="s">
        <v>649</v>
      </c>
      <c r="F132" s="535" t="s">
        <v>676</v>
      </c>
      <c r="G132" s="536">
        <v>0.01</v>
      </c>
      <c r="H132" s="536">
        <v>9.9900000000000006E-3</v>
      </c>
      <c r="I132" s="537">
        <v>0.4</v>
      </c>
      <c r="J132" s="595">
        <v>3</v>
      </c>
      <c r="K132" s="538">
        <v>36</v>
      </c>
      <c r="L132" s="272"/>
      <c r="M132" s="272"/>
      <c r="P132" s="273"/>
      <c r="Q132" s="273"/>
      <c r="R132" s="273"/>
      <c r="S132" s="273"/>
      <c r="T132" s="576">
        <f ca="1"/>
        <v>0.15</v>
      </c>
      <c r="U132" s="573">
        <f ca="1"/>
        <v>124</v>
      </c>
      <c r="V132" s="576">
        <f t="shared" ca="1" si="14"/>
        <v>0</v>
      </c>
      <c r="W132" s="576">
        <f t="shared" ca="1" si="15"/>
        <v>0</v>
      </c>
      <c r="X132" s="484" t="str">
        <f ca="1">IF('CDO Bespoke'!O133&lt;&gt;"",'CDO Bespoke'!O133,"")</f>
        <v/>
      </c>
      <c r="Y132" s="485" t="str">
        <f ca="1">IF(X132&lt;&gt;"",ABS(MIN(-0.75*('CDO Bespoke'!Q133)+'CDO Bespoke'!T133,0)),"")</f>
        <v/>
      </c>
      <c r="Z132" s="485">
        <f t="shared" ca="1" si="10"/>
        <v>0</v>
      </c>
      <c r="AA132" s="485">
        <f t="shared" ca="1" si="11"/>
        <v>0</v>
      </c>
      <c r="AB132" s="484" t="str">
        <f ca="1">IF('CDO Bespoke'!O133&lt;&gt;"",'CDO Bespoke'!O133,"")</f>
        <v/>
      </c>
      <c r="AC132" s="485" t="str">
        <f ca="1">IF(AB132&lt;&gt;"",ABS(MIN(-0.75*('CDO Bespoke'!K133)+'CDO Bespoke'!T133,0)),"")</f>
        <v/>
      </c>
      <c r="AD132" s="485">
        <f t="shared" ca="1" si="12"/>
        <v>0</v>
      </c>
      <c r="AE132" s="489">
        <f t="shared" ca="1" si="13"/>
        <v>0</v>
      </c>
      <c r="AF132" s="272"/>
      <c r="AG132" s="494" t="str">
        <f ca="1">IF('CDO Bespoke'!C157&lt;&gt;"",'CDO Bespoke'!C157,"")</f>
        <v/>
      </c>
      <c r="AH132" s="496"/>
      <c r="AI132" s="585"/>
      <c r="AJ132" s="585"/>
      <c r="AK132" s="585"/>
      <c r="AL132" s="497"/>
      <c r="AM132" s="496"/>
      <c r="AN132" s="585"/>
      <c r="AO132" s="585"/>
      <c r="AP132" s="585"/>
      <c r="AQ132" s="497"/>
      <c r="AR132" s="580"/>
      <c r="AS132" s="580"/>
      <c r="AT132" s="580"/>
      <c r="AU132" s="580"/>
      <c r="AV132" s="580"/>
      <c r="AW132" s="580"/>
      <c r="AX132" s="579"/>
    </row>
    <row r="133" spans="2:50" ht="12" thickBot="1">
      <c r="B133" s="539" t="s">
        <v>542</v>
      </c>
      <c r="C133" s="540" t="s">
        <v>66</v>
      </c>
      <c r="D133" s="540" t="s">
        <v>55</v>
      </c>
      <c r="E133" s="540" t="s">
        <v>649</v>
      </c>
      <c r="F133" s="540" t="s">
        <v>673</v>
      </c>
      <c r="G133" s="541">
        <v>0.01</v>
      </c>
      <c r="H133" s="541">
        <v>1.0371E-2</v>
      </c>
      <c r="I133" s="542">
        <v>0.4</v>
      </c>
      <c r="J133" s="602">
        <v>5</v>
      </c>
      <c r="K133" s="543">
        <v>37</v>
      </c>
      <c r="L133" s="272"/>
      <c r="M133" s="272"/>
      <c r="P133" s="273"/>
      <c r="Q133" s="273"/>
      <c r="R133" s="273"/>
      <c r="S133" s="273"/>
      <c r="T133" s="577">
        <f ca="1"/>
        <v>0.15</v>
      </c>
      <c r="U133" s="574">
        <f ca="1"/>
        <v>125</v>
      </c>
      <c r="V133" s="577">
        <f t="shared" ca="1" si="14"/>
        <v>0</v>
      </c>
      <c r="W133" s="576">
        <f t="shared" ca="1" si="15"/>
        <v>0</v>
      </c>
      <c r="X133" s="484" t="str">
        <f ca="1">IF('CDO Bespoke'!O134&lt;&gt;"",'CDO Bespoke'!O134,"")</f>
        <v/>
      </c>
      <c r="Y133" s="485" t="str">
        <f ca="1">IF(X133&lt;&gt;"",ABS(MIN(-0.75*('CDO Bespoke'!Q134)+'CDO Bespoke'!T134,0)),"")</f>
        <v/>
      </c>
      <c r="Z133" s="485">
        <f t="shared" ca="1" si="10"/>
        <v>0</v>
      </c>
      <c r="AA133" s="485">
        <f t="shared" ca="1" si="11"/>
        <v>0</v>
      </c>
      <c r="AB133" s="484" t="str">
        <f ca="1">IF('CDO Bespoke'!O134&lt;&gt;"",'CDO Bespoke'!O134,"")</f>
        <v/>
      </c>
      <c r="AC133" s="485" t="str">
        <f ca="1">IF(AB133&lt;&gt;"",ABS(MIN(-0.75*('CDO Bespoke'!K134)+'CDO Bespoke'!T134,0)),"")</f>
        <v/>
      </c>
      <c r="AD133" s="485">
        <f t="shared" ca="1" si="12"/>
        <v>0</v>
      </c>
      <c r="AE133" s="489">
        <f t="shared" ca="1" si="13"/>
        <v>0</v>
      </c>
      <c r="AF133" s="272"/>
      <c r="AG133" s="494" t="str">
        <f ca="1">IF('CDO Bespoke'!C158&lt;&gt;"",'CDO Bespoke'!C158,"")</f>
        <v/>
      </c>
      <c r="AH133" s="496"/>
      <c r="AI133" s="585"/>
      <c r="AJ133" s="585"/>
      <c r="AK133" s="585"/>
      <c r="AL133" s="497"/>
      <c r="AM133" s="496"/>
      <c r="AN133" s="585"/>
      <c r="AO133" s="585"/>
      <c r="AP133" s="585"/>
      <c r="AQ133" s="497"/>
      <c r="AR133" s="580"/>
      <c r="AS133" s="580"/>
      <c r="AT133" s="580"/>
      <c r="AU133" s="580"/>
      <c r="AV133" s="580"/>
      <c r="AW133" s="580"/>
      <c r="AX133" s="579"/>
    </row>
    <row r="134" spans="2:50">
      <c r="B134" s="517" t="s">
        <v>542</v>
      </c>
      <c r="C134" s="518" t="s">
        <v>66</v>
      </c>
      <c r="D134" s="518" t="s">
        <v>57</v>
      </c>
      <c r="E134" s="518" t="s">
        <v>649</v>
      </c>
      <c r="F134" s="518" t="s">
        <v>673</v>
      </c>
      <c r="G134" s="525">
        <v>0.01</v>
      </c>
      <c r="H134" s="525">
        <v>1.6621E-2</v>
      </c>
      <c r="I134" s="527">
        <v>0.4</v>
      </c>
      <c r="J134" s="594">
        <v>5</v>
      </c>
      <c r="K134" s="519">
        <v>37</v>
      </c>
      <c r="L134" s="272"/>
      <c r="M134" s="272"/>
      <c r="P134" s="273"/>
      <c r="Q134" s="273"/>
      <c r="R134" s="273"/>
      <c r="S134" s="273"/>
      <c r="T134" s="273"/>
      <c r="U134" s="273"/>
      <c r="V134" s="273"/>
      <c r="W134" s="273"/>
      <c r="X134" s="484" t="str">
        <f ca="1">IF('CDO Bespoke'!O135&lt;&gt;"",'CDO Bespoke'!O135,"")</f>
        <v/>
      </c>
      <c r="Y134" s="485" t="str">
        <f ca="1">IF(X134&lt;&gt;"",ABS(MIN(-0.75*('CDO Bespoke'!Q135)+'CDO Bespoke'!T135,0)),"")</f>
        <v/>
      </c>
      <c r="Z134" s="485">
        <f t="shared" ca="1" si="10"/>
        <v>0</v>
      </c>
      <c r="AA134" s="485">
        <f t="shared" ca="1" si="11"/>
        <v>0</v>
      </c>
      <c r="AB134" s="484" t="str">
        <f ca="1">IF('CDO Bespoke'!O135&lt;&gt;"",'CDO Bespoke'!O135,"")</f>
        <v/>
      </c>
      <c r="AC134" s="485" t="str">
        <f ca="1">IF(AB134&lt;&gt;"",ABS(MIN(-0.75*('CDO Bespoke'!K135)+'CDO Bespoke'!T135,0)),"")</f>
        <v/>
      </c>
      <c r="AD134" s="485">
        <f t="shared" ca="1" si="12"/>
        <v>0</v>
      </c>
      <c r="AE134" s="489">
        <f t="shared" ca="1" si="13"/>
        <v>0</v>
      </c>
      <c r="AF134" s="272"/>
      <c r="AG134" s="494" t="str">
        <f ca="1">IF('CDO Bespoke'!C159&lt;&gt;"",'CDO Bespoke'!C159,"")</f>
        <v/>
      </c>
      <c r="AH134" s="496"/>
      <c r="AI134" s="585"/>
      <c r="AJ134" s="585"/>
      <c r="AK134" s="585"/>
      <c r="AL134" s="497"/>
      <c r="AM134" s="496"/>
      <c r="AN134" s="585"/>
      <c r="AO134" s="585"/>
      <c r="AP134" s="585"/>
      <c r="AQ134" s="497"/>
      <c r="AR134" s="580"/>
      <c r="AS134" s="580"/>
      <c r="AT134" s="580"/>
      <c r="AU134" s="580"/>
      <c r="AV134" s="580"/>
      <c r="AW134" s="580"/>
      <c r="AX134" s="579"/>
    </row>
    <row r="135" spans="2:50">
      <c r="B135" s="534" t="s">
        <v>542</v>
      </c>
      <c r="C135" s="535" t="s">
        <v>66</v>
      </c>
      <c r="D135" s="535" t="s">
        <v>59</v>
      </c>
      <c r="E135" s="535" t="s">
        <v>649</v>
      </c>
      <c r="F135" s="535" t="s">
        <v>673</v>
      </c>
      <c r="G135" s="536">
        <v>0.01</v>
      </c>
      <c r="H135" s="536">
        <v>1.9375E-2</v>
      </c>
      <c r="I135" s="537">
        <v>0.4</v>
      </c>
      <c r="J135" s="595">
        <v>5</v>
      </c>
      <c r="K135" s="538">
        <v>37</v>
      </c>
      <c r="L135" s="272"/>
      <c r="M135" s="272"/>
      <c r="P135" s="273"/>
      <c r="Q135" s="273"/>
      <c r="R135" s="273"/>
      <c r="S135" s="273"/>
      <c r="T135" s="273"/>
      <c r="U135" s="273"/>
      <c r="V135" s="273"/>
      <c r="W135" s="273"/>
      <c r="X135" s="484" t="str">
        <f ca="1">IF('CDO Bespoke'!O136&lt;&gt;"",'CDO Bespoke'!O136,"")</f>
        <v/>
      </c>
      <c r="Y135" s="485" t="str">
        <f ca="1">IF(X135&lt;&gt;"",ABS(MIN(-0.75*('CDO Bespoke'!Q136)+'CDO Bespoke'!T136,0)),"")</f>
        <v/>
      </c>
      <c r="Z135" s="485">
        <f t="shared" ca="1" si="10"/>
        <v>0</v>
      </c>
      <c r="AA135" s="485">
        <f t="shared" ca="1" si="11"/>
        <v>0</v>
      </c>
      <c r="AB135" s="484" t="str">
        <f ca="1">IF('CDO Bespoke'!O136&lt;&gt;"",'CDO Bespoke'!O136,"")</f>
        <v/>
      </c>
      <c r="AC135" s="485" t="str">
        <f ca="1">IF(AB135&lt;&gt;"",ABS(MIN(-0.75*('CDO Bespoke'!K136)+'CDO Bespoke'!T136,0)),"")</f>
        <v/>
      </c>
      <c r="AD135" s="485">
        <f t="shared" ca="1" si="12"/>
        <v>0</v>
      </c>
      <c r="AE135" s="489">
        <f t="shared" ca="1" si="13"/>
        <v>0</v>
      </c>
      <c r="AF135" s="272"/>
      <c r="AG135" s="494" t="str">
        <f ca="1">IF('CDO Bespoke'!C160&lt;&gt;"",'CDO Bespoke'!C160,"")</f>
        <v/>
      </c>
      <c r="AH135" s="496"/>
      <c r="AI135" s="585"/>
      <c r="AJ135" s="585"/>
      <c r="AK135" s="585"/>
      <c r="AL135" s="497"/>
      <c r="AM135" s="496"/>
      <c r="AN135" s="585"/>
      <c r="AO135" s="585"/>
      <c r="AP135" s="585"/>
      <c r="AQ135" s="497"/>
      <c r="AR135" s="580"/>
      <c r="AS135" s="580"/>
      <c r="AT135" s="580"/>
      <c r="AU135" s="580"/>
      <c r="AV135" s="580"/>
      <c r="AW135" s="580"/>
      <c r="AX135" s="579"/>
    </row>
    <row r="136" spans="2:50">
      <c r="B136" s="539" t="s">
        <v>543</v>
      </c>
      <c r="C136" s="540" t="s">
        <v>66</v>
      </c>
      <c r="D136" s="540" t="s">
        <v>55</v>
      </c>
      <c r="E136" s="540" t="s">
        <v>647</v>
      </c>
      <c r="F136" s="540" t="s">
        <v>673</v>
      </c>
      <c r="G136" s="541">
        <v>0.01</v>
      </c>
      <c r="H136" s="541">
        <v>2.5300000000000001E-3</v>
      </c>
      <c r="I136" s="542">
        <v>0.4</v>
      </c>
      <c r="J136" s="602">
        <v>5</v>
      </c>
      <c r="K136" s="543">
        <v>38</v>
      </c>
      <c r="L136" s="272"/>
      <c r="M136" s="272"/>
      <c r="P136" s="273"/>
      <c r="Q136" s="273"/>
      <c r="R136" s="273"/>
      <c r="S136" s="273"/>
      <c r="T136" s="273"/>
      <c r="U136" s="273"/>
      <c r="V136" s="273"/>
      <c r="W136" s="273"/>
      <c r="X136" s="484" t="str">
        <f ca="1">IF('CDO Bespoke'!O137&lt;&gt;"",'CDO Bespoke'!O137,"")</f>
        <v/>
      </c>
      <c r="Y136" s="485" t="str">
        <f ca="1">IF(X136&lt;&gt;"",ABS(MIN(-0.75*('CDO Bespoke'!Q137)+'CDO Bespoke'!T137,0)),"")</f>
        <v/>
      </c>
      <c r="Z136" s="485">
        <f t="shared" ca="1" si="10"/>
        <v>0</v>
      </c>
      <c r="AA136" s="485">
        <f t="shared" ca="1" si="11"/>
        <v>0</v>
      </c>
      <c r="AB136" s="484" t="str">
        <f ca="1">IF('CDO Bespoke'!O137&lt;&gt;"",'CDO Bespoke'!O137,"")</f>
        <v/>
      </c>
      <c r="AC136" s="485" t="str">
        <f ca="1">IF(AB136&lt;&gt;"",ABS(MIN(-0.75*('CDO Bespoke'!K137)+'CDO Bespoke'!T137,0)),"")</f>
        <v/>
      </c>
      <c r="AD136" s="485">
        <f t="shared" ca="1" si="12"/>
        <v>0</v>
      </c>
      <c r="AE136" s="489">
        <f t="shared" ca="1" si="13"/>
        <v>0</v>
      </c>
      <c r="AF136" s="272"/>
      <c r="AG136" s="494" t="str">
        <f ca="1">IF('CDO Bespoke'!C161&lt;&gt;"",'CDO Bespoke'!C161,"")</f>
        <v/>
      </c>
      <c r="AH136" s="496"/>
      <c r="AI136" s="585"/>
      <c r="AJ136" s="585"/>
      <c r="AK136" s="585"/>
      <c r="AL136" s="497"/>
      <c r="AM136" s="496"/>
      <c r="AN136" s="585"/>
      <c r="AO136" s="585"/>
      <c r="AP136" s="585"/>
      <c r="AQ136" s="497"/>
      <c r="AR136" s="580"/>
      <c r="AS136" s="580"/>
      <c r="AT136" s="580"/>
      <c r="AU136" s="580"/>
      <c r="AV136" s="580"/>
      <c r="AW136" s="580"/>
      <c r="AX136" s="579"/>
    </row>
    <row r="137" spans="2:50">
      <c r="B137" s="517" t="s">
        <v>543</v>
      </c>
      <c r="C137" s="518" t="s">
        <v>66</v>
      </c>
      <c r="D137" s="518" t="s">
        <v>57</v>
      </c>
      <c r="E137" s="518" t="s">
        <v>647</v>
      </c>
      <c r="F137" s="518" t="s">
        <v>673</v>
      </c>
      <c r="G137" s="525">
        <v>0.01</v>
      </c>
      <c r="H137" s="525">
        <v>3.9699999999999996E-3</v>
      </c>
      <c r="I137" s="527">
        <v>0.4</v>
      </c>
      <c r="J137" s="594">
        <v>5</v>
      </c>
      <c r="K137" s="519">
        <v>38</v>
      </c>
      <c r="L137" s="272"/>
      <c r="M137" s="272"/>
      <c r="P137" s="273"/>
      <c r="Q137" s="273"/>
      <c r="R137" s="273"/>
      <c r="S137" s="273"/>
      <c r="T137" s="273"/>
      <c r="U137" s="273"/>
      <c r="V137" s="273"/>
      <c r="W137" s="273"/>
      <c r="X137" s="484" t="str">
        <f ca="1">IF('CDO Bespoke'!O138&lt;&gt;"",'CDO Bespoke'!O138,"")</f>
        <v/>
      </c>
      <c r="Y137" s="485" t="str">
        <f ca="1">IF(X137&lt;&gt;"",ABS(MIN(-0.75*('CDO Bespoke'!Q138)+'CDO Bespoke'!T138,0)),"")</f>
        <v/>
      </c>
      <c r="Z137" s="485">
        <f t="shared" ca="1" si="10"/>
        <v>0</v>
      </c>
      <c r="AA137" s="485">
        <f t="shared" ca="1" si="11"/>
        <v>0</v>
      </c>
      <c r="AB137" s="484" t="str">
        <f ca="1">IF('CDO Bespoke'!O138&lt;&gt;"",'CDO Bespoke'!O138,"")</f>
        <v/>
      </c>
      <c r="AC137" s="485" t="str">
        <f ca="1">IF(AB137&lt;&gt;"",ABS(MIN(-0.75*('CDO Bespoke'!K138)+'CDO Bespoke'!T138,0)),"")</f>
        <v/>
      </c>
      <c r="AD137" s="485">
        <f t="shared" ca="1" si="12"/>
        <v>0</v>
      </c>
      <c r="AE137" s="489">
        <f t="shared" ca="1" si="13"/>
        <v>0</v>
      </c>
      <c r="AF137" s="272"/>
      <c r="AG137" s="494" t="str">
        <f ca="1">IF('CDO Bespoke'!C162&lt;&gt;"",'CDO Bespoke'!C162,"")</f>
        <v/>
      </c>
      <c r="AH137" s="496"/>
      <c r="AI137" s="585"/>
      <c r="AJ137" s="585"/>
      <c r="AK137" s="585"/>
      <c r="AL137" s="497"/>
      <c r="AM137" s="496"/>
      <c r="AN137" s="585"/>
      <c r="AO137" s="585"/>
      <c r="AP137" s="585"/>
      <c r="AQ137" s="497"/>
      <c r="AR137" s="580"/>
      <c r="AS137" s="580"/>
      <c r="AT137" s="580"/>
      <c r="AU137" s="580"/>
      <c r="AV137" s="580"/>
      <c r="AW137" s="580"/>
      <c r="AX137" s="579"/>
    </row>
    <row r="138" spans="2:50">
      <c r="B138" s="534" t="s">
        <v>543</v>
      </c>
      <c r="C138" s="535" t="s">
        <v>66</v>
      </c>
      <c r="D138" s="535" t="s">
        <v>59</v>
      </c>
      <c r="E138" s="535" t="s">
        <v>647</v>
      </c>
      <c r="F138" s="535" t="s">
        <v>673</v>
      </c>
      <c r="G138" s="536">
        <v>0.01</v>
      </c>
      <c r="H138" s="536">
        <v>5.692E-3</v>
      </c>
      <c r="I138" s="537">
        <v>0.4</v>
      </c>
      <c r="J138" s="595">
        <v>5</v>
      </c>
      <c r="K138" s="538">
        <v>38</v>
      </c>
      <c r="L138" s="272"/>
      <c r="M138" s="272"/>
      <c r="P138" s="273"/>
      <c r="Q138" s="273"/>
      <c r="R138" s="273"/>
      <c r="S138" s="273"/>
      <c r="T138" s="273"/>
      <c r="U138" s="273"/>
      <c r="V138" s="273"/>
      <c r="W138" s="273"/>
      <c r="X138" s="484" t="str">
        <f ca="1">IF('CDO Bespoke'!O139&lt;&gt;"",'CDO Bespoke'!O139,"")</f>
        <v/>
      </c>
      <c r="Y138" s="485" t="str">
        <f ca="1">IF(X138&lt;&gt;"",ABS(MIN(-0.75*('CDO Bespoke'!Q139)+'CDO Bespoke'!T139,0)),"")</f>
        <v/>
      </c>
      <c r="Z138" s="485">
        <f t="shared" ca="1" si="10"/>
        <v>0</v>
      </c>
      <c r="AA138" s="485">
        <f t="shared" ca="1" si="11"/>
        <v>0</v>
      </c>
      <c r="AB138" s="484" t="str">
        <f ca="1">IF('CDO Bespoke'!O139&lt;&gt;"",'CDO Bespoke'!O139,"")</f>
        <v/>
      </c>
      <c r="AC138" s="485" t="str">
        <f ca="1">IF(AB138&lt;&gt;"",ABS(MIN(-0.75*('CDO Bespoke'!K139)+'CDO Bespoke'!T139,0)),"")</f>
        <v/>
      </c>
      <c r="AD138" s="485">
        <f t="shared" ca="1" si="12"/>
        <v>0</v>
      </c>
      <c r="AE138" s="489">
        <f t="shared" ca="1" si="13"/>
        <v>0</v>
      </c>
      <c r="AF138" s="272"/>
      <c r="AG138" s="494" t="str">
        <f ca="1">IF('CDO Bespoke'!C163&lt;&gt;"",'CDO Bespoke'!C163,"")</f>
        <v/>
      </c>
      <c r="AH138" s="496"/>
      <c r="AI138" s="585"/>
      <c r="AJ138" s="585"/>
      <c r="AK138" s="585"/>
      <c r="AL138" s="497"/>
      <c r="AM138" s="496"/>
      <c r="AN138" s="585"/>
      <c r="AO138" s="585"/>
      <c r="AP138" s="585"/>
      <c r="AQ138" s="497"/>
      <c r="AR138" s="580"/>
      <c r="AS138" s="580"/>
      <c r="AT138" s="580"/>
      <c r="AU138" s="580"/>
      <c r="AV138" s="580"/>
      <c r="AW138" s="580"/>
      <c r="AX138" s="579"/>
    </row>
    <row r="139" spans="2:50">
      <c r="B139" s="539" t="s">
        <v>544</v>
      </c>
      <c r="C139" s="540" t="s">
        <v>66</v>
      </c>
      <c r="D139" s="540" t="s">
        <v>55</v>
      </c>
      <c r="E139" s="540" t="s">
        <v>649</v>
      </c>
      <c r="F139" s="540" t="s">
        <v>673</v>
      </c>
      <c r="G139" s="541">
        <v>0.01</v>
      </c>
      <c r="H139" s="541">
        <v>3.9449999999999997E-3</v>
      </c>
      <c r="I139" s="542">
        <v>0.4</v>
      </c>
      <c r="J139" s="602">
        <v>5</v>
      </c>
      <c r="K139" s="543">
        <v>39</v>
      </c>
      <c r="L139" s="272"/>
      <c r="M139" s="272"/>
      <c r="P139" s="273"/>
      <c r="Q139" s="273"/>
      <c r="R139" s="273"/>
      <c r="S139" s="273"/>
      <c r="T139" s="273"/>
      <c r="U139" s="273"/>
      <c r="V139" s="273"/>
      <c r="W139" s="273"/>
      <c r="X139" s="484" t="str">
        <f ca="1">IF('CDO Bespoke'!O140&lt;&gt;"",'CDO Bespoke'!O140,"")</f>
        <v/>
      </c>
      <c r="Y139" s="485" t="str">
        <f ca="1">IF(X139&lt;&gt;"",ABS(MIN(-0.75*('CDO Bespoke'!Q140)+'CDO Bespoke'!T140,0)),"")</f>
        <v/>
      </c>
      <c r="Z139" s="485">
        <f t="shared" ca="1" si="10"/>
        <v>0</v>
      </c>
      <c r="AA139" s="485">
        <f t="shared" ca="1" si="11"/>
        <v>0</v>
      </c>
      <c r="AB139" s="484" t="str">
        <f ca="1">IF('CDO Bespoke'!O140&lt;&gt;"",'CDO Bespoke'!O140,"")</f>
        <v/>
      </c>
      <c r="AC139" s="485" t="str">
        <f ca="1">IF(AB139&lt;&gt;"",ABS(MIN(-0.75*('CDO Bespoke'!K140)+'CDO Bespoke'!T140,0)),"")</f>
        <v/>
      </c>
      <c r="AD139" s="485">
        <f t="shared" ca="1" si="12"/>
        <v>0</v>
      </c>
      <c r="AE139" s="489">
        <f t="shared" ca="1" si="13"/>
        <v>0</v>
      </c>
      <c r="AF139" s="272"/>
      <c r="AG139" s="494" t="str">
        <f ca="1">IF('CDO Bespoke'!C164&lt;&gt;"",'CDO Bespoke'!C164,"")</f>
        <v/>
      </c>
      <c r="AH139" s="496"/>
      <c r="AI139" s="585"/>
      <c r="AJ139" s="585"/>
      <c r="AK139" s="585"/>
      <c r="AL139" s="497"/>
      <c r="AM139" s="496"/>
      <c r="AN139" s="585"/>
      <c r="AO139" s="585"/>
      <c r="AP139" s="585"/>
      <c r="AQ139" s="497"/>
      <c r="AR139" s="580"/>
      <c r="AS139" s="580"/>
      <c r="AT139" s="580"/>
      <c r="AU139" s="580"/>
      <c r="AV139" s="580"/>
      <c r="AW139" s="580"/>
      <c r="AX139" s="579"/>
    </row>
    <row r="140" spans="2:50">
      <c r="B140" s="517" t="s">
        <v>544</v>
      </c>
      <c r="C140" s="518" t="s">
        <v>66</v>
      </c>
      <c r="D140" s="518" t="s">
        <v>57</v>
      </c>
      <c r="E140" s="518" t="s">
        <v>649</v>
      </c>
      <c r="F140" s="518" t="s">
        <v>673</v>
      </c>
      <c r="G140" s="525">
        <v>0.01</v>
      </c>
      <c r="H140" s="525">
        <v>6.7390000000000002E-3</v>
      </c>
      <c r="I140" s="527">
        <v>0.4</v>
      </c>
      <c r="J140" s="594">
        <v>5</v>
      </c>
      <c r="K140" s="519">
        <v>39</v>
      </c>
      <c r="L140" s="272"/>
      <c r="M140" s="272"/>
      <c r="P140" s="273"/>
      <c r="Q140" s="273"/>
      <c r="R140" s="273"/>
      <c r="S140" s="273"/>
      <c r="T140" s="273"/>
      <c r="U140" s="273"/>
      <c r="V140" s="273"/>
      <c r="W140" s="273"/>
      <c r="X140" s="484" t="str">
        <f ca="1">IF('CDO Bespoke'!O141&lt;&gt;"",'CDO Bespoke'!O141,"")</f>
        <v/>
      </c>
      <c r="Y140" s="485" t="str">
        <f ca="1">IF(X140&lt;&gt;"",ABS(MIN(-0.75*('CDO Bespoke'!Q141)+'CDO Bespoke'!T141,0)),"")</f>
        <v/>
      </c>
      <c r="Z140" s="485">
        <f t="shared" ca="1" si="10"/>
        <v>0</v>
      </c>
      <c r="AA140" s="485">
        <f t="shared" ca="1" si="11"/>
        <v>0</v>
      </c>
      <c r="AB140" s="484" t="str">
        <f ca="1">IF('CDO Bespoke'!O141&lt;&gt;"",'CDO Bespoke'!O141,"")</f>
        <v/>
      </c>
      <c r="AC140" s="485" t="str">
        <f ca="1">IF(AB140&lt;&gt;"",ABS(MIN(-0.75*('CDO Bespoke'!K141)+'CDO Bespoke'!T141,0)),"")</f>
        <v/>
      </c>
      <c r="AD140" s="485">
        <f t="shared" ca="1" si="12"/>
        <v>0</v>
      </c>
      <c r="AE140" s="489">
        <f t="shared" ca="1" si="13"/>
        <v>0</v>
      </c>
      <c r="AF140" s="272"/>
      <c r="AG140" s="494" t="str">
        <f ca="1">IF('CDO Bespoke'!C165&lt;&gt;"",'CDO Bespoke'!C165,"")</f>
        <v/>
      </c>
      <c r="AH140" s="496"/>
      <c r="AI140" s="585"/>
      <c r="AJ140" s="585"/>
      <c r="AK140" s="585"/>
      <c r="AL140" s="497"/>
      <c r="AM140" s="496"/>
      <c r="AN140" s="585"/>
      <c r="AO140" s="585"/>
      <c r="AP140" s="585"/>
      <c r="AQ140" s="497"/>
      <c r="AR140" s="580"/>
      <c r="AS140" s="580"/>
      <c r="AT140" s="580"/>
      <c r="AU140" s="580"/>
      <c r="AV140" s="580"/>
      <c r="AW140" s="580"/>
      <c r="AX140" s="579"/>
    </row>
    <row r="141" spans="2:50">
      <c r="B141" s="534" t="s">
        <v>544</v>
      </c>
      <c r="C141" s="535" t="s">
        <v>66</v>
      </c>
      <c r="D141" s="535" t="s">
        <v>59</v>
      </c>
      <c r="E141" s="535" t="s">
        <v>649</v>
      </c>
      <c r="F141" s="535" t="s">
        <v>673</v>
      </c>
      <c r="G141" s="536">
        <v>0.01</v>
      </c>
      <c r="H141" s="536">
        <v>9.7630000000000008E-3</v>
      </c>
      <c r="I141" s="537">
        <v>0.4</v>
      </c>
      <c r="J141" s="595">
        <v>5</v>
      </c>
      <c r="K141" s="538">
        <v>39</v>
      </c>
      <c r="L141" s="272"/>
      <c r="M141" s="272"/>
      <c r="P141" s="273"/>
      <c r="Q141" s="273"/>
      <c r="R141" s="273"/>
      <c r="S141" s="273"/>
      <c r="T141" s="273"/>
      <c r="U141" s="273"/>
      <c r="V141" s="273"/>
      <c r="W141" s="273"/>
      <c r="X141" s="484" t="str">
        <f ca="1">IF('CDO Bespoke'!O142&lt;&gt;"",'CDO Bespoke'!O142,"")</f>
        <v/>
      </c>
      <c r="Y141" s="485" t="str">
        <f ca="1">IF(X141&lt;&gt;"",ABS(MIN(-0.75*('CDO Bespoke'!Q142)+'CDO Bespoke'!T142,0)),"")</f>
        <v/>
      </c>
      <c r="Z141" s="485">
        <f t="shared" ca="1" si="10"/>
        <v>0</v>
      </c>
      <c r="AA141" s="485">
        <f t="shared" ca="1" si="11"/>
        <v>0</v>
      </c>
      <c r="AB141" s="484" t="str">
        <f ca="1">IF('CDO Bespoke'!O142&lt;&gt;"",'CDO Bespoke'!O142,"")</f>
        <v/>
      </c>
      <c r="AC141" s="485" t="str">
        <f ca="1">IF(AB141&lt;&gt;"",ABS(MIN(-0.75*('CDO Bespoke'!K142)+'CDO Bespoke'!T142,0)),"")</f>
        <v/>
      </c>
      <c r="AD141" s="485">
        <f t="shared" ca="1" si="12"/>
        <v>0</v>
      </c>
      <c r="AE141" s="489">
        <f t="shared" ca="1" si="13"/>
        <v>0</v>
      </c>
      <c r="AF141" s="272"/>
      <c r="AG141" s="494" t="str">
        <f ca="1">IF('CDO Bespoke'!C166&lt;&gt;"",'CDO Bespoke'!C166,"")</f>
        <v/>
      </c>
      <c r="AH141" s="496"/>
      <c r="AI141" s="585"/>
      <c r="AJ141" s="585"/>
      <c r="AK141" s="585"/>
      <c r="AL141" s="497"/>
      <c r="AM141" s="496"/>
      <c r="AN141" s="585"/>
      <c r="AO141" s="585"/>
      <c r="AP141" s="585"/>
      <c r="AQ141" s="497"/>
      <c r="AR141" s="580"/>
      <c r="AS141" s="580"/>
      <c r="AT141" s="580"/>
      <c r="AU141" s="580"/>
      <c r="AV141" s="580"/>
      <c r="AW141" s="580"/>
      <c r="AX141" s="579"/>
    </row>
    <row r="142" spans="2:50">
      <c r="B142" s="539" t="s">
        <v>560</v>
      </c>
      <c r="C142" s="540" t="s">
        <v>66</v>
      </c>
      <c r="D142" s="540" t="s">
        <v>55</v>
      </c>
      <c r="E142" s="540" t="s">
        <v>651</v>
      </c>
      <c r="F142" s="540" t="s">
        <v>673</v>
      </c>
      <c r="G142" s="541">
        <v>0.01</v>
      </c>
      <c r="H142" s="541">
        <v>1.738E-3</v>
      </c>
      <c r="I142" s="542">
        <v>0.4</v>
      </c>
      <c r="J142" s="602">
        <v>5</v>
      </c>
      <c r="K142" s="543">
        <v>40</v>
      </c>
      <c r="L142" s="272"/>
      <c r="M142" s="272"/>
      <c r="P142" s="273"/>
      <c r="Q142" s="273"/>
      <c r="R142" s="273"/>
      <c r="S142" s="273"/>
      <c r="T142" s="273"/>
      <c r="U142" s="273"/>
      <c r="V142" s="273"/>
      <c r="W142" s="273"/>
      <c r="X142" s="484" t="str">
        <f ca="1">IF('CDO Bespoke'!O143&lt;&gt;"",'CDO Bespoke'!O143,"")</f>
        <v/>
      </c>
      <c r="Y142" s="485" t="str">
        <f ca="1">IF(X142&lt;&gt;"",ABS(MIN(-0.75*('CDO Bespoke'!Q143)+'CDO Bespoke'!T143,0)),"")</f>
        <v/>
      </c>
      <c r="Z142" s="485">
        <f t="shared" ref="Z142:Z205" ca="1" si="16">IF(X142&lt;&gt;"",IF($Y$8,MAX(X142-Y142,0),X142),0)</f>
        <v>0</v>
      </c>
      <c r="AA142" s="485">
        <f t="shared" ref="AA142:AA205" ca="1" si="17">IF(X142&lt;&gt;"",IF($Y$8,0,Y142),0)</f>
        <v>0</v>
      </c>
      <c r="AB142" s="484" t="str">
        <f ca="1">IF('CDO Bespoke'!O143&lt;&gt;"",'CDO Bespoke'!O143,"")</f>
        <v/>
      </c>
      <c r="AC142" s="485" t="str">
        <f ca="1">IF(AB142&lt;&gt;"",ABS(MIN(-0.75*('CDO Bespoke'!K143)+'CDO Bespoke'!T143,0)),"")</f>
        <v/>
      </c>
      <c r="AD142" s="485">
        <f t="shared" ref="AD142:AD205" ca="1" si="18">IF(AB142&lt;&gt;"",IF($Y$8,MAX(AB142-AC142,0),AB142),0)</f>
        <v>0</v>
      </c>
      <c r="AE142" s="489">
        <f t="shared" ref="AE142:AE205" ca="1" si="19">IF(AB142&lt;&gt;"",IF($Y$8,0,AC142),0)</f>
        <v>0</v>
      </c>
      <c r="AF142" s="272"/>
      <c r="AG142" s="494" t="str">
        <f ca="1">IF('CDO Bespoke'!C167&lt;&gt;"",'CDO Bespoke'!C167,"")</f>
        <v/>
      </c>
      <c r="AH142" s="496"/>
      <c r="AI142" s="585"/>
      <c r="AJ142" s="585"/>
      <c r="AK142" s="585"/>
      <c r="AL142" s="497"/>
      <c r="AM142" s="496"/>
      <c r="AN142" s="585"/>
      <c r="AO142" s="585"/>
      <c r="AP142" s="585"/>
      <c r="AQ142" s="497"/>
      <c r="AR142" s="580"/>
      <c r="AS142" s="580"/>
      <c r="AT142" s="580"/>
      <c r="AU142" s="580"/>
      <c r="AV142" s="580"/>
      <c r="AW142" s="580"/>
      <c r="AX142" s="579"/>
    </row>
    <row r="143" spans="2:50">
      <c r="B143" s="517" t="s">
        <v>560</v>
      </c>
      <c r="C143" s="518" t="s">
        <v>66</v>
      </c>
      <c r="D143" s="518" t="s">
        <v>57</v>
      </c>
      <c r="E143" s="518" t="s">
        <v>651</v>
      </c>
      <c r="F143" s="518" t="s">
        <v>673</v>
      </c>
      <c r="G143" s="525">
        <v>0.01</v>
      </c>
      <c r="H143" s="525">
        <v>2.9610000000000001E-3</v>
      </c>
      <c r="I143" s="527">
        <v>0.4</v>
      </c>
      <c r="J143" s="594">
        <v>5</v>
      </c>
      <c r="K143" s="519">
        <v>40</v>
      </c>
      <c r="L143" s="272"/>
      <c r="M143" s="272"/>
      <c r="P143" s="273"/>
      <c r="Q143" s="273"/>
      <c r="R143" s="273"/>
      <c r="S143" s="273"/>
      <c r="T143" s="273"/>
      <c r="U143" s="273"/>
      <c r="V143" s="273"/>
      <c r="W143" s="273"/>
      <c r="X143" s="484" t="str">
        <f ca="1">IF('CDO Bespoke'!O144&lt;&gt;"",'CDO Bespoke'!O144,"")</f>
        <v/>
      </c>
      <c r="Y143" s="485" t="str">
        <f ca="1">IF(X143&lt;&gt;"",ABS(MIN(-0.75*('CDO Bespoke'!Q144)+'CDO Bespoke'!T144,0)),"")</f>
        <v/>
      </c>
      <c r="Z143" s="485">
        <f t="shared" ca="1" si="16"/>
        <v>0</v>
      </c>
      <c r="AA143" s="485">
        <f t="shared" ca="1" si="17"/>
        <v>0</v>
      </c>
      <c r="AB143" s="484" t="str">
        <f ca="1">IF('CDO Bespoke'!O144&lt;&gt;"",'CDO Bespoke'!O144,"")</f>
        <v/>
      </c>
      <c r="AC143" s="485" t="str">
        <f ca="1">IF(AB143&lt;&gt;"",ABS(MIN(-0.75*('CDO Bespoke'!K144)+'CDO Bespoke'!T144,0)),"")</f>
        <v/>
      </c>
      <c r="AD143" s="485">
        <f t="shared" ca="1" si="18"/>
        <v>0</v>
      </c>
      <c r="AE143" s="489">
        <f t="shared" ca="1" si="19"/>
        <v>0</v>
      </c>
      <c r="AF143" s="272"/>
      <c r="AG143" s="494" t="str">
        <f ca="1">IF('CDO Bespoke'!C168&lt;&gt;"",'CDO Bespoke'!C168,"")</f>
        <v/>
      </c>
      <c r="AH143" s="496"/>
      <c r="AI143" s="585"/>
      <c r="AJ143" s="585"/>
      <c r="AK143" s="585"/>
      <c r="AL143" s="497"/>
      <c r="AM143" s="496"/>
      <c r="AN143" s="585"/>
      <c r="AO143" s="585"/>
      <c r="AP143" s="585"/>
      <c r="AQ143" s="497"/>
      <c r="AR143" s="580"/>
      <c r="AS143" s="580"/>
      <c r="AT143" s="580"/>
      <c r="AU143" s="580"/>
      <c r="AV143" s="580"/>
      <c r="AW143" s="580"/>
      <c r="AX143" s="579"/>
    </row>
    <row r="144" spans="2:50">
      <c r="B144" s="534" t="s">
        <v>560</v>
      </c>
      <c r="C144" s="535" t="s">
        <v>66</v>
      </c>
      <c r="D144" s="535" t="s">
        <v>59</v>
      </c>
      <c r="E144" s="535" t="s">
        <v>651</v>
      </c>
      <c r="F144" s="535" t="s">
        <v>673</v>
      </c>
      <c r="G144" s="536">
        <v>0.01</v>
      </c>
      <c r="H144" s="536">
        <v>4.1469999999999996E-3</v>
      </c>
      <c r="I144" s="537">
        <v>0.4</v>
      </c>
      <c r="J144" s="595">
        <v>5</v>
      </c>
      <c r="K144" s="538">
        <v>40</v>
      </c>
      <c r="L144" s="272"/>
      <c r="M144" s="272"/>
      <c r="P144" s="273"/>
      <c r="Q144" s="273"/>
      <c r="R144" s="273"/>
      <c r="S144" s="273"/>
      <c r="T144" s="273"/>
      <c r="U144" s="273"/>
      <c r="V144" s="273"/>
      <c r="W144" s="273"/>
      <c r="X144" s="484" t="str">
        <f ca="1">IF('CDO Bespoke'!O145&lt;&gt;"",'CDO Bespoke'!O145,"")</f>
        <v/>
      </c>
      <c r="Y144" s="485" t="str">
        <f ca="1">IF(X144&lt;&gt;"",ABS(MIN(-0.75*('CDO Bespoke'!Q145)+'CDO Bespoke'!T145,0)),"")</f>
        <v/>
      </c>
      <c r="Z144" s="485">
        <f t="shared" ca="1" si="16"/>
        <v>0</v>
      </c>
      <c r="AA144" s="485">
        <f t="shared" ca="1" si="17"/>
        <v>0</v>
      </c>
      <c r="AB144" s="484" t="str">
        <f ca="1">IF('CDO Bespoke'!O145&lt;&gt;"",'CDO Bespoke'!O145,"")</f>
        <v/>
      </c>
      <c r="AC144" s="485" t="str">
        <f ca="1">IF(AB144&lt;&gt;"",ABS(MIN(-0.75*('CDO Bespoke'!K145)+'CDO Bespoke'!T145,0)),"")</f>
        <v/>
      </c>
      <c r="AD144" s="485">
        <f t="shared" ca="1" si="18"/>
        <v>0</v>
      </c>
      <c r="AE144" s="489">
        <f t="shared" ca="1" si="19"/>
        <v>0</v>
      </c>
      <c r="AF144" s="272"/>
      <c r="AG144" s="494" t="str">
        <f ca="1">IF('CDO Bespoke'!C169&lt;&gt;"",'CDO Bespoke'!C169,"")</f>
        <v/>
      </c>
      <c r="AH144" s="496"/>
      <c r="AI144" s="585"/>
      <c r="AJ144" s="585"/>
      <c r="AK144" s="585"/>
      <c r="AL144" s="497"/>
      <c r="AM144" s="496"/>
      <c r="AN144" s="585"/>
      <c r="AO144" s="585"/>
      <c r="AP144" s="585"/>
      <c r="AQ144" s="497"/>
      <c r="AR144" s="580"/>
      <c r="AS144" s="580"/>
      <c r="AT144" s="580"/>
      <c r="AU144" s="580"/>
      <c r="AV144" s="580"/>
      <c r="AW144" s="580"/>
      <c r="AX144" s="579"/>
    </row>
    <row r="145" spans="2:50">
      <c r="B145" s="539" t="s">
        <v>545</v>
      </c>
      <c r="C145" s="540" t="s">
        <v>66</v>
      </c>
      <c r="D145" s="540" t="s">
        <v>55</v>
      </c>
      <c r="E145" s="540" t="s">
        <v>649</v>
      </c>
      <c r="F145" s="540" t="s">
        <v>673</v>
      </c>
      <c r="G145" s="541">
        <v>0.01</v>
      </c>
      <c r="H145" s="541">
        <v>2.8939999999999999E-3</v>
      </c>
      <c r="I145" s="542">
        <v>0.4</v>
      </c>
      <c r="J145" s="602">
        <v>5</v>
      </c>
      <c r="K145" s="543">
        <v>41</v>
      </c>
      <c r="L145" s="272"/>
      <c r="M145" s="272"/>
      <c r="P145" s="273"/>
      <c r="Q145" s="273"/>
      <c r="R145" s="273"/>
      <c r="S145" s="273"/>
      <c r="T145" s="273"/>
      <c r="U145" s="273"/>
      <c r="V145" s="273"/>
      <c r="W145" s="273"/>
      <c r="X145" s="484" t="str">
        <f ca="1">IF('CDO Bespoke'!O146&lt;&gt;"",'CDO Bespoke'!O146,"")</f>
        <v/>
      </c>
      <c r="Y145" s="485" t="str">
        <f ca="1">IF(X145&lt;&gt;"",ABS(MIN(-0.75*('CDO Bespoke'!Q146)+'CDO Bespoke'!T146,0)),"")</f>
        <v/>
      </c>
      <c r="Z145" s="485">
        <f t="shared" ca="1" si="16"/>
        <v>0</v>
      </c>
      <c r="AA145" s="485">
        <f t="shared" ca="1" si="17"/>
        <v>0</v>
      </c>
      <c r="AB145" s="484" t="str">
        <f ca="1">IF('CDO Bespoke'!O146&lt;&gt;"",'CDO Bespoke'!O146,"")</f>
        <v/>
      </c>
      <c r="AC145" s="485" t="str">
        <f ca="1">IF(AB145&lt;&gt;"",ABS(MIN(-0.75*('CDO Bespoke'!K146)+'CDO Bespoke'!T146,0)),"")</f>
        <v/>
      </c>
      <c r="AD145" s="485">
        <f t="shared" ca="1" si="18"/>
        <v>0</v>
      </c>
      <c r="AE145" s="489">
        <f t="shared" ca="1" si="19"/>
        <v>0</v>
      </c>
      <c r="AF145" s="272"/>
      <c r="AG145" s="494" t="str">
        <f ca="1">IF('CDO Bespoke'!C170&lt;&gt;"",'CDO Bespoke'!C170,"")</f>
        <v/>
      </c>
      <c r="AH145" s="496"/>
      <c r="AI145" s="585"/>
      <c r="AJ145" s="585"/>
      <c r="AK145" s="585"/>
      <c r="AL145" s="497"/>
      <c r="AM145" s="496"/>
      <c r="AN145" s="585"/>
      <c r="AO145" s="585"/>
      <c r="AP145" s="585"/>
      <c r="AQ145" s="497"/>
      <c r="AR145" s="580"/>
      <c r="AS145" s="580"/>
      <c r="AT145" s="580"/>
      <c r="AU145" s="580"/>
      <c r="AV145" s="580"/>
      <c r="AW145" s="580"/>
      <c r="AX145" s="579"/>
    </row>
    <row r="146" spans="2:50">
      <c r="B146" s="517" t="s">
        <v>545</v>
      </c>
      <c r="C146" s="518" t="s">
        <v>66</v>
      </c>
      <c r="D146" s="518" t="s">
        <v>57</v>
      </c>
      <c r="E146" s="518" t="s">
        <v>649</v>
      </c>
      <c r="F146" s="518" t="s">
        <v>673</v>
      </c>
      <c r="G146" s="525">
        <v>0.01</v>
      </c>
      <c r="H146" s="525">
        <v>5.0400000000000002E-3</v>
      </c>
      <c r="I146" s="527">
        <v>0.4</v>
      </c>
      <c r="J146" s="594">
        <v>5</v>
      </c>
      <c r="K146" s="519">
        <v>41</v>
      </c>
      <c r="L146" s="272"/>
      <c r="M146" s="272"/>
      <c r="P146" s="273"/>
      <c r="Q146" s="273"/>
      <c r="R146" s="273"/>
      <c r="S146" s="273"/>
      <c r="T146" s="273"/>
      <c r="U146" s="273"/>
      <c r="V146" s="273"/>
      <c r="W146" s="273"/>
      <c r="X146" s="484" t="str">
        <f ca="1">IF('CDO Bespoke'!O147&lt;&gt;"",'CDO Bespoke'!O147,"")</f>
        <v/>
      </c>
      <c r="Y146" s="485" t="str">
        <f ca="1">IF(X146&lt;&gt;"",ABS(MIN(-0.75*('CDO Bespoke'!Q147)+'CDO Bespoke'!T147,0)),"")</f>
        <v/>
      </c>
      <c r="Z146" s="485">
        <f t="shared" ca="1" si="16"/>
        <v>0</v>
      </c>
      <c r="AA146" s="485">
        <f t="shared" ca="1" si="17"/>
        <v>0</v>
      </c>
      <c r="AB146" s="484" t="str">
        <f ca="1">IF('CDO Bespoke'!O147&lt;&gt;"",'CDO Bespoke'!O147,"")</f>
        <v/>
      </c>
      <c r="AC146" s="485" t="str">
        <f ca="1">IF(AB146&lt;&gt;"",ABS(MIN(-0.75*('CDO Bespoke'!K147)+'CDO Bespoke'!T147,0)),"")</f>
        <v/>
      </c>
      <c r="AD146" s="485">
        <f t="shared" ca="1" si="18"/>
        <v>0</v>
      </c>
      <c r="AE146" s="489">
        <f t="shared" ca="1" si="19"/>
        <v>0</v>
      </c>
      <c r="AF146" s="272"/>
      <c r="AG146" s="494" t="str">
        <f ca="1">IF('CDO Bespoke'!C171&lt;&gt;"",'CDO Bespoke'!C171,"")</f>
        <v/>
      </c>
      <c r="AH146" s="496"/>
      <c r="AI146" s="585"/>
      <c r="AJ146" s="585"/>
      <c r="AK146" s="585"/>
      <c r="AL146" s="497"/>
      <c r="AM146" s="496"/>
      <c r="AN146" s="585"/>
      <c r="AO146" s="585"/>
      <c r="AP146" s="585"/>
      <c r="AQ146" s="497"/>
      <c r="AR146" s="580"/>
      <c r="AS146" s="580"/>
      <c r="AT146" s="580"/>
      <c r="AU146" s="580"/>
      <c r="AV146" s="580"/>
      <c r="AW146" s="580"/>
      <c r="AX146" s="579"/>
    </row>
    <row r="147" spans="2:50">
      <c r="B147" s="534" t="s">
        <v>545</v>
      </c>
      <c r="C147" s="535" t="s">
        <v>66</v>
      </c>
      <c r="D147" s="535" t="s">
        <v>59</v>
      </c>
      <c r="E147" s="535" t="s">
        <v>649</v>
      </c>
      <c r="F147" s="535" t="s">
        <v>673</v>
      </c>
      <c r="G147" s="536">
        <v>0.01</v>
      </c>
      <c r="H147" s="536">
        <v>7.5799999999999999E-3</v>
      </c>
      <c r="I147" s="537">
        <v>0.4</v>
      </c>
      <c r="J147" s="595">
        <v>5</v>
      </c>
      <c r="K147" s="538">
        <v>41</v>
      </c>
      <c r="L147" s="272"/>
      <c r="M147" s="272"/>
      <c r="P147" s="273"/>
      <c r="Q147" s="273"/>
      <c r="R147" s="273"/>
      <c r="S147" s="273"/>
      <c r="T147" s="273"/>
      <c r="U147" s="273"/>
      <c r="V147" s="273"/>
      <c r="W147" s="273"/>
      <c r="X147" s="484" t="str">
        <f ca="1">IF('CDO Bespoke'!O148&lt;&gt;"",'CDO Bespoke'!O148,"")</f>
        <v/>
      </c>
      <c r="Y147" s="485" t="str">
        <f ca="1">IF(X147&lt;&gt;"",ABS(MIN(-0.75*('CDO Bespoke'!Q148)+'CDO Bespoke'!T148,0)),"")</f>
        <v/>
      </c>
      <c r="Z147" s="485">
        <f t="shared" ca="1" si="16"/>
        <v>0</v>
      </c>
      <c r="AA147" s="485">
        <f t="shared" ca="1" si="17"/>
        <v>0</v>
      </c>
      <c r="AB147" s="484" t="str">
        <f ca="1">IF('CDO Bespoke'!O148&lt;&gt;"",'CDO Bespoke'!O148,"")</f>
        <v/>
      </c>
      <c r="AC147" s="485" t="str">
        <f ca="1">IF(AB147&lt;&gt;"",ABS(MIN(-0.75*('CDO Bespoke'!K148)+'CDO Bespoke'!T148,0)),"")</f>
        <v/>
      </c>
      <c r="AD147" s="485">
        <f t="shared" ca="1" si="18"/>
        <v>0</v>
      </c>
      <c r="AE147" s="489">
        <f t="shared" ca="1" si="19"/>
        <v>0</v>
      </c>
      <c r="AF147" s="272"/>
      <c r="AG147" s="494" t="str">
        <f ca="1">IF('CDO Bespoke'!C172&lt;&gt;"",'CDO Bespoke'!C172,"")</f>
        <v/>
      </c>
      <c r="AH147" s="496"/>
      <c r="AI147" s="585"/>
      <c r="AJ147" s="585"/>
      <c r="AK147" s="585"/>
      <c r="AL147" s="497"/>
      <c r="AM147" s="496"/>
      <c r="AN147" s="585"/>
      <c r="AO147" s="585"/>
      <c r="AP147" s="585"/>
      <c r="AQ147" s="497"/>
      <c r="AR147" s="580"/>
      <c r="AS147" s="580"/>
      <c r="AT147" s="580"/>
      <c r="AU147" s="580"/>
      <c r="AV147" s="580"/>
      <c r="AW147" s="580"/>
      <c r="AX147" s="579"/>
    </row>
    <row r="148" spans="2:50">
      <c r="B148" s="539" t="s">
        <v>546</v>
      </c>
      <c r="C148" s="540" t="s">
        <v>66</v>
      </c>
      <c r="D148" s="540" t="s">
        <v>55</v>
      </c>
      <c r="E148" s="540" t="s">
        <v>651</v>
      </c>
      <c r="F148" s="540" t="s">
        <v>673</v>
      </c>
      <c r="G148" s="541">
        <v>0.01</v>
      </c>
      <c r="H148" s="541">
        <v>1.31E-3</v>
      </c>
      <c r="I148" s="542">
        <v>0.4</v>
      </c>
      <c r="J148" s="602">
        <v>5</v>
      </c>
      <c r="K148" s="543">
        <v>42</v>
      </c>
      <c r="L148" s="272"/>
      <c r="M148" s="272"/>
      <c r="P148" s="273"/>
      <c r="Q148" s="273"/>
      <c r="R148" s="273"/>
      <c r="S148" s="273"/>
      <c r="T148" s="273"/>
      <c r="U148" s="273"/>
      <c r="V148" s="273"/>
      <c r="W148" s="273"/>
      <c r="X148" s="484" t="str">
        <f ca="1">IF('CDO Bespoke'!O149&lt;&gt;"",'CDO Bespoke'!O149,"")</f>
        <v/>
      </c>
      <c r="Y148" s="485" t="str">
        <f ca="1">IF(X148&lt;&gt;"",ABS(MIN(-0.75*('CDO Bespoke'!Q149)+'CDO Bespoke'!T149,0)),"")</f>
        <v/>
      </c>
      <c r="Z148" s="485">
        <f t="shared" ca="1" si="16"/>
        <v>0</v>
      </c>
      <c r="AA148" s="485">
        <f t="shared" ca="1" si="17"/>
        <v>0</v>
      </c>
      <c r="AB148" s="484" t="str">
        <f ca="1">IF('CDO Bespoke'!O149&lt;&gt;"",'CDO Bespoke'!O149,"")</f>
        <v/>
      </c>
      <c r="AC148" s="485" t="str">
        <f ca="1">IF(AB148&lt;&gt;"",ABS(MIN(-0.75*('CDO Bespoke'!K149)+'CDO Bespoke'!T149,0)),"")</f>
        <v/>
      </c>
      <c r="AD148" s="485">
        <f t="shared" ca="1" si="18"/>
        <v>0</v>
      </c>
      <c r="AE148" s="489">
        <f t="shared" ca="1" si="19"/>
        <v>0</v>
      </c>
      <c r="AF148" s="272"/>
      <c r="AG148" s="494" t="str">
        <f ca="1">IF('CDO Bespoke'!C173&lt;&gt;"",'CDO Bespoke'!C173,"")</f>
        <v/>
      </c>
      <c r="AH148" s="496"/>
      <c r="AI148" s="585"/>
      <c r="AJ148" s="585"/>
      <c r="AK148" s="585"/>
      <c r="AL148" s="497"/>
      <c r="AM148" s="496"/>
      <c r="AN148" s="585"/>
      <c r="AO148" s="585"/>
      <c r="AP148" s="585"/>
      <c r="AQ148" s="497"/>
      <c r="AR148" s="580"/>
      <c r="AS148" s="580"/>
      <c r="AT148" s="580"/>
      <c r="AU148" s="580"/>
      <c r="AV148" s="580"/>
      <c r="AW148" s="580"/>
      <c r="AX148" s="579"/>
    </row>
    <row r="149" spans="2:50">
      <c r="B149" s="517" t="s">
        <v>546</v>
      </c>
      <c r="C149" s="518" t="s">
        <v>66</v>
      </c>
      <c r="D149" s="518" t="s">
        <v>57</v>
      </c>
      <c r="E149" s="518" t="s">
        <v>651</v>
      </c>
      <c r="F149" s="518" t="s">
        <v>673</v>
      </c>
      <c r="G149" s="525">
        <v>0.01</v>
      </c>
      <c r="H149" s="525">
        <v>2.2300000000000002E-3</v>
      </c>
      <c r="I149" s="527">
        <v>0.4</v>
      </c>
      <c r="J149" s="594">
        <v>5</v>
      </c>
      <c r="K149" s="519">
        <v>42</v>
      </c>
      <c r="L149" s="272"/>
      <c r="M149" s="272"/>
      <c r="P149" s="273"/>
      <c r="Q149" s="273"/>
      <c r="R149" s="273"/>
      <c r="S149" s="273"/>
      <c r="T149" s="273"/>
      <c r="U149" s="273"/>
      <c r="V149" s="273"/>
      <c r="W149" s="273"/>
      <c r="X149" s="484" t="str">
        <f ca="1">IF('CDO Bespoke'!O150&lt;&gt;"",'CDO Bespoke'!O150,"")</f>
        <v/>
      </c>
      <c r="Y149" s="485" t="str">
        <f ca="1">IF(X149&lt;&gt;"",ABS(MIN(-0.75*('CDO Bespoke'!Q150)+'CDO Bespoke'!T150,0)),"")</f>
        <v/>
      </c>
      <c r="Z149" s="485">
        <f t="shared" ca="1" si="16"/>
        <v>0</v>
      </c>
      <c r="AA149" s="485">
        <f t="shared" ca="1" si="17"/>
        <v>0</v>
      </c>
      <c r="AB149" s="484" t="str">
        <f ca="1">IF('CDO Bespoke'!O150&lt;&gt;"",'CDO Bespoke'!O150,"")</f>
        <v/>
      </c>
      <c r="AC149" s="485" t="str">
        <f ca="1">IF(AB149&lt;&gt;"",ABS(MIN(-0.75*('CDO Bespoke'!K150)+'CDO Bespoke'!T150,0)),"")</f>
        <v/>
      </c>
      <c r="AD149" s="485">
        <f t="shared" ca="1" si="18"/>
        <v>0</v>
      </c>
      <c r="AE149" s="489">
        <f t="shared" ca="1" si="19"/>
        <v>0</v>
      </c>
      <c r="AF149" s="272"/>
      <c r="AG149" s="494" t="str">
        <f ca="1">IF('CDO Bespoke'!C174&lt;&gt;"",'CDO Bespoke'!C174,"")</f>
        <v/>
      </c>
      <c r="AH149" s="496"/>
      <c r="AI149" s="585"/>
      <c r="AJ149" s="585"/>
      <c r="AK149" s="585"/>
      <c r="AL149" s="497"/>
      <c r="AM149" s="496"/>
      <c r="AN149" s="585"/>
      <c r="AO149" s="585"/>
      <c r="AP149" s="585"/>
      <c r="AQ149" s="497"/>
      <c r="AR149" s="580"/>
      <c r="AS149" s="580"/>
      <c r="AT149" s="580"/>
      <c r="AU149" s="580"/>
      <c r="AV149" s="580"/>
      <c r="AW149" s="580"/>
      <c r="AX149" s="579"/>
    </row>
    <row r="150" spans="2:50">
      <c r="B150" s="534" t="s">
        <v>546</v>
      </c>
      <c r="C150" s="535" t="s">
        <v>66</v>
      </c>
      <c r="D150" s="535" t="s">
        <v>59</v>
      </c>
      <c r="E150" s="535" t="s">
        <v>651</v>
      </c>
      <c r="F150" s="535" t="s">
        <v>673</v>
      </c>
      <c r="G150" s="536">
        <v>0.01</v>
      </c>
      <c r="H150" s="536">
        <v>3.3579999999999999E-3</v>
      </c>
      <c r="I150" s="537">
        <v>0.4</v>
      </c>
      <c r="J150" s="595">
        <v>5</v>
      </c>
      <c r="K150" s="538">
        <v>42</v>
      </c>
      <c r="L150" s="272"/>
      <c r="M150" s="272"/>
      <c r="P150" s="273"/>
      <c r="Q150" s="273"/>
      <c r="R150" s="273"/>
      <c r="S150" s="273"/>
      <c r="T150" s="273"/>
      <c r="U150" s="273"/>
      <c r="V150" s="273"/>
      <c r="W150" s="273"/>
      <c r="X150" s="484" t="str">
        <f ca="1">IF('CDO Bespoke'!O151&lt;&gt;"",'CDO Bespoke'!O151,"")</f>
        <v/>
      </c>
      <c r="Y150" s="485" t="str">
        <f ca="1">IF(X150&lt;&gt;"",ABS(MIN(-0.75*('CDO Bespoke'!Q151)+'CDO Bespoke'!T151,0)),"")</f>
        <v/>
      </c>
      <c r="Z150" s="485">
        <f t="shared" ca="1" si="16"/>
        <v>0</v>
      </c>
      <c r="AA150" s="485">
        <f t="shared" ca="1" si="17"/>
        <v>0</v>
      </c>
      <c r="AB150" s="484" t="str">
        <f ca="1">IF('CDO Bespoke'!O151&lt;&gt;"",'CDO Bespoke'!O151,"")</f>
        <v/>
      </c>
      <c r="AC150" s="485" t="str">
        <f ca="1">IF(AB150&lt;&gt;"",ABS(MIN(-0.75*('CDO Bespoke'!K151)+'CDO Bespoke'!T151,0)),"")</f>
        <v/>
      </c>
      <c r="AD150" s="485">
        <f t="shared" ca="1" si="18"/>
        <v>0</v>
      </c>
      <c r="AE150" s="489">
        <f t="shared" ca="1" si="19"/>
        <v>0</v>
      </c>
      <c r="AF150" s="272"/>
      <c r="AG150" s="494" t="str">
        <f ca="1">IF('CDO Bespoke'!C175&lt;&gt;"",'CDO Bespoke'!C175,"")</f>
        <v/>
      </c>
      <c r="AH150" s="496"/>
      <c r="AI150" s="585"/>
      <c r="AJ150" s="585"/>
      <c r="AK150" s="585"/>
      <c r="AL150" s="497"/>
      <c r="AM150" s="496"/>
      <c r="AN150" s="585"/>
      <c r="AO150" s="585"/>
      <c r="AP150" s="585"/>
      <c r="AQ150" s="497"/>
      <c r="AR150" s="580"/>
      <c r="AS150" s="580"/>
      <c r="AT150" s="580"/>
      <c r="AU150" s="580"/>
      <c r="AV150" s="580"/>
      <c r="AW150" s="580"/>
      <c r="AX150" s="579"/>
    </row>
    <row r="151" spans="2:50">
      <c r="B151" s="539" t="s">
        <v>561</v>
      </c>
      <c r="C151" s="540" t="s">
        <v>66</v>
      </c>
      <c r="D151" s="540" t="s">
        <v>55</v>
      </c>
      <c r="E151" s="540" t="s">
        <v>647</v>
      </c>
      <c r="F151" s="540" t="s">
        <v>673</v>
      </c>
      <c r="G151" s="541">
        <v>0.01</v>
      </c>
      <c r="H151" s="541">
        <v>2.1749999999999999E-3</v>
      </c>
      <c r="I151" s="542">
        <v>0.4</v>
      </c>
      <c r="J151" s="602">
        <v>5</v>
      </c>
      <c r="K151" s="543">
        <v>43</v>
      </c>
      <c r="L151" s="272"/>
      <c r="M151" s="272"/>
      <c r="P151" s="273"/>
      <c r="Q151" s="273"/>
      <c r="R151" s="273"/>
      <c r="S151" s="273"/>
      <c r="T151" s="273"/>
      <c r="U151" s="273"/>
      <c r="V151" s="273"/>
      <c r="W151" s="273"/>
      <c r="X151" s="484" t="str">
        <f ca="1">IF('CDO Bespoke'!O152&lt;&gt;"",'CDO Bespoke'!O152,"")</f>
        <v/>
      </c>
      <c r="Y151" s="485" t="str">
        <f ca="1">IF(X151&lt;&gt;"",ABS(MIN(-0.75*('CDO Bespoke'!Q152)+'CDO Bespoke'!T152,0)),"")</f>
        <v/>
      </c>
      <c r="Z151" s="485">
        <f t="shared" ca="1" si="16"/>
        <v>0</v>
      </c>
      <c r="AA151" s="485">
        <f t="shared" ca="1" si="17"/>
        <v>0</v>
      </c>
      <c r="AB151" s="484" t="str">
        <f ca="1">IF('CDO Bespoke'!O152&lt;&gt;"",'CDO Bespoke'!O152,"")</f>
        <v/>
      </c>
      <c r="AC151" s="485" t="str">
        <f ca="1">IF(AB151&lt;&gt;"",ABS(MIN(-0.75*('CDO Bespoke'!K152)+'CDO Bespoke'!T152,0)),"")</f>
        <v/>
      </c>
      <c r="AD151" s="485">
        <f t="shared" ca="1" si="18"/>
        <v>0</v>
      </c>
      <c r="AE151" s="489">
        <f t="shared" ca="1" si="19"/>
        <v>0</v>
      </c>
      <c r="AF151" s="272"/>
      <c r="AG151" s="494" t="str">
        <f ca="1">IF('CDO Bespoke'!C176&lt;&gt;"",'CDO Bespoke'!C176,"")</f>
        <v/>
      </c>
      <c r="AH151" s="496"/>
      <c r="AI151" s="585"/>
      <c r="AJ151" s="585"/>
      <c r="AK151" s="585"/>
      <c r="AL151" s="497"/>
      <c r="AM151" s="496"/>
      <c r="AN151" s="585"/>
      <c r="AO151" s="585"/>
      <c r="AP151" s="585"/>
      <c r="AQ151" s="497"/>
      <c r="AR151" s="580"/>
      <c r="AS151" s="580"/>
      <c r="AT151" s="580"/>
      <c r="AU151" s="580"/>
      <c r="AV151" s="580"/>
      <c r="AW151" s="580"/>
      <c r="AX151" s="579"/>
    </row>
    <row r="152" spans="2:50">
      <c r="B152" s="517" t="s">
        <v>561</v>
      </c>
      <c r="C152" s="518" t="s">
        <v>66</v>
      </c>
      <c r="D152" s="518" t="s">
        <v>57</v>
      </c>
      <c r="E152" s="518" t="s">
        <v>647</v>
      </c>
      <c r="F152" s="518" t="s">
        <v>673</v>
      </c>
      <c r="G152" s="525">
        <v>0.01</v>
      </c>
      <c r="H152" s="525">
        <v>3.539E-3</v>
      </c>
      <c r="I152" s="527">
        <v>0.4</v>
      </c>
      <c r="J152" s="594">
        <v>5</v>
      </c>
      <c r="K152" s="519">
        <v>43</v>
      </c>
      <c r="L152" s="272"/>
      <c r="M152" s="272"/>
      <c r="P152" s="273"/>
      <c r="Q152" s="273"/>
      <c r="R152" s="273"/>
      <c r="S152" s="273"/>
      <c r="T152" s="273"/>
      <c r="U152" s="273"/>
      <c r="V152" s="273"/>
      <c r="W152" s="273"/>
      <c r="X152" s="484" t="str">
        <f ca="1">IF('CDO Bespoke'!O153&lt;&gt;"",'CDO Bespoke'!O153,"")</f>
        <v/>
      </c>
      <c r="Y152" s="485" t="str">
        <f ca="1">IF(X152&lt;&gt;"",ABS(MIN(-0.75*('CDO Bespoke'!Q153)+'CDO Bespoke'!T153,0)),"")</f>
        <v/>
      </c>
      <c r="Z152" s="485">
        <f t="shared" ca="1" si="16"/>
        <v>0</v>
      </c>
      <c r="AA152" s="485">
        <f t="shared" ca="1" si="17"/>
        <v>0</v>
      </c>
      <c r="AB152" s="484" t="str">
        <f ca="1">IF('CDO Bespoke'!O153&lt;&gt;"",'CDO Bespoke'!O153,"")</f>
        <v/>
      </c>
      <c r="AC152" s="485" t="str">
        <f ca="1">IF(AB152&lt;&gt;"",ABS(MIN(-0.75*('CDO Bespoke'!K153)+'CDO Bespoke'!T153,0)),"")</f>
        <v/>
      </c>
      <c r="AD152" s="485">
        <f t="shared" ca="1" si="18"/>
        <v>0</v>
      </c>
      <c r="AE152" s="489">
        <f t="shared" ca="1" si="19"/>
        <v>0</v>
      </c>
      <c r="AF152" s="272"/>
      <c r="AG152" s="494" t="str">
        <f ca="1">IF('CDO Bespoke'!C177&lt;&gt;"",'CDO Bespoke'!C177,"")</f>
        <v/>
      </c>
      <c r="AH152" s="496"/>
      <c r="AI152" s="585"/>
      <c r="AJ152" s="585"/>
      <c r="AK152" s="585"/>
      <c r="AL152" s="497"/>
      <c r="AM152" s="496"/>
      <c r="AN152" s="585"/>
      <c r="AO152" s="585"/>
      <c r="AP152" s="585"/>
      <c r="AQ152" s="497"/>
      <c r="AR152" s="580"/>
      <c r="AS152" s="580"/>
      <c r="AT152" s="580"/>
      <c r="AU152" s="580"/>
      <c r="AV152" s="580"/>
      <c r="AW152" s="580"/>
      <c r="AX152" s="579"/>
    </row>
    <row r="153" spans="2:50">
      <c r="B153" s="534" t="s">
        <v>561</v>
      </c>
      <c r="C153" s="535" t="s">
        <v>66</v>
      </c>
      <c r="D153" s="535" t="s">
        <v>59</v>
      </c>
      <c r="E153" s="535" t="s">
        <v>647</v>
      </c>
      <c r="F153" s="535" t="s">
        <v>673</v>
      </c>
      <c r="G153" s="536">
        <v>0.01</v>
      </c>
      <c r="H153" s="536">
        <v>4.816E-3</v>
      </c>
      <c r="I153" s="537">
        <v>0.4</v>
      </c>
      <c r="J153" s="595">
        <v>5</v>
      </c>
      <c r="K153" s="538">
        <v>43</v>
      </c>
      <c r="L153" s="272"/>
      <c r="M153" s="272"/>
      <c r="P153" s="273"/>
      <c r="Q153" s="273"/>
      <c r="R153" s="273"/>
      <c r="S153" s="273"/>
      <c r="T153" s="273"/>
      <c r="U153" s="273"/>
      <c r="V153" s="273"/>
      <c r="W153" s="273"/>
      <c r="X153" s="484" t="str">
        <f ca="1">IF('CDO Bespoke'!O154&lt;&gt;"",'CDO Bespoke'!O154,"")</f>
        <v/>
      </c>
      <c r="Y153" s="485" t="str">
        <f ca="1">IF(X153&lt;&gt;"",ABS(MIN(-0.75*('CDO Bespoke'!Q154)+'CDO Bespoke'!T154,0)),"")</f>
        <v/>
      </c>
      <c r="Z153" s="485">
        <f t="shared" ca="1" si="16"/>
        <v>0</v>
      </c>
      <c r="AA153" s="485">
        <f t="shared" ca="1" si="17"/>
        <v>0</v>
      </c>
      <c r="AB153" s="484" t="str">
        <f ca="1">IF('CDO Bespoke'!O154&lt;&gt;"",'CDO Bespoke'!O154,"")</f>
        <v/>
      </c>
      <c r="AC153" s="485" t="str">
        <f ca="1">IF(AB153&lt;&gt;"",ABS(MIN(-0.75*('CDO Bespoke'!K154)+'CDO Bespoke'!T154,0)),"")</f>
        <v/>
      </c>
      <c r="AD153" s="485">
        <f t="shared" ca="1" si="18"/>
        <v>0</v>
      </c>
      <c r="AE153" s="489">
        <f t="shared" ca="1" si="19"/>
        <v>0</v>
      </c>
      <c r="AF153" s="272"/>
      <c r="AG153" s="494" t="str">
        <f ca="1">IF('CDO Bespoke'!C178&lt;&gt;"",'CDO Bespoke'!C178,"")</f>
        <v/>
      </c>
      <c r="AH153" s="496"/>
      <c r="AI153" s="585"/>
      <c r="AJ153" s="585"/>
      <c r="AK153" s="585"/>
      <c r="AL153" s="497"/>
      <c r="AM153" s="496"/>
      <c r="AN153" s="585"/>
      <c r="AO153" s="585"/>
      <c r="AP153" s="585"/>
      <c r="AQ153" s="497"/>
      <c r="AR153" s="580"/>
      <c r="AS153" s="580"/>
      <c r="AT153" s="580"/>
      <c r="AU153" s="580"/>
      <c r="AV153" s="580"/>
      <c r="AW153" s="580"/>
      <c r="AX153" s="579"/>
    </row>
    <row r="154" spans="2:50">
      <c r="B154" s="539" t="s">
        <v>547</v>
      </c>
      <c r="C154" s="540" t="s">
        <v>66</v>
      </c>
      <c r="D154" s="540" t="s">
        <v>55</v>
      </c>
      <c r="E154" s="540" t="s">
        <v>651</v>
      </c>
      <c r="F154" s="540" t="s">
        <v>673</v>
      </c>
      <c r="G154" s="541">
        <v>0.01</v>
      </c>
      <c r="H154" s="541">
        <v>1.6999999999999999E-3</v>
      </c>
      <c r="I154" s="542">
        <v>0.4</v>
      </c>
      <c r="J154" s="602">
        <v>5</v>
      </c>
      <c r="K154" s="543">
        <v>44</v>
      </c>
      <c r="L154" s="272"/>
      <c r="M154" s="272"/>
      <c r="P154" s="273"/>
      <c r="Q154" s="273"/>
      <c r="R154" s="273"/>
      <c r="S154" s="273"/>
      <c r="T154" s="273"/>
      <c r="U154" s="273"/>
      <c r="V154" s="273"/>
      <c r="W154" s="273"/>
      <c r="X154" s="484" t="str">
        <f ca="1">IF('CDO Bespoke'!O155&lt;&gt;"",'CDO Bespoke'!O155,"")</f>
        <v/>
      </c>
      <c r="Y154" s="485" t="str">
        <f ca="1">IF(X154&lt;&gt;"",ABS(MIN(-0.75*('CDO Bespoke'!Q155)+'CDO Bespoke'!T155,0)),"")</f>
        <v/>
      </c>
      <c r="Z154" s="485">
        <f t="shared" ca="1" si="16"/>
        <v>0</v>
      </c>
      <c r="AA154" s="485">
        <f t="shared" ca="1" si="17"/>
        <v>0</v>
      </c>
      <c r="AB154" s="484" t="str">
        <f ca="1">IF('CDO Bespoke'!O155&lt;&gt;"",'CDO Bespoke'!O155,"")</f>
        <v/>
      </c>
      <c r="AC154" s="485" t="str">
        <f ca="1">IF(AB154&lt;&gt;"",ABS(MIN(-0.75*('CDO Bespoke'!K155)+'CDO Bespoke'!T155,0)),"")</f>
        <v/>
      </c>
      <c r="AD154" s="485">
        <f t="shared" ca="1" si="18"/>
        <v>0</v>
      </c>
      <c r="AE154" s="489">
        <f t="shared" ca="1" si="19"/>
        <v>0</v>
      </c>
      <c r="AF154" s="272"/>
      <c r="AG154" s="494" t="str">
        <f ca="1">IF('CDO Bespoke'!C179&lt;&gt;"",'CDO Bespoke'!C179,"")</f>
        <v/>
      </c>
      <c r="AH154" s="496"/>
      <c r="AI154" s="585"/>
      <c r="AJ154" s="585"/>
      <c r="AK154" s="585"/>
      <c r="AL154" s="497"/>
      <c r="AM154" s="496"/>
      <c r="AN154" s="585"/>
      <c r="AO154" s="585"/>
      <c r="AP154" s="585"/>
      <c r="AQ154" s="497"/>
      <c r="AR154" s="580"/>
      <c r="AS154" s="580"/>
      <c r="AT154" s="580"/>
      <c r="AU154" s="580"/>
      <c r="AV154" s="580"/>
      <c r="AW154" s="580"/>
      <c r="AX154" s="579"/>
    </row>
    <row r="155" spans="2:50">
      <c r="B155" s="517" t="s">
        <v>547</v>
      </c>
      <c r="C155" s="518" t="s">
        <v>66</v>
      </c>
      <c r="D155" s="518" t="s">
        <v>57</v>
      </c>
      <c r="E155" s="518" t="s">
        <v>651</v>
      </c>
      <c r="F155" s="518" t="s">
        <v>673</v>
      </c>
      <c r="G155" s="525">
        <v>0.01</v>
      </c>
      <c r="H155" s="525">
        <v>2.6360000000000001E-2</v>
      </c>
      <c r="I155" s="527">
        <v>0.4</v>
      </c>
      <c r="J155" s="594">
        <v>5</v>
      </c>
      <c r="K155" s="519">
        <v>44</v>
      </c>
      <c r="L155" s="272"/>
      <c r="M155" s="272"/>
      <c r="P155" s="273"/>
      <c r="Q155" s="273"/>
      <c r="R155" s="273"/>
      <c r="S155" s="273"/>
      <c r="T155" s="273"/>
      <c r="U155" s="273"/>
      <c r="V155" s="273"/>
      <c r="W155" s="273"/>
      <c r="X155" s="484" t="str">
        <f ca="1">IF('CDO Bespoke'!O156&lt;&gt;"",'CDO Bespoke'!O156,"")</f>
        <v/>
      </c>
      <c r="Y155" s="485" t="str">
        <f ca="1">IF(X155&lt;&gt;"",ABS(MIN(-0.75*('CDO Bespoke'!Q156)+'CDO Bespoke'!T156,0)),"")</f>
        <v/>
      </c>
      <c r="Z155" s="485">
        <f t="shared" ca="1" si="16"/>
        <v>0</v>
      </c>
      <c r="AA155" s="485">
        <f t="shared" ca="1" si="17"/>
        <v>0</v>
      </c>
      <c r="AB155" s="484" t="str">
        <f ca="1">IF('CDO Bespoke'!O156&lt;&gt;"",'CDO Bespoke'!O156,"")</f>
        <v/>
      </c>
      <c r="AC155" s="485" t="str">
        <f ca="1">IF(AB155&lt;&gt;"",ABS(MIN(-0.75*('CDO Bespoke'!K156)+'CDO Bespoke'!T156,0)),"")</f>
        <v/>
      </c>
      <c r="AD155" s="485">
        <f t="shared" ca="1" si="18"/>
        <v>0</v>
      </c>
      <c r="AE155" s="489">
        <f t="shared" ca="1" si="19"/>
        <v>0</v>
      </c>
      <c r="AF155" s="272"/>
      <c r="AG155" s="494" t="str">
        <f ca="1">IF('CDO Bespoke'!C180&lt;&gt;"",'CDO Bespoke'!C180,"")</f>
        <v/>
      </c>
      <c r="AH155" s="496"/>
      <c r="AI155" s="585"/>
      <c r="AJ155" s="585"/>
      <c r="AK155" s="585"/>
      <c r="AL155" s="497"/>
      <c r="AM155" s="496"/>
      <c r="AN155" s="585"/>
      <c r="AO155" s="585"/>
      <c r="AP155" s="585"/>
      <c r="AQ155" s="497"/>
      <c r="AR155" s="580"/>
      <c r="AS155" s="580"/>
      <c r="AT155" s="580"/>
      <c r="AU155" s="580"/>
      <c r="AV155" s="580"/>
      <c r="AW155" s="580"/>
      <c r="AX155" s="579"/>
    </row>
    <row r="156" spans="2:50">
      <c r="B156" s="534" t="s">
        <v>547</v>
      </c>
      <c r="C156" s="535" t="s">
        <v>66</v>
      </c>
      <c r="D156" s="535" t="s">
        <v>59</v>
      </c>
      <c r="E156" s="535" t="s">
        <v>651</v>
      </c>
      <c r="F156" s="535" t="s">
        <v>673</v>
      </c>
      <c r="G156" s="536">
        <v>0.01</v>
      </c>
      <c r="H156" s="536">
        <v>3.9090000000000001E-3</v>
      </c>
      <c r="I156" s="537">
        <v>0.4</v>
      </c>
      <c r="J156" s="595">
        <v>5</v>
      </c>
      <c r="K156" s="538">
        <v>44</v>
      </c>
      <c r="L156" s="272"/>
      <c r="M156" s="272"/>
      <c r="P156" s="273"/>
      <c r="Q156" s="273"/>
      <c r="R156" s="273"/>
      <c r="S156" s="273"/>
      <c r="T156" s="273"/>
      <c r="U156" s="273"/>
      <c r="V156" s="273"/>
      <c r="W156" s="273"/>
      <c r="X156" s="484" t="str">
        <f ca="1">IF('CDO Bespoke'!O157&lt;&gt;"",'CDO Bespoke'!O157,"")</f>
        <v/>
      </c>
      <c r="Y156" s="485" t="str">
        <f ca="1">IF(X156&lt;&gt;"",ABS(MIN(-0.75*('CDO Bespoke'!Q157)+'CDO Bespoke'!T157,0)),"")</f>
        <v/>
      </c>
      <c r="Z156" s="485">
        <f t="shared" ca="1" si="16"/>
        <v>0</v>
      </c>
      <c r="AA156" s="485">
        <f t="shared" ca="1" si="17"/>
        <v>0</v>
      </c>
      <c r="AB156" s="484" t="str">
        <f ca="1">IF('CDO Bespoke'!O157&lt;&gt;"",'CDO Bespoke'!O157,"")</f>
        <v/>
      </c>
      <c r="AC156" s="485" t="str">
        <f ca="1">IF(AB156&lt;&gt;"",ABS(MIN(-0.75*('CDO Bespoke'!K157)+'CDO Bespoke'!T157,0)),"")</f>
        <v/>
      </c>
      <c r="AD156" s="485">
        <f t="shared" ca="1" si="18"/>
        <v>0</v>
      </c>
      <c r="AE156" s="489">
        <f t="shared" ca="1" si="19"/>
        <v>0</v>
      </c>
      <c r="AF156" s="272"/>
      <c r="AG156" s="494" t="str">
        <f ca="1">IF('CDO Bespoke'!C181&lt;&gt;"",'CDO Bespoke'!C181,"")</f>
        <v/>
      </c>
      <c r="AH156" s="496"/>
      <c r="AI156" s="585"/>
      <c r="AJ156" s="585"/>
      <c r="AK156" s="585"/>
      <c r="AL156" s="497"/>
      <c r="AM156" s="496"/>
      <c r="AN156" s="585"/>
      <c r="AO156" s="585"/>
      <c r="AP156" s="585"/>
      <c r="AQ156" s="497"/>
      <c r="AR156" s="580"/>
      <c r="AS156" s="580"/>
      <c r="AT156" s="580"/>
      <c r="AU156" s="580"/>
      <c r="AV156" s="580"/>
      <c r="AW156" s="580"/>
      <c r="AX156" s="579"/>
    </row>
    <row r="157" spans="2:50">
      <c r="B157" s="539" t="s">
        <v>615</v>
      </c>
      <c r="C157" s="540" t="s">
        <v>66</v>
      </c>
      <c r="D157" s="540" t="s">
        <v>55</v>
      </c>
      <c r="E157" s="540" t="s">
        <v>649</v>
      </c>
      <c r="F157" s="540" t="s">
        <v>673</v>
      </c>
      <c r="G157" s="541">
        <v>0.01</v>
      </c>
      <c r="H157" s="541">
        <v>1.7680000000000001E-2</v>
      </c>
      <c r="I157" s="542">
        <v>0.4</v>
      </c>
      <c r="J157" s="602">
        <v>5</v>
      </c>
      <c r="K157" s="543">
        <v>45</v>
      </c>
      <c r="L157" s="272"/>
      <c r="M157" s="272"/>
      <c r="P157" s="273"/>
      <c r="Q157" s="273"/>
      <c r="R157" s="273"/>
      <c r="S157" s="273"/>
      <c r="T157" s="273"/>
      <c r="U157" s="273"/>
      <c r="V157" s="273"/>
      <c r="W157" s="273"/>
      <c r="X157" s="484" t="str">
        <f ca="1">IF('CDO Bespoke'!O158&lt;&gt;"",'CDO Bespoke'!O158,"")</f>
        <v/>
      </c>
      <c r="Y157" s="485" t="str">
        <f ca="1">IF(X157&lt;&gt;"",ABS(MIN(-0.75*('CDO Bespoke'!Q158)+'CDO Bespoke'!T158,0)),"")</f>
        <v/>
      </c>
      <c r="Z157" s="485">
        <f t="shared" ca="1" si="16"/>
        <v>0</v>
      </c>
      <c r="AA157" s="485">
        <f t="shared" ca="1" si="17"/>
        <v>0</v>
      </c>
      <c r="AB157" s="484" t="str">
        <f ca="1">IF('CDO Bespoke'!O158&lt;&gt;"",'CDO Bespoke'!O158,"")</f>
        <v/>
      </c>
      <c r="AC157" s="485" t="str">
        <f ca="1">IF(AB157&lt;&gt;"",ABS(MIN(-0.75*('CDO Bespoke'!K158)+'CDO Bespoke'!T158,0)),"")</f>
        <v/>
      </c>
      <c r="AD157" s="485">
        <f t="shared" ca="1" si="18"/>
        <v>0</v>
      </c>
      <c r="AE157" s="489">
        <f t="shared" ca="1" si="19"/>
        <v>0</v>
      </c>
      <c r="AF157" s="272"/>
      <c r="AG157" s="494" t="str">
        <f ca="1">IF('CDO Bespoke'!C182&lt;&gt;"",'CDO Bespoke'!C182,"")</f>
        <v/>
      </c>
      <c r="AH157" s="496"/>
      <c r="AI157" s="585"/>
      <c r="AJ157" s="585"/>
      <c r="AK157" s="585"/>
      <c r="AL157" s="497"/>
      <c r="AM157" s="496"/>
      <c r="AN157" s="585"/>
      <c r="AO157" s="585"/>
      <c r="AP157" s="585"/>
      <c r="AQ157" s="497"/>
      <c r="AR157" s="580"/>
      <c r="AS157" s="580"/>
      <c r="AT157" s="580"/>
      <c r="AU157" s="580"/>
      <c r="AV157" s="580"/>
      <c r="AW157" s="580"/>
      <c r="AX157" s="579"/>
    </row>
    <row r="158" spans="2:50">
      <c r="B158" s="517" t="s">
        <v>615</v>
      </c>
      <c r="C158" s="518" t="s">
        <v>66</v>
      </c>
      <c r="D158" s="518" t="s">
        <v>57</v>
      </c>
      <c r="E158" s="518" t="s">
        <v>649</v>
      </c>
      <c r="F158" s="518" t="s">
        <v>673</v>
      </c>
      <c r="G158" s="525">
        <v>0.01</v>
      </c>
      <c r="H158" s="525">
        <v>2.5177000000000001E-2</v>
      </c>
      <c r="I158" s="527">
        <v>0.4</v>
      </c>
      <c r="J158" s="594">
        <v>5</v>
      </c>
      <c r="K158" s="519">
        <v>45</v>
      </c>
      <c r="L158" s="272"/>
      <c r="M158" s="272"/>
      <c r="P158" s="273"/>
      <c r="Q158" s="273"/>
      <c r="R158" s="273"/>
      <c r="S158" s="273"/>
      <c r="T158" s="273"/>
      <c r="U158" s="273"/>
      <c r="V158" s="273"/>
      <c r="W158" s="273"/>
      <c r="X158" s="484" t="str">
        <f ca="1">IF('CDO Bespoke'!O159&lt;&gt;"",'CDO Bespoke'!O159,"")</f>
        <v/>
      </c>
      <c r="Y158" s="485" t="str">
        <f ca="1">IF(X158&lt;&gt;"",ABS(MIN(-0.75*('CDO Bespoke'!Q159)+'CDO Bespoke'!T159,0)),"")</f>
        <v/>
      </c>
      <c r="Z158" s="485">
        <f t="shared" ca="1" si="16"/>
        <v>0</v>
      </c>
      <c r="AA158" s="485">
        <f t="shared" ca="1" si="17"/>
        <v>0</v>
      </c>
      <c r="AB158" s="484" t="str">
        <f ca="1">IF('CDO Bespoke'!O159&lt;&gt;"",'CDO Bespoke'!O159,"")</f>
        <v/>
      </c>
      <c r="AC158" s="485" t="str">
        <f ca="1">IF(AB158&lt;&gt;"",ABS(MIN(-0.75*('CDO Bespoke'!K159)+'CDO Bespoke'!T159,0)),"")</f>
        <v/>
      </c>
      <c r="AD158" s="485">
        <f t="shared" ca="1" si="18"/>
        <v>0</v>
      </c>
      <c r="AE158" s="489">
        <f t="shared" ca="1" si="19"/>
        <v>0</v>
      </c>
      <c r="AF158" s="272"/>
      <c r="AG158" s="494" t="str">
        <f ca="1">IF('CDO Bespoke'!C183&lt;&gt;"",'CDO Bespoke'!C183,"")</f>
        <v/>
      </c>
      <c r="AH158" s="496"/>
      <c r="AI158" s="585"/>
      <c r="AJ158" s="585"/>
      <c r="AK158" s="585"/>
      <c r="AL158" s="497"/>
      <c r="AM158" s="496"/>
      <c r="AN158" s="585"/>
      <c r="AO158" s="585"/>
      <c r="AP158" s="585"/>
      <c r="AQ158" s="497"/>
      <c r="AR158" s="580"/>
      <c r="AS158" s="580"/>
      <c r="AT158" s="580"/>
      <c r="AU158" s="580"/>
      <c r="AV158" s="580"/>
      <c r="AW158" s="580"/>
      <c r="AX158" s="579"/>
    </row>
    <row r="159" spans="2:50">
      <c r="B159" s="534" t="s">
        <v>615</v>
      </c>
      <c r="C159" s="535" t="s">
        <v>66</v>
      </c>
      <c r="D159" s="535" t="s">
        <v>59</v>
      </c>
      <c r="E159" s="535" t="s">
        <v>649</v>
      </c>
      <c r="F159" s="535" t="s">
        <v>673</v>
      </c>
      <c r="G159" s="536">
        <v>0.01</v>
      </c>
      <c r="H159" s="536">
        <v>3.0232999999999999E-2</v>
      </c>
      <c r="I159" s="537">
        <v>0.4</v>
      </c>
      <c r="J159" s="595">
        <v>5</v>
      </c>
      <c r="K159" s="538">
        <v>45</v>
      </c>
      <c r="L159" s="272"/>
      <c r="M159" s="272"/>
      <c r="P159" s="273"/>
      <c r="Q159" s="273"/>
      <c r="R159" s="273"/>
      <c r="S159" s="273"/>
      <c r="T159" s="273"/>
      <c r="U159" s="273"/>
      <c r="V159" s="273"/>
      <c r="W159" s="273"/>
      <c r="X159" s="484" t="str">
        <f ca="1">IF('CDO Bespoke'!O160&lt;&gt;"",'CDO Bespoke'!O160,"")</f>
        <v/>
      </c>
      <c r="Y159" s="485" t="str">
        <f ca="1">IF(X159&lt;&gt;"",ABS(MIN(-0.75*('CDO Bespoke'!Q160)+'CDO Bespoke'!T160,0)),"")</f>
        <v/>
      </c>
      <c r="Z159" s="485">
        <f t="shared" ca="1" si="16"/>
        <v>0</v>
      </c>
      <c r="AA159" s="485">
        <f t="shared" ca="1" si="17"/>
        <v>0</v>
      </c>
      <c r="AB159" s="484" t="str">
        <f ca="1">IF('CDO Bespoke'!O160&lt;&gt;"",'CDO Bespoke'!O160,"")</f>
        <v/>
      </c>
      <c r="AC159" s="485" t="str">
        <f ca="1">IF(AB159&lt;&gt;"",ABS(MIN(-0.75*('CDO Bespoke'!K160)+'CDO Bespoke'!T160,0)),"")</f>
        <v/>
      </c>
      <c r="AD159" s="485">
        <f t="shared" ca="1" si="18"/>
        <v>0</v>
      </c>
      <c r="AE159" s="489">
        <f t="shared" ca="1" si="19"/>
        <v>0</v>
      </c>
      <c r="AF159" s="272"/>
      <c r="AG159" s="494" t="str">
        <f ca="1">IF('CDO Bespoke'!C184&lt;&gt;"",'CDO Bespoke'!C184,"")</f>
        <v/>
      </c>
      <c r="AH159" s="496"/>
      <c r="AI159" s="585"/>
      <c r="AJ159" s="585"/>
      <c r="AK159" s="585"/>
      <c r="AL159" s="497"/>
      <c r="AM159" s="496"/>
      <c r="AN159" s="585"/>
      <c r="AO159" s="585"/>
      <c r="AP159" s="585"/>
      <c r="AQ159" s="497"/>
      <c r="AR159" s="580"/>
      <c r="AS159" s="580"/>
      <c r="AT159" s="580"/>
      <c r="AU159" s="580"/>
      <c r="AV159" s="580"/>
      <c r="AW159" s="580"/>
      <c r="AX159" s="579"/>
    </row>
    <row r="160" spans="2:50">
      <c r="B160" s="539" t="s">
        <v>562</v>
      </c>
      <c r="C160" s="540" t="s">
        <v>66</v>
      </c>
      <c r="D160" s="540" t="s">
        <v>55</v>
      </c>
      <c r="E160" s="540" t="s">
        <v>649</v>
      </c>
      <c r="F160" s="540" t="s">
        <v>673</v>
      </c>
      <c r="G160" s="541">
        <v>0.01</v>
      </c>
      <c r="H160" s="541">
        <v>1.828E-3</v>
      </c>
      <c r="I160" s="542">
        <v>0.4</v>
      </c>
      <c r="J160" s="602">
        <v>5</v>
      </c>
      <c r="K160" s="543">
        <v>46</v>
      </c>
      <c r="L160" s="272"/>
      <c r="M160" s="272"/>
      <c r="P160" s="273"/>
      <c r="Q160" s="273"/>
      <c r="R160" s="273"/>
      <c r="S160" s="273"/>
      <c r="T160" s="273"/>
      <c r="U160" s="273"/>
      <c r="V160" s="273"/>
      <c r="W160" s="273"/>
      <c r="X160" s="484" t="str">
        <f ca="1">IF('CDO Bespoke'!O161&lt;&gt;"",'CDO Bespoke'!O161,"")</f>
        <v/>
      </c>
      <c r="Y160" s="485" t="str">
        <f ca="1">IF(X160&lt;&gt;"",ABS(MIN(-0.75*('CDO Bespoke'!Q161)+'CDO Bespoke'!T161,0)),"")</f>
        <v/>
      </c>
      <c r="Z160" s="485">
        <f t="shared" ca="1" si="16"/>
        <v>0</v>
      </c>
      <c r="AA160" s="485">
        <f t="shared" ca="1" si="17"/>
        <v>0</v>
      </c>
      <c r="AB160" s="484" t="str">
        <f ca="1">IF('CDO Bespoke'!O161&lt;&gt;"",'CDO Bespoke'!O161,"")</f>
        <v/>
      </c>
      <c r="AC160" s="485" t="str">
        <f ca="1">IF(AB160&lt;&gt;"",ABS(MIN(-0.75*('CDO Bespoke'!K161)+'CDO Bespoke'!T161,0)),"")</f>
        <v/>
      </c>
      <c r="AD160" s="485">
        <f t="shared" ca="1" si="18"/>
        <v>0</v>
      </c>
      <c r="AE160" s="489">
        <f t="shared" ca="1" si="19"/>
        <v>0</v>
      </c>
      <c r="AF160" s="272"/>
      <c r="AG160" s="494" t="str">
        <f ca="1">IF('CDO Bespoke'!C185&lt;&gt;"",'CDO Bespoke'!C185,"")</f>
        <v/>
      </c>
      <c r="AH160" s="496"/>
      <c r="AI160" s="585"/>
      <c r="AJ160" s="585"/>
      <c r="AK160" s="585"/>
      <c r="AL160" s="497"/>
      <c r="AM160" s="496"/>
      <c r="AN160" s="585"/>
      <c r="AO160" s="585"/>
      <c r="AP160" s="585"/>
      <c r="AQ160" s="497"/>
      <c r="AR160" s="580"/>
      <c r="AS160" s="580"/>
      <c r="AT160" s="580"/>
      <c r="AU160" s="580"/>
      <c r="AV160" s="580"/>
      <c r="AW160" s="580"/>
      <c r="AX160" s="579"/>
    </row>
    <row r="161" spans="2:50">
      <c r="B161" s="517" t="s">
        <v>562</v>
      </c>
      <c r="C161" s="518" t="s">
        <v>66</v>
      </c>
      <c r="D161" s="518" t="s">
        <v>57</v>
      </c>
      <c r="E161" s="518" t="s">
        <v>649</v>
      </c>
      <c r="F161" s="518" t="s">
        <v>673</v>
      </c>
      <c r="G161" s="525">
        <v>0.01</v>
      </c>
      <c r="H161" s="525">
        <v>3.0709999999999999E-3</v>
      </c>
      <c r="I161" s="527">
        <v>0.4</v>
      </c>
      <c r="J161" s="594">
        <v>5</v>
      </c>
      <c r="K161" s="519">
        <v>46</v>
      </c>
      <c r="L161" s="272"/>
      <c r="M161" s="272"/>
      <c r="P161" s="273"/>
      <c r="Q161" s="273"/>
      <c r="R161" s="273"/>
      <c r="S161" s="273"/>
      <c r="T161" s="273"/>
      <c r="U161" s="273"/>
      <c r="V161" s="273"/>
      <c r="W161" s="273"/>
      <c r="X161" s="484" t="str">
        <f ca="1">IF('CDO Bespoke'!O162&lt;&gt;"",'CDO Bespoke'!O162,"")</f>
        <v/>
      </c>
      <c r="Y161" s="485" t="str">
        <f ca="1">IF(X161&lt;&gt;"",ABS(MIN(-0.75*('CDO Bespoke'!Q162)+'CDO Bespoke'!T162,0)),"")</f>
        <v/>
      </c>
      <c r="Z161" s="485">
        <f t="shared" ca="1" si="16"/>
        <v>0</v>
      </c>
      <c r="AA161" s="485">
        <f t="shared" ca="1" si="17"/>
        <v>0</v>
      </c>
      <c r="AB161" s="484" t="str">
        <f ca="1">IF('CDO Bespoke'!O162&lt;&gt;"",'CDO Bespoke'!O162,"")</f>
        <v/>
      </c>
      <c r="AC161" s="485" t="str">
        <f ca="1">IF(AB161&lt;&gt;"",ABS(MIN(-0.75*('CDO Bespoke'!K162)+'CDO Bespoke'!T162,0)),"")</f>
        <v/>
      </c>
      <c r="AD161" s="485">
        <f t="shared" ca="1" si="18"/>
        <v>0</v>
      </c>
      <c r="AE161" s="489">
        <f t="shared" ca="1" si="19"/>
        <v>0</v>
      </c>
      <c r="AF161" s="272"/>
      <c r="AG161" s="494" t="str">
        <f ca="1">IF('CDO Bespoke'!C186&lt;&gt;"",'CDO Bespoke'!C186,"")</f>
        <v/>
      </c>
      <c r="AH161" s="496"/>
      <c r="AI161" s="585"/>
      <c r="AJ161" s="585"/>
      <c r="AK161" s="585"/>
      <c r="AL161" s="497"/>
      <c r="AM161" s="496"/>
      <c r="AN161" s="585"/>
      <c r="AO161" s="585"/>
      <c r="AP161" s="585"/>
      <c r="AQ161" s="497"/>
      <c r="AR161" s="580"/>
      <c r="AS161" s="580"/>
      <c r="AT161" s="580"/>
      <c r="AU161" s="580"/>
      <c r="AV161" s="580"/>
      <c r="AW161" s="580"/>
      <c r="AX161" s="579"/>
    </row>
    <row r="162" spans="2:50">
      <c r="B162" s="534" t="s">
        <v>562</v>
      </c>
      <c r="C162" s="535" t="s">
        <v>66</v>
      </c>
      <c r="D162" s="535" t="s">
        <v>59</v>
      </c>
      <c r="E162" s="535" t="s">
        <v>649</v>
      </c>
      <c r="F162" s="535" t="s">
        <v>673</v>
      </c>
      <c r="G162" s="536">
        <v>0.01</v>
      </c>
      <c r="H162" s="536">
        <v>4.3569999999999998E-3</v>
      </c>
      <c r="I162" s="537">
        <v>0.4</v>
      </c>
      <c r="J162" s="595">
        <v>5</v>
      </c>
      <c r="K162" s="538">
        <v>46</v>
      </c>
      <c r="L162" s="272"/>
      <c r="M162" s="272"/>
      <c r="P162" s="273"/>
      <c r="Q162" s="273"/>
      <c r="R162" s="273"/>
      <c r="S162" s="273"/>
      <c r="T162" s="273"/>
      <c r="U162" s="273"/>
      <c r="V162" s="273"/>
      <c r="W162" s="273"/>
      <c r="X162" s="484" t="str">
        <f ca="1">IF('CDO Bespoke'!O163&lt;&gt;"",'CDO Bespoke'!O163,"")</f>
        <v/>
      </c>
      <c r="Y162" s="485" t="str">
        <f ca="1">IF(X162&lt;&gt;"",ABS(MIN(-0.75*('CDO Bespoke'!Q163)+'CDO Bespoke'!T163,0)),"")</f>
        <v/>
      </c>
      <c r="Z162" s="485">
        <f t="shared" ca="1" si="16"/>
        <v>0</v>
      </c>
      <c r="AA162" s="485">
        <f t="shared" ca="1" si="17"/>
        <v>0</v>
      </c>
      <c r="AB162" s="484" t="str">
        <f ca="1">IF('CDO Bespoke'!O163&lt;&gt;"",'CDO Bespoke'!O163,"")</f>
        <v/>
      </c>
      <c r="AC162" s="485" t="str">
        <f ca="1">IF(AB162&lt;&gt;"",ABS(MIN(-0.75*('CDO Bespoke'!K163)+'CDO Bespoke'!T163,0)),"")</f>
        <v/>
      </c>
      <c r="AD162" s="485">
        <f t="shared" ca="1" si="18"/>
        <v>0</v>
      </c>
      <c r="AE162" s="489">
        <f t="shared" ca="1" si="19"/>
        <v>0</v>
      </c>
      <c r="AF162" s="272"/>
      <c r="AG162" s="494" t="str">
        <f ca="1">IF('CDO Bespoke'!C187&lt;&gt;"",'CDO Bespoke'!C187,"")</f>
        <v/>
      </c>
      <c r="AH162" s="496"/>
      <c r="AI162" s="585"/>
      <c r="AJ162" s="585"/>
      <c r="AK162" s="585"/>
      <c r="AL162" s="497"/>
      <c r="AM162" s="496"/>
      <c r="AN162" s="585"/>
      <c r="AO162" s="585"/>
      <c r="AP162" s="585"/>
      <c r="AQ162" s="497"/>
      <c r="AR162" s="580"/>
      <c r="AS162" s="580"/>
      <c r="AT162" s="580"/>
      <c r="AU162" s="580"/>
      <c r="AV162" s="580"/>
      <c r="AW162" s="580"/>
      <c r="AX162" s="579"/>
    </row>
    <row r="163" spans="2:50">
      <c r="B163" s="539" t="s">
        <v>548</v>
      </c>
      <c r="C163" s="540" t="s">
        <v>66</v>
      </c>
      <c r="D163" s="540" t="s">
        <v>55</v>
      </c>
      <c r="E163" s="540" t="s">
        <v>647</v>
      </c>
      <c r="F163" s="540" t="s">
        <v>673</v>
      </c>
      <c r="G163" s="541">
        <v>0.01</v>
      </c>
      <c r="H163" s="541">
        <v>1.338E-3</v>
      </c>
      <c r="I163" s="542">
        <v>0.4</v>
      </c>
      <c r="J163" s="602">
        <v>5</v>
      </c>
      <c r="K163" s="543">
        <v>47</v>
      </c>
      <c r="L163" s="272"/>
      <c r="M163" s="272"/>
      <c r="P163" s="273"/>
      <c r="Q163" s="273"/>
      <c r="R163" s="273"/>
      <c r="S163" s="273"/>
      <c r="T163" s="273"/>
      <c r="U163" s="273"/>
      <c r="V163" s="273"/>
      <c r="W163" s="273"/>
      <c r="X163" s="484" t="str">
        <f ca="1">IF('CDO Bespoke'!O164&lt;&gt;"",'CDO Bespoke'!O164,"")</f>
        <v/>
      </c>
      <c r="Y163" s="485" t="str">
        <f ca="1">IF(X163&lt;&gt;"",ABS(MIN(-0.75*('CDO Bespoke'!Q164)+'CDO Bespoke'!T164,0)),"")</f>
        <v/>
      </c>
      <c r="Z163" s="485">
        <f t="shared" ca="1" si="16"/>
        <v>0</v>
      </c>
      <c r="AA163" s="485">
        <f t="shared" ca="1" si="17"/>
        <v>0</v>
      </c>
      <c r="AB163" s="484" t="str">
        <f ca="1">IF('CDO Bespoke'!O164&lt;&gt;"",'CDO Bespoke'!O164,"")</f>
        <v/>
      </c>
      <c r="AC163" s="485" t="str">
        <f ca="1">IF(AB163&lt;&gt;"",ABS(MIN(-0.75*('CDO Bespoke'!K164)+'CDO Bespoke'!T164,0)),"")</f>
        <v/>
      </c>
      <c r="AD163" s="485">
        <f t="shared" ca="1" si="18"/>
        <v>0</v>
      </c>
      <c r="AE163" s="489">
        <f t="shared" ca="1" si="19"/>
        <v>0</v>
      </c>
      <c r="AF163" s="272"/>
      <c r="AG163" s="494" t="str">
        <f ca="1">IF('CDO Bespoke'!C188&lt;&gt;"",'CDO Bespoke'!C188,"")</f>
        <v/>
      </c>
      <c r="AH163" s="496"/>
      <c r="AI163" s="585"/>
      <c r="AJ163" s="585"/>
      <c r="AK163" s="585"/>
      <c r="AL163" s="497"/>
      <c r="AM163" s="496"/>
      <c r="AN163" s="585"/>
      <c r="AO163" s="585"/>
      <c r="AP163" s="585"/>
      <c r="AQ163" s="497"/>
      <c r="AR163" s="580"/>
      <c r="AS163" s="580"/>
      <c r="AT163" s="580"/>
      <c r="AU163" s="580"/>
      <c r="AV163" s="580"/>
      <c r="AW163" s="580"/>
      <c r="AX163" s="579"/>
    </row>
    <row r="164" spans="2:50">
      <c r="B164" s="517" t="s">
        <v>548</v>
      </c>
      <c r="C164" s="518" t="s">
        <v>66</v>
      </c>
      <c r="D164" s="518" t="s">
        <v>57</v>
      </c>
      <c r="E164" s="518" t="s">
        <v>647</v>
      </c>
      <c r="F164" s="518" t="s">
        <v>673</v>
      </c>
      <c r="G164" s="525">
        <v>0.01</v>
      </c>
      <c r="H164" s="525">
        <v>2.0349999999999999E-3</v>
      </c>
      <c r="I164" s="527">
        <v>0.4</v>
      </c>
      <c r="J164" s="594">
        <v>5</v>
      </c>
      <c r="K164" s="519">
        <v>47</v>
      </c>
      <c r="L164" s="272"/>
      <c r="M164" s="272"/>
      <c r="P164" s="273"/>
      <c r="Q164" s="273"/>
      <c r="R164" s="273"/>
      <c r="S164" s="273"/>
      <c r="T164" s="273"/>
      <c r="U164" s="273"/>
      <c r="V164" s="273"/>
      <c r="W164" s="273"/>
      <c r="X164" s="484" t="str">
        <f ca="1">IF('CDO Bespoke'!O165&lt;&gt;"",'CDO Bespoke'!O165,"")</f>
        <v/>
      </c>
      <c r="Y164" s="485" t="str">
        <f ca="1">IF(X164&lt;&gt;"",ABS(MIN(-0.75*('CDO Bespoke'!Q165)+'CDO Bespoke'!T165,0)),"")</f>
        <v/>
      </c>
      <c r="Z164" s="485">
        <f t="shared" ca="1" si="16"/>
        <v>0</v>
      </c>
      <c r="AA164" s="485">
        <f t="shared" ca="1" si="17"/>
        <v>0</v>
      </c>
      <c r="AB164" s="484" t="str">
        <f ca="1">IF('CDO Bespoke'!O165&lt;&gt;"",'CDO Bespoke'!O165,"")</f>
        <v/>
      </c>
      <c r="AC164" s="485" t="str">
        <f ca="1">IF(AB164&lt;&gt;"",ABS(MIN(-0.75*('CDO Bespoke'!K165)+'CDO Bespoke'!T165,0)),"")</f>
        <v/>
      </c>
      <c r="AD164" s="485">
        <f t="shared" ca="1" si="18"/>
        <v>0</v>
      </c>
      <c r="AE164" s="489">
        <f t="shared" ca="1" si="19"/>
        <v>0</v>
      </c>
      <c r="AF164" s="272"/>
      <c r="AG164" s="494" t="str">
        <f ca="1">IF('CDO Bespoke'!C189&lt;&gt;"",'CDO Bespoke'!C189,"")</f>
        <v/>
      </c>
      <c r="AH164" s="496"/>
      <c r="AI164" s="585"/>
      <c r="AJ164" s="585"/>
      <c r="AK164" s="585"/>
      <c r="AL164" s="497"/>
      <c r="AM164" s="496"/>
      <c r="AN164" s="585"/>
      <c r="AO164" s="585"/>
      <c r="AP164" s="585"/>
      <c r="AQ164" s="497"/>
      <c r="AR164" s="580"/>
      <c r="AS164" s="580"/>
      <c r="AT164" s="580"/>
      <c r="AU164" s="580"/>
      <c r="AV164" s="580"/>
      <c r="AW164" s="580"/>
      <c r="AX164" s="579"/>
    </row>
    <row r="165" spans="2:50">
      <c r="B165" s="534" t="s">
        <v>548</v>
      </c>
      <c r="C165" s="535" t="s">
        <v>66</v>
      </c>
      <c r="D165" s="535" t="s">
        <v>59</v>
      </c>
      <c r="E165" s="535" t="s">
        <v>647</v>
      </c>
      <c r="F165" s="535" t="s">
        <v>673</v>
      </c>
      <c r="G165" s="536">
        <v>0.01</v>
      </c>
      <c r="H165" s="536">
        <v>2.843E-3</v>
      </c>
      <c r="I165" s="537">
        <v>0.4</v>
      </c>
      <c r="J165" s="595">
        <v>5</v>
      </c>
      <c r="K165" s="538">
        <v>47</v>
      </c>
      <c r="L165" s="272"/>
      <c r="M165" s="272"/>
      <c r="P165" s="273"/>
      <c r="Q165" s="273"/>
      <c r="R165" s="273"/>
      <c r="S165" s="273"/>
      <c r="T165" s="273"/>
      <c r="U165" s="273"/>
      <c r="V165" s="273"/>
      <c r="W165" s="273"/>
      <c r="X165" s="484" t="str">
        <f ca="1">IF('CDO Bespoke'!O166&lt;&gt;"",'CDO Bespoke'!O166,"")</f>
        <v/>
      </c>
      <c r="Y165" s="485" t="str">
        <f ca="1">IF(X165&lt;&gt;"",ABS(MIN(-0.75*('CDO Bespoke'!Q166)+'CDO Bespoke'!T166,0)),"")</f>
        <v/>
      </c>
      <c r="Z165" s="485">
        <f t="shared" ca="1" si="16"/>
        <v>0</v>
      </c>
      <c r="AA165" s="485">
        <f t="shared" ca="1" si="17"/>
        <v>0</v>
      </c>
      <c r="AB165" s="484" t="str">
        <f ca="1">IF('CDO Bespoke'!O166&lt;&gt;"",'CDO Bespoke'!O166,"")</f>
        <v/>
      </c>
      <c r="AC165" s="485" t="str">
        <f ca="1">IF(AB165&lt;&gt;"",ABS(MIN(-0.75*('CDO Bespoke'!K166)+'CDO Bespoke'!T166,0)),"")</f>
        <v/>
      </c>
      <c r="AD165" s="485">
        <f t="shared" ca="1" si="18"/>
        <v>0</v>
      </c>
      <c r="AE165" s="489">
        <f t="shared" ca="1" si="19"/>
        <v>0</v>
      </c>
      <c r="AF165" s="272"/>
      <c r="AG165" s="494" t="str">
        <f ca="1">IF('CDO Bespoke'!C190&lt;&gt;"",'CDO Bespoke'!C190,"")</f>
        <v/>
      </c>
      <c r="AH165" s="496"/>
      <c r="AI165" s="585"/>
      <c r="AJ165" s="585"/>
      <c r="AK165" s="585"/>
      <c r="AL165" s="497"/>
      <c r="AM165" s="496"/>
      <c r="AN165" s="585"/>
      <c r="AO165" s="585"/>
      <c r="AP165" s="585"/>
      <c r="AQ165" s="497"/>
      <c r="AR165" s="580"/>
      <c r="AS165" s="580"/>
      <c r="AT165" s="580"/>
      <c r="AU165" s="580"/>
      <c r="AV165" s="580"/>
      <c r="AW165" s="580"/>
      <c r="AX165" s="579"/>
    </row>
    <row r="166" spans="2:50">
      <c r="B166" s="539" t="s">
        <v>563</v>
      </c>
      <c r="C166" s="540" t="s">
        <v>66</v>
      </c>
      <c r="D166" s="540" t="s">
        <v>55</v>
      </c>
      <c r="E166" s="540" t="s">
        <v>649</v>
      </c>
      <c r="F166" s="540" t="s">
        <v>673</v>
      </c>
      <c r="G166" s="541">
        <v>0.01</v>
      </c>
      <c r="H166" s="541">
        <v>4.5620000000000001E-3</v>
      </c>
      <c r="I166" s="542">
        <v>0.4</v>
      </c>
      <c r="J166" s="602">
        <v>5</v>
      </c>
      <c r="K166" s="543">
        <v>48</v>
      </c>
      <c r="L166" s="272"/>
      <c r="M166" s="272"/>
      <c r="P166" s="273"/>
      <c r="Q166" s="273"/>
      <c r="R166" s="273"/>
      <c r="S166" s="273"/>
      <c r="T166" s="273"/>
      <c r="U166" s="273"/>
      <c r="V166" s="273"/>
      <c r="W166" s="273"/>
      <c r="X166" s="484" t="str">
        <f ca="1">IF('CDO Bespoke'!O167&lt;&gt;"",'CDO Bespoke'!O167,"")</f>
        <v/>
      </c>
      <c r="Y166" s="485" t="str">
        <f ca="1">IF(X166&lt;&gt;"",ABS(MIN(-0.75*('CDO Bespoke'!Q167)+'CDO Bespoke'!T167,0)),"")</f>
        <v/>
      </c>
      <c r="Z166" s="485">
        <f t="shared" ca="1" si="16"/>
        <v>0</v>
      </c>
      <c r="AA166" s="485">
        <f t="shared" ca="1" si="17"/>
        <v>0</v>
      </c>
      <c r="AB166" s="484" t="str">
        <f ca="1">IF('CDO Bespoke'!O167&lt;&gt;"",'CDO Bespoke'!O167,"")</f>
        <v/>
      </c>
      <c r="AC166" s="485" t="str">
        <f ca="1">IF(AB166&lt;&gt;"",ABS(MIN(-0.75*('CDO Bespoke'!K167)+'CDO Bespoke'!T167,0)),"")</f>
        <v/>
      </c>
      <c r="AD166" s="485">
        <f t="shared" ca="1" si="18"/>
        <v>0</v>
      </c>
      <c r="AE166" s="489">
        <f t="shared" ca="1" si="19"/>
        <v>0</v>
      </c>
      <c r="AF166" s="272"/>
      <c r="AG166" s="494" t="str">
        <f ca="1">IF('CDO Bespoke'!C191&lt;&gt;"",'CDO Bespoke'!C191,"")</f>
        <v/>
      </c>
      <c r="AH166" s="496"/>
      <c r="AI166" s="585"/>
      <c r="AJ166" s="585"/>
      <c r="AK166" s="585"/>
      <c r="AL166" s="497"/>
      <c r="AM166" s="496"/>
      <c r="AN166" s="585"/>
      <c r="AO166" s="585"/>
      <c r="AP166" s="585"/>
      <c r="AQ166" s="497"/>
      <c r="AR166" s="580"/>
      <c r="AS166" s="580"/>
      <c r="AT166" s="580"/>
      <c r="AU166" s="580"/>
      <c r="AV166" s="580"/>
      <c r="AW166" s="580"/>
      <c r="AX166" s="579"/>
    </row>
    <row r="167" spans="2:50">
      <c r="B167" s="517" t="s">
        <v>563</v>
      </c>
      <c r="C167" s="518" t="s">
        <v>66</v>
      </c>
      <c r="D167" s="518" t="s">
        <v>57</v>
      </c>
      <c r="E167" s="518" t="s">
        <v>649</v>
      </c>
      <c r="F167" s="518" t="s">
        <v>673</v>
      </c>
      <c r="G167" s="525">
        <v>0.01</v>
      </c>
      <c r="H167" s="525">
        <v>7.5360000000000002E-3</v>
      </c>
      <c r="I167" s="527">
        <v>0.4</v>
      </c>
      <c r="J167" s="594">
        <v>5</v>
      </c>
      <c r="K167" s="519">
        <v>48</v>
      </c>
      <c r="L167" s="272"/>
      <c r="M167" s="272"/>
      <c r="P167" s="273"/>
      <c r="Q167" s="273"/>
      <c r="R167" s="273"/>
      <c r="S167" s="273"/>
      <c r="T167" s="273"/>
      <c r="U167" s="273"/>
      <c r="V167" s="273"/>
      <c r="W167" s="273"/>
      <c r="X167" s="484" t="str">
        <f ca="1">IF('CDO Bespoke'!O168&lt;&gt;"",'CDO Bespoke'!O168,"")</f>
        <v/>
      </c>
      <c r="Y167" s="485" t="str">
        <f ca="1">IF(X167&lt;&gt;"",ABS(MIN(-0.75*('CDO Bespoke'!Q168)+'CDO Bespoke'!T168,0)),"")</f>
        <v/>
      </c>
      <c r="Z167" s="485">
        <f t="shared" ca="1" si="16"/>
        <v>0</v>
      </c>
      <c r="AA167" s="485">
        <f t="shared" ca="1" si="17"/>
        <v>0</v>
      </c>
      <c r="AB167" s="484" t="str">
        <f ca="1">IF('CDO Bespoke'!O168&lt;&gt;"",'CDO Bespoke'!O168,"")</f>
        <v/>
      </c>
      <c r="AC167" s="485" t="str">
        <f ca="1">IF(AB167&lt;&gt;"",ABS(MIN(-0.75*('CDO Bespoke'!K168)+'CDO Bespoke'!T168,0)),"")</f>
        <v/>
      </c>
      <c r="AD167" s="485">
        <f t="shared" ca="1" si="18"/>
        <v>0</v>
      </c>
      <c r="AE167" s="489">
        <f t="shared" ca="1" si="19"/>
        <v>0</v>
      </c>
      <c r="AF167" s="272"/>
      <c r="AG167" s="494" t="str">
        <f ca="1">IF('CDO Bespoke'!C192&lt;&gt;"",'CDO Bespoke'!C192,"")</f>
        <v/>
      </c>
      <c r="AH167" s="496"/>
      <c r="AI167" s="585"/>
      <c r="AJ167" s="585"/>
      <c r="AK167" s="585"/>
      <c r="AL167" s="497"/>
      <c r="AM167" s="496"/>
      <c r="AN167" s="585"/>
      <c r="AO167" s="585"/>
      <c r="AP167" s="585"/>
      <c r="AQ167" s="497"/>
      <c r="AR167" s="580"/>
      <c r="AS167" s="580"/>
      <c r="AT167" s="580"/>
      <c r="AU167" s="580"/>
      <c r="AV167" s="580"/>
      <c r="AW167" s="580"/>
      <c r="AX167" s="579"/>
    </row>
    <row r="168" spans="2:50">
      <c r="B168" s="534" t="s">
        <v>563</v>
      </c>
      <c r="C168" s="535" t="s">
        <v>66</v>
      </c>
      <c r="D168" s="535" t="s">
        <v>59</v>
      </c>
      <c r="E168" s="535" t="s">
        <v>649</v>
      </c>
      <c r="F168" s="535" t="s">
        <v>673</v>
      </c>
      <c r="G168" s="536">
        <v>0.01</v>
      </c>
      <c r="H168" s="536">
        <v>1.0989000000000001E-2</v>
      </c>
      <c r="I168" s="537">
        <v>0.4</v>
      </c>
      <c r="J168" s="595">
        <v>5</v>
      </c>
      <c r="K168" s="538">
        <v>48</v>
      </c>
      <c r="L168" s="272"/>
      <c r="M168" s="272"/>
      <c r="P168" s="273"/>
      <c r="Q168" s="273"/>
      <c r="R168" s="273"/>
      <c r="S168" s="273"/>
      <c r="T168" s="273"/>
      <c r="U168" s="273"/>
      <c r="V168" s="273"/>
      <c r="W168" s="273"/>
      <c r="X168" s="484" t="str">
        <f ca="1">IF('CDO Bespoke'!O169&lt;&gt;"",'CDO Bespoke'!O169,"")</f>
        <v/>
      </c>
      <c r="Y168" s="485" t="str">
        <f ca="1">IF(X168&lt;&gt;"",ABS(MIN(-0.75*('CDO Bespoke'!Q169)+'CDO Bespoke'!T169,0)),"")</f>
        <v/>
      </c>
      <c r="Z168" s="485">
        <f t="shared" ca="1" si="16"/>
        <v>0</v>
      </c>
      <c r="AA168" s="485">
        <f t="shared" ca="1" si="17"/>
        <v>0</v>
      </c>
      <c r="AB168" s="484" t="str">
        <f ca="1">IF('CDO Bespoke'!O169&lt;&gt;"",'CDO Bespoke'!O169,"")</f>
        <v/>
      </c>
      <c r="AC168" s="485" t="str">
        <f ca="1">IF(AB168&lt;&gt;"",ABS(MIN(-0.75*('CDO Bespoke'!K169)+'CDO Bespoke'!T169,0)),"")</f>
        <v/>
      </c>
      <c r="AD168" s="485">
        <f t="shared" ca="1" si="18"/>
        <v>0</v>
      </c>
      <c r="AE168" s="489">
        <f t="shared" ca="1" si="19"/>
        <v>0</v>
      </c>
      <c r="AF168" s="272"/>
      <c r="AG168" s="494" t="str">
        <f ca="1">IF('CDO Bespoke'!C193&lt;&gt;"",'CDO Bespoke'!C193,"")</f>
        <v/>
      </c>
      <c r="AH168" s="496"/>
      <c r="AI168" s="585"/>
      <c r="AJ168" s="585"/>
      <c r="AK168" s="585"/>
      <c r="AL168" s="497"/>
      <c r="AM168" s="496"/>
      <c r="AN168" s="585"/>
      <c r="AO168" s="585"/>
      <c r="AP168" s="585"/>
      <c r="AQ168" s="497"/>
      <c r="AR168" s="580"/>
      <c r="AS168" s="580"/>
      <c r="AT168" s="580"/>
      <c r="AU168" s="580"/>
      <c r="AV168" s="580"/>
      <c r="AW168" s="580"/>
      <c r="AX168" s="579"/>
    </row>
    <row r="169" spans="2:50">
      <c r="B169" s="539" t="s">
        <v>549</v>
      </c>
      <c r="C169" s="540" t="s">
        <v>66</v>
      </c>
      <c r="D169" s="540" t="s">
        <v>55</v>
      </c>
      <c r="E169" s="540" t="s">
        <v>647</v>
      </c>
      <c r="F169" s="540" t="s">
        <v>673</v>
      </c>
      <c r="G169" s="541">
        <v>0.01</v>
      </c>
      <c r="H169" s="541">
        <v>2.6589999999999999E-3</v>
      </c>
      <c r="I169" s="542">
        <v>0.4</v>
      </c>
      <c r="J169" s="602">
        <v>5</v>
      </c>
      <c r="K169" s="543">
        <v>49</v>
      </c>
      <c r="L169" s="272"/>
      <c r="M169" s="272"/>
      <c r="P169" s="273"/>
      <c r="Q169" s="273"/>
      <c r="R169" s="273"/>
      <c r="S169" s="273"/>
      <c r="T169" s="273"/>
      <c r="U169" s="273"/>
      <c r="V169" s="273"/>
      <c r="W169" s="273"/>
      <c r="X169" s="484" t="str">
        <f ca="1">IF('CDO Bespoke'!O170&lt;&gt;"",'CDO Bespoke'!O170,"")</f>
        <v/>
      </c>
      <c r="Y169" s="485" t="str">
        <f ca="1">IF(X169&lt;&gt;"",ABS(MIN(-0.75*('CDO Bespoke'!Q170)+'CDO Bespoke'!T170,0)),"")</f>
        <v/>
      </c>
      <c r="Z169" s="485">
        <f t="shared" ca="1" si="16"/>
        <v>0</v>
      </c>
      <c r="AA169" s="485">
        <f t="shared" ca="1" si="17"/>
        <v>0</v>
      </c>
      <c r="AB169" s="484" t="str">
        <f ca="1">IF('CDO Bespoke'!O170&lt;&gt;"",'CDO Bespoke'!O170,"")</f>
        <v/>
      </c>
      <c r="AC169" s="485" t="str">
        <f ca="1">IF(AB169&lt;&gt;"",ABS(MIN(-0.75*('CDO Bespoke'!K170)+'CDO Bespoke'!T170,0)),"")</f>
        <v/>
      </c>
      <c r="AD169" s="485">
        <f t="shared" ca="1" si="18"/>
        <v>0</v>
      </c>
      <c r="AE169" s="489">
        <f t="shared" ca="1" si="19"/>
        <v>0</v>
      </c>
      <c r="AF169" s="272"/>
      <c r="AG169" s="494" t="str">
        <f ca="1">IF('CDO Bespoke'!C194&lt;&gt;"",'CDO Bespoke'!C194,"")</f>
        <v/>
      </c>
      <c r="AH169" s="496"/>
      <c r="AI169" s="585"/>
      <c r="AJ169" s="585"/>
      <c r="AK169" s="585"/>
      <c r="AL169" s="497"/>
      <c r="AM169" s="496"/>
      <c r="AN169" s="585"/>
      <c r="AO169" s="585"/>
      <c r="AP169" s="585"/>
      <c r="AQ169" s="497"/>
      <c r="AR169" s="580"/>
      <c r="AS169" s="580"/>
      <c r="AT169" s="580"/>
      <c r="AU169" s="580"/>
      <c r="AV169" s="580"/>
      <c r="AW169" s="580"/>
      <c r="AX169" s="579"/>
    </row>
    <row r="170" spans="2:50">
      <c r="B170" s="517" t="s">
        <v>549</v>
      </c>
      <c r="C170" s="518" t="s">
        <v>66</v>
      </c>
      <c r="D170" s="518" t="s">
        <v>57</v>
      </c>
      <c r="E170" s="518" t="s">
        <v>647</v>
      </c>
      <c r="F170" s="518" t="s">
        <v>673</v>
      </c>
      <c r="G170" s="525">
        <v>0.01</v>
      </c>
      <c r="H170" s="525">
        <v>4.2420000000000001E-3</v>
      </c>
      <c r="I170" s="527">
        <v>0.4</v>
      </c>
      <c r="J170" s="594">
        <v>5</v>
      </c>
      <c r="K170" s="519">
        <v>49</v>
      </c>
      <c r="L170" s="272"/>
      <c r="M170" s="272"/>
      <c r="P170" s="273"/>
      <c r="Q170" s="273"/>
      <c r="R170" s="273"/>
      <c r="S170" s="273"/>
      <c r="T170" s="273"/>
      <c r="U170" s="273"/>
      <c r="V170" s="273"/>
      <c r="W170" s="273"/>
      <c r="X170" s="484" t="str">
        <f ca="1">IF('CDO Bespoke'!O171&lt;&gt;"",'CDO Bespoke'!O171,"")</f>
        <v/>
      </c>
      <c r="Y170" s="485" t="str">
        <f ca="1">IF(X170&lt;&gt;"",ABS(MIN(-0.75*('CDO Bespoke'!Q171)+'CDO Bespoke'!T171,0)),"")</f>
        <v/>
      </c>
      <c r="Z170" s="485">
        <f t="shared" ca="1" si="16"/>
        <v>0</v>
      </c>
      <c r="AA170" s="485">
        <f t="shared" ca="1" si="17"/>
        <v>0</v>
      </c>
      <c r="AB170" s="484" t="str">
        <f ca="1">IF('CDO Bespoke'!O171&lt;&gt;"",'CDO Bespoke'!O171,"")</f>
        <v/>
      </c>
      <c r="AC170" s="485" t="str">
        <f ca="1">IF(AB170&lt;&gt;"",ABS(MIN(-0.75*('CDO Bespoke'!K171)+'CDO Bespoke'!T171,0)),"")</f>
        <v/>
      </c>
      <c r="AD170" s="485">
        <f t="shared" ca="1" si="18"/>
        <v>0</v>
      </c>
      <c r="AE170" s="489">
        <f t="shared" ca="1" si="19"/>
        <v>0</v>
      </c>
      <c r="AF170" s="272"/>
      <c r="AG170" s="494" t="str">
        <f ca="1">IF('CDO Bespoke'!C195&lt;&gt;"",'CDO Bespoke'!C195,"")</f>
        <v/>
      </c>
      <c r="AH170" s="496"/>
      <c r="AI170" s="585"/>
      <c r="AJ170" s="585"/>
      <c r="AK170" s="585"/>
      <c r="AL170" s="497"/>
      <c r="AM170" s="496"/>
      <c r="AN170" s="585"/>
      <c r="AO170" s="585"/>
      <c r="AP170" s="585"/>
      <c r="AQ170" s="497"/>
      <c r="AR170" s="580"/>
      <c r="AS170" s="580"/>
      <c r="AT170" s="580"/>
      <c r="AU170" s="580"/>
      <c r="AV170" s="580"/>
      <c r="AW170" s="580"/>
      <c r="AX170" s="579"/>
    </row>
    <row r="171" spans="2:50">
      <c r="B171" s="534" t="s">
        <v>549</v>
      </c>
      <c r="C171" s="535" t="s">
        <v>66</v>
      </c>
      <c r="D171" s="535" t="s">
        <v>59</v>
      </c>
      <c r="E171" s="535" t="s">
        <v>647</v>
      </c>
      <c r="F171" s="535" t="s">
        <v>673</v>
      </c>
      <c r="G171" s="536">
        <v>0.01</v>
      </c>
      <c r="H171" s="536">
        <v>5.659E-3</v>
      </c>
      <c r="I171" s="537">
        <v>0.4</v>
      </c>
      <c r="J171" s="595">
        <v>5</v>
      </c>
      <c r="K171" s="538">
        <v>49</v>
      </c>
      <c r="L171" s="272"/>
      <c r="M171" s="272"/>
      <c r="P171" s="273"/>
      <c r="Q171" s="273"/>
      <c r="R171" s="273"/>
      <c r="S171" s="273"/>
      <c r="T171" s="273"/>
      <c r="U171" s="273"/>
      <c r="V171" s="273"/>
      <c r="W171" s="273"/>
      <c r="X171" s="484" t="str">
        <f ca="1">IF('CDO Bespoke'!O172&lt;&gt;"",'CDO Bespoke'!O172,"")</f>
        <v/>
      </c>
      <c r="Y171" s="485" t="str">
        <f ca="1">IF(X171&lt;&gt;"",ABS(MIN(-0.75*('CDO Bespoke'!Q172)+'CDO Bespoke'!T172,0)),"")</f>
        <v/>
      </c>
      <c r="Z171" s="485">
        <f t="shared" ca="1" si="16"/>
        <v>0</v>
      </c>
      <c r="AA171" s="485">
        <f t="shared" ca="1" si="17"/>
        <v>0</v>
      </c>
      <c r="AB171" s="484" t="str">
        <f ca="1">IF('CDO Bespoke'!O172&lt;&gt;"",'CDO Bespoke'!O172,"")</f>
        <v/>
      </c>
      <c r="AC171" s="485" t="str">
        <f ca="1">IF(AB171&lt;&gt;"",ABS(MIN(-0.75*('CDO Bespoke'!K172)+'CDO Bespoke'!T172,0)),"")</f>
        <v/>
      </c>
      <c r="AD171" s="485">
        <f t="shared" ca="1" si="18"/>
        <v>0</v>
      </c>
      <c r="AE171" s="489">
        <f t="shared" ca="1" si="19"/>
        <v>0</v>
      </c>
      <c r="AF171" s="272"/>
      <c r="AG171" s="494" t="str">
        <f ca="1">IF('CDO Bespoke'!C196&lt;&gt;"",'CDO Bespoke'!C196,"")</f>
        <v/>
      </c>
      <c r="AH171" s="496"/>
      <c r="AI171" s="585"/>
      <c r="AJ171" s="585"/>
      <c r="AK171" s="585"/>
      <c r="AL171" s="497"/>
      <c r="AM171" s="496"/>
      <c r="AN171" s="585"/>
      <c r="AO171" s="585"/>
      <c r="AP171" s="585"/>
      <c r="AQ171" s="497"/>
      <c r="AR171" s="580"/>
      <c r="AS171" s="580"/>
      <c r="AT171" s="580"/>
      <c r="AU171" s="580"/>
      <c r="AV171" s="580"/>
      <c r="AW171" s="580"/>
      <c r="AX171" s="579"/>
    </row>
    <row r="172" spans="2:50">
      <c r="B172" s="539" t="s">
        <v>550</v>
      </c>
      <c r="C172" s="540" t="s">
        <v>66</v>
      </c>
      <c r="D172" s="540" t="s">
        <v>55</v>
      </c>
      <c r="E172" s="540" t="s">
        <v>649</v>
      </c>
      <c r="F172" s="540" t="s">
        <v>673</v>
      </c>
      <c r="G172" s="541">
        <v>0.01</v>
      </c>
      <c r="H172" s="541">
        <v>1.866E-3</v>
      </c>
      <c r="I172" s="542">
        <v>0.4</v>
      </c>
      <c r="J172" s="602">
        <v>5</v>
      </c>
      <c r="K172" s="543">
        <v>50</v>
      </c>
      <c r="L172" s="272"/>
      <c r="M172" s="272"/>
      <c r="P172" s="273"/>
      <c r="Q172" s="273"/>
      <c r="R172" s="273"/>
      <c r="S172" s="273"/>
      <c r="T172" s="273"/>
      <c r="U172" s="273"/>
      <c r="V172" s="273"/>
      <c r="W172" s="273"/>
      <c r="X172" s="484" t="str">
        <f ca="1">IF('CDO Bespoke'!O173&lt;&gt;"",'CDO Bespoke'!O173,"")</f>
        <v/>
      </c>
      <c r="Y172" s="485" t="str">
        <f ca="1">IF(X172&lt;&gt;"",ABS(MIN(-0.75*('CDO Bespoke'!Q173)+'CDO Bespoke'!T173,0)),"")</f>
        <v/>
      </c>
      <c r="Z172" s="485">
        <f t="shared" ca="1" si="16"/>
        <v>0</v>
      </c>
      <c r="AA172" s="485">
        <f t="shared" ca="1" si="17"/>
        <v>0</v>
      </c>
      <c r="AB172" s="484" t="str">
        <f ca="1">IF('CDO Bespoke'!O173&lt;&gt;"",'CDO Bespoke'!O173,"")</f>
        <v/>
      </c>
      <c r="AC172" s="485" t="str">
        <f ca="1">IF(AB172&lt;&gt;"",ABS(MIN(-0.75*('CDO Bespoke'!K173)+'CDO Bespoke'!T173,0)),"")</f>
        <v/>
      </c>
      <c r="AD172" s="485">
        <f t="shared" ca="1" si="18"/>
        <v>0</v>
      </c>
      <c r="AE172" s="489">
        <f t="shared" ca="1" si="19"/>
        <v>0</v>
      </c>
      <c r="AF172" s="272"/>
      <c r="AG172" s="494" t="str">
        <f ca="1">IF('CDO Bespoke'!C197&lt;&gt;"",'CDO Bespoke'!C197,"")</f>
        <v/>
      </c>
      <c r="AH172" s="496"/>
      <c r="AI172" s="585"/>
      <c r="AJ172" s="585"/>
      <c r="AK172" s="585"/>
      <c r="AL172" s="497"/>
      <c r="AM172" s="496"/>
      <c r="AN172" s="585"/>
      <c r="AO172" s="585"/>
      <c r="AP172" s="585"/>
      <c r="AQ172" s="497"/>
      <c r="AR172" s="580"/>
      <c r="AS172" s="580"/>
      <c r="AT172" s="580"/>
      <c r="AU172" s="580"/>
      <c r="AV172" s="580"/>
      <c r="AW172" s="580"/>
      <c r="AX172" s="579"/>
    </row>
    <row r="173" spans="2:50">
      <c r="B173" s="517" t="s">
        <v>550</v>
      </c>
      <c r="C173" s="518" t="s">
        <v>66</v>
      </c>
      <c r="D173" s="518" t="s">
        <v>57</v>
      </c>
      <c r="E173" s="518" t="s">
        <v>649</v>
      </c>
      <c r="F173" s="518" t="s">
        <v>673</v>
      </c>
      <c r="G173" s="525">
        <v>0.01</v>
      </c>
      <c r="H173" s="525">
        <v>3.0259999999999999E-2</v>
      </c>
      <c r="I173" s="527">
        <v>0.4</v>
      </c>
      <c r="J173" s="594">
        <v>5</v>
      </c>
      <c r="K173" s="519">
        <v>50</v>
      </c>
      <c r="L173" s="272"/>
      <c r="M173" s="272"/>
      <c r="P173" s="273"/>
      <c r="Q173" s="273"/>
      <c r="R173" s="273"/>
      <c r="S173" s="273"/>
      <c r="T173" s="273"/>
      <c r="U173" s="273"/>
      <c r="V173" s="273"/>
      <c r="W173" s="273"/>
      <c r="X173" s="484" t="str">
        <f ca="1">IF('CDO Bespoke'!O174&lt;&gt;"",'CDO Bespoke'!O174,"")</f>
        <v/>
      </c>
      <c r="Y173" s="485" t="str">
        <f ca="1">IF(X173&lt;&gt;"",ABS(MIN(-0.75*('CDO Bespoke'!Q174)+'CDO Bespoke'!T174,0)),"")</f>
        <v/>
      </c>
      <c r="Z173" s="485">
        <f t="shared" ca="1" si="16"/>
        <v>0</v>
      </c>
      <c r="AA173" s="485">
        <f t="shared" ca="1" si="17"/>
        <v>0</v>
      </c>
      <c r="AB173" s="484" t="str">
        <f ca="1">IF('CDO Bespoke'!O174&lt;&gt;"",'CDO Bespoke'!O174,"")</f>
        <v/>
      </c>
      <c r="AC173" s="485" t="str">
        <f ca="1">IF(AB173&lt;&gt;"",ABS(MIN(-0.75*('CDO Bespoke'!K174)+'CDO Bespoke'!T174,0)),"")</f>
        <v/>
      </c>
      <c r="AD173" s="485">
        <f t="shared" ca="1" si="18"/>
        <v>0</v>
      </c>
      <c r="AE173" s="489">
        <f t="shared" ca="1" si="19"/>
        <v>0</v>
      </c>
      <c r="AF173" s="272"/>
      <c r="AG173" s="494" t="str">
        <f ca="1">IF('CDO Bespoke'!C198&lt;&gt;"",'CDO Bespoke'!C198,"")</f>
        <v/>
      </c>
      <c r="AH173" s="496"/>
      <c r="AI173" s="585"/>
      <c r="AJ173" s="585"/>
      <c r="AK173" s="585"/>
      <c r="AL173" s="497"/>
      <c r="AM173" s="496"/>
      <c r="AN173" s="585"/>
      <c r="AO173" s="585"/>
      <c r="AP173" s="585"/>
      <c r="AQ173" s="497"/>
      <c r="AR173" s="580"/>
      <c r="AS173" s="580"/>
      <c r="AT173" s="580"/>
      <c r="AU173" s="580"/>
      <c r="AV173" s="580"/>
      <c r="AW173" s="580"/>
      <c r="AX173" s="579"/>
    </row>
    <row r="174" spans="2:50">
      <c r="B174" s="534" t="s">
        <v>550</v>
      </c>
      <c r="C174" s="535" t="s">
        <v>66</v>
      </c>
      <c r="D174" s="535" t="s">
        <v>59</v>
      </c>
      <c r="E174" s="535" t="s">
        <v>649</v>
      </c>
      <c r="F174" s="535" t="s">
        <v>673</v>
      </c>
      <c r="G174" s="536">
        <v>0.01</v>
      </c>
      <c r="H174" s="536">
        <v>4.2849999999999997E-3</v>
      </c>
      <c r="I174" s="537">
        <v>0.4</v>
      </c>
      <c r="J174" s="595">
        <v>5</v>
      </c>
      <c r="K174" s="538">
        <v>50</v>
      </c>
      <c r="L174" s="272"/>
      <c r="M174" s="272"/>
      <c r="P174" s="273"/>
      <c r="Q174" s="273"/>
      <c r="R174" s="273"/>
      <c r="S174" s="273"/>
      <c r="T174" s="273"/>
      <c r="U174" s="273"/>
      <c r="V174" s="273"/>
      <c r="W174" s="273"/>
      <c r="X174" s="484" t="str">
        <f ca="1">IF('CDO Bespoke'!O175&lt;&gt;"",'CDO Bespoke'!O175,"")</f>
        <v/>
      </c>
      <c r="Y174" s="485" t="str">
        <f ca="1">IF(X174&lt;&gt;"",ABS(MIN(-0.75*('CDO Bespoke'!Q175)+'CDO Bespoke'!T175,0)),"")</f>
        <v/>
      </c>
      <c r="Z174" s="485">
        <f t="shared" ca="1" si="16"/>
        <v>0</v>
      </c>
      <c r="AA174" s="485">
        <f t="shared" ca="1" si="17"/>
        <v>0</v>
      </c>
      <c r="AB174" s="484" t="str">
        <f ca="1">IF('CDO Bespoke'!O175&lt;&gt;"",'CDO Bespoke'!O175,"")</f>
        <v/>
      </c>
      <c r="AC174" s="485" t="str">
        <f ca="1">IF(AB174&lt;&gt;"",ABS(MIN(-0.75*('CDO Bespoke'!K175)+'CDO Bespoke'!T175,0)),"")</f>
        <v/>
      </c>
      <c r="AD174" s="485">
        <f t="shared" ca="1" si="18"/>
        <v>0</v>
      </c>
      <c r="AE174" s="489">
        <f t="shared" ca="1" si="19"/>
        <v>0</v>
      </c>
      <c r="AF174" s="272"/>
      <c r="AG174" s="494" t="str">
        <f ca="1">IF('CDO Bespoke'!C199&lt;&gt;"",'CDO Bespoke'!C199,"")</f>
        <v/>
      </c>
      <c r="AH174" s="496"/>
      <c r="AI174" s="585"/>
      <c r="AJ174" s="585"/>
      <c r="AK174" s="585"/>
      <c r="AL174" s="497"/>
      <c r="AM174" s="496"/>
      <c r="AN174" s="585"/>
      <c r="AO174" s="585"/>
      <c r="AP174" s="585"/>
      <c r="AQ174" s="497"/>
      <c r="AR174" s="580"/>
      <c r="AS174" s="580"/>
      <c r="AT174" s="580"/>
      <c r="AU174" s="580"/>
      <c r="AV174" s="580"/>
      <c r="AW174" s="580"/>
      <c r="AX174" s="579"/>
    </row>
    <row r="175" spans="2:50">
      <c r="B175" s="539" t="s">
        <v>551</v>
      </c>
      <c r="C175" s="540" t="s">
        <v>66</v>
      </c>
      <c r="D175" s="540" t="s">
        <v>55</v>
      </c>
      <c r="E175" s="540" t="s">
        <v>649</v>
      </c>
      <c r="F175" s="540" t="s">
        <v>673</v>
      </c>
      <c r="G175" s="541">
        <v>0.01</v>
      </c>
      <c r="H175" s="541">
        <v>3.153E-3</v>
      </c>
      <c r="I175" s="542">
        <v>0.4</v>
      </c>
      <c r="J175" s="602">
        <v>5</v>
      </c>
      <c r="K175" s="543">
        <v>51</v>
      </c>
      <c r="L175" s="272"/>
      <c r="M175" s="272"/>
      <c r="P175" s="273"/>
      <c r="Q175" s="273"/>
      <c r="R175" s="273"/>
      <c r="S175" s="273"/>
      <c r="T175" s="273"/>
      <c r="U175" s="273"/>
      <c r="V175" s="273"/>
      <c r="W175" s="273"/>
      <c r="X175" s="484" t="str">
        <f ca="1">IF('CDO Bespoke'!O176&lt;&gt;"",'CDO Bespoke'!O176,"")</f>
        <v/>
      </c>
      <c r="Y175" s="485" t="str">
        <f ca="1">IF(X175&lt;&gt;"",ABS(MIN(-0.75*('CDO Bespoke'!Q176)+'CDO Bespoke'!T176,0)),"")</f>
        <v/>
      </c>
      <c r="Z175" s="485">
        <f t="shared" ca="1" si="16"/>
        <v>0</v>
      </c>
      <c r="AA175" s="485">
        <f t="shared" ca="1" si="17"/>
        <v>0</v>
      </c>
      <c r="AB175" s="484" t="str">
        <f ca="1">IF('CDO Bespoke'!O176&lt;&gt;"",'CDO Bespoke'!O176,"")</f>
        <v/>
      </c>
      <c r="AC175" s="485" t="str">
        <f ca="1">IF(AB175&lt;&gt;"",ABS(MIN(-0.75*('CDO Bespoke'!K176)+'CDO Bespoke'!T176,0)),"")</f>
        <v/>
      </c>
      <c r="AD175" s="485">
        <f t="shared" ca="1" si="18"/>
        <v>0</v>
      </c>
      <c r="AE175" s="489">
        <f t="shared" ca="1" si="19"/>
        <v>0</v>
      </c>
      <c r="AF175" s="272"/>
      <c r="AG175" s="494" t="str">
        <f ca="1">IF('CDO Bespoke'!C200&lt;&gt;"",'CDO Bespoke'!C200,"")</f>
        <v/>
      </c>
      <c r="AH175" s="496"/>
      <c r="AI175" s="585"/>
      <c r="AJ175" s="585"/>
      <c r="AK175" s="585"/>
      <c r="AL175" s="497"/>
      <c r="AM175" s="496"/>
      <c r="AN175" s="585"/>
      <c r="AO175" s="585"/>
      <c r="AP175" s="585"/>
      <c r="AQ175" s="497"/>
      <c r="AR175" s="580"/>
      <c r="AS175" s="580"/>
      <c r="AT175" s="580"/>
      <c r="AU175" s="580"/>
      <c r="AV175" s="580"/>
      <c r="AW175" s="580"/>
      <c r="AX175" s="579"/>
    </row>
    <row r="176" spans="2:50">
      <c r="B176" s="517" t="s">
        <v>551</v>
      </c>
      <c r="C176" s="518" t="s">
        <v>66</v>
      </c>
      <c r="D176" s="518" t="s">
        <v>57</v>
      </c>
      <c r="E176" s="518" t="s">
        <v>649</v>
      </c>
      <c r="F176" s="518" t="s">
        <v>673</v>
      </c>
      <c r="G176" s="525">
        <v>0.01</v>
      </c>
      <c r="H176" s="525">
        <v>4.9170000000000004E-3</v>
      </c>
      <c r="I176" s="527">
        <v>0.4</v>
      </c>
      <c r="J176" s="594">
        <v>5</v>
      </c>
      <c r="K176" s="519">
        <v>51</v>
      </c>
      <c r="L176" s="272"/>
      <c r="M176" s="272"/>
      <c r="P176" s="273"/>
      <c r="Q176" s="273"/>
      <c r="R176" s="273"/>
      <c r="S176" s="273"/>
      <c r="T176" s="273"/>
      <c r="U176" s="273"/>
      <c r="V176" s="273"/>
      <c r="W176" s="273"/>
      <c r="X176" s="484" t="str">
        <f ca="1">IF('CDO Bespoke'!O177&lt;&gt;"",'CDO Bespoke'!O177,"")</f>
        <v/>
      </c>
      <c r="Y176" s="485" t="str">
        <f ca="1">IF(X176&lt;&gt;"",ABS(MIN(-0.75*('CDO Bespoke'!Q177)+'CDO Bespoke'!T177,0)),"")</f>
        <v/>
      </c>
      <c r="Z176" s="485">
        <f t="shared" ca="1" si="16"/>
        <v>0</v>
      </c>
      <c r="AA176" s="485">
        <f t="shared" ca="1" si="17"/>
        <v>0</v>
      </c>
      <c r="AB176" s="484" t="str">
        <f ca="1">IF('CDO Bespoke'!O177&lt;&gt;"",'CDO Bespoke'!O177,"")</f>
        <v/>
      </c>
      <c r="AC176" s="485" t="str">
        <f ca="1">IF(AB176&lt;&gt;"",ABS(MIN(-0.75*('CDO Bespoke'!K177)+'CDO Bespoke'!T177,0)),"")</f>
        <v/>
      </c>
      <c r="AD176" s="485">
        <f t="shared" ca="1" si="18"/>
        <v>0</v>
      </c>
      <c r="AE176" s="489">
        <f t="shared" ca="1" si="19"/>
        <v>0</v>
      </c>
      <c r="AF176" s="272"/>
      <c r="AG176" s="494" t="str">
        <f ca="1">IF('CDO Bespoke'!C201&lt;&gt;"",'CDO Bespoke'!C201,"")</f>
        <v/>
      </c>
      <c r="AH176" s="496"/>
      <c r="AI176" s="585"/>
      <c r="AJ176" s="585"/>
      <c r="AK176" s="585"/>
      <c r="AL176" s="497"/>
      <c r="AM176" s="496"/>
      <c r="AN176" s="585"/>
      <c r="AO176" s="585"/>
      <c r="AP176" s="585"/>
      <c r="AQ176" s="497"/>
      <c r="AR176" s="580"/>
      <c r="AS176" s="580"/>
      <c r="AT176" s="580"/>
      <c r="AU176" s="580"/>
      <c r="AV176" s="580"/>
      <c r="AW176" s="580"/>
      <c r="AX176" s="579"/>
    </row>
    <row r="177" spans="2:50">
      <c r="B177" s="534" t="s">
        <v>551</v>
      </c>
      <c r="C177" s="535" t="s">
        <v>66</v>
      </c>
      <c r="D177" s="535" t="s">
        <v>59</v>
      </c>
      <c r="E177" s="535" t="s">
        <v>649</v>
      </c>
      <c r="F177" s="535" t="s">
        <v>673</v>
      </c>
      <c r="G177" s="536">
        <v>0.01</v>
      </c>
      <c r="H177" s="536">
        <v>6.8279999999999999E-3</v>
      </c>
      <c r="I177" s="537">
        <v>0.4</v>
      </c>
      <c r="J177" s="595">
        <v>5</v>
      </c>
      <c r="K177" s="538">
        <v>51</v>
      </c>
      <c r="L177" s="272"/>
      <c r="M177" s="272"/>
      <c r="P177" s="273"/>
      <c r="Q177" s="273"/>
      <c r="R177" s="273"/>
      <c r="S177" s="273"/>
      <c r="T177" s="273"/>
      <c r="U177" s="273"/>
      <c r="V177" s="273"/>
      <c r="W177" s="273"/>
      <c r="X177" s="484" t="str">
        <f ca="1">IF('CDO Bespoke'!O178&lt;&gt;"",'CDO Bespoke'!O178,"")</f>
        <v/>
      </c>
      <c r="Y177" s="485" t="str">
        <f ca="1">IF(X177&lt;&gt;"",ABS(MIN(-0.75*('CDO Bespoke'!Q178)+'CDO Bespoke'!T178,0)),"")</f>
        <v/>
      </c>
      <c r="Z177" s="485">
        <f t="shared" ca="1" si="16"/>
        <v>0</v>
      </c>
      <c r="AA177" s="485">
        <f t="shared" ca="1" si="17"/>
        <v>0</v>
      </c>
      <c r="AB177" s="484" t="str">
        <f ca="1">IF('CDO Bespoke'!O178&lt;&gt;"",'CDO Bespoke'!O178,"")</f>
        <v/>
      </c>
      <c r="AC177" s="485" t="str">
        <f ca="1">IF(AB177&lt;&gt;"",ABS(MIN(-0.75*('CDO Bespoke'!K178)+'CDO Bespoke'!T178,0)),"")</f>
        <v/>
      </c>
      <c r="AD177" s="485">
        <f t="shared" ca="1" si="18"/>
        <v>0</v>
      </c>
      <c r="AE177" s="489">
        <f t="shared" ca="1" si="19"/>
        <v>0</v>
      </c>
      <c r="AF177" s="272"/>
      <c r="AG177" s="494" t="str">
        <f ca="1">IF('CDO Bespoke'!C202&lt;&gt;"",'CDO Bespoke'!C202,"")</f>
        <v/>
      </c>
      <c r="AH177" s="496"/>
      <c r="AI177" s="585"/>
      <c r="AJ177" s="585"/>
      <c r="AK177" s="585"/>
      <c r="AL177" s="497"/>
      <c r="AM177" s="496"/>
      <c r="AN177" s="585"/>
      <c r="AO177" s="585"/>
      <c r="AP177" s="585"/>
      <c r="AQ177" s="497"/>
      <c r="AR177" s="580"/>
      <c r="AS177" s="580"/>
      <c r="AT177" s="580"/>
      <c r="AU177" s="580"/>
      <c r="AV177" s="580"/>
      <c r="AW177" s="580"/>
      <c r="AX177" s="579"/>
    </row>
    <row r="178" spans="2:50">
      <c r="B178" s="539" t="s">
        <v>552</v>
      </c>
      <c r="C178" s="540" t="s">
        <v>66</v>
      </c>
      <c r="D178" s="540" t="s">
        <v>55</v>
      </c>
      <c r="E178" s="540" t="s">
        <v>649</v>
      </c>
      <c r="F178" s="540" t="s">
        <v>673</v>
      </c>
      <c r="G178" s="541">
        <v>0.01</v>
      </c>
      <c r="H178" s="541">
        <v>6.7999999999999996E-3</v>
      </c>
      <c r="I178" s="542">
        <v>0.4</v>
      </c>
      <c r="J178" s="602">
        <v>5</v>
      </c>
      <c r="K178" s="543">
        <v>52</v>
      </c>
      <c r="L178" s="272"/>
      <c r="M178" s="272"/>
      <c r="P178" s="273"/>
      <c r="Q178" s="273"/>
      <c r="R178" s="273"/>
      <c r="S178" s="273"/>
      <c r="T178" s="273"/>
      <c r="U178" s="273"/>
      <c r="V178" s="273"/>
      <c r="W178" s="273"/>
      <c r="X178" s="484" t="str">
        <f ca="1">IF('CDO Bespoke'!O179&lt;&gt;"",'CDO Bespoke'!O179,"")</f>
        <v/>
      </c>
      <c r="Y178" s="485" t="str">
        <f ca="1">IF(X178&lt;&gt;"",ABS(MIN(-0.75*('CDO Bespoke'!Q179)+'CDO Bespoke'!T179,0)),"")</f>
        <v/>
      </c>
      <c r="Z178" s="485">
        <f t="shared" ca="1" si="16"/>
        <v>0</v>
      </c>
      <c r="AA178" s="485">
        <f t="shared" ca="1" si="17"/>
        <v>0</v>
      </c>
      <c r="AB178" s="484" t="str">
        <f ca="1">IF('CDO Bespoke'!O179&lt;&gt;"",'CDO Bespoke'!O179,"")</f>
        <v/>
      </c>
      <c r="AC178" s="485" t="str">
        <f ca="1">IF(AB178&lt;&gt;"",ABS(MIN(-0.75*('CDO Bespoke'!K179)+'CDO Bespoke'!T179,0)),"")</f>
        <v/>
      </c>
      <c r="AD178" s="485">
        <f t="shared" ca="1" si="18"/>
        <v>0</v>
      </c>
      <c r="AE178" s="489">
        <f t="shared" ca="1" si="19"/>
        <v>0</v>
      </c>
      <c r="AF178" s="272"/>
      <c r="AG178" s="494" t="str">
        <f ca="1">IF('CDO Bespoke'!C203&lt;&gt;"",'CDO Bespoke'!C203,"")</f>
        <v/>
      </c>
      <c r="AH178" s="496"/>
      <c r="AI178" s="585"/>
      <c r="AJ178" s="585"/>
      <c r="AK178" s="585"/>
      <c r="AL178" s="497"/>
      <c r="AM178" s="496"/>
      <c r="AN178" s="585"/>
      <c r="AO178" s="585"/>
      <c r="AP178" s="585"/>
      <c r="AQ178" s="497"/>
      <c r="AR178" s="580"/>
      <c r="AS178" s="580"/>
      <c r="AT178" s="580"/>
      <c r="AU178" s="580"/>
      <c r="AV178" s="580"/>
      <c r="AW178" s="580"/>
      <c r="AX178" s="579"/>
    </row>
    <row r="179" spans="2:50">
      <c r="B179" s="517" t="s">
        <v>552</v>
      </c>
      <c r="C179" s="518" t="s">
        <v>66</v>
      </c>
      <c r="D179" s="518" t="s">
        <v>57</v>
      </c>
      <c r="E179" s="518" t="s">
        <v>649</v>
      </c>
      <c r="F179" s="518" t="s">
        <v>673</v>
      </c>
      <c r="G179" s="525">
        <v>0.01</v>
      </c>
      <c r="H179" s="525">
        <v>1.1743E-2</v>
      </c>
      <c r="I179" s="527">
        <v>0.4</v>
      </c>
      <c r="J179" s="594">
        <v>5</v>
      </c>
      <c r="K179" s="519">
        <v>52</v>
      </c>
      <c r="L179" s="272"/>
      <c r="M179" s="272"/>
      <c r="P179" s="273"/>
      <c r="Q179" s="273"/>
      <c r="R179" s="273"/>
      <c r="S179" s="273"/>
      <c r="T179" s="273"/>
      <c r="U179" s="273"/>
      <c r="V179" s="273"/>
      <c r="W179" s="273"/>
      <c r="X179" s="484" t="str">
        <f ca="1">IF('CDO Bespoke'!O180&lt;&gt;"",'CDO Bespoke'!O180,"")</f>
        <v/>
      </c>
      <c r="Y179" s="485" t="str">
        <f ca="1">IF(X179&lt;&gt;"",ABS(MIN(-0.75*('CDO Bespoke'!Q180)+'CDO Bespoke'!T180,0)),"")</f>
        <v/>
      </c>
      <c r="Z179" s="485">
        <f t="shared" ca="1" si="16"/>
        <v>0</v>
      </c>
      <c r="AA179" s="485">
        <f t="shared" ca="1" si="17"/>
        <v>0</v>
      </c>
      <c r="AB179" s="484" t="str">
        <f ca="1">IF('CDO Bespoke'!O180&lt;&gt;"",'CDO Bespoke'!O180,"")</f>
        <v/>
      </c>
      <c r="AC179" s="485" t="str">
        <f ca="1">IF(AB179&lt;&gt;"",ABS(MIN(-0.75*('CDO Bespoke'!K180)+'CDO Bespoke'!T180,0)),"")</f>
        <v/>
      </c>
      <c r="AD179" s="485">
        <f t="shared" ca="1" si="18"/>
        <v>0</v>
      </c>
      <c r="AE179" s="489">
        <f t="shared" ca="1" si="19"/>
        <v>0</v>
      </c>
      <c r="AF179" s="272"/>
      <c r="AG179" s="494" t="str">
        <f ca="1">IF('CDO Bespoke'!C204&lt;&gt;"",'CDO Bespoke'!C204,"")</f>
        <v/>
      </c>
      <c r="AH179" s="496"/>
      <c r="AI179" s="585"/>
      <c r="AJ179" s="585"/>
      <c r="AK179" s="585"/>
      <c r="AL179" s="497"/>
      <c r="AM179" s="496"/>
      <c r="AN179" s="585"/>
      <c r="AO179" s="585"/>
      <c r="AP179" s="585"/>
      <c r="AQ179" s="497"/>
      <c r="AR179" s="580"/>
      <c r="AS179" s="580"/>
      <c r="AT179" s="580"/>
      <c r="AU179" s="580"/>
      <c r="AV179" s="580"/>
      <c r="AW179" s="580"/>
      <c r="AX179" s="579"/>
    </row>
    <row r="180" spans="2:50">
      <c r="B180" s="534" t="s">
        <v>552</v>
      </c>
      <c r="C180" s="535" t="s">
        <v>66</v>
      </c>
      <c r="D180" s="535" t="s">
        <v>59</v>
      </c>
      <c r="E180" s="535" t="s">
        <v>649</v>
      </c>
      <c r="F180" s="535" t="s">
        <v>673</v>
      </c>
      <c r="G180" s="536">
        <v>0.01</v>
      </c>
      <c r="H180" s="536">
        <v>1.5325E-2</v>
      </c>
      <c r="I180" s="537">
        <v>0.4</v>
      </c>
      <c r="J180" s="595">
        <v>5</v>
      </c>
      <c r="K180" s="538">
        <v>52</v>
      </c>
      <c r="L180" s="272"/>
      <c r="M180" s="272"/>
      <c r="P180" s="273"/>
      <c r="Q180" s="273"/>
      <c r="R180" s="273"/>
      <c r="S180" s="273"/>
      <c r="T180" s="273"/>
      <c r="U180" s="273"/>
      <c r="V180" s="273"/>
      <c r="W180" s="273"/>
      <c r="X180" s="484" t="str">
        <f ca="1">IF('CDO Bespoke'!O181&lt;&gt;"",'CDO Bespoke'!O181,"")</f>
        <v/>
      </c>
      <c r="Y180" s="485" t="str">
        <f ca="1">IF(X180&lt;&gt;"",ABS(MIN(-0.75*('CDO Bespoke'!Q181)+'CDO Bespoke'!T181,0)),"")</f>
        <v/>
      </c>
      <c r="Z180" s="485">
        <f t="shared" ca="1" si="16"/>
        <v>0</v>
      </c>
      <c r="AA180" s="485">
        <f t="shared" ca="1" si="17"/>
        <v>0</v>
      </c>
      <c r="AB180" s="484" t="str">
        <f ca="1">IF('CDO Bespoke'!O181&lt;&gt;"",'CDO Bespoke'!O181,"")</f>
        <v/>
      </c>
      <c r="AC180" s="485" t="str">
        <f ca="1">IF(AB180&lt;&gt;"",ABS(MIN(-0.75*('CDO Bespoke'!K181)+'CDO Bespoke'!T181,0)),"")</f>
        <v/>
      </c>
      <c r="AD180" s="485">
        <f t="shared" ca="1" si="18"/>
        <v>0</v>
      </c>
      <c r="AE180" s="489">
        <f t="shared" ca="1" si="19"/>
        <v>0</v>
      </c>
      <c r="AF180" s="272"/>
      <c r="AG180" s="494" t="str">
        <f ca="1">IF('CDO Bespoke'!C205&lt;&gt;"",'CDO Bespoke'!C205,"")</f>
        <v/>
      </c>
      <c r="AH180" s="496"/>
      <c r="AI180" s="585"/>
      <c r="AJ180" s="585"/>
      <c r="AK180" s="585"/>
      <c r="AL180" s="497"/>
      <c r="AM180" s="496"/>
      <c r="AN180" s="585"/>
      <c r="AO180" s="585"/>
      <c r="AP180" s="585"/>
      <c r="AQ180" s="497"/>
      <c r="AR180" s="580"/>
      <c r="AS180" s="580"/>
      <c r="AT180" s="580"/>
      <c r="AU180" s="580"/>
      <c r="AV180" s="580"/>
      <c r="AW180" s="580"/>
      <c r="AX180" s="579"/>
    </row>
    <row r="181" spans="2:50">
      <c r="B181" s="539" t="s">
        <v>553</v>
      </c>
      <c r="C181" s="540" t="s">
        <v>66</v>
      </c>
      <c r="D181" s="540" t="s">
        <v>55</v>
      </c>
      <c r="E181" s="540" t="s">
        <v>651</v>
      </c>
      <c r="F181" s="540" t="s">
        <v>673</v>
      </c>
      <c r="G181" s="541">
        <v>0.01</v>
      </c>
      <c r="H181" s="541">
        <v>1.8079999999999999E-3</v>
      </c>
      <c r="I181" s="542">
        <v>0.4</v>
      </c>
      <c r="J181" s="602">
        <v>5</v>
      </c>
      <c r="K181" s="543">
        <v>53</v>
      </c>
      <c r="L181" s="272"/>
      <c r="M181" s="272"/>
      <c r="P181" s="273"/>
      <c r="Q181" s="273"/>
      <c r="R181" s="273"/>
      <c r="S181" s="273"/>
      <c r="T181" s="273"/>
      <c r="U181" s="273"/>
      <c r="V181" s="273"/>
      <c r="W181" s="273"/>
      <c r="X181" s="484" t="str">
        <f ca="1">IF('CDO Bespoke'!O182&lt;&gt;"",'CDO Bespoke'!O182,"")</f>
        <v/>
      </c>
      <c r="Y181" s="485" t="str">
        <f ca="1">IF(X181&lt;&gt;"",ABS(MIN(-0.75*('CDO Bespoke'!Q182)+'CDO Bespoke'!T182,0)),"")</f>
        <v/>
      </c>
      <c r="Z181" s="485">
        <f t="shared" ca="1" si="16"/>
        <v>0</v>
      </c>
      <c r="AA181" s="485">
        <f t="shared" ca="1" si="17"/>
        <v>0</v>
      </c>
      <c r="AB181" s="484" t="str">
        <f ca="1">IF('CDO Bespoke'!O182&lt;&gt;"",'CDO Bespoke'!O182,"")</f>
        <v/>
      </c>
      <c r="AC181" s="485" t="str">
        <f ca="1">IF(AB181&lt;&gt;"",ABS(MIN(-0.75*('CDO Bespoke'!K182)+'CDO Bespoke'!T182,0)),"")</f>
        <v/>
      </c>
      <c r="AD181" s="485">
        <f t="shared" ca="1" si="18"/>
        <v>0</v>
      </c>
      <c r="AE181" s="489">
        <f t="shared" ca="1" si="19"/>
        <v>0</v>
      </c>
      <c r="AF181" s="272"/>
      <c r="AG181" s="494" t="str">
        <f ca="1">IF('CDO Bespoke'!C206&lt;&gt;"",'CDO Bespoke'!C206,"")</f>
        <v/>
      </c>
      <c r="AH181" s="496"/>
      <c r="AI181" s="585"/>
      <c r="AJ181" s="585"/>
      <c r="AK181" s="585"/>
      <c r="AL181" s="497"/>
      <c r="AM181" s="496"/>
      <c r="AN181" s="585"/>
      <c r="AO181" s="585"/>
      <c r="AP181" s="585"/>
      <c r="AQ181" s="497"/>
      <c r="AR181" s="580"/>
      <c r="AS181" s="580"/>
      <c r="AT181" s="580"/>
      <c r="AU181" s="580"/>
      <c r="AV181" s="580"/>
      <c r="AW181" s="580"/>
      <c r="AX181" s="579"/>
    </row>
    <row r="182" spans="2:50">
      <c r="B182" s="517" t="s">
        <v>553</v>
      </c>
      <c r="C182" s="518" t="s">
        <v>66</v>
      </c>
      <c r="D182" s="518" t="s">
        <v>57</v>
      </c>
      <c r="E182" s="518" t="s">
        <v>651</v>
      </c>
      <c r="F182" s="518" t="s">
        <v>673</v>
      </c>
      <c r="G182" s="525">
        <v>0.01</v>
      </c>
      <c r="H182" s="525">
        <v>3.0379999999999999E-3</v>
      </c>
      <c r="I182" s="527">
        <v>0.4</v>
      </c>
      <c r="J182" s="594">
        <v>5</v>
      </c>
      <c r="K182" s="519">
        <v>53</v>
      </c>
      <c r="L182" s="272"/>
      <c r="M182" s="272"/>
      <c r="P182" s="273"/>
      <c r="Q182" s="273"/>
      <c r="R182" s="273"/>
      <c r="S182" s="273"/>
      <c r="T182" s="273"/>
      <c r="U182" s="273"/>
      <c r="V182" s="273"/>
      <c r="W182" s="273"/>
      <c r="X182" s="484" t="str">
        <f ca="1">IF('CDO Bespoke'!O183&lt;&gt;"",'CDO Bespoke'!O183,"")</f>
        <v/>
      </c>
      <c r="Y182" s="485" t="str">
        <f ca="1">IF(X182&lt;&gt;"",ABS(MIN(-0.75*('CDO Bespoke'!Q183)+'CDO Bespoke'!T183,0)),"")</f>
        <v/>
      </c>
      <c r="Z182" s="485">
        <f t="shared" ca="1" si="16"/>
        <v>0</v>
      </c>
      <c r="AA182" s="485">
        <f t="shared" ca="1" si="17"/>
        <v>0</v>
      </c>
      <c r="AB182" s="484" t="str">
        <f ca="1">IF('CDO Bespoke'!O183&lt;&gt;"",'CDO Bespoke'!O183,"")</f>
        <v/>
      </c>
      <c r="AC182" s="485" t="str">
        <f ca="1">IF(AB182&lt;&gt;"",ABS(MIN(-0.75*('CDO Bespoke'!K183)+'CDO Bespoke'!T183,0)),"")</f>
        <v/>
      </c>
      <c r="AD182" s="485">
        <f t="shared" ca="1" si="18"/>
        <v>0</v>
      </c>
      <c r="AE182" s="489">
        <f t="shared" ca="1" si="19"/>
        <v>0</v>
      </c>
      <c r="AF182" s="272"/>
      <c r="AG182" s="494" t="str">
        <f ca="1">IF('CDO Bespoke'!C207&lt;&gt;"",'CDO Bespoke'!C207,"")</f>
        <v/>
      </c>
      <c r="AH182" s="496"/>
      <c r="AI182" s="585"/>
      <c r="AJ182" s="585"/>
      <c r="AK182" s="585"/>
      <c r="AL182" s="497"/>
      <c r="AM182" s="496"/>
      <c r="AN182" s="585"/>
      <c r="AO182" s="585"/>
      <c r="AP182" s="585"/>
      <c r="AQ182" s="497"/>
      <c r="AR182" s="580"/>
      <c r="AS182" s="580"/>
      <c r="AT182" s="580"/>
      <c r="AU182" s="580"/>
      <c r="AV182" s="580"/>
      <c r="AW182" s="580"/>
      <c r="AX182" s="579"/>
    </row>
    <row r="183" spans="2:50">
      <c r="B183" s="534" t="s">
        <v>553</v>
      </c>
      <c r="C183" s="535" t="s">
        <v>66</v>
      </c>
      <c r="D183" s="535" t="s">
        <v>59</v>
      </c>
      <c r="E183" s="535" t="s">
        <v>651</v>
      </c>
      <c r="F183" s="535" t="s">
        <v>673</v>
      </c>
      <c r="G183" s="536">
        <v>0.01</v>
      </c>
      <c r="H183" s="536">
        <v>4.2700000000000004E-3</v>
      </c>
      <c r="I183" s="537">
        <v>0.4</v>
      </c>
      <c r="J183" s="595">
        <v>5</v>
      </c>
      <c r="K183" s="538">
        <v>53</v>
      </c>
      <c r="L183" s="272"/>
      <c r="M183" s="272"/>
      <c r="P183" s="273"/>
      <c r="Q183" s="273"/>
      <c r="R183" s="273"/>
      <c r="S183" s="273"/>
      <c r="T183" s="273"/>
      <c r="U183" s="273"/>
      <c r="V183" s="273"/>
      <c r="W183" s="273"/>
      <c r="X183" s="484" t="str">
        <f ca="1">IF('CDO Bespoke'!O184&lt;&gt;"",'CDO Bespoke'!O184,"")</f>
        <v/>
      </c>
      <c r="Y183" s="485" t="str">
        <f ca="1">IF(X183&lt;&gt;"",ABS(MIN(-0.75*('CDO Bespoke'!Q184)+'CDO Bespoke'!T184,0)),"")</f>
        <v/>
      </c>
      <c r="Z183" s="485">
        <f t="shared" ca="1" si="16"/>
        <v>0</v>
      </c>
      <c r="AA183" s="485">
        <f t="shared" ca="1" si="17"/>
        <v>0</v>
      </c>
      <c r="AB183" s="484" t="str">
        <f ca="1">IF('CDO Bespoke'!O184&lt;&gt;"",'CDO Bespoke'!O184,"")</f>
        <v/>
      </c>
      <c r="AC183" s="485" t="str">
        <f ca="1">IF(AB183&lt;&gt;"",ABS(MIN(-0.75*('CDO Bespoke'!K184)+'CDO Bespoke'!T184,0)),"")</f>
        <v/>
      </c>
      <c r="AD183" s="485">
        <f t="shared" ca="1" si="18"/>
        <v>0</v>
      </c>
      <c r="AE183" s="489">
        <f t="shared" ca="1" si="19"/>
        <v>0</v>
      </c>
      <c r="AF183" s="272"/>
      <c r="AG183" s="494" t="str">
        <f ca="1">IF('CDO Bespoke'!C208&lt;&gt;"",'CDO Bespoke'!C208,"")</f>
        <v/>
      </c>
      <c r="AH183" s="496"/>
      <c r="AI183" s="585"/>
      <c r="AJ183" s="585"/>
      <c r="AK183" s="585"/>
      <c r="AL183" s="497"/>
      <c r="AM183" s="496"/>
      <c r="AN183" s="585"/>
      <c r="AO183" s="585"/>
      <c r="AP183" s="585"/>
      <c r="AQ183" s="497"/>
      <c r="AR183" s="580"/>
      <c r="AS183" s="580"/>
      <c r="AT183" s="580"/>
      <c r="AU183" s="580"/>
      <c r="AV183" s="580"/>
      <c r="AW183" s="580"/>
      <c r="AX183" s="579"/>
    </row>
    <row r="184" spans="2:50">
      <c r="B184" s="539" t="s">
        <v>554</v>
      </c>
      <c r="C184" s="540" t="s">
        <v>66</v>
      </c>
      <c r="D184" s="540" t="s">
        <v>55</v>
      </c>
      <c r="E184" s="540" t="s">
        <v>651</v>
      </c>
      <c r="F184" s="540" t="s">
        <v>673</v>
      </c>
      <c r="G184" s="541">
        <v>0.01</v>
      </c>
      <c r="H184" s="541">
        <v>1.957E-3</v>
      </c>
      <c r="I184" s="542">
        <v>0.4</v>
      </c>
      <c r="J184" s="602">
        <v>5</v>
      </c>
      <c r="K184" s="543">
        <v>54</v>
      </c>
      <c r="L184" s="272"/>
      <c r="M184" s="272"/>
      <c r="P184" s="273"/>
      <c r="Q184" s="273"/>
      <c r="R184" s="273"/>
      <c r="S184" s="273"/>
      <c r="T184" s="273"/>
      <c r="U184" s="273"/>
      <c r="V184" s="273"/>
      <c r="W184" s="273"/>
      <c r="X184" s="484" t="str">
        <f ca="1">IF('CDO Bespoke'!O185&lt;&gt;"",'CDO Bespoke'!O185,"")</f>
        <v/>
      </c>
      <c r="Y184" s="485" t="str">
        <f ca="1">IF(X184&lt;&gt;"",ABS(MIN(-0.75*('CDO Bespoke'!Q185)+'CDO Bespoke'!T185,0)),"")</f>
        <v/>
      </c>
      <c r="Z184" s="485">
        <f t="shared" ca="1" si="16"/>
        <v>0</v>
      </c>
      <c r="AA184" s="485">
        <f t="shared" ca="1" si="17"/>
        <v>0</v>
      </c>
      <c r="AB184" s="484" t="str">
        <f ca="1">IF('CDO Bespoke'!O185&lt;&gt;"",'CDO Bespoke'!O185,"")</f>
        <v/>
      </c>
      <c r="AC184" s="485" t="str">
        <f ca="1">IF(AB184&lt;&gt;"",ABS(MIN(-0.75*('CDO Bespoke'!K185)+'CDO Bespoke'!T185,0)),"")</f>
        <v/>
      </c>
      <c r="AD184" s="485">
        <f t="shared" ca="1" si="18"/>
        <v>0</v>
      </c>
      <c r="AE184" s="489">
        <f t="shared" ca="1" si="19"/>
        <v>0</v>
      </c>
      <c r="AF184" s="272"/>
      <c r="AG184" s="494" t="str">
        <f ca="1">IF('CDO Bespoke'!C209&lt;&gt;"",'CDO Bespoke'!C209,"")</f>
        <v/>
      </c>
      <c r="AH184" s="496"/>
      <c r="AI184" s="585"/>
      <c r="AJ184" s="585"/>
      <c r="AK184" s="585"/>
      <c r="AL184" s="497"/>
      <c r="AM184" s="496"/>
      <c r="AN184" s="585"/>
      <c r="AO184" s="585"/>
      <c r="AP184" s="585"/>
      <c r="AQ184" s="497"/>
      <c r="AR184" s="580"/>
      <c r="AS184" s="580"/>
      <c r="AT184" s="580"/>
      <c r="AU184" s="580"/>
      <c r="AV184" s="580"/>
      <c r="AW184" s="580"/>
      <c r="AX184" s="579"/>
    </row>
    <row r="185" spans="2:50">
      <c r="B185" s="517" t="s">
        <v>554</v>
      </c>
      <c r="C185" s="518" t="s">
        <v>66</v>
      </c>
      <c r="D185" s="518" t="s">
        <v>57</v>
      </c>
      <c r="E185" s="518" t="s">
        <v>651</v>
      </c>
      <c r="F185" s="518" t="s">
        <v>673</v>
      </c>
      <c r="G185" s="525">
        <v>0.01</v>
      </c>
      <c r="H185" s="525">
        <v>2.7009999999999998E-3</v>
      </c>
      <c r="I185" s="527">
        <v>0.4</v>
      </c>
      <c r="J185" s="594">
        <v>5</v>
      </c>
      <c r="K185" s="519">
        <v>54</v>
      </c>
      <c r="L185" s="272"/>
      <c r="M185" s="272"/>
      <c r="P185" s="273"/>
      <c r="Q185" s="273"/>
      <c r="R185" s="273"/>
      <c r="S185" s="273"/>
      <c r="T185" s="273"/>
      <c r="U185" s="273"/>
      <c r="V185" s="273"/>
      <c r="W185" s="273"/>
      <c r="X185" s="484" t="str">
        <f ca="1">IF('CDO Bespoke'!O186&lt;&gt;"",'CDO Bespoke'!O186,"")</f>
        <v/>
      </c>
      <c r="Y185" s="485" t="str">
        <f ca="1">IF(X185&lt;&gt;"",ABS(MIN(-0.75*('CDO Bespoke'!Q186)+'CDO Bespoke'!T186,0)),"")</f>
        <v/>
      </c>
      <c r="Z185" s="485">
        <f t="shared" ca="1" si="16"/>
        <v>0</v>
      </c>
      <c r="AA185" s="485">
        <f t="shared" ca="1" si="17"/>
        <v>0</v>
      </c>
      <c r="AB185" s="484" t="str">
        <f ca="1">IF('CDO Bespoke'!O186&lt;&gt;"",'CDO Bespoke'!O186,"")</f>
        <v/>
      </c>
      <c r="AC185" s="485" t="str">
        <f ca="1">IF(AB185&lt;&gt;"",ABS(MIN(-0.75*('CDO Bespoke'!K186)+'CDO Bespoke'!T186,0)),"")</f>
        <v/>
      </c>
      <c r="AD185" s="485">
        <f t="shared" ca="1" si="18"/>
        <v>0</v>
      </c>
      <c r="AE185" s="489">
        <f t="shared" ca="1" si="19"/>
        <v>0</v>
      </c>
      <c r="AF185" s="272"/>
      <c r="AG185" s="494" t="str">
        <f ca="1">IF('CDO Bespoke'!C210&lt;&gt;"",'CDO Bespoke'!C210,"")</f>
        <v/>
      </c>
      <c r="AH185" s="496"/>
      <c r="AI185" s="585"/>
      <c r="AJ185" s="585"/>
      <c r="AK185" s="585"/>
      <c r="AL185" s="497"/>
      <c r="AM185" s="496"/>
      <c r="AN185" s="585"/>
      <c r="AO185" s="585"/>
      <c r="AP185" s="585"/>
      <c r="AQ185" s="497"/>
      <c r="AR185" s="580"/>
      <c r="AS185" s="580"/>
      <c r="AT185" s="580"/>
      <c r="AU185" s="580"/>
      <c r="AV185" s="580"/>
      <c r="AW185" s="580"/>
      <c r="AX185" s="579"/>
    </row>
    <row r="186" spans="2:50">
      <c r="B186" s="534" t="s">
        <v>554</v>
      </c>
      <c r="C186" s="535" t="s">
        <v>66</v>
      </c>
      <c r="D186" s="535" t="s">
        <v>59</v>
      </c>
      <c r="E186" s="535" t="s">
        <v>651</v>
      </c>
      <c r="F186" s="535" t="s">
        <v>673</v>
      </c>
      <c r="G186" s="536">
        <v>0.01</v>
      </c>
      <c r="H186" s="536">
        <v>3.7780000000000001E-3</v>
      </c>
      <c r="I186" s="537">
        <v>0.4</v>
      </c>
      <c r="J186" s="595">
        <v>5</v>
      </c>
      <c r="K186" s="538">
        <v>54</v>
      </c>
      <c r="L186" s="272"/>
      <c r="M186" s="272"/>
      <c r="P186" s="273"/>
      <c r="Q186" s="273"/>
      <c r="R186" s="273"/>
      <c r="S186" s="273"/>
      <c r="T186" s="273"/>
      <c r="U186" s="273"/>
      <c r="V186" s="273"/>
      <c r="W186" s="273"/>
      <c r="X186" s="484" t="str">
        <f ca="1">IF('CDO Bespoke'!O187&lt;&gt;"",'CDO Bespoke'!O187,"")</f>
        <v/>
      </c>
      <c r="Y186" s="485" t="str">
        <f ca="1">IF(X186&lt;&gt;"",ABS(MIN(-0.75*('CDO Bespoke'!Q187)+'CDO Bespoke'!T187,0)),"")</f>
        <v/>
      </c>
      <c r="Z186" s="485">
        <f t="shared" ca="1" si="16"/>
        <v>0</v>
      </c>
      <c r="AA186" s="485">
        <f t="shared" ca="1" si="17"/>
        <v>0</v>
      </c>
      <c r="AB186" s="484" t="str">
        <f ca="1">IF('CDO Bespoke'!O187&lt;&gt;"",'CDO Bespoke'!O187,"")</f>
        <v/>
      </c>
      <c r="AC186" s="485" t="str">
        <f ca="1">IF(AB186&lt;&gt;"",ABS(MIN(-0.75*('CDO Bespoke'!K187)+'CDO Bespoke'!T187,0)),"")</f>
        <v/>
      </c>
      <c r="AD186" s="485">
        <f t="shared" ca="1" si="18"/>
        <v>0</v>
      </c>
      <c r="AE186" s="489">
        <f t="shared" ca="1" si="19"/>
        <v>0</v>
      </c>
      <c r="AF186" s="272"/>
      <c r="AG186" s="494" t="str">
        <f ca="1">IF('CDO Bespoke'!C211&lt;&gt;"",'CDO Bespoke'!C211,"")</f>
        <v/>
      </c>
      <c r="AH186" s="496"/>
      <c r="AI186" s="585"/>
      <c r="AJ186" s="585"/>
      <c r="AK186" s="585"/>
      <c r="AL186" s="497"/>
      <c r="AM186" s="496"/>
      <c r="AN186" s="585"/>
      <c r="AO186" s="585"/>
      <c r="AP186" s="585"/>
      <c r="AQ186" s="497"/>
      <c r="AR186" s="580"/>
      <c r="AS186" s="580"/>
      <c r="AT186" s="580"/>
      <c r="AU186" s="580"/>
      <c r="AV186" s="580"/>
      <c r="AW186" s="580"/>
      <c r="AX186" s="579"/>
    </row>
    <row r="187" spans="2:50">
      <c r="B187" s="539" t="s">
        <v>555</v>
      </c>
      <c r="C187" s="540" t="s">
        <v>66</v>
      </c>
      <c r="D187" s="540" t="s">
        <v>55</v>
      </c>
      <c r="E187" s="540" t="s">
        <v>649</v>
      </c>
      <c r="F187" s="540" t="s">
        <v>673</v>
      </c>
      <c r="G187" s="541">
        <v>0.01</v>
      </c>
      <c r="H187" s="541">
        <v>2.3579999999999999E-3</v>
      </c>
      <c r="I187" s="542">
        <v>0.4</v>
      </c>
      <c r="J187" s="602">
        <v>5</v>
      </c>
      <c r="K187" s="543">
        <v>55</v>
      </c>
      <c r="L187" s="272"/>
      <c r="M187" s="272"/>
      <c r="P187" s="273"/>
      <c r="Q187" s="273"/>
      <c r="R187" s="273"/>
      <c r="S187" s="273"/>
      <c r="T187" s="273"/>
      <c r="U187" s="273"/>
      <c r="V187" s="273"/>
      <c r="W187" s="273"/>
      <c r="X187" s="484" t="str">
        <f ca="1">IF('CDO Bespoke'!O188&lt;&gt;"",'CDO Bespoke'!O188,"")</f>
        <v/>
      </c>
      <c r="Y187" s="485" t="str">
        <f ca="1">IF(X187&lt;&gt;"",ABS(MIN(-0.75*('CDO Bespoke'!Q188)+'CDO Bespoke'!T188,0)),"")</f>
        <v/>
      </c>
      <c r="Z187" s="485">
        <f t="shared" ca="1" si="16"/>
        <v>0</v>
      </c>
      <c r="AA187" s="485">
        <f t="shared" ca="1" si="17"/>
        <v>0</v>
      </c>
      <c r="AB187" s="484" t="str">
        <f ca="1">IF('CDO Bespoke'!O188&lt;&gt;"",'CDO Bespoke'!O188,"")</f>
        <v/>
      </c>
      <c r="AC187" s="485" t="str">
        <f ca="1">IF(AB187&lt;&gt;"",ABS(MIN(-0.75*('CDO Bespoke'!K188)+'CDO Bespoke'!T188,0)),"")</f>
        <v/>
      </c>
      <c r="AD187" s="485">
        <f t="shared" ca="1" si="18"/>
        <v>0</v>
      </c>
      <c r="AE187" s="489">
        <f t="shared" ca="1" si="19"/>
        <v>0</v>
      </c>
      <c r="AF187" s="272"/>
      <c r="AG187" s="494" t="str">
        <f ca="1">IF('CDO Bespoke'!C212&lt;&gt;"",'CDO Bespoke'!C212,"")</f>
        <v/>
      </c>
      <c r="AH187" s="496"/>
      <c r="AI187" s="585"/>
      <c r="AJ187" s="585"/>
      <c r="AK187" s="585"/>
      <c r="AL187" s="497"/>
      <c r="AM187" s="496"/>
      <c r="AN187" s="585"/>
      <c r="AO187" s="585"/>
      <c r="AP187" s="585"/>
      <c r="AQ187" s="497"/>
      <c r="AR187" s="580"/>
      <c r="AS187" s="580"/>
      <c r="AT187" s="580"/>
      <c r="AU187" s="580"/>
      <c r="AV187" s="580"/>
      <c r="AW187" s="580"/>
      <c r="AX187" s="579"/>
    </row>
    <row r="188" spans="2:50">
      <c r="B188" s="517" t="s">
        <v>555</v>
      </c>
      <c r="C188" s="518" t="s">
        <v>66</v>
      </c>
      <c r="D188" s="518" t="s">
        <v>57</v>
      </c>
      <c r="E188" s="518" t="s">
        <v>649</v>
      </c>
      <c r="F188" s="518" t="s">
        <v>673</v>
      </c>
      <c r="G188" s="525">
        <v>0.01</v>
      </c>
      <c r="H188" s="525">
        <v>4.816E-3</v>
      </c>
      <c r="I188" s="527">
        <v>0.4</v>
      </c>
      <c r="J188" s="594">
        <v>5</v>
      </c>
      <c r="K188" s="519">
        <v>55</v>
      </c>
      <c r="L188" s="272"/>
      <c r="M188" s="272"/>
      <c r="P188" s="273"/>
      <c r="Q188" s="273"/>
      <c r="R188" s="273"/>
      <c r="S188" s="273"/>
      <c r="T188" s="273"/>
      <c r="U188" s="273"/>
      <c r="V188" s="273"/>
      <c r="W188" s="273"/>
      <c r="X188" s="484" t="str">
        <f ca="1">IF('CDO Bespoke'!O189&lt;&gt;"",'CDO Bespoke'!O189,"")</f>
        <v/>
      </c>
      <c r="Y188" s="485" t="str">
        <f ca="1">IF(X188&lt;&gt;"",ABS(MIN(-0.75*('CDO Bespoke'!Q189)+'CDO Bespoke'!T189,0)),"")</f>
        <v/>
      </c>
      <c r="Z188" s="485">
        <f t="shared" ca="1" si="16"/>
        <v>0</v>
      </c>
      <c r="AA188" s="485">
        <f t="shared" ca="1" si="17"/>
        <v>0</v>
      </c>
      <c r="AB188" s="484" t="str">
        <f ca="1">IF('CDO Bespoke'!O189&lt;&gt;"",'CDO Bespoke'!O189,"")</f>
        <v/>
      </c>
      <c r="AC188" s="485" t="str">
        <f ca="1">IF(AB188&lt;&gt;"",ABS(MIN(-0.75*('CDO Bespoke'!K189)+'CDO Bespoke'!T189,0)),"")</f>
        <v/>
      </c>
      <c r="AD188" s="485">
        <f t="shared" ca="1" si="18"/>
        <v>0</v>
      </c>
      <c r="AE188" s="489">
        <f t="shared" ca="1" si="19"/>
        <v>0</v>
      </c>
      <c r="AF188" s="272"/>
      <c r="AG188" s="494" t="str">
        <f ca="1">IF('CDO Bespoke'!C213&lt;&gt;"",'CDO Bespoke'!C213,"")</f>
        <v/>
      </c>
      <c r="AH188" s="496"/>
      <c r="AI188" s="585"/>
      <c r="AJ188" s="585"/>
      <c r="AK188" s="585"/>
      <c r="AL188" s="497"/>
      <c r="AM188" s="496"/>
      <c r="AN188" s="585"/>
      <c r="AO188" s="585"/>
      <c r="AP188" s="585"/>
      <c r="AQ188" s="497"/>
      <c r="AR188" s="580"/>
      <c r="AS188" s="580"/>
      <c r="AT188" s="580"/>
      <c r="AU188" s="580"/>
      <c r="AV188" s="580"/>
      <c r="AW188" s="580"/>
      <c r="AX188" s="579"/>
    </row>
    <row r="189" spans="2:50">
      <c r="B189" s="534" t="s">
        <v>555</v>
      </c>
      <c r="C189" s="535" t="s">
        <v>66</v>
      </c>
      <c r="D189" s="535" t="s">
        <v>59</v>
      </c>
      <c r="E189" s="535" t="s">
        <v>649</v>
      </c>
      <c r="F189" s="535" t="s">
        <v>673</v>
      </c>
      <c r="G189" s="536">
        <v>0.01</v>
      </c>
      <c r="H189" s="536">
        <v>7.6169999999999996E-3</v>
      </c>
      <c r="I189" s="537">
        <v>0.4</v>
      </c>
      <c r="J189" s="595">
        <v>5</v>
      </c>
      <c r="K189" s="538">
        <v>55</v>
      </c>
      <c r="L189" s="272"/>
      <c r="M189" s="272"/>
      <c r="P189" s="273"/>
      <c r="Q189" s="273"/>
      <c r="R189" s="273"/>
      <c r="S189" s="273"/>
      <c r="T189" s="273"/>
      <c r="U189" s="273"/>
      <c r="V189" s="273"/>
      <c r="W189" s="273"/>
      <c r="X189" s="484" t="str">
        <f ca="1">IF('CDO Bespoke'!O190&lt;&gt;"",'CDO Bespoke'!O190,"")</f>
        <v/>
      </c>
      <c r="Y189" s="485" t="str">
        <f ca="1">IF(X189&lt;&gt;"",ABS(MIN(-0.75*('CDO Bespoke'!Q190)+'CDO Bespoke'!T190,0)),"")</f>
        <v/>
      </c>
      <c r="Z189" s="485">
        <f t="shared" ca="1" si="16"/>
        <v>0</v>
      </c>
      <c r="AA189" s="485">
        <f t="shared" ca="1" si="17"/>
        <v>0</v>
      </c>
      <c r="AB189" s="484" t="str">
        <f ca="1">IF('CDO Bespoke'!O190&lt;&gt;"",'CDO Bespoke'!O190,"")</f>
        <v/>
      </c>
      <c r="AC189" s="485" t="str">
        <f ca="1">IF(AB189&lt;&gt;"",ABS(MIN(-0.75*('CDO Bespoke'!K190)+'CDO Bespoke'!T190,0)),"")</f>
        <v/>
      </c>
      <c r="AD189" s="485">
        <f t="shared" ca="1" si="18"/>
        <v>0</v>
      </c>
      <c r="AE189" s="489">
        <f t="shared" ca="1" si="19"/>
        <v>0</v>
      </c>
      <c r="AF189" s="272"/>
      <c r="AG189" s="494" t="str">
        <f ca="1">IF('CDO Bespoke'!C214&lt;&gt;"",'CDO Bespoke'!C214,"")</f>
        <v/>
      </c>
      <c r="AH189" s="496"/>
      <c r="AI189" s="585"/>
      <c r="AJ189" s="585"/>
      <c r="AK189" s="585"/>
      <c r="AL189" s="497"/>
      <c r="AM189" s="496"/>
      <c r="AN189" s="585"/>
      <c r="AO189" s="585"/>
      <c r="AP189" s="585"/>
      <c r="AQ189" s="497"/>
      <c r="AR189" s="580"/>
      <c r="AS189" s="580"/>
      <c r="AT189" s="580"/>
      <c r="AU189" s="580"/>
      <c r="AV189" s="580"/>
      <c r="AW189" s="580"/>
      <c r="AX189" s="579"/>
    </row>
    <row r="190" spans="2:50">
      <c r="B190" s="539" t="s">
        <v>556</v>
      </c>
      <c r="C190" s="540" t="s">
        <v>66</v>
      </c>
      <c r="D190" s="540" t="s">
        <v>55</v>
      </c>
      <c r="E190" s="540" t="s">
        <v>649</v>
      </c>
      <c r="F190" s="540" t="s">
        <v>673</v>
      </c>
      <c r="G190" s="541">
        <v>0.01</v>
      </c>
      <c r="H190" s="541">
        <v>2.2920000000000002E-3</v>
      </c>
      <c r="I190" s="542">
        <v>0.4</v>
      </c>
      <c r="J190" s="602">
        <v>5</v>
      </c>
      <c r="K190" s="543">
        <v>56</v>
      </c>
      <c r="L190" s="272"/>
      <c r="M190" s="272"/>
      <c r="P190" s="273"/>
      <c r="Q190" s="273"/>
      <c r="R190" s="273"/>
      <c r="S190" s="273"/>
      <c r="T190" s="273"/>
      <c r="U190" s="273"/>
      <c r="V190" s="273"/>
      <c r="W190" s="273"/>
      <c r="X190" s="484" t="str">
        <f ca="1">IF('CDO Bespoke'!O191&lt;&gt;"",'CDO Bespoke'!O191,"")</f>
        <v/>
      </c>
      <c r="Y190" s="485" t="str">
        <f ca="1">IF(X190&lt;&gt;"",ABS(MIN(-0.75*('CDO Bespoke'!Q191)+'CDO Bespoke'!T191,0)),"")</f>
        <v/>
      </c>
      <c r="Z190" s="485">
        <f t="shared" ca="1" si="16"/>
        <v>0</v>
      </c>
      <c r="AA190" s="485">
        <f t="shared" ca="1" si="17"/>
        <v>0</v>
      </c>
      <c r="AB190" s="484" t="str">
        <f ca="1">IF('CDO Bespoke'!O191&lt;&gt;"",'CDO Bespoke'!O191,"")</f>
        <v/>
      </c>
      <c r="AC190" s="485" t="str">
        <f ca="1">IF(AB190&lt;&gt;"",ABS(MIN(-0.75*('CDO Bespoke'!K191)+'CDO Bespoke'!T191,0)),"")</f>
        <v/>
      </c>
      <c r="AD190" s="485">
        <f t="shared" ca="1" si="18"/>
        <v>0</v>
      </c>
      <c r="AE190" s="489">
        <f t="shared" ca="1" si="19"/>
        <v>0</v>
      </c>
      <c r="AF190" s="272"/>
      <c r="AG190" s="494" t="str">
        <f ca="1">IF('CDO Bespoke'!C215&lt;&gt;"",'CDO Bespoke'!C215,"")</f>
        <v/>
      </c>
      <c r="AH190" s="496"/>
      <c r="AI190" s="585"/>
      <c r="AJ190" s="585"/>
      <c r="AK190" s="585"/>
      <c r="AL190" s="497"/>
      <c r="AM190" s="496"/>
      <c r="AN190" s="585"/>
      <c r="AO190" s="585"/>
      <c r="AP190" s="585"/>
      <c r="AQ190" s="497"/>
      <c r="AR190" s="580"/>
      <c r="AS190" s="580"/>
      <c r="AT190" s="580"/>
      <c r="AU190" s="580"/>
      <c r="AV190" s="580"/>
      <c r="AW190" s="580"/>
      <c r="AX190" s="579"/>
    </row>
    <row r="191" spans="2:50">
      <c r="B191" s="517" t="s">
        <v>556</v>
      </c>
      <c r="C191" s="518" t="s">
        <v>66</v>
      </c>
      <c r="D191" s="518" t="s">
        <v>57</v>
      </c>
      <c r="E191" s="518" t="s">
        <v>649</v>
      </c>
      <c r="F191" s="518" t="s">
        <v>673</v>
      </c>
      <c r="G191" s="525">
        <v>0.01</v>
      </c>
      <c r="H191" s="525">
        <v>3.6840000000000002E-3</v>
      </c>
      <c r="I191" s="527">
        <v>0.4</v>
      </c>
      <c r="J191" s="594">
        <v>5</v>
      </c>
      <c r="K191" s="519">
        <v>56</v>
      </c>
      <c r="L191" s="272"/>
      <c r="M191" s="272"/>
      <c r="P191" s="273"/>
      <c r="Q191" s="273"/>
      <c r="R191" s="273"/>
      <c r="S191" s="273"/>
      <c r="T191" s="273"/>
      <c r="U191" s="273"/>
      <c r="V191" s="273"/>
      <c r="W191" s="273"/>
      <c r="X191" s="484" t="str">
        <f ca="1">IF('CDO Bespoke'!O192&lt;&gt;"",'CDO Bespoke'!O192,"")</f>
        <v/>
      </c>
      <c r="Y191" s="485" t="str">
        <f ca="1">IF(X191&lt;&gt;"",ABS(MIN(-0.75*('CDO Bespoke'!Q192)+'CDO Bespoke'!T192,0)),"")</f>
        <v/>
      </c>
      <c r="Z191" s="485">
        <f t="shared" ca="1" si="16"/>
        <v>0</v>
      </c>
      <c r="AA191" s="485">
        <f t="shared" ca="1" si="17"/>
        <v>0</v>
      </c>
      <c r="AB191" s="484" t="str">
        <f ca="1">IF('CDO Bespoke'!O192&lt;&gt;"",'CDO Bespoke'!O192,"")</f>
        <v/>
      </c>
      <c r="AC191" s="485" t="str">
        <f ca="1">IF(AB191&lt;&gt;"",ABS(MIN(-0.75*('CDO Bespoke'!K192)+'CDO Bespoke'!T192,0)),"")</f>
        <v/>
      </c>
      <c r="AD191" s="485">
        <f t="shared" ca="1" si="18"/>
        <v>0</v>
      </c>
      <c r="AE191" s="489">
        <f t="shared" ca="1" si="19"/>
        <v>0</v>
      </c>
      <c r="AF191" s="272"/>
      <c r="AG191" s="494" t="str">
        <f ca="1">IF('CDO Bespoke'!C216&lt;&gt;"",'CDO Bespoke'!C216,"")</f>
        <v/>
      </c>
      <c r="AH191" s="496"/>
      <c r="AI191" s="585"/>
      <c r="AJ191" s="585"/>
      <c r="AK191" s="585"/>
      <c r="AL191" s="497"/>
      <c r="AM191" s="496"/>
      <c r="AN191" s="585"/>
      <c r="AO191" s="585"/>
      <c r="AP191" s="585"/>
      <c r="AQ191" s="497"/>
      <c r="AR191" s="580"/>
      <c r="AS191" s="580"/>
      <c r="AT191" s="580"/>
      <c r="AU191" s="580"/>
      <c r="AV191" s="580"/>
      <c r="AW191" s="580"/>
      <c r="AX191" s="579"/>
    </row>
    <row r="192" spans="2:50">
      <c r="B192" s="534" t="s">
        <v>556</v>
      </c>
      <c r="C192" s="535" t="s">
        <v>66</v>
      </c>
      <c r="D192" s="535" t="s">
        <v>59</v>
      </c>
      <c r="E192" s="535" t="s">
        <v>649</v>
      </c>
      <c r="F192" s="535" t="s">
        <v>673</v>
      </c>
      <c r="G192" s="536">
        <v>0.01</v>
      </c>
      <c r="H192" s="536">
        <v>5.0730000000000003E-3</v>
      </c>
      <c r="I192" s="537">
        <v>0.4</v>
      </c>
      <c r="J192" s="595">
        <v>5</v>
      </c>
      <c r="K192" s="538">
        <v>56</v>
      </c>
      <c r="L192" s="272"/>
      <c r="M192" s="272"/>
      <c r="P192" s="273"/>
      <c r="Q192" s="273"/>
      <c r="R192" s="273"/>
      <c r="S192" s="273"/>
      <c r="T192" s="273"/>
      <c r="U192" s="273"/>
      <c r="V192" s="273"/>
      <c r="W192" s="273"/>
      <c r="X192" s="484" t="str">
        <f ca="1">IF('CDO Bespoke'!O193&lt;&gt;"",'CDO Bespoke'!O193,"")</f>
        <v/>
      </c>
      <c r="Y192" s="485" t="str">
        <f ca="1">IF(X192&lt;&gt;"",ABS(MIN(-0.75*('CDO Bespoke'!Q193)+'CDO Bespoke'!T193,0)),"")</f>
        <v/>
      </c>
      <c r="Z192" s="485">
        <f t="shared" ca="1" si="16"/>
        <v>0</v>
      </c>
      <c r="AA192" s="485">
        <f t="shared" ca="1" si="17"/>
        <v>0</v>
      </c>
      <c r="AB192" s="484" t="str">
        <f ca="1">IF('CDO Bespoke'!O193&lt;&gt;"",'CDO Bespoke'!O193,"")</f>
        <v/>
      </c>
      <c r="AC192" s="485" t="str">
        <f ca="1">IF(AB192&lt;&gt;"",ABS(MIN(-0.75*('CDO Bespoke'!K193)+'CDO Bespoke'!T193,0)),"")</f>
        <v/>
      </c>
      <c r="AD192" s="485">
        <f t="shared" ca="1" si="18"/>
        <v>0</v>
      </c>
      <c r="AE192" s="489">
        <f t="shared" ca="1" si="19"/>
        <v>0</v>
      </c>
      <c r="AF192" s="272"/>
      <c r="AG192" s="494" t="str">
        <f ca="1">IF('CDO Bespoke'!C217&lt;&gt;"",'CDO Bespoke'!C217,"")</f>
        <v/>
      </c>
      <c r="AH192" s="496"/>
      <c r="AI192" s="585"/>
      <c r="AJ192" s="585"/>
      <c r="AK192" s="585"/>
      <c r="AL192" s="497"/>
      <c r="AM192" s="496"/>
      <c r="AN192" s="585"/>
      <c r="AO192" s="585"/>
      <c r="AP192" s="585"/>
      <c r="AQ192" s="497"/>
      <c r="AR192" s="580"/>
      <c r="AS192" s="580"/>
      <c r="AT192" s="580"/>
      <c r="AU192" s="580"/>
      <c r="AV192" s="580"/>
      <c r="AW192" s="580"/>
      <c r="AX192" s="579"/>
    </row>
    <row r="193" spans="2:50">
      <c r="B193" s="539" t="s">
        <v>564</v>
      </c>
      <c r="C193" s="540" t="s">
        <v>66</v>
      </c>
      <c r="D193" s="540" t="s">
        <v>55</v>
      </c>
      <c r="E193" s="540" t="s">
        <v>649</v>
      </c>
      <c r="F193" s="540" t="s">
        <v>673</v>
      </c>
      <c r="G193" s="541">
        <v>0.01</v>
      </c>
      <c r="H193" s="541">
        <v>1.598E-3</v>
      </c>
      <c r="I193" s="542">
        <v>0.4</v>
      </c>
      <c r="J193" s="602">
        <v>5</v>
      </c>
      <c r="K193" s="543">
        <v>57</v>
      </c>
      <c r="L193" s="272"/>
      <c r="M193" s="272"/>
      <c r="P193" s="273"/>
      <c r="Q193" s="273"/>
      <c r="R193" s="273"/>
      <c r="S193" s="273"/>
      <c r="T193" s="273"/>
      <c r="U193" s="273"/>
      <c r="V193" s="273"/>
      <c r="W193" s="273"/>
      <c r="X193" s="484" t="str">
        <f ca="1">IF('CDO Bespoke'!O194&lt;&gt;"",'CDO Bespoke'!O194,"")</f>
        <v/>
      </c>
      <c r="Y193" s="485" t="str">
        <f ca="1">IF(X193&lt;&gt;"",ABS(MIN(-0.75*('CDO Bespoke'!Q194)+'CDO Bespoke'!T194,0)),"")</f>
        <v/>
      </c>
      <c r="Z193" s="485">
        <f t="shared" ca="1" si="16"/>
        <v>0</v>
      </c>
      <c r="AA193" s="485">
        <f t="shared" ca="1" si="17"/>
        <v>0</v>
      </c>
      <c r="AB193" s="484" t="str">
        <f ca="1">IF('CDO Bespoke'!O194&lt;&gt;"",'CDO Bespoke'!O194,"")</f>
        <v/>
      </c>
      <c r="AC193" s="485" t="str">
        <f ca="1">IF(AB193&lt;&gt;"",ABS(MIN(-0.75*('CDO Bespoke'!K194)+'CDO Bespoke'!T194,0)),"")</f>
        <v/>
      </c>
      <c r="AD193" s="485">
        <f t="shared" ca="1" si="18"/>
        <v>0</v>
      </c>
      <c r="AE193" s="489">
        <f t="shared" ca="1" si="19"/>
        <v>0</v>
      </c>
      <c r="AF193" s="272"/>
      <c r="AG193" s="494" t="str">
        <f ca="1">IF('CDO Bespoke'!C218&lt;&gt;"",'CDO Bespoke'!C218,"")</f>
        <v/>
      </c>
      <c r="AH193" s="496"/>
      <c r="AI193" s="585"/>
      <c r="AJ193" s="585"/>
      <c r="AK193" s="585"/>
      <c r="AL193" s="497"/>
      <c r="AM193" s="496"/>
      <c r="AN193" s="585"/>
      <c r="AO193" s="585"/>
      <c r="AP193" s="585"/>
      <c r="AQ193" s="497"/>
      <c r="AR193" s="580"/>
      <c r="AS193" s="580"/>
      <c r="AT193" s="580"/>
      <c r="AU193" s="580"/>
      <c r="AV193" s="580"/>
      <c r="AW193" s="580"/>
      <c r="AX193" s="579"/>
    </row>
    <row r="194" spans="2:50">
      <c r="B194" s="517" t="s">
        <v>564</v>
      </c>
      <c r="C194" s="518" t="s">
        <v>66</v>
      </c>
      <c r="D194" s="518" t="s">
        <v>57</v>
      </c>
      <c r="E194" s="518" t="s">
        <v>649</v>
      </c>
      <c r="F194" s="518" t="s">
        <v>673</v>
      </c>
      <c r="G194" s="525">
        <v>0.01</v>
      </c>
      <c r="H194" s="525">
        <v>2.627E-3</v>
      </c>
      <c r="I194" s="527">
        <v>0.4</v>
      </c>
      <c r="J194" s="594">
        <v>5</v>
      </c>
      <c r="K194" s="519">
        <v>57</v>
      </c>
      <c r="L194" s="272"/>
      <c r="M194" s="272"/>
      <c r="P194" s="273"/>
      <c r="Q194" s="273"/>
      <c r="R194" s="273"/>
      <c r="S194" s="273"/>
      <c r="T194" s="273"/>
      <c r="U194" s="273"/>
      <c r="V194" s="273"/>
      <c r="W194" s="273"/>
      <c r="X194" s="484" t="str">
        <f ca="1">IF('CDO Bespoke'!O195&lt;&gt;"",'CDO Bespoke'!O195,"")</f>
        <v/>
      </c>
      <c r="Y194" s="485" t="str">
        <f ca="1">IF(X194&lt;&gt;"",ABS(MIN(-0.75*('CDO Bespoke'!Q195)+'CDO Bespoke'!T195,0)),"")</f>
        <v/>
      </c>
      <c r="Z194" s="485">
        <f t="shared" ca="1" si="16"/>
        <v>0</v>
      </c>
      <c r="AA194" s="485">
        <f t="shared" ca="1" si="17"/>
        <v>0</v>
      </c>
      <c r="AB194" s="484" t="str">
        <f ca="1">IF('CDO Bespoke'!O195&lt;&gt;"",'CDO Bespoke'!O195,"")</f>
        <v/>
      </c>
      <c r="AC194" s="485" t="str">
        <f ca="1">IF(AB194&lt;&gt;"",ABS(MIN(-0.75*('CDO Bespoke'!K195)+'CDO Bespoke'!T195,0)),"")</f>
        <v/>
      </c>
      <c r="AD194" s="485">
        <f t="shared" ca="1" si="18"/>
        <v>0</v>
      </c>
      <c r="AE194" s="489">
        <f t="shared" ca="1" si="19"/>
        <v>0</v>
      </c>
      <c r="AF194" s="272"/>
      <c r="AG194" s="494" t="str">
        <f ca="1">IF('CDO Bespoke'!C219&lt;&gt;"",'CDO Bespoke'!C219,"")</f>
        <v/>
      </c>
      <c r="AH194" s="496"/>
      <c r="AI194" s="585"/>
      <c r="AJ194" s="585"/>
      <c r="AK194" s="585"/>
      <c r="AL194" s="497"/>
      <c r="AM194" s="496"/>
      <c r="AN194" s="585"/>
      <c r="AO194" s="585"/>
      <c r="AP194" s="585"/>
      <c r="AQ194" s="497"/>
      <c r="AR194" s="580"/>
      <c r="AS194" s="580"/>
      <c r="AT194" s="580"/>
      <c r="AU194" s="580"/>
      <c r="AV194" s="580"/>
      <c r="AW194" s="580"/>
      <c r="AX194" s="579"/>
    </row>
    <row r="195" spans="2:50">
      <c r="B195" s="534" t="s">
        <v>564</v>
      </c>
      <c r="C195" s="535" t="s">
        <v>66</v>
      </c>
      <c r="D195" s="535" t="s">
        <v>59</v>
      </c>
      <c r="E195" s="535" t="s">
        <v>649</v>
      </c>
      <c r="F195" s="535" t="s">
        <v>673</v>
      </c>
      <c r="G195" s="536">
        <v>0.01</v>
      </c>
      <c r="H195" s="536">
        <v>3.8070000000000001E-3</v>
      </c>
      <c r="I195" s="537">
        <v>0.4</v>
      </c>
      <c r="J195" s="595">
        <v>5</v>
      </c>
      <c r="K195" s="538">
        <v>57</v>
      </c>
      <c r="L195" s="272"/>
      <c r="M195" s="272"/>
      <c r="P195" s="273"/>
      <c r="Q195" s="273"/>
      <c r="R195" s="273"/>
      <c r="S195" s="273"/>
      <c r="T195" s="273"/>
      <c r="U195" s="273"/>
      <c r="V195" s="273"/>
      <c r="W195" s="273"/>
      <c r="X195" s="484" t="str">
        <f ca="1">IF('CDO Bespoke'!O196&lt;&gt;"",'CDO Bespoke'!O196,"")</f>
        <v/>
      </c>
      <c r="Y195" s="485" t="str">
        <f ca="1">IF(X195&lt;&gt;"",ABS(MIN(-0.75*('CDO Bespoke'!Q196)+'CDO Bespoke'!T196,0)),"")</f>
        <v/>
      </c>
      <c r="Z195" s="485">
        <f t="shared" ca="1" si="16"/>
        <v>0</v>
      </c>
      <c r="AA195" s="485">
        <f t="shared" ca="1" si="17"/>
        <v>0</v>
      </c>
      <c r="AB195" s="484" t="str">
        <f ca="1">IF('CDO Bespoke'!O196&lt;&gt;"",'CDO Bespoke'!O196,"")</f>
        <v/>
      </c>
      <c r="AC195" s="485" t="str">
        <f ca="1">IF(AB195&lt;&gt;"",ABS(MIN(-0.75*('CDO Bespoke'!K196)+'CDO Bespoke'!T196,0)),"")</f>
        <v/>
      </c>
      <c r="AD195" s="485">
        <f t="shared" ca="1" si="18"/>
        <v>0</v>
      </c>
      <c r="AE195" s="489">
        <f t="shared" ca="1" si="19"/>
        <v>0</v>
      </c>
      <c r="AF195" s="272"/>
      <c r="AG195" s="494" t="str">
        <f ca="1">IF('CDO Bespoke'!C220&lt;&gt;"",'CDO Bespoke'!C220,"")</f>
        <v/>
      </c>
      <c r="AH195" s="496"/>
      <c r="AI195" s="585"/>
      <c r="AJ195" s="585"/>
      <c r="AK195" s="585"/>
      <c r="AL195" s="497"/>
      <c r="AM195" s="496"/>
      <c r="AN195" s="585"/>
      <c r="AO195" s="585"/>
      <c r="AP195" s="585"/>
      <c r="AQ195" s="497"/>
      <c r="AR195" s="580"/>
      <c r="AS195" s="580"/>
      <c r="AT195" s="580"/>
      <c r="AU195" s="580"/>
      <c r="AV195" s="580"/>
      <c r="AW195" s="580"/>
      <c r="AX195" s="579"/>
    </row>
    <row r="196" spans="2:50">
      <c r="B196" s="539" t="s">
        <v>557</v>
      </c>
      <c r="C196" s="540" t="s">
        <v>66</v>
      </c>
      <c r="D196" s="540" t="s">
        <v>55</v>
      </c>
      <c r="E196" s="540" t="s">
        <v>649</v>
      </c>
      <c r="F196" s="540" t="s">
        <v>673</v>
      </c>
      <c r="G196" s="541">
        <v>0.01</v>
      </c>
      <c r="H196" s="541">
        <v>4.0590000000000001E-3</v>
      </c>
      <c r="I196" s="542">
        <v>0.4</v>
      </c>
      <c r="J196" s="602">
        <v>5</v>
      </c>
      <c r="K196" s="543">
        <v>58</v>
      </c>
      <c r="L196" s="272"/>
      <c r="M196" s="272"/>
      <c r="P196" s="273"/>
      <c r="Q196" s="273"/>
      <c r="R196" s="273"/>
      <c r="S196" s="273"/>
      <c r="T196" s="273"/>
      <c r="U196" s="273"/>
      <c r="V196" s="273"/>
      <c r="W196" s="273"/>
      <c r="X196" s="484" t="str">
        <f ca="1">IF('CDO Bespoke'!O197&lt;&gt;"",'CDO Bespoke'!O197,"")</f>
        <v/>
      </c>
      <c r="Y196" s="485" t="str">
        <f ca="1">IF(X196&lt;&gt;"",ABS(MIN(-0.75*('CDO Bespoke'!Q197)+'CDO Bespoke'!T197,0)),"")</f>
        <v/>
      </c>
      <c r="Z196" s="485">
        <f t="shared" ca="1" si="16"/>
        <v>0</v>
      </c>
      <c r="AA196" s="485">
        <f t="shared" ca="1" si="17"/>
        <v>0</v>
      </c>
      <c r="AB196" s="484" t="str">
        <f ca="1">IF('CDO Bespoke'!O197&lt;&gt;"",'CDO Bespoke'!O197,"")</f>
        <v/>
      </c>
      <c r="AC196" s="485" t="str">
        <f ca="1">IF(AB196&lt;&gt;"",ABS(MIN(-0.75*('CDO Bespoke'!K197)+'CDO Bespoke'!T197,0)),"")</f>
        <v/>
      </c>
      <c r="AD196" s="485">
        <f t="shared" ca="1" si="18"/>
        <v>0</v>
      </c>
      <c r="AE196" s="489">
        <f t="shared" ca="1" si="19"/>
        <v>0</v>
      </c>
      <c r="AF196" s="272"/>
      <c r="AG196" s="494" t="str">
        <f ca="1">IF('CDO Bespoke'!C221&lt;&gt;"",'CDO Bespoke'!C221,"")</f>
        <v/>
      </c>
      <c r="AH196" s="496"/>
      <c r="AI196" s="585"/>
      <c r="AJ196" s="585"/>
      <c r="AK196" s="585"/>
      <c r="AL196" s="497"/>
      <c r="AM196" s="496"/>
      <c r="AN196" s="585"/>
      <c r="AO196" s="585"/>
      <c r="AP196" s="585"/>
      <c r="AQ196" s="497"/>
      <c r="AR196" s="580"/>
      <c r="AS196" s="580"/>
      <c r="AT196" s="580"/>
      <c r="AU196" s="580"/>
      <c r="AV196" s="580"/>
      <c r="AW196" s="580"/>
      <c r="AX196" s="579"/>
    </row>
    <row r="197" spans="2:50">
      <c r="B197" s="517" t="s">
        <v>557</v>
      </c>
      <c r="C197" s="518" t="s">
        <v>66</v>
      </c>
      <c r="D197" s="518" t="s">
        <v>57</v>
      </c>
      <c r="E197" s="518" t="s">
        <v>649</v>
      </c>
      <c r="F197" s="518" t="s">
        <v>673</v>
      </c>
      <c r="G197" s="525">
        <v>0.01</v>
      </c>
      <c r="H197" s="525">
        <v>6.953E-3</v>
      </c>
      <c r="I197" s="527">
        <v>0.4</v>
      </c>
      <c r="J197" s="594">
        <v>5</v>
      </c>
      <c r="K197" s="519">
        <v>58</v>
      </c>
      <c r="L197" s="272"/>
      <c r="M197" s="272"/>
      <c r="P197" s="273"/>
      <c r="Q197" s="273"/>
      <c r="R197" s="273"/>
      <c r="S197" s="273"/>
      <c r="T197" s="273"/>
      <c r="U197" s="273"/>
      <c r="V197" s="273"/>
      <c r="W197" s="273"/>
      <c r="X197" s="484" t="str">
        <f ca="1">IF('CDO Bespoke'!O198&lt;&gt;"",'CDO Bespoke'!O198,"")</f>
        <v/>
      </c>
      <c r="Y197" s="485" t="str">
        <f ca="1">IF(X197&lt;&gt;"",ABS(MIN(-0.75*('CDO Bespoke'!Q198)+'CDO Bespoke'!T198,0)),"")</f>
        <v/>
      </c>
      <c r="Z197" s="485">
        <f t="shared" ca="1" si="16"/>
        <v>0</v>
      </c>
      <c r="AA197" s="485">
        <f t="shared" ca="1" si="17"/>
        <v>0</v>
      </c>
      <c r="AB197" s="484" t="str">
        <f ca="1">IF('CDO Bespoke'!O198&lt;&gt;"",'CDO Bespoke'!O198,"")</f>
        <v/>
      </c>
      <c r="AC197" s="485" t="str">
        <f ca="1">IF(AB197&lt;&gt;"",ABS(MIN(-0.75*('CDO Bespoke'!K198)+'CDO Bespoke'!T198,0)),"")</f>
        <v/>
      </c>
      <c r="AD197" s="485">
        <f t="shared" ca="1" si="18"/>
        <v>0</v>
      </c>
      <c r="AE197" s="489">
        <f t="shared" ca="1" si="19"/>
        <v>0</v>
      </c>
      <c r="AF197" s="272"/>
      <c r="AG197" s="494" t="str">
        <f ca="1">IF('CDO Bespoke'!C222&lt;&gt;"",'CDO Bespoke'!C222,"")</f>
        <v/>
      </c>
      <c r="AH197" s="496"/>
      <c r="AI197" s="585"/>
      <c r="AJ197" s="585"/>
      <c r="AK197" s="585"/>
      <c r="AL197" s="497"/>
      <c r="AM197" s="496"/>
      <c r="AN197" s="585"/>
      <c r="AO197" s="585"/>
      <c r="AP197" s="585"/>
      <c r="AQ197" s="497"/>
      <c r="AR197" s="580"/>
      <c r="AS197" s="580"/>
      <c r="AT197" s="580"/>
      <c r="AU197" s="580"/>
      <c r="AV197" s="580"/>
      <c r="AW197" s="580"/>
      <c r="AX197" s="579"/>
    </row>
    <row r="198" spans="2:50">
      <c r="B198" s="534" t="s">
        <v>557</v>
      </c>
      <c r="C198" s="535" t="s">
        <v>66</v>
      </c>
      <c r="D198" s="535" t="s">
        <v>59</v>
      </c>
      <c r="E198" s="535" t="s">
        <v>649</v>
      </c>
      <c r="F198" s="535" t="s">
        <v>673</v>
      </c>
      <c r="G198" s="536">
        <v>0.01</v>
      </c>
      <c r="H198" s="536">
        <v>1.0121E-2</v>
      </c>
      <c r="I198" s="537">
        <v>0.4</v>
      </c>
      <c r="J198" s="595">
        <v>5</v>
      </c>
      <c r="K198" s="538">
        <v>58</v>
      </c>
      <c r="L198" s="272"/>
      <c r="M198" s="272"/>
      <c r="P198" s="273"/>
      <c r="Q198" s="273"/>
      <c r="R198" s="273"/>
      <c r="S198" s="273"/>
      <c r="T198" s="273"/>
      <c r="U198" s="273"/>
      <c r="V198" s="273"/>
      <c r="W198" s="273"/>
      <c r="X198" s="484" t="str">
        <f ca="1">IF('CDO Bespoke'!O199&lt;&gt;"",'CDO Bespoke'!O199,"")</f>
        <v/>
      </c>
      <c r="Y198" s="485" t="str">
        <f ca="1">IF(X198&lt;&gt;"",ABS(MIN(-0.75*('CDO Bespoke'!Q199)+'CDO Bespoke'!T199,0)),"")</f>
        <v/>
      </c>
      <c r="Z198" s="485">
        <f t="shared" ca="1" si="16"/>
        <v>0</v>
      </c>
      <c r="AA198" s="485">
        <f t="shared" ca="1" si="17"/>
        <v>0</v>
      </c>
      <c r="AB198" s="484" t="str">
        <f ca="1">IF('CDO Bespoke'!O199&lt;&gt;"",'CDO Bespoke'!O199,"")</f>
        <v/>
      </c>
      <c r="AC198" s="485" t="str">
        <f ca="1">IF(AB198&lt;&gt;"",ABS(MIN(-0.75*('CDO Bespoke'!K199)+'CDO Bespoke'!T199,0)),"")</f>
        <v/>
      </c>
      <c r="AD198" s="485">
        <f t="shared" ca="1" si="18"/>
        <v>0</v>
      </c>
      <c r="AE198" s="489">
        <f t="shared" ca="1" si="19"/>
        <v>0</v>
      </c>
      <c r="AF198" s="272"/>
      <c r="AG198" s="494" t="str">
        <f ca="1">IF('CDO Bespoke'!C223&lt;&gt;"",'CDO Bespoke'!C223,"")</f>
        <v/>
      </c>
      <c r="AH198" s="496"/>
      <c r="AI198" s="585"/>
      <c r="AJ198" s="585"/>
      <c r="AK198" s="585"/>
      <c r="AL198" s="497"/>
      <c r="AM198" s="496"/>
      <c r="AN198" s="585"/>
      <c r="AO198" s="585"/>
      <c r="AP198" s="585"/>
      <c r="AQ198" s="497"/>
      <c r="AR198" s="580"/>
      <c r="AS198" s="580"/>
      <c r="AT198" s="580"/>
      <c r="AU198" s="580"/>
      <c r="AV198" s="580"/>
      <c r="AW198" s="580"/>
      <c r="AX198" s="579"/>
    </row>
    <row r="199" spans="2:50">
      <c r="B199" s="539" t="s">
        <v>558</v>
      </c>
      <c r="C199" s="540" t="s">
        <v>66</v>
      </c>
      <c r="D199" s="540" t="s">
        <v>55</v>
      </c>
      <c r="E199" s="540" t="s">
        <v>649</v>
      </c>
      <c r="F199" s="540" t="s">
        <v>673</v>
      </c>
      <c r="G199" s="541">
        <v>0.01</v>
      </c>
      <c r="H199" s="541">
        <v>3.114E-3</v>
      </c>
      <c r="I199" s="542">
        <v>0.4</v>
      </c>
      <c r="J199" s="602">
        <v>5</v>
      </c>
      <c r="K199" s="543">
        <v>59</v>
      </c>
      <c r="L199" s="272"/>
      <c r="M199" s="272"/>
      <c r="P199" s="273"/>
      <c r="Q199" s="273"/>
      <c r="R199" s="273"/>
      <c r="S199" s="273"/>
      <c r="T199" s="273"/>
      <c r="U199" s="273"/>
      <c r="V199" s="273"/>
      <c r="W199" s="273"/>
      <c r="X199" s="484" t="str">
        <f ca="1">IF('CDO Bespoke'!O200&lt;&gt;"",'CDO Bespoke'!O200,"")</f>
        <v/>
      </c>
      <c r="Y199" s="485" t="str">
        <f ca="1">IF(X199&lt;&gt;"",ABS(MIN(-0.75*('CDO Bespoke'!Q200)+'CDO Bespoke'!T200,0)),"")</f>
        <v/>
      </c>
      <c r="Z199" s="485">
        <f t="shared" ca="1" si="16"/>
        <v>0</v>
      </c>
      <c r="AA199" s="485">
        <f t="shared" ca="1" si="17"/>
        <v>0</v>
      </c>
      <c r="AB199" s="484" t="str">
        <f ca="1">IF('CDO Bespoke'!O200&lt;&gt;"",'CDO Bespoke'!O200,"")</f>
        <v/>
      </c>
      <c r="AC199" s="485" t="str">
        <f ca="1">IF(AB199&lt;&gt;"",ABS(MIN(-0.75*('CDO Bespoke'!K200)+'CDO Bespoke'!T200,0)),"")</f>
        <v/>
      </c>
      <c r="AD199" s="485">
        <f t="shared" ca="1" si="18"/>
        <v>0</v>
      </c>
      <c r="AE199" s="489">
        <f t="shared" ca="1" si="19"/>
        <v>0</v>
      </c>
      <c r="AF199" s="272"/>
      <c r="AG199" s="494" t="str">
        <f ca="1">IF('CDO Bespoke'!C224&lt;&gt;"",'CDO Bespoke'!C224,"")</f>
        <v/>
      </c>
      <c r="AH199" s="496"/>
      <c r="AI199" s="585"/>
      <c r="AJ199" s="585"/>
      <c r="AK199" s="585"/>
      <c r="AL199" s="497"/>
      <c r="AM199" s="496"/>
      <c r="AN199" s="585"/>
      <c r="AO199" s="585"/>
      <c r="AP199" s="585"/>
      <c r="AQ199" s="497"/>
      <c r="AR199" s="580"/>
      <c r="AS199" s="580"/>
      <c r="AT199" s="580"/>
      <c r="AU199" s="580"/>
      <c r="AV199" s="580"/>
      <c r="AW199" s="580"/>
      <c r="AX199" s="579"/>
    </row>
    <row r="200" spans="2:50">
      <c r="B200" s="517" t="s">
        <v>558</v>
      </c>
      <c r="C200" s="518" t="s">
        <v>66</v>
      </c>
      <c r="D200" s="518" t="s">
        <v>57</v>
      </c>
      <c r="E200" s="518" t="s">
        <v>649</v>
      </c>
      <c r="F200" s="518" t="s">
        <v>673</v>
      </c>
      <c r="G200" s="525">
        <v>0.01</v>
      </c>
      <c r="H200" s="525">
        <v>5.1929999999999997E-3</v>
      </c>
      <c r="I200" s="527">
        <v>0.4</v>
      </c>
      <c r="J200" s="594">
        <v>5</v>
      </c>
      <c r="K200" s="519">
        <v>59</v>
      </c>
      <c r="L200" s="272"/>
      <c r="M200" s="272"/>
      <c r="P200" s="273"/>
      <c r="Q200" s="273"/>
      <c r="R200" s="273"/>
      <c r="S200" s="273"/>
      <c r="T200" s="273"/>
      <c r="U200" s="273"/>
      <c r="V200" s="273"/>
      <c r="W200" s="273"/>
      <c r="X200" s="484" t="str">
        <f ca="1">IF('CDO Bespoke'!O201&lt;&gt;"",'CDO Bespoke'!O201,"")</f>
        <v/>
      </c>
      <c r="Y200" s="485" t="str">
        <f ca="1">IF(X200&lt;&gt;"",ABS(MIN(-0.75*('CDO Bespoke'!Q201)+'CDO Bespoke'!T201,0)),"")</f>
        <v/>
      </c>
      <c r="Z200" s="485">
        <f t="shared" ca="1" si="16"/>
        <v>0</v>
      </c>
      <c r="AA200" s="485">
        <f t="shared" ca="1" si="17"/>
        <v>0</v>
      </c>
      <c r="AB200" s="484" t="str">
        <f ca="1">IF('CDO Bespoke'!O201&lt;&gt;"",'CDO Bespoke'!O201,"")</f>
        <v/>
      </c>
      <c r="AC200" s="485" t="str">
        <f ca="1">IF(AB200&lt;&gt;"",ABS(MIN(-0.75*('CDO Bespoke'!K201)+'CDO Bespoke'!T201,0)),"")</f>
        <v/>
      </c>
      <c r="AD200" s="485">
        <f t="shared" ca="1" si="18"/>
        <v>0</v>
      </c>
      <c r="AE200" s="489">
        <f t="shared" ca="1" si="19"/>
        <v>0</v>
      </c>
      <c r="AF200" s="272"/>
      <c r="AG200" s="494" t="str">
        <f ca="1">IF('CDO Bespoke'!C225&lt;&gt;"",'CDO Bespoke'!C225,"")</f>
        <v/>
      </c>
      <c r="AH200" s="496"/>
      <c r="AI200" s="585"/>
      <c r="AJ200" s="585"/>
      <c r="AK200" s="585"/>
      <c r="AL200" s="497"/>
      <c r="AM200" s="496"/>
      <c r="AN200" s="585"/>
      <c r="AO200" s="585"/>
      <c r="AP200" s="585"/>
      <c r="AQ200" s="497"/>
      <c r="AR200" s="580"/>
      <c r="AS200" s="580"/>
      <c r="AT200" s="580"/>
      <c r="AU200" s="580"/>
      <c r="AV200" s="580"/>
      <c r="AW200" s="580"/>
      <c r="AX200" s="579"/>
    </row>
    <row r="201" spans="2:50">
      <c r="B201" s="534" t="s">
        <v>558</v>
      </c>
      <c r="C201" s="535" t="s">
        <v>66</v>
      </c>
      <c r="D201" s="535" t="s">
        <v>59</v>
      </c>
      <c r="E201" s="535" t="s">
        <v>649</v>
      </c>
      <c r="F201" s="535" t="s">
        <v>673</v>
      </c>
      <c r="G201" s="536">
        <v>0.01</v>
      </c>
      <c r="H201" s="536">
        <v>7.737E-3</v>
      </c>
      <c r="I201" s="537">
        <v>0.4</v>
      </c>
      <c r="J201" s="595">
        <v>5</v>
      </c>
      <c r="K201" s="538">
        <v>59</v>
      </c>
      <c r="L201" s="272"/>
      <c r="M201" s="272"/>
      <c r="P201" s="273"/>
      <c r="Q201" s="273"/>
      <c r="R201" s="273"/>
      <c r="S201" s="273"/>
      <c r="T201" s="273"/>
      <c r="U201" s="273"/>
      <c r="V201" s="273"/>
      <c r="W201" s="273"/>
      <c r="X201" s="484" t="str">
        <f ca="1">IF('CDO Bespoke'!O202&lt;&gt;"",'CDO Bespoke'!O202,"")</f>
        <v/>
      </c>
      <c r="Y201" s="485" t="str">
        <f ca="1">IF(X201&lt;&gt;"",ABS(MIN(-0.75*('CDO Bespoke'!Q202)+'CDO Bespoke'!T202,0)),"")</f>
        <v/>
      </c>
      <c r="Z201" s="485">
        <f t="shared" ca="1" si="16"/>
        <v>0</v>
      </c>
      <c r="AA201" s="485">
        <f t="shared" ca="1" si="17"/>
        <v>0</v>
      </c>
      <c r="AB201" s="484" t="str">
        <f ca="1">IF('CDO Bespoke'!O202&lt;&gt;"",'CDO Bespoke'!O202,"")</f>
        <v/>
      </c>
      <c r="AC201" s="485" t="str">
        <f ca="1">IF(AB201&lt;&gt;"",ABS(MIN(-0.75*('CDO Bespoke'!K202)+'CDO Bespoke'!T202,0)),"")</f>
        <v/>
      </c>
      <c r="AD201" s="485">
        <f t="shared" ca="1" si="18"/>
        <v>0</v>
      </c>
      <c r="AE201" s="489">
        <f t="shared" ca="1" si="19"/>
        <v>0</v>
      </c>
      <c r="AF201" s="272"/>
      <c r="AG201" s="494" t="str">
        <f ca="1">IF('CDO Bespoke'!C226&lt;&gt;"",'CDO Bespoke'!C226,"")</f>
        <v/>
      </c>
      <c r="AH201" s="496"/>
      <c r="AI201" s="585"/>
      <c r="AJ201" s="585"/>
      <c r="AK201" s="585"/>
      <c r="AL201" s="497"/>
      <c r="AM201" s="496"/>
      <c r="AN201" s="585"/>
      <c r="AO201" s="585"/>
      <c r="AP201" s="585"/>
      <c r="AQ201" s="497"/>
      <c r="AR201" s="580"/>
      <c r="AS201" s="580"/>
      <c r="AT201" s="580"/>
      <c r="AU201" s="580"/>
      <c r="AV201" s="580"/>
      <c r="AW201" s="580"/>
      <c r="AX201" s="579"/>
    </row>
    <row r="202" spans="2:50">
      <c r="B202" s="539" t="s">
        <v>559</v>
      </c>
      <c r="C202" s="540" t="s">
        <v>66</v>
      </c>
      <c r="D202" s="540" t="s">
        <v>55</v>
      </c>
      <c r="E202" s="540" t="s">
        <v>647</v>
      </c>
      <c r="F202" s="540" t="s">
        <v>673</v>
      </c>
      <c r="G202" s="541">
        <v>0.01</v>
      </c>
      <c r="H202" s="541">
        <v>1.8439999999999999E-3</v>
      </c>
      <c r="I202" s="542">
        <v>0.4</v>
      </c>
      <c r="J202" s="602">
        <v>5</v>
      </c>
      <c r="K202" s="543">
        <v>60</v>
      </c>
      <c r="L202" s="272"/>
      <c r="M202" s="272"/>
      <c r="P202" s="273"/>
      <c r="Q202" s="273"/>
      <c r="R202" s="273"/>
      <c r="S202" s="273"/>
      <c r="T202" s="273"/>
      <c r="U202" s="273"/>
      <c r="V202" s="273"/>
      <c r="W202" s="273"/>
      <c r="X202" s="484" t="str">
        <f ca="1">IF('CDO Bespoke'!O203&lt;&gt;"",'CDO Bespoke'!O203,"")</f>
        <v/>
      </c>
      <c r="Y202" s="485" t="str">
        <f ca="1">IF(X202&lt;&gt;"",ABS(MIN(-0.75*('CDO Bespoke'!Q203)+'CDO Bespoke'!T203,0)),"")</f>
        <v/>
      </c>
      <c r="Z202" s="485">
        <f t="shared" ca="1" si="16"/>
        <v>0</v>
      </c>
      <c r="AA202" s="485">
        <f t="shared" ca="1" si="17"/>
        <v>0</v>
      </c>
      <c r="AB202" s="484" t="str">
        <f ca="1">IF('CDO Bespoke'!O203&lt;&gt;"",'CDO Bespoke'!O203,"")</f>
        <v/>
      </c>
      <c r="AC202" s="485" t="str">
        <f ca="1">IF(AB202&lt;&gt;"",ABS(MIN(-0.75*('CDO Bespoke'!K203)+'CDO Bespoke'!T203,0)),"")</f>
        <v/>
      </c>
      <c r="AD202" s="485">
        <f t="shared" ca="1" si="18"/>
        <v>0</v>
      </c>
      <c r="AE202" s="489">
        <f t="shared" ca="1" si="19"/>
        <v>0</v>
      </c>
      <c r="AF202" s="272"/>
      <c r="AG202" s="494" t="str">
        <f ca="1">IF('CDO Bespoke'!C227&lt;&gt;"",'CDO Bespoke'!C227,"")</f>
        <v/>
      </c>
      <c r="AH202" s="496"/>
      <c r="AI202" s="585"/>
      <c r="AJ202" s="585"/>
      <c r="AK202" s="585"/>
      <c r="AL202" s="497"/>
      <c r="AM202" s="496"/>
      <c r="AN202" s="585"/>
      <c r="AO202" s="585"/>
      <c r="AP202" s="585"/>
      <c r="AQ202" s="497"/>
      <c r="AR202" s="580"/>
      <c r="AS202" s="580"/>
      <c r="AT202" s="580"/>
      <c r="AU202" s="580"/>
      <c r="AV202" s="580"/>
      <c r="AW202" s="580"/>
      <c r="AX202" s="579"/>
    </row>
    <row r="203" spans="2:50">
      <c r="B203" s="517" t="s">
        <v>559</v>
      </c>
      <c r="C203" s="518" t="s">
        <v>66</v>
      </c>
      <c r="D203" s="518" t="s">
        <v>57</v>
      </c>
      <c r="E203" s="518" t="s">
        <v>647</v>
      </c>
      <c r="F203" s="518" t="s">
        <v>673</v>
      </c>
      <c r="G203" s="525">
        <v>0.01</v>
      </c>
      <c r="H203" s="525">
        <v>2.6050000000000001E-3</v>
      </c>
      <c r="I203" s="527">
        <v>0.4</v>
      </c>
      <c r="J203" s="594">
        <v>5</v>
      </c>
      <c r="K203" s="519">
        <v>60</v>
      </c>
      <c r="L203" s="272"/>
      <c r="M203" s="272"/>
      <c r="P203" s="273"/>
      <c r="Q203" s="273"/>
      <c r="R203" s="273"/>
      <c r="S203" s="273"/>
      <c r="T203" s="273"/>
      <c r="U203" s="273"/>
      <c r="V203" s="273"/>
      <c r="W203" s="273"/>
      <c r="X203" s="484" t="str">
        <f ca="1">IF('CDO Bespoke'!O204&lt;&gt;"",'CDO Bespoke'!O204,"")</f>
        <v/>
      </c>
      <c r="Y203" s="485" t="str">
        <f ca="1">IF(X203&lt;&gt;"",ABS(MIN(-0.75*('CDO Bespoke'!Q204)+'CDO Bespoke'!T204,0)),"")</f>
        <v/>
      </c>
      <c r="Z203" s="485">
        <f t="shared" ca="1" si="16"/>
        <v>0</v>
      </c>
      <c r="AA203" s="485">
        <f t="shared" ca="1" si="17"/>
        <v>0</v>
      </c>
      <c r="AB203" s="484" t="str">
        <f ca="1">IF('CDO Bespoke'!O204&lt;&gt;"",'CDO Bespoke'!O204,"")</f>
        <v/>
      </c>
      <c r="AC203" s="485" t="str">
        <f ca="1">IF(AB203&lt;&gt;"",ABS(MIN(-0.75*('CDO Bespoke'!K204)+'CDO Bespoke'!T204,0)),"")</f>
        <v/>
      </c>
      <c r="AD203" s="485">
        <f t="shared" ca="1" si="18"/>
        <v>0</v>
      </c>
      <c r="AE203" s="489">
        <f t="shared" ca="1" si="19"/>
        <v>0</v>
      </c>
      <c r="AF203" s="272"/>
      <c r="AG203" s="494" t="str">
        <f ca="1">IF('CDO Bespoke'!C228&lt;&gt;"",'CDO Bespoke'!C228,"")</f>
        <v/>
      </c>
      <c r="AH203" s="496"/>
      <c r="AI203" s="585"/>
      <c r="AJ203" s="585"/>
      <c r="AK203" s="585"/>
      <c r="AL203" s="497"/>
      <c r="AM203" s="496"/>
      <c r="AN203" s="585"/>
      <c r="AO203" s="585"/>
      <c r="AP203" s="585"/>
      <c r="AQ203" s="497"/>
      <c r="AR203" s="580"/>
      <c r="AS203" s="580"/>
      <c r="AT203" s="580"/>
      <c r="AU203" s="580"/>
      <c r="AV203" s="580"/>
      <c r="AW203" s="580"/>
      <c r="AX203" s="579"/>
    </row>
    <row r="204" spans="2:50">
      <c r="B204" s="534" t="s">
        <v>559</v>
      </c>
      <c r="C204" s="535" t="s">
        <v>66</v>
      </c>
      <c r="D204" s="535" t="s">
        <v>59</v>
      </c>
      <c r="E204" s="535" t="s">
        <v>647</v>
      </c>
      <c r="F204" s="535" t="s">
        <v>673</v>
      </c>
      <c r="G204" s="536">
        <v>0.01</v>
      </c>
      <c r="H204" s="536">
        <v>3.6050000000000001E-3</v>
      </c>
      <c r="I204" s="537">
        <v>0.4</v>
      </c>
      <c r="J204" s="595">
        <v>5</v>
      </c>
      <c r="K204" s="538">
        <v>60</v>
      </c>
      <c r="L204" s="272"/>
      <c r="M204" s="272"/>
      <c r="P204" s="273"/>
      <c r="Q204" s="273"/>
      <c r="R204" s="273"/>
      <c r="S204" s="273"/>
      <c r="T204" s="273"/>
      <c r="U204" s="273"/>
      <c r="V204" s="273"/>
      <c r="W204" s="273"/>
      <c r="X204" s="484" t="str">
        <f ca="1">IF('CDO Bespoke'!O205&lt;&gt;"",'CDO Bespoke'!O205,"")</f>
        <v/>
      </c>
      <c r="Y204" s="485" t="str">
        <f ca="1">IF(X204&lt;&gt;"",ABS(MIN(-0.75*('CDO Bespoke'!Q205)+'CDO Bespoke'!T205,0)),"")</f>
        <v/>
      </c>
      <c r="Z204" s="485">
        <f t="shared" ca="1" si="16"/>
        <v>0</v>
      </c>
      <c r="AA204" s="485">
        <f t="shared" ca="1" si="17"/>
        <v>0</v>
      </c>
      <c r="AB204" s="484" t="str">
        <f ca="1">IF('CDO Bespoke'!O205&lt;&gt;"",'CDO Bespoke'!O205,"")</f>
        <v/>
      </c>
      <c r="AC204" s="485" t="str">
        <f ca="1">IF(AB204&lt;&gt;"",ABS(MIN(-0.75*('CDO Bespoke'!K205)+'CDO Bespoke'!T205,0)),"")</f>
        <v/>
      </c>
      <c r="AD204" s="485">
        <f t="shared" ca="1" si="18"/>
        <v>0</v>
      </c>
      <c r="AE204" s="489">
        <f t="shared" ca="1" si="19"/>
        <v>0</v>
      </c>
      <c r="AF204" s="272"/>
      <c r="AG204" s="494" t="str">
        <f ca="1">IF('CDO Bespoke'!C229&lt;&gt;"",'CDO Bespoke'!C229,"")</f>
        <v/>
      </c>
      <c r="AH204" s="496"/>
      <c r="AI204" s="585"/>
      <c r="AJ204" s="585"/>
      <c r="AK204" s="585"/>
      <c r="AL204" s="497"/>
      <c r="AM204" s="496"/>
      <c r="AN204" s="585"/>
      <c r="AO204" s="585"/>
      <c r="AP204" s="585"/>
      <c r="AQ204" s="497"/>
      <c r="AR204" s="580"/>
      <c r="AS204" s="580"/>
      <c r="AT204" s="580"/>
      <c r="AU204" s="580"/>
      <c r="AV204" s="580"/>
      <c r="AW204" s="580"/>
      <c r="AX204" s="579"/>
    </row>
    <row r="205" spans="2:50">
      <c r="B205" s="539" t="s">
        <v>565</v>
      </c>
      <c r="C205" s="540" t="s">
        <v>66</v>
      </c>
      <c r="D205" s="540" t="s">
        <v>55</v>
      </c>
      <c r="E205" s="540" t="s">
        <v>647</v>
      </c>
      <c r="F205" s="540" t="s">
        <v>652</v>
      </c>
      <c r="G205" s="541">
        <v>0.01</v>
      </c>
      <c r="H205" s="541">
        <v>2.9399999999999999E-3</v>
      </c>
      <c r="I205" s="542">
        <v>0.4</v>
      </c>
      <c r="J205" s="602">
        <v>4</v>
      </c>
      <c r="K205" s="543">
        <v>61</v>
      </c>
      <c r="L205" s="272"/>
      <c r="M205" s="272"/>
      <c r="P205" s="273"/>
      <c r="Q205" s="273"/>
      <c r="R205" s="273"/>
      <c r="S205" s="273"/>
      <c r="T205" s="273"/>
      <c r="U205" s="273"/>
      <c r="V205" s="273"/>
      <c r="W205" s="273"/>
      <c r="X205" s="484" t="str">
        <f ca="1">IF('CDO Bespoke'!O206&lt;&gt;"",'CDO Bespoke'!O206,"")</f>
        <v/>
      </c>
      <c r="Y205" s="485" t="str">
        <f ca="1">IF(X205&lt;&gt;"",ABS(MIN(-0.75*('CDO Bespoke'!Q206)+'CDO Bespoke'!T206,0)),"")</f>
        <v/>
      </c>
      <c r="Z205" s="485">
        <f t="shared" ca="1" si="16"/>
        <v>0</v>
      </c>
      <c r="AA205" s="485">
        <f t="shared" ca="1" si="17"/>
        <v>0</v>
      </c>
      <c r="AB205" s="484" t="str">
        <f ca="1">IF('CDO Bespoke'!O206&lt;&gt;"",'CDO Bespoke'!O206,"")</f>
        <v/>
      </c>
      <c r="AC205" s="485" t="str">
        <f ca="1">IF(AB205&lt;&gt;"",ABS(MIN(-0.75*('CDO Bespoke'!K206)+'CDO Bespoke'!T206,0)),"")</f>
        <v/>
      </c>
      <c r="AD205" s="485">
        <f t="shared" ca="1" si="18"/>
        <v>0</v>
      </c>
      <c r="AE205" s="489">
        <f t="shared" ca="1" si="19"/>
        <v>0</v>
      </c>
      <c r="AF205" s="272"/>
      <c r="AG205" s="494" t="str">
        <f ca="1">IF('CDO Bespoke'!C230&lt;&gt;"",'CDO Bespoke'!C230,"")</f>
        <v/>
      </c>
      <c r="AH205" s="496"/>
      <c r="AI205" s="585"/>
      <c r="AJ205" s="585"/>
      <c r="AK205" s="585"/>
      <c r="AL205" s="497"/>
      <c r="AM205" s="496"/>
      <c r="AN205" s="585"/>
      <c r="AO205" s="585"/>
      <c r="AP205" s="585"/>
      <c r="AQ205" s="497"/>
      <c r="AR205" s="580"/>
      <c r="AS205" s="580"/>
      <c r="AT205" s="580"/>
      <c r="AU205" s="580"/>
      <c r="AV205" s="580"/>
      <c r="AW205" s="580"/>
      <c r="AX205" s="579"/>
    </row>
    <row r="206" spans="2:50">
      <c r="B206" s="517" t="s">
        <v>565</v>
      </c>
      <c r="C206" s="518" t="s">
        <v>66</v>
      </c>
      <c r="D206" s="518" t="s">
        <v>57</v>
      </c>
      <c r="E206" s="518" t="s">
        <v>647</v>
      </c>
      <c r="F206" s="518" t="s">
        <v>652</v>
      </c>
      <c r="G206" s="525">
        <v>0.01</v>
      </c>
      <c r="H206" s="525">
        <v>5.1380000000000002E-3</v>
      </c>
      <c r="I206" s="527">
        <v>0.4</v>
      </c>
      <c r="J206" s="594">
        <v>4</v>
      </c>
      <c r="K206" s="519">
        <v>61</v>
      </c>
      <c r="L206" s="272"/>
      <c r="M206" s="272"/>
      <c r="P206" s="273"/>
      <c r="Q206" s="273"/>
      <c r="R206" s="273"/>
      <c r="S206" s="273"/>
      <c r="T206" s="273"/>
      <c r="U206" s="273"/>
      <c r="V206" s="273"/>
      <c r="W206" s="273"/>
      <c r="X206" s="484" t="str">
        <f ca="1">IF('CDO Bespoke'!O207&lt;&gt;"",'CDO Bespoke'!O207,"")</f>
        <v/>
      </c>
      <c r="Y206" s="485" t="str">
        <f ca="1">IF(X206&lt;&gt;"",ABS(MIN(-0.75*('CDO Bespoke'!Q207)+'CDO Bespoke'!T207,0)),"")</f>
        <v/>
      </c>
      <c r="Z206" s="485">
        <f t="shared" ref="Z206:Z269" ca="1" si="20">IF(X206&lt;&gt;"",IF($Y$8,MAX(X206-Y206,0),X206),0)</f>
        <v>0</v>
      </c>
      <c r="AA206" s="485">
        <f t="shared" ref="AA206:AA269" ca="1" si="21">IF(X206&lt;&gt;"",IF($Y$8,0,Y206),0)</f>
        <v>0</v>
      </c>
      <c r="AB206" s="484" t="str">
        <f ca="1">IF('CDO Bespoke'!O207&lt;&gt;"",'CDO Bespoke'!O207,"")</f>
        <v/>
      </c>
      <c r="AC206" s="485" t="str">
        <f ca="1">IF(AB206&lt;&gt;"",ABS(MIN(-0.75*('CDO Bespoke'!K207)+'CDO Bespoke'!T207,0)),"")</f>
        <v/>
      </c>
      <c r="AD206" s="485">
        <f t="shared" ref="AD206:AD269" ca="1" si="22">IF(AB206&lt;&gt;"",IF($Y$8,MAX(AB206-AC206,0),AB206),0)</f>
        <v>0</v>
      </c>
      <c r="AE206" s="489">
        <f t="shared" ref="AE206:AE269" ca="1" si="23">IF(AB206&lt;&gt;"",IF($Y$8,0,AC206),0)</f>
        <v>0</v>
      </c>
      <c r="AF206" s="272"/>
      <c r="AG206" s="494" t="str">
        <f ca="1">IF('CDO Bespoke'!C231&lt;&gt;"",'CDO Bespoke'!C231,"")</f>
        <v/>
      </c>
      <c r="AH206" s="496"/>
      <c r="AI206" s="585"/>
      <c r="AJ206" s="585"/>
      <c r="AK206" s="585"/>
      <c r="AL206" s="497"/>
      <c r="AM206" s="496"/>
      <c r="AN206" s="585"/>
      <c r="AO206" s="585"/>
      <c r="AP206" s="585"/>
      <c r="AQ206" s="497"/>
      <c r="AR206" s="580"/>
      <c r="AS206" s="580"/>
      <c r="AT206" s="580"/>
      <c r="AU206" s="580"/>
      <c r="AV206" s="580"/>
      <c r="AW206" s="580"/>
      <c r="AX206" s="579"/>
    </row>
    <row r="207" spans="2:50">
      <c r="B207" s="534" t="s">
        <v>565</v>
      </c>
      <c r="C207" s="535" t="s">
        <v>66</v>
      </c>
      <c r="D207" s="535" t="s">
        <v>59</v>
      </c>
      <c r="E207" s="535" t="s">
        <v>647</v>
      </c>
      <c r="F207" s="535" t="s">
        <v>652</v>
      </c>
      <c r="G207" s="536">
        <v>0.01</v>
      </c>
      <c r="H207" s="536">
        <v>7.4939999999999998E-3</v>
      </c>
      <c r="I207" s="537">
        <v>0.4</v>
      </c>
      <c r="J207" s="595">
        <v>4</v>
      </c>
      <c r="K207" s="538">
        <v>61</v>
      </c>
      <c r="L207" s="272"/>
      <c r="M207" s="272"/>
      <c r="P207" s="273"/>
      <c r="Q207" s="273"/>
      <c r="R207" s="273"/>
      <c r="S207" s="273"/>
      <c r="T207" s="273"/>
      <c r="U207" s="273"/>
      <c r="V207" s="273"/>
      <c r="W207" s="273"/>
      <c r="X207" s="484" t="str">
        <f ca="1">IF('CDO Bespoke'!O208&lt;&gt;"",'CDO Bespoke'!O208,"")</f>
        <v/>
      </c>
      <c r="Y207" s="485" t="str">
        <f ca="1">IF(X207&lt;&gt;"",ABS(MIN(-0.75*('CDO Bespoke'!Q208)+'CDO Bespoke'!T208,0)),"")</f>
        <v/>
      </c>
      <c r="Z207" s="485">
        <f t="shared" ca="1" si="20"/>
        <v>0</v>
      </c>
      <c r="AA207" s="485">
        <f t="shared" ca="1" si="21"/>
        <v>0</v>
      </c>
      <c r="AB207" s="484" t="str">
        <f ca="1">IF('CDO Bespoke'!O208&lt;&gt;"",'CDO Bespoke'!O208,"")</f>
        <v/>
      </c>
      <c r="AC207" s="485" t="str">
        <f ca="1">IF(AB207&lt;&gt;"",ABS(MIN(-0.75*('CDO Bespoke'!K208)+'CDO Bespoke'!T208,0)),"")</f>
        <v/>
      </c>
      <c r="AD207" s="485">
        <f t="shared" ca="1" si="22"/>
        <v>0</v>
      </c>
      <c r="AE207" s="489">
        <f t="shared" ca="1" si="23"/>
        <v>0</v>
      </c>
      <c r="AF207" s="272"/>
      <c r="AG207" s="494" t="str">
        <f ca="1">IF('CDO Bespoke'!C232&lt;&gt;"",'CDO Bespoke'!C232,"")</f>
        <v/>
      </c>
      <c r="AH207" s="496"/>
      <c r="AI207" s="585"/>
      <c r="AJ207" s="585"/>
      <c r="AK207" s="585"/>
      <c r="AL207" s="497"/>
      <c r="AM207" s="496"/>
      <c r="AN207" s="585"/>
      <c r="AO207" s="585"/>
      <c r="AP207" s="585"/>
      <c r="AQ207" s="497"/>
      <c r="AR207" s="580"/>
      <c r="AS207" s="580"/>
      <c r="AT207" s="580"/>
      <c r="AU207" s="580"/>
      <c r="AV207" s="580"/>
      <c r="AW207" s="580"/>
      <c r="AX207" s="579"/>
    </row>
    <row r="208" spans="2:50">
      <c r="B208" s="539" t="s">
        <v>566</v>
      </c>
      <c r="C208" s="540" t="s">
        <v>66</v>
      </c>
      <c r="D208" s="540" t="s">
        <v>55</v>
      </c>
      <c r="E208" s="540" t="s">
        <v>649</v>
      </c>
      <c r="F208" s="540" t="s">
        <v>653</v>
      </c>
      <c r="G208" s="541">
        <v>0.01</v>
      </c>
      <c r="H208" s="541">
        <v>3.604E-3</v>
      </c>
      <c r="I208" s="542">
        <v>0.4</v>
      </c>
      <c r="J208" s="602">
        <v>7</v>
      </c>
      <c r="K208" s="543">
        <v>62</v>
      </c>
      <c r="L208" s="272"/>
      <c r="M208" s="272"/>
      <c r="P208" s="273"/>
      <c r="Q208" s="273"/>
      <c r="R208" s="273"/>
      <c r="S208" s="273"/>
      <c r="T208" s="273"/>
      <c r="U208" s="273"/>
      <c r="V208" s="273"/>
      <c r="W208" s="273"/>
      <c r="X208" s="484" t="str">
        <f ca="1">IF('CDO Bespoke'!O209&lt;&gt;"",'CDO Bespoke'!O209,"")</f>
        <v/>
      </c>
      <c r="Y208" s="485" t="str">
        <f ca="1">IF(X208&lt;&gt;"",ABS(MIN(-0.75*('CDO Bespoke'!Q209)+'CDO Bespoke'!T209,0)),"")</f>
        <v/>
      </c>
      <c r="Z208" s="485">
        <f t="shared" ca="1" si="20"/>
        <v>0</v>
      </c>
      <c r="AA208" s="485">
        <f t="shared" ca="1" si="21"/>
        <v>0</v>
      </c>
      <c r="AB208" s="484" t="str">
        <f ca="1">IF('CDO Bespoke'!O209&lt;&gt;"",'CDO Bespoke'!O209,"")</f>
        <v/>
      </c>
      <c r="AC208" s="485" t="str">
        <f ca="1">IF(AB208&lt;&gt;"",ABS(MIN(-0.75*('CDO Bespoke'!K209)+'CDO Bespoke'!T209,0)),"")</f>
        <v/>
      </c>
      <c r="AD208" s="485">
        <f t="shared" ca="1" si="22"/>
        <v>0</v>
      </c>
      <c r="AE208" s="489">
        <f t="shared" ca="1" si="23"/>
        <v>0</v>
      </c>
      <c r="AF208" s="272"/>
      <c r="AG208" s="494" t="str">
        <f ca="1">IF('CDO Bespoke'!C233&lt;&gt;"",'CDO Bespoke'!C233,"")</f>
        <v/>
      </c>
      <c r="AH208" s="496"/>
      <c r="AI208" s="585"/>
      <c r="AJ208" s="585"/>
      <c r="AK208" s="585"/>
      <c r="AL208" s="497"/>
      <c r="AM208" s="496"/>
      <c r="AN208" s="585"/>
      <c r="AO208" s="585"/>
      <c r="AP208" s="585"/>
      <c r="AQ208" s="497"/>
      <c r="AR208" s="580"/>
      <c r="AS208" s="580"/>
      <c r="AT208" s="580"/>
      <c r="AU208" s="580"/>
      <c r="AV208" s="580"/>
      <c r="AW208" s="580"/>
      <c r="AX208" s="579"/>
    </row>
    <row r="209" spans="2:50">
      <c r="B209" s="517" t="s">
        <v>566</v>
      </c>
      <c r="C209" s="518" t="s">
        <v>66</v>
      </c>
      <c r="D209" s="518" t="s">
        <v>57</v>
      </c>
      <c r="E209" s="518" t="s">
        <v>649</v>
      </c>
      <c r="F209" s="518" t="s">
        <v>653</v>
      </c>
      <c r="G209" s="525">
        <v>0.01</v>
      </c>
      <c r="H209" s="525">
        <v>6.306E-3</v>
      </c>
      <c r="I209" s="527">
        <v>0.4</v>
      </c>
      <c r="J209" s="594">
        <v>7</v>
      </c>
      <c r="K209" s="519">
        <v>62</v>
      </c>
      <c r="L209" s="272"/>
      <c r="M209" s="272"/>
      <c r="P209" s="273"/>
      <c r="Q209" s="273"/>
      <c r="R209" s="273"/>
      <c r="S209" s="273"/>
      <c r="T209" s="273"/>
      <c r="U209" s="273"/>
      <c r="V209" s="273"/>
      <c r="W209" s="273"/>
      <c r="X209" s="484" t="str">
        <f ca="1">IF('CDO Bespoke'!O210&lt;&gt;"",'CDO Bespoke'!O210,"")</f>
        <v/>
      </c>
      <c r="Y209" s="485" t="str">
        <f ca="1">IF(X209&lt;&gt;"",ABS(MIN(-0.75*('CDO Bespoke'!Q210)+'CDO Bespoke'!T210,0)),"")</f>
        <v/>
      </c>
      <c r="Z209" s="485">
        <f t="shared" ca="1" si="20"/>
        <v>0</v>
      </c>
      <c r="AA209" s="485">
        <f t="shared" ca="1" si="21"/>
        <v>0</v>
      </c>
      <c r="AB209" s="484" t="str">
        <f ca="1">IF('CDO Bespoke'!O210&lt;&gt;"",'CDO Bespoke'!O210,"")</f>
        <v/>
      </c>
      <c r="AC209" s="485" t="str">
        <f ca="1">IF(AB209&lt;&gt;"",ABS(MIN(-0.75*('CDO Bespoke'!K210)+'CDO Bespoke'!T210,0)),"")</f>
        <v/>
      </c>
      <c r="AD209" s="485">
        <f t="shared" ca="1" si="22"/>
        <v>0</v>
      </c>
      <c r="AE209" s="489">
        <f t="shared" ca="1" si="23"/>
        <v>0</v>
      </c>
      <c r="AF209" s="272"/>
      <c r="AG209" s="494" t="str">
        <f ca="1">IF('CDO Bespoke'!C234&lt;&gt;"",'CDO Bespoke'!C234,"")</f>
        <v/>
      </c>
      <c r="AH209" s="496"/>
      <c r="AI209" s="585"/>
      <c r="AJ209" s="585"/>
      <c r="AK209" s="585"/>
      <c r="AL209" s="497"/>
      <c r="AM209" s="496"/>
      <c r="AN209" s="585"/>
      <c r="AO209" s="585"/>
      <c r="AP209" s="585"/>
      <c r="AQ209" s="497"/>
      <c r="AR209" s="580"/>
      <c r="AS209" s="580"/>
      <c r="AT209" s="580"/>
      <c r="AU209" s="580"/>
      <c r="AV209" s="580"/>
      <c r="AW209" s="580"/>
      <c r="AX209" s="579"/>
    </row>
    <row r="210" spans="2:50">
      <c r="B210" s="534" t="s">
        <v>566</v>
      </c>
      <c r="C210" s="535" t="s">
        <v>66</v>
      </c>
      <c r="D210" s="535" t="s">
        <v>59</v>
      </c>
      <c r="E210" s="535" t="s">
        <v>649</v>
      </c>
      <c r="F210" s="535" t="s">
        <v>653</v>
      </c>
      <c r="G210" s="536">
        <v>0.01</v>
      </c>
      <c r="H210" s="536">
        <v>9.0629999999999999E-3</v>
      </c>
      <c r="I210" s="537">
        <v>0.4</v>
      </c>
      <c r="J210" s="595">
        <v>7</v>
      </c>
      <c r="K210" s="538">
        <v>62</v>
      </c>
      <c r="L210" s="272"/>
      <c r="M210" s="272"/>
      <c r="P210" s="273"/>
      <c r="Q210" s="273"/>
      <c r="R210" s="273"/>
      <c r="S210" s="273"/>
      <c r="T210" s="273"/>
      <c r="U210" s="273"/>
      <c r="V210" s="273"/>
      <c r="W210" s="273"/>
      <c r="X210" s="484" t="str">
        <f ca="1">IF('CDO Bespoke'!O211&lt;&gt;"",'CDO Bespoke'!O211,"")</f>
        <v/>
      </c>
      <c r="Y210" s="485" t="str">
        <f ca="1">IF(X210&lt;&gt;"",ABS(MIN(-0.75*('CDO Bespoke'!Q211)+'CDO Bespoke'!T211,0)),"")</f>
        <v/>
      </c>
      <c r="Z210" s="485">
        <f t="shared" ca="1" si="20"/>
        <v>0</v>
      </c>
      <c r="AA210" s="485">
        <f t="shared" ca="1" si="21"/>
        <v>0</v>
      </c>
      <c r="AB210" s="484" t="str">
        <f ca="1">IF('CDO Bespoke'!O211&lt;&gt;"",'CDO Bespoke'!O211,"")</f>
        <v/>
      </c>
      <c r="AC210" s="485" t="str">
        <f ca="1">IF(AB210&lt;&gt;"",ABS(MIN(-0.75*('CDO Bespoke'!K211)+'CDO Bespoke'!T211,0)),"")</f>
        <v/>
      </c>
      <c r="AD210" s="485">
        <f t="shared" ca="1" si="22"/>
        <v>0</v>
      </c>
      <c r="AE210" s="489">
        <f t="shared" ca="1" si="23"/>
        <v>0</v>
      </c>
      <c r="AF210" s="272"/>
      <c r="AG210" s="494" t="str">
        <f ca="1">IF('CDO Bespoke'!C235&lt;&gt;"",'CDO Bespoke'!C235,"")</f>
        <v/>
      </c>
      <c r="AH210" s="496"/>
      <c r="AI210" s="585"/>
      <c r="AJ210" s="585"/>
      <c r="AK210" s="585"/>
      <c r="AL210" s="497"/>
      <c r="AM210" s="496"/>
      <c r="AN210" s="585"/>
      <c r="AO210" s="585"/>
      <c r="AP210" s="585"/>
      <c r="AQ210" s="497"/>
      <c r="AR210" s="580"/>
      <c r="AS210" s="580"/>
      <c r="AT210" s="580"/>
      <c r="AU210" s="580"/>
      <c r="AV210" s="580"/>
      <c r="AW210" s="580"/>
      <c r="AX210" s="579"/>
    </row>
    <row r="211" spans="2:50">
      <c r="B211" s="539" t="s">
        <v>576</v>
      </c>
      <c r="C211" s="540" t="s">
        <v>66</v>
      </c>
      <c r="D211" s="540" t="s">
        <v>55</v>
      </c>
      <c r="E211" s="540" t="s">
        <v>649</v>
      </c>
      <c r="F211" s="540" t="s">
        <v>653</v>
      </c>
      <c r="G211" s="541">
        <v>0.01</v>
      </c>
      <c r="H211" s="541">
        <v>2.4229999999999998E-3</v>
      </c>
      <c r="I211" s="542">
        <v>0.4</v>
      </c>
      <c r="J211" s="602">
        <v>7</v>
      </c>
      <c r="K211" s="543">
        <v>63</v>
      </c>
      <c r="L211" s="272"/>
      <c r="M211" s="272"/>
      <c r="P211" s="273"/>
      <c r="Q211" s="273"/>
      <c r="R211" s="273"/>
      <c r="S211" s="273"/>
      <c r="T211" s="273"/>
      <c r="U211" s="273"/>
      <c r="V211" s="273"/>
      <c r="W211" s="273"/>
      <c r="X211" s="484" t="str">
        <f ca="1">IF('CDO Bespoke'!O212&lt;&gt;"",'CDO Bespoke'!O212,"")</f>
        <v/>
      </c>
      <c r="Y211" s="485" t="str">
        <f ca="1">IF(X211&lt;&gt;"",ABS(MIN(-0.75*('CDO Bespoke'!Q212)+'CDO Bespoke'!T212,0)),"")</f>
        <v/>
      </c>
      <c r="Z211" s="485">
        <f t="shared" ca="1" si="20"/>
        <v>0</v>
      </c>
      <c r="AA211" s="485">
        <f t="shared" ca="1" si="21"/>
        <v>0</v>
      </c>
      <c r="AB211" s="484" t="str">
        <f ca="1">IF('CDO Bespoke'!O212&lt;&gt;"",'CDO Bespoke'!O212,"")</f>
        <v/>
      </c>
      <c r="AC211" s="485" t="str">
        <f ca="1">IF(AB211&lt;&gt;"",ABS(MIN(-0.75*('CDO Bespoke'!K212)+'CDO Bespoke'!T212,0)),"")</f>
        <v/>
      </c>
      <c r="AD211" s="485">
        <f t="shared" ca="1" si="22"/>
        <v>0</v>
      </c>
      <c r="AE211" s="489">
        <f t="shared" ca="1" si="23"/>
        <v>0</v>
      </c>
      <c r="AF211" s="272"/>
      <c r="AG211" s="494" t="str">
        <f ca="1">IF('CDO Bespoke'!C236&lt;&gt;"",'CDO Bespoke'!C236,"")</f>
        <v/>
      </c>
      <c r="AH211" s="496"/>
      <c r="AI211" s="585"/>
      <c r="AJ211" s="585"/>
      <c r="AK211" s="585"/>
      <c r="AL211" s="497"/>
      <c r="AM211" s="496"/>
      <c r="AN211" s="585"/>
      <c r="AO211" s="585"/>
      <c r="AP211" s="585"/>
      <c r="AQ211" s="497"/>
      <c r="AR211" s="580"/>
      <c r="AS211" s="580"/>
      <c r="AT211" s="580"/>
      <c r="AU211" s="580"/>
      <c r="AV211" s="580"/>
      <c r="AW211" s="580"/>
      <c r="AX211" s="579"/>
    </row>
    <row r="212" spans="2:50">
      <c r="B212" s="517" t="s">
        <v>576</v>
      </c>
      <c r="C212" s="518" t="s">
        <v>66</v>
      </c>
      <c r="D212" s="518" t="s">
        <v>57</v>
      </c>
      <c r="E212" s="518" t="s">
        <v>649</v>
      </c>
      <c r="F212" s="518" t="s">
        <v>653</v>
      </c>
      <c r="G212" s="525">
        <v>0.01</v>
      </c>
      <c r="H212" s="525">
        <v>3.9830000000000004E-3</v>
      </c>
      <c r="I212" s="527">
        <v>0.4</v>
      </c>
      <c r="J212" s="594">
        <v>7</v>
      </c>
      <c r="K212" s="519">
        <v>63</v>
      </c>
      <c r="L212" s="272"/>
      <c r="M212" s="272"/>
      <c r="P212" s="273"/>
      <c r="Q212" s="273"/>
      <c r="R212" s="273"/>
      <c r="S212" s="273"/>
      <c r="T212" s="273"/>
      <c r="U212" s="273"/>
      <c r="V212" s="273"/>
      <c r="W212" s="273"/>
      <c r="X212" s="484" t="str">
        <f ca="1">IF('CDO Bespoke'!O213&lt;&gt;"",'CDO Bespoke'!O213,"")</f>
        <v/>
      </c>
      <c r="Y212" s="485" t="str">
        <f ca="1">IF(X212&lt;&gt;"",ABS(MIN(-0.75*('CDO Bespoke'!Q213)+'CDO Bespoke'!T213,0)),"")</f>
        <v/>
      </c>
      <c r="Z212" s="485">
        <f t="shared" ca="1" si="20"/>
        <v>0</v>
      </c>
      <c r="AA212" s="485">
        <f t="shared" ca="1" si="21"/>
        <v>0</v>
      </c>
      <c r="AB212" s="484" t="str">
        <f ca="1">IF('CDO Bespoke'!O213&lt;&gt;"",'CDO Bespoke'!O213,"")</f>
        <v/>
      </c>
      <c r="AC212" s="485" t="str">
        <f ca="1">IF(AB212&lt;&gt;"",ABS(MIN(-0.75*('CDO Bespoke'!K213)+'CDO Bespoke'!T213,0)),"")</f>
        <v/>
      </c>
      <c r="AD212" s="485">
        <f t="shared" ca="1" si="22"/>
        <v>0</v>
      </c>
      <c r="AE212" s="489">
        <f t="shared" ca="1" si="23"/>
        <v>0</v>
      </c>
      <c r="AF212" s="272"/>
      <c r="AG212" s="494" t="str">
        <f ca="1">IF('CDO Bespoke'!C237&lt;&gt;"",'CDO Bespoke'!C237,"")</f>
        <v/>
      </c>
      <c r="AH212" s="496"/>
      <c r="AI212" s="585"/>
      <c r="AJ212" s="585"/>
      <c r="AK212" s="585"/>
      <c r="AL212" s="497"/>
      <c r="AM212" s="496"/>
      <c r="AN212" s="585"/>
      <c r="AO212" s="585"/>
      <c r="AP212" s="585"/>
      <c r="AQ212" s="497"/>
      <c r="AR212" s="580"/>
      <c r="AS212" s="580"/>
      <c r="AT212" s="580"/>
      <c r="AU212" s="580"/>
      <c r="AV212" s="580"/>
      <c r="AW212" s="580"/>
      <c r="AX212" s="579"/>
    </row>
    <row r="213" spans="2:50">
      <c r="B213" s="534" t="s">
        <v>576</v>
      </c>
      <c r="C213" s="535" t="s">
        <v>66</v>
      </c>
      <c r="D213" s="535" t="s">
        <v>59</v>
      </c>
      <c r="E213" s="535" t="s">
        <v>649</v>
      </c>
      <c r="F213" s="535" t="s">
        <v>653</v>
      </c>
      <c r="G213" s="536">
        <v>0.01</v>
      </c>
      <c r="H213" s="536">
        <v>6.0039999999999998E-3</v>
      </c>
      <c r="I213" s="537">
        <v>0.4</v>
      </c>
      <c r="J213" s="595">
        <v>7</v>
      </c>
      <c r="K213" s="538">
        <v>63</v>
      </c>
      <c r="L213" s="272"/>
      <c r="M213" s="272"/>
      <c r="P213" s="273"/>
      <c r="Q213" s="273"/>
      <c r="R213" s="273"/>
      <c r="S213" s="273"/>
      <c r="T213" s="273"/>
      <c r="U213" s="273"/>
      <c r="V213" s="273"/>
      <c r="W213" s="273"/>
      <c r="X213" s="484" t="str">
        <f ca="1">IF('CDO Bespoke'!O214&lt;&gt;"",'CDO Bespoke'!O214,"")</f>
        <v/>
      </c>
      <c r="Y213" s="485" t="str">
        <f ca="1">IF(X213&lt;&gt;"",ABS(MIN(-0.75*('CDO Bespoke'!Q214)+'CDO Bespoke'!T214,0)),"")</f>
        <v/>
      </c>
      <c r="Z213" s="485">
        <f t="shared" ca="1" si="20"/>
        <v>0</v>
      </c>
      <c r="AA213" s="485">
        <f t="shared" ca="1" si="21"/>
        <v>0</v>
      </c>
      <c r="AB213" s="484" t="str">
        <f ca="1">IF('CDO Bespoke'!O214&lt;&gt;"",'CDO Bespoke'!O214,"")</f>
        <v/>
      </c>
      <c r="AC213" s="485" t="str">
        <f ca="1">IF(AB213&lt;&gt;"",ABS(MIN(-0.75*('CDO Bespoke'!K214)+'CDO Bespoke'!T214,0)),"")</f>
        <v/>
      </c>
      <c r="AD213" s="485">
        <f t="shared" ca="1" si="22"/>
        <v>0</v>
      </c>
      <c r="AE213" s="489">
        <f t="shared" ca="1" si="23"/>
        <v>0</v>
      </c>
      <c r="AF213" s="272"/>
      <c r="AG213" s="494" t="str">
        <f ca="1">IF('CDO Bespoke'!C238&lt;&gt;"",'CDO Bespoke'!C238,"")</f>
        <v/>
      </c>
      <c r="AH213" s="496"/>
      <c r="AI213" s="585"/>
      <c r="AJ213" s="585"/>
      <c r="AK213" s="585"/>
      <c r="AL213" s="497"/>
      <c r="AM213" s="496"/>
      <c r="AN213" s="585"/>
      <c r="AO213" s="585"/>
      <c r="AP213" s="585"/>
      <c r="AQ213" s="497"/>
      <c r="AR213" s="580"/>
      <c r="AS213" s="580"/>
      <c r="AT213" s="580"/>
      <c r="AU213" s="580"/>
      <c r="AV213" s="580"/>
      <c r="AW213" s="580"/>
      <c r="AX213" s="579"/>
    </row>
    <row r="214" spans="2:50">
      <c r="B214" s="539" t="s">
        <v>616</v>
      </c>
      <c r="C214" s="540" t="s">
        <v>66</v>
      </c>
      <c r="D214" s="540" t="s">
        <v>55</v>
      </c>
      <c r="E214" s="540" t="s">
        <v>649</v>
      </c>
      <c r="F214" s="540" t="s">
        <v>653</v>
      </c>
      <c r="G214" s="541">
        <v>0.01</v>
      </c>
      <c r="H214" s="541">
        <v>4.1190000000000003E-3</v>
      </c>
      <c r="I214" s="542">
        <v>0.4</v>
      </c>
      <c r="J214" s="602">
        <v>7</v>
      </c>
      <c r="K214" s="543">
        <v>64</v>
      </c>
      <c r="L214" s="272"/>
      <c r="M214" s="272"/>
      <c r="P214" s="273"/>
      <c r="Q214" s="273"/>
      <c r="R214" s="273"/>
      <c r="S214" s="273"/>
      <c r="T214" s="273"/>
      <c r="U214" s="273"/>
      <c r="V214" s="273"/>
      <c r="W214" s="273"/>
      <c r="X214" s="484" t="str">
        <f ca="1">IF('CDO Bespoke'!O215&lt;&gt;"",'CDO Bespoke'!O215,"")</f>
        <v/>
      </c>
      <c r="Y214" s="485" t="str">
        <f ca="1">IF(X214&lt;&gt;"",ABS(MIN(-0.75*('CDO Bespoke'!Q215)+'CDO Bespoke'!T215,0)),"")</f>
        <v/>
      </c>
      <c r="Z214" s="485">
        <f t="shared" ca="1" si="20"/>
        <v>0</v>
      </c>
      <c r="AA214" s="485">
        <f t="shared" ca="1" si="21"/>
        <v>0</v>
      </c>
      <c r="AB214" s="484" t="str">
        <f ca="1">IF('CDO Bespoke'!O215&lt;&gt;"",'CDO Bespoke'!O215,"")</f>
        <v/>
      </c>
      <c r="AC214" s="485" t="str">
        <f ca="1">IF(AB214&lt;&gt;"",ABS(MIN(-0.75*('CDO Bespoke'!K215)+'CDO Bespoke'!T215,0)),"")</f>
        <v/>
      </c>
      <c r="AD214" s="485">
        <f t="shared" ca="1" si="22"/>
        <v>0</v>
      </c>
      <c r="AE214" s="489">
        <f t="shared" ca="1" si="23"/>
        <v>0</v>
      </c>
      <c r="AF214" s="272"/>
      <c r="AG214" s="494" t="str">
        <f ca="1">IF('CDO Bespoke'!C239&lt;&gt;"",'CDO Bespoke'!C239,"")</f>
        <v/>
      </c>
      <c r="AH214" s="496"/>
      <c r="AI214" s="585"/>
      <c r="AJ214" s="585"/>
      <c r="AK214" s="585"/>
      <c r="AL214" s="497"/>
      <c r="AM214" s="496"/>
      <c r="AN214" s="585"/>
      <c r="AO214" s="585"/>
      <c r="AP214" s="585"/>
      <c r="AQ214" s="497"/>
      <c r="AR214" s="580"/>
      <c r="AS214" s="580"/>
      <c r="AT214" s="580"/>
      <c r="AU214" s="580"/>
      <c r="AV214" s="580"/>
      <c r="AW214" s="580"/>
      <c r="AX214" s="579"/>
    </row>
    <row r="215" spans="2:50">
      <c r="B215" s="517" t="s">
        <v>616</v>
      </c>
      <c r="C215" s="518" t="s">
        <v>66</v>
      </c>
      <c r="D215" s="518" t="s">
        <v>57</v>
      </c>
      <c r="E215" s="518" t="s">
        <v>649</v>
      </c>
      <c r="F215" s="518" t="s">
        <v>653</v>
      </c>
      <c r="G215" s="525">
        <v>0.01</v>
      </c>
      <c r="H215" s="525">
        <v>6.1469999999999997E-3</v>
      </c>
      <c r="I215" s="527">
        <v>0.4</v>
      </c>
      <c r="J215" s="594">
        <v>7</v>
      </c>
      <c r="K215" s="519">
        <v>64</v>
      </c>
      <c r="L215" s="272"/>
      <c r="M215" s="272"/>
      <c r="P215" s="273"/>
      <c r="Q215" s="273"/>
      <c r="R215" s="273"/>
      <c r="S215" s="273"/>
      <c r="T215" s="273"/>
      <c r="U215" s="273"/>
      <c r="V215" s="273"/>
      <c r="W215" s="273"/>
      <c r="X215" s="484" t="str">
        <f ca="1">IF('CDO Bespoke'!O216&lt;&gt;"",'CDO Bespoke'!O216,"")</f>
        <v/>
      </c>
      <c r="Y215" s="485" t="str">
        <f ca="1">IF(X215&lt;&gt;"",ABS(MIN(-0.75*('CDO Bespoke'!Q216)+'CDO Bespoke'!T216,0)),"")</f>
        <v/>
      </c>
      <c r="Z215" s="485">
        <f t="shared" ca="1" si="20"/>
        <v>0</v>
      </c>
      <c r="AA215" s="485">
        <f t="shared" ca="1" si="21"/>
        <v>0</v>
      </c>
      <c r="AB215" s="484" t="str">
        <f ca="1">IF('CDO Bespoke'!O216&lt;&gt;"",'CDO Bespoke'!O216,"")</f>
        <v/>
      </c>
      <c r="AC215" s="485" t="str">
        <f ca="1">IF(AB215&lt;&gt;"",ABS(MIN(-0.75*('CDO Bespoke'!K216)+'CDO Bespoke'!T216,0)),"")</f>
        <v/>
      </c>
      <c r="AD215" s="485">
        <f t="shared" ca="1" si="22"/>
        <v>0</v>
      </c>
      <c r="AE215" s="489">
        <f t="shared" ca="1" si="23"/>
        <v>0</v>
      </c>
      <c r="AF215" s="272"/>
      <c r="AG215" s="494" t="str">
        <f ca="1">IF('CDO Bespoke'!C240&lt;&gt;"",'CDO Bespoke'!C240,"")</f>
        <v/>
      </c>
      <c r="AH215" s="496"/>
      <c r="AI215" s="585"/>
      <c r="AJ215" s="585"/>
      <c r="AK215" s="585"/>
      <c r="AL215" s="497"/>
      <c r="AM215" s="496"/>
      <c r="AN215" s="585"/>
      <c r="AO215" s="585"/>
      <c r="AP215" s="585"/>
      <c r="AQ215" s="497"/>
      <c r="AR215" s="580"/>
      <c r="AS215" s="580"/>
      <c r="AT215" s="580"/>
      <c r="AU215" s="580"/>
      <c r="AV215" s="580"/>
      <c r="AW215" s="580"/>
      <c r="AX215" s="579"/>
    </row>
    <row r="216" spans="2:50">
      <c r="B216" s="534" t="s">
        <v>616</v>
      </c>
      <c r="C216" s="535" t="s">
        <v>66</v>
      </c>
      <c r="D216" s="535" t="s">
        <v>59</v>
      </c>
      <c r="E216" s="535" t="s">
        <v>649</v>
      </c>
      <c r="F216" s="535" t="s">
        <v>653</v>
      </c>
      <c r="G216" s="536">
        <v>0.01</v>
      </c>
      <c r="H216" s="536">
        <v>8.4799999999999997E-3</v>
      </c>
      <c r="I216" s="537">
        <v>0.4</v>
      </c>
      <c r="J216" s="595">
        <v>7</v>
      </c>
      <c r="K216" s="538">
        <v>64</v>
      </c>
      <c r="L216" s="272"/>
      <c r="M216" s="272"/>
      <c r="P216" s="273"/>
      <c r="Q216" s="273"/>
      <c r="R216" s="273"/>
      <c r="S216" s="273"/>
      <c r="T216" s="273"/>
      <c r="U216" s="273"/>
      <c r="V216" s="273"/>
      <c r="W216" s="273"/>
      <c r="X216" s="484" t="str">
        <f ca="1">IF('CDO Bespoke'!O217&lt;&gt;"",'CDO Bespoke'!O217,"")</f>
        <v/>
      </c>
      <c r="Y216" s="485" t="str">
        <f ca="1">IF(X216&lt;&gt;"",ABS(MIN(-0.75*('CDO Bespoke'!Q217)+'CDO Bespoke'!T217,0)),"")</f>
        <v/>
      </c>
      <c r="Z216" s="485">
        <f t="shared" ca="1" si="20"/>
        <v>0</v>
      </c>
      <c r="AA216" s="485">
        <f t="shared" ca="1" si="21"/>
        <v>0</v>
      </c>
      <c r="AB216" s="484" t="str">
        <f ca="1">IF('CDO Bespoke'!O217&lt;&gt;"",'CDO Bespoke'!O217,"")</f>
        <v/>
      </c>
      <c r="AC216" s="485" t="str">
        <f ca="1">IF(AB216&lt;&gt;"",ABS(MIN(-0.75*('CDO Bespoke'!K217)+'CDO Bespoke'!T217,0)),"")</f>
        <v/>
      </c>
      <c r="AD216" s="485">
        <f t="shared" ca="1" si="22"/>
        <v>0</v>
      </c>
      <c r="AE216" s="489">
        <f t="shared" ca="1" si="23"/>
        <v>0</v>
      </c>
      <c r="AF216" s="272"/>
      <c r="AG216" s="494" t="str">
        <f ca="1">IF('CDO Bespoke'!C241&lt;&gt;"",'CDO Bespoke'!C241,"")</f>
        <v/>
      </c>
      <c r="AH216" s="496"/>
      <c r="AI216" s="585"/>
      <c r="AJ216" s="585"/>
      <c r="AK216" s="585"/>
      <c r="AL216" s="497"/>
      <c r="AM216" s="496"/>
      <c r="AN216" s="585"/>
      <c r="AO216" s="585"/>
      <c r="AP216" s="585"/>
      <c r="AQ216" s="497"/>
      <c r="AR216" s="580"/>
      <c r="AS216" s="580"/>
      <c r="AT216" s="580"/>
      <c r="AU216" s="580"/>
      <c r="AV216" s="580"/>
      <c r="AW216" s="580"/>
      <c r="AX216" s="579"/>
    </row>
    <row r="217" spans="2:50">
      <c r="B217" s="539" t="s">
        <v>567</v>
      </c>
      <c r="C217" s="540" t="s">
        <v>66</v>
      </c>
      <c r="D217" s="540" t="s">
        <v>55</v>
      </c>
      <c r="E217" s="540" t="s">
        <v>649</v>
      </c>
      <c r="F217" s="540" t="s">
        <v>653</v>
      </c>
      <c r="G217" s="541">
        <v>0.01</v>
      </c>
      <c r="H217" s="541">
        <v>4.1130000000000003E-3</v>
      </c>
      <c r="I217" s="542">
        <v>0.4</v>
      </c>
      <c r="J217" s="602">
        <v>7</v>
      </c>
      <c r="K217" s="543">
        <v>65</v>
      </c>
      <c r="L217" s="272"/>
      <c r="M217" s="272"/>
      <c r="P217" s="273"/>
      <c r="Q217" s="273"/>
      <c r="R217" s="273"/>
      <c r="S217" s="273"/>
      <c r="T217" s="273"/>
      <c r="U217" s="273"/>
      <c r="V217" s="273"/>
      <c r="W217" s="273"/>
      <c r="X217" s="484" t="str">
        <f ca="1">IF('CDO Bespoke'!O218&lt;&gt;"",'CDO Bespoke'!O218,"")</f>
        <v/>
      </c>
      <c r="Y217" s="485" t="str">
        <f ca="1">IF(X217&lt;&gt;"",ABS(MIN(-0.75*('CDO Bespoke'!Q218)+'CDO Bespoke'!T218,0)),"")</f>
        <v/>
      </c>
      <c r="Z217" s="485">
        <f t="shared" ca="1" si="20"/>
        <v>0</v>
      </c>
      <c r="AA217" s="485">
        <f t="shared" ca="1" si="21"/>
        <v>0</v>
      </c>
      <c r="AB217" s="484" t="str">
        <f ca="1">IF('CDO Bespoke'!O218&lt;&gt;"",'CDO Bespoke'!O218,"")</f>
        <v/>
      </c>
      <c r="AC217" s="485" t="str">
        <f ca="1">IF(AB217&lt;&gt;"",ABS(MIN(-0.75*('CDO Bespoke'!K218)+'CDO Bespoke'!T218,0)),"")</f>
        <v/>
      </c>
      <c r="AD217" s="485">
        <f t="shared" ca="1" si="22"/>
        <v>0</v>
      </c>
      <c r="AE217" s="489">
        <f t="shared" ca="1" si="23"/>
        <v>0</v>
      </c>
      <c r="AF217" s="272"/>
      <c r="AG217" s="494" t="str">
        <f ca="1">IF('CDO Bespoke'!C242&lt;&gt;"",'CDO Bespoke'!C242,"")</f>
        <v/>
      </c>
      <c r="AH217" s="496"/>
      <c r="AI217" s="585"/>
      <c r="AJ217" s="585"/>
      <c r="AK217" s="585"/>
      <c r="AL217" s="497"/>
      <c r="AM217" s="496"/>
      <c r="AN217" s="585"/>
      <c r="AO217" s="585"/>
      <c r="AP217" s="585"/>
      <c r="AQ217" s="497"/>
      <c r="AR217" s="580"/>
      <c r="AS217" s="580"/>
      <c r="AT217" s="580"/>
      <c r="AU217" s="580"/>
      <c r="AV217" s="580"/>
      <c r="AW217" s="580"/>
      <c r="AX217" s="579"/>
    </row>
    <row r="218" spans="2:50">
      <c r="B218" s="517" t="s">
        <v>567</v>
      </c>
      <c r="C218" s="518" t="s">
        <v>66</v>
      </c>
      <c r="D218" s="518" t="s">
        <v>57</v>
      </c>
      <c r="E218" s="518" t="s">
        <v>649</v>
      </c>
      <c r="F218" s="518" t="s">
        <v>653</v>
      </c>
      <c r="G218" s="525">
        <v>0.01</v>
      </c>
      <c r="H218" s="525">
        <v>6.5919999999999998E-3</v>
      </c>
      <c r="I218" s="527">
        <v>0.4</v>
      </c>
      <c r="J218" s="594">
        <v>7</v>
      </c>
      <c r="K218" s="519">
        <v>65</v>
      </c>
      <c r="L218" s="272"/>
      <c r="M218" s="272"/>
      <c r="P218" s="273"/>
      <c r="Q218" s="273"/>
      <c r="R218" s="273"/>
      <c r="S218" s="273"/>
      <c r="T218" s="273"/>
      <c r="U218" s="273"/>
      <c r="V218" s="273"/>
      <c r="W218" s="273"/>
      <c r="X218" s="484" t="str">
        <f ca="1">IF('CDO Bespoke'!O219&lt;&gt;"",'CDO Bespoke'!O219,"")</f>
        <v/>
      </c>
      <c r="Y218" s="485" t="str">
        <f ca="1">IF(X218&lt;&gt;"",ABS(MIN(-0.75*('CDO Bespoke'!Q219)+'CDO Bespoke'!T219,0)),"")</f>
        <v/>
      </c>
      <c r="Z218" s="485">
        <f t="shared" ca="1" si="20"/>
        <v>0</v>
      </c>
      <c r="AA218" s="485">
        <f t="shared" ca="1" si="21"/>
        <v>0</v>
      </c>
      <c r="AB218" s="484" t="str">
        <f ca="1">IF('CDO Bespoke'!O219&lt;&gt;"",'CDO Bespoke'!O219,"")</f>
        <v/>
      </c>
      <c r="AC218" s="485" t="str">
        <f ca="1">IF(AB218&lt;&gt;"",ABS(MIN(-0.75*('CDO Bespoke'!K219)+'CDO Bespoke'!T219,0)),"")</f>
        <v/>
      </c>
      <c r="AD218" s="485">
        <f t="shared" ca="1" si="22"/>
        <v>0</v>
      </c>
      <c r="AE218" s="489">
        <f t="shared" ca="1" si="23"/>
        <v>0</v>
      </c>
      <c r="AF218" s="272"/>
      <c r="AG218" s="494" t="str">
        <f ca="1">IF('CDO Bespoke'!C243&lt;&gt;"",'CDO Bespoke'!C243,"")</f>
        <v/>
      </c>
      <c r="AH218" s="496"/>
      <c r="AI218" s="585"/>
      <c r="AJ218" s="585"/>
      <c r="AK218" s="585"/>
      <c r="AL218" s="497"/>
      <c r="AM218" s="496"/>
      <c r="AN218" s="585"/>
      <c r="AO218" s="585"/>
      <c r="AP218" s="585"/>
      <c r="AQ218" s="497"/>
      <c r="AR218" s="580"/>
      <c r="AS218" s="580"/>
      <c r="AT218" s="580"/>
      <c r="AU218" s="580"/>
      <c r="AV218" s="580"/>
      <c r="AW218" s="580"/>
      <c r="AX218" s="579"/>
    </row>
    <row r="219" spans="2:50">
      <c r="B219" s="534" t="s">
        <v>567</v>
      </c>
      <c r="C219" s="535" t="s">
        <v>66</v>
      </c>
      <c r="D219" s="535" t="s">
        <v>59</v>
      </c>
      <c r="E219" s="535" t="s">
        <v>649</v>
      </c>
      <c r="F219" s="535" t="s">
        <v>653</v>
      </c>
      <c r="G219" s="536">
        <v>0.01</v>
      </c>
      <c r="H219" s="536">
        <v>9.4090000000000007E-3</v>
      </c>
      <c r="I219" s="537">
        <v>0.4</v>
      </c>
      <c r="J219" s="595">
        <v>7</v>
      </c>
      <c r="K219" s="538">
        <v>65</v>
      </c>
      <c r="L219" s="272"/>
      <c r="M219" s="272"/>
      <c r="P219" s="273"/>
      <c r="Q219" s="273"/>
      <c r="R219" s="273"/>
      <c r="S219" s="273"/>
      <c r="T219" s="273"/>
      <c r="U219" s="273"/>
      <c r="V219" s="273"/>
      <c r="W219" s="273"/>
      <c r="X219" s="484" t="str">
        <f ca="1">IF('CDO Bespoke'!O220&lt;&gt;"",'CDO Bespoke'!O220,"")</f>
        <v/>
      </c>
      <c r="Y219" s="485" t="str">
        <f ca="1">IF(X219&lt;&gt;"",ABS(MIN(-0.75*('CDO Bespoke'!Q220)+'CDO Bespoke'!T220,0)),"")</f>
        <v/>
      </c>
      <c r="Z219" s="485">
        <f t="shared" ca="1" si="20"/>
        <v>0</v>
      </c>
      <c r="AA219" s="485">
        <f t="shared" ca="1" si="21"/>
        <v>0</v>
      </c>
      <c r="AB219" s="484" t="str">
        <f ca="1">IF('CDO Bespoke'!O220&lt;&gt;"",'CDO Bespoke'!O220,"")</f>
        <v/>
      </c>
      <c r="AC219" s="485" t="str">
        <f ca="1">IF(AB219&lt;&gt;"",ABS(MIN(-0.75*('CDO Bespoke'!K220)+'CDO Bespoke'!T220,0)),"")</f>
        <v/>
      </c>
      <c r="AD219" s="485">
        <f t="shared" ca="1" si="22"/>
        <v>0</v>
      </c>
      <c r="AE219" s="489">
        <f t="shared" ca="1" si="23"/>
        <v>0</v>
      </c>
      <c r="AF219" s="272"/>
      <c r="AG219" s="494" t="str">
        <f ca="1">IF('CDO Bespoke'!C244&lt;&gt;"",'CDO Bespoke'!C244,"")</f>
        <v/>
      </c>
      <c r="AH219" s="496"/>
      <c r="AI219" s="585"/>
      <c r="AJ219" s="585"/>
      <c r="AK219" s="585"/>
      <c r="AL219" s="497"/>
      <c r="AM219" s="496"/>
      <c r="AN219" s="585"/>
      <c r="AO219" s="585"/>
      <c r="AP219" s="585"/>
      <c r="AQ219" s="497"/>
      <c r="AR219" s="580"/>
      <c r="AS219" s="580"/>
      <c r="AT219" s="580"/>
      <c r="AU219" s="580"/>
      <c r="AV219" s="580"/>
      <c r="AW219" s="580"/>
      <c r="AX219" s="579"/>
    </row>
    <row r="220" spans="2:50">
      <c r="B220" s="539" t="s">
        <v>577</v>
      </c>
      <c r="C220" s="540" t="s">
        <v>66</v>
      </c>
      <c r="D220" s="540" t="s">
        <v>55</v>
      </c>
      <c r="E220" s="540" t="s">
        <v>649</v>
      </c>
      <c r="F220" s="540" t="s">
        <v>653</v>
      </c>
      <c r="G220" s="541">
        <v>0.01</v>
      </c>
      <c r="H220" s="541">
        <v>3.3249999999999998E-3</v>
      </c>
      <c r="I220" s="542">
        <v>0.4</v>
      </c>
      <c r="J220" s="602">
        <v>7</v>
      </c>
      <c r="K220" s="543">
        <v>66</v>
      </c>
      <c r="L220" s="272"/>
      <c r="M220" s="272"/>
      <c r="P220" s="273"/>
      <c r="Q220" s="273"/>
      <c r="R220" s="273"/>
      <c r="S220" s="273"/>
      <c r="T220" s="273"/>
      <c r="U220" s="273"/>
      <c r="V220" s="273"/>
      <c r="W220" s="273"/>
      <c r="X220" s="484" t="str">
        <f ca="1">IF('CDO Bespoke'!O221&lt;&gt;"",'CDO Bespoke'!O221,"")</f>
        <v/>
      </c>
      <c r="Y220" s="485" t="str">
        <f ca="1">IF(X220&lt;&gt;"",ABS(MIN(-0.75*('CDO Bespoke'!Q221)+'CDO Bespoke'!T221,0)),"")</f>
        <v/>
      </c>
      <c r="Z220" s="485">
        <f t="shared" ca="1" si="20"/>
        <v>0</v>
      </c>
      <c r="AA220" s="485">
        <f t="shared" ca="1" si="21"/>
        <v>0</v>
      </c>
      <c r="AB220" s="484" t="str">
        <f ca="1">IF('CDO Bespoke'!O221&lt;&gt;"",'CDO Bespoke'!O221,"")</f>
        <v/>
      </c>
      <c r="AC220" s="485" t="str">
        <f ca="1">IF(AB220&lt;&gt;"",ABS(MIN(-0.75*('CDO Bespoke'!K221)+'CDO Bespoke'!T221,0)),"")</f>
        <v/>
      </c>
      <c r="AD220" s="485">
        <f t="shared" ca="1" si="22"/>
        <v>0</v>
      </c>
      <c r="AE220" s="489">
        <f t="shared" ca="1" si="23"/>
        <v>0</v>
      </c>
      <c r="AF220" s="272"/>
      <c r="AG220" s="494" t="str">
        <f ca="1">IF('CDO Bespoke'!C245&lt;&gt;"",'CDO Bespoke'!C245,"")</f>
        <v/>
      </c>
      <c r="AH220" s="496"/>
      <c r="AI220" s="585"/>
      <c r="AJ220" s="585"/>
      <c r="AK220" s="585"/>
      <c r="AL220" s="497"/>
      <c r="AM220" s="496"/>
      <c r="AN220" s="585"/>
      <c r="AO220" s="585"/>
      <c r="AP220" s="585"/>
      <c r="AQ220" s="497"/>
      <c r="AR220" s="580"/>
      <c r="AS220" s="580"/>
      <c r="AT220" s="580"/>
      <c r="AU220" s="580"/>
      <c r="AV220" s="580"/>
      <c r="AW220" s="580"/>
      <c r="AX220" s="579"/>
    </row>
    <row r="221" spans="2:50">
      <c r="B221" s="517" t="s">
        <v>577</v>
      </c>
      <c r="C221" s="518" t="s">
        <v>66</v>
      </c>
      <c r="D221" s="518" t="s">
        <v>57</v>
      </c>
      <c r="E221" s="518" t="s">
        <v>649</v>
      </c>
      <c r="F221" s="518" t="s">
        <v>653</v>
      </c>
      <c r="G221" s="525">
        <v>0.01</v>
      </c>
      <c r="H221" s="525">
        <v>6.195E-3</v>
      </c>
      <c r="I221" s="527">
        <v>0.4</v>
      </c>
      <c r="J221" s="594">
        <v>7</v>
      </c>
      <c r="K221" s="519">
        <v>66</v>
      </c>
      <c r="L221" s="272"/>
      <c r="M221" s="272"/>
      <c r="P221" s="273"/>
      <c r="Q221" s="273"/>
      <c r="R221" s="273"/>
      <c r="S221" s="273"/>
      <c r="T221" s="273"/>
      <c r="U221" s="273"/>
      <c r="V221" s="273"/>
      <c r="W221" s="273"/>
      <c r="X221" s="484" t="str">
        <f ca="1">IF('CDO Bespoke'!O222&lt;&gt;"",'CDO Bespoke'!O222,"")</f>
        <v/>
      </c>
      <c r="Y221" s="485" t="str">
        <f ca="1">IF(X221&lt;&gt;"",ABS(MIN(-0.75*('CDO Bespoke'!Q222)+'CDO Bespoke'!T222,0)),"")</f>
        <v/>
      </c>
      <c r="Z221" s="485">
        <f t="shared" ca="1" si="20"/>
        <v>0</v>
      </c>
      <c r="AA221" s="485">
        <f t="shared" ca="1" si="21"/>
        <v>0</v>
      </c>
      <c r="AB221" s="484" t="str">
        <f ca="1">IF('CDO Bespoke'!O222&lt;&gt;"",'CDO Bespoke'!O222,"")</f>
        <v/>
      </c>
      <c r="AC221" s="485" t="str">
        <f ca="1">IF(AB221&lt;&gt;"",ABS(MIN(-0.75*('CDO Bespoke'!K222)+'CDO Bespoke'!T222,0)),"")</f>
        <v/>
      </c>
      <c r="AD221" s="485">
        <f t="shared" ca="1" si="22"/>
        <v>0</v>
      </c>
      <c r="AE221" s="489">
        <f t="shared" ca="1" si="23"/>
        <v>0</v>
      </c>
      <c r="AF221" s="272"/>
      <c r="AG221" s="494" t="str">
        <f ca="1">IF('CDO Bespoke'!C246&lt;&gt;"",'CDO Bespoke'!C246,"")</f>
        <v/>
      </c>
      <c r="AH221" s="496"/>
      <c r="AI221" s="585"/>
      <c r="AJ221" s="585"/>
      <c r="AK221" s="585"/>
      <c r="AL221" s="497"/>
      <c r="AM221" s="496"/>
      <c r="AN221" s="585"/>
      <c r="AO221" s="585"/>
      <c r="AP221" s="585"/>
      <c r="AQ221" s="497"/>
      <c r="AR221" s="580"/>
      <c r="AS221" s="580"/>
      <c r="AT221" s="580"/>
      <c r="AU221" s="580"/>
      <c r="AV221" s="580"/>
      <c r="AW221" s="580"/>
      <c r="AX221" s="579"/>
    </row>
    <row r="222" spans="2:50">
      <c r="B222" s="534" t="s">
        <v>577</v>
      </c>
      <c r="C222" s="535" t="s">
        <v>66</v>
      </c>
      <c r="D222" s="535" t="s">
        <v>59</v>
      </c>
      <c r="E222" s="535" t="s">
        <v>649</v>
      </c>
      <c r="F222" s="535" t="s">
        <v>653</v>
      </c>
      <c r="G222" s="536">
        <v>0.01</v>
      </c>
      <c r="H222" s="536">
        <v>9.2610000000000001E-3</v>
      </c>
      <c r="I222" s="537">
        <v>0.4</v>
      </c>
      <c r="J222" s="595">
        <v>7</v>
      </c>
      <c r="K222" s="538">
        <v>66</v>
      </c>
      <c r="L222" s="272"/>
      <c r="M222" s="272"/>
      <c r="P222" s="273"/>
      <c r="Q222" s="273"/>
      <c r="R222" s="273"/>
      <c r="S222" s="273"/>
      <c r="T222" s="273"/>
      <c r="U222" s="273"/>
      <c r="V222" s="273"/>
      <c r="W222" s="273"/>
      <c r="X222" s="484" t="str">
        <f ca="1">IF('CDO Bespoke'!O223&lt;&gt;"",'CDO Bespoke'!O223,"")</f>
        <v/>
      </c>
      <c r="Y222" s="485" t="str">
        <f ca="1">IF(X222&lt;&gt;"",ABS(MIN(-0.75*('CDO Bespoke'!Q223)+'CDO Bespoke'!T223,0)),"")</f>
        <v/>
      </c>
      <c r="Z222" s="485">
        <f t="shared" ca="1" si="20"/>
        <v>0</v>
      </c>
      <c r="AA222" s="485">
        <f t="shared" ca="1" si="21"/>
        <v>0</v>
      </c>
      <c r="AB222" s="484" t="str">
        <f ca="1">IF('CDO Bespoke'!O223&lt;&gt;"",'CDO Bespoke'!O223,"")</f>
        <v/>
      </c>
      <c r="AC222" s="485" t="str">
        <f ca="1">IF(AB222&lt;&gt;"",ABS(MIN(-0.75*('CDO Bespoke'!K223)+'CDO Bespoke'!T223,0)),"")</f>
        <v/>
      </c>
      <c r="AD222" s="485">
        <f t="shared" ca="1" si="22"/>
        <v>0</v>
      </c>
      <c r="AE222" s="489">
        <f t="shared" ca="1" si="23"/>
        <v>0</v>
      </c>
      <c r="AF222" s="272"/>
      <c r="AG222" s="494" t="str">
        <f ca="1">IF('CDO Bespoke'!C247&lt;&gt;"",'CDO Bespoke'!C247,"")</f>
        <v/>
      </c>
      <c r="AH222" s="496"/>
      <c r="AI222" s="585"/>
      <c r="AJ222" s="585"/>
      <c r="AK222" s="585"/>
      <c r="AL222" s="497"/>
      <c r="AM222" s="496"/>
      <c r="AN222" s="585"/>
      <c r="AO222" s="585"/>
      <c r="AP222" s="585"/>
      <c r="AQ222" s="497"/>
      <c r="AR222" s="580"/>
      <c r="AS222" s="580"/>
      <c r="AT222" s="580"/>
      <c r="AU222" s="580"/>
      <c r="AV222" s="580"/>
      <c r="AW222" s="580"/>
      <c r="AX222" s="579"/>
    </row>
    <row r="223" spans="2:50">
      <c r="B223" s="539" t="s">
        <v>568</v>
      </c>
      <c r="C223" s="540" t="s">
        <v>66</v>
      </c>
      <c r="D223" s="540" t="s">
        <v>55</v>
      </c>
      <c r="E223" s="540" t="s">
        <v>649</v>
      </c>
      <c r="F223" s="540" t="s">
        <v>653</v>
      </c>
      <c r="G223" s="541">
        <v>0.01</v>
      </c>
      <c r="H223" s="541">
        <v>2.6879999999999999E-3</v>
      </c>
      <c r="I223" s="542">
        <v>0.4</v>
      </c>
      <c r="J223" s="602">
        <v>7</v>
      </c>
      <c r="K223" s="543">
        <v>67</v>
      </c>
      <c r="L223" s="272"/>
      <c r="M223" s="272"/>
      <c r="P223" s="273"/>
      <c r="Q223" s="273"/>
      <c r="R223" s="273"/>
      <c r="S223" s="273"/>
      <c r="T223" s="273"/>
      <c r="U223" s="273"/>
      <c r="V223" s="273"/>
      <c r="W223" s="273"/>
      <c r="X223" s="484" t="str">
        <f ca="1">IF('CDO Bespoke'!O224&lt;&gt;"",'CDO Bespoke'!O224,"")</f>
        <v/>
      </c>
      <c r="Y223" s="485" t="str">
        <f ca="1">IF(X223&lt;&gt;"",ABS(MIN(-0.75*('CDO Bespoke'!Q224)+'CDO Bespoke'!T224,0)),"")</f>
        <v/>
      </c>
      <c r="Z223" s="485">
        <f t="shared" ca="1" si="20"/>
        <v>0</v>
      </c>
      <c r="AA223" s="485">
        <f t="shared" ca="1" si="21"/>
        <v>0</v>
      </c>
      <c r="AB223" s="484" t="str">
        <f ca="1">IF('CDO Bespoke'!O224&lt;&gt;"",'CDO Bespoke'!O224,"")</f>
        <v/>
      </c>
      <c r="AC223" s="485" t="str">
        <f ca="1">IF(AB223&lt;&gt;"",ABS(MIN(-0.75*('CDO Bespoke'!K224)+'CDO Bespoke'!T224,0)),"")</f>
        <v/>
      </c>
      <c r="AD223" s="485">
        <f t="shared" ca="1" si="22"/>
        <v>0</v>
      </c>
      <c r="AE223" s="489">
        <f t="shared" ca="1" si="23"/>
        <v>0</v>
      </c>
      <c r="AF223" s="272"/>
      <c r="AG223" s="494" t="str">
        <f ca="1">IF('CDO Bespoke'!C248&lt;&gt;"",'CDO Bespoke'!C248,"")</f>
        <v/>
      </c>
      <c r="AH223" s="496"/>
      <c r="AI223" s="585"/>
      <c r="AJ223" s="585"/>
      <c r="AK223" s="585"/>
      <c r="AL223" s="497"/>
      <c r="AM223" s="496"/>
      <c r="AN223" s="585"/>
      <c r="AO223" s="585"/>
      <c r="AP223" s="585"/>
      <c r="AQ223" s="497"/>
      <c r="AR223" s="580"/>
      <c r="AS223" s="580"/>
      <c r="AT223" s="580"/>
      <c r="AU223" s="580"/>
      <c r="AV223" s="580"/>
      <c r="AW223" s="580"/>
      <c r="AX223" s="579"/>
    </row>
    <row r="224" spans="2:50">
      <c r="B224" s="517" t="s">
        <v>568</v>
      </c>
      <c r="C224" s="518" t="s">
        <v>66</v>
      </c>
      <c r="D224" s="518" t="s">
        <v>57</v>
      </c>
      <c r="E224" s="518" t="s">
        <v>649</v>
      </c>
      <c r="F224" s="518" t="s">
        <v>653</v>
      </c>
      <c r="G224" s="525">
        <v>0.01</v>
      </c>
      <c r="H224" s="525">
        <v>4.4660000000000004E-3</v>
      </c>
      <c r="I224" s="527">
        <v>0.4</v>
      </c>
      <c r="J224" s="594">
        <v>7</v>
      </c>
      <c r="K224" s="519">
        <v>67</v>
      </c>
      <c r="L224" s="272"/>
      <c r="M224" s="272"/>
      <c r="P224" s="273"/>
      <c r="Q224" s="273"/>
      <c r="R224" s="273"/>
      <c r="S224" s="273"/>
      <c r="T224" s="273"/>
      <c r="U224" s="273"/>
      <c r="V224" s="273"/>
      <c r="W224" s="273"/>
      <c r="X224" s="484" t="str">
        <f ca="1">IF('CDO Bespoke'!O225&lt;&gt;"",'CDO Bespoke'!O225,"")</f>
        <v/>
      </c>
      <c r="Y224" s="485" t="str">
        <f ca="1">IF(X224&lt;&gt;"",ABS(MIN(-0.75*('CDO Bespoke'!Q225)+'CDO Bespoke'!T225,0)),"")</f>
        <v/>
      </c>
      <c r="Z224" s="485">
        <f t="shared" ca="1" si="20"/>
        <v>0</v>
      </c>
      <c r="AA224" s="485">
        <f t="shared" ca="1" si="21"/>
        <v>0</v>
      </c>
      <c r="AB224" s="484" t="str">
        <f ca="1">IF('CDO Bespoke'!O225&lt;&gt;"",'CDO Bespoke'!O225,"")</f>
        <v/>
      </c>
      <c r="AC224" s="485" t="str">
        <f ca="1">IF(AB224&lt;&gt;"",ABS(MIN(-0.75*('CDO Bespoke'!K225)+'CDO Bespoke'!T225,0)),"")</f>
        <v/>
      </c>
      <c r="AD224" s="485">
        <f t="shared" ca="1" si="22"/>
        <v>0</v>
      </c>
      <c r="AE224" s="489">
        <f t="shared" ca="1" si="23"/>
        <v>0</v>
      </c>
      <c r="AF224" s="272"/>
      <c r="AG224" s="494" t="str">
        <f ca="1">IF('CDO Bespoke'!C249&lt;&gt;"",'CDO Bespoke'!C249,"")</f>
        <v/>
      </c>
      <c r="AH224" s="496"/>
      <c r="AI224" s="585"/>
      <c r="AJ224" s="585"/>
      <c r="AK224" s="585"/>
      <c r="AL224" s="497"/>
      <c r="AM224" s="496"/>
      <c r="AN224" s="585"/>
      <c r="AO224" s="585"/>
      <c r="AP224" s="585"/>
      <c r="AQ224" s="497"/>
      <c r="AR224" s="580"/>
      <c r="AS224" s="580"/>
      <c r="AT224" s="580"/>
      <c r="AU224" s="580"/>
      <c r="AV224" s="580"/>
      <c r="AW224" s="580"/>
      <c r="AX224" s="579"/>
    </row>
    <row r="225" spans="2:50">
      <c r="B225" s="534" t="s">
        <v>568</v>
      </c>
      <c r="C225" s="535" t="s">
        <v>66</v>
      </c>
      <c r="D225" s="535" t="s">
        <v>59</v>
      </c>
      <c r="E225" s="535" t="s">
        <v>649</v>
      </c>
      <c r="F225" s="535" t="s">
        <v>653</v>
      </c>
      <c r="G225" s="536">
        <v>0.01</v>
      </c>
      <c r="H225" s="536">
        <v>5.9670000000000001E-3</v>
      </c>
      <c r="I225" s="537">
        <v>0.4</v>
      </c>
      <c r="J225" s="595">
        <v>7</v>
      </c>
      <c r="K225" s="538">
        <v>67</v>
      </c>
      <c r="L225" s="272"/>
      <c r="M225" s="272"/>
      <c r="P225" s="273"/>
      <c r="Q225" s="273"/>
      <c r="R225" s="273"/>
      <c r="S225" s="273"/>
      <c r="T225" s="273"/>
      <c r="U225" s="273"/>
      <c r="V225" s="273"/>
      <c r="W225" s="273"/>
      <c r="X225" s="484" t="str">
        <f ca="1">IF('CDO Bespoke'!O226&lt;&gt;"",'CDO Bespoke'!O226,"")</f>
        <v/>
      </c>
      <c r="Y225" s="485" t="str">
        <f ca="1">IF(X225&lt;&gt;"",ABS(MIN(-0.75*('CDO Bespoke'!Q226)+'CDO Bespoke'!T226,0)),"")</f>
        <v/>
      </c>
      <c r="Z225" s="485">
        <f t="shared" ca="1" si="20"/>
        <v>0</v>
      </c>
      <c r="AA225" s="485">
        <f t="shared" ca="1" si="21"/>
        <v>0</v>
      </c>
      <c r="AB225" s="484" t="str">
        <f ca="1">IF('CDO Bespoke'!O226&lt;&gt;"",'CDO Bespoke'!O226,"")</f>
        <v/>
      </c>
      <c r="AC225" s="485" t="str">
        <f ca="1">IF(AB225&lt;&gt;"",ABS(MIN(-0.75*('CDO Bespoke'!K226)+'CDO Bespoke'!T226,0)),"")</f>
        <v/>
      </c>
      <c r="AD225" s="485">
        <f t="shared" ca="1" si="22"/>
        <v>0</v>
      </c>
      <c r="AE225" s="489">
        <f t="shared" ca="1" si="23"/>
        <v>0</v>
      </c>
      <c r="AF225" s="272"/>
      <c r="AG225" s="494" t="str">
        <f ca="1">IF('CDO Bespoke'!C250&lt;&gt;"",'CDO Bespoke'!C250,"")</f>
        <v/>
      </c>
      <c r="AH225" s="496"/>
      <c r="AI225" s="585"/>
      <c r="AJ225" s="585"/>
      <c r="AK225" s="585"/>
      <c r="AL225" s="497"/>
      <c r="AM225" s="496"/>
      <c r="AN225" s="585"/>
      <c r="AO225" s="585"/>
      <c r="AP225" s="585"/>
      <c r="AQ225" s="497"/>
      <c r="AR225" s="580"/>
      <c r="AS225" s="580"/>
      <c r="AT225" s="580"/>
      <c r="AU225" s="580"/>
      <c r="AV225" s="580"/>
      <c r="AW225" s="580"/>
      <c r="AX225" s="579"/>
    </row>
    <row r="226" spans="2:50">
      <c r="B226" s="539" t="s">
        <v>569</v>
      </c>
      <c r="C226" s="540" t="s">
        <v>66</v>
      </c>
      <c r="D226" s="540" t="s">
        <v>55</v>
      </c>
      <c r="E226" s="540" t="s">
        <v>647</v>
      </c>
      <c r="F226" s="540" t="s">
        <v>652</v>
      </c>
      <c r="G226" s="541">
        <v>0.01</v>
      </c>
      <c r="H226" s="541">
        <v>3.4719999999999998E-3</v>
      </c>
      <c r="I226" s="542">
        <v>0.4</v>
      </c>
      <c r="J226" s="602">
        <v>4</v>
      </c>
      <c r="K226" s="543">
        <v>68</v>
      </c>
      <c r="L226" s="272"/>
      <c r="M226" s="272"/>
      <c r="P226" s="273"/>
      <c r="Q226" s="273"/>
      <c r="R226" s="273"/>
      <c r="S226" s="273"/>
      <c r="T226" s="273"/>
      <c r="U226" s="273"/>
      <c r="V226" s="273"/>
      <c r="W226" s="273"/>
      <c r="X226" s="484" t="str">
        <f ca="1">IF('CDO Bespoke'!O227&lt;&gt;"",'CDO Bespoke'!O227,"")</f>
        <v/>
      </c>
      <c r="Y226" s="485" t="str">
        <f ca="1">IF(X226&lt;&gt;"",ABS(MIN(-0.75*('CDO Bespoke'!Q227)+'CDO Bespoke'!T227,0)),"")</f>
        <v/>
      </c>
      <c r="Z226" s="485">
        <f t="shared" ca="1" si="20"/>
        <v>0</v>
      </c>
      <c r="AA226" s="485">
        <f t="shared" ca="1" si="21"/>
        <v>0</v>
      </c>
      <c r="AB226" s="484" t="str">
        <f ca="1">IF('CDO Bespoke'!O227&lt;&gt;"",'CDO Bespoke'!O227,"")</f>
        <v/>
      </c>
      <c r="AC226" s="485" t="str">
        <f ca="1">IF(AB226&lt;&gt;"",ABS(MIN(-0.75*('CDO Bespoke'!K227)+'CDO Bespoke'!T227,0)),"")</f>
        <v/>
      </c>
      <c r="AD226" s="485">
        <f t="shared" ca="1" si="22"/>
        <v>0</v>
      </c>
      <c r="AE226" s="489">
        <f t="shared" ca="1" si="23"/>
        <v>0</v>
      </c>
      <c r="AF226" s="272"/>
      <c r="AG226" s="494" t="str">
        <f ca="1">IF('CDO Bespoke'!C251&lt;&gt;"",'CDO Bespoke'!C251,"")</f>
        <v/>
      </c>
      <c r="AH226" s="496"/>
      <c r="AI226" s="585"/>
      <c r="AJ226" s="585"/>
      <c r="AK226" s="585"/>
      <c r="AL226" s="497"/>
      <c r="AM226" s="496"/>
      <c r="AN226" s="585"/>
      <c r="AO226" s="585"/>
      <c r="AP226" s="585"/>
      <c r="AQ226" s="497"/>
      <c r="AR226" s="580"/>
      <c r="AS226" s="580"/>
      <c r="AT226" s="580"/>
      <c r="AU226" s="580"/>
      <c r="AV226" s="580"/>
      <c r="AW226" s="580"/>
      <c r="AX226" s="579"/>
    </row>
    <row r="227" spans="2:50">
      <c r="B227" s="517" t="s">
        <v>569</v>
      </c>
      <c r="C227" s="518" t="s">
        <v>66</v>
      </c>
      <c r="D227" s="518" t="s">
        <v>57</v>
      </c>
      <c r="E227" s="518" t="s">
        <v>647</v>
      </c>
      <c r="F227" s="518" t="s">
        <v>652</v>
      </c>
      <c r="G227" s="525">
        <v>0.01</v>
      </c>
      <c r="H227" s="525">
        <v>5.6010000000000001E-3</v>
      </c>
      <c r="I227" s="527">
        <v>0.4</v>
      </c>
      <c r="J227" s="594">
        <v>4</v>
      </c>
      <c r="K227" s="519">
        <v>68</v>
      </c>
      <c r="L227" s="272"/>
      <c r="M227" s="272"/>
      <c r="P227" s="273"/>
      <c r="Q227" s="273"/>
      <c r="R227" s="273"/>
      <c r="S227" s="273"/>
      <c r="T227" s="273"/>
      <c r="U227" s="273"/>
      <c r="V227" s="273"/>
      <c r="W227" s="273"/>
      <c r="X227" s="484" t="str">
        <f ca="1">IF('CDO Bespoke'!O228&lt;&gt;"",'CDO Bespoke'!O228,"")</f>
        <v/>
      </c>
      <c r="Y227" s="485" t="str">
        <f ca="1">IF(X227&lt;&gt;"",ABS(MIN(-0.75*('CDO Bespoke'!Q228)+'CDO Bespoke'!T228,0)),"")</f>
        <v/>
      </c>
      <c r="Z227" s="485">
        <f t="shared" ca="1" si="20"/>
        <v>0</v>
      </c>
      <c r="AA227" s="485">
        <f t="shared" ca="1" si="21"/>
        <v>0</v>
      </c>
      <c r="AB227" s="484" t="str">
        <f ca="1">IF('CDO Bespoke'!O228&lt;&gt;"",'CDO Bespoke'!O228,"")</f>
        <v/>
      </c>
      <c r="AC227" s="485" t="str">
        <f ca="1">IF(AB227&lt;&gt;"",ABS(MIN(-0.75*('CDO Bespoke'!K228)+'CDO Bespoke'!T228,0)),"")</f>
        <v/>
      </c>
      <c r="AD227" s="485">
        <f t="shared" ca="1" si="22"/>
        <v>0</v>
      </c>
      <c r="AE227" s="489">
        <f t="shared" ca="1" si="23"/>
        <v>0</v>
      </c>
      <c r="AF227" s="272"/>
      <c r="AG227" s="494" t="str">
        <f ca="1">IF('CDO Bespoke'!C252&lt;&gt;"",'CDO Bespoke'!C252,"")</f>
        <v/>
      </c>
      <c r="AH227" s="496"/>
      <c r="AI227" s="585"/>
      <c r="AJ227" s="585"/>
      <c r="AK227" s="585"/>
      <c r="AL227" s="497"/>
      <c r="AM227" s="496"/>
      <c r="AN227" s="585"/>
      <c r="AO227" s="585"/>
      <c r="AP227" s="585"/>
      <c r="AQ227" s="497"/>
      <c r="AR227" s="580"/>
      <c r="AS227" s="580"/>
      <c r="AT227" s="580"/>
      <c r="AU227" s="580"/>
      <c r="AV227" s="580"/>
      <c r="AW227" s="580"/>
      <c r="AX227" s="579"/>
    </row>
    <row r="228" spans="2:50">
      <c r="B228" s="534" t="s">
        <v>569</v>
      </c>
      <c r="C228" s="535" t="s">
        <v>66</v>
      </c>
      <c r="D228" s="535" t="s">
        <v>59</v>
      </c>
      <c r="E228" s="535" t="s">
        <v>647</v>
      </c>
      <c r="F228" s="535" t="s">
        <v>652</v>
      </c>
      <c r="G228" s="536">
        <v>0.01</v>
      </c>
      <c r="H228" s="536">
        <v>7.7669999999999996E-3</v>
      </c>
      <c r="I228" s="537">
        <v>0.4</v>
      </c>
      <c r="J228" s="595">
        <v>4</v>
      </c>
      <c r="K228" s="538">
        <v>68</v>
      </c>
      <c r="L228" s="272"/>
      <c r="M228" s="272"/>
      <c r="P228" s="273"/>
      <c r="Q228" s="273"/>
      <c r="R228" s="273"/>
      <c r="S228" s="273"/>
      <c r="T228" s="273"/>
      <c r="U228" s="273"/>
      <c r="V228" s="273"/>
      <c r="W228" s="273"/>
      <c r="X228" s="484" t="str">
        <f ca="1">IF('CDO Bespoke'!O229&lt;&gt;"",'CDO Bespoke'!O229,"")</f>
        <v/>
      </c>
      <c r="Y228" s="485" t="str">
        <f ca="1">IF(X228&lt;&gt;"",ABS(MIN(-0.75*('CDO Bespoke'!Q229)+'CDO Bespoke'!T229,0)),"")</f>
        <v/>
      </c>
      <c r="Z228" s="485">
        <f t="shared" ca="1" si="20"/>
        <v>0</v>
      </c>
      <c r="AA228" s="485">
        <f t="shared" ca="1" si="21"/>
        <v>0</v>
      </c>
      <c r="AB228" s="484" t="str">
        <f ca="1">IF('CDO Bespoke'!O229&lt;&gt;"",'CDO Bespoke'!O229,"")</f>
        <v/>
      </c>
      <c r="AC228" s="485" t="str">
        <f ca="1">IF(AB228&lt;&gt;"",ABS(MIN(-0.75*('CDO Bespoke'!K229)+'CDO Bespoke'!T229,0)),"")</f>
        <v/>
      </c>
      <c r="AD228" s="485">
        <f t="shared" ca="1" si="22"/>
        <v>0</v>
      </c>
      <c r="AE228" s="489">
        <f t="shared" ca="1" si="23"/>
        <v>0</v>
      </c>
      <c r="AF228" s="272"/>
      <c r="AG228" s="494" t="str">
        <f ca="1">IF('CDO Bespoke'!C253&lt;&gt;"",'CDO Bespoke'!C253,"")</f>
        <v/>
      </c>
      <c r="AH228" s="496"/>
      <c r="AI228" s="585"/>
      <c r="AJ228" s="585"/>
      <c r="AK228" s="585"/>
      <c r="AL228" s="497"/>
      <c r="AM228" s="496"/>
      <c r="AN228" s="585"/>
      <c r="AO228" s="585"/>
      <c r="AP228" s="585"/>
      <c r="AQ228" s="497"/>
      <c r="AR228" s="580"/>
      <c r="AS228" s="580"/>
      <c r="AT228" s="580"/>
      <c r="AU228" s="580"/>
      <c r="AV228" s="580"/>
      <c r="AW228" s="580"/>
      <c r="AX228" s="579"/>
    </row>
    <row r="229" spans="2:50">
      <c r="B229" s="539" t="s">
        <v>578</v>
      </c>
      <c r="C229" s="540" t="s">
        <v>66</v>
      </c>
      <c r="D229" s="540" t="s">
        <v>55</v>
      </c>
      <c r="E229" s="540" t="s">
        <v>651</v>
      </c>
      <c r="F229" s="540" t="s">
        <v>652</v>
      </c>
      <c r="G229" s="541">
        <v>0.01</v>
      </c>
      <c r="H229" s="541">
        <v>1.7849999999999999E-3</v>
      </c>
      <c r="I229" s="542">
        <v>0.4</v>
      </c>
      <c r="J229" s="602">
        <v>4</v>
      </c>
      <c r="K229" s="543">
        <v>69</v>
      </c>
      <c r="L229" s="272"/>
      <c r="M229" s="272"/>
      <c r="P229" s="273"/>
      <c r="Q229" s="273"/>
      <c r="R229" s="273"/>
      <c r="S229" s="273"/>
      <c r="T229" s="273"/>
      <c r="U229" s="273"/>
      <c r="V229" s="273"/>
      <c r="W229" s="273"/>
      <c r="X229" s="484" t="str">
        <f ca="1">IF('CDO Bespoke'!O230&lt;&gt;"",'CDO Bespoke'!O230,"")</f>
        <v/>
      </c>
      <c r="Y229" s="485" t="str">
        <f ca="1">IF(X229&lt;&gt;"",ABS(MIN(-0.75*('CDO Bespoke'!Q230)+'CDO Bespoke'!T230,0)),"")</f>
        <v/>
      </c>
      <c r="Z229" s="485">
        <f t="shared" ca="1" si="20"/>
        <v>0</v>
      </c>
      <c r="AA229" s="485">
        <f t="shared" ca="1" si="21"/>
        <v>0</v>
      </c>
      <c r="AB229" s="484" t="str">
        <f ca="1">IF('CDO Bespoke'!O230&lt;&gt;"",'CDO Bespoke'!O230,"")</f>
        <v/>
      </c>
      <c r="AC229" s="485" t="str">
        <f ca="1">IF(AB229&lt;&gt;"",ABS(MIN(-0.75*('CDO Bespoke'!K230)+'CDO Bespoke'!T230,0)),"")</f>
        <v/>
      </c>
      <c r="AD229" s="485">
        <f t="shared" ca="1" si="22"/>
        <v>0</v>
      </c>
      <c r="AE229" s="489">
        <f t="shared" ca="1" si="23"/>
        <v>0</v>
      </c>
      <c r="AF229" s="272"/>
      <c r="AG229" s="494" t="str">
        <f ca="1">IF('CDO Bespoke'!C254&lt;&gt;"",'CDO Bespoke'!C254,"")</f>
        <v/>
      </c>
      <c r="AH229" s="496"/>
      <c r="AI229" s="585"/>
      <c r="AJ229" s="585"/>
      <c r="AK229" s="585"/>
      <c r="AL229" s="497"/>
      <c r="AM229" s="496"/>
      <c r="AN229" s="585"/>
      <c r="AO229" s="585"/>
      <c r="AP229" s="585"/>
      <c r="AQ229" s="497"/>
      <c r="AR229" s="580"/>
      <c r="AS229" s="580"/>
      <c r="AT229" s="580"/>
      <c r="AU229" s="580"/>
      <c r="AV229" s="580"/>
      <c r="AW229" s="580"/>
      <c r="AX229" s="579"/>
    </row>
    <row r="230" spans="2:50">
      <c r="B230" s="517" t="s">
        <v>578</v>
      </c>
      <c r="C230" s="518" t="s">
        <v>66</v>
      </c>
      <c r="D230" s="518" t="s">
        <v>57</v>
      </c>
      <c r="E230" s="518" t="s">
        <v>651</v>
      </c>
      <c r="F230" s="518" t="s">
        <v>652</v>
      </c>
      <c r="G230" s="525">
        <v>0.01</v>
      </c>
      <c r="H230" s="525">
        <v>2.7560000000000002E-3</v>
      </c>
      <c r="I230" s="527">
        <v>0.4</v>
      </c>
      <c r="J230" s="594">
        <v>4</v>
      </c>
      <c r="K230" s="519">
        <v>69</v>
      </c>
      <c r="L230" s="272"/>
      <c r="M230" s="272"/>
      <c r="P230" s="273"/>
      <c r="Q230" s="273"/>
      <c r="R230" s="273"/>
      <c r="S230" s="273"/>
      <c r="T230" s="273"/>
      <c r="U230" s="273"/>
      <c r="V230" s="273"/>
      <c r="W230" s="273"/>
      <c r="X230" s="484" t="str">
        <f ca="1">IF('CDO Bespoke'!O231&lt;&gt;"",'CDO Bespoke'!O231,"")</f>
        <v/>
      </c>
      <c r="Y230" s="485" t="str">
        <f ca="1">IF(X230&lt;&gt;"",ABS(MIN(-0.75*('CDO Bespoke'!Q231)+'CDO Bespoke'!T231,0)),"")</f>
        <v/>
      </c>
      <c r="Z230" s="485">
        <f t="shared" ca="1" si="20"/>
        <v>0</v>
      </c>
      <c r="AA230" s="485">
        <f t="shared" ca="1" si="21"/>
        <v>0</v>
      </c>
      <c r="AB230" s="484" t="str">
        <f ca="1">IF('CDO Bespoke'!O231&lt;&gt;"",'CDO Bespoke'!O231,"")</f>
        <v/>
      </c>
      <c r="AC230" s="485" t="str">
        <f ca="1">IF(AB230&lt;&gt;"",ABS(MIN(-0.75*('CDO Bespoke'!K231)+'CDO Bespoke'!T231,0)),"")</f>
        <v/>
      </c>
      <c r="AD230" s="485">
        <f t="shared" ca="1" si="22"/>
        <v>0</v>
      </c>
      <c r="AE230" s="489">
        <f t="shared" ca="1" si="23"/>
        <v>0</v>
      </c>
      <c r="AF230" s="272"/>
      <c r="AG230" s="494" t="str">
        <f ca="1">IF('CDO Bespoke'!C255&lt;&gt;"",'CDO Bespoke'!C255,"")</f>
        <v/>
      </c>
      <c r="AH230" s="496"/>
      <c r="AI230" s="585"/>
      <c r="AJ230" s="585"/>
      <c r="AK230" s="585"/>
      <c r="AL230" s="497"/>
      <c r="AM230" s="496"/>
      <c r="AN230" s="585"/>
      <c r="AO230" s="585"/>
      <c r="AP230" s="585"/>
      <c r="AQ230" s="497"/>
      <c r="AR230" s="580"/>
      <c r="AS230" s="580"/>
      <c r="AT230" s="580"/>
      <c r="AU230" s="580"/>
      <c r="AV230" s="580"/>
      <c r="AW230" s="580"/>
      <c r="AX230" s="579"/>
    </row>
    <row r="231" spans="2:50">
      <c r="B231" s="534" t="s">
        <v>578</v>
      </c>
      <c r="C231" s="535" t="s">
        <v>66</v>
      </c>
      <c r="D231" s="535" t="s">
        <v>59</v>
      </c>
      <c r="E231" s="535" t="s">
        <v>651</v>
      </c>
      <c r="F231" s="535" t="s">
        <v>652</v>
      </c>
      <c r="G231" s="536">
        <v>0.01</v>
      </c>
      <c r="H231" s="536">
        <v>3.7669999999999999E-3</v>
      </c>
      <c r="I231" s="537">
        <v>0.4</v>
      </c>
      <c r="J231" s="595">
        <v>4</v>
      </c>
      <c r="K231" s="538">
        <v>69</v>
      </c>
      <c r="L231" s="272"/>
      <c r="M231" s="272"/>
      <c r="P231" s="273"/>
      <c r="Q231" s="273"/>
      <c r="R231" s="273"/>
      <c r="S231" s="273"/>
      <c r="T231" s="273"/>
      <c r="U231" s="273"/>
      <c r="V231" s="273"/>
      <c r="W231" s="273"/>
      <c r="X231" s="484" t="str">
        <f ca="1">IF('CDO Bespoke'!O232&lt;&gt;"",'CDO Bespoke'!O232,"")</f>
        <v/>
      </c>
      <c r="Y231" s="485" t="str">
        <f ca="1">IF(X231&lt;&gt;"",ABS(MIN(-0.75*('CDO Bespoke'!Q232)+'CDO Bespoke'!T232,0)),"")</f>
        <v/>
      </c>
      <c r="Z231" s="485">
        <f t="shared" ca="1" si="20"/>
        <v>0</v>
      </c>
      <c r="AA231" s="485">
        <f t="shared" ca="1" si="21"/>
        <v>0</v>
      </c>
      <c r="AB231" s="484" t="str">
        <f ca="1">IF('CDO Bespoke'!O232&lt;&gt;"",'CDO Bespoke'!O232,"")</f>
        <v/>
      </c>
      <c r="AC231" s="485" t="str">
        <f ca="1">IF(AB231&lt;&gt;"",ABS(MIN(-0.75*('CDO Bespoke'!K232)+'CDO Bespoke'!T232,0)),"")</f>
        <v/>
      </c>
      <c r="AD231" s="485">
        <f t="shared" ca="1" si="22"/>
        <v>0</v>
      </c>
      <c r="AE231" s="489">
        <f t="shared" ca="1" si="23"/>
        <v>0</v>
      </c>
      <c r="AF231" s="272"/>
      <c r="AG231" s="494" t="str">
        <f ca="1">IF('CDO Bespoke'!C256&lt;&gt;"",'CDO Bespoke'!C256,"")</f>
        <v/>
      </c>
      <c r="AH231" s="496"/>
      <c r="AI231" s="585"/>
      <c r="AJ231" s="585"/>
      <c r="AK231" s="585"/>
      <c r="AL231" s="497"/>
      <c r="AM231" s="496"/>
      <c r="AN231" s="585"/>
      <c r="AO231" s="585"/>
      <c r="AP231" s="585"/>
      <c r="AQ231" s="497"/>
      <c r="AR231" s="580"/>
      <c r="AS231" s="580"/>
      <c r="AT231" s="580"/>
      <c r="AU231" s="580"/>
      <c r="AV231" s="580"/>
      <c r="AW231" s="580"/>
      <c r="AX231" s="579"/>
    </row>
    <row r="232" spans="2:50">
      <c r="B232" s="539" t="s">
        <v>570</v>
      </c>
      <c r="C232" s="540" t="s">
        <v>66</v>
      </c>
      <c r="D232" s="540" t="s">
        <v>55</v>
      </c>
      <c r="E232" s="540" t="s">
        <v>649</v>
      </c>
      <c r="F232" s="540" t="s">
        <v>653</v>
      </c>
      <c r="G232" s="541">
        <v>0.01</v>
      </c>
      <c r="H232" s="541">
        <v>2.5920000000000001E-3</v>
      </c>
      <c r="I232" s="542">
        <v>0.4</v>
      </c>
      <c r="J232" s="602">
        <v>7</v>
      </c>
      <c r="K232" s="543">
        <v>70</v>
      </c>
      <c r="L232" s="272"/>
      <c r="M232" s="272"/>
      <c r="P232" s="273"/>
      <c r="Q232" s="273"/>
      <c r="R232" s="273"/>
      <c r="S232" s="273"/>
      <c r="T232" s="273"/>
      <c r="U232" s="273"/>
      <c r="V232" s="273"/>
      <c r="W232" s="273"/>
      <c r="X232" s="484" t="str">
        <f ca="1">IF('CDO Bespoke'!O233&lt;&gt;"",'CDO Bespoke'!O233,"")</f>
        <v/>
      </c>
      <c r="Y232" s="485" t="str">
        <f ca="1">IF(X232&lt;&gt;"",ABS(MIN(-0.75*('CDO Bespoke'!Q233)+'CDO Bespoke'!T233,0)),"")</f>
        <v/>
      </c>
      <c r="Z232" s="485">
        <f t="shared" ca="1" si="20"/>
        <v>0</v>
      </c>
      <c r="AA232" s="485">
        <f t="shared" ca="1" si="21"/>
        <v>0</v>
      </c>
      <c r="AB232" s="484" t="str">
        <f ca="1">IF('CDO Bespoke'!O233&lt;&gt;"",'CDO Bespoke'!O233,"")</f>
        <v/>
      </c>
      <c r="AC232" s="485" t="str">
        <f ca="1">IF(AB232&lt;&gt;"",ABS(MIN(-0.75*('CDO Bespoke'!K233)+'CDO Bespoke'!T233,0)),"")</f>
        <v/>
      </c>
      <c r="AD232" s="485">
        <f t="shared" ca="1" si="22"/>
        <v>0</v>
      </c>
      <c r="AE232" s="489">
        <f t="shared" ca="1" si="23"/>
        <v>0</v>
      </c>
      <c r="AF232" s="272"/>
      <c r="AG232" s="494" t="str">
        <f ca="1">IF('CDO Bespoke'!C257&lt;&gt;"",'CDO Bespoke'!C257,"")</f>
        <v/>
      </c>
      <c r="AH232" s="496"/>
      <c r="AI232" s="585"/>
      <c r="AJ232" s="585"/>
      <c r="AK232" s="585"/>
      <c r="AL232" s="497"/>
      <c r="AM232" s="496"/>
      <c r="AN232" s="585"/>
      <c r="AO232" s="585"/>
      <c r="AP232" s="585"/>
      <c r="AQ232" s="497"/>
      <c r="AR232" s="580"/>
      <c r="AS232" s="580"/>
      <c r="AT232" s="580"/>
      <c r="AU232" s="580"/>
      <c r="AV232" s="580"/>
      <c r="AW232" s="580"/>
      <c r="AX232" s="579"/>
    </row>
    <row r="233" spans="2:50">
      <c r="B233" s="517" t="s">
        <v>570</v>
      </c>
      <c r="C233" s="518" t="s">
        <v>66</v>
      </c>
      <c r="D233" s="518" t="s">
        <v>57</v>
      </c>
      <c r="E233" s="518" t="s">
        <v>649</v>
      </c>
      <c r="F233" s="518" t="s">
        <v>653</v>
      </c>
      <c r="G233" s="525">
        <v>0.01</v>
      </c>
      <c r="H233" s="525">
        <v>4.5840000000000004E-3</v>
      </c>
      <c r="I233" s="527">
        <v>0.4</v>
      </c>
      <c r="J233" s="594">
        <v>7</v>
      </c>
      <c r="K233" s="519">
        <v>70</v>
      </c>
      <c r="L233" s="272"/>
      <c r="M233" s="272"/>
      <c r="P233" s="273"/>
      <c r="Q233" s="273"/>
      <c r="R233" s="273"/>
      <c r="S233" s="273"/>
      <c r="T233" s="273"/>
      <c r="U233" s="273"/>
      <c r="V233" s="273"/>
      <c r="W233" s="273"/>
      <c r="X233" s="484" t="str">
        <f ca="1">IF('CDO Bespoke'!O234&lt;&gt;"",'CDO Bespoke'!O234,"")</f>
        <v/>
      </c>
      <c r="Y233" s="485" t="str">
        <f ca="1">IF(X233&lt;&gt;"",ABS(MIN(-0.75*('CDO Bespoke'!Q234)+'CDO Bespoke'!T234,0)),"")</f>
        <v/>
      </c>
      <c r="Z233" s="485">
        <f t="shared" ca="1" si="20"/>
        <v>0</v>
      </c>
      <c r="AA233" s="485">
        <f t="shared" ca="1" si="21"/>
        <v>0</v>
      </c>
      <c r="AB233" s="484" t="str">
        <f ca="1">IF('CDO Bespoke'!O234&lt;&gt;"",'CDO Bespoke'!O234,"")</f>
        <v/>
      </c>
      <c r="AC233" s="485" t="str">
        <f ca="1">IF(AB233&lt;&gt;"",ABS(MIN(-0.75*('CDO Bespoke'!K234)+'CDO Bespoke'!T234,0)),"")</f>
        <v/>
      </c>
      <c r="AD233" s="485">
        <f t="shared" ca="1" si="22"/>
        <v>0</v>
      </c>
      <c r="AE233" s="489">
        <f t="shared" ca="1" si="23"/>
        <v>0</v>
      </c>
      <c r="AF233" s="272"/>
      <c r="AG233" s="494" t="str">
        <f ca="1">IF('CDO Bespoke'!C258&lt;&gt;"",'CDO Bespoke'!C258,"")</f>
        <v/>
      </c>
      <c r="AH233" s="496"/>
      <c r="AI233" s="585"/>
      <c r="AJ233" s="585"/>
      <c r="AK233" s="585"/>
      <c r="AL233" s="497"/>
      <c r="AM233" s="496"/>
      <c r="AN233" s="585"/>
      <c r="AO233" s="585"/>
      <c r="AP233" s="585"/>
      <c r="AQ233" s="497"/>
      <c r="AR233" s="580"/>
      <c r="AS233" s="580"/>
      <c r="AT233" s="580"/>
      <c r="AU233" s="580"/>
      <c r="AV233" s="580"/>
      <c r="AW233" s="580"/>
      <c r="AX233" s="579"/>
    </row>
    <row r="234" spans="2:50">
      <c r="B234" s="534" t="s">
        <v>570</v>
      </c>
      <c r="C234" s="535" t="s">
        <v>66</v>
      </c>
      <c r="D234" s="535" t="s">
        <v>59</v>
      </c>
      <c r="E234" s="535" t="s">
        <v>649</v>
      </c>
      <c r="F234" s="535" t="s">
        <v>653</v>
      </c>
      <c r="G234" s="536">
        <v>0.01</v>
      </c>
      <c r="H234" s="536">
        <v>6.4619999999999999E-3</v>
      </c>
      <c r="I234" s="537">
        <v>0.4</v>
      </c>
      <c r="J234" s="595">
        <v>7</v>
      </c>
      <c r="K234" s="538">
        <v>70</v>
      </c>
      <c r="L234" s="272"/>
      <c r="M234" s="272"/>
      <c r="P234" s="273"/>
      <c r="Q234" s="273"/>
      <c r="R234" s="273"/>
      <c r="S234" s="273"/>
      <c r="T234" s="273"/>
      <c r="U234" s="273"/>
      <c r="V234" s="273"/>
      <c r="W234" s="273"/>
      <c r="X234" s="484" t="str">
        <f ca="1">IF('CDO Bespoke'!O235&lt;&gt;"",'CDO Bespoke'!O235,"")</f>
        <v/>
      </c>
      <c r="Y234" s="485" t="str">
        <f ca="1">IF(X234&lt;&gt;"",ABS(MIN(-0.75*('CDO Bespoke'!Q235)+'CDO Bespoke'!T235,0)),"")</f>
        <v/>
      </c>
      <c r="Z234" s="485">
        <f t="shared" ca="1" si="20"/>
        <v>0</v>
      </c>
      <c r="AA234" s="485">
        <f t="shared" ca="1" si="21"/>
        <v>0</v>
      </c>
      <c r="AB234" s="484" t="str">
        <f ca="1">IF('CDO Bespoke'!O235&lt;&gt;"",'CDO Bespoke'!O235,"")</f>
        <v/>
      </c>
      <c r="AC234" s="485" t="str">
        <f ca="1">IF(AB234&lt;&gt;"",ABS(MIN(-0.75*('CDO Bespoke'!K235)+'CDO Bespoke'!T235,0)),"")</f>
        <v/>
      </c>
      <c r="AD234" s="485">
        <f t="shared" ca="1" si="22"/>
        <v>0</v>
      </c>
      <c r="AE234" s="489">
        <f t="shared" ca="1" si="23"/>
        <v>0</v>
      </c>
      <c r="AF234" s="272"/>
      <c r="AG234" s="494" t="str">
        <f ca="1">IF('CDO Bespoke'!C259&lt;&gt;"",'CDO Bespoke'!C259,"")</f>
        <v/>
      </c>
      <c r="AH234" s="496"/>
      <c r="AI234" s="585"/>
      <c r="AJ234" s="585"/>
      <c r="AK234" s="585"/>
      <c r="AL234" s="497"/>
      <c r="AM234" s="496"/>
      <c r="AN234" s="585"/>
      <c r="AO234" s="585"/>
      <c r="AP234" s="585"/>
      <c r="AQ234" s="497"/>
      <c r="AR234" s="580"/>
      <c r="AS234" s="580"/>
      <c r="AT234" s="580"/>
      <c r="AU234" s="580"/>
      <c r="AV234" s="580"/>
      <c r="AW234" s="580"/>
      <c r="AX234" s="579"/>
    </row>
    <row r="235" spans="2:50">
      <c r="B235" s="539" t="s">
        <v>571</v>
      </c>
      <c r="C235" s="540" t="s">
        <v>66</v>
      </c>
      <c r="D235" s="540" t="s">
        <v>55</v>
      </c>
      <c r="E235" s="540" t="s">
        <v>649</v>
      </c>
      <c r="F235" s="540" t="s">
        <v>653</v>
      </c>
      <c r="G235" s="541">
        <v>0.01</v>
      </c>
      <c r="H235" s="541">
        <v>2.307E-3</v>
      </c>
      <c r="I235" s="542">
        <v>0.4</v>
      </c>
      <c r="J235" s="602">
        <v>7</v>
      </c>
      <c r="K235" s="543">
        <v>71</v>
      </c>
      <c r="L235" s="272"/>
      <c r="M235" s="272"/>
      <c r="P235" s="273"/>
      <c r="Q235" s="273"/>
      <c r="R235" s="273"/>
      <c r="S235" s="273"/>
      <c r="T235" s="273"/>
      <c r="U235" s="273"/>
      <c r="V235" s="273"/>
      <c r="W235" s="273"/>
      <c r="X235" s="484" t="str">
        <f ca="1">IF('CDO Bespoke'!O236&lt;&gt;"",'CDO Bespoke'!O236,"")</f>
        <v/>
      </c>
      <c r="Y235" s="485" t="str">
        <f ca="1">IF(X235&lt;&gt;"",ABS(MIN(-0.75*('CDO Bespoke'!Q236)+'CDO Bespoke'!T236,0)),"")</f>
        <v/>
      </c>
      <c r="Z235" s="485">
        <f t="shared" ca="1" si="20"/>
        <v>0</v>
      </c>
      <c r="AA235" s="485">
        <f t="shared" ca="1" si="21"/>
        <v>0</v>
      </c>
      <c r="AB235" s="484" t="str">
        <f ca="1">IF('CDO Bespoke'!O236&lt;&gt;"",'CDO Bespoke'!O236,"")</f>
        <v/>
      </c>
      <c r="AC235" s="485" t="str">
        <f ca="1">IF(AB235&lt;&gt;"",ABS(MIN(-0.75*('CDO Bespoke'!K236)+'CDO Bespoke'!T236,0)),"")</f>
        <v/>
      </c>
      <c r="AD235" s="485">
        <f t="shared" ca="1" si="22"/>
        <v>0</v>
      </c>
      <c r="AE235" s="489">
        <f t="shared" ca="1" si="23"/>
        <v>0</v>
      </c>
      <c r="AF235" s="272"/>
      <c r="AG235" s="494" t="str">
        <f ca="1">IF('CDO Bespoke'!C260&lt;&gt;"",'CDO Bespoke'!C260,"")</f>
        <v/>
      </c>
      <c r="AH235" s="496"/>
      <c r="AI235" s="585"/>
      <c r="AJ235" s="585"/>
      <c r="AK235" s="585"/>
      <c r="AL235" s="497"/>
      <c r="AM235" s="496"/>
      <c r="AN235" s="585"/>
      <c r="AO235" s="585"/>
      <c r="AP235" s="585"/>
      <c r="AQ235" s="497"/>
      <c r="AR235" s="580"/>
      <c r="AS235" s="580"/>
      <c r="AT235" s="580"/>
      <c r="AU235" s="580"/>
      <c r="AV235" s="580"/>
      <c r="AW235" s="580"/>
      <c r="AX235" s="579"/>
    </row>
    <row r="236" spans="2:50">
      <c r="B236" s="517" t="s">
        <v>571</v>
      </c>
      <c r="C236" s="518" t="s">
        <v>66</v>
      </c>
      <c r="D236" s="518" t="s">
        <v>57</v>
      </c>
      <c r="E236" s="518" t="s">
        <v>649</v>
      </c>
      <c r="F236" s="518" t="s">
        <v>653</v>
      </c>
      <c r="G236" s="525">
        <v>0.01</v>
      </c>
      <c r="H236" s="525">
        <v>3.8999999999999998E-3</v>
      </c>
      <c r="I236" s="527">
        <v>0.4</v>
      </c>
      <c r="J236" s="594">
        <v>7</v>
      </c>
      <c r="K236" s="519">
        <v>71</v>
      </c>
      <c r="L236" s="272"/>
      <c r="M236" s="272"/>
      <c r="P236" s="273"/>
      <c r="Q236" s="273"/>
      <c r="R236" s="273"/>
      <c r="S236" s="273"/>
      <c r="T236" s="273"/>
      <c r="U236" s="273"/>
      <c r="V236" s="273"/>
      <c r="W236" s="273"/>
      <c r="X236" s="484" t="str">
        <f ca="1">IF('CDO Bespoke'!O237&lt;&gt;"",'CDO Bespoke'!O237,"")</f>
        <v/>
      </c>
      <c r="Y236" s="485" t="str">
        <f ca="1">IF(X236&lt;&gt;"",ABS(MIN(-0.75*('CDO Bespoke'!Q237)+'CDO Bespoke'!T237,0)),"")</f>
        <v/>
      </c>
      <c r="Z236" s="485">
        <f t="shared" ca="1" si="20"/>
        <v>0</v>
      </c>
      <c r="AA236" s="485">
        <f t="shared" ca="1" si="21"/>
        <v>0</v>
      </c>
      <c r="AB236" s="484" t="str">
        <f ca="1">IF('CDO Bespoke'!O237&lt;&gt;"",'CDO Bespoke'!O237,"")</f>
        <v/>
      </c>
      <c r="AC236" s="485" t="str">
        <f ca="1">IF(AB236&lt;&gt;"",ABS(MIN(-0.75*('CDO Bespoke'!K237)+'CDO Bespoke'!T237,0)),"")</f>
        <v/>
      </c>
      <c r="AD236" s="485">
        <f t="shared" ca="1" si="22"/>
        <v>0</v>
      </c>
      <c r="AE236" s="489">
        <f t="shared" ca="1" si="23"/>
        <v>0</v>
      </c>
      <c r="AF236" s="272"/>
      <c r="AG236" s="494" t="str">
        <f ca="1">IF('CDO Bespoke'!C261&lt;&gt;"",'CDO Bespoke'!C261,"")</f>
        <v/>
      </c>
      <c r="AH236" s="496"/>
      <c r="AI236" s="585"/>
      <c r="AJ236" s="585"/>
      <c r="AK236" s="585"/>
      <c r="AL236" s="497"/>
      <c r="AM236" s="496"/>
      <c r="AN236" s="585"/>
      <c r="AO236" s="585"/>
      <c r="AP236" s="585"/>
      <c r="AQ236" s="497"/>
      <c r="AR236" s="580"/>
      <c r="AS236" s="580"/>
      <c r="AT236" s="580"/>
      <c r="AU236" s="580"/>
      <c r="AV236" s="580"/>
      <c r="AW236" s="580"/>
      <c r="AX236" s="579"/>
    </row>
    <row r="237" spans="2:50">
      <c r="B237" s="534" t="s">
        <v>571</v>
      </c>
      <c r="C237" s="535" t="s">
        <v>66</v>
      </c>
      <c r="D237" s="535" t="s">
        <v>59</v>
      </c>
      <c r="E237" s="535" t="s">
        <v>649</v>
      </c>
      <c r="F237" s="535" t="s">
        <v>653</v>
      </c>
      <c r="G237" s="536">
        <v>0.01</v>
      </c>
      <c r="H237" s="536">
        <v>5.7710000000000001E-3</v>
      </c>
      <c r="I237" s="537">
        <v>0.4</v>
      </c>
      <c r="J237" s="595">
        <v>7</v>
      </c>
      <c r="K237" s="538">
        <v>71</v>
      </c>
      <c r="L237" s="272"/>
      <c r="M237" s="272"/>
      <c r="P237" s="273"/>
      <c r="Q237" s="273"/>
      <c r="R237" s="273"/>
      <c r="S237" s="273"/>
      <c r="T237" s="273"/>
      <c r="U237" s="273"/>
      <c r="V237" s="273"/>
      <c r="W237" s="273"/>
      <c r="X237" s="484" t="str">
        <f ca="1">IF('CDO Bespoke'!O238&lt;&gt;"",'CDO Bespoke'!O238,"")</f>
        <v/>
      </c>
      <c r="Y237" s="485" t="str">
        <f ca="1">IF(X237&lt;&gt;"",ABS(MIN(-0.75*('CDO Bespoke'!Q238)+'CDO Bespoke'!T238,0)),"")</f>
        <v/>
      </c>
      <c r="Z237" s="485">
        <f t="shared" ca="1" si="20"/>
        <v>0</v>
      </c>
      <c r="AA237" s="485">
        <f t="shared" ca="1" si="21"/>
        <v>0</v>
      </c>
      <c r="AB237" s="484" t="str">
        <f ca="1">IF('CDO Bespoke'!O238&lt;&gt;"",'CDO Bespoke'!O238,"")</f>
        <v/>
      </c>
      <c r="AC237" s="485" t="str">
        <f ca="1">IF(AB237&lt;&gt;"",ABS(MIN(-0.75*('CDO Bespoke'!K238)+'CDO Bespoke'!T238,0)),"")</f>
        <v/>
      </c>
      <c r="AD237" s="485">
        <f t="shared" ca="1" si="22"/>
        <v>0</v>
      </c>
      <c r="AE237" s="489">
        <f t="shared" ca="1" si="23"/>
        <v>0</v>
      </c>
      <c r="AF237" s="272"/>
      <c r="AG237" s="494" t="str">
        <f ca="1">IF('CDO Bespoke'!C262&lt;&gt;"",'CDO Bespoke'!C262,"")</f>
        <v/>
      </c>
      <c r="AH237" s="496"/>
      <c r="AI237" s="585"/>
      <c r="AJ237" s="585"/>
      <c r="AK237" s="585"/>
      <c r="AL237" s="497"/>
      <c r="AM237" s="496"/>
      <c r="AN237" s="585"/>
      <c r="AO237" s="585"/>
      <c r="AP237" s="585"/>
      <c r="AQ237" s="497"/>
      <c r="AR237" s="580"/>
      <c r="AS237" s="580"/>
      <c r="AT237" s="580"/>
      <c r="AU237" s="580"/>
      <c r="AV237" s="580"/>
      <c r="AW237" s="580"/>
      <c r="AX237" s="579"/>
    </row>
    <row r="238" spans="2:50">
      <c r="B238" s="539" t="s">
        <v>572</v>
      </c>
      <c r="C238" s="540" t="s">
        <v>66</v>
      </c>
      <c r="D238" s="540" t="s">
        <v>55</v>
      </c>
      <c r="E238" s="540" t="s">
        <v>649</v>
      </c>
      <c r="F238" s="540" t="s">
        <v>653</v>
      </c>
      <c r="G238" s="541">
        <v>0.01</v>
      </c>
      <c r="H238" s="541">
        <v>3.751E-3</v>
      </c>
      <c r="I238" s="542">
        <v>0.4</v>
      </c>
      <c r="J238" s="602">
        <v>7</v>
      </c>
      <c r="K238" s="543">
        <v>72</v>
      </c>
      <c r="L238" s="272"/>
      <c r="M238" s="272"/>
      <c r="P238" s="273"/>
      <c r="Q238" s="273"/>
      <c r="R238" s="273"/>
      <c r="S238" s="273"/>
      <c r="T238" s="273"/>
      <c r="U238" s="273"/>
      <c r="V238" s="273"/>
      <c r="W238" s="273"/>
      <c r="X238" s="484" t="str">
        <f ca="1">IF('CDO Bespoke'!O239&lt;&gt;"",'CDO Bespoke'!O239,"")</f>
        <v/>
      </c>
      <c r="Y238" s="485" t="str">
        <f ca="1">IF(X238&lt;&gt;"",ABS(MIN(-0.75*('CDO Bespoke'!Q239)+'CDO Bespoke'!T239,0)),"")</f>
        <v/>
      </c>
      <c r="Z238" s="485">
        <f t="shared" ca="1" si="20"/>
        <v>0</v>
      </c>
      <c r="AA238" s="485">
        <f t="shared" ca="1" si="21"/>
        <v>0</v>
      </c>
      <c r="AB238" s="484" t="str">
        <f ca="1">IF('CDO Bespoke'!O239&lt;&gt;"",'CDO Bespoke'!O239,"")</f>
        <v/>
      </c>
      <c r="AC238" s="485" t="str">
        <f ca="1">IF(AB238&lt;&gt;"",ABS(MIN(-0.75*('CDO Bespoke'!K239)+'CDO Bespoke'!T239,0)),"")</f>
        <v/>
      </c>
      <c r="AD238" s="485">
        <f t="shared" ca="1" si="22"/>
        <v>0</v>
      </c>
      <c r="AE238" s="489">
        <f t="shared" ca="1" si="23"/>
        <v>0</v>
      </c>
      <c r="AF238" s="272"/>
      <c r="AG238" s="494" t="str">
        <f ca="1">IF('CDO Bespoke'!C263&lt;&gt;"",'CDO Bespoke'!C263,"")</f>
        <v/>
      </c>
      <c r="AH238" s="496"/>
      <c r="AI238" s="585"/>
      <c r="AJ238" s="585"/>
      <c r="AK238" s="585"/>
      <c r="AL238" s="497"/>
      <c r="AM238" s="496"/>
      <c r="AN238" s="585"/>
      <c r="AO238" s="585"/>
      <c r="AP238" s="585"/>
      <c r="AQ238" s="497"/>
      <c r="AR238" s="580"/>
      <c r="AS238" s="580"/>
      <c r="AT238" s="580"/>
      <c r="AU238" s="580"/>
      <c r="AV238" s="580"/>
      <c r="AW238" s="580"/>
      <c r="AX238" s="579"/>
    </row>
    <row r="239" spans="2:50">
      <c r="B239" s="517" t="s">
        <v>572</v>
      </c>
      <c r="C239" s="518" t="s">
        <v>66</v>
      </c>
      <c r="D239" s="518" t="s">
        <v>57</v>
      </c>
      <c r="E239" s="518" t="s">
        <v>649</v>
      </c>
      <c r="F239" s="518" t="s">
        <v>653</v>
      </c>
      <c r="G239" s="525">
        <v>0.01</v>
      </c>
      <c r="H239" s="525">
        <v>5.8129999999999996E-3</v>
      </c>
      <c r="I239" s="527">
        <v>0.4</v>
      </c>
      <c r="J239" s="594">
        <v>7</v>
      </c>
      <c r="K239" s="519">
        <v>72</v>
      </c>
      <c r="L239" s="272"/>
      <c r="M239" s="272"/>
      <c r="P239" s="273"/>
      <c r="Q239" s="273"/>
      <c r="R239" s="273"/>
      <c r="S239" s="273"/>
      <c r="T239" s="273"/>
      <c r="U239" s="273"/>
      <c r="V239" s="273"/>
      <c r="W239" s="273"/>
      <c r="X239" s="484" t="str">
        <f ca="1">IF('CDO Bespoke'!O240&lt;&gt;"",'CDO Bespoke'!O240,"")</f>
        <v/>
      </c>
      <c r="Y239" s="485" t="str">
        <f ca="1">IF(X239&lt;&gt;"",ABS(MIN(-0.75*('CDO Bespoke'!Q240)+'CDO Bespoke'!T240,0)),"")</f>
        <v/>
      </c>
      <c r="Z239" s="485">
        <f t="shared" ca="1" si="20"/>
        <v>0</v>
      </c>
      <c r="AA239" s="485">
        <f t="shared" ca="1" si="21"/>
        <v>0</v>
      </c>
      <c r="AB239" s="484" t="str">
        <f ca="1">IF('CDO Bespoke'!O240&lt;&gt;"",'CDO Bespoke'!O240,"")</f>
        <v/>
      </c>
      <c r="AC239" s="485" t="str">
        <f ca="1">IF(AB239&lt;&gt;"",ABS(MIN(-0.75*('CDO Bespoke'!K240)+'CDO Bespoke'!T240,0)),"")</f>
        <v/>
      </c>
      <c r="AD239" s="485">
        <f t="shared" ca="1" si="22"/>
        <v>0</v>
      </c>
      <c r="AE239" s="489">
        <f t="shared" ca="1" si="23"/>
        <v>0</v>
      </c>
      <c r="AF239" s="272"/>
      <c r="AG239" s="494" t="str">
        <f ca="1">IF('CDO Bespoke'!C264&lt;&gt;"",'CDO Bespoke'!C264,"")</f>
        <v/>
      </c>
      <c r="AH239" s="496"/>
      <c r="AI239" s="585"/>
      <c r="AJ239" s="585"/>
      <c r="AK239" s="585"/>
      <c r="AL239" s="497"/>
      <c r="AM239" s="496"/>
      <c r="AN239" s="585"/>
      <c r="AO239" s="585"/>
      <c r="AP239" s="585"/>
      <c r="AQ239" s="497"/>
      <c r="AR239" s="580"/>
      <c r="AS239" s="580"/>
      <c r="AT239" s="580"/>
      <c r="AU239" s="580"/>
      <c r="AV239" s="580"/>
      <c r="AW239" s="580"/>
      <c r="AX239" s="579"/>
    </row>
    <row r="240" spans="2:50">
      <c r="B240" s="534" t="s">
        <v>572</v>
      </c>
      <c r="C240" s="535" t="s">
        <v>66</v>
      </c>
      <c r="D240" s="535" t="s">
        <v>59</v>
      </c>
      <c r="E240" s="535" t="s">
        <v>649</v>
      </c>
      <c r="F240" s="535" t="s">
        <v>653</v>
      </c>
      <c r="G240" s="536">
        <v>0.01</v>
      </c>
      <c r="H240" s="536">
        <v>8.0239999999999999E-3</v>
      </c>
      <c r="I240" s="537">
        <v>0.4</v>
      </c>
      <c r="J240" s="595">
        <v>7</v>
      </c>
      <c r="K240" s="538">
        <v>72</v>
      </c>
      <c r="L240" s="272"/>
      <c r="M240" s="272"/>
      <c r="P240" s="273"/>
      <c r="Q240" s="273"/>
      <c r="R240" s="273"/>
      <c r="S240" s="273"/>
      <c r="T240" s="273"/>
      <c r="U240" s="273"/>
      <c r="V240" s="273"/>
      <c r="W240" s="273"/>
      <c r="X240" s="484" t="str">
        <f ca="1">IF('CDO Bespoke'!O241&lt;&gt;"",'CDO Bespoke'!O241,"")</f>
        <v/>
      </c>
      <c r="Y240" s="485" t="str">
        <f ca="1">IF(X240&lt;&gt;"",ABS(MIN(-0.75*('CDO Bespoke'!Q241)+'CDO Bespoke'!T241,0)),"")</f>
        <v/>
      </c>
      <c r="Z240" s="485">
        <f t="shared" ca="1" si="20"/>
        <v>0</v>
      </c>
      <c r="AA240" s="485">
        <f t="shared" ca="1" si="21"/>
        <v>0</v>
      </c>
      <c r="AB240" s="484" t="str">
        <f ca="1">IF('CDO Bespoke'!O241&lt;&gt;"",'CDO Bespoke'!O241,"")</f>
        <v/>
      </c>
      <c r="AC240" s="485" t="str">
        <f ca="1">IF(AB240&lt;&gt;"",ABS(MIN(-0.75*('CDO Bespoke'!K241)+'CDO Bespoke'!T241,0)),"")</f>
        <v/>
      </c>
      <c r="AD240" s="485">
        <f t="shared" ca="1" si="22"/>
        <v>0</v>
      </c>
      <c r="AE240" s="489">
        <f t="shared" ca="1" si="23"/>
        <v>0</v>
      </c>
      <c r="AF240" s="272"/>
      <c r="AG240" s="494" t="str">
        <f ca="1">IF('CDO Bespoke'!C265&lt;&gt;"",'CDO Bespoke'!C265,"")</f>
        <v/>
      </c>
      <c r="AH240" s="496"/>
      <c r="AI240" s="585"/>
      <c r="AJ240" s="585"/>
      <c r="AK240" s="585"/>
      <c r="AL240" s="497"/>
      <c r="AM240" s="496"/>
      <c r="AN240" s="585"/>
      <c r="AO240" s="585"/>
      <c r="AP240" s="585"/>
      <c r="AQ240" s="497"/>
      <c r="AR240" s="580"/>
      <c r="AS240" s="580"/>
      <c r="AT240" s="580"/>
      <c r="AU240" s="580"/>
      <c r="AV240" s="580"/>
      <c r="AW240" s="580"/>
      <c r="AX240" s="579"/>
    </row>
    <row r="241" spans="2:50">
      <c r="B241" s="539" t="s">
        <v>573</v>
      </c>
      <c r="C241" s="540" t="s">
        <v>66</v>
      </c>
      <c r="D241" s="540" t="s">
        <v>55</v>
      </c>
      <c r="E241" s="540" t="s">
        <v>649</v>
      </c>
      <c r="F241" s="540" t="s">
        <v>653</v>
      </c>
      <c r="G241" s="541">
        <v>0.01</v>
      </c>
      <c r="H241" s="541">
        <v>2.993E-3</v>
      </c>
      <c r="I241" s="542">
        <v>0.4</v>
      </c>
      <c r="J241" s="602">
        <v>7</v>
      </c>
      <c r="K241" s="543">
        <v>73</v>
      </c>
      <c r="L241" s="272"/>
      <c r="M241" s="272"/>
      <c r="P241" s="273"/>
      <c r="Q241" s="273"/>
      <c r="R241" s="273"/>
      <c r="S241" s="273"/>
      <c r="T241" s="273"/>
      <c r="U241" s="273"/>
      <c r="V241" s="273"/>
      <c r="W241" s="273"/>
      <c r="X241" s="484" t="str">
        <f ca="1">IF('CDO Bespoke'!O242&lt;&gt;"",'CDO Bespoke'!O242,"")</f>
        <v/>
      </c>
      <c r="Y241" s="485" t="str">
        <f ca="1">IF(X241&lt;&gt;"",ABS(MIN(-0.75*('CDO Bespoke'!Q242)+'CDO Bespoke'!T242,0)),"")</f>
        <v/>
      </c>
      <c r="Z241" s="485">
        <f t="shared" ca="1" si="20"/>
        <v>0</v>
      </c>
      <c r="AA241" s="485">
        <f t="shared" ca="1" si="21"/>
        <v>0</v>
      </c>
      <c r="AB241" s="484" t="str">
        <f ca="1">IF('CDO Bespoke'!O242&lt;&gt;"",'CDO Bespoke'!O242,"")</f>
        <v/>
      </c>
      <c r="AC241" s="485" t="str">
        <f ca="1">IF(AB241&lt;&gt;"",ABS(MIN(-0.75*('CDO Bespoke'!K242)+'CDO Bespoke'!T242,0)),"")</f>
        <v/>
      </c>
      <c r="AD241" s="485">
        <f t="shared" ca="1" si="22"/>
        <v>0</v>
      </c>
      <c r="AE241" s="489">
        <f t="shared" ca="1" si="23"/>
        <v>0</v>
      </c>
      <c r="AF241" s="272"/>
      <c r="AG241" s="494" t="str">
        <f ca="1">IF('CDO Bespoke'!C266&lt;&gt;"",'CDO Bespoke'!C266,"")</f>
        <v/>
      </c>
      <c r="AH241" s="496"/>
      <c r="AI241" s="585"/>
      <c r="AJ241" s="585"/>
      <c r="AK241" s="585"/>
      <c r="AL241" s="497"/>
      <c r="AM241" s="496"/>
      <c r="AN241" s="585"/>
      <c r="AO241" s="585"/>
      <c r="AP241" s="585"/>
      <c r="AQ241" s="497"/>
      <c r="AR241" s="580"/>
      <c r="AS241" s="580"/>
      <c r="AT241" s="580"/>
      <c r="AU241" s="580"/>
      <c r="AV241" s="580"/>
      <c r="AW241" s="580"/>
      <c r="AX241" s="579"/>
    </row>
    <row r="242" spans="2:50">
      <c r="B242" s="517" t="s">
        <v>573</v>
      </c>
      <c r="C242" s="518" t="s">
        <v>66</v>
      </c>
      <c r="D242" s="518" t="s">
        <v>57</v>
      </c>
      <c r="E242" s="518" t="s">
        <v>649</v>
      </c>
      <c r="F242" s="518" t="s">
        <v>653</v>
      </c>
      <c r="G242" s="525">
        <v>0.01</v>
      </c>
      <c r="H242" s="525">
        <v>4.7149999999999996E-3</v>
      </c>
      <c r="I242" s="527">
        <v>0.4</v>
      </c>
      <c r="J242" s="594">
        <v>7</v>
      </c>
      <c r="K242" s="519">
        <v>73</v>
      </c>
      <c r="L242" s="272"/>
      <c r="M242" s="272"/>
      <c r="P242" s="273"/>
      <c r="Q242" s="273"/>
      <c r="R242" s="273"/>
      <c r="S242" s="273"/>
      <c r="T242" s="273"/>
      <c r="U242" s="273"/>
      <c r="V242" s="273"/>
      <c r="W242" s="273"/>
      <c r="X242" s="484" t="str">
        <f ca="1">IF('CDO Bespoke'!O243&lt;&gt;"",'CDO Bespoke'!O243,"")</f>
        <v/>
      </c>
      <c r="Y242" s="485" t="str">
        <f ca="1">IF(X242&lt;&gt;"",ABS(MIN(-0.75*('CDO Bespoke'!Q243)+'CDO Bespoke'!T243,0)),"")</f>
        <v/>
      </c>
      <c r="Z242" s="485">
        <f t="shared" ca="1" si="20"/>
        <v>0</v>
      </c>
      <c r="AA242" s="485">
        <f t="shared" ca="1" si="21"/>
        <v>0</v>
      </c>
      <c r="AB242" s="484" t="str">
        <f ca="1">IF('CDO Bespoke'!O243&lt;&gt;"",'CDO Bespoke'!O243,"")</f>
        <v/>
      </c>
      <c r="AC242" s="485" t="str">
        <f ca="1">IF(AB242&lt;&gt;"",ABS(MIN(-0.75*('CDO Bespoke'!K243)+'CDO Bespoke'!T243,0)),"")</f>
        <v/>
      </c>
      <c r="AD242" s="485">
        <f t="shared" ca="1" si="22"/>
        <v>0</v>
      </c>
      <c r="AE242" s="489">
        <f t="shared" ca="1" si="23"/>
        <v>0</v>
      </c>
      <c r="AF242" s="272"/>
      <c r="AG242" s="494" t="str">
        <f ca="1">IF('CDO Bespoke'!C267&lt;&gt;"",'CDO Bespoke'!C267,"")</f>
        <v/>
      </c>
      <c r="AH242" s="496"/>
      <c r="AI242" s="585"/>
      <c r="AJ242" s="585"/>
      <c r="AK242" s="585"/>
      <c r="AL242" s="497"/>
      <c r="AM242" s="496"/>
      <c r="AN242" s="585"/>
      <c r="AO242" s="585"/>
      <c r="AP242" s="585"/>
      <c r="AQ242" s="497"/>
      <c r="AR242" s="580"/>
      <c r="AS242" s="580"/>
      <c r="AT242" s="580"/>
      <c r="AU242" s="580"/>
      <c r="AV242" s="580"/>
      <c r="AW242" s="580"/>
      <c r="AX242" s="579"/>
    </row>
    <row r="243" spans="2:50">
      <c r="B243" s="534" t="s">
        <v>573</v>
      </c>
      <c r="C243" s="535" t="s">
        <v>66</v>
      </c>
      <c r="D243" s="535" t="s">
        <v>59</v>
      </c>
      <c r="E243" s="535" t="s">
        <v>649</v>
      </c>
      <c r="F243" s="535" t="s">
        <v>653</v>
      </c>
      <c r="G243" s="536">
        <v>0.01</v>
      </c>
      <c r="H243" s="536">
        <v>6.6360000000000004E-3</v>
      </c>
      <c r="I243" s="537">
        <v>0.4</v>
      </c>
      <c r="J243" s="595">
        <v>7</v>
      </c>
      <c r="K243" s="538">
        <v>73</v>
      </c>
      <c r="L243" s="272"/>
      <c r="M243" s="272"/>
      <c r="P243" s="273"/>
      <c r="Q243" s="273"/>
      <c r="R243" s="273"/>
      <c r="S243" s="273"/>
      <c r="T243" s="273"/>
      <c r="U243" s="273"/>
      <c r="V243" s="273"/>
      <c r="W243" s="273"/>
      <c r="X243" s="484" t="str">
        <f ca="1">IF('CDO Bespoke'!O244&lt;&gt;"",'CDO Bespoke'!O244,"")</f>
        <v/>
      </c>
      <c r="Y243" s="485" t="str">
        <f ca="1">IF(X243&lt;&gt;"",ABS(MIN(-0.75*('CDO Bespoke'!Q244)+'CDO Bespoke'!T244,0)),"")</f>
        <v/>
      </c>
      <c r="Z243" s="485">
        <f t="shared" ca="1" si="20"/>
        <v>0</v>
      </c>
      <c r="AA243" s="485">
        <f t="shared" ca="1" si="21"/>
        <v>0</v>
      </c>
      <c r="AB243" s="484" t="str">
        <f ca="1">IF('CDO Bespoke'!O244&lt;&gt;"",'CDO Bespoke'!O244,"")</f>
        <v/>
      </c>
      <c r="AC243" s="485" t="str">
        <f ca="1">IF(AB243&lt;&gt;"",ABS(MIN(-0.75*('CDO Bespoke'!K244)+'CDO Bespoke'!T244,0)),"")</f>
        <v/>
      </c>
      <c r="AD243" s="485">
        <f t="shared" ca="1" si="22"/>
        <v>0</v>
      </c>
      <c r="AE243" s="489">
        <f t="shared" ca="1" si="23"/>
        <v>0</v>
      </c>
      <c r="AF243" s="272"/>
      <c r="AG243" s="494" t="str">
        <f ca="1">IF('CDO Bespoke'!C268&lt;&gt;"",'CDO Bespoke'!C268,"")</f>
        <v/>
      </c>
      <c r="AH243" s="496"/>
      <c r="AI243" s="585"/>
      <c r="AJ243" s="585"/>
      <c r="AK243" s="585"/>
      <c r="AL243" s="497"/>
      <c r="AM243" s="496"/>
      <c r="AN243" s="585"/>
      <c r="AO243" s="585"/>
      <c r="AP243" s="585"/>
      <c r="AQ243" s="497"/>
      <c r="AR243" s="580"/>
      <c r="AS243" s="580"/>
      <c r="AT243" s="580"/>
      <c r="AU243" s="580"/>
      <c r="AV243" s="580"/>
      <c r="AW243" s="580"/>
      <c r="AX243" s="579"/>
    </row>
    <row r="244" spans="2:50">
      <c r="B244" s="539" t="s">
        <v>574</v>
      </c>
      <c r="C244" s="540" t="s">
        <v>66</v>
      </c>
      <c r="D244" s="540" t="s">
        <v>55</v>
      </c>
      <c r="E244" s="540" t="s">
        <v>649</v>
      </c>
      <c r="F244" s="540" t="s">
        <v>652</v>
      </c>
      <c r="G244" s="541">
        <v>0.01</v>
      </c>
      <c r="H244" s="541">
        <v>4.0020000000000003E-3</v>
      </c>
      <c r="I244" s="542">
        <v>0.4</v>
      </c>
      <c r="J244" s="602">
        <v>4</v>
      </c>
      <c r="K244" s="543">
        <v>74</v>
      </c>
      <c r="L244" s="272"/>
      <c r="M244" s="272"/>
      <c r="P244" s="273"/>
      <c r="Q244" s="273"/>
      <c r="R244" s="273"/>
      <c r="S244" s="273"/>
      <c r="T244" s="273"/>
      <c r="U244" s="273"/>
      <c r="V244" s="273"/>
      <c r="W244" s="273"/>
      <c r="X244" s="484" t="str">
        <f ca="1">IF('CDO Bespoke'!O245&lt;&gt;"",'CDO Bespoke'!O245,"")</f>
        <v/>
      </c>
      <c r="Y244" s="485" t="str">
        <f ca="1">IF(X244&lt;&gt;"",ABS(MIN(-0.75*('CDO Bespoke'!Q245)+'CDO Bespoke'!T245,0)),"")</f>
        <v/>
      </c>
      <c r="Z244" s="485">
        <f t="shared" ca="1" si="20"/>
        <v>0</v>
      </c>
      <c r="AA244" s="485">
        <f t="shared" ca="1" si="21"/>
        <v>0</v>
      </c>
      <c r="AB244" s="484" t="str">
        <f ca="1">IF('CDO Bespoke'!O245&lt;&gt;"",'CDO Bespoke'!O245,"")</f>
        <v/>
      </c>
      <c r="AC244" s="485" t="str">
        <f ca="1">IF(AB244&lt;&gt;"",ABS(MIN(-0.75*('CDO Bespoke'!K245)+'CDO Bespoke'!T245,0)),"")</f>
        <v/>
      </c>
      <c r="AD244" s="485">
        <f t="shared" ca="1" si="22"/>
        <v>0</v>
      </c>
      <c r="AE244" s="489">
        <f t="shared" ca="1" si="23"/>
        <v>0</v>
      </c>
      <c r="AF244" s="272"/>
      <c r="AG244" s="494" t="str">
        <f ca="1">IF('CDO Bespoke'!C269&lt;&gt;"",'CDO Bespoke'!C269,"")</f>
        <v/>
      </c>
      <c r="AH244" s="496"/>
      <c r="AI244" s="585"/>
      <c r="AJ244" s="585"/>
      <c r="AK244" s="585"/>
      <c r="AL244" s="497"/>
      <c r="AM244" s="496"/>
      <c r="AN244" s="585"/>
      <c r="AO244" s="585"/>
      <c r="AP244" s="585"/>
      <c r="AQ244" s="497"/>
      <c r="AR244" s="580"/>
      <c r="AS244" s="580"/>
      <c r="AT244" s="580"/>
      <c r="AU244" s="580"/>
      <c r="AV244" s="580"/>
      <c r="AW244" s="580"/>
      <c r="AX244" s="579"/>
    </row>
    <row r="245" spans="2:50">
      <c r="B245" s="517" t="s">
        <v>574</v>
      </c>
      <c r="C245" s="518" t="s">
        <v>66</v>
      </c>
      <c r="D245" s="518" t="s">
        <v>57</v>
      </c>
      <c r="E245" s="518" t="s">
        <v>649</v>
      </c>
      <c r="F245" s="518" t="s">
        <v>652</v>
      </c>
      <c r="G245" s="525">
        <v>0.01</v>
      </c>
      <c r="H245" s="525">
        <v>6.0629999999999998E-3</v>
      </c>
      <c r="I245" s="527">
        <v>0.4</v>
      </c>
      <c r="J245" s="594">
        <v>4</v>
      </c>
      <c r="K245" s="519">
        <v>74</v>
      </c>
      <c r="L245" s="272"/>
      <c r="M245" s="272"/>
      <c r="P245" s="273"/>
      <c r="Q245" s="273"/>
      <c r="R245" s="273"/>
      <c r="S245" s="273"/>
      <c r="T245" s="273"/>
      <c r="U245" s="273"/>
      <c r="V245" s="273"/>
      <c r="W245" s="273"/>
      <c r="X245" s="484" t="str">
        <f ca="1">IF('CDO Bespoke'!O246&lt;&gt;"",'CDO Bespoke'!O246,"")</f>
        <v/>
      </c>
      <c r="Y245" s="485" t="str">
        <f ca="1">IF(X245&lt;&gt;"",ABS(MIN(-0.75*('CDO Bespoke'!Q246)+'CDO Bespoke'!T246,0)),"")</f>
        <v/>
      </c>
      <c r="Z245" s="485">
        <f t="shared" ca="1" si="20"/>
        <v>0</v>
      </c>
      <c r="AA245" s="485">
        <f t="shared" ca="1" si="21"/>
        <v>0</v>
      </c>
      <c r="AB245" s="484" t="str">
        <f ca="1">IF('CDO Bespoke'!O246&lt;&gt;"",'CDO Bespoke'!O246,"")</f>
        <v/>
      </c>
      <c r="AC245" s="485" t="str">
        <f ca="1">IF(AB245&lt;&gt;"",ABS(MIN(-0.75*('CDO Bespoke'!K246)+'CDO Bespoke'!T246,0)),"")</f>
        <v/>
      </c>
      <c r="AD245" s="485">
        <f t="shared" ca="1" si="22"/>
        <v>0</v>
      </c>
      <c r="AE245" s="489">
        <f t="shared" ca="1" si="23"/>
        <v>0</v>
      </c>
      <c r="AF245" s="272"/>
      <c r="AG245" s="494" t="str">
        <f ca="1">IF('CDO Bespoke'!C270&lt;&gt;"",'CDO Bespoke'!C270,"")</f>
        <v/>
      </c>
      <c r="AH245" s="496"/>
      <c r="AI245" s="585"/>
      <c r="AJ245" s="585"/>
      <c r="AK245" s="585"/>
      <c r="AL245" s="497"/>
      <c r="AM245" s="496"/>
      <c r="AN245" s="585"/>
      <c r="AO245" s="585"/>
      <c r="AP245" s="585"/>
      <c r="AQ245" s="497"/>
      <c r="AR245" s="580"/>
      <c r="AS245" s="580"/>
      <c r="AT245" s="580"/>
      <c r="AU245" s="580"/>
      <c r="AV245" s="580"/>
      <c r="AW245" s="580"/>
      <c r="AX245" s="579"/>
    </row>
    <row r="246" spans="2:50">
      <c r="B246" s="534" t="s">
        <v>574</v>
      </c>
      <c r="C246" s="535" t="s">
        <v>66</v>
      </c>
      <c r="D246" s="535" t="s">
        <v>59</v>
      </c>
      <c r="E246" s="535" t="s">
        <v>649</v>
      </c>
      <c r="F246" s="535" t="s">
        <v>652</v>
      </c>
      <c r="G246" s="536">
        <v>0.01</v>
      </c>
      <c r="H246" s="536">
        <v>8.3820000000000006E-3</v>
      </c>
      <c r="I246" s="537">
        <v>0.4</v>
      </c>
      <c r="J246" s="595">
        <v>4</v>
      </c>
      <c r="K246" s="538">
        <v>74</v>
      </c>
      <c r="L246" s="272"/>
      <c r="M246" s="272"/>
      <c r="P246" s="273"/>
      <c r="Q246" s="273"/>
      <c r="R246" s="273"/>
      <c r="S246" s="273"/>
      <c r="T246" s="273"/>
      <c r="U246" s="273"/>
      <c r="V246" s="273"/>
      <c r="W246" s="273"/>
      <c r="X246" s="484" t="str">
        <f ca="1">IF('CDO Bespoke'!O247&lt;&gt;"",'CDO Bespoke'!O247,"")</f>
        <v/>
      </c>
      <c r="Y246" s="485" t="str">
        <f ca="1">IF(X246&lt;&gt;"",ABS(MIN(-0.75*('CDO Bespoke'!Q247)+'CDO Bespoke'!T247,0)),"")</f>
        <v/>
      </c>
      <c r="Z246" s="485">
        <f t="shared" ca="1" si="20"/>
        <v>0</v>
      </c>
      <c r="AA246" s="485">
        <f t="shared" ca="1" si="21"/>
        <v>0</v>
      </c>
      <c r="AB246" s="484" t="str">
        <f ca="1">IF('CDO Bespoke'!O247&lt;&gt;"",'CDO Bespoke'!O247,"")</f>
        <v/>
      </c>
      <c r="AC246" s="485" t="str">
        <f ca="1">IF(AB246&lt;&gt;"",ABS(MIN(-0.75*('CDO Bespoke'!K247)+'CDO Bespoke'!T247,0)),"")</f>
        <v/>
      </c>
      <c r="AD246" s="485">
        <f t="shared" ca="1" si="22"/>
        <v>0</v>
      </c>
      <c r="AE246" s="489">
        <f t="shared" ca="1" si="23"/>
        <v>0</v>
      </c>
      <c r="AF246" s="272"/>
      <c r="AG246" s="494" t="str">
        <f ca="1">IF('CDO Bespoke'!C271&lt;&gt;"",'CDO Bespoke'!C271,"")</f>
        <v/>
      </c>
      <c r="AH246" s="496"/>
      <c r="AI246" s="585"/>
      <c r="AJ246" s="585"/>
      <c r="AK246" s="585"/>
      <c r="AL246" s="497"/>
      <c r="AM246" s="496"/>
      <c r="AN246" s="585"/>
      <c r="AO246" s="585"/>
      <c r="AP246" s="585"/>
      <c r="AQ246" s="497"/>
      <c r="AR246" s="580"/>
      <c r="AS246" s="580"/>
      <c r="AT246" s="580"/>
      <c r="AU246" s="580"/>
      <c r="AV246" s="580"/>
      <c r="AW246" s="580"/>
      <c r="AX246" s="579"/>
    </row>
    <row r="247" spans="2:50">
      <c r="B247" s="539" t="s">
        <v>579</v>
      </c>
      <c r="C247" s="540" t="s">
        <v>66</v>
      </c>
      <c r="D247" s="540" t="s">
        <v>55</v>
      </c>
      <c r="E247" s="540" t="s">
        <v>651</v>
      </c>
      <c r="F247" s="540" t="s">
        <v>652</v>
      </c>
      <c r="G247" s="541">
        <v>0.01</v>
      </c>
      <c r="H247" s="541">
        <v>1.9380000000000001E-3</v>
      </c>
      <c r="I247" s="542">
        <v>0.4</v>
      </c>
      <c r="J247" s="602">
        <v>4</v>
      </c>
      <c r="K247" s="543">
        <v>75</v>
      </c>
      <c r="L247" s="272"/>
      <c r="M247" s="272"/>
      <c r="P247" s="273"/>
      <c r="Q247" s="273"/>
      <c r="R247" s="273"/>
      <c r="S247" s="273"/>
      <c r="T247" s="273"/>
      <c r="U247" s="273"/>
      <c r="V247" s="273"/>
      <c r="W247" s="273"/>
      <c r="X247" s="484" t="str">
        <f ca="1">IF('CDO Bespoke'!O248&lt;&gt;"",'CDO Bespoke'!O248,"")</f>
        <v/>
      </c>
      <c r="Y247" s="485" t="str">
        <f ca="1">IF(X247&lt;&gt;"",ABS(MIN(-0.75*('CDO Bespoke'!Q248)+'CDO Bespoke'!T248,0)),"")</f>
        <v/>
      </c>
      <c r="Z247" s="485">
        <f t="shared" ca="1" si="20"/>
        <v>0</v>
      </c>
      <c r="AA247" s="485">
        <f t="shared" ca="1" si="21"/>
        <v>0</v>
      </c>
      <c r="AB247" s="484" t="str">
        <f ca="1">IF('CDO Bespoke'!O248&lt;&gt;"",'CDO Bespoke'!O248,"")</f>
        <v/>
      </c>
      <c r="AC247" s="485" t="str">
        <f ca="1">IF(AB247&lt;&gt;"",ABS(MIN(-0.75*('CDO Bespoke'!K248)+'CDO Bespoke'!T248,0)),"")</f>
        <v/>
      </c>
      <c r="AD247" s="485">
        <f t="shared" ca="1" si="22"/>
        <v>0</v>
      </c>
      <c r="AE247" s="489">
        <f t="shared" ca="1" si="23"/>
        <v>0</v>
      </c>
      <c r="AF247" s="272"/>
      <c r="AG247" s="494" t="str">
        <f ca="1">IF('CDO Bespoke'!C272&lt;&gt;"",'CDO Bespoke'!C272,"")</f>
        <v/>
      </c>
      <c r="AH247" s="496"/>
      <c r="AI247" s="585"/>
      <c r="AJ247" s="585"/>
      <c r="AK247" s="585"/>
      <c r="AL247" s="497"/>
      <c r="AM247" s="496"/>
      <c r="AN247" s="585"/>
      <c r="AO247" s="585"/>
      <c r="AP247" s="585"/>
      <c r="AQ247" s="497"/>
      <c r="AR247" s="580"/>
      <c r="AS247" s="580"/>
      <c r="AT247" s="580"/>
      <c r="AU247" s="580"/>
      <c r="AV247" s="580"/>
      <c r="AW247" s="580"/>
      <c r="AX247" s="579"/>
    </row>
    <row r="248" spans="2:50">
      <c r="B248" s="517" t="s">
        <v>579</v>
      </c>
      <c r="C248" s="518" t="s">
        <v>66</v>
      </c>
      <c r="D248" s="518" t="s">
        <v>57</v>
      </c>
      <c r="E248" s="518" t="s">
        <v>651</v>
      </c>
      <c r="F248" s="518" t="s">
        <v>652</v>
      </c>
      <c r="G248" s="525">
        <v>0.01</v>
      </c>
      <c r="H248" s="525">
        <v>3.1410000000000001E-3</v>
      </c>
      <c r="I248" s="527">
        <v>0.4</v>
      </c>
      <c r="J248" s="594">
        <v>4</v>
      </c>
      <c r="K248" s="519">
        <v>75</v>
      </c>
      <c r="L248" s="272"/>
      <c r="M248" s="272"/>
      <c r="P248" s="273"/>
      <c r="Q248" s="273"/>
      <c r="R248" s="273"/>
      <c r="S248" s="273"/>
      <c r="T248" s="273"/>
      <c r="U248" s="273"/>
      <c r="V248" s="273"/>
      <c r="W248" s="273"/>
      <c r="X248" s="484" t="str">
        <f ca="1">IF('CDO Bespoke'!O249&lt;&gt;"",'CDO Bespoke'!O249,"")</f>
        <v/>
      </c>
      <c r="Y248" s="485" t="str">
        <f ca="1">IF(X248&lt;&gt;"",ABS(MIN(-0.75*('CDO Bespoke'!Q249)+'CDO Bespoke'!T249,0)),"")</f>
        <v/>
      </c>
      <c r="Z248" s="485">
        <f t="shared" ca="1" si="20"/>
        <v>0</v>
      </c>
      <c r="AA248" s="485">
        <f t="shared" ca="1" si="21"/>
        <v>0</v>
      </c>
      <c r="AB248" s="484" t="str">
        <f ca="1">IF('CDO Bespoke'!O249&lt;&gt;"",'CDO Bespoke'!O249,"")</f>
        <v/>
      </c>
      <c r="AC248" s="485" t="str">
        <f ca="1">IF(AB248&lt;&gt;"",ABS(MIN(-0.75*('CDO Bespoke'!K249)+'CDO Bespoke'!T249,0)),"")</f>
        <v/>
      </c>
      <c r="AD248" s="485">
        <f t="shared" ca="1" si="22"/>
        <v>0</v>
      </c>
      <c r="AE248" s="489">
        <f t="shared" ca="1" si="23"/>
        <v>0</v>
      </c>
      <c r="AF248" s="272"/>
      <c r="AG248" s="494" t="str">
        <f ca="1">IF('CDO Bespoke'!C273&lt;&gt;"",'CDO Bespoke'!C273,"")</f>
        <v/>
      </c>
      <c r="AH248" s="496"/>
      <c r="AI248" s="585"/>
      <c r="AJ248" s="585"/>
      <c r="AK248" s="585"/>
      <c r="AL248" s="497"/>
      <c r="AM248" s="496"/>
      <c r="AN248" s="585"/>
      <c r="AO248" s="585"/>
      <c r="AP248" s="585"/>
      <c r="AQ248" s="497"/>
      <c r="AR248" s="580"/>
      <c r="AS248" s="580"/>
      <c r="AT248" s="580"/>
      <c r="AU248" s="580"/>
      <c r="AV248" s="580"/>
      <c r="AW248" s="580"/>
      <c r="AX248" s="579"/>
    </row>
    <row r="249" spans="2:50">
      <c r="B249" s="534" t="s">
        <v>579</v>
      </c>
      <c r="C249" s="535" t="s">
        <v>66</v>
      </c>
      <c r="D249" s="535" t="s">
        <v>59</v>
      </c>
      <c r="E249" s="535" t="s">
        <v>651</v>
      </c>
      <c r="F249" s="535" t="s">
        <v>652</v>
      </c>
      <c r="G249" s="536">
        <v>0.01</v>
      </c>
      <c r="H249" s="536">
        <v>4.7060000000000001E-3</v>
      </c>
      <c r="I249" s="537">
        <v>0.4</v>
      </c>
      <c r="J249" s="595">
        <v>4</v>
      </c>
      <c r="K249" s="538">
        <v>75</v>
      </c>
      <c r="L249" s="272"/>
      <c r="M249" s="272"/>
      <c r="P249" s="273"/>
      <c r="Q249" s="273"/>
      <c r="R249" s="273"/>
      <c r="S249" s="273"/>
      <c r="T249" s="273"/>
      <c r="U249" s="273"/>
      <c r="V249" s="273"/>
      <c r="W249" s="273"/>
      <c r="X249" s="484" t="str">
        <f ca="1">IF('CDO Bespoke'!O250&lt;&gt;"",'CDO Bespoke'!O250,"")</f>
        <v/>
      </c>
      <c r="Y249" s="485" t="str">
        <f ca="1">IF(X249&lt;&gt;"",ABS(MIN(-0.75*('CDO Bespoke'!Q250)+'CDO Bespoke'!T250,0)),"")</f>
        <v/>
      </c>
      <c r="Z249" s="485">
        <f t="shared" ca="1" si="20"/>
        <v>0</v>
      </c>
      <c r="AA249" s="485">
        <f t="shared" ca="1" si="21"/>
        <v>0</v>
      </c>
      <c r="AB249" s="484" t="str">
        <f ca="1">IF('CDO Bespoke'!O250&lt;&gt;"",'CDO Bespoke'!O250,"")</f>
        <v/>
      </c>
      <c r="AC249" s="485" t="str">
        <f ca="1">IF(AB249&lt;&gt;"",ABS(MIN(-0.75*('CDO Bespoke'!K250)+'CDO Bespoke'!T250,0)),"")</f>
        <v/>
      </c>
      <c r="AD249" s="485">
        <f t="shared" ca="1" si="22"/>
        <v>0</v>
      </c>
      <c r="AE249" s="489">
        <f t="shared" ca="1" si="23"/>
        <v>0</v>
      </c>
      <c r="AF249" s="272"/>
      <c r="AG249" s="494" t="str">
        <f ca="1">IF('CDO Bespoke'!C274&lt;&gt;"",'CDO Bespoke'!C274,"")</f>
        <v/>
      </c>
      <c r="AH249" s="496"/>
      <c r="AI249" s="585"/>
      <c r="AJ249" s="585"/>
      <c r="AK249" s="585"/>
      <c r="AL249" s="497"/>
      <c r="AM249" s="496"/>
      <c r="AN249" s="585"/>
      <c r="AO249" s="585"/>
      <c r="AP249" s="585"/>
      <c r="AQ249" s="497"/>
      <c r="AR249" s="580"/>
      <c r="AS249" s="580"/>
      <c r="AT249" s="580"/>
      <c r="AU249" s="580"/>
      <c r="AV249" s="580"/>
      <c r="AW249" s="580"/>
      <c r="AX249" s="579"/>
    </row>
    <row r="250" spans="2:50">
      <c r="B250" s="539" t="s">
        <v>580</v>
      </c>
      <c r="C250" s="540" t="s">
        <v>66</v>
      </c>
      <c r="D250" s="540" t="s">
        <v>55</v>
      </c>
      <c r="E250" s="540" t="s">
        <v>647</v>
      </c>
      <c r="F250" s="540" t="s">
        <v>652</v>
      </c>
      <c r="G250" s="541">
        <v>0.01</v>
      </c>
      <c r="H250" s="541">
        <v>1.7650000000000001E-3</v>
      </c>
      <c r="I250" s="542">
        <v>0.4</v>
      </c>
      <c r="J250" s="602">
        <v>4</v>
      </c>
      <c r="K250" s="543">
        <v>76</v>
      </c>
      <c r="L250" s="272"/>
      <c r="M250" s="272"/>
      <c r="P250" s="273"/>
      <c r="Q250" s="273"/>
      <c r="R250" s="273"/>
      <c r="S250" s="273"/>
      <c r="T250" s="273"/>
      <c r="U250" s="273"/>
      <c r="V250" s="273"/>
      <c r="W250" s="273"/>
      <c r="X250" s="484" t="str">
        <f ca="1">IF('CDO Bespoke'!O251&lt;&gt;"",'CDO Bespoke'!O251,"")</f>
        <v/>
      </c>
      <c r="Y250" s="485" t="str">
        <f ca="1">IF(X250&lt;&gt;"",ABS(MIN(-0.75*('CDO Bespoke'!Q251)+'CDO Bespoke'!T251,0)),"")</f>
        <v/>
      </c>
      <c r="Z250" s="485">
        <f t="shared" ca="1" si="20"/>
        <v>0</v>
      </c>
      <c r="AA250" s="485">
        <f t="shared" ca="1" si="21"/>
        <v>0</v>
      </c>
      <c r="AB250" s="484" t="str">
        <f ca="1">IF('CDO Bespoke'!O251&lt;&gt;"",'CDO Bespoke'!O251,"")</f>
        <v/>
      </c>
      <c r="AC250" s="485" t="str">
        <f ca="1">IF(AB250&lt;&gt;"",ABS(MIN(-0.75*('CDO Bespoke'!K251)+'CDO Bespoke'!T251,0)),"")</f>
        <v/>
      </c>
      <c r="AD250" s="485">
        <f t="shared" ca="1" si="22"/>
        <v>0</v>
      </c>
      <c r="AE250" s="489">
        <f t="shared" ca="1" si="23"/>
        <v>0</v>
      </c>
      <c r="AF250" s="272"/>
      <c r="AG250" s="494" t="str">
        <f ca="1">IF('CDO Bespoke'!C275&lt;&gt;"",'CDO Bespoke'!C275,"")</f>
        <v/>
      </c>
      <c r="AH250" s="496"/>
      <c r="AI250" s="585"/>
      <c r="AJ250" s="585"/>
      <c r="AK250" s="585"/>
      <c r="AL250" s="497"/>
      <c r="AM250" s="496"/>
      <c r="AN250" s="585"/>
      <c r="AO250" s="585"/>
      <c r="AP250" s="585"/>
      <c r="AQ250" s="497"/>
      <c r="AR250" s="580"/>
      <c r="AS250" s="580"/>
      <c r="AT250" s="580"/>
      <c r="AU250" s="580"/>
      <c r="AV250" s="580"/>
      <c r="AW250" s="580"/>
      <c r="AX250" s="579"/>
    </row>
    <row r="251" spans="2:50">
      <c r="B251" s="517" t="s">
        <v>580</v>
      </c>
      <c r="C251" s="518" t="s">
        <v>66</v>
      </c>
      <c r="D251" s="518" t="s">
        <v>57</v>
      </c>
      <c r="E251" s="518" t="s">
        <v>647</v>
      </c>
      <c r="F251" s="518" t="s">
        <v>652</v>
      </c>
      <c r="G251" s="525">
        <v>0.01</v>
      </c>
      <c r="H251" s="525">
        <v>2.9750000000000002E-3</v>
      </c>
      <c r="I251" s="527">
        <v>0.4</v>
      </c>
      <c r="J251" s="594">
        <v>4</v>
      </c>
      <c r="K251" s="519">
        <v>76</v>
      </c>
      <c r="L251" s="272"/>
      <c r="M251" s="272"/>
      <c r="P251" s="273"/>
      <c r="Q251" s="273"/>
      <c r="R251" s="273"/>
      <c r="S251" s="273"/>
      <c r="T251" s="273"/>
      <c r="U251" s="273"/>
      <c r="V251" s="273"/>
      <c r="W251" s="273"/>
      <c r="X251" s="484" t="str">
        <f ca="1">IF('CDO Bespoke'!O252&lt;&gt;"",'CDO Bespoke'!O252,"")</f>
        <v/>
      </c>
      <c r="Y251" s="485" t="str">
        <f ca="1">IF(X251&lt;&gt;"",ABS(MIN(-0.75*('CDO Bespoke'!Q252)+'CDO Bespoke'!T252,0)),"")</f>
        <v/>
      </c>
      <c r="Z251" s="485">
        <f t="shared" ca="1" si="20"/>
        <v>0</v>
      </c>
      <c r="AA251" s="485">
        <f t="shared" ca="1" si="21"/>
        <v>0</v>
      </c>
      <c r="AB251" s="484" t="str">
        <f ca="1">IF('CDO Bespoke'!O252&lt;&gt;"",'CDO Bespoke'!O252,"")</f>
        <v/>
      </c>
      <c r="AC251" s="485" t="str">
        <f ca="1">IF(AB251&lt;&gt;"",ABS(MIN(-0.75*('CDO Bespoke'!K252)+'CDO Bespoke'!T252,0)),"")</f>
        <v/>
      </c>
      <c r="AD251" s="485">
        <f t="shared" ca="1" si="22"/>
        <v>0</v>
      </c>
      <c r="AE251" s="489">
        <f t="shared" ca="1" si="23"/>
        <v>0</v>
      </c>
      <c r="AF251" s="272"/>
      <c r="AG251" s="494" t="str">
        <f ca="1">IF('CDO Bespoke'!C276&lt;&gt;"",'CDO Bespoke'!C276,"")</f>
        <v/>
      </c>
      <c r="AH251" s="496"/>
      <c r="AI251" s="585"/>
      <c r="AJ251" s="585"/>
      <c r="AK251" s="585"/>
      <c r="AL251" s="497"/>
      <c r="AM251" s="496"/>
      <c r="AN251" s="585"/>
      <c r="AO251" s="585"/>
      <c r="AP251" s="585"/>
      <c r="AQ251" s="497"/>
      <c r="AR251" s="580"/>
      <c r="AS251" s="580"/>
      <c r="AT251" s="580"/>
      <c r="AU251" s="580"/>
      <c r="AV251" s="580"/>
      <c r="AW251" s="580"/>
      <c r="AX251" s="579"/>
    </row>
    <row r="252" spans="2:50">
      <c r="B252" s="534" t="s">
        <v>580</v>
      </c>
      <c r="C252" s="535" t="s">
        <v>66</v>
      </c>
      <c r="D252" s="535" t="s">
        <v>59</v>
      </c>
      <c r="E252" s="535" t="s">
        <v>647</v>
      </c>
      <c r="F252" s="535" t="s">
        <v>652</v>
      </c>
      <c r="G252" s="536">
        <v>0.01</v>
      </c>
      <c r="H252" s="536">
        <v>4.2370000000000003E-3</v>
      </c>
      <c r="I252" s="537">
        <v>0.4</v>
      </c>
      <c r="J252" s="595">
        <v>4</v>
      </c>
      <c r="K252" s="538">
        <v>76</v>
      </c>
      <c r="L252" s="272"/>
      <c r="M252" s="272"/>
      <c r="P252" s="273"/>
      <c r="Q252" s="273"/>
      <c r="R252" s="273"/>
      <c r="S252" s="273"/>
      <c r="T252" s="273"/>
      <c r="U252" s="273"/>
      <c r="V252" s="273"/>
      <c r="W252" s="273"/>
      <c r="X252" s="484" t="str">
        <f ca="1">IF('CDO Bespoke'!O253&lt;&gt;"",'CDO Bespoke'!O253,"")</f>
        <v/>
      </c>
      <c r="Y252" s="485" t="str">
        <f ca="1">IF(X252&lt;&gt;"",ABS(MIN(-0.75*('CDO Bespoke'!Q253)+'CDO Bespoke'!T253,0)),"")</f>
        <v/>
      </c>
      <c r="Z252" s="485">
        <f t="shared" ca="1" si="20"/>
        <v>0</v>
      </c>
      <c r="AA252" s="485">
        <f t="shared" ca="1" si="21"/>
        <v>0</v>
      </c>
      <c r="AB252" s="484" t="str">
        <f ca="1">IF('CDO Bespoke'!O253&lt;&gt;"",'CDO Bespoke'!O253,"")</f>
        <v/>
      </c>
      <c r="AC252" s="485" t="str">
        <f ca="1">IF(AB252&lt;&gt;"",ABS(MIN(-0.75*('CDO Bespoke'!K253)+'CDO Bespoke'!T253,0)),"")</f>
        <v/>
      </c>
      <c r="AD252" s="485">
        <f t="shared" ca="1" si="22"/>
        <v>0</v>
      </c>
      <c r="AE252" s="489">
        <f t="shared" ca="1" si="23"/>
        <v>0</v>
      </c>
      <c r="AF252" s="272"/>
      <c r="AG252" s="494" t="str">
        <f ca="1">IF('CDO Bespoke'!C277&lt;&gt;"",'CDO Bespoke'!C277,"")</f>
        <v/>
      </c>
      <c r="AH252" s="496"/>
      <c r="AI252" s="585"/>
      <c r="AJ252" s="585"/>
      <c r="AK252" s="585"/>
      <c r="AL252" s="497"/>
      <c r="AM252" s="496"/>
      <c r="AN252" s="585"/>
      <c r="AO252" s="585"/>
      <c r="AP252" s="585"/>
      <c r="AQ252" s="497"/>
      <c r="AR252" s="580"/>
      <c r="AS252" s="580"/>
      <c r="AT252" s="580"/>
      <c r="AU252" s="580"/>
      <c r="AV252" s="580"/>
      <c r="AW252" s="580"/>
      <c r="AX252" s="579"/>
    </row>
    <row r="253" spans="2:50">
      <c r="B253" s="539" t="s">
        <v>575</v>
      </c>
      <c r="C253" s="540" t="s">
        <v>66</v>
      </c>
      <c r="D253" s="540" t="s">
        <v>55</v>
      </c>
      <c r="E253" s="540" t="s">
        <v>649</v>
      </c>
      <c r="F253" s="540" t="s">
        <v>653</v>
      </c>
      <c r="G253" s="541">
        <v>0.01</v>
      </c>
      <c r="H253" s="541">
        <v>2.5079999999999998E-3</v>
      </c>
      <c r="I253" s="542">
        <v>0.4</v>
      </c>
      <c r="J253" s="602">
        <v>7</v>
      </c>
      <c r="K253" s="543">
        <v>77</v>
      </c>
      <c r="L253" s="272"/>
      <c r="M253" s="272"/>
      <c r="P253" s="273"/>
      <c r="Q253" s="273"/>
      <c r="R253" s="273"/>
      <c r="S253" s="273"/>
      <c r="T253" s="273"/>
      <c r="U253" s="273"/>
      <c r="V253" s="273"/>
      <c r="W253" s="273"/>
      <c r="X253" s="484" t="str">
        <f ca="1">IF('CDO Bespoke'!O254&lt;&gt;"",'CDO Bespoke'!O254,"")</f>
        <v/>
      </c>
      <c r="Y253" s="485" t="str">
        <f ca="1">IF(X253&lt;&gt;"",ABS(MIN(-0.75*('CDO Bespoke'!Q254)+'CDO Bespoke'!T254,0)),"")</f>
        <v/>
      </c>
      <c r="Z253" s="485">
        <f t="shared" ca="1" si="20"/>
        <v>0</v>
      </c>
      <c r="AA253" s="485">
        <f t="shared" ca="1" si="21"/>
        <v>0</v>
      </c>
      <c r="AB253" s="484" t="str">
        <f ca="1">IF('CDO Bespoke'!O254&lt;&gt;"",'CDO Bespoke'!O254,"")</f>
        <v/>
      </c>
      <c r="AC253" s="485" t="str">
        <f ca="1">IF(AB253&lt;&gt;"",ABS(MIN(-0.75*('CDO Bespoke'!K254)+'CDO Bespoke'!T254,0)),"")</f>
        <v/>
      </c>
      <c r="AD253" s="485">
        <f t="shared" ca="1" si="22"/>
        <v>0</v>
      </c>
      <c r="AE253" s="489">
        <f t="shared" ca="1" si="23"/>
        <v>0</v>
      </c>
      <c r="AF253" s="272"/>
      <c r="AG253" s="494" t="str">
        <f ca="1">IF('CDO Bespoke'!C278&lt;&gt;"",'CDO Bespoke'!C278,"")</f>
        <v/>
      </c>
      <c r="AH253" s="496"/>
      <c r="AI253" s="585"/>
      <c r="AJ253" s="585"/>
      <c r="AK253" s="585"/>
      <c r="AL253" s="497"/>
      <c r="AM253" s="496"/>
      <c r="AN253" s="585"/>
      <c r="AO253" s="585"/>
      <c r="AP253" s="585"/>
      <c r="AQ253" s="497"/>
      <c r="AR253" s="580"/>
      <c r="AS253" s="580"/>
      <c r="AT253" s="580"/>
      <c r="AU253" s="580"/>
      <c r="AV253" s="580"/>
      <c r="AW253" s="580"/>
      <c r="AX253" s="579"/>
    </row>
    <row r="254" spans="2:50">
      <c r="B254" s="517" t="s">
        <v>575</v>
      </c>
      <c r="C254" s="518" t="s">
        <v>66</v>
      </c>
      <c r="D254" s="518" t="s">
        <v>57</v>
      </c>
      <c r="E254" s="518" t="s">
        <v>649</v>
      </c>
      <c r="F254" s="518" t="s">
        <v>653</v>
      </c>
      <c r="G254" s="525">
        <v>0.01</v>
      </c>
      <c r="H254" s="525">
        <v>4.2789999999999998E-3</v>
      </c>
      <c r="I254" s="527">
        <v>0.4</v>
      </c>
      <c r="J254" s="594">
        <v>7</v>
      </c>
      <c r="K254" s="519">
        <v>77</v>
      </c>
      <c r="L254" s="272"/>
      <c r="M254" s="272"/>
      <c r="P254" s="273"/>
      <c r="Q254" s="273"/>
      <c r="R254" s="273"/>
      <c r="S254" s="273"/>
      <c r="T254" s="273"/>
      <c r="U254" s="273"/>
      <c r="V254" s="273"/>
      <c r="W254" s="273"/>
      <c r="X254" s="484" t="str">
        <f ca="1">IF('CDO Bespoke'!O255&lt;&gt;"",'CDO Bespoke'!O255,"")</f>
        <v/>
      </c>
      <c r="Y254" s="485" t="str">
        <f ca="1">IF(X254&lt;&gt;"",ABS(MIN(-0.75*('CDO Bespoke'!Q255)+'CDO Bespoke'!T255,0)),"")</f>
        <v/>
      </c>
      <c r="Z254" s="485">
        <f t="shared" ca="1" si="20"/>
        <v>0</v>
      </c>
      <c r="AA254" s="485">
        <f t="shared" ca="1" si="21"/>
        <v>0</v>
      </c>
      <c r="AB254" s="484" t="str">
        <f ca="1">IF('CDO Bespoke'!O255&lt;&gt;"",'CDO Bespoke'!O255,"")</f>
        <v/>
      </c>
      <c r="AC254" s="485" t="str">
        <f ca="1">IF(AB254&lt;&gt;"",ABS(MIN(-0.75*('CDO Bespoke'!K255)+'CDO Bespoke'!T255,0)),"")</f>
        <v/>
      </c>
      <c r="AD254" s="485">
        <f t="shared" ca="1" si="22"/>
        <v>0</v>
      </c>
      <c r="AE254" s="489">
        <f t="shared" ca="1" si="23"/>
        <v>0</v>
      </c>
      <c r="AF254" s="272"/>
      <c r="AG254" s="494" t="str">
        <f ca="1">IF('CDO Bespoke'!C279&lt;&gt;"",'CDO Bespoke'!C279,"")</f>
        <v/>
      </c>
      <c r="AH254" s="496"/>
      <c r="AI254" s="585"/>
      <c r="AJ254" s="585"/>
      <c r="AK254" s="585"/>
      <c r="AL254" s="497"/>
      <c r="AM254" s="496"/>
      <c r="AN254" s="585"/>
      <c r="AO254" s="585"/>
      <c r="AP254" s="585"/>
      <c r="AQ254" s="497"/>
      <c r="AR254" s="580"/>
      <c r="AS254" s="580"/>
      <c r="AT254" s="580"/>
      <c r="AU254" s="580"/>
      <c r="AV254" s="580"/>
      <c r="AW254" s="580"/>
      <c r="AX254" s="579"/>
    </row>
    <row r="255" spans="2:50">
      <c r="B255" s="534" t="s">
        <v>575</v>
      </c>
      <c r="C255" s="535" t="s">
        <v>66</v>
      </c>
      <c r="D255" s="535" t="s">
        <v>59</v>
      </c>
      <c r="E255" s="535" t="s">
        <v>649</v>
      </c>
      <c r="F255" s="535" t="s">
        <v>653</v>
      </c>
      <c r="G255" s="536">
        <v>0.01</v>
      </c>
      <c r="H255" s="536">
        <v>5.8820000000000001E-3</v>
      </c>
      <c r="I255" s="537">
        <v>0.4</v>
      </c>
      <c r="J255" s="595">
        <v>7</v>
      </c>
      <c r="K255" s="538">
        <v>77</v>
      </c>
      <c r="L255" s="272"/>
      <c r="M255" s="272"/>
      <c r="P255" s="273"/>
      <c r="Q255" s="273"/>
      <c r="R255" s="273"/>
      <c r="S255" s="273"/>
      <c r="T255" s="273"/>
      <c r="U255" s="273"/>
      <c r="V255" s="273"/>
      <c r="W255" s="273"/>
      <c r="X255" s="484" t="str">
        <f ca="1">IF('CDO Bespoke'!O256&lt;&gt;"",'CDO Bespoke'!O256,"")</f>
        <v/>
      </c>
      <c r="Y255" s="485" t="str">
        <f ca="1">IF(X255&lt;&gt;"",ABS(MIN(-0.75*('CDO Bespoke'!Q256)+'CDO Bespoke'!T256,0)),"")</f>
        <v/>
      </c>
      <c r="Z255" s="485">
        <f t="shared" ca="1" si="20"/>
        <v>0</v>
      </c>
      <c r="AA255" s="485">
        <f t="shared" ca="1" si="21"/>
        <v>0</v>
      </c>
      <c r="AB255" s="484" t="str">
        <f ca="1">IF('CDO Bespoke'!O256&lt;&gt;"",'CDO Bespoke'!O256,"")</f>
        <v/>
      </c>
      <c r="AC255" s="485" t="str">
        <f ca="1">IF(AB255&lt;&gt;"",ABS(MIN(-0.75*('CDO Bespoke'!K256)+'CDO Bespoke'!T256,0)),"")</f>
        <v/>
      </c>
      <c r="AD255" s="485">
        <f t="shared" ca="1" si="22"/>
        <v>0</v>
      </c>
      <c r="AE255" s="489">
        <f t="shared" ca="1" si="23"/>
        <v>0</v>
      </c>
      <c r="AF255" s="272"/>
      <c r="AG255" s="494" t="str">
        <f ca="1">IF('CDO Bespoke'!C280&lt;&gt;"",'CDO Bespoke'!C280,"")</f>
        <v/>
      </c>
      <c r="AH255" s="496"/>
      <c r="AI255" s="585"/>
      <c r="AJ255" s="585"/>
      <c r="AK255" s="585"/>
      <c r="AL255" s="497"/>
      <c r="AM255" s="496"/>
      <c r="AN255" s="585"/>
      <c r="AO255" s="585"/>
      <c r="AP255" s="585"/>
      <c r="AQ255" s="497"/>
      <c r="AR255" s="580"/>
      <c r="AS255" s="580"/>
      <c r="AT255" s="580"/>
      <c r="AU255" s="580"/>
      <c r="AV255" s="580"/>
      <c r="AW255" s="580"/>
      <c r="AX255" s="579"/>
    </row>
    <row r="256" spans="2:50">
      <c r="B256" s="539" t="s">
        <v>581</v>
      </c>
      <c r="C256" s="540" t="s">
        <v>66</v>
      </c>
      <c r="D256" s="540" t="s">
        <v>55</v>
      </c>
      <c r="E256" s="540" t="s">
        <v>649</v>
      </c>
      <c r="F256" s="540" t="s">
        <v>673</v>
      </c>
      <c r="G256" s="541">
        <v>0.01</v>
      </c>
      <c r="H256" s="541">
        <v>2.1419999999999998E-3</v>
      </c>
      <c r="I256" s="542">
        <v>0.4</v>
      </c>
      <c r="J256" s="602">
        <v>5</v>
      </c>
      <c r="K256" s="543">
        <v>78</v>
      </c>
      <c r="L256" s="272"/>
      <c r="M256" s="272"/>
      <c r="P256" s="273"/>
      <c r="Q256" s="273"/>
      <c r="R256" s="273"/>
      <c r="S256" s="273"/>
      <c r="T256" s="273"/>
      <c r="U256" s="273"/>
      <c r="V256" s="273"/>
      <c r="W256" s="273"/>
      <c r="X256" s="484" t="str">
        <f ca="1">IF('CDO Bespoke'!O257&lt;&gt;"",'CDO Bespoke'!O257,"")</f>
        <v/>
      </c>
      <c r="Y256" s="485" t="str">
        <f ca="1">IF(X256&lt;&gt;"",ABS(MIN(-0.75*('CDO Bespoke'!Q257)+'CDO Bespoke'!T257,0)),"")</f>
        <v/>
      </c>
      <c r="Z256" s="485">
        <f t="shared" ca="1" si="20"/>
        <v>0</v>
      </c>
      <c r="AA256" s="485">
        <f t="shared" ca="1" si="21"/>
        <v>0</v>
      </c>
      <c r="AB256" s="484" t="str">
        <f ca="1">IF('CDO Bespoke'!O257&lt;&gt;"",'CDO Bespoke'!O257,"")</f>
        <v/>
      </c>
      <c r="AC256" s="485" t="str">
        <f ca="1">IF(AB256&lt;&gt;"",ABS(MIN(-0.75*('CDO Bespoke'!K257)+'CDO Bespoke'!T257,0)),"")</f>
        <v/>
      </c>
      <c r="AD256" s="485">
        <f t="shared" ca="1" si="22"/>
        <v>0</v>
      </c>
      <c r="AE256" s="489">
        <f t="shared" ca="1" si="23"/>
        <v>0</v>
      </c>
      <c r="AF256" s="272"/>
      <c r="AG256" s="494" t="str">
        <f ca="1">IF('CDO Bespoke'!C281&lt;&gt;"",'CDO Bespoke'!C281,"")</f>
        <v/>
      </c>
      <c r="AH256" s="496"/>
      <c r="AI256" s="585"/>
      <c r="AJ256" s="585"/>
      <c r="AK256" s="585"/>
      <c r="AL256" s="497"/>
      <c r="AM256" s="496"/>
      <c r="AN256" s="585"/>
      <c r="AO256" s="585"/>
      <c r="AP256" s="585"/>
      <c r="AQ256" s="497"/>
      <c r="AR256" s="580"/>
      <c r="AS256" s="580"/>
      <c r="AT256" s="580"/>
      <c r="AU256" s="580"/>
      <c r="AV256" s="580"/>
      <c r="AW256" s="580"/>
      <c r="AX256" s="579"/>
    </row>
    <row r="257" spans="2:50">
      <c r="B257" s="517" t="s">
        <v>581</v>
      </c>
      <c r="C257" s="518" t="s">
        <v>66</v>
      </c>
      <c r="D257" s="518" t="s">
        <v>57</v>
      </c>
      <c r="E257" s="518" t="s">
        <v>649</v>
      </c>
      <c r="F257" s="518" t="s">
        <v>673</v>
      </c>
      <c r="G257" s="525">
        <v>0.01</v>
      </c>
      <c r="H257" s="525">
        <v>3.333E-3</v>
      </c>
      <c r="I257" s="527">
        <v>0.4</v>
      </c>
      <c r="J257" s="594">
        <v>5</v>
      </c>
      <c r="K257" s="519">
        <v>78</v>
      </c>
      <c r="L257" s="272"/>
      <c r="M257" s="272"/>
      <c r="P257" s="273"/>
      <c r="Q257" s="273"/>
      <c r="R257" s="273"/>
      <c r="S257" s="273"/>
      <c r="T257" s="273"/>
      <c r="U257" s="273"/>
      <c r="V257" s="273"/>
      <c r="W257" s="273"/>
      <c r="X257" s="484" t="str">
        <f ca="1">IF('CDO Bespoke'!O258&lt;&gt;"",'CDO Bespoke'!O258,"")</f>
        <v/>
      </c>
      <c r="Y257" s="485" t="str">
        <f ca="1">IF(X257&lt;&gt;"",ABS(MIN(-0.75*('CDO Bespoke'!Q258)+'CDO Bespoke'!T258,0)),"")</f>
        <v/>
      </c>
      <c r="Z257" s="485">
        <f t="shared" ca="1" si="20"/>
        <v>0</v>
      </c>
      <c r="AA257" s="485">
        <f t="shared" ca="1" si="21"/>
        <v>0</v>
      </c>
      <c r="AB257" s="484" t="str">
        <f ca="1">IF('CDO Bespoke'!O258&lt;&gt;"",'CDO Bespoke'!O258,"")</f>
        <v/>
      </c>
      <c r="AC257" s="485" t="str">
        <f ca="1">IF(AB257&lt;&gt;"",ABS(MIN(-0.75*('CDO Bespoke'!K258)+'CDO Bespoke'!T258,0)),"")</f>
        <v/>
      </c>
      <c r="AD257" s="485">
        <f t="shared" ca="1" si="22"/>
        <v>0</v>
      </c>
      <c r="AE257" s="489">
        <f t="shared" ca="1" si="23"/>
        <v>0</v>
      </c>
      <c r="AF257" s="272"/>
      <c r="AG257" s="494" t="str">
        <f ca="1">IF('CDO Bespoke'!C282&lt;&gt;"",'CDO Bespoke'!C282,"")</f>
        <v/>
      </c>
      <c r="AH257" s="496"/>
      <c r="AI257" s="585"/>
      <c r="AJ257" s="585"/>
      <c r="AK257" s="585"/>
      <c r="AL257" s="497"/>
      <c r="AM257" s="496"/>
      <c r="AN257" s="585"/>
      <c r="AO257" s="585"/>
      <c r="AP257" s="585"/>
      <c r="AQ257" s="497"/>
      <c r="AR257" s="580"/>
      <c r="AS257" s="580"/>
      <c r="AT257" s="580"/>
      <c r="AU257" s="580"/>
      <c r="AV257" s="580"/>
      <c r="AW257" s="580"/>
      <c r="AX257" s="579"/>
    </row>
    <row r="258" spans="2:50">
      <c r="B258" s="534" t="s">
        <v>581</v>
      </c>
      <c r="C258" s="535" t="s">
        <v>66</v>
      </c>
      <c r="D258" s="535" t="s">
        <v>59</v>
      </c>
      <c r="E258" s="535" t="s">
        <v>649</v>
      </c>
      <c r="F258" s="535" t="s">
        <v>673</v>
      </c>
      <c r="G258" s="536">
        <v>0.01</v>
      </c>
      <c r="H258" s="536">
        <v>4.7910000000000001E-3</v>
      </c>
      <c r="I258" s="537">
        <v>0.4</v>
      </c>
      <c r="J258" s="595">
        <v>5</v>
      </c>
      <c r="K258" s="538">
        <v>78</v>
      </c>
      <c r="L258" s="272"/>
      <c r="M258" s="272"/>
      <c r="P258" s="273"/>
      <c r="Q258" s="273"/>
      <c r="R258" s="273"/>
      <c r="S258" s="273"/>
      <c r="T258" s="273"/>
      <c r="U258" s="273"/>
      <c r="V258" s="273"/>
      <c r="W258" s="273"/>
      <c r="X258" s="484" t="str">
        <f ca="1">IF('CDO Bespoke'!O259&lt;&gt;"",'CDO Bespoke'!O259,"")</f>
        <v/>
      </c>
      <c r="Y258" s="485" t="str">
        <f ca="1">IF(X258&lt;&gt;"",ABS(MIN(-0.75*('CDO Bespoke'!Q259)+'CDO Bespoke'!T259,0)),"")</f>
        <v/>
      </c>
      <c r="Z258" s="485">
        <f t="shared" ca="1" si="20"/>
        <v>0</v>
      </c>
      <c r="AA258" s="485">
        <f t="shared" ca="1" si="21"/>
        <v>0</v>
      </c>
      <c r="AB258" s="484" t="str">
        <f ca="1">IF('CDO Bespoke'!O259&lt;&gt;"",'CDO Bespoke'!O259,"")</f>
        <v/>
      </c>
      <c r="AC258" s="485" t="str">
        <f ca="1">IF(AB258&lt;&gt;"",ABS(MIN(-0.75*('CDO Bespoke'!K259)+'CDO Bespoke'!T259,0)),"")</f>
        <v/>
      </c>
      <c r="AD258" s="485">
        <f t="shared" ca="1" si="22"/>
        <v>0</v>
      </c>
      <c r="AE258" s="489">
        <f t="shared" ca="1" si="23"/>
        <v>0</v>
      </c>
      <c r="AF258" s="272"/>
      <c r="AG258" s="494" t="str">
        <f ca="1">IF('CDO Bespoke'!C283&lt;&gt;"",'CDO Bespoke'!C283,"")</f>
        <v/>
      </c>
      <c r="AH258" s="496"/>
      <c r="AI258" s="585"/>
      <c r="AJ258" s="585"/>
      <c r="AK258" s="585"/>
      <c r="AL258" s="497"/>
      <c r="AM258" s="496"/>
      <c r="AN258" s="585"/>
      <c r="AO258" s="585"/>
      <c r="AP258" s="585"/>
      <c r="AQ258" s="497"/>
      <c r="AR258" s="580"/>
      <c r="AS258" s="580"/>
      <c r="AT258" s="580"/>
      <c r="AU258" s="580"/>
      <c r="AV258" s="580"/>
      <c r="AW258" s="580"/>
      <c r="AX258" s="579"/>
    </row>
    <row r="259" spans="2:50">
      <c r="B259" s="539" t="s">
        <v>582</v>
      </c>
      <c r="C259" s="540" t="s">
        <v>66</v>
      </c>
      <c r="D259" s="540" t="s">
        <v>55</v>
      </c>
      <c r="E259" s="540" t="s">
        <v>649</v>
      </c>
      <c r="F259" s="540" t="s">
        <v>677</v>
      </c>
      <c r="G259" s="541">
        <v>0.01</v>
      </c>
      <c r="H259" s="541">
        <v>3.7789999999999998E-3</v>
      </c>
      <c r="I259" s="542">
        <v>0.4</v>
      </c>
      <c r="J259" s="602">
        <v>6</v>
      </c>
      <c r="K259" s="543">
        <v>79</v>
      </c>
      <c r="L259" s="272"/>
      <c r="M259" s="272"/>
      <c r="P259" s="273"/>
      <c r="Q259" s="273"/>
      <c r="R259" s="273"/>
      <c r="S259" s="273"/>
      <c r="T259" s="273"/>
      <c r="U259" s="273"/>
      <c r="V259" s="273"/>
      <c r="W259" s="273"/>
      <c r="X259" s="484" t="str">
        <f ca="1">IF('CDO Bespoke'!O260&lt;&gt;"",'CDO Bespoke'!O260,"")</f>
        <v/>
      </c>
      <c r="Y259" s="485" t="str">
        <f ca="1">IF(X259&lt;&gt;"",ABS(MIN(-0.75*('CDO Bespoke'!Q260)+'CDO Bespoke'!T260,0)),"")</f>
        <v/>
      </c>
      <c r="Z259" s="485">
        <f t="shared" ca="1" si="20"/>
        <v>0</v>
      </c>
      <c r="AA259" s="485">
        <f t="shared" ca="1" si="21"/>
        <v>0</v>
      </c>
      <c r="AB259" s="484" t="str">
        <f ca="1">IF('CDO Bespoke'!O260&lt;&gt;"",'CDO Bespoke'!O260,"")</f>
        <v/>
      </c>
      <c r="AC259" s="485" t="str">
        <f ca="1">IF(AB259&lt;&gt;"",ABS(MIN(-0.75*('CDO Bespoke'!K260)+'CDO Bespoke'!T260,0)),"")</f>
        <v/>
      </c>
      <c r="AD259" s="485">
        <f t="shared" ca="1" si="22"/>
        <v>0</v>
      </c>
      <c r="AE259" s="489">
        <f t="shared" ca="1" si="23"/>
        <v>0</v>
      </c>
      <c r="AF259" s="272"/>
      <c r="AG259" s="494" t="str">
        <f ca="1">IF('CDO Bespoke'!C284&lt;&gt;"",'CDO Bespoke'!C284,"")</f>
        <v/>
      </c>
      <c r="AH259" s="496"/>
      <c r="AI259" s="585"/>
      <c r="AJ259" s="585"/>
      <c r="AK259" s="585"/>
      <c r="AL259" s="497"/>
      <c r="AM259" s="496"/>
      <c r="AN259" s="585"/>
      <c r="AO259" s="585"/>
      <c r="AP259" s="585"/>
      <c r="AQ259" s="497"/>
      <c r="AR259" s="580"/>
      <c r="AS259" s="580"/>
      <c r="AT259" s="580"/>
      <c r="AU259" s="580"/>
      <c r="AV259" s="580"/>
      <c r="AW259" s="580"/>
      <c r="AX259" s="579"/>
    </row>
    <row r="260" spans="2:50">
      <c r="B260" s="517" t="s">
        <v>582</v>
      </c>
      <c r="C260" s="518" t="s">
        <v>66</v>
      </c>
      <c r="D260" s="518" t="s">
        <v>57</v>
      </c>
      <c r="E260" s="518" t="s">
        <v>649</v>
      </c>
      <c r="F260" s="518" t="s">
        <v>677</v>
      </c>
      <c r="G260" s="525">
        <v>0.01</v>
      </c>
      <c r="H260" s="525">
        <v>7.345E-3</v>
      </c>
      <c r="I260" s="527">
        <v>0.4</v>
      </c>
      <c r="J260" s="594">
        <v>6</v>
      </c>
      <c r="K260" s="519">
        <v>79</v>
      </c>
      <c r="L260" s="272"/>
      <c r="M260" s="272"/>
      <c r="P260" s="273"/>
      <c r="Q260" s="273"/>
      <c r="R260" s="273"/>
      <c r="S260" s="273"/>
      <c r="T260" s="273"/>
      <c r="U260" s="273"/>
      <c r="V260" s="273"/>
      <c r="W260" s="273"/>
      <c r="X260" s="484" t="str">
        <f ca="1">IF('CDO Bespoke'!O261&lt;&gt;"",'CDO Bespoke'!O261,"")</f>
        <v/>
      </c>
      <c r="Y260" s="485" t="str">
        <f ca="1">IF(X260&lt;&gt;"",ABS(MIN(-0.75*('CDO Bespoke'!Q261)+'CDO Bespoke'!T261,0)),"")</f>
        <v/>
      </c>
      <c r="Z260" s="485">
        <f t="shared" ca="1" si="20"/>
        <v>0</v>
      </c>
      <c r="AA260" s="485">
        <f t="shared" ca="1" si="21"/>
        <v>0</v>
      </c>
      <c r="AB260" s="484" t="str">
        <f ca="1">IF('CDO Bespoke'!O261&lt;&gt;"",'CDO Bespoke'!O261,"")</f>
        <v/>
      </c>
      <c r="AC260" s="485" t="str">
        <f ca="1">IF(AB260&lt;&gt;"",ABS(MIN(-0.75*('CDO Bespoke'!K261)+'CDO Bespoke'!T261,0)),"")</f>
        <v/>
      </c>
      <c r="AD260" s="485">
        <f t="shared" ca="1" si="22"/>
        <v>0</v>
      </c>
      <c r="AE260" s="489">
        <f t="shared" ca="1" si="23"/>
        <v>0</v>
      </c>
      <c r="AF260" s="272"/>
      <c r="AG260" s="494" t="str">
        <f ca="1">IF('CDO Bespoke'!C285&lt;&gt;"",'CDO Bespoke'!C285,"")</f>
        <v/>
      </c>
      <c r="AH260" s="496"/>
      <c r="AI260" s="585"/>
      <c r="AJ260" s="585"/>
      <c r="AK260" s="585"/>
      <c r="AL260" s="497"/>
      <c r="AM260" s="496"/>
      <c r="AN260" s="585"/>
      <c r="AO260" s="585"/>
      <c r="AP260" s="585"/>
      <c r="AQ260" s="497"/>
      <c r="AR260" s="580"/>
      <c r="AS260" s="580"/>
      <c r="AT260" s="580"/>
      <c r="AU260" s="580"/>
      <c r="AV260" s="580"/>
      <c r="AW260" s="580"/>
      <c r="AX260" s="579"/>
    </row>
    <row r="261" spans="2:50">
      <c r="B261" s="534" t="s">
        <v>582</v>
      </c>
      <c r="C261" s="535" t="s">
        <v>66</v>
      </c>
      <c r="D261" s="535" t="s">
        <v>59</v>
      </c>
      <c r="E261" s="535" t="s">
        <v>649</v>
      </c>
      <c r="F261" s="535" t="s">
        <v>677</v>
      </c>
      <c r="G261" s="536">
        <v>0.01</v>
      </c>
      <c r="H261" s="536">
        <v>1.0267999999999999E-2</v>
      </c>
      <c r="I261" s="537">
        <v>0.4</v>
      </c>
      <c r="J261" s="595">
        <v>6</v>
      </c>
      <c r="K261" s="538">
        <v>79</v>
      </c>
      <c r="L261" s="272"/>
      <c r="M261" s="272"/>
      <c r="P261" s="273"/>
      <c r="Q261" s="273"/>
      <c r="R261" s="273"/>
      <c r="S261" s="273"/>
      <c r="T261" s="273"/>
      <c r="U261" s="273"/>
      <c r="V261" s="273"/>
      <c r="W261" s="273"/>
      <c r="X261" s="484" t="str">
        <f ca="1">IF('CDO Bespoke'!O262&lt;&gt;"",'CDO Bespoke'!O262,"")</f>
        <v/>
      </c>
      <c r="Y261" s="485" t="str">
        <f ca="1">IF(X261&lt;&gt;"",ABS(MIN(-0.75*('CDO Bespoke'!Q262)+'CDO Bespoke'!T262,0)),"")</f>
        <v/>
      </c>
      <c r="Z261" s="485">
        <f t="shared" ca="1" si="20"/>
        <v>0</v>
      </c>
      <c r="AA261" s="485">
        <f t="shared" ca="1" si="21"/>
        <v>0</v>
      </c>
      <c r="AB261" s="484" t="str">
        <f ca="1">IF('CDO Bespoke'!O262&lt;&gt;"",'CDO Bespoke'!O262,"")</f>
        <v/>
      </c>
      <c r="AC261" s="485" t="str">
        <f ca="1">IF(AB261&lt;&gt;"",ABS(MIN(-0.75*('CDO Bespoke'!K262)+'CDO Bespoke'!T262,0)),"")</f>
        <v/>
      </c>
      <c r="AD261" s="485">
        <f t="shared" ca="1" si="22"/>
        <v>0</v>
      </c>
      <c r="AE261" s="489">
        <f t="shared" ca="1" si="23"/>
        <v>0</v>
      </c>
      <c r="AF261" s="272"/>
      <c r="AG261" s="494" t="str">
        <f ca="1">IF('CDO Bespoke'!C286&lt;&gt;"",'CDO Bespoke'!C286,"")</f>
        <v/>
      </c>
      <c r="AH261" s="496"/>
      <c r="AI261" s="585"/>
      <c r="AJ261" s="585"/>
      <c r="AK261" s="585"/>
      <c r="AL261" s="497"/>
      <c r="AM261" s="496"/>
      <c r="AN261" s="585"/>
      <c r="AO261" s="585"/>
      <c r="AP261" s="585"/>
      <c r="AQ261" s="497"/>
      <c r="AR261" s="580"/>
      <c r="AS261" s="580"/>
      <c r="AT261" s="580"/>
      <c r="AU261" s="580"/>
      <c r="AV261" s="580"/>
      <c r="AW261" s="580"/>
      <c r="AX261" s="579"/>
    </row>
    <row r="262" spans="2:50">
      <c r="B262" s="539" t="s">
        <v>583</v>
      </c>
      <c r="C262" s="540" t="s">
        <v>66</v>
      </c>
      <c r="D262" s="540" t="s">
        <v>55</v>
      </c>
      <c r="E262" s="540" t="s">
        <v>649</v>
      </c>
      <c r="F262" s="540" t="s">
        <v>677</v>
      </c>
      <c r="G262" s="541">
        <v>0.01</v>
      </c>
      <c r="H262" s="541">
        <v>2.137E-3</v>
      </c>
      <c r="I262" s="542">
        <v>0.4</v>
      </c>
      <c r="J262" s="602">
        <v>6</v>
      </c>
      <c r="K262" s="543">
        <v>80</v>
      </c>
      <c r="L262" s="272"/>
      <c r="M262" s="272"/>
      <c r="P262" s="273"/>
      <c r="Q262" s="273"/>
      <c r="R262" s="273"/>
      <c r="S262" s="273"/>
      <c r="T262" s="273"/>
      <c r="U262" s="273"/>
      <c r="V262" s="273"/>
      <c r="W262" s="273"/>
      <c r="X262" s="484" t="str">
        <f ca="1">IF('CDO Bespoke'!O263&lt;&gt;"",'CDO Bespoke'!O263,"")</f>
        <v/>
      </c>
      <c r="Y262" s="485" t="str">
        <f ca="1">IF(X262&lt;&gt;"",ABS(MIN(-0.75*('CDO Bespoke'!Q263)+'CDO Bespoke'!T263,0)),"")</f>
        <v/>
      </c>
      <c r="Z262" s="485">
        <f t="shared" ca="1" si="20"/>
        <v>0</v>
      </c>
      <c r="AA262" s="485">
        <f t="shared" ca="1" si="21"/>
        <v>0</v>
      </c>
      <c r="AB262" s="484" t="str">
        <f ca="1">IF('CDO Bespoke'!O263&lt;&gt;"",'CDO Bespoke'!O263,"")</f>
        <v/>
      </c>
      <c r="AC262" s="485" t="str">
        <f ca="1">IF(AB262&lt;&gt;"",ABS(MIN(-0.75*('CDO Bespoke'!K263)+'CDO Bespoke'!T263,0)),"")</f>
        <v/>
      </c>
      <c r="AD262" s="485">
        <f t="shared" ca="1" si="22"/>
        <v>0</v>
      </c>
      <c r="AE262" s="489">
        <f t="shared" ca="1" si="23"/>
        <v>0</v>
      </c>
      <c r="AF262" s="272"/>
      <c r="AG262" s="494" t="str">
        <f ca="1">IF('CDO Bespoke'!C287&lt;&gt;"",'CDO Bespoke'!C287,"")</f>
        <v/>
      </c>
      <c r="AH262" s="496"/>
      <c r="AI262" s="585"/>
      <c r="AJ262" s="585"/>
      <c r="AK262" s="585"/>
      <c r="AL262" s="497"/>
      <c r="AM262" s="496"/>
      <c r="AN262" s="585"/>
      <c r="AO262" s="585"/>
      <c r="AP262" s="585"/>
      <c r="AQ262" s="497"/>
      <c r="AR262" s="580"/>
      <c r="AS262" s="580"/>
      <c r="AT262" s="580"/>
      <c r="AU262" s="580"/>
      <c r="AV262" s="580"/>
      <c r="AW262" s="580"/>
      <c r="AX262" s="579"/>
    </row>
    <row r="263" spans="2:50">
      <c r="B263" s="517" t="s">
        <v>583</v>
      </c>
      <c r="C263" s="518" t="s">
        <v>66</v>
      </c>
      <c r="D263" s="518" t="s">
        <v>57</v>
      </c>
      <c r="E263" s="518" t="s">
        <v>649</v>
      </c>
      <c r="F263" s="518" t="s">
        <v>677</v>
      </c>
      <c r="G263" s="525">
        <v>0.01</v>
      </c>
      <c r="H263" s="525">
        <v>3.2109999999999999E-3</v>
      </c>
      <c r="I263" s="527">
        <v>0.4</v>
      </c>
      <c r="J263" s="594">
        <v>6</v>
      </c>
      <c r="K263" s="519">
        <v>80</v>
      </c>
      <c r="L263" s="272"/>
      <c r="M263" s="272"/>
      <c r="P263" s="273"/>
      <c r="Q263" s="273"/>
      <c r="R263" s="273"/>
      <c r="S263" s="273"/>
      <c r="T263" s="273"/>
      <c r="U263" s="273"/>
      <c r="V263" s="273"/>
      <c r="W263" s="273"/>
      <c r="X263" s="484" t="str">
        <f ca="1">IF('CDO Bespoke'!O264&lt;&gt;"",'CDO Bespoke'!O264,"")</f>
        <v/>
      </c>
      <c r="Y263" s="485" t="str">
        <f ca="1">IF(X263&lt;&gt;"",ABS(MIN(-0.75*('CDO Bespoke'!Q264)+'CDO Bespoke'!T264,0)),"")</f>
        <v/>
      </c>
      <c r="Z263" s="485">
        <f t="shared" ca="1" si="20"/>
        <v>0</v>
      </c>
      <c r="AA263" s="485">
        <f t="shared" ca="1" si="21"/>
        <v>0</v>
      </c>
      <c r="AB263" s="484" t="str">
        <f ca="1">IF('CDO Bespoke'!O264&lt;&gt;"",'CDO Bespoke'!O264,"")</f>
        <v/>
      </c>
      <c r="AC263" s="485" t="str">
        <f ca="1">IF(AB263&lt;&gt;"",ABS(MIN(-0.75*('CDO Bespoke'!K264)+'CDO Bespoke'!T264,0)),"")</f>
        <v/>
      </c>
      <c r="AD263" s="485">
        <f t="shared" ca="1" si="22"/>
        <v>0</v>
      </c>
      <c r="AE263" s="489">
        <f t="shared" ca="1" si="23"/>
        <v>0</v>
      </c>
      <c r="AF263" s="272"/>
      <c r="AG263" s="494" t="str">
        <f ca="1">IF('CDO Bespoke'!C288&lt;&gt;"",'CDO Bespoke'!C288,"")</f>
        <v/>
      </c>
      <c r="AH263" s="496"/>
      <c r="AI263" s="585"/>
      <c r="AJ263" s="585"/>
      <c r="AK263" s="585"/>
      <c r="AL263" s="497"/>
      <c r="AM263" s="496"/>
      <c r="AN263" s="585"/>
      <c r="AO263" s="585"/>
      <c r="AP263" s="585"/>
      <c r="AQ263" s="497"/>
      <c r="AR263" s="580"/>
      <c r="AS263" s="580"/>
      <c r="AT263" s="580"/>
      <c r="AU263" s="580"/>
      <c r="AV263" s="580"/>
      <c r="AW263" s="580"/>
      <c r="AX263" s="579"/>
    </row>
    <row r="264" spans="2:50">
      <c r="B264" s="534" t="s">
        <v>583</v>
      </c>
      <c r="C264" s="535" t="s">
        <v>66</v>
      </c>
      <c r="D264" s="535" t="s">
        <v>59</v>
      </c>
      <c r="E264" s="535" t="s">
        <v>649</v>
      </c>
      <c r="F264" s="535" t="s">
        <v>677</v>
      </c>
      <c r="G264" s="536">
        <v>0.01</v>
      </c>
      <c r="H264" s="536">
        <v>4.6039999999999996E-3</v>
      </c>
      <c r="I264" s="537">
        <v>0.4</v>
      </c>
      <c r="J264" s="595">
        <v>6</v>
      </c>
      <c r="K264" s="538">
        <v>80</v>
      </c>
      <c r="L264" s="272"/>
      <c r="M264" s="272"/>
      <c r="P264" s="273"/>
      <c r="Q264" s="273"/>
      <c r="R264" s="273"/>
      <c r="S264" s="273"/>
      <c r="T264" s="273"/>
      <c r="U264" s="273"/>
      <c r="V264" s="273"/>
      <c r="W264" s="273"/>
      <c r="X264" s="484" t="str">
        <f ca="1">IF('CDO Bespoke'!O265&lt;&gt;"",'CDO Bespoke'!O265,"")</f>
        <v/>
      </c>
      <c r="Y264" s="485" t="str">
        <f ca="1">IF(X264&lt;&gt;"",ABS(MIN(-0.75*('CDO Bespoke'!Q265)+'CDO Bespoke'!T265,0)),"")</f>
        <v/>
      </c>
      <c r="Z264" s="485">
        <f t="shared" ca="1" si="20"/>
        <v>0</v>
      </c>
      <c r="AA264" s="485">
        <f t="shared" ca="1" si="21"/>
        <v>0</v>
      </c>
      <c r="AB264" s="484" t="str">
        <f ca="1">IF('CDO Bespoke'!O265&lt;&gt;"",'CDO Bespoke'!O265,"")</f>
        <v/>
      </c>
      <c r="AC264" s="485" t="str">
        <f ca="1">IF(AB264&lt;&gt;"",ABS(MIN(-0.75*('CDO Bespoke'!K265)+'CDO Bespoke'!T265,0)),"")</f>
        <v/>
      </c>
      <c r="AD264" s="485">
        <f t="shared" ca="1" si="22"/>
        <v>0</v>
      </c>
      <c r="AE264" s="489">
        <f t="shared" ca="1" si="23"/>
        <v>0</v>
      </c>
      <c r="AF264" s="272"/>
      <c r="AG264" s="494" t="str">
        <f ca="1">IF('CDO Bespoke'!C289&lt;&gt;"",'CDO Bespoke'!C289,"")</f>
        <v/>
      </c>
      <c r="AH264" s="496"/>
      <c r="AI264" s="585"/>
      <c r="AJ264" s="585"/>
      <c r="AK264" s="585"/>
      <c r="AL264" s="497"/>
      <c r="AM264" s="496"/>
      <c r="AN264" s="585"/>
      <c r="AO264" s="585"/>
      <c r="AP264" s="585"/>
      <c r="AQ264" s="497"/>
      <c r="AR264" s="580"/>
      <c r="AS264" s="580"/>
      <c r="AT264" s="580"/>
      <c r="AU264" s="580"/>
      <c r="AV264" s="580"/>
      <c r="AW264" s="580"/>
      <c r="AX264" s="579"/>
    </row>
    <row r="265" spans="2:50">
      <c r="B265" s="539" t="s">
        <v>584</v>
      </c>
      <c r="C265" s="540" t="s">
        <v>66</v>
      </c>
      <c r="D265" s="540" t="s">
        <v>55</v>
      </c>
      <c r="E265" s="540" t="s">
        <v>649</v>
      </c>
      <c r="F265" s="540" t="s">
        <v>673</v>
      </c>
      <c r="G265" s="541">
        <v>0.01</v>
      </c>
      <c r="H265" s="541">
        <v>4.9890000000000004E-3</v>
      </c>
      <c r="I265" s="542">
        <v>0.4</v>
      </c>
      <c r="J265" s="602">
        <v>5</v>
      </c>
      <c r="K265" s="543">
        <v>81</v>
      </c>
      <c r="L265" s="272"/>
      <c r="M265" s="272"/>
      <c r="P265" s="273"/>
      <c r="Q265" s="273"/>
      <c r="R265" s="273"/>
      <c r="S265" s="273"/>
      <c r="T265" s="273"/>
      <c r="U265" s="273"/>
      <c r="V265" s="273"/>
      <c r="W265" s="273"/>
      <c r="X265" s="484" t="str">
        <f ca="1">IF('CDO Bespoke'!O266&lt;&gt;"",'CDO Bespoke'!O266,"")</f>
        <v/>
      </c>
      <c r="Y265" s="485" t="str">
        <f ca="1">IF(X265&lt;&gt;"",ABS(MIN(-0.75*('CDO Bespoke'!Q266)+'CDO Bespoke'!T266,0)),"")</f>
        <v/>
      </c>
      <c r="Z265" s="485">
        <f t="shared" ca="1" si="20"/>
        <v>0</v>
      </c>
      <c r="AA265" s="485">
        <f t="shared" ca="1" si="21"/>
        <v>0</v>
      </c>
      <c r="AB265" s="484" t="str">
        <f ca="1">IF('CDO Bespoke'!O266&lt;&gt;"",'CDO Bespoke'!O266,"")</f>
        <v/>
      </c>
      <c r="AC265" s="485" t="str">
        <f ca="1">IF(AB265&lt;&gt;"",ABS(MIN(-0.75*('CDO Bespoke'!K266)+'CDO Bespoke'!T266,0)),"")</f>
        <v/>
      </c>
      <c r="AD265" s="485">
        <f t="shared" ca="1" si="22"/>
        <v>0</v>
      </c>
      <c r="AE265" s="489">
        <f t="shared" ca="1" si="23"/>
        <v>0</v>
      </c>
      <c r="AF265" s="272"/>
      <c r="AG265" s="494" t="str">
        <f ca="1">IF('CDO Bespoke'!C290&lt;&gt;"",'CDO Bespoke'!C290,"")</f>
        <v/>
      </c>
      <c r="AH265" s="496"/>
      <c r="AI265" s="585"/>
      <c r="AJ265" s="585"/>
      <c r="AK265" s="585"/>
      <c r="AL265" s="497"/>
      <c r="AM265" s="496"/>
      <c r="AN265" s="585"/>
      <c r="AO265" s="585"/>
      <c r="AP265" s="585"/>
      <c r="AQ265" s="497"/>
      <c r="AR265" s="580"/>
      <c r="AS265" s="580"/>
      <c r="AT265" s="580"/>
      <c r="AU265" s="580"/>
      <c r="AV265" s="580"/>
      <c r="AW265" s="580"/>
      <c r="AX265" s="579"/>
    </row>
    <row r="266" spans="2:50">
      <c r="B266" s="517" t="s">
        <v>584</v>
      </c>
      <c r="C266" s="518" t="s">
        <v>66</v>
      </c>
      <c r="D266" s="518" t="s">
        <v>57</v>
      </c>
      <c r="E266" s="518" t="s">
        <v>649</v>
      </c>
      <c r="F266" s="518" t="s">
        <v>673</v>
      </c>
      <c r="G266" s="525">
        <v>0.01</v>
      </c>
      <c r="H266" s="525">
        <v>1.01E-2</v>
      </c>
      <c r="I266" s="527">
        <v>0.4</v>
      </c>
      <c r="J266" s="594">
        <v>5</v>
      </c>
      <c r="K266" s="519">
        <v>81</v>
      </c>
      <c r="L266" s="272"/>
      <c r="M266" s="272"/>
      <c r="P266" s="273"/>
      <c r="Q266" s="273"/>
      <c r="R266" s="273"/>
      <c r="S266" s="273"/>
      <c r="T266" s="273"/>
      <c r="U266" s="273"/>
      <c r="V266" s="273"/>
      <c r="W266" s="273"/>
      <c r="X266" s="484" t="str">
        <f ca="1">IF('CDO Bespoke'!O267&lt;&gt;"",'CDO Bespoke'!O267,"")</f>
        <v/>
      </c>
      <c r="Y266" s="485" t="str">
        <f ca="1">IF(X266&lt;&gt;"",ABS(MIN(-0.75*('CDO Bespoke'!Q267)+'CDO Bespoke'!T267,0)),"")</f>
        <v/>
      </c>
      <c r="Z266" s="485">
        <f t="shared" ca="1" si="20"/>
        <v>0</v>
      </c>
      <c r="AA266" s="485">
        <f t="shared" ca="1" si="21"/>
        <v>0</v>
      </c>
      <c r="AB266" s="484" t="str">
        <f ca="1">IF('CDO Bespoke'!O267&lt;&gt;"",'CDO Bespoke'!O267,"")</f>
        <v/>
      </c>
      <c r="AC266" s="485" t="str">
        <f ca="1">IF(AB266&lt;&gt;"",ABS(MIN(-0.75*('CDO Bespoke'!K267)+'CDO Bespoke'!T267,0)),"")</f>
        <v/>
      </c>
      <c r="AD266" s="485">
        <f t="shared" ca="1" si="22"/>
        <v>0</v>
      </c>
      <c r="AE266" s="489">
        <f t="shared" ca="1" si="23"/>
        <v>0</v>
      </c>
      <c r="AF266" s="272"/>
      <c r="AG266" s="494" t="str">
        <f ca="1">IF('CDO Bespoke'!C291&lt;&gt;"",'CDO Bespoke'!C291,"")</f>
        <v/>
      </c>
      <c r="AH266" s="496"/>
      <c r="AI266" s="585"/>
      <c r="AJ266" s="585"/>
      <c r="AK266" s="585"/>
      <c r="AL266" s="497"/>
      <c r="AM266" s="496"/>
      <c r="AN266" s="585"/>
      <c r="AO266" s="585"/>
      <c r="AP266" s="585"/>
      <c r="AQ266" s="497"/>
      <c r="AR266" s="580"/>
      <c r="AS266" s="580"/>
      <c r="AT266" s="580"/>
      <c r="AU266" s="580"/>
      <c r="AV266" s="580"/>
      <c r="AW266" s="580"/>
      <c r="AX266" s="579"/>
    </row>
    <row r="267" spans="2:50">
      <c r="B267" s="534" t="s">
        <v>584</v>
      </c>
      <c r="C267" s="535" t="s">
        <v>66</v>
      </c>
      <c r="D267" s="535" t="s">
        <v>59</v>
      </c>
      <c r="E267" s="535" t="s">
        <v>649</v>
      </c>
      <c r="F267" s="535" t="s">
        <v>673</v>
      </c>
      <c r="G267" s="536">
        <v>0.01</v>
      </c>
      <c r="H267" s="536">
        <v>1.474E-2</v>
      </c>
      <c r="I267" s="537">
        <v>0.4</v>
      </c>
      <c r="J267" s="595">
        <v>5</v>
      </c>
      <c r="K267" s="538">
        <v>81</v>
      </c>
      <c r="L267" s="272"/>
      <c r="M267" s="272"/>
      <c r="P267" s="273"/>
      <c r="Q267" s="273"/>
      <c r="R267" s="273"/>
      <c r="S267" s="273"/>
      <c r="T267" s="273"/>
      <c r="U267" s="273"/>
      <c r="V267" s="273"/>
      <c r="W267" s="273"/>
      <c r="X267" s="484" t="str">
        <f ca="1">IF('CDO Bespoke'!O268&lt;&gt;"",'CDO Bespoke'!O268,"")</f>
        <v/>
      </c>
      <c r="Y267" s="485" t="str">
        <f ca="1">IF(X267&lt;&gt;"",ABS(MIN(-0.75*('CDO Bespoke'!Q268)+'CDO Bespoke'!T268,0)),"")</f>
        <v/>
      </c>
      <c r="Z267" s="485">
        <f t="shared" ca="1" si="20"/>
        <v>0</v>
      </c>
      <c r="AA267" s="485">
        <f t="shared" ca="1" si="21"/>
        <v>0</v>
      </c>
      <c r="AB267" s="484" t="str">
        <f ca="1">IF('CDO Bespoke'!O268&lt;&gt;"",'CDO Bespoke'!O268,"")</f>
        <v/>
      </c>
      <c r="AC267" s="485" t="str">
        <f ca="1">IF(AB267&lt;&gt;"",ABS(MIN(-0.75*('CDO Bespoke'!K268)+'CDO Bespoke'!T268,0)),"")</f>
        <v/>
      </c>
      <c r="AD267" s="485">
        <f t="shared" ca="1" si="22"/>
        <v>0</v>
      </c>
      <c r="AE267" s="489">
        <f t="shared" ca="1" si="23"/>
        <v>0</v>
      </c>
      <c r="AF267" s="272"/>
      <c r="AG267" s="494" t="str">
        <f ca="1">IF('CDO Bespoke'!C292&lt;&gt;"",'CDO Bespoke'!C292,"")</f>
        <v/>
      </c>
      <c r="AH267" s="496"/>
      <c r="AI267" s="585"/>
      <c r="AJ267" s="585"/>
      <c r="AK267" s="585"/>
      <c r="AL267" s="497"/>
      <c r="AM267" s="496"/>
      <c r="AN267" s="585"/>
      <c r="AO267" s="585"/>
      <c r="AP267" s="585"/>
      <c r="AQ267" s="497"/>
      <c r="AR267" s="580"/>
      <c r="AS267" s="580"/>
      <c r="AT267" s="580"/>
      <c r="AU267" s="580"/>
      <c r="AV267" s="580"/>
      <c r="AW267" s="580"/>
      <c r="AX267" s="579"/>
    </row>
    <row r="268" spans="2:50">
      <c r="B268" s="539" t="s">
        <v>594</v>
      </c>
      <c r="C268" s="540" t="s">
        <v>66</v>
      </c>
      <c r="D268" s="540" t="s">
        <v>55</v>
      </c>
      <c r="E268" s="540" t="s">
        <v>649</v>
      </c>
      <c r="F268" s="540" t="s">
        <v>677</v>
      </c>
      <c r="G268" s="541">
        <v>0.01</v>
      </c>
      <c r="H268" s="541">
        <v>2.7200000000000002E-3</v>
      </c>
      <c r="I268" s="542">
        <v>0.4</v>
      </c>
      <c r="J268" s="602">
        <v>6</v>
      </c>
      <c r="K268" s="543">
        <v>82</v>
      </c>
      <c r="L268" s="272"/>
      <c r="M268" s="272"/>
      <c r="P268" s="273"/>
      <c r="Q268" s="273"/>
      <c r="R268" s="273"/>
      <c r="S268" s="273"/>
      <c r="T268" s="273"/>
      <c r="U268" s="273"/>
      <c r="V268" s="273"/>
      <c r="W268" s="273"/>
      <c r="X268" s="484" t="str">
        <f ca="1">IF('CDO Bespoke'!O269&lt;&gt;"",'CDO Bespoke'!O269,"")</f>
        <v/>
      </c>
      <c r="Y268" s="485" t="str">
        <f ca="1">IF(X268&lt;&gt;"",ABS(MIN(-0.75*('CDO Bespoke'!Q269)+'CDO Bespoke'!T269,0)),"")</f>
        <v/>
      </c>
      <c r="Z268" s="485">
        <f t="shared" ca="1" si="20"/>
        <v>0</v>
      </c>
      <c r="AA268" s="485">
        <f t="shared" ca="1" si="21"/>
        <v>0</v>
      </c>
      <c r="AB268" s="484" t="str">
        <f ca="1">IF('CDO Bespoke'!O269&lt;&gt;"",'CDO Bespoke'!O269,"")</f>
        <v/>
      </c>
      <c r="AC268" s="485" t="str">
        <f ca="1">IF(AB268&lt;&gt;"",ABS(MIN(-0.75*('CDO Bespoke'!K269)+'CDO Bespoke'!T269,0)),"")</f>
        <v/>
      </c>
      <c r="AD268" s="485">
        <f t="shared" ca="1" si="22"/>
        <v>0</v>
      </c>
      <c r="AE268" s="489">
        <f t="shared" ca="1" si="23"/>
        <v>0</v>
      </c>
      <c r="AF268" s="272"/>
      <c r="AG268" s="494" t="str">
        <f ca="1">IF('CDO Bespoke'!C293&lt;&gt;"",'CDO Bespoke'!C293,"")</f>
        <v/>
      </c>
      <c r="AH268" s="496"/>
      <c r="AI268" s="585"/>
      <c r="AJ268" s="585"/>
      <c r="AK268" s="585"/>
      <c r="AL268" s="497"/>
      <c r="AM268" s="496"/>
      <c r="AN268" s="585"/>
      <c r="AO268" s="585"/>
      <c r="AP268" s="585"/>
      <c r="AQ268" s="497"/>
      <c r="AR268" s="580"/>
      <c r="AS268" s="580"/>
      <c r="AT268" s="580"/>
      <c r="AU268" s="580"/>
      <c r="AV268" s="580"/>
      <c r="AW268" s="580"/>
      <c r="AX268" s="579"/>
    </row>
    <row r="269" spans="2:50">
      <c r="B269" s="517" t="s">
        <v>594</v>
      </c>
      <c r="C269" s="518" t="s">
        <v>66</v>
      </c>
      <c r="D269" s="518" t="s">
        <v>57</v>
      </c>
      <c r="E269" s="518" t="s">
        <v>649</v>
      </c>
      <c r="F269" s="518" t="s">
        <v>677</v>
      </c>
      <c r="G269" s="525">
        <v>0.01</v>
      </c>
      <c r="H269" s="525">
        <v>4.6210000000000001E-3</v>
      </c>
      <c r="I269" s="527">
        <v>0.4</v>
      </c>
      <c r="J269" s="594">
        <v>6</v>
      </c>
      <c r="K269" s="519">
        <v>82</v>
      </c>
      <c r="L269" s="272"/>
      <c r="M269" s="272"/>
      <c r="P269" s="273"/>
      <c r="Q269" s="273"/>
      <c r="R269" s="273"/>
      <c r="S269" s="273"/>
      <c r="T269" s="273"/>
      <c r="U269" s="273"/>
      <c r="V269" s="273"/>
      <c r="W269" s="273"/>
      <c r="X269" s="484" t="str">
        <f ca="1">IF('CDO Bespoke'!O270&lt;&gt;"",'CDO Bespoke'!O270,"")</f>
        <v/>
      </c>
      <c r="Y269" s="485" t="str">
        <f ca="1">IF(X269&lt;&gt;"",ABS(MIN(-0.75*('CDO Bespoke'!Q270)+'CDO Bespoke'!T270,0)),"")</f>
        <v/>
      </c>
      <c r="Z269" s="485">
        <f t="shared" ca="1" si="20"/>
        <v>0</v>
      </c>
      <c r="AA269" s="485">
        <f t="shared" ca="1" si="21"/>
        <v>0</v>
      </c>
      <c r="AB269" s="484" t="str">
        <f ca="1">IF('CDO Bespoke'!O270&lt;&gt;"",'CDO Bespoke'!O270,"")</f>
        <v/>
      </c>
      <c r="AC269" s="485" t="str">
        <f ca="1">IF(AB269&lt;&gt;"",ABS(MIN(-0.75*('CDO Bespoke'!K270)+'CDO Bespoke'!T270,0)),"")</f>
        <v/>
      </c>
      <c r="AD269" s="485">
        <f t="shared" ca="1" si="22"/>
        <v>0</v>
      </c>
      <c r="AE269" s="489">
        <f t="shared" ca="1" si="23"/>
        <v>0</v>
      </c>
      <c r="AF269" s="272"/>
      <c r="AG269" s="494" t="str">
        <f ca="1">IF('CDO Bespoke'!C294&lt;&gt;"",'CDO Bespoke'!C294,"")</f>
        <v/>
      </c>
      <c r="AH269" s="496"/>
      <c r="AI269" s="585"/>
      <c r="AJ269" s="585"/>
      <c r="AK269" s="585"/>
      <c r="AL269" s="497"/>
      <c r="AM269" s="496"/>
      <c r="AN269" s="585"/>
      <c r="AO269" s="585"/>
      <c r="AP269" s="585"/>
      <c r="AQ269" s="497"/>
      <c r="AR269" s="580"/>
      <c r="AS269" s="580"/>
      <c r="AT269" s="580"/>
      <c r="AU269" s="580"/>
      <c r="AV269" s="580"/>
      <c r="AW269" s="580"/>
      <c r="AX269" s="579"/>
    </row>
    <row r="270" spans="2:50">
      <c r="B270" s="534" t="s">
        <v>594</v>
      </c>
      <c r="C270" s="535" t="s">
        <v>66</v>
      </c>
      <c r="D270" s="535" t="s">
        <v>59</v>
      </c>
      <c r="E270" s="535" t="s">
        <v>649</v>
      </c>
      <c r="F270" s="535" t="s">
        <v>677</v>
      </c>
      <c r="G270" s="536">
        <v>0.01</v>
      </c>
      <c r="H270" s="536">
        <v>6.9170000000000004E-3</v>
      </c>
      <c r="I270" s="537">
        <v>0.4</v>
      </c>
      <c r="J270" s="595">
        <v>6</v>
      </c>
      <c r="K270" s="538">
        <v>82</v>
      </c>
      <c r="L270" s="272"/>
      <c r="M270" s="272"/>
      <c r="P270" s="273"/>
      <c r="Q270" s="273"/>
      <c r="R270" s="273"/>
      <c r="S270" s="273"/>
      <c r="T270" s="273"/>
      <c r="U270" s="273"/>
      <c r="V270" s="273"/>
      <c r="W270" s="273"/>
      <c r="X270" s="484" t="str">
        <f ca="1">IF('CDO Bespoke'!O271&lt;&gt;"",'CDO Bespoke'!O271,"")</f>
        <v/>
      </c>
      <c r="Y270" s="485" t="str">
        <f ca="1">IF(X270&lt;&gt;"",ABS(MIN(-0.75*('CDO Bespoke'!Q271)+'CDO Bespoke'!T271,0)),"")</f>
        <v/>
      </c>
      <c r="Z270" s="485">
        <f t="shared" ref="Z270:Z313" ca="1" si="24">IF(X270&lt;&gt;"",IF($Y$8,MAX(X270-Y270,0),X270),0)</f>
        <v>0</v>
      </c>
      <c r="AA270" s="485">
        <f t="shared" ref="AA270:AA313" ca="1" si="25">IF(X270&lt;&gt;"",IF($Y$8,0,Y270),0)</f>
        <v>0</v>
      </c>
      <c r="AB270" s="484" t="str">
        <f ca="1">IF('CDO Bespoke'!O271&lt;&gt;"",'CDO Bespoke'!O271,"")</f>
        <v/>
      </c>
      <c r="AC270" s="485" t="str">
        <f ca="1">IF(AB270&lt;&gt;"",ABS(MIN(-0.75*('CDO Bespoke'!K271)+'CDO Bespoke'!T271,0)),"")</f>
        <v/>
      </c>
      <c r="AD270" s="485">
        <f t="shared" ref="AD270:AD313" ca="1" si="26">IF(AB270&lt;&gt;"",IF($Y$8,MAX(AB270-AC270,0),AB270),0)</f>
        <v>0</v>
      </c>
      <c r="AE270" s="489">
        <f t="shared" ref="AE270:AE313" ca="1" si="27">IF(AB270&lt;&gt;"",IF($Y$8,0,AC270),0)</f>
        <v>0</v>
      </c>
      <c r="AF270" s="272"/>
      <c r="AG270" s="494" t="str">
        <f ca="1">IF('CDO Bespoke'!C295&lt;&gt;"",'CDO Bespoke'!C295,"")</f>
        <v/>
      </c>
      <c r="AH270" s="496"/>
      <c r="AI270" s="585"/>
      <c r="AJ270" s="585"/>
      <c r="AK270" s="585"/>
      <c r="AL270" s="497"/>
      <c r="AM270" s="496"/>
      <c r="AN270" s="585"/>
      <c r="AO270" s="585"/>
      <c r="AP270" s="585"/>
      <c r="AQ270" s="497"/>
      <c r="AR270" s="580"/>
      <c r="AS270" s="580"/>
      <c r="AT270" s="580"/>
      <c r="AU270" s="580"/>
      <c r="AV270" s="580"/>
      <c r="AW270" s="580"/>
      <c r="AX270" s="579"/>
    </row>
    <row r="271" spans="2:50">
      <c r="B271" s="539" t="s">
        <v>585</v>
      </c>
      <c r="C271" s="540" t="s">
        <v>66</v>
      </c>
      <c r="D271" s="540" t="s">
        <v>55</v>
      </c>
      <c r="E271" s="540" t="s">
        <v>649</v>
      </c>
      <c r="F271" s="540" t="s">
        <v>677</v>
      </c>
      <c r="G271" s="541">
        <v>0.01</v>
      </c>
      <c r="H271" s="541">
        <v>1.753E-3</v>
      </c>
      <c r="I271" s="542">
        <v>0.4</v>
      </c>
      <c r="J271" s="602">
        <v>6</v>
      </c>
      <c r="K271" s="543">
        <v>83</v>
      </c>
      <c r="L271" s="272"/>
      <c r="M271" s="272"/>
      <c r="P271" s="273"/>
      <c r="Q271" s="273"/>
      <c r="R271" s="273"/>
      <c r="S271" s="273"/>
      <c r="T271" s="273"/>
      <c r="U271" s="273"/>
      <c r="V271" s="273"/>
      <c r="W271" s="273"/>
      <c r="X271" s="484" t="str">
        <f ca="1">IF('CDO Bespoke'!O272&lt;&gt;"",'CDO Bespoke'!O272,"")</f>
        <v/>
      </c>
      <c r="Y271" s="485" t="str">
        <f ca="1">IF(X271&lt;&gt;"",ABS(MIN(-0.75*('CDO Bespoke'!Q272)+'CDO Bespoke'!T272,0)),"")</f>
        <v/>
      </c>
      <c r="Z271" s="485">
        <f t="shared" ca="1" si="24"/>
        <v>0</v>
      </c>
      <c r="AA271" s="485">
        <f t="shared" ca="1" si="25"/>
        <v>0</v>
      </c>
      <c r="AB271" s="484" t="str">
        <f ca="1">IF('CDO Bespoke'!O272&lt;&gt;"",'CDO Bespoke'!O272,"")</f>
        <v/>
      </c>
      <c r="AC271" s="485" t="str">
        <f ca="1">IF(AB271&lt;&gt;"",ABS(MIN(-0.75*('CDO Bespoke'!K272)+'CDO Bespoke'!T272,0)),"")</f>
        <v/>
      </c>
      <c r="AD271" s="485">
        <f t="shared" ca="1" si="26"/>
        <v>0</v>
      </c>
      <c r="AE271" s="489">
        <f t="shared" ca="1" si="27"/>
        <v>0</v>
      </c>
      <c r="AF271" s="272"/>
      <c r="AG271" s="494" t="str">
        <f ca="1">IF('CDO Bespoke'!C296&lt;&gt;"",'CDO Bespoke'!C296,"")</f>
        <v/>
      </c>
      <c r="AH271" s="496"/>
      <c r="AI271" s="585"/>
      <c r="AJ271" s="585"/>
      <c r="AK271" s="585"/>
      <c r="AL271" s="497"/>
      <c r="AM271" s="496"/>
      <c r="AN271" s="585"/>
      <c r="AO271" s="585"/>
      <c r="AP271" s="585"/>
      <c r="AQ271" s="497"/>
      <c r="AR271" s="580"/>
      <c r="AS271" s="580"/>
      <c r="AT271" s="580"/>
      <c r="AU271" s="580"/>
      <c r="AV271" s="580"/>
      <c r="AW271" s="580"/>
      <c r="AX271" s="579"/>
    </row>
    <row r="272" spans="2:50">
      <c r="B272" s="517" t="s">
        <v>585</v>
      </c>
      <c r="C272" s="518" t="s">
        <v>66</v>
      </c>
      <c r="D272" s="518" t="s">
        <v>57</v>
      </c>
      <c r="E272" s="518" t="s">
        <v>649</v>
      </c>
      <c r="F272" s="518" t="s">
        <v>677</v>
      </c>
      <c r="G272" s="525">
        <v>0.01</v>
      </c>
      <c r="H272" s="525">
        <v>3.101E-3</v>
      </c>
      <c r="I272" s="527">
        <v>0.4</v>
      </c>
      <c r="J272" s="594">
        <v>6</v>
      </c>
      <c r="K272" s="519">
        <v>83</v>
      </c>
      <c r="L272" s="272"/>
      <c r="M272" s="272"/>
      <c r="P272" s="273"/>
      <c r="Q272" s="273"/>
      <c r="R272" s="273"/>
      <c r="S272" s="273"/>
      <c r="T272" s="273"/>
      <c r="U272" s="273"/>
      <c r="V272" s="273"/>
      <c r="W272" s="273"/>
      <c r="X272" s="484" t="str">
        <f ca="1">IF('CDO Bespoke'!O273&lt;&gt;"",'CDO Bespoke'!O273,"")</f>
        <v/>
      </c>
      <c r="Y272" s="485" t="str">
        <f ca="1">IF(X272&lt;&gt;"",ABS(MIN(-0.75*('CDO Bespoke'!Q273)+'CDO Bespoke'!T273,0)),"")</f>
        <v/>
      </c>
      <c r="Z272" s="485">
        <f t="shared" ca="1" si="24"/>
        <v>0</v>
      </c>
      <c r="AA272" s="485">
        <f t="shared" ca="1" si="25"/>
        <v>0</v>
      </c>
      <c r="AB272" s="484" t="str">
        <f ca="1">IF('CDO Bespoke'!O273&lt;&gt;"",'CDO Bespoke'!O273,"")</f>
        <v/>
      </c>
      <c r="AC272" s="485" t="str">
        <f ca="1">IF(AB272&lt;&gt;"",ABS(MIN(-0.75*('CDO Bespoke'!K273)+'CDO Bespoke'!T273,0)),"")</f>
        <v/>
      </c>
      <c r="AD272" s="485">
        <f t="shared" ca="1" si="26"/>
        <v>0</v>
      </c>
      <c r="AE272" s="489">
        <f t="shared" ca="1" si="27"/>
        <v>0</v>
      </c>
      <c r="AF272" s="272"/>
      <c r="AG272" s="494" t="str">
        <f ca="1">IF('CDO Bespoke'!C297&lt;&gt;"",'CDO Bespoke'!C297,"")</f>
        <v/>
      </c>
      <c r="AH272" s="496"/>
      <c r="AI272" s="585"/>
      <c r="AJ272" s="585"/>
      <c r="AK272" s="585"/>
      <c r="AL272" s="497"/>
      <c r="AM272" s="496"/>
      <c r="AN272" s="585"/>
      <c r="AO272" s="585"/>
      <c r="AP272" s="585"/>
      <c r="AQ272" s="497"/>
      <c r="AR272" s="580"/>
      <c r="AS272" s="580"/>
      <c r="AT272" s="580"/>
      <c r="AU272" s="580"/>
      <c r="AV272" s="580"/>
      <c r="AW272" s="580"/>
      <c r="AX272" s="579"/>
    </row>
    <row r="273" spans="2:50">
      <c r="B273" s="534" t="s">
        <v>585</v>
      </c>
      <c r="C273" s="535" t="s">
        <v>66</v>
      </c>
      <c r="D273" s="535" t="s">
        <v>59</v>
      </c>
      <c r="E273" s="535" t="s">
        <v>649</v>
      </c>
      <c r="F273" s="535" t="s">
        <v>677</v>
      </c>
      <c r="G273" s="536">
        <v>0.01</v>
      </c>
      <c r="H273" s="536">
        <v>4.653E-3</v>
      </c>
      <c r="I273" s="537">
        <v>0.4</v>
      </c>
      <c r="J273" s="595">
        <v>6</v>
      </c>
      <c r="K273" s="538">
        <v>83</v>
      </c>
      <c r="L273" s="272"/>
      <c r="M273" s="272"/>
      <c r="P273" s="273"/>
      <c r="Q273" s="273"/>
      <c r="R273" s="273"/>
      <c r="S273" s="273"/>
      <c r="T273" s="273"/>
      <c r="U273" s="273"/>
      <c r="V273" s="273"/>
      <c r="W273" s="273"/>
      <c r="X273" s="484" t="str">
        <f ca="1">IF('CDO Bespoke'!O274&lt;&gt;"",'CDO Bespoke'!O274,"")</f>
        <v/>
      </c>
      <c r="Y273" s="485" t="str">
        <f ca="1">IF(X273&lt;&gt;"",ABS(MIN(-0.75*('CDO Bespoke'!Q274)+'CDO Bespoke'!T274,0)),"")</f>
        <v/>
      </c>
      <c r="Z273" s="485">
        <f t="shared" ca="1" si="24"/>
        <v>0</v>
      </c>
      <c r="AA273" s="485">
        <f t="shared" ca="1" si="25"/>
        <v>0</v>
      </c>
      <c r="AB273" s="484" t="str">
        <f ca="1">IF('CDO Bespoke'!O274&lt;&gt;"",'CDO Bespoke'!O274,"")</f>
        <v/>
      </c>
      <c r="AC273" s="485" t="str">
        <f ca="1">IF(AB273&lt;&gt;"",ABS(MIN(-0.75*('CDO Bespoke'!K274)+'CDO Bespoke'!T274,0)),"")</f>
        <v/>
      </c>
      <c r="AD273" s="485">
        <f t="shared" ca="1" si="26"/>
        <v>0</v>
      </c>
      <c r="AE273" s="489">
        <f t="shared" ca="1" si="27"/>
        <v>0</v>
      </c>
      <c r="AF273" s="272"/>
      <c r="AG273" s="494" t="str">
        <f ca="1">IF('CDO Bespoke'!C298&lt;&gt;"",'CDO Bespoke'!C298,"")</f>
        <v/>
      </c>
      <c r="AH273" s="496"/>
      <c r="AI273" s="585"/>
      <c r="AJ273" s="585"/>
      <c r="AK273" s="585"/>
      <c r="AL273" s="497"/>
      <c r="AM273" s="496"/>
      <c r="AN273" s="585"/>
      <c r="AO273" s="585"/>
      <c r="AP273" s="585"/>
      <c r="AQ273" s="497"/>
      <c r="AR273" s="580"/>
      <c r="AS273" s="580"/>
      <c r="AT273" s="580"/>
      <c r="AU273" s="580"/>
      <c r="AV273" s="580"/>
      <c r="AW273" s="580"/>
      <c r="AX273" s="579"/>
    </row>
    <row r="274" spans="2:50">
      <c r="B274" s="539" t="s">
        <v>586</v>
      </c>
      <c r="C274" s="540" t="s">
        <v>66</v>
      </c>
      <c r="D274" s="540" t="s">
        <v>55</v>
      </c>
      <c r="E274" s="540" t="s">
        <v>649</v>
      </c>
      <c r="F274" s="540" t="s">
        <v>673</v>
      </c>
      <c r="G274" s="541">
        <v>0.01</v>
      </c>
      <c r="H274" s="541">
        <v>3.1080000000000001E-3</v>
      </c>
      <c r="I274" s="542">
        <v>0.4</v>
      </c>
      <c r="J274" s="602">
        <v>5</v>
      </c>
      <c r="K274" s="543">
        <v>84</v>
      </c>
      <c r="L274" s="272"/>
      <c r="M274" s="272"/>
      <c r="P274" s="273"/>
      <c r="Q274" s="273"/>
      <c r="R274" s="273"/>
      <c r="S274" s="273"/>
      <c r="T274" s="273"/>
      <c r="U274" s="273"/>
      <c r="V274" s="273"/>
      <c r="W274" s="273"/>
      <c r="X274" s="484" t="str">
        <f ca="1">IF('CDO Bespoke'!O275&lt;&gt;"",'CDO Bespoke'!O275,"")</f>
        <v/>
      </c>
      <c r="Y274" s="485" t="str">
        <f ca="1">IF(X274&lt;&gt;"",ABS(MIN(-0.75*('CDO Bespoke'!Q275)+'CDO Bespoke'!T275,0)),"")</f>
        <v/>
      </c>
      <c r="Z274" s="485">
        <f t="shared" ca="1" si="24"/>
        <v>0</v>
      </c>
      <c r="AA274" s="485">
        <f t="shared" ca="1" si="25"/>
        <v>0</v>
      </c>
      <c r="AB274" s="484" t="str">
        <f ca="1">IF('CDO Bespoke'!O275&lt;&gt;"",'CDO Bespoke'!O275,"")</f>
        <v/>
      </c>
      <c r="AC274" s="485" t="str">
        <f ca="1">IF(AB274&lt;&gt;"",ABS(MIN(-0.75*('CDO Bespoke'!K275)+'CDO Bespoke'!T275,0)),"")</f>
        <v/>
      </c>
      <c r="AD274" s="485">
        <f t="shared" ca="1" si="26"/>
        <v>0</v>
      </c>
      <c r="AE274" s="489">
        <f t="shared" ca="1" si="27"/>
        <v>0</v>
      </c>
      <c r="AF274" s="272"/>
      <c r="AG274" s="494" t="str">
        <f ca="1">IF('CDO Bespoke'!C299&lt;&gt;"",'CDO Bespoke'!C299,"")</f>
        <v/>
      </c>
      <c r="AH274" s="496"/>
      <c r="AI274" s="585"/>
      <c r="AJ274" s="585"/>
      <c r="AK274" s="585"/>
      <c r="AL274" s="497"/>
      <c r="AM274" s="496"/>
      <c r="AN274" s="585"/>
      <c r="AO274" s="585"/>
      <c r="AP274" s="585"/>
      <c r="AQ274" s="497"/>
      <c r="AR274" s="580"/>
      <c r="AS274" s="580"/>
      <c r="AT274" s="580"/>
      <c r="AU274" s="580"/>
      <c r="AV274" s="580"/>
      <c r="AW274" s="580"/>
      <c r="AX274" s="579"/>
    </row>
    <row r="275" spans="2:50">
      <c r="B275" s="517" t="s">
        <v>586</v>
      </c>
      <c r="C275" s="518" t="s">
        <v>66</v>
      </c>
      <c r="D275" s="518" t="s">
        <v>57</v>
      </c>
      <c r="E275" s="518" t="s">
        <v>649</v>
      </c>
      <c r="F275" s="518" t="s">
        <v>673</v>
      </c>
      <c r="G275" s="525">
        <v>0.01</v>
      </c>
      <c r="H275" s="525">
        <v>5.4169999999999999E-3</v>
      </c>
      <c r="I275" s="527">
        <v>0.4</v>
      </c>
      <c r="J275" s="594">
        <v>5</v>
      </c>
      <c r="K275" s="519">
        <v>84</v>
      </c>
      <c r="L275" s="272"/>
      <c r="M275" s="272"/>
      <c r="P275" s="273"/>
      <c r="Q275" s="273"/>
      <c r="R275" s="273"/>
      <c r="S275" s="273"/>
      <c r="T275" s="273"/>
      <c r="U275" s="273"/>
      <c r="V275" s="273"/>
      <c r="W275" s="273"/>
      <c r="X275" s="484" t="str">
        <f ca="1">IF('CDO Bespoke'!O276&lt;&gt;"",'CDO Bespoke'!O276,"")</f>
        <v/>
      </c>
      <c r="Y275" s="485" t="str">
        <f ca="1">IF(X275&lt;&gt;"",ABS(MIN(-0.75*('CDO Bespoke'!Q276)+'CDO Bespoke'!T276,0)),"")</f>
        <v/>
      </c>
      <c r="Z275" s="485">
        <f t="shared" ca="1" si="24"/>
        <v>0</v>
      </c>
      <c r="AA275" s="485">
        <f t="shared" ca="1" si="25"/>
        <v>0</v>
      </c>
      <c r="AB275" s="484" t="str">
        <f ca="1">IF('CDO Bespoke'!O276&lt;&gt;"",'CDO Bespoke'!O276,"")</f>
        <v/>
      </c>
      <c r="AC275" s="485" t="str">
        <f ca="1">IF(AB275&lt;&gt;"",ABS(MIN(-0.75*('CDO Bespoke'!K276)+'CDO Bespoke'!T276,0)),"")</f>
        <v/>
      </c>
      <c r="AD275" s="485">
        <f t="shared" ca="1" si="26"/>
        <v>0</v>
      </c>
      <c r="AE275" s="489">
        <f t="shared" ca="1" si="27"/>
        <v>0</v>
      </c>
      <c r="AF275" s="272"/>
      <c r="AG275" s="494" t="str">
        <f ca="1">IF('CDO Bespoke'!C300&lt;&gt;"",'CDO Bespoke'!C300,"")</f>
        <v/>
      </c>
      <c r="AH275" s="496"/>
      <c r="AI275" s="585"/>
      <c r="AJ275" s="585"/>
      <c r="AK275" s="585"/>
      <c r="AL275" s="497"/>
      <c r="AM275" s="496"/>
      <c r="AN275" s="585"/>
      <c r="AO275" s="585"/>
      <c r="AP275" s="585"/>
      <c r="AQ275" s="497"/>
      <c r="AR275" s="580"/>
      <c r="AS275" s="580"/>
      <c r="AT275" s="580"/>
      <c r="AU275" s="580"/>
      <c r="AV275" s="580"/>
      <c r="AW275" s="580"/>
      <c r="AX275" s="579"/>
    </row>
    <row r="276" spans="2:50">
      <c r="B276" s="534" t="s">
        <v>586</v>
      </c>
      <c r="C276" s="535" t="s">
        <v>66</v>
      </c>
      <c r="D276" s="535" t="s">
        <v>59</v>
      </c>
      <c r="E276" s="535" t="s">
        <v>649</v>
      </c>
      <c r="F276" s="535" t="s">
        <v>673</v>
      </c>
      <c r="G276" s="536">
        <v>0.01</v>
      </c>
      <c r="H276" s="536">
        <v>8.0789999999999994E-3</v>
      </c>
      <c r="I276" s="537">
        <v>0.4</v>
      </c>
      <c r="J276" s="595">
        <v>5</v>
      </c>
      <c r="K276" s="538">
        <v>84</v>
      </c>
      <c r="L276" s="272"/>
      <c r="M276" s="272"/>
      <c r="P276" s="273"/>
      <c r="Q276" s="273"/>
      <c r="R276" s="273"/>
      <c r="S276" s="273"/>
      <c r="T276" s="273"/>
      <c r="U276" s="273"/>
      <c r="V276" s="273"/>
      <c r="W276" s="273"/>
      <c r="X276" s="484" t="str">
        <f ca="1">IF('CDO Bespoke'!O277&lt;&gt;"",'CDO Bespoke'!O277,"")</f>
        <v/>
      </c>
      <c r="Y276" s="485" t="str">
        <f ca="1">IF(X276&lt;&gt;"",ABS(MIN(-0.75*('CDO Bespoke'!Q277)+'CDO Bespoke'!T277,0)),"")</f>
        <v/>
      </c>
      <c r="Z276" s="485">
        <f t="shared" ca="1" si="24"/>
        <v>0</v>
      </c>
      <c r="AA276" s="485">
        <f t="shared" ca="1" si="25"/>
        <v>0</v>
      </c>
      <c r="AB276" s="484" t="str">
        <f ca="1">IF('CDO Bespoke'!O277&lt;&gt;"",'CDO Bespoke'!O277,"")</f>
        <v/>
      </c>
      <c r="AC276" s="485" t="str">
        <f ca="1">IF(AB276&lt;&gt;"",ABS(MIN(-0.75*('CDO Bespoke'!K277)+'CDO Bespoke'!T277,0)),"")</f>
        <v/>
      </c>
      <c r="AD276" s="485">
        <f t="shared" ca="1" si="26"/>
        <v>0</v>
      </c>
      <c r="AE276" s="489">
        <f t="shared" ca="1" si="27"/>
        <v>0</v>
      </c>
      <c r="AF276" s="272"/>
      <c r="AG276" s="494" t="str">
        <f ca="1">IF('CDO Bespoke'!C301&lt;&gt;"",'CDO Bespoke'!C301,"")</f>
        <v/>
      </c>
      <c r="AH276" s="496"/>
      <c r="AI276" s="585"/>
      <c r="AJ276" s="585"/>
      <c r="AK276" s="585"/>
      <c r="AL276" s="497"/>
      <c r="AM276" s="496"/>
      <c r="AN276" s="585"/>
      <c r="AO276" s="585"/>
      <c r="AP276" s="585"/>
      <c r="AQ276" s="497"/>
      <c r="AR276" s="580"/>
      <c r="AS276" s="580"/>
      <c r="AT276" s="580"/>
      <c r="AU276" s="580"/>
      <c r="AV276" s="580"/>
      <c r="AW276" s="580"/>
      <c r="AX276" s="579"/>
    </row>
    <row r="277" spans="2:50">
      <c r="B277" s="539" t="s">
        <v>595</v>
      </c>
      <c r="C277" s="540" t="s">
        <v>66</v>
      </c>
      <c r="D277" s="540" t="s">
        <v>55</v>
      </c>
      <c r="E277" s="540" t="s">
        <v>649</v>
      </c>
      <c r="F277" s="540" t="s">
        <v>673</v>
      </c>
      <c r="G277" s="541">
        <v>0.01</v>
      </c>
      <c r="H277" s="541">
        <v>2.4889999999999999E-3</v>
      </c>
      <c r="I277" s="542">
        <v>0.4</v>
      </c>
      <c r="J277" s="602">
        <v>5</v>
      </c>
      <c r="K277" s="543">
        <v>85</v>
      </c>
      <c r="L277" s="272"/>
      <c r="M277" s="272"/>
      <c r="P277" s="273"/>
      <c r="Q277" s="273"/>
      <c r="R277" s="273"/>
      <c r="S277" s="273"/>
      <c r="T277" s="273"/>
      <c r="U277" s="273"/>
      <c r="V277" s="273"/>
      <c r="W277" s="273"/>
      <c r="X277" s="484" t="str">
        <f ca="1">IF('CDO Bespoke'!O278&lt;&gt;"",'CDO Bespoke'!O278,"")</f>
        <v/>
      </c>
      <c r="Y277" s="485" t="str">
        <f ca="1">IF(X277&lt;&gt;"",ABS(MIN(-0.75*('CDO Bespoke'!Q278)+'CDO Bespoke'!T278,0)),"")</f>
        <v/>
      </c>
      <c r="Z277" s="485">
        <f t="shared" ca="1" si="24"/>
        <v>0</v>
      </c>
      <c r="AA277" s="485">
        <f t="shared" ca="1" si="25"/>
        <v>0</v>
      </c>
      <c r="AB277" s="484" t="str">
        <f ca="1">IF('CDO Bespoke'!O278&lt;&gt;"",'CDO Bespoke'!O278,"")</f>
        <v/>
      </c>
      <c r="AC277" s="485" t="str">
        <f ca="1">IF(AB277&lt;&gt;"",ABS(MIN(-0.75*('CDO Bespoke'!K278)+'CDO Bespoke'!T278,0)),"")</f>
        <v/>
      </c>
      <c r="AD277" s="485">
        <f t="shared" ca="1" si="26"/>
        <v>0</v>
      </c>
      <c r="AE277" s="489">
        <f t="shared" ca="1" si="27"/>
        <v>0</v>
      </c>
      <c r="AF277" s="272"/>
      <c r="AG277" s="494" t="str">
        <f ca="1">IF('CDO Bespoke'!C302&lt;&gt;"",'CDO Bespoke'!C302,"")</f>
        <v/>
      </c>
      <c r="AH277" s="496"/>
      <c r="AI277" s="585"/>
      <c r="AJ277" s="585"/>
      <c r="AK277" s="585"/>
      <c r="AL277" s="497"/>
      <c r="AM277" s="496"/>
      <c r="AN277" s="585"/>
      <c r="AO277" s="585"/>
      <c r="AP277" s="585"/>
      <c r="AQ277" s="497"/>
      <c r="AR277" s="580"/>
      <c r="AS277" s="580"/>
      <c r="AT277" s="580"/>
      <c r="AU277" s="580"/>
      <c r="AV277" s="580"/>
      <c r="AW277" s="580"/>
      <c r="AX277" s="579"/>
    </row>
    <row r="278" spans="2:50">
      <c r="B278" s="517" t="s">
        <v>595</v>
      </c>
      <c r="C278" s="518" t="s">
        <v>66</v>
      </c>
      <c r="D278" s="518" t="s">
        <v>57</v>
      </c>
      <c r="E278" s="518" t="s">
        <v>649</v>
      </c>
      <c r="F278" s="518" t="s">
        <v>673</v>
      </c>
      <c r="G278" s="525">
        <v>0.01</v>
      </c>
      <c r="H278" s="525">
        <v>4.5339999999999998E-3</v>
      </c>
      <c r="I278" s="527">
        <v>0.4</v>
      </c>
      <c r="J278" s="594">
        <v>5</v>
      </c>
      <c r="K278" s="519">
        <v>85</v>
      </c>
      <c r="L278" s="272"/>
      <c r="M278" s="272"/>
      <c r="P278" s="273"/>
      <c r="Q278" s="273"/>
      <c r="R278" s="273"/>
      <c r="S278" s="273"/>
      <c r="T278" s="273"/>
      <c r="U278" s="273"/>
      <c r="V278" s="273"/>
      <c r="W278" s="273"/>
      <c r="X278" s="484" t="str">
        <f ca="1">IF('CDO Bespoke'!O279&lt;&gt;"",'CDO Bespoke'!O279,"")</f>
        <v/>
      </c>
      <c r="Y278" s="485" t="str">
        <f ca="1">IF(X278&lt;&gt;"",ABS(MIN(-0.75*('CDO Bespoke'!Q279)+'CDO Bespoke'!T279,0)),"")</f>
        <v/>
      </c>
      <c r="Z278" s="485">
        <f t="shared" ca="1" si="24"/>
        <v>0</v>
      </c>
      <c r="AA278" s="485">
        <f t="shared" ca="1" si="25"/>
        <v>0</v>
      </c>
      <c r="AB278" s="484" t="str">
        <f ca="1">IF('CDO Bespoke'!O279&lt;&gt;"",'CDO Bespoke'!O279,"")</f>
        <v/>
      </c>
      <c r="AC278" s="485" t="str">
        <f ca="1">IF(AB278&lt;&gt;"",ABS(MIN(-0.75*('CDO Bespoke'!K279)+'CDO Bespoke'!T279,0)),"")</f>
        <v/>
      </c>
      <c r="AD278" s="485">
        <f t="shared" ca="1" si="26"/>
        <v>0</v>
      </c>
      <c r="AE278" s="489">
        <f t="shared" ca="1" si="27"/>
        <v>0</v>
      </c>
      <c r="AF278" s="272"/>
      <c r="AG278" s="494" t="str">
        <f ca="1">IF('CDO Bespoke'!C303&lt;&gt;"",'CDO Bespoke'!C303,"")</f>
        <v/>
      </c>
      <c r="AH278" s="496"/>
      <c r="AI278" s="585"/>
      <c r="AJ278" s="585"/>
      <c r="AK278" s="585"/>
      <c r="AL278" s="497"/>
      <c r="AM278" s="496"/>
      <c r="AN278" s="585"/>
      <c r="AO278" s="585"/>
      <c r="AP278" s="585"/>
      <c r="AQ278" s="497"/>
      <c r="AR278" s="580"/>
      <c r="AS278" s="580"/>
      <c r="AT278" s="580"/>
      <c r="AU278" s="580"/>
      <c r="AV278" s="580"/>
      <c r="AW278" s="580"/>
      <c r="AX278" s="579"/>
    </row>
    <row r="279" spans="2:50">
      <c r="B279" s="534" t="s">
        <v>595</v>
      </c>
      <c r="C279" s="535" t="s">
        <v>66</v>
      </c>
      <c r="D279" s="535" t="s">
        <v>59</v>
      </c>
      <c r="E279" s="535" t="s">
        <v>649</v>
      </c>
      <c r="F279" s="535" t="s">
        <v>673</v>
      </c>
      <c r="G279" s="536">
        <v>0.01</v>
      </c>
      <c r="H279" s="536">
        <v>6.875E-3</v>
      </c>
      <c r="I279" s="537">
        <v>0.4</v>
      </c>
      <c r="J279" s="595">
        <v>5</v>
      </c>
      <c r="K279" s="538">
        <v>85</v>
      </c>
      <c r="L279" s="272"/>
      <c r="M279" s="272"/>
      <c r="P279" s="273"/>
      <c r="Q279" s="273"/>
      <c r="R279" s="273"/>
      <c r="S279" s="273"/>
      <c r="T279" s="273"/>
      <c r="U279" s="273"/>
      <c r="V279" s="273"/>
      <c r="W279" s="273"/>
      <c r="X279" s="484" t="str">
        <f ca="1">IF('CDO Bespoke'!O280&lt;&gt;"",'CDO Bespoke'!O280,"")</f>
        <v/>
      </c>
      <c r="Y279" s="485" t="str">
        <f ca="1">IF(X279&lt;&gt;"",ABS(MIN(-0.75*('CDO Bespoke'!Q280)+'CDO Bespoke'!T280,0)),"")</f>
        <v/>
      </c>
      <c r="Z279" s="485">
        <f t="shared" ca="1" si="24"/>
        <v>0</v>
      </c>
      <c r="AA279" s="485">
        <f t="shared" ca="1" si="25"/>
        <v>0</v>
      </c>
      <c r="AB279" s="484" t="str">
        <f ca="1">IF('CDO Bespoke'!O280&lt;&gt;"",'CDO Bespoke'!O280,"")</f>
        <v/>
      </c>
      <c r="AC279" s="485" t="str">
        <f ca="1">IF(AB279&lt;&gt;"",ABS(MIN(-0.75*('CDO Bespoke'!K280)+'CDO Bespoke'!T280,0)),"")</f>
        <v/>
      </c>
      <c r="AD279" s="485">
        <f t="shared" ca="1" si="26"/>
        <v>0</v>
      </c>
      <c r="AE279" s="489">
        <f t="shared" ca="1" si="27"/>
        <v>0</v>
      </c>
      <c r="AF279" s="272"/>
      <c r="AG279" s="494" t="str">
        <f ca="1">IF('CDO Bespoke'!C304&lt;&gt;"",'CDO Bespoke'!C304,"")</f>
        <v/>
      </c>
      <c r="AH279" s="496"/>
      <c r="AI279" s="585"/>
      <c r="AJ279" s="585"/>
      <c r="AK279" s="585"/>
      <c r="AL279" s="497"/>
      <c r="AM279" s="496"/>
      <c r="AN279" s="585"/>
      <c r="AO279" s="585"/>
      <c r="AP279" s="585"/>
      <c r="AQ279" s="497"/>
      <c r="AR279" s="580"/>
      <c r="AS279" s="580"/>
      <c r="AT279" s="580"/>
      <c r="AU279" s="580"/>
      <c r="AV279" s="580"/>
      <c r="AW279" s="580"/>
      <c r="AX279" s="579"/>
    </row>
    <row r="280" spans="2:50">
      <c r="B280" s="539" t="s">
        <v>587</v>
      </c>
      <c r="C280" s="540" t="s">
        <v>66</v>
      </c>
      <c r="D280" s="540" t="s">
        <v>55</v>
      </c>
      <c r="E280" s="540" t="s">
        <v>649</v>
      </c>
      <c r="F280" s="540" t="s">
        <v>677</v>
      </c>
      <c r="G280" s="541">
        <v>0.01</v>
      </c>
      <c r="H280" s="541">
        <v>9.5580000000000005E-3</v>
      </c>
      <c r="I280" s="542">
        <v>0.4</v>
      </c>
      <c r="J280" s="602">
        <v>6</v>
      </c>
      <c r="K280" s="543">
        <v>86</v>
      </c>
      <c r="L280" s="272"/>
      <c r="M280" s="272"/>
      <c r="P280" s="273"/>
      <c r="Q280" s="273"/>
      <c r="R280" s="273"/>
      <c r="S280" s="273"/>
      <c r="T280" s="273"/>
      <c r="U280" s="273"/>
      <c r="V280" s="273"/>
      <c r="W280" s="273"/>
      <c r="X280" s="484" t="str">
        <f ca="1">IF('CDO Bespoke'!O281&lt;&gt;"",'CDO Bespoke'!O281,"")</f>
        <v/>
      </c>
      <c r="Y280" s="485" t="str">
        <f ca="1">IF(X280&lt;&gt;"",ABS(MIN(-0.75*('CDO Bespoke'!Q281)+'CDO Bespoke'!T281,0)),"")</f>
        <v/>
      </c>
      <c r="Z280" s="485">
        <f t="shared" ca="1" si="24"/>
        <v>0</v>
      </c>
      <c r="AA280" s="485">
        <f t="shared" ca="1" si="25"/>
        <v>0</v>
      </c>
      <c r="AB280" s="484" t="str">
        <f ca="1">IF('CDO Bespoke'!O281&lt;&gt;"",'CDO Bespoke'!O281,"")</f>
        <v/>
      </c>
      <c r="AC280" s="485" t="str">
        <f ca="1">IF(AB280&lt;&gt;"",ABS(MIN(-0.75*('CDO Bespoke'!K281)+'CDO Bespoke'!T281,0)),"")</f>
        <v/>
      </c>
      <c r="AD280" s="485">
        <f t="shared" ca="1" si="26"/>
        <v>0</v>
      </c>
      <c r="AE280" s="489">
        <f t="shared" ca="1" si="27"/>
        <v>0</v>
      </c>
      <c r="AF280" s="272"/>
      <c r="AG280" s="494" t="str">
        <f ca="1">IF('CDO Bespoke'!C305&lt;&gt;"",'CDO Bespoke'!C305,"")</f>
        <v/>
      </c>
      <c r="AH280" s="496"/>
      <c r="AI280" s="585"/>
      <c r="AJ280" s="585"/>
      <c r="AK280" s="585"/>
      <c r="AL280" s="497"/>
      <c r="AM280" s="496"/>
      <c r="AN280" s="585"/>
      <c r="AO280" s="585"/>
      <c r="AP280" s="585"/>
      <c r="AQ280" s="497"/>
      <c r="AR280" s="580"/>
      <c r="AS280" s="580"/>
      <c r="AT280" s="580"/>
      <c r="AU280" s="580"/>
      <c r="AV280" s="580"/>
      <c r="AW280" s="580"/>
      <c r="AX280" s="579"/>
    </row>
    <row r="281" spans="2:50">
      <c r="B281" s="517" t="s">
        <v>587</v>
      </c>
      <c r="C281" s="518" t="s">
        <v>66</v>
      </c>
      <c r="D281" s="518" t="s">
        <v>57</v>
      </c>
      <c r="E281" s="518" t="s">
        <v>649</v>
      </c>
      <c r="F281" s="518" t="s">
        <v>677</v>
      </c>
      <c r="G281" s="525">
        <v>0.01</v>
      </c>
      <c r="H281" s="525">
        <v>1.5862999999999999E-2</v>
      </c>
      <c r="I281" s="527">
        <v>0.4</v>
      </c>
      <c r="J281" s="594">
        <v>6</v>
      </c>
      <c r="K281" s="519">
        <v>86</v>
      </c>
      <c r="L281" s="272"/>
      <c r="M281" s="272"/>
      <c r="P281" s="273"/>
      <c r="Q281" s="273"/>
      <c r="R281" s="273"/>
      <c r="S281" s="273"/>
      <c r="T281" s="273"/>
      <c r="U281" s="273"/>
      <c r="V281" s="273"/>
      <c r="W281" s="273"/>
      <c r="X281" s="484" t="str">
        <f ca="1">IF('CDO Bespoke'!O282&lt;&gt;"",'CDO Bespoke'!O282,"")</f>
        <v/>
      </c>
      <c r="Y281" s="485" t="str">
        <f ca="1">IF(X281&lt;&gt;"",ABS(MIN(-0.75*('CDO Bespoke'!Q282)+'CDO Bespoke'!T282,0)),"")</f>
        <v/>
      </c>
      <c r="Z281" s="485">
        <f t="shared" ca="1" si="24"/>
        <v>0</v>
      </c>
      <c r="AA281" s="485">
        <f t="shared" ca="1" si="25"/>
        <v>0</v>
      </c>
      <c r="AB281" s="484" t="str">
        <f ca="1">IF('CDO Bespoke'!O282&lt;&gt;"",'CDO Bespoke'!O282,"")</f>
        <v/>
      </c>
      <c r="AC281" s="485" t="str">
        <f ca="1">IF(AB281&lt;&gt;"",ABS(MIN(-0.75*('CDO Bespoke'!K282)+'CDO Bespoke'!T282,0)),"")</f>
        <v/>
      </c>
      <c r="AD281" s="485">
        <f t="shared" ca="1" si="26"/>
        <v>0</v>
      </c>
      <c r="AE281" s="489">
        <f t="shared" ca="1" si="27"/>
        <v>0</v>
      </c>
      <c r="AF281" s="272"/>
      <c r="AG281" s="494" t="str">
        <f ca="1">IF('CDO Bespoke'!C306&lt;&gt;"",'CDO Bespoke'!C306,"")</f>
        <v/>
      </c>
      <c r="AH281" s="496"/>
      <c r="AI281" s="585"/>
      <c r="AJ281" s="585"/>
      <c r="AK281" s="585"/>
      <c r="AL281" s="497"/>
      <c r="AM281" s="496"/>
      <c r="AN281" s="585"/>
      <c r="AO281" s="585"/>
      <c r="AP281" s="585"/>
      <c r="AQ281" s="497"/>
      <c r="AR281" s="580"/>
      <c r="AS281" s="580"/>
      <c r="AT281" s="580"/>
      <c r="AU281" s="580"/>
      <c r="AV281" s="580"/>
      <c r="AW281" s="580"/>
      <c r="AX281" s="579"/>
    </row>
    <row r="282" spans="2:50">
      <c r="B282" s="534" t="s">
        <v>587</v>
      </c>
      <c r="C282" s="535" t="s">
        <v>66</v>
      </c>
      <c r="D282" s="535" t="s">
        <v>59</v>
      </c>
      <c r="E282" s="535" t="s">
        <v>649</v>
      </c>
      <c r="F282" s="535" t="s">
        <v>677</v>
      </c>
      <c r="G282" s="536">
        <v>0.01</v>
      </c>
      <c r="H282" s="536">
        <v>1.9740000000000001E-2</v>
      </c>
      <c r="I282" s="537">
        <v>0.4</v>
      </c>
      <c r="J282" s="595">
        <v>6</v>
      </c>
      <c r="K282" s="538">
        <v>86</v>
      </c>
      <c r="L282" s="272"/>
      <c r="M282" s="272"/>
      <c r="P282" s="273"/>
      <c r="Q282" s="273"/>
      <c r="R282" s="273"/>
      <c r="S282" s="273"/>
      <c r="T282" s="273"/>
      <c r="U282" s="273"/>
      <c r="V282" s="273"/>
      <c r="W282" s="273"/>
      <c r="X282" s="484" t="str">
        <f ca="1">IF('CDO Bespoke'!O283&lt;&gt;"",'CDO Bespoke'!O283,"")</f>
        <v/>
      </c>
      <c r="Y282" s="485" t="str">
        <f ca="1">IF(X282&lt;&gt;"",ABS(MIN(-0.75*('CDO Bespoke'!Q283)+'CDO Bespoke'!T283,0)),"")</f>
        <v/>
      </c>
      <c r="Z282" s="485">
        <f t="shared" ca="1" si="24"/>
        <v>0</v>
      </c>
      <c r="AA282" s="485">
        <f t="shared" ca="1" si="25"/>
        <v>0</v>
      </c>
      <c r="AB282" s="484" t="str">
        <f ca="1">IF('CDO Bespoke'!O283&lt;&gt;"",'CDO Bespoke'!O283,"")</f>
        <v/>
      </c>
      <c r="AC282" s="485" t="str">
        <f ca="1">IF(AB282&lt;&gt;"",ABS(MIN(-0.75*('CDO Bespoke'!K283)+'CDO Bespoke'!T283,0)),"")</f>
        <v/>
      </c>
      <c r="AD282" s="485">
        <f t="shared" ca="1" si="26"/>
        <v>0</v>
      </c>
      <c r="AE282" s="489">
        <f t="shared" ca="1" si="27"/>
        <v>0</v>
      </c>
      <c r="AF282" s="272"/>
      <c r="AG282" s="494" t="str">
        <f ca="1">IF('CDO Bespoke'!C307&lt;&gt;"",'CDO Bespoke'!C307,"")</f>
        <v/>
      </c>
      <c r="AH282" s="496"/>
      <c r="AI282" s="585"/>
      <c r="AJ282" s="585"/>
      <c r="AK282" s="585"/>
      <c r="AL282" s="497"/>
      <c r="AM282" s="496"/>
      <c r="AN282" s="585"/>
      <c r="AO282" s="585"/>
      <c r="AP282" s="585"/>
      <c r="AQ282" s="497"/>
      <c r="AR282" s="580"/>
      <c r="AS282" s="580"/>
      <c r="AT282" s="580"/>
      <c r="AU282" s="580"/>
      <c r="AV282" s="580"/>
      <c r="AW282" s="580"/>
      <c r="AX282" s="579"/>
    </row>
    <row r="283" spans="2:50">
      <c r="B283" s="539" t="s">
        <v>617</v>
      </c>
      <c r="C283" s="540" t="s">
        <v>66</v>
      </c>
      <c r="D283" s="540" t="s">
        <v>55</v>
      </c>
      <c r="E283" s="540" t="s">
        <v>647</v>
      </c>
      <c r="F283" s="540" t="s">
        <v>673</v>
      </c>
      <c r="G283" s="541">
        <v>0.01</v>
      </c>
      <c r="H283" s="541">
        <v>7.8799999999999996E-4</v>
      </c>
      <c r="I283" s="542">
        <v>0.4</v>
      </c>
      <c r="J283" s="602">
        <v>5</v>
      </c>
      <c r="K283" s="543">
        <v>87</v>
      </c>
      <c r="L283" s="272"/>
      <c r="M283" s="272"/>
      <c r="P283" s="273"/>
      <c r="Q283" s="273"/>
      <c r="R283" s="273"/>
      <c r="S283" s="273"/>
      <c r="T283" s="273"/>
      <c r="U283" s="273"/>
      <c r="V283" s="273"/>
      <c r="W283" s="273"/>
      <c r="X283" s="484" t="str">
        <f ca="1">IF('CDO Bespoke'!O284&lt;&gt;"",'CDO Bespoke'!O284,"")</f>
        <v/>
      </c>
      <c r="Y283" s="485" t="str">
        <f ca="1">IF(X283&lt;&gt;"",ABS(MIN(-0.75*('CDO Bespoke'!Q284)+'CDO Bespoke'!T284,0)),"")</f>
        <v/>
      </c>
      <c r="Z283" s="485">
        <f t="shared" ca="1" si="24"/>
        <v>0</v>
      </c>
      <c r="AA283" s="485">
        <f t="shared" ca="1" si="25"/>
        <v>0</v>
      </c>
      <c r="AB283" s="484" t="str">
        <f ca="1">IF('CDO Bespoke'!O284&lt;&gt;"",'CDO Bespoke'!O284,"")</f>
        <v/>
      </c>
      <c r="AC283" s="485" t="str">
        <f ca="1">IF(AB283&lt;&gt;"",ABS(MIN(-0.75*('CDO Bespoke'!K284)+'CDO Bespoke'!T284,0)),"")</f>
        <v/>
      </c>
      <c r="AD283" s="485">
        <f t="shared" ca="1" si="26"/>
        <v>0</v>
      </c>
      <c r="AE283" s="489">
        <f t="shared" ca="1" si="27"/>
        <v>0</v>
      </c>
      <c r="AF283" s="272"/>
      <c r="AG283" s="494" t="str">
        <f ca="1">IF('CDO Bespoke'!C308&lt;&gt;"",'CDO Bespoke'!C308,"")</f>
        <v/>
      </c>
      <c r="AH283" s="496"/>
      <c r="AI283" s="585"/>
      <c r="AJ283" s="585"/>
      <c r="AK283" s="585"/>
      <c r="AL283" s="497"/>
      <c r="AM283" s="496"/>
      <c r="AN283" s="585"/>
      <c r="AO283" s="585"/>
      <c r="AP283" s="585"/>
      <c r="AQ283" s="497"/>
      <c r="AR283" s="580"/>
      <c r="AS283" s="580"/>
      <c r="AT283" s="580"/>
      <c r="AU283" s="580"/>
      <c r="AV283" s="580"/>
      <c r="AW283" s="580"/>
      <c r="AX283" s="579"/>
    </row>
    <row r="284" spans="2:50">
      <c r="B284" s="517" t="s">
        <v>617</v>
      </c>
      <c r="C284" s="518" t="s">
        <v>66</v>
      </c>
      <c r="D284" s="518" t="s">
        <v>57</v>
      </c>
      <c r="E284" s="518" t="s">
        <v>647</v>
      </c>
      <c r="F284" s="518" t="s">
        <v>673</v>
      </c>
      <c r="G284" s="525">
        <v>0.01</v>
      </c>
      <c r="H284" s="525">
        <v>1.3649999999999999E-3</v>
      </c>
      <c r="I284" s="527">
        <v>0.4</v>
      </c>
      <c r="J284" s="594">
        <v>5</v>
      </c>
      <c r="K284" s="519">
        <v>87</v>
      </c>
      <c r="L284" s="272"/>
      <c r="M284" s="272"/>
      <c r="P284" s="273"/>
      <c r="Q284" s="273"/>
      <c r="R284" s="273"/>
      <c r="S284" s="273"/>
      <c r="T284" s="273"/>
      <c r="U284" s="273"/>
      <c r="V284" s="273"/>
      <c r="W284" s="273"/>
      <c r="X284" s="484" t="str">
        <f ca="1">IF('CDO Bespoke'!O285&lt;&gt;"",'CDO Bespoke'!O285,"")</f>
        <v/>
      </c>
      <c r="Y284" s="485" t="str">
        <f ca="1">IF(X284&lt;&gt;"",ABS(MIN(-0.75*('CDO Bespoke'!Q285)+'CDO Bespoke'!T285,0)),"")</f>
        <v/>
      </c>
      <c r="Z284" s="485">
        <f t="shared" ca="1" si="24"/>
        <v>0</v>
      </c>
      <c r="AA284" s="485">
        <f t="shared" ca="1" si="25"/>
        <v>0</v>
      </c>
      <c r="AB284" s="484" t="str">
        <f ca="1">IF('CDO Bespoke'!O285&lt;&gt;"",'CDO Bespoke'!O285,"")</f>
        <v/>
      </c>
      <c r="AC284" s="485" t="str">
        <f ca="1">IF(AB284&lt;&gt;"",ABS(MIN(-0.75*('CDO Bespoke'!K285)+'CDO Bespoke'!T285,0)),"")</f>
        <v/>
      </c>
      <c r="AD284" s="485">
        <f t="shared" ca="1" si="26"/>
        <v>0</v>
      </c>
      <c r="AE284" s="489">
        <f t="shared" ca="1" si="27"/>
        <v>0</v>
      </c>
      <c r="AF284" s="272"/>
      <c r="AG284" s="494" t="str">
        <f ca="1">IF('CDO Bespoke'!C309&lt;&gt;"",'CDO Bespoke'!C309,"")</f>
        <v/>
      </c>
      <c r="AH284" s="496"/>
      <c r="AI284" s="585"/>
      <c r="AJ284" s="585"/>
      <c r="AK284" s="585"/>
      <c r="AL284" s="497"/>
      <c r="AM284" s="496"/>
      <c r="AN284" s="585"/>
      <c r="AO284" s="585"/>
      <c r="AP284" s="585"/>
      <c r="AQ284" s="497"/>
      <c r="AR284" s="580"/>
      <c r="AS284" s="580"/>
      <c r="AT284" s="580"/>
      <c r="AU284" s="580"/>
      <c r="AV284" s="580"/>
      <c r="AW284" s="580"/>
      <c r="AX284" s="579"/>
    </row>
    <row r="285" spans="2:50">
      <c r="B285" s="534" t="s">
        <v>617</v>
      </c>
      <c r="C285" s="535" t="s">
        <v>66</v>
      </c>
      <c r="D285" s="535" t="s">
        <v>59</v>
      </c>
      <c r="E285" s="535" t="s">
        <v>647</v>
      </c>
      <c r="F285" s="535" t="s">
        <v>673</v>
      </c>
      <c r="G285" s="536">
        <v>0.01</v>
      </c>
      <c r="H285" s="536">
        <v>2.568E-3</v>
      </c>
      <c r="I285" s="537">
        <v>0.4</v>
      </c>
      <c r="J285" s="595">
        <v>5</v>
      </c>
      <c r="K285" s="538">
        <v>87</v>
      </c>
      <c r="L285" s="272"/>
      <c r="M285" s="272"/>
      <c r="P285" s="273"/>
      <c r="Q285" s="273"/>
      <c r="R285" s="273"/>
      <c r="S285" s="273"/>
      <c r="T285" s="273"/>
      <c r="U285" s="273"/>
      <c r="V285" s="273"/>
      <c r="W285" s="273"/>
      <c r="X285" s="484" t="str">
        <f ca="1">IF('CDO Bespoke'!O286&lt;&gt;"",'CDO Bespoke'!O286,"")</f>
        <v/>
      </c>
      <c r="Y285" s="485" t="str">
        <f ca="1">IF(X285&lt;&gt;"",ABS(MIN(-0.75*('CDO Bespoke'!Q286)+'CDO Bespoke'!T286,0)),"")</f>
        <v/>
      </c>
      <c r="Z285" s="485">
        <f t="shared" ca="1" si="24"/>
        <v>0</v>
      </c>
      <c r="AA285" s="485">
        <f t="shared" ca="1" si="25"/>
        <v>0</v>
      </c>
      <c r="AB285" s="484" t="str">
        <f ca="1">IF('CDO Bespoke'!O286&lt;&gt;"",'CDO Bespoke'!O286,"")</f>
        <v/>
      </c>
      <c r="AC285" s="485" t="str">
        <f ca="1">IF(AB285&lt;&gt;"",ABS(MIN(-0.75*('CDO Bespoke'!K286)+'CDO Bespoke'!T286,0)),"")</f>
        <v/>
      </c>
      <c r="AD285" s="485">
        <f t="shared" ca="1" si="26"/>
        <v>0</v>
      </c>
      <c r="AE285" s="489">
        <f t="shared" ca="1" si="27"/>
        <v>0</v>
      </c>
      <c r="AF285" s="272"/>
      <c r="AG285" s="494" t="str">
        <f ca="1">IF('CDO Bespoke'!C310&lt;&gt;"",'CDO Bespoke'!C310,"")</f>
        <v/>
      </c>
      <c r="AH285" s="496"/>
      <c r="AI285" s="585"/>
      <c r="AJ285" s="585"/>
      <c r="AK285" s="585"/>
      <c r="AL285" s="497"/>
      <c r="AM285" s="496"/>
      <c r="AN285" s="585"/>
      <c r="AO285" s="585"/>
      <c r="AP285" s="585"/>
      <c r="AQ285" s="497"/>
      <c r="AR285" s="580"/>
      <c r="AS285" s="580"/>
      <c r="AT285" s="580"/>
      <c r="AU285" s="580"/>
      <c r="AV285" s="580"/>
      <c r="AW285" s="580"/>
      <c r="AX285" s="579"/>
    </row>
    <row r="286" spans="2:50">
      <c r="B286" s="539" t="s">
        <v>588</v>
      </c>
      <c r="C286" s="540" t="s">
        <v>66</v>
      </c>
      <c r="D286" s="540" t="s">
        <v>55</v>
      </c>
      <c r="E286" s="540" t="s">
        <v>649</v>
      </c>
      <c r="F286" s="540" t="s">
        <v>654</v>
      </c>
      <c r="G286" s="541">
        <v>0.01</v>
      </c>
      <c r="H286" s="541">
        <v>1.861E-3</v>
      </c>
      <c r="I286" s="542">
        <v>0.4</v>
      </c>
      <c r="J286" s="602">
        <v>6</v>
      </c>
      <c r="K286" s="543">
        <v>88</v>
      </c>
      <c r="L286" s="272"/>
      <c r="M286" s="272"/>
      <c r="P286" s="273"/>
      <c r="Q286" s="273"/>
      <c r="R286" s="273"/>
      <c r="S286" s="273"/>
      <c r="T286" s="273"/>
      <c r="U286" s="273"/>
      <c r="V286" s="273"/>
      <c r="W286" s="273"/>
      <c r="X286" s="484" t="str">
        <f ca="1">IF('CDO Bespoke'!O287&lt;&gt;"",'CDO Bespoke'!O287,"")</f>
        <v/>
      </c>
      <c r="Y286" s="485" t="str">
        <f ca="1">IF(X286&lt;&gt;"",ABS(MIN(-0.75*('CDO Bespoke'!Q287)+'CDO Bespoke'!T287,0)),"")</f>
        <v/>
      </c>
      <c r="Z286" s="485">
        <f t="shared" ca="1" si="24"/>
        <v>0</v>
      </c>
      <c r="AA286" s="485">
        <f t="shared" ca="1" si="25"/>
        <v>0</v>
      </c>
      <c r="AB286" s="484" t="str">
        <f ca="1">IF('CDO Bespoke'!O287&lt;&gt;"",'CDO Bespoke'!O287,"")</f>
        <v/>
      </c>
      <c r="AC286" s="485" t="str">
        <f ca="1">IF(AB286&lt;&gt;"",ABS(MIN(-0.75*('CDO Bespoke'!K287)+'CDO Bespoke'!T287,0)),"")</f>
        <v/>
      </c>
      <c r="AD286" s="485">
        <f t="shared" ca="1" si="26"/>
        <v>0</v>
      </c>
      <c r="AE286" s="489">
        <f t="shared" ca="1" si="27"/>
        <v>0</v>
      </c>
      <c r="AF286" s="272"/>
      <c r="AG286" s="494" t="str">
        <f ca="1">IF('CDO Bespoke'!C311&lt;&gt;"",'CDO Bespoke'!C311,"")</f>
        <v/>
      </c>
      <c r="AH286" s="496"/>
      <c r="AI286" s="585"/>
      <c r="AJ286" s="585"/>
      <c r="AK286" s="585"/>
      <c r="AL286" s="497"/>
      <c r="AM286" s="496"/>
      <c r="AN286" s="585"/>
      <c r="AO286" s="585"/>
      <c r="AP286" s="585"/>
      <c r="AQ286" s="497"/>
      <c r="AR286" s="580"/>
      <c r="AS286" s="580"/>
      <c r="AT286" s="580"/>
      <c r="AU286" s="580"/>
      <c r="AV286" s="580"/>
      <c r="AW286" s="580"/>
      <c r="AX286" s="579"/>
    </row>
    <row r="287" spans="2:50">
      <c r="B287" s="517" t="s">
        <v>588</v>
      </c>
      <c r="C287" s="518" t="s">
        <v>66</v>
      </c>
      <c r="D287" s="518" t="s">
        <v>57</v>
      </c>
      <c r="E287" s="518" t="s">
        <v>649</v>
      </c>
      <c r="F287" s="518" t="s">
        <v>654</v>
      </c>
      <c r="G287" s="525">
        <v>0.01</v>
      </c>
      <c r="H287" s="525">
        <v>3.0709999999999999E-3</v>
      </c>
      <c r="I287" s="527">
        <v>0.4</v>
      </c>
      <c r="J287" s="594">
        <v>6</v>
      </c>
      <c r="K287" s="519">
        <v>88</v>
      </c>
      <c r="L287" s="272"/>
      <c r="M287" s="272"/>
      <c r="P287" s="273"/>
      <c r="Q287" s="273"/>
      <c r="R287" s="273"/>
      <c r="S287" s="273"/>
      <c r="T287" s="273"/>
      <c r="U287" s="273"/>
      <c r="V287" s="273"/>
      <c r="W287" s="273"/>
      <c r="X287" s="484" t="str">
        <f ca="1">IF('CDO Bespoke'!O288&lt;&gt;"",'CDO Bespoke'!O288,"")</f>
        <v/>
      </c>
      <c r="Y287" s="485" t="str">
        <f ca="1">IF(X287&lt;&gt;"",ABS(MIN(-0.75*('CDO Bespoke'!Q288)+'CDO Bespoke'!T288,0)),"")</f>
        <v/>
      </c>
      <c r="Z287" s="485">
        <f t="shared" ca="1" si="24"/>
        <v>0</v>
      </c>
      <c r="AA287" s="485">
        <f t="shared" ca="1" si="25"/>
        <v>0</v>
      </c>
      <c r="AB287" s="484" t="str">
        <f ca="1">IF('CDO Bespoke'!O288&lt;&gt;"",'CDO Bespoke'!O288,"")</f>
        <v/>
      </c>
      <c r="AC287" s="485" t="str">
        <f ca="1">IF(AB287&lt;&gt;"",ABS(MIN(-0.75*('CDO Bespoke'!K288)+'CDO Bespoke'!T288,0)),"")</f>
        <v/>
      </c>
      <c r="AD287" s="485">
        <f t="shared" ca="1" si="26"/>
        <v>0</v>
      </c>
      <c r="AE287" s="489">
        <f t="shared" ca="1" si="27"/>
        <v>0</v>
      </c>
      <c r="AF287" s="272"/>
      <c r="AG287" s="494" t="str">
        <f ca="1">IF('CDO Bespoke'!C312&lt;&gt;"",'CDO Bespoke'!C312,"")</f>
        <v/>
      </c>
      <c r="AH287" s="496"/>
      <c r="AI287" s="585"/>
      <c r="AJ287" s="585"/>
      <c r="AK287" s="585"/>
      <c r="AL287" s="497"/>
      <c r="AM287" s="496"/>
      <c r="AN287" s="585"/>
      <c r="AO287" s="585"/>
      <c r="AP287" s="585"/>
      <c r="AQ287" s="497"/>
      <c r="AR287" s="580"/>
      <c r="AS287" s="580"/>
      <c r="AT287" s="580"/>
      <c r="AU287" s="580"/>
      <c r="AV287" s="580"/>
      <c r="AW287" s="580"/>
      <c r="AX287" s="579"/>
    </row>
    <row r="288" spans="2:50">
      <c r="B288" s="534" t="s">
        <v>588</v>
      </c>
      <c r="C288" s="535" t="s">
        <v>66</v>
      </c>
      <c r="D288" s="535" t="s">
        <v>59</v>
      </c>
      <c r="E288" s="535" t="s">
        <v>649</v>
      </c>
      <c r="F288" s="535" t="s">
        <v>654</v>
      </c>
      <c r="G288" s="536">
        <v>0.01</v>
      </c>
      <c r="H288" s="536">
        <v>4.4549999999999998E-3</v>
      </c>
      <c r="I288" s="537">
        <v>0.4</v>
      </c>
      <c r="J288" s="595">
        <v>6</v>
      </c>
      <c r="K288" s="538">
        <v>88</v>
      </c>
      <c r="L288" s="272"/>
      <c r="M288" s="272"/>
      <c r="P288" s="273"/>
      <c r="Q288" s="273"/>
      <c r="R288" s="273"/>
      <c r="S288" s="273"/>
      <c r="T288" s="273"/>
      <c r="U288" s="273"/>
      <c r="V288" s="273"/>
      <c r="W288" s="273"/>
      <c r="X288" s="484" t="str">
        <f ca="1">IF('CDO Bespoke'!O289&lt;&gt;"",'CDO Bespoke'!O289,"")</f>
        <v/>
      </c>
      <c r="Y288" s="485" t="str">
        <f ca="1">IF(X288&lt;&gt;"",ABS(MIN(-0.75*('CDO Bespoke'!Q289)+'CDO Bespoke'!T289,0)),"")</f>
        <v/>
      </c>
      <c r="Z288" s="485">
        <f t="shared" ca="1" si="24"/>
        <v>0</v>
      </c>
      <c r="AA288" s="485">
        <f t="shared" ca="1" si="25"/>
        <v>0</v>
      </c>
      <c r="AB288" s="484" t="str">
        <f ca="1">IF('CDO Bespoke'!O289&lt;&gt;"",'CDO Bespoke'!O289,"")</f>
        <v/>
      </c>
      <c r="AC288" s="485" t="str">
        <f ca="1">IF(AB288&lt;&gt;"",ABS(MIN(-0.75*('CDO Bespoke'!K289)+'CDO Bespoke'!T289,0)),"")</f>
        <v/>
      </c>
      <c r="AD288" s="485">
        <f t="shared" ca="1" si="26"/>
        <v>0</v>
      </c>
      <c r="AE288" s="489">
        <f t="shared" ca="1" si="27"/>
        <v>0</v>
      </c>
      <c r="AF288" s="272"/>
      <c r="AG288" s="494" t="str">
        <f ca="1">IF('CDO Bespoke'!C313&lt;&gt;"",'CDO Bespoke'!C313,"")</f>
        <v/>
      </c>
      <c r="AH288" s="496"/>
      <c r="AI288" s="585"/>
      <c r="AJ288" s="585"/>
      <c r="AK288" s="585"/>
      <c r="AL288" s="497"/>
      <c r="AM288" s="496"/>
      <c r="AN288" s="585"/>
      <c r="AO288" s="585"/>
      <c r="AP288" s="585"/>
      <c r="AQ288" s="497"/>
      <c r="AR288" s="580"/>
      <c r="AS288" s="580"/>
      <c r="AT288" s="580"/>
      <c r="AU288" s="580"/>
      <c r="AV288" s="580"/>
      <c r="AW288" s="580"/>
      <c r="AX288" s="579"/>
    </row>
    <row r="289" spans="2:50">
      <c r="B289" s="539" t="s">
        <v>596</v>
      </c>
      <c r="C289" s="540" t="s">
        <v>66</v>
      </c>
      <c r="D289" s="540" t="s">
        <v>55</v>
      </c>
      <c r="E289" s="540" t="s">
        <v>649</v>
      </c>
      <c r="F289" s="540" t="s">
        <v>677</v>
      </c>
      <c r="G289" s="541">
        <v>0.01</v>
      </c>
      <c r="H289" s="541">
        <v>3.8760000000000001E-3</v>
      </c>
      <c r="I289" s="542">
        <v>0.4</v>
      </c>
      <c r="J289" s="602">
        <v>6</v>
      </c>
      <c r="K289" s="543">
        <v>89</v>
      </c>
      <c r="L289" s="272"/>
      <c r="M289" s="272"/>
      <c r="P289" s="273"/>
      <c r="Q289" s="273"/>
      <c r="R289" s="273"/>
      <c r="S289" s="273"/>
      <c r="T289" s="273"/>
      <c r="U289" s="273"/>
      <c r="V289" s="273"/>
      <c r="W289" s="273"/>
      <c r="X289" s="484" t="str">
        <f ca="1">IF('CDO Bespoke'!O290&lt;&gt;"",'CDO Bespoke'!O290,"")</f>
        <v/>
      </c>
      <c r="Y289" s="485" t="str">
        <f ca="1">IF(X289&lt;&gt;"",ABS(MIN(-0.75*('CDO Bespoke'!Q290)+'CDO Bespoke'!T290,0)),"")</f>
        <v/>
      </c>
      <c r="Z289" s="485">
        <f t="shared" ca="1" si="24"/>
        <v>0</v>
      </c>
      <c r="AA289" s="485">
        <f t="shared" ca="1" si="25"/>
        <v>0</v>
      </c>
      <c r="AB289" s="484" t="str">
        <f ca="1">IF('CDO Bespoke'!O290&lt;&gt;"",'CDO Bespoke'!O290,"")</f>
        <v/>
      </c>
      <c r="AC289" s="485" t="str">
        <f ca="1">IF(AB289&lt;&gt;"",ABS(MIN(-0.75*('CDO Bespoke'!K290)+'CDO Bespoke'!T290,0)),"")</f>
        <v/>
      </c>
      <c r="AD289" s="485">
        <f t="shared" ca="1" si="26"/>
        <v>0</v>
      </c>
      <c r="AE289" s="489">
        <f t="shared" ca="1" si="27"/>
        <v>0</v>
      </c>
      <c r="AF289" s="272"/>
      <c r="AG289" s="494" t="str">
        <f ca="1">IF('CDO Bespoke'!C314&lt;&gt;"",'CDO Bespoke'!C314,"")</f>
        <v/>
      </c>
      <c r="AH289" s="496"/>
      <c r="AI289" s="585"/>
      <c r="AJ289" s="585"/>
      <c r="AK289" s="585"/>
      <c r="AL289" s="497"/>
      <c r="AM289" s="496"/>
      <c r="AN289" s="585"/>
      <c r="AO289" s="585"/>
      <c r="AP289" s="585"/>
      <c r="AQ289" s="497"/>
      <c r="AR289" s="580"/>
      <c r="AS289" s="580"/>
      <c r="AT289" s="580"/>
      <c r="AU289" s="580"/>
      <c r="AV289" s="580"/>
      <c r="AW289" s="580"/>
      <c r="AX289" s="579"/>
    </row>
    <row r="290" spans="2:50">
      <c r="B290" s="517" t="s">
        <v>596</v>
      </c>
      <c r="C290" s="518" t="s">
        <v>66</v>
      </c>
      <c r="D290" s="518" t="s">
        <v>57</v>
      </c>
      <c r="E290" s="518" t="s">
        <v>649</v>
      </c>
      <c r="F290" s="518" t="s">
        <v>677</v>
      </c>
      <c r="G290" s="525">
        <v>0.01</v>
      </c>
      <c r="H290" s="525">
        <v>6.6940000000000003E-3</v>
      </c>
      <c r="I290" s="527">
        <v>0.4</v>
      </c>
      <c r="J290" s="594">
        <v>6</v>
      </c>
      <c r="K290" s="519">
        <v>89</v>
      </c>
      <c r="L290" s="272"/>
      <c r="M290" s="272"/>
      <c r="P290" s="273"/>
      <c r="Q290" s="273"/>
      <c r="R290" s="273"/>
      <c r="S290" s="273"/>
      <c r="T290" s="273"/>
      <c r="U290" s="273"/>
      <c r="V290" s="273"/>
      <c r="W290" s="273"/>
      <c r="X290" s="484" t="str">
        <f ca="1">IF('CDO Bespoke'!O291&lt;&gt;"",'CDO Bespoke'!O291,"")</f>
        <v/>
      </c>
      <c r="Y290" s="485" t="str">
        <f ca="1">IF(X290&lt;&gt;"",ABS(MIN(-0.75*('CDO Bespoke'!Q291)+'CDO Bespoke'!T291,0)),"")</f>
        <v/>
      </c>
      <c r="Z290" s="485">
        <f t="shared" ca="1" si="24"/>
        <v>0</v>
      </c>
      <c r="AA290" s="485">
        <f t="shared" ca="1" si="25"/>
        <v>0</v>
      </c>
      <c r="AB290" s="484" t="str">
        <f ca="1">IF('CDO Bespoke'!O291&lt;&gt;"",'CDO Bespoke'!O291,"")</f>
        <v/>
      </c>
      <c r="AC290" s="485" t="str">
        <f ca="1">IF(AB290&lt;&gt;"",ABS(MIN(-0.75*('CDO Bespoke'!K291)+'CDO Bespoke'!T291,0)),"")</f>
        <v/>
      </c>
      <c r="AD290" s="485">
        <f t="shared" ca="1" si="26"/>
        <v>0</v>
      </c>
      <c r="AE290" s="489">
        <f t="shared" ca="1" si="27"/>
        <v>0</v>
      </c>
      <c r="AF290" s="272"/>
      <c r="AG290" s="494" t="str">
        <f ca="1">IF('CDO Bespoke'!C315&lt;&gt;"",'CDO Bespoke'!C315,"")</f>
        <v/>
      </c>
      <c r="AH290" s="496"/>
      <c r="AI290" s="585"/>
      <c r="AJ290" s="585"/>
      <c r="AK290" s="585"/>
      <c r="AL290" s="497"/>
      <c r="AM290" s="496"/>
      <c r="AN290" s="585"/>
      <c r="AO290" s="585"/>
      <c r="AP290" s="585"/>
      <c r="AQ290" s="497"/>
      <c r="AR290" s="580"/>
      <c r="AS290" s="580"/>
      <c r="AT290" s="580"/>
      <c r="AU290" s="580"/>
      <c r="AV290" s="580"/>
      <c r="AW290" s="580"/>
      <c r="AX290" s="579"/>
    </row>
    <row r="291" spans="2:50">
      <c r="B291" s="534" t="s">
        <v>596</v>
      </c>
      <c r="C291" s="535" t="s">
        <v>66</v>
      </c>
      <c r="D291" s="535" t="s">
        <v>59</v>
      </c>
      <c r="E291" s="535" t="s">
        <v>649</v>
      </c>
      <c r="F291" s="535" t="s">
        <v>677</v>
      </c>
      <c r="G291" s="536">
        <v>0.01</v>
      </c>
      <c r="H291" s="536">
        <v>1.0071999999999999E-2</v>
      </c>
      <c r="I291" s="537">
        <v>0.4</v>
      </c>
      <c r="J291" s="595">
        <v>6</v>
      </c>
      <c r="K291" s="538">
        <v>89</v>
      </c>
      <c r="L291" s="272"/>
      <c r="M291" s="272"/>
      <c r="P291" s="273"/>
      <c r="Q291" s="273"/>
      <c r="R291" s="273"/>
      <c r="S291" s="273"/>
      <c r="T291" s="273"/>
      <c r="U291" s="273"/>
      <c r="V291" s="273"/>
      <c r="W291" s="273"/>
      <c r="X291" s="484" t="str">
        <f ca="1">IF('CDO Bespoke'!O292&lt;&gt;"",'CDO Bespoke'!O292,"")</f>
        <v/>
      </c>
      <c r="Y291" s="485" t="str">
        <f ca="1">IF(X291&lt;&gt;"",ABS(MIN(-0.75*('CDO Bespoke'!Q292)+'CDO Bespoke'!T292,0)),"")</f>
        <v/>
      </c>
      <c r="Z291" s="485">
        <f t="shared" ca="1" si="24"/>
        <v>0</v>
      </c>
      <c r="AA291" s="485">
        <f t="shared" ca="1" si="25"/>
        <v>0</v>
      </c>
      <c r="AB291" s="484" t="str">
        <f ca="1">IF('CDO Bespoke'!O292&lt;&gt;"",'CDO Bespoke'!O292,"")</f>
        <v/>
      </c>
      <c r="AC291" s="485" t="str">
        <f ca="1">IF(AB291&lt;&gt;"",ABS(MIN(-0.75*('CDO Bespoke'!K292)+'CDO Bespoke'!T292,0)),"")</f>
        <v/>
      </c>
      <c r="AD291" s="485">
        <f t="shared" ca="1" si="26"/>
        <v>0</v>
      </c>
      <c r="AE291" s="489">
        <f t="shared" ca="1" si="27"/>
        <v>0</v>
      </c>
      <c r="AF291" s="272"/>
      <c r="AG291" s="494" t="str">
        <f ca="1">IF('CDO Bespoke'!C316&lt;&gt;"",'CDO Bespoke'!C316,"")</f>
        <v/>
      </c>
      <c r="AH291" s="496"/>
      <c r="AI291" s="585"/>
      <c r="AJ291" s="585"/>
      <c r="AK291" s="585"/>
      <c r="AL291" s="497"/>
      <c r="AM291" s="496"/>
      <c r="AN291" s="585"/>
      <c r="AO291" s="585"/>
      <c r="AP291" s="585"/>
      <c r="AQ291" s="497"/>
      <c r="AR291" s="580"/>
      <c r="AS291" s="580"/>
      <c r="AT291" s="580"/>
      <c r="AU291" s="580"/>
      <c r="AV291" s="580"/>
      <c r="AW291" s="580"/>
      <c r="AX291" s="579"/>
    </row>
    <row r="292" spans="2:50">
      <c r="B292" s="539" t="s">
        <v>589</v>
      </c>
      <c r="C292" s="540" t="s">
        <v>66</v>
      </c>
      <c r="D292" s="540" t="s">
        <v>55</v>
      </c>
      <c r="E292" s="540" t="s">
        <v>647</v>
      </c>
      <c r="F292" s="540" t="s">
        <v>677</v>
      </c>
      <c r="G292" s="541">
        <v>0.01</v>
      </c>
      <c r="H292" s="541">
        <v>1.3079999999999999E-3</v>
      </c>
      <c r="I292" s="542">
        <v>0.4</v>
      </c>
      <c r="J292" s="602">
        <v>6</v>
      </c>
      <c r="K292" s="543">
        <v>90</v>
      </c>
      <c r="L292" s="272"/>
      <c r="M292" s="272"/>
      <c r="P292" s="273"/>
      <c r="Q292" s="273"/>
      <c r="R292" s="273"/>
      <c r="S292" s="273"/>
      <c r="T292" s="273"/>
      <c r="U292" s="273"/>
      <c r="V292" s="273"/>
      <c r="W292" s="273"/>
      <c r="X292" s="484" t="str">
        <f ca="1">IF('CDO Bespoke'!O293&lt;&gt;"",'CDO Bespoke'!O293,"")</f>
        <v/>
      </c>
      <c r="Y292" s="485" t="str">
        <f ca="1">IF(X292&lt;&gt;"",ABS(MIN(-0.75*('CDO Bespoke'!Q293)+'CDO Bespoke'!T293,0)),"")</f>
        <v/>
      </c>
      <c r="Z292" s="485">
        <f t="shared" ca="1" si="24"/>
        <v>0</v>
      </c>
      <c r="AA292" s="485">
        <f t="shared" ca="1" si="25"/>
        <v>0</v>
      </c>
      <c r="AB292" s="484" t="str">
        <f ca="1">IF('CDO Bespoke'!O293&lt;&gt;"",'CDO Bespoke'!O293,"")</f>
        <v/>
      </c>
      <c r="AC292" s="485" t="str">
        <f ca="1">IF(AB292&lt;&gt;"",ABS(MIN(-0.75*('CDO Bespoke'!K293)+'CDO Bespoke'!T293,0)),"")</f>
        <v/>
      </c>
      <c r="AD292" s="485">
        <f t="shared" ca="1" si="26"/>
        <v>0</v>
      </c>
      <c r="AE292" s="489">
        <f t="shared" ca="1" si="27"/>
        <v>0</v>
      </c>
      <c r="AF292" s="272"/>
      <c r="AG292" s="494" t="str">
        <f ca="1">IF('CDO Bespoke'!C317&lt;&gt;"",'CDO Bespoke'!C317,"")</f>
        <v/>
      </c>
      <c r="AH292" s="496"/>
      <c r="AI292" s="585"/>
      <c r="AJ292" s="585"/>
      <c r="AK292" s="585"/>
      <c r="AL292" s="497"/>
      <c r="AM292" s="496"/>
      <c r="AN292" s="585"/>
      <c r="AO292" s="585"/>
      <c r="AP292" s="585"/>
      <c r="AQ292" s="497"/>
      <c r="AR292" s="580"/>
      <c r="AS292" s="580"/>
      <c r="AT292" s="580"/>
      <c r="AU292" s="580"/>
      <c r="AV292" s="580"/>
      <c r="AW292" s="580"/>
      <c r="AX292" s="579"/>
    </row>
    <row r="293" spans="2:50">
      <c r="B293" s="517" t="s">
        <v>589</v>
      </c>
      <c r="C293" s="518" t="s">
        <v>66</v>
      </c>
      <c r="D293" s="518" t="s">
        <v>57</v>
      </c>
      <c r="E293" s="518" t="s">
        <v>647</v>
      </c>
      <c r="F293" s="518" t="s">
        <v>677</v>
      </c>
      <c r="G293" s="525">
        <v>0.01</v>
      </c>
      <c r="H293" s="525">
        <v>2.3080000000000002E-3</v>
      </c>
      <c r="I293" s="527">
        <v>0.4</v>
      </c>
      <c r="J293" s="594">
        <v>6</v>
      </c>
      <c r="K293" s="519">
        <v>90</v>
      </c>
      <c r="L293" s="272"/>
      <c r="M293" s="272"/>
      <c r="P293" s="273"/>
      <c r="Q293" s="273"/>
      <c r="R293" s="273"/>
      <c r="S293" s="273"/>
      <c r="T293" s="273"/>
      <c r="U293" s="273"/>
      <c r="V293" s="273"/>
      <c r="W293" s="273"/>
      <c r="X293" s="484" t="str">
        <f ca="1">IF('CDO Bespoke'!O294&lt;&gt;"",'CDO Bespoke'!O294,"")</f>
        <v/>
      </c>
      <c r="Y293" s="485" t="str">
        <f ca="1">IF(X293&lt;&gt;"",ABS(MIN(-0.75*('CDO Bespoke'!Q294)+'CDO Bespoke'!T294,0)),"")</f>
        <v/>
      </c>
      <c r="Z293" s="485">
        <f t="shared" ca="1" si="24"/>
        <v>0</v>
      </c>
      <c r="AA293" s="485">
        <f t="shared" ca="1" si="25"/>
        <v>0</v>
      </c>
      <c r="AB293" s="484" t="str">
        <f ca="1">IF('CDO Bespoke'!O294&lt;&gt;"",'CDO Bespoke'!O294,"")</f>
        <v/>
      </c>
      <c r="AC293" s="485" t="str">
        <f ca="1">IF(AB293&lt;&gt;"",ABS(MIN(-0.75*('CDO Bespoke'!K294)+'CDO Bespoke'!T294,0)),"")</f>
        <v/>
      </c>
      <c r="AD293" s="485">
        <f t="shared" ca="1" si="26"/>
        <v>0</v>
      </c>
      <c r="AE293" s="489">
        <f t="shared" ca="1" si="27"/>
        <v>0</v>
      </c>
      <c r="AF293" s="272"/>
      <c r="AG293" s="494" t="str">
        <f ca="1">IF('CDO Bespoke'!C318&lt;&gt;"",'CDO Bespoke'!C318,"")</f>
        <v/>
      </c>
      <c r="AH293" s="496"/>
      <c r="AI293" s="585"/>
      <c r="AJ293" s="585"/>
      <c r="AK293" s="585"/>
      <c r="AL293" s="497"/>
      <c r="AM293" s="496"/>
      <c r="AN293" s="585"/>
      <c r="AO293" s="585"/>
      <c r="AP293" s="585"/>
      <c r="AQ293" s="497"/>
      <c r="AR293" s="580"/>
      <c r="AS293" s="580"/>
      <c r="AT293" s="580"/>
      <c r="AU293" s="580"/>
      <c r="AV293" s="580"/>
      <c r="AW293" s="580"/>
      <c r="AX293" s="579"/>
    </row>
    <row r="294" spans="2:50">
      <c r="B294" s="534" t="s">
        <v>589</v>
      </c>
      <c r="C294" s="535" t="s">
        <v>66</v>
      </c>
      <c r="D294" s="535" t="s">
        <v>59</v>
      </c>
      <c r="E294" s="535" t="s">
        <v>647</v>
      </c>
      <c r="F294" s="535" t="s">
        <v>677</v>
      </c>
      <c r="G294" s="536">
        <v>0.01</v>
      </c>
      <c r="H294" s="536">
        <v>3.643E-3</v>
      </c>
      <c r="I294" s="537">
        <v>0.4</v>
      </c>
      <c r="J294" s="595">
        <v>6</v>
      </c>
      <c r="K294" s="538">
        <v>90</v>
      </c>
      <c r="L294" s="272"/>
      <c r="M294" s="272"/>
      <c r="P294" s="273"/>
      <c r="Q294" s="273"/>
      <c r="R294" s="273"/>
      <c r="S294" s="273"/>
      <c r="T294" s="273"/>
      <c r="U294" s="273"/>
      <c r="V294" s="273"/>
      <c r="W294" s="273"/>
      <c r="X294" s="484" t="str">
        <f ca="1">IF('CDO Bespoke'!O295&lt;&gt;"",'CDO Bespoke'!O295,"")</f>
        <v/>
      </c>
      <c r="Y294" s="485" t="str">
        <f ca="1">IF(X294&lt;&gt;"",ABS(MIN(-0.75*('CDO Bespoke'!Q295)+'CDO Bespoke'!T295,0)),"")</f>
        <v/>
      </c>
      <c r="Z294" s="485">
        <f t="shared" ca="1" si="24"/>
        <v>0</v>
      </c>
      <c r="AA294" s="485">
        <f t="shared" ca="1" si="25"/>
        <v>0</v>
      </c>
      <c r="AB294" s="484" t="str">
        <f ca="1">IF('CDO Bespoke'!O295&lt;&gt;"",'CDO Bespoke'!O295,"")</f>
        <v/>
      </c>
      <c r="AC294" s="485" t="str">
        <f ca="1">IF(AB294&lt;&gt;"",ABS(MIN(-0.75*('CDO Bespoke'!K295)+'CDO Bespoke'!T295,0)),"")</f>
        <v/>
      </c>
      <c r="AD294" s="485">
        <f t="shared" ca="1" si="26"/>
        <v>0</v>
      </c>
      <c r="AE294" s="489">
        <f t="shared" ca="1" si="27"/>
        <v>0</v>
      </c>
      <c r="AF294" s="272"/>
      <c r="AG294" s="494" t="str">
        <f ca="1">IF('CDO Bespoke'!C319&lt;&gt;"",'CDO Bespoke'!C319,"")</f>
        <v/>
      </c>
      <c r="AH294" s="496"/>
      <c r="AI294" s="585"/>
      <c r="AJ294" s="585"/>
      <c r="AK294" s="585"/>
      <c r="AL294" s="497"/>
      <c r="AM294" s="496"/>
      <c r="AN294" s="585"/>
      <c r="AO294" s="585"/>
      <c r="AP294" s="585"/>
      <c r="AQ294" s="497"/>
      <c r="AR294" s="580"/>
      <c r="AS294" s="580"/>
      <c r="AT294" s="580"/>
      <c r="AU294" s="580"/>
      <c r="AV294" s="580"/>
      <c r="AW294" s="580"/>
      <c r="AX294" s="579"/>
    </row>
    <row r="295" spans="2:50">
      <c r="B295" s="539" t="s">
        <v>597</v>
      </c>
      <c r="C295" s="540" t="s">
        <v>66</v>
      </c>
      <c r="D295" s="540" t="s">
        <v>55</v>
      </c>
      <c r="E295" s="540" t="s">
        <v>649</v>
      </c>
      <c r="F295" s="540" t="s">
        <v>677</v>
      </c>
      <c r="G295" s="541">
        <v>0.01</v>
      </c>
      <c r="H295" s="541">
        <v>1.5479999999999999E-3</v>
      </c>
      <c r="I295" s="542">
        <v>0.4</v>
      </c>
      <c r="J295" s="602">
        <v>6</v>
      </c>
      <c r="K295" s="543">
        <v>91</v>
      </c>
      <c r="L295" s="272"/>
      <c r="M295" s="272"/>
      <c r="P295" s="273"/>
      <c r="Q295" s="273"/>
      <c r="R295" s="273"/>
      <c r="S295" s="273"/>
      <c r="T295" s="273"/>
      <c r="U295" s="273"/>
      <c r="V295" s="273"/>
      <c r="W295" s="273"/>
      <c r="X295" s="484" t="str">
        <f ca="1">IF('CDO Bespoke'!O296&lt;&gt;"",'CDO Bespoke'!O296,"")</f>
        <v/>
      </c>
      <c r="Y295" s="485" t="str">
        <f ca="1">IF(X295&lt;&gt;"",ABS(MIN(-0.75*('CDO Bespoke'!Q296)+'CDO Bespoke'!T296,0)),"")</f>
        <v/>
      </c>
      <c r="Z295" s="485">
        <f t="shared" ca="1" si="24"/>
        <v>0</v>
      </c>
      <c r="AA295" s="485">
        <f t="shared" ca="1" si="25"/>
        <v>0</v>
      </c>
      <c r="AB295" s="484" t="str">
        <f ca="1">IF('CDO Bespoke'!O296&lt;&gt;"",'CDO Bespoke'!O296,"")</f>
        <v/>
      </c>
      <c r="AC295" s="485" t="str">
        <f ca="1">IF(AB295&lt;&gt;"",ABS(MIN(-0.75*('CDO Bespoke'!K296)+'CDO Bespoke'!T296,0)),"")</f>
        <v/>
      </c>
      <c r="AD295" s="485">
        <f t="shared" ca="1" si="26"/>
        <v>0</v>
      </c>
      <c r="AE295" s="489">
        <f t="shared" ca="1" si="27"/>
        <v>0</v>
      </c>
      <c r="AF295" s="272"/>
      <c r="AG295" s="494" t="str">
        <f ca="1">IF('CDO Bespoke'!C320&lt;&gt;"",'CDO Bespoke'!C320,"")</f>
        <v/>
      </c>
      <c r="AH295" s="496"/>
      <c r="AI295" s="585"/>
      <c r="AJ295" s="585"/>
      <c r="AK295" s="585"/>
      <c r="AL295" s="497"/>
      <c r="AM295" s="496"/>
      <c r="AN295" s="585"/>
      <c r="AO295" s="585"/>
      <c r="AP295" s="585"/>
      <c r="AQ295" s="497"/>
      <c r="AR295" s="580"/>
      <c r="AS295" s="580"/>
      <c r="AT295" s="580"/>
      <c r="AU295" s="580"/>
      <c r="AV295" s="580"/>
      <c r="AW295" s="580"/>
      <c r="AX295" s="579"/>
    </row>
    <row r="296" spans="2:50">
      <c r="B296" s="517" t="s">
        <v>597</v>
      </c>
      <c r="C296" s="518" t="s">
        <v>66</v>
      </c>
      <c r="D296" s="518" t="s">
        <v>57</v>
      </c>
      <c r="E296" s="518" t="s">
        <v>649</v>
      </c>
      <c r="F296" s="518" t="s">
        <v>677</v>
      </c>
      <c r="G296" s="525">
        <v>0.01</v>
      </c>
      <c r="H296" s="525">
        <v>2.565E-3</v>
      </c>
      <c r="I296" s="527">
        <v>0.4</v>
      </c>
      <c r="J296" s="594">
        <v>6</v>
      </c>
      <c r="K296" s="519">
        <v>91</v>
      </c>
      <c r="L296" s="272"/>
      <c r="M296" s="272"/>
      <c r="P296" s="273"/>
      <c r="Q296" s="273"/>
      <c r="R296" s="273"/>
      <c r="S296" s="273"/>
      <c r="T296" s="273"/>
      <c r="U296" s="273"/>
      <c r="V296" s="273"/>
      <c r="W296" s="273"/>
      <c r="X296" s="484" t="str">
        <f ca="1">IF('CDO Bespoke'!O297&lt;&gt;"",'CDO Bespoke'!O297,"")</f>
        <v/>
      </c>
      <c r="Y296" s="485" t="str">
        <f ca="1">IF(X296&lt;&gt;"",ABS(MIN(-0.75*('CDO Bespoke'!Q297)+'CDO Bespoke'!T297,0)),"")</f>
        <v/>
      </c>
      <c r="Z296" s="485">
        <f t="shared" ca="1" si="24"/>
        <v>0</v>
      </c>
      <c r="AA296" s="485">
        <f t="shared" ca="1" si="25"/>
        <v>0</v>
      </c>
      <c r="AB296" s="484" t="str">
        <f ca="1">IF('CDO Bespoke'!O297&lt;&gt;"",'CDO Bespoke'!O297,"")</f>
        <v/>
      </c>
      <c r="AC296" s="485" t="str">
        <f ca="1">IF(AB296&lt;&gt;"",ABS(MIN(-0.75*('CDO Bespoke'!K297)+'CDO Bespoke'!T297,0)),"")</f>
        <v/>
      </c>
      <c r="AD296" s="485">
        <f t="shared" ca="1" si="26"/>
        <v>0</v>
      </c>
      <c r="AE296" s="489">
        <f t="shared" ca="1" si="27"/>
        <v>0</v>
      </c>
      <c r="AF296" s="272"/>
      <c r="AG296" s="494" t="str">
        <f ca="1">IF('CDO Bespoke'!C321&lt;&gt;"",'CDO Bespoke'!C321,"")</f>
        <v/>
      </c>
      <c r="AH296" s="496"/>
      <c r="AI296" s="585"/>
      <c r="AJ296" s="585"/>
      <c r="AK296" s="585"/>
      <c r="AL296" s="497"/>
      <c r="AM296" s="496"/>
      <c r="AN296" s="585"/>
      <c r="AO296" s="585"/>
      <c r="AP296" s="585"/>
      <c r="AQ296" s="497"/>
      <c r="AR296" s="580"/>
      <c r="AS296" s="580"/>
      <c r="AT296" s="580"/>
      <c r="AU296" s="580"/>
      <c r="AV296" s="580"/>
      <c r="AW296" s="580"/>
      <c r="AX296" s="579"/>
    </row>
    <row r="297" spans="2:50">
      <c r="B297" s="534" t="s">
        <v>597</v>
      </c>
      <c r="C297" s="535" t="s">
        <v>66</v>
      </c>
      <c r="D297" s="535" t="s">
        <v>59</v>
      </c>
      <c r="E297" s="535" t="s">
        <v>649</v>
      </c>
      <c r="F297" s="535" t="s">
        <v>677</v>
      </c>
      <c r="G297" s="536">
        <v>0.01</v>
      </c>
      <c r="H297" s="536">
        <v>3.594E-3</v>
      </c>
      <c r="I297" s="537">
        <v>0.4</v>
      </c>
      <c r="J297" s="595">
        <v>6</v>
      </c>
      <c r="K297" s="538">
        <v>91</v>
      </c>
      <c r="L297" s="272"/>
      <c r="M297" s="272"/>
      <c r="P297" s="273"/>
      <c r="Q297" s="273"/>
      <c r="R297" s="273"/>
      <c r="S297" s="273"/>
      <c r="T297" s="273"/>
      <c r="U297" s="273"/>
      <c r="V297" s="273"/>
      <c r="W297" s="273"/>
      <c r="X297" s="484" t="str">
        <f ca="1">IF('CDO Bespoke'!O298&lt;&gt;"",'CDO Bespoke'!O298,"")</f>
        <v/>
      </c>
      <c r="Y297" s="485" t="str">
        <f ca="1">IF(X297&lt;&gt;"",ABS(MIN(-0.75*('CDO Bespoke'!Q298)+'CDO Bespoke'!T298,0)),"")</f>
        <v/>
      </c>
      <c r="Z297" s="485">
        <f t="shared" ca="1" si="24"/>
        <v>0</v>
      </c>
      <c r="AA297" s="485">
        <f t="shared" ca="1" si="25"/>
        <v>0</v>
      </c>
      <c r="AB297" s="484" t="str">
        <f ca="1">IF('CDO Bespoke'!O298&lt;&gt;"",'CDO Bespoke'!O298,"")</f>
        <v/>
      </c>
      <c r="AC297" s="485" t="str">
        <f ca="1">IF(AB297&lt;&gt;"",ABS(MIN(-0.75*('CDO Bespoke'!K298)+'CDO Bespoke'!T298,0)),"")</f>
        <v/>
      </c>
      <c r="AD297" s="485">
        <f t="shared" ca="1" si="26"/>
        <v>0</v>
      </c>
      <c r="AE297" s="489">
        <f t="shared" ca="1" si="27"/>
        <v>0</v>
      </c>
      <c r="AF297" s="272"/>
      <c r="AG297" s="494" t="str">
        <f ca="1">IF('CDO Bespoke'!C322&lt;&gt;"",'CDO Bespoke'!C322,"")</f>
        <v/>
      </c>
      <c r="AH297" s="496"/>
      <c r="AI297" s="585"/>
      <c r="AJ297" s="585"/>
      <c r="AK297" s="585"/>
      <c r="AL297" s="497"/>
      <c r="AM297" s="496"/>
      <c r="AN297" s="585"/>
      <c r="AO297" s="585"/>
      <c r="AP297" s="585"/>
      <c r="AQ297" s="497"/>
      <c r="AR297" s="580"/>
      <c r="AS297" s="580"/>
      <c r="AT297" s="580"/>
      <c r="AU297" s="580"/>
      <c r="AV297" s="580"/>
      <c r="AW297" s="580"/>
      <c r="AX297" s="579"/>
    </row>
    <row r="298" spans="2:50">
      <c r="B298" s="539" t="s">
        <v>590</v>
      </c>
      <c r="C298" s="540" t="s">
        <v>66</v>
      </c>
      <c r="D298" s="540" t="s">
        <v>55</v>
      </c>
      <c r="E298" s="540" t="s">
        <v>649</v>
      </c>
      <c r="F298" s="540" t="s">
        <v>677</v>
      </c>
      <c r="G298" s="541">
        <v>0.01</v>
      </c>
      <c r="H298" s="541">
        <v>1.606E-3</v>
      </c>
      <c r="I298" s="542">
        <v>0.4</v>
      </c>
      <c r="J298" s="602">
        <v>6</v>
      </c>
      <c r="K298" s="543">
        <v>92</v>
      </c>
      <c r="L298" s="272"/>
      <c r="M298" s="272"/>
      <c r="P298" s="273"/>
      <c r="Q298" s="273"/>
      <c r="R298" s="273"/>
      <c r="S298" s="273"/>
      <c r="T298" s="273"/>
      <c r="U298" s="273"/>
      <c r="V298" s="273"/>
      <c r="W298" s="273"/>
      <c r="X298" s="484" t="str">
        <f ca="1">IF('CDO Bespoke'!O299&lt;&gt;"",'CDO Bespoke'!O299,"")</f>
        <v/>
      </c>
      <c r="Y298" s="485" t="str">
        <f ca="1">IF(X298&lt;&gt;"",ABS(MIN(-0.75*('CDO Bespoke'!Q299)+'CDO Bespoke'!T299,0)),"")</f>
        <v/>
      </c>
      <c r="Z298" s="485">
        <f t="shared" ca="1" si="24"/>
        <v>0</v>
      </c>
      <c r="AA298" s="485">
        <f t="shared" ca="1" si="25"/>
        <v>0</v>
      </c>
      <c r="AB298" s="484" t="str">
        <f ca="1">IF('CDO Bespoke'!O299&lt;&gt;"",'CDO Bespoke'!O299,"")</f>
        <v/>
      </c>
      <c r="AC298" s="485" t="str">
        <f ca="1">IF(AB298&lt;&gt;"",ABS(MIN(-0.75*('CDO Bespoke'!K299)+'CDO Bespoke'!T299,0)),"")</f>
        <v/>
      </c>
      <c r="AD298" s="485">
        <f t="shared" ca="1" si="26"/>
        <v>0</v>
      </c>
      <c r="AE298" s="489">
        <f t="shared" ca="1" si="27"/>
        <v>0</v>
      </c>
      <c r="AF298" s="272"/>
      <c r="AG298" s="494" t="str">
        <f ca="1">IF('CDO Bespoke'!C323&lt;&gt;"",'CDO Bespoke'!C323,"")</f>
        <v/>
      </c>
      <c r="AH298" s="496"/>
      <c r="AI298" s="585"/>
      <c r="AJ298" s="585"/>
      <c r="AK298" s="585"/>
      <c r="AL298" s="497"/>
      <c r="AM298" s="496"/>
      <c r="AN298" s="585"/>
      <c r="AO298" s="585"/>
      <c r="AP298" s="585"/>
      <c r="AQ298" s="497"/>
      <c r="AR298" s="580"/>
      <c r="AS298" s="580"/>
      <c r="AT298" s="580"/>
      <c r="AU298" s="580"/>
      <c r="AV298" s="580"/>
      <c r="AW298" s="580"/>
      <c r="AX298" s="579"/>
    </row>
    <row r="299" spans="2:50">
      <c r="B299" s="517" t="s">
        <v>590</v>
      </c>
      <c r="C299" s="518" t="s">
        <v>66</v>
      </c>
      <c r="D299" s="518" t="s">
        <v>57</v>
      </c>
      <c r="E299" s="518" t="s">
        <v>649</v>
      </c>
      <c r="F299" s="518" t="s">
        <v>677</v>
      </c>
      <c r="G299" s="525">
        <v>0.01</v>
      </c>
      <c r="H299" s="525">
        <v>2.6679999999999998E-3</v>
      </c>
      <c r="I299" s="527">
        <v>0.4</v>
      </c>
      <c r="J299" s="594">
        <v>6</v>
      </c>
      <c r="K299" s="519">
        <v>92</v>
      </c>
      <c r="L299" s="272"/>
      <c r="M299" s="272"/>
      <c r="P299" s="273"/>
      <c r="Q299" s="273"/>
      <c r="R299" s="273"/>
      <c r="S299" s="273"/>
      <c r="T299" s="273"/>
      <c r="U299" s="273"/>
      <c r="V299" s="273"/>
      <c r="W299" s="273"/>
      <c r="X299" s="484" t="str">
        <f ca="1">IF('CDO Bespoke'!O300&lt;&gt;"",'CDO Bespoke'!O300,"")</f>
        <v/>
      </c>
      <c r="Y299" s="485" t="str">
        <f ca="1">IF(X299&lt;&gt;"",ABS(MIN(-0.75*('CDO Bespoke'!Q300)+'CDO Bespoke'!T300,0)),"")</f>
        <v/>
      </c>
      <c r="Z299" s="485">
        <f t="shared" ca="1" si="24"/>
        <v>0</v>
      </c>
      <c r="AA299" s="485">
        <f t="shared" ca="1" si="25"/>
        <v>0</v>
      </c>
      <c r="AB299" s="484" t="str">
        <f ca="1">IF('CDO Bespoke'!O300&lt;&gt;"",'CDO Bespoke'!O300,"")</f>
        <v/>
      </c>
      <c r="AC299" s="485" t="str">
        <f ca="1">IF(AB299&lt;&gt;"",ABS(MIN(-0.75*('CDO Bespoke'!K300)+'CDO Bespoke'!T300,0)),"")</f>
        <v/>
      </c>
      <c r="AD299" s="485">
        <f t="shared" ca="1" si="26"/>
        <v>0</v>
      </c>
      <c r="AE299" s="489">
        <f t="shared" ca="1" si="27"/>
        <v>0</v>
      </c>
      <c r="AF299" s="272"/>
      <c r="AG299" s="494" t="str">
        <f ca="1">IF('CDO Bespoke'!C324&lt;&gt;"",'CDO Bespoke'!C324,"")</f>
        <v/>
      </c>
      <c r="AH299" s="496"/>
      <c r="AI299" s="585"/>
      <c r="AJ299" s="585"/>
      <c r="AK299" s="585"/>
      <c r="AL299" s="497"/>
      <c r="AM299" s="496"/>
      <c r="AN299" s="585"/>
      <c r="AO299" s="585"/>
      <c r="AP299" s="585"/>
      <c r="AQ299" s="497"/>
      <c r="AR299" s="580"/>
      <c r="AS299" s="580"/>
      <c r="AT299" s="580"/>
      <c r="AU299" s="580"/>
      <c r="AV299" s="580"/>
      <c r="AW299" s="580"/>
      <c r="AX299" s="579"/>
    </row>
    <row r="300" spans="2:50">
      <c r="B300" s="534" t="s">
        <v>590</v>
      </c>
      <c r="C300" s="535" t="s">
        <v>66</v>
      </c>
      <c r="D300" s="535" t="s">
        <v>59</v>
      </c>
      <c r="E300" s="535" t="s">
        <v>649</v>
      </c>
      <c r="F300" s="535" t="s">
        <v>677</v>
      </c>
      <c r="G300" s="536">
        <v>0.01</v>
      </c>
      <c r="H300" s="536">
        <v>3.9750000000000002E-3</v>
      </c>
      <c r="I300" s="537">
        <v>0.4</v>
      </c>
      <c r="J300" s="595">
        <v>6</v>
      </c>
      <c r="K300" s="538">
        <v>92</v>
      </c>
      <c r="L300" s="272"/>
      <c r="M300" s="272"/>
      <c r="P300" s="273"/>
      <c r="Q300" s="273"/>
      <c r="R300" s="273"/>
      <c r="S300" s="273"/>
      <c r="T300" s="273"/>
      <c r="U300" s="273"/>
      <c r="V300" s="273"/>
      <c r="W300" s="273"/>
      <c r="X300" s="484" t="str">
        <f ca="1">IF('CDO Bespoke'!O301&lt;&gt;"",'CDO Bespoke'!O301,"")</f>
        <v/>
      </c>
      <c r="Y300" s="485" t="str">
        <f ca="1">IF(X300&lt;&gt;"",ABS(MIN(-0.75*('CDO Bespoke'!Q301)+'CDO Bespoke'!T301,0)),"")</f>
        <v/>
      </c>
      <c r="Z300" s="485">
        <f t="shared" ca="1" si="24"/>
        <v>0</v>
      </c>
      <c r="AA300" s="485">
        <f t="shared" ca="1" si="25"/>
        <v>0</v>
      </c>
      <c r="AB300" s="484" t="str">
        <f ca="1">IF('CDO Bespoke'!O301&lt;&gt;"",'CDO Bespoke'!O301,"")</f>
        <v/>
      </c>
      <c r="AC300" s="485" t="str">
        <f ca="1">IF(AB300&lt;&gt;"",ABS(MIN(-0.75*('CDO Bespoke'!K301)+'CDO Bespoke'!T301,0)),"")</f>
        <v/>
      </c>
      <c r="AD300" s="485">
        <f t="shared" ca="1" si="26"/>
        <v>0</v>
      </c>
      <c r="AE300" s="489">
        <f t="shared" ca="1" si="27"/>
        <v>0</v>
      </c>
      <c r="AF300" s="272"/>
      <c r="AG300" s="494" t="str">
        <f ca="1">IF('CDO Bespoke'!C325&lt;&gt;"",'CDO Bespoke'!C325,"")</f>
        <v/>
      </c>
      <c r="AH300" s="496"/>
      <c r="AI300" s="585"/>
      <c r="AJ300" s="585"/>
      <c r="AK300" s="585"/>
      <c r="AL300" s="497"/>
      <c r="AM300" s="496"/>
      <c r="AN300" s="585"/>
      <c r="AO300" s="585"/>
      <c r="AP300" s="585"/>
      <c r="AQ300" s="497"/>
      <c r="AR300" s="580"/>
      <c r="AS300" s="580"/>
      <c r="AT300" s="580"/>
      <c r="AU300" s="580"/>
      <c r="AV300" s="580"/>
      <c r="AW300" s="580"/>
      <c r="AX300" s="579"/>
    </row>
    <row r="301" spans="2:50">
      <c r="B301" s="539" t="s">
        <v>591</v>
      </c>
      <c r="C301" s="540" t="s">
        <v>66</v>
      </c>
      <c r="D301" s="540" t="s">
        <v>55</v>
      </c>
      <c r="E301" s="540" t="s">
        <v>649</v>
      </c>
      <c r="F301" s="540" t="s">
        <v>673</v>
      </c>
      <c r="G301" s="541">
        <v>0.01</v>
      </c>
      <c r="H301" s="541">
        <v>3.0330000000000001E-3</v>
      </c>
      <c r="I301" s="542">
        <v>0.4</v>
      </c>
      <c r="J301" s="602">
        <v>5</v>
      </c>
      <c r="K301" s="543">
        <v>93</v>
      </c>
      <c r="L301" s="272"/>
      <c r="M301" s="272"/>
      <c r="P301" s="273"/>
      <c r="Q301" s="273"/>
      <c r="R301" s="273"/>
      <c r="S301" s="273"/>
      <c r="T301" s="273"/>
      <c r="U301" s="273"/>
      <c r="V301" s="273"/>
      <c r="W301" s="273"/>
      <c r="X301" s="484" t="str">
        <f ca="1">IF('CDO Bespoke'!O302&lt;&gt;"",'CDO Bespoke'!O302,"")</f>
        <v/>
      </c>
      <c r="Y301" s="485" t="str">
        <f ca="1">IF(X301&lt;&gt;"",ABS(MIN(-0.75*('CDO Bespoke'!Q302)+'CDO Bespoke'!T302,0)),"")</f>
        <v/>
      </c>
      <c r="Z301" s="485">
        <f t="shared" ca="1" si="24"/>
        <v>0</v>
      </c>
      <c r="AA301" s="485">
        <f t="shared" ca="1" si="25"/>
        <v>0</v>
      </c>
      <c r="AB301" s="484" t="str">
        <f ca="1">IF('CDO Bespoke'!O302&lt;&gt;"",'CDO Bespoke'!O302,"")</f>
        <v/>
      </c>
      <c r="AC301" s="485" t="str">
        <f ca="1">IF(AB301&lt;&gt;"",ABS(MIN(-0.75*('CDO Bespoke'!K302)+'CDO Bespoke'!T302,0)),"")</f>
        <v/>
      </c>
      <c r="AD301" s="485">
        <f t="shared" ca="1" si="26"/>
        <v>0</v>
      </c>
      <c r="AE301" s="489">
        <f t="shared" ca="1" si="27"/>
        <v>0</v>
      </c>
      <c r="AF301" s="272"/>
      <c r="AG301" s="494" t="str">
        <f ca="1">IF('CDO Bespoke'!C326&lt;&gt;"",'CDO Bespoke'!C326,"")</f>
        <v/>
      </c>
      <c r="AH301" s="496"/>
      <c r="AI301" s="585"/>
      <c r="AJ301" s="585"/>
      <c r="AK301" s="585"/>
      <c r="AL301" s="497"/>
      <c r="AM301" s="496"/>
      <c r="AN301" s="585"/>
      <c r="AO301" s="585"/>
      <c r="AP301" s="585"/>
      <c r="AQ301" s="497"/>
      <c r="AR301" s="580"/>
      <c r="AS301" s="580"/>
      <c r="AT301" s="580"/>
      <c r="AU301" s="580"/>
      <c r="AV301" s="580"/>
      <c r="AW301" s="580"/>
      <c r="AX301" s="579"/>
    </row>
    <row r="302" spans="2:50">
      <c r="B302" s="517" t="s">
        <v>591</v>
      </c>
      <c r="C302" s="518" t="s">
        <v>66</v>
      </c>
      <c r="D302" s="518" t="s">
        <v>57</v>
      </c>
      <c r="E302" s="518" t="s">
        <v>649</v>
      </c>
      <c r="F302" s="518" t="s">
        <v>673</v>
      </c>
      <c r="G302" s="525">
        <v>0.01</v>
      </c>
      <c r="H302" s="525">
        <v>5.5510000000000004E-3</v>
      </c>
      <c r="I302" s="527">
        <v>0.4</v>
      </c>
      <c r="J302" s="594">
        <v>5</v>
      </c>
      <c r="K302" s="519">
        <v>93</v>
      </c>
      <c r="L302" s="272"/>
      <c r="M302" s="272"/>
      <c r="P302" s="273"/>
      <c r="Q302" s="273"/>
      <c r="R302" s="273"/>
      <c r="S302" s="273"/>
      <c r="T302" s="273"/>
      <c r="U302" s="273"/>
      <c r="V302" s="273"/>
      <c r="W302" s="273"/>
      <c r="X302" s="484" t="str">
        <f ca="1">IF('CDO Bespoke'!O303&lt;&gt;"",'CDO Bespoke'!O303,"")</f>
        <v/>
      </c>
      <c r="Y302" s="485" t="str">
        <f ca="1">IF(X302&lt;&gt;"",ABS(MIN(-0.75*('CDO Bespoke'!Q303)+'CDO Bespoke'!T303,0)),"")</f>
        <v/>
      </c>
      <c r="Z302" s="485">
        <f t="shared" ca="1" si="24"/>
        <v>0</v>
      </c>
      <c r="AA302" s="485">
        <f t="shared" ca="1" si="25"/>
        <v>0</v>
      </c>
      <c r="AB302" s="484" t="str">
        <f ca="1">IF('CDO Bespoke'!O303&lt;&gt;"",'CDO Bespoke'!O303,"")</f>
        <v/>
      </c>
      <c r="AC302" s="485" t="str">
        <f ca="1">IF(AB302&lt;&gt;"",ABS(MIN(-0.75*('CDO Bespoke'!K303)+'CDO Bespoke'!T303,0)),"")</f>
        <v/>
      </c>
      <c r="AD302" s="485">
        <f t="shared" ca="1" si="26"/>
        <v>0</v>
      </c>
      <c r="AE302" s="489">
        <f t="shared" ca="1" si="27"/>
        <v>0</v>
      </c>
      <c r="AF302" s="272"/>
      <c r="AG302" s="494" t="str">
        <f ca="1">IF('CDO Bespoke'!C327&lt;&gt;"",'CDO Bespoke'!C327,"")</f>
        <v/>
      </c>
      <c r="AH302" s="496"/>
      <c r="AI302" s="585"/>
      <c r="AJ302" s="585"/>
      <c r="AK302" s="585"/>
      <c r="AL302" s="497"/>
      <c r="AM302" s="496"/>
      <c r="AN302" s="585"/>
      <c r="AO302" s="585"/>
      <c r="AP302" s="585"/>
      <c r="AQ302" s="497"/>
      <c r="AR302" s="580"/>
      <c r="AS302" s="580"/>
      <c r="AT302" s="580"/>
      <c r="AU302" s="580"/>
      <c r="AV302" s="580"/>
      <c r="AW302" s="580"/>
      <c r="AX302" s="579"/>
    </row>
    <row r="303" spans="2:50">
      <c r="B303" s="534" t="s">
        <v>591</v>
      </c>
      <c r="C303" s="535" t="s">
        <v>66</v>
      </c>
      <c r="D303" s="535" t="s">
        <v>59</v>
      </c>
      <c r="E303" s="535" t="s">
        <v>649</v>
      </c>
      <c r="F303" s="535" t="s">
        <v>673</v>
      </c>
      <c r="G303" s="536">
        <v>0.01</v>
      </c>
      <c r="H303" s="536">
        <v>8.4740000000000006E-3</v>
      </c>
      <c r="I303" s="537">
        <v>0.4</v>
      </c>
      <c r="J303" s="595">
        <v>5</v>
      </c>
      <c r="K303" s="538">
        <v>93</v>
      </c>
      <c r="L303" s="272"/>
      <c r="M303" s="272"/>
      <c r="P303" s="273"/>
      <c r="Q303" s="273"/>
      <c r="R303" s="273"/>
      <c r="S303" s="273"/>
      <c r="T303" s="273"/>
      <c r="U303" s="273"/>
      <c r="V303" s="273"/>
      <c r="W303" s="273"/>
      <c r="X303" s="484" t="str">
        <f ca="1">IF('CDO Bespoke'!O304&lt;&gt;"",'CDO Bespoke'!O304,"")</f>
        <v/>
      </c>
      <c r="Y303" s="485" t="str">
        <f ca="1">IF(X303&lt;&gt;"",ABS(MIN(-0.75*('CDO Bespoke'!Q304)+'CDO Bespoke'!T304,0)),"")</f>
        <v/>
      </c>
      <c r="Z303" s="485">
        <f t="shared" ca="1" si="24"/>
        <v>0</v>
      </c>
      <c r="AA303" s="485">
        <f t="shared" ca="1" si="25"/>
        <v>0</v>
      </c>
      <c r="AB303" s="484" t="str">
        <f ca="1">IF('CDO Bespoke'!O304&lt;&gt;"",'CDO Bespoke'!O304,"")</f>
        <v/>
      </c>
      <c r="AC303" s="485" t="str">
        <f ca="1">IF(AB303&lt;&gt;"",ABS(MIN(-0.75*('CDO Bespoke'!K304)+'CDO Bespoke'!T304,0)),"")</f>
        <v/>
      </c>
      <c r="AD303" s="485">
        <f t="shared" ca="1" si="26"/>
        <v>0</v>
      </c>
      <c r="AE303" s="489">
        <f t="shared" ca="1" si="27"/>
        <v>0</v>
      </c>
      <c r="AF303" s="272"/>
      <c r="AG303" s="494" t="str">
        <f ca="1">IF('CDO Bespoke'!C328&lt;&gt;"",'CDO Bespoke'!C328,"")</f>
        <v/>
      </c>
      <c r="AH303" s="496"/>
      <c r="AI303" s="585"/>
      <c r="AJ303" s="585"/>
      <c r="AK303" s="585"/>
      <c r="AL303" s="497"/>
      <c r="AM303" s="496"/>
      <c r="AN303" s="585"/>
      <c r="AO303" s="585"/>
      <c r="AP303" s="585"/>
      <c r="AQ303" s="497"/>
      <c r="AR303" s="580"/>
      <c r="AS303" s="580"/>
      <c r="AT303" s="580"/>
      <c r="AU303" s="580"/>
      <c r="AV303" s="580"/>
      <c r="AW303" s="580"/>
      <c r="AX303" s="579"/>
    </row>
    <row r="304" spans="2:50">
      <c r="B304" s="539" t="s">
        <v>592</v>
      </c>
      <c r="C304" s="540" t="s">
        <v>66</v>
      </c>
      <c r="D304" s="540" t="s">
        <v>55</v>
      </c>
      <c r="E304" s="540" t="s">
        <v>649</v>
      </c>
      <c r="F304" s="540" t="s">
        <v>677</v>
      </c>
      <c r="G304" s="541">
        <v>0.01</v>
      </c>
      <c r="H304" s="541">
        <v>3.7399999999999998E-3</v>
      </c>
      <c r="I304" s="542">
        <v>0.4</v>
      </c>
      <c r="J304" s="602">
        <v>6</v>
      </c>
      <c r="K304" s="543">
        <v>94</v>
      </c>
      <c r="L304" s="272"/>
      <c r="M304" s="272"/>
      <c r="P304" s="273"/>
      <c r="Q304" s="273"/>
      <c r="R304" s="273"/>
      <c r="S304" s="273"/>
      <c r="T304" s="273"/>
      <c r="U304" s="273"/>
      <c r="V304" s="273"/>
      <c r="W304" s="273"/>
      <c r="X304" s="484" t="str">
        <f ca="1">IF('CDO Bespoke'!O305&lt;&gt;"",'CDO Bespoke'!O305,"")</f>
        <v/>
      </c>
      <c r="Y304" s="485" t="str">
        <f ca="1">IF(X304&lt;&gt;"",ABS(MIN(-0.75*('CDO Bespoke'!Q305)+'CDO Bespoke'!T305,0)),"")</f>
        <v/>
      </c>
      <c r="Z304" s="485">
        <f t="shared" ca="1" si="24"/>
        <v>0</v>
      </c>
      <c r="AA304" s="485">
        <f t="shared" ca="1" si="25"/>
        <v>0</v>
      </c>
      <c r="AB304" s="484" t="str">
        <f ca="1">IF('CDO Bespoke'!O305&lt;&gt;"",'CDO Bespoke'!O305,"")</f>
        <v/>
      </c>
      <c r="AC304" s="485" t="str">
        <f ca="1">IF(AB304&lt;&gt;"",ABS(MIN(-0.75*('CDO Bespoke'!K305)+'CDO Bespoke'!T305,0)),"")</f>
        <v/>
      </c>
      <c r="AD304" s="485">
        <f t="shared" ca="1" si="26"/>
        <v>0</v>
      </c>
      <c r="AE304" s="489">
        <f t="shared" ca="1" si="27"/>
        <v>0</v>
      </c>
      <c r="AF304" s="272"/>
      <c r="AG304" s="494" t="str">
        <f ca="1">IF('CDO Bespoke'!C329&lt;&gt;"",'CDO Bespoke'!C329,"")</f>
        <v/>
      </c>
      <c r="AH304" s="496"/>
      <c r="AI304" s="585"/>
      <c r="AJ304" s="585"/>
      <c r="AK304" s="585"/>
      <c r="AL304" s="497"/>
      <c r="AM304" s="496"/>
      <c r="AN304" s="585"/>
      <c r="AO304" s="585"/>
      <c r="AP304" s="585"/>
      <c r="AQ304" s="497"/>
      <c r="AR304" s="580"/>
      <c r="AS304" s="580"/>
      <c r="AT304" s="580"/>
      <c r="AU304" s="580"/>
      <c r="AV304" s="580"/>
      <c r="AW304" s="580"/>
      <c r="AX304" s="579"/>
    </row>
    <row r="305" spans="2:50">
      <c r="B305" s="517" t="s">
        <v>592</v>
      </c>
      <c r="C305" s="518" t="s">
        <v>66</v>
      </c>
      <c r="D305" s="518" t="s">
        <v>57</v>
      </c>
      <c r="E305" s="518" t="s">
        <v>649</v>
      </c>
      <c r="F305" s="518" t="s">
        <v>677</v>
      </c>
      <c r="G305" s="525">
        <v>0.01</v>
      </c>
      <c r="H305" s="525">
        <v>6.6239999999999997E-3</v>
      </c>
      <c r="I305" s="527">
        <v>0.4</v>
      </c>
      <c r="J305" s="594">
        <v>6</v>
      </c>
      <c r="K305" s="519">
        <v>94</v>
      </c>
      <c r="L305" s="272"/>
      <c r="M305" s="272"/>
      <c r="P305" s="273"/>
      <c r="Q305" s="273"/>
      <c r="R305" s="273"/>
      <c r="S305" s="273"/>
      <c r="T305" s="273"/>
      <c r="U305" s="273"/>
      <c r="V305" s="273"/>
      <c r="W305" s="273"/>
      <c r="X305" s="484" t="str">
        <f ca="1">IF('CDO Bespoke'!O306&lt;&gt;"",'CDO Bespoke'!O306,"")</f>
        <v/>
      </c>
      <c r="Y305" s="485" t="str">
        <f ca="1">IF(X305&lt;&gt;"",ABS(MIN(-0.75*('CDO Bespoke'!Q306)+'CDO Bespoke'!T306,0)),"")</f>
        <v/>
      </c>
      <c r="Z305" s="485">
        <f t="shared" ca="1" si="24"/>
        <v>0</v>
      </c>
      <c r="AA305" s="485">
        <f t="shared" ca="1" si="25"/>
        <v>0</v>
      </c>
      <c r="AB305" s="484" t="str">
        <f ca="1">IF('CDO Bespoke'!O306&lt;&gt;"",'CDO Bespoke'!O306,"")</f>
        <v/>
      </c>
      <c r="AC305" s="485" t="str">
        <f ca="1">IF(AB305&lt;&gt;"",ABS(MIN(-0.75*('CDO Bespoke'!K306)+'CDO Bespoke'!T306,0)),"")</f>
        <v/>
      </c>
      <c r="AD305" s="485">
        <f t="shared" ca="1" si="26"/>
        <v>0</v>
      </c>
      <c r="AE305" s="489">
        <f t="shared" ca="1" si="27"/>
        <v>0</v>
      </c>
      <c r="AF305" s="272"/>
      <c r="AG305" s="494" t="str">
        <f ca="1">IF('CDO Bespoke'!C330&lt;&gt;"",'CDO Bespoke'!C330,"")</f>
        <v/>
      </c>
      <c r="AH305" s="496"/>
      <c r="AI305" s="585"/>
      <c r="AJ305" s="585"/>
      <c r="AK305" s="585"/>
      <c r="AL305" s="497"/>
      <c r="AM305" s="496"/>
      <c r="AN305" s="585"/>
      <c r="AO305" s="585"/>
      <c r="AP305" s="585"/>
      <c r="AQ305" s="497"/>
      <c r="AR305" s="580"/>
      <c r="AS305" s="580"/>
      <c r="AT305" s="580"/>
      <c r="AU305" s="580"/>
      <c r="AV305" s="580"/>
      <c r="AW305" s="580"/>
      <c r="AX305" s="579"/>
    </row>
    <row r="306" spans="2:50">
      <c r="B306" s="534" t="s">
        <v>592</v>
      </c>
      <c r="C306" s="535" t="s">
        <v>66</v>
      </c>
      <c r="D306" s="535" t="s">
        <v>59</v>
      </c>
      <c r="E306" s="535" t="s">
        <v>649</v>
      </c>
      <c r="F306" s="535" t="s">
        <v>677</v>
      </c>
      <c r="G306" s="536">
        <v>0.01</v>
      </c>
      <c r="H306" s="536">
        <v>9.2910000000000006E-3</v>
      </c>
      <c r="I306" s="537">
        <v>0.4</v>
      </c>
      <c r="J306" s="595">
        <v>6</v>
      </c>
      <c r="K306" s="538">
        <v>94</v>
      </c>
      <c r="L306" s="272"/>
      <c r="M306" s="272"/>
      <c r="P306" s="273"/>
      <c r="Q306" s="273"/>
      <c r="R306" s="273"/>
      <c r="S306" s="273"/>
      <c r="T306" s="273"/>
      <c r="U306" s="273"/>
      <c r="V306" s="273"/>
      <c r="W306" s="273"/>
      <c r="X306" s="484" t="str">
        <f ca="1">IF('CDO Bespoke'!O307&lt;&gt;"",'CDO Bespoke'!O307,"")</f>
        <v/>
      </c>
      <c r="Y306" s="485" t="str">
        <f ca="1">IF(X306&lt;&gt;"",ABS(MIN(-0.75*('CDO Bespoke'!Q307)+'CDO Bespoke'!T307,0)),"")</f>
        <v/>
      </c>
      <c r="Z306" s="485">
        <f t="shared" ca="1" si="24"/>
        <v>0</v>
      </c>
      <c r="AA306" s="485">
        <f t="shared" ca="1" si="25"/>
        <v>0</v>
      </c>
      <c r="AB306" s="484" t="str">
        <f ca="1">IF('CDO Bespoke'!O307&lt;&gt;"",'CDO Bespoke'!O307,"")</f>
        <v/>
      </c>
      <c r="AC306" s="485" t="str">
        <f ca="1">IF(AB306&lt;&gt;"",ABS(MIN(-0.75*('CDO Bespoke'!K307)+'CDO Bespoke'!T307,0)),"")</f>
        <v/>
      </c>
      <c r="AD306" s="485">
        <f t="shared" ca="1" si="26"/>
        <v>0</v>
      </c>
      <c r="AE306" s="489">
        <f t="shared" ca="1" si="27"/>
        <v>0</v>
      </c>
      <c r="AF306" s="272"/>
      <c r="AG306" s="494" t="str">
        <f ca="1">IF('CDO Bespoke'!C331&lt;&gt;"",'CDO Bespoke'!C331,"")</f>
        <v/>
      </c>
      <c r="AH306" s="496"/>
      <c r="AI306" s="585"/>
      <c r="AJ306" s="585"/>
      <c r="AK306" s="585"/>
      <c r="AL306" s="497"/>
      <c r="AM306" s="496"/>
      <c r="AN306" s="585"/>
      <c r="AO306" s="585"/>
      <c r="AP306" s="585"/>
      <c r="AQ306" s="497"/>
      <c r="AR306" s="580"/>
      <c r="AS306" s="580"/>
      <c r="AT306" s="580"/>
      <c r="AU306" s="580"/>
      <c r="AV306" s="580"/>
      <c r="AW306" s="580"/>
      <c r="AX306" s="579"/>
    </row>
    <row r="307" spans="2:50">
      <c r="B307" s="539" t="s">
        <v>593</v>
      </c>
      <c r="C307" s="540" t="s">
        <v>66</v>
      </c>
      <c r="D307" s="540" t="s">
        <v>55</v>
      </c>
      <c r="E307" s="540" t="s">
        <v>649</v>
      </c>
      <c r="F307" s="540" t="s">
        <v>673</v>
      </c>
      <c r="G307" s="541">
        <v>0.01</v>
      </c>
      <c r="H307" s="541">
        <v>3.8470000000000002E-3</v>
      </c>
      <c r="I307" s="542">
        <v>0.4</v>
      </c>
      <c r="J307" s="602">
        <v>5</v>
      </c>
      <c r="K307" s="543">
        <v>95</v>
      </c>
      <c r="L307" s="272"/>
      <c r="M307" s="272"/>
      <c r="P307" s="273"/>
      <c r="Q307" s="273"/>
      <c r="R307" s="273"/>
      <c r="S307" s="273"/>
      <c r="T307" s="273"/>
      <c r="U307" s="273"/>
      <c r="V307" s="273"/>
      <c r="W307" s="273"/>
      <c r="X307" s="484" t="str">
        <f ca="1">IF('CDO Bespoke'!O308&lt;&gt;"",'CDO Bespoke'!O308,"")</f>
        <v/>
      </c>
      <c r="Y307" s="485" t="str">
        <f ca="1">IF(X307&lt;&gt;"",ABS(MIN(-0.75*('CDO Bespoke'!Q308)+'CDO Bespoke'!T308,0)),"")</f>
        <v/>
      </c>
      <c r="Z307" s="485">
        <f t="shared" ca="1" si="24"/>
        <v>0</v>
      </c>
      <c r="AA307" s="485">
        <f t="shared" ca="1" si="25"/>
        <v>0</v>
      </c>
      <c r="AB307" s="484" t="str">
        <f ca="1">IF('CDO Bespoke'!O308&lt;&gt;"",'CDO Bespoke'!O308,"")</f>
        <v/>
      </c>
      <c r="AC307" s="485" t="str">
        <f ca="1">IF(AB307&lt;&gt;"",ABS(MIN(-0.75*('CDO Bespoke'!K308)+'CDO Bespoke'!T308,0)),"")</f>
        <v/>
      </c>
      <c r="AD307" s="485">
        <f t="shared" ca="1" si="26"/>
        <v>0</v>
      </c>
      <c r="AE307" s="489">
        <f t="shared" ca="1" si="27"/>
        <v>0</v>
      </c>
      <c r="AF307" s="272"/>
      <c r="AG307" s="494" t="str">
        <f ca="1">IF('CDO Bespoke'!C332&lt;&gt;"",'CDO Bespoke'!C332,"")</f>
        <v/>
      </c>
      <c r="AH307" s="496"/>
      <c r="AI307" s="585"/>
      <c r="AJ307" s="585"/>
      <c r="AK307" s="585"/>
      <c r="AL307" s="497"/>
      <c r="AM307" s="496"/>
      <c r="AN307" s="585"/>
      <c r="AO307" s="585"/>
      <c r="AP307" s="585"/>
      <c r="AQ307" s="497"/>
      <c r="AR307" s="580"/>
      <c r="AS307" s="580"/>
      <c r="AT307" s="580"/>
      <c r="AU307" s="580"/>
      <c r="AV307" s="580"/>
      <c r="AW307" s="580"/>
      <c r="AX307" s="579"/>
    </row>
    <row r="308" spans="2:50">
      <c r="B308" s="517" t="s">
        <v>593</v>
      </c>
      <c r="C308" s="518" t="s">
        <v>66</v>
      </c>
      <c r="D308" s="518" t="s">
        <v>57</v>
      </c>
      <c r="E308" s="518" t="s">
        <v>649</v>
      </c>
      <c r="F308" s="518" t="s">
        <v>673</v>
      </c>
      <c r="G308" s="525">
        <v>0.01</v>
      </c>
      <c r="H308" s="525">
        <v>6.4609999999999997E-3</v>
      </c>
      <c r="I308" s="527">
        <v>0.4</v>
      </c>
      <c r="J308" s="594">
        <v>5</v>
      </c>
      <c r="K308" s="519">
        <v>95</v>
      </c>
      <c r="L308" s="272"/>
      <c r="M308" s="272"/>
      <c r="P308" s="273"/>
      <c r="Q308" s="273"/>
      <c r="R308" s="273"/>
      <c r="S308" s="273"/>
      <c r="T308" s="273"/>
      <c r="U308" s="273"/>
      <c r="V308" s="273"/>
      <c r="W308" s="273"/>
      <c r="X308" s="484" t="str">
        <f ca="1">IF('CDO Bespoke'!O309&lt;&gt;"",'CDO Bespoke'!O309,"")</f>
        <v/>
      </c>
      <c r="Y308" s="485" t="str">
        <f ca="1">IF(X308&lt;&gt;"",ABS(MIN(-0.75*('CDO Bespoke'!Q309)+'CDO Bespoke'!T309,0)),"")</f>
        <v/>
      </c>
      <c r="Z308" s="485">
        <f t="shared" ca="1" si="24"/>
        <v>0</v>
      </c>
      <c r="AA308" s="485">
        <f t="shared" ca="1" si="25"/>
        <v>0</v>
      </c>
      <c r="AB308" s="484" t="str">
        <f ca="1">IF('CDO Bespoke'!O309&lt;&gt;"",'CDO Bespoke'!O309,"")</f>
        <v/>
      </c>
      <c r="AC308" s="485" t="str">
        <f ca="1">IF(AB308&lt;&gt;"",ABS(MIN(-0.75*('CDO Bespoke'!K309)+'CDO Bespoke'!T309,0)),"")</f>
        <v/>
      </c>
      <c r="AD308" s="485">
        <f t="shared" ca="1" si="26"/>
        <v>0</v>
      </c>
      <c r="AE308" s="489">
        <f t="shared" ca="1" si="27"/>
        <v>0</v>
      </c>
      <c r="AF308" s="272"/>
      <c r="AG308" s="494" t="str">
        <f ca="1">IF('CDO Bespoke'!C333&lt;&gt;"",'CDO Bespoke'!C333,"")</f>
        <v/>
      </c>
      <c r="AH308" s="496"/>
      <c r="AI308" s="585"/>
      <c r="AJ308" s="585"/>
      <c r="AK308" s="585"/>
      <c r="AL308" s="497"/>
      <c r="AM308" s="496"/>
      <c r="AN308" s="585"/>
      <c r="AO308" s="585"/>
      <c r="AP308" s="585"/>
      <c r="AQ308" s="497"/>
      <c r="AR308" s="580"/>
      <c r="AS308" s="580"/>
      <c r="AT308" s="580"/>
      <c r="AU308" s="580"/>
      <c r="AV308" s="580"/>
      <c r="AW308" s="580"/>
      <c r="AX308" s="579"/>
    </row>
    <row r="309" spans="2:50">
      <c r="B309" s="534" t="s">
        <v>593</v>
      </c>
      <c r="C309" s="535" t="s">
        <v>66</v>
      </c>
      <c r="D309" s="535" t="s">
        <v>59</v>
      </c>
      <c r="E309" s="535" t="s">
        <v>649</v>
      </c>
      <c r="F309" s="535" t="s">
        <v>673</v>
      </c>
      <c r="G309" s="536">
        <v>0.01</v>
      </c>
      <c r="H309" s="536">
        <v>8.9420000000000003E-3</v>
      </c>
      <c r="I309" s="537">
        <v>0.4</v>
      </c>
      <c r="J309" s="595">
        <v>5</v>
      </c>
      <c r="K309" s="538">
        <v>95</v>
      </c>
      <c r="L309" s="272"/>
      <c r="M309" s="272"/>
      <c r="P309" s="273"/>
      <c r="Q309" s="273"/>
      <c r="R309" s="273"/>
      <c r="S309" s="273"/>
      <c r="T309" s="273"/>
      <c r="U309" s="273"/>
      <c r="V309" s="273"/>
      <c r="W309" s="273"/>
      <c r="X309" s="484" t="str">
        <f ca="1">IF('CDO Bespoke'!O310&lt;&gt;"",'CDO Bespoke'!O310,"")</f>
        <v/>
      </c>
      <c r="Y309" s="485" t="str">
        <f ca="1">IF(X309&lt;&gt;"",ABS(MIN(-0.75*('CDO Bespoke'!Q310)+'CDO Bespoke'!T310,0)),"")</f>
        <v/>
      </c>
      <c r="Z309" s="485">
        <f t="shared" ca="1" si="24"/>
        <v>0</v>
      </c>
      <c r="AA309" s="485">
        <f t="shared" ca="1" si="25"/>
        <v>0</v>
      </c>
      <c r="AB309" s="484" t="str">
        <f ca="1">IF('CDO Bespoke'!O310&lt;&gt;"",'CDO Bespoke'!O310,"")</f>
        <v/>
      </c>
      <c r="AC309" s="485" t="str">
        <f ca="1">IF(AB309&lt;&gt;"",ABS(MIN(-0.75*('CDO Bespoke'!K310)+'CDO Bespoke'!T310,0)),"")</f>
        <v/>
      </c>
      <c r="AD309" s="485">
        <f t="shared" ca="1" si="26"/>
        <v>0</v>
      </c>
      <c r="AE309" s="489">
        <f t="shared" ca="1" si="27"/>
        <v>0</v>
      </c>
      <c r="AF309" s="272"/>
      <c r="AG309" s="494" t="str">
        <f ca="1">IF('CDO Bespoke'!C334&lt;&gt;"",'CDO Bespoke'!C334,"")</f>
        <v/>
      </c>
      <c r="AH309" s="496"/>
      <c r="AI309" s="585"/>
      <c r="AJ309" s="585"/>
      <c r="AK309" s="585"/>
      <c r="AL309" s="497"/>
      <c r="AM309" s="496"/>
      <c r="AN309" s="585"/>
      <c r="AO309" s="585"/>
      <c r="AP309" s="585"/>
      <c r="AQ309" s="497"/>
      <c r="AR309" s="580"/>
      <c r="AS309" s="580"/>
      <c r="AT309" s="580"/>
      <c r="AU309" s="580"/>
      <c r="AV309" s="580"/>
      <c r="AW309" s="580"/>
      <c r="AX309" s="579"/>
    </row>
    <row r="310" spans="2:50">
      <c r="B310" s="539"/>
      <c r="C310" s="540" t="s">
        <v>66</v>
      </c>
      <c r="D310" s="540" t="s">
        <v>55</v>
      </c>
      <c r="E310" s="540"/>
      <c r="F310" s="540"/>
      <c r="G310" s="541">
        <v>0.01</v>
      </c>
      <c r="H310" s="541"/>
      <c r="I310" s="542">
        <v>0.4</v>
      </c>
      <c r="J310" s="602"/>
      <c r="K310" s="543">
        <v>96</v>
      </c>
      <c r="L310" s="272"/>
      <c r="M310" s="272"/>
      <c r="P310" s="273"/>
      <c r="Q310" s="273"/>
      <c r="R310" s="273"/>
      <c r="S310" s="273"/>
      <c r="T310" s="273"/>
      <c r="U310" s="273"/>
      <c r="V310" s="273"/>
      <c r="W310" s="273"/>
      <c r="X310" s="484" t="str">
        <f ca="1">IF('CDO Bespoke'!O311&lt;&gt;"",'CDO Bespoke'!O311,"")</f>
        <v/>
      </c>
      <c r="Y310" s="485" t="str">
        <f ca="1">IF(X310&lt;&gt;"",ABS(MIN(-0.75*('CDO Bespoke'!Q311)+'CDO Bespoke'!T311,0)),"")</f>
        <v/>
      </c>
      <c r="Z310" s="485">
        <f t="shared" ca="1" si="24"/>
        <v>0</v>
      </c>
      <c r="AA310" s="485">
        <f t="shared" ca="1" si="25"/>
        <v>0</v>
      </c>
      <c r="AB310" s="484" t="str">
        <f ca="1">IF('CDO Bespoke'!O311&lt;&gt;"",'CDO Bespoke'!O311,"")</f>
        <v/>
      </c>
      <c r="AC310" s="485" t="str">
        <f ca="1">IF(AB310&lt;&gt;"",ABS(MIN(-0.75*('CDO Bespoke'!K311)+'CDO Bespoke'!T311,0)),"")</f>
        <v/>
      </c>
      <c r="AD310" s="485">
        <f t="shared" ca="1" si="26"/>
        <v>0</v>
      </c>
      <c r="AE310" s="489">
        <f t="shared" ca="1" si="27"/>
        <v>0</v>
      </c>
      <c r="AF310" s="272"/>
      <c r="AG310" s="494" t="str">
        <f ca="1">IF('CDO Bespoke'!C335&lt;&gt;"",'CDO Bespoke'!C335,"")</f>
        <v/>
      </c>
      <c r="AH310" s="496"/>
      <c r="AI310" s="585"/>
      <c r="AJ310" s="585"/>
      <c r="AK310" s="585"/>
      <c r="AL310" s="497"/>
      <c r="AM310" s="496"/>
      <c r="AN310" s="585"/>
      <c r="AO310" s="585"/>
      <c r="AP310" s="585"/>
      <c r="AQ310" s="497"/>
      <c r="AR310" s="580"/>
      <c r="AS310" s="580"/>
      <c r="AT310" s="580"/>
      <c r="AU310" s="580"/>
      <c r="AV310" s="580"/>
      <c r="AW310" s="580"/>
      <c r="AX310" s="579"/>
    </row>
    <row r="311" spans="2:50">
      <c r="B311" s="517"/>
      <c r="C311" s="518" t="s">
        <v>66</v>
      </c>
      <c r="D311" s="518" t="s">
        <v>57</v>
      </c>
      <c r="E311" s="518"/>
      <c r="F311" s="518"/>
      <c r="G311" s="525">
        <v>0.01</v>
      </c>
      <c r="H311" s="525"/>
      <c r="I311" s="527">
        <v>0.4</v>
      </c>
      <c r="J311" s="594"/>
      <c r="K311" s="519">
        <v>96</v>
      </c>
      <c r="L311" s="272"/>
      <c r="M311" s="272"/>
      <c r="P311" s="273"/>
      <c r="Q311" s="273"/>
      <c r="R311" s="273"/>
      <c r="S311" s="273"/>
      <c r="T311" s="273"/>
      <c r="U311" s="273"/>
      <c r="V311" s="273"/>
      <c r="W311" s="273"/>
      <c r="X311" s="484" t="str">
        <f ca="1">IF('CDO Bespoke'!O312&lt;&gt;"",'CDO Bespoke'!O312,"")</f>
        <v/>
      </c>
      <c r="Y311" s="485" t="str">
        <f ca="1">IF(X311&lt;&gt;"",ABS(MIN(-0.75*('CDO Bespoke'!Q312)+'CDO Bespoke'!T312,0)),"")</f>
        <v/>
      </c>
      <c r="Z311" s="485">
        <f t="shared" ca="1" si="24"/>
        <v>0</v>
      </c>
      <c r="AA311" s="485">
        <f t="shared" ca="1" si="25"/>
        <v>0</v>
      </c>
      <c r="AB311" s="484" t="str">
        <f ca="1">IF('CDO Bespoke'!O312&lt;&gt;"",'CDO Bespoke'!O312,"")</f>
        <v/>
      </c>
      <c r="AC311" s="485" t="str">
        <f ca="1">IF(AB311&lt;&gt;"",ABS(MIN(-0.75*('CDO Bespoke'!K312)+'CDO Bespoke'!T312,0)),"")</f>
        <v/>
      </c>
      <c r="AD311" s="485">
        <f t="shared" ca="1" si="26"/>
        <v>0</v>
      </c>
      <c r="AE311" s="489">
        <f t="shared" ca="1" si="27"/>
        <v>0</v>
      </c>
      <c r="AF311" s="272"/>
      <c r="AG311" s="494" t="str">
        <f ca="1">IF('CDO Bespoke'!C336&lt;&gt;"",'CDO Bespoke'!C336,"")</f>
        <v/>
      </c>
      <c r="AH311" s="496"/>
      <c r="AI311" s="585"/>
      <c r="AJ311" s="585"/>
      <c r="AK311" s="585"/>
      <c r="AL311" s="497"/>
      <c r="AM311" s="496"/>
      <c r="AN311" s="585"/>
      <c r="AO311" s="585"/>
      <c r="AP311" s="585"/>
      <c r="AQ311" s="497"/>
      <c r="AR311" s="580"/>
      <c r="AS311" s="580"/>
      <c r="AT311" s="580"/>
      <c r="AU311" s="580"/>
      <c r="AV311" s="580"/>
      <c r="AW311" s="580"/>
      <c r="AX311" s="579"/>
    </row>
    <row r="312" spans="2:50">
      <c r="B312" s="534"/>
      <c r="C312" s="535" t="s">
        <v>66</v>
      </c>
      <c r="D312" s="535" t="s">
        <v>59</v>
      </c>
      <c r="E312" s="535"/>
      <c r="F312" s="535"/>
      <c r="G312" s="536">
        <v>0.01</v>
      </c>
      <c r="H312" s="536"/>
      <c r="I312" s="537">
        <v>0.4</v>
      </c>
      <c r="J312" s="595"/>
      <c r="K312" s="538">
        <v>96</v>
      </c>
      <c r="L312" s="272"/>
      <c r="M312" s="272"/>
      <c r="P312" s="273"/>
      <c r="Q312" s="273"/>
      <c r="R312" s="273"/>
      <c r="S312" s="273"/>
      <c r="T312" s="273"/>
      <c r="U312" s="273"/>
      <c r="V312" s="273"/>
      <c r="W312" s="273"/>
      <c r="X312" s="484" t="str">
        <f ca="1">IF('CDO Bespoke'!O313&lt;&gt;"",'CDO Bespoke'!O313,"")</f>
        <v/>
      </c>
      <c r="Y312" s="485" t="str">
        <f ca="1">IF(X312&lt;&gt;"",ABS(MIN(-0.75*('CDO Bespoke'!Q313)+'CDO Bespoke'!T313,0)),"")</f>
        <v/>
      </c>
      <c r="Z312" s="485">
        <f t="shared" ca="1" si="24"/>
        <v>0</v>
      </c>
      <c r="AA312" s="485">
        <f t="shared" ca="1" si="25"/>
        <v>0</v>
      </c>
      <c r="AB312" s="484" t="str">
        <f ca="1">IF('CDO Bespoke'!O313&lt;&gt;"",'CDO Bespoke'!O313,"")</f>
        <v/>
      </c>
      <c r="AC312" s="485" t="str">
        <f ca="1">IF(AB312&lt;&gt;"",ABS(MIN(-0.75*('CDO Bespoke'!K313)+'CDO Bespoke'!T313,0)),"")</f>
        <v/>
      </c>
      <c r="AD312" s="485">
        <f t="shared" ca="1" si="26"/>
        <v>0</v>
      </c>
      <c r="AE312" s="489">
        <f t="shared" ca="1" si="27"/>
        <v>0</v>
      </c>
      <c r="AF312" s="272"/>
      <c r="AG312" s="494" t="str">
        <f ca="1">IF('CDO Bespoke'!C337&lt;&gt;"",'CDO Bespoke'!C337,"")</f>
        <v/>
      </c>
      <c r="AH312" s="496"/>
      <c r="AI312" s="585"/>
      <c r="AJ312" s="585"/>
      <c r="AK312" s="585"/>
      <c r="AL312" s="497"/>
      <c r="AM312" s="496"/>
      <c r="AN312" s="585"/>
      <c r="AO312" s="585"/>
      <c r="AP312" s="585"/>
      <c r="AQ312" s="497"/>
      <c r="AR312" s="580"/>
      <c r="AS312" s="580"/>
      <c r="AT312" s="580"/>
      <c r="AU312" s="580"/>
      <c r="AV312" s="580"/>
      <c r="AW312" s="580"/>
      <c r="AX312" s="579"/>
    </row>
    <row r="313" spans="2:50" ht="12" thickBot="1">
      <c r="B313" s="539"/>
      <c r="C313" s="540" t="s">
        <v>66</v>
      </c>
      <c r="D313" s="540" t="s">
        <v>55</v>
      </c>
      <c r="E313" s="540"/>
      <c r="F313" s="540"/>
      <c r="G313" s="541">
        <v>0.01</v>
      </c>
      <c r="H313" s="541"/>
      <c r="I313" s="542">
        <v>0.4</v>
      </c>
      <c r="J313" s="602"/>
      <c r="K313" s="543">
        <v>97</v>
      </c>
      <c r="L313" s="272"/>
      <c r="M313" s="272"/>
      <c r="P313" s="273"/>
      <c r="Q313" s="273"/>
      <c r="R313" s="273"/>
      <c r="S313" s="273"/>
      <c r="T313" s="273"/>
      <c r="U313" s="273"/>
      <c r="V313" s="273"/>
      <c r="W313" s="273"/>
      <c r="X313" s="490" t="str">
        <f ca="1">IF('CDO Bespoke'!O314&lt;&gt;"",'CDO Bespoke'!O314,"")</f>
        <v/>
      </c>
      <c r="Y313" s="491" t="str">
        <f ca="1">IF(X313&lt;&gt;"",ABS(MIN(-0.75*('CDO Bespoke'!Q314)+'CDO Bespoke'!T314,0)),"")</f>
        <v/>
      </c>
      <c r="Z313" s="491">
        <f t="shared" ca="1" si="24"/>
        <v>0</v>
      </c>
      <c r="AA313" s="491">
        <f t="shared" ca="1" si="25"/>
        <v>0</v>
      </c>
      <c r="AB313" s="490" t="str">
        <f ca="1">IF('CDO Bespoke'!O314&lt;&gt;"",'CDO Bespoke'!O314,"")</f>
        <v/>
      </c>
      <c r="AC313" s="491" t="str">
        <f ca="1">IF(AB313&lt;&gt;"",ABS(MIN(-0.75*('CDO Bespoke'!K314)+'CDO Bespoke'!T314,0)),"")</f>
        <v/>
      </c>
      <c r="AD313" s="491">
        <f t="shared" ca="1" si="26"/>
        <v>0</v>
      </c>
      <c r="AE313" s="492">
        <f t="shared" ca="1" si="27"/>
        <v>0</v>
      </c>
      <c r="AF313" s="272"/>
      <c r="AG313" s="495" t="str">
        <f ca="1">IF('CDO Bespoke'!C338&lt;&gt;"",'CDO Bespoke'!C338,"")</f>
        <v/>
      </c>
      <c r="AH313" s="498"/>
      <c r="AI313" s="499"/>
      <c r="AJ313" s="499"/>
      <c r="AK313" s="499"/>
      <c r="AL313" s="500"/>
      <c r="AM313" s="498"/>
      <c r="AN313" s="499"/>
      <c r="AO313" s="499"/>
      <c r="AP313" s="499"/>
      <c r="AQ313" s="500"/>
      <c r="AR313" s="580"/>
      <c r="AS313" s="580"/>
      <c r="AT313" s="580"/>
      <c r="AU313" s="580"/>
      <c r="AV313" s="580"/>
      <c r="AW313" s="580"/>
      <c r="AX313" s="579"/>
    </row>
    <row r="314" spans="2:50">
      <c r="B314" s="517"/>
      <c r="C314" s="518" t="s">
        <v>66</v>
      </c>
      <c r="D314" s="518" t="s">
        <v>57</v>
      </c>
      <c r="E314" s="518"/>
      <c r="F314" s="518"/>
      <c r="G314" s="525">
        <v>0.01</v>
      </c>
      <c r="H314" s="525"/>
      <c r="I314" s="527">
        <v>0.4</v>
      </c>
      <c r="J314" s="594"/>
      <c r="K314" s="519">
        <v>97</v>
      </c>
      <c r="L314" s="272"/>
      <c r="M314" s="272"/>
      <c r="P314" s="273"/>
      <c r="Q314" s="273"/>
      <c r="R314" s="273"/>
      <c r="S314" s="273"/>
      <c r="T314" s="273"/>
      <c r="U314" s="273"/>
      <c r="V314" s="273"/>
      <c r="W314" s="273"/>
      <c r="X314" s="272"/>
      <c r="Y314" s="272"/>
      <c r="Z314" s="272"/>
      <c r="AA314" s="272"/>
      <c r="AB314" s="272"/>
      <c r="AC314" s="272"/>
      <c r="AD314" s="272"/>
      <c r="AE314" s="272"/>
      <c r="AF314" s="272"/>
    </row>
    <row r="315" spans="2:50">
      <c r="B315" s="534"/>
      <c r="C315" s="535" t="s">
        <v>66</v>
      </c>
      <c r="D315" s="535" t="s">
        <v>59</v>
      </c>
      <c r="E315" s="535"/>
      <c r="F315" s="535"/>
      <c r="G315" s="536">
        <v>0.01</v>
      </c>
      <c r="H315" s="536"/>
      <c r="I315" s="537">
        <v>0.4</v>
      </c>
      <c r="J315" s="595"/>
      <c r="K315" s="538">
        <v>97</v>
      </c>
      <c r="L315" s="272"/>
      <c r="M315" s="272"/>
      <c r="P315" s="273"/>
      <c r="Q315" s="273"/>
      <c r="R315" s="273"/>
      <c r="S315" s="273"/>
      <c r="T315" s="273"/>
      <c r="U315" s="273"/>
      <c r="V315" s="273"/>
      <c r="W315" s="273"/>
      <c r="X315" s="272"/>
      <c r="Y315" s="272"/>
      <c r="Z315" s="272"/>
      <c r="AA315" s="272"/>
      <c r="AB315" s="272"/>
      <c r="AC315" s="272"/>
      <c r="AD315" s="272"/>
      <c r="AE315" s="272"/>
      <c r="AF315" s="272"/>
    </row>
    <row r="316" spans="2:50">
      <c r="B316" s="539"/>
      <c r="C316" s="540" t="s">
        <v>66</v>
      </c>
      <c r="D316" s="540" t="s">
        <v>55</v>
      </c>
      <c r="E316" s="540"/>
      <c r="F316" s="540"/>
      <c r="G316" s="541">
        <v>0.01</v>
      </c>
      <c r="H316" s="541"/>
      <c r="I316" s="542">
        <v>0.4</v>
      </c>
      <c r="J316" s="602"/>
      <c r="K316" s="543">
        <v>98</v>
      </c>
      <c r="L316" s="272"/>
      <c r="M316" s="272"/>
      <c r="P316" s="273"/>
      <c r="Q316" s="273"/>
      <c r="R316" s="273"/>
      <c r="S316" s="273"/>
      <c r="T316" s="273"/>
      <c r="U316" s="273"/>
      <c r="V316" s="273"/>
      <c r="W316" s="273"/>
      <c r="X316" s="272"/>
      <c r="Y316" s="272"/>
      <c r="Z316" s="272"/>
      <c r="AA316" s="272"/>
      <c r="AB316" s="272"/>
      <c r="AC316" s="272"/>
      <c r="AD316" s="272"/>
      <c r="AE316" s="272"/>
      <c r="AF316" s="272"/>
    </row>
    <row r="317" spans="2:50">
      <c r="B317" s="517"/>
      <c r="C317" s="518" t="s">
        <v>66</v>
      </c>
      <c r="D317" s="518" t="s">
        <v>57</v>
      </c>
      <c r="E317" s="518"/>
      <c r="F317" s="518"/>
      <c r="G317" s="525">
        <v>0.01</v>
      </c>
      <c r="H317" s="525"/>
      <c r="I317" s="527">
        <v>0.4</v>
      </c>
      <c r="J317" s="594"/>
      <c r="K317" s="519">
        <v>98</v>
      </c>
      <c r="L317" s="272"/>
      <c r="M317" s="272"/>
      <c r="P317" s="273"/>
      <c r="Q317" s="273"/>
      <c r="R317" s="273"/>
      <c r="S317" s="273"/>
      <c r="T317" s="273"/>
      <c r="U317" s="273"/>
      <c r="V317" s="273"/>
      <c r="W317" s="273"/>
      <c r="X317" s="272"/>
      <c r="Y317" s="272"/>
      <c r="Z317" s="272"/>
      <c r="AA317" s="272"/>
      <c r="AB317" s="272"/>
      <c r="AC317" s="272"/>
      <c r="AD317" s="272"/>
      <c r="AE317" s="272"/>
      <c r="AF317" s="272"/>
    </row>
    <row r="318" spans="2:50">
      <c r="B318" s="534"/>
      <c r="C318" s="535" t="s">
        <v>66</v>
      </c>
      <c r="D318" s="535" t="s">
        <v>59</v>
      </c>
      <c r="E318" s="535"/>
      <c r="F318" s="535"/>
      <c r="G318" s="536">
        <v>0.01</v>
      </c>
      <c r="H318" s="536"/>
      <c r="I318" s="537">
        <v>0.4</v>
      </c>
      <c r="J318" s="595"/>
      <c r="K318" s="538">
        <v>98</v>
      </c>
      <c r="L318" s="272"/>
      <c r="M318" s="272"/>
      <c r="P318" s="273"/>
      <c r="Q318" s="273"/>
      <c r="R318" s="273"/>
      <c r="S318" s="273"/>
      <c r="T318" s="273"/>
      <c r="U318" s="273"/>
      <c r="V318" s="273"/>
      <c r="W318" s="273"/>
      <c r="X318" s="272"/>
      <c r="Y318" s="272"/>
      <c r="Z318" s="272"/>
      <c r="AA318" s="272"/>
      <c r="AB318" s="272"/>
      <c r="AC318" s="272"/>
      <c r="AD318" s="272"/>
      <c r="AE318" s="272"/>
      <c r="AF318" s="272"/>
    </row>
    <row r="319" spans="2:50">
      <c r="B319" s="539"/>
      <c r="C319" s="540" t="s">
        <v>66</v>
      </c>
      <c r="D319" s="540" t="s">
        <v>55</v>
      </c>
      <c r="E319" s="540"/>
      <c r="F319" s="540"/>
      <c r="G319" s="541">
        <v>0.01</v>
      </c>
      <c r="H319" s="541"/>
      <c r="I319" s="542">
        <v>0.4</v>
      </c>
      <c r="J319" s="602"/>
      <c r="K319" s="543">
        <v>99</v>
      </c>
      <c r="L319" s="272"/>
      <c r="M319" s="272"/>
      <c r="P319" s="273"/>
      <c r="Q319" s="273"/>
      <c r="R319" s="273"/>
      <c r="S319" s="273"/>
      <c r="T319" s="273"/>
      <c r="U319" s="273"/>
      <c r="V319" s="273"/>
      <c r="W319" s="273"/>
      <c r="X319" s="272"/>
      <c r="Y319" s="272"/>
      <c r="Z319" s="272"/>
      <c r="AA319" s="272"/>
      <c r="AB319" s="272"/>
      <c r="AC319" s="272"/>
      <c r="AD319" s="272"/>
      <c r="AE319" s="272"/>
      <c r="AF319" s="272"/>
    </row>
    <row r="320" spans="2:50">
      <c r="B320" s="517"/>
      <c r="C320" s="518" t="s">
        <v>66</v>
      </c>
      <c r="D320" s="518" t="s">
        <v>57</v>
      </c>
      <c r="E320" s="518"/>
      <c r="F320" s="518"/>
      <c r="G320" s="525">
        <v>0.01</v>
      </c>
      <c r="H320" s="525"/>
      <c r="I320" s="527">
        <v>0.4</v>
      </c>
      <c r="J320" s="594"/>
      <c r="K320" s="519">
        <v>99</v>
      </c>
      <c r="L320" s="272"/>
      <c r="M320" s="272"/>
      <c r="P320" s="273"/>
      <c r="Q320" s="273"/>
      <c r="R320" s="273"/>
      <c r="S320" s="273"/>
      <c r="T320" s="273"/>
      <c r="U320" s="273"/>
      <c r="V320" s="273"/>
      <c r="W320" s="273"/>
      <c r="X320" s="272"/>
      <c r="Y320" s="272"/>
      <c r="Z320" s="272"/>
      <c r="AA320" s="272"/>
      <c r="AB320" s="272"/>
      <c r="AC320" s="272"/>
      <c r="AD320" s="272"/>
      <c r="AE320" s="272"/>
      <c r="AF320" s="272"/>
    </row>
    <row r="321" spans="2:32">
      <c r="B321" s="534"/>
      <c r="C321" s="535" t="s">
        <v>66</v>
      </c>
      <c r="D321" s="535" t="s">
        <v>59</v>
      </c>
      <c r="E321" s="535"/>
      <c r="F321" s="535"/>
      <c r="G321" s="536">
        <v>0.01</v>
      </c>
      <c r="H321" s="536"/>
      <c r="I321" s="537">
        <v>0.4</v>
      </c>
      <c r="J321" s="595"/>
      <c r="K321" s="538">
        <v>99</v>
      </c>
      <c r="L321" s="272"/>
      <c r="M321" s="272"/>
      <c r="P321" s="273"/>
      <c r="Q321" s="273"/>
      <c r="R321" s="273"/>
      <c r="S321" s="273"/>
      <c r="T321" s="273"/>
      <c r="U321" s="273"/>
      <c r="V321" s="273"/>
      <c r="W321" s="273"/>
      <c r="X321" s="272"/>
      <c r="Y321" s="272"/>
      <c r="Z321" s="272"/>
      <c r="AA321" s="272"/>
      <c r="AB321" s="272"/>
      <c r="AC321" s="272"/>
      <c r="AD321" s="272"/>
      <c r="AE321" s="272"/>
      <c r="AF321" s="272"/>
    </row>
    <row r="322" spans="2:32">
      <c r="B322" s="539"/>
      <c r="C322" s="540" t="s">
        <v>66</v>
      </c>
      <c r="D322" s="540" t="s">
        <v>55</v>
      </c>
      <c r="E322" s="540"/>
      <c r="F322" s="540"/>
      <c r="G322" s="541">
        <v>0.01</v>
      </c>
      <c r="H322" s="541"/>
      <c r="I322" s="542">
        <v>0.4</v>
      </c>
      <c r="J322" s="602"/>
      <c r="K322" s="543">
        <v>100</v>
      </c>
      <c r="L322" s="272"/>
      <c r="M322" s="272"/>
      <c r="P322" s="273"/>
      <c r="Q322" s="273"/>
      <c r="R322" s="273"/>
      <c r="S322" s="273"/>
      <c r="T322" s="272"/>
      <c r="U322" s="273"/>
      <c r="V322" s="273"/>
      <c r="W322" s="273"/>
      <c r="X322" s="272"/>
      <c r="Y322" s="272"/>
      <c r="Z322" s="272"/>
      <c r="AA322" s="272"/>
      <c r="AB322" s="272"/>
      <c r="AC322" s="272"/>
      <c r="AD322" s="272"/>
      <c r="AE322" s="272"/>
      <c r="AF322" s="272"/>
    </row>
    <row r="323" spans="2:32">
      <c r="B323" s="517"/>
      <c r="C323" s="518" t="s">
        <v>66</v>
      </c>
      <c r="D323" s="518" t="s">
        <v>57</v>
      </c>
      <c r="E323" s="518"/>
      <c r="F323" s="518"/>
      <c r="G323" s="525">
        <v>0.01</v>
      </c>
      <c r="H323" s="525"/>
      <c r="I323" s="527">
        <v>0.4</v>
      </c>
      <c r="J323" s="594"/>
      <c r="K323" s="519">
        <v>100</v>
      </c>
      <c r="L323" s="272"/>
      <c r="M323" s="272"/>
      <c r="P323" s="273"/>
      <c r="Q323" s="273"/>
      <c r="R323" s="273"/>
      <c r="S323" s="273"/>
      <c r="T323" s="272"/>
      <c r="U323" s="273"/>
      <c r="V323" s="273"/>
      <c r="W323" s="273"/>
      <c r="X323" s="272"/>
      <c r="Y323" s="272"/>
      <c r="Z323" s="272"/>
      <c r="AA323" s="272"/>
      <c r="AB323" s="272"/>
      <c r="AC323" s="272"/>
      <c r="AD323" s="272"/>
      <c r="AE323" s="272"/>
      <c r="AF323" s="272"/>
    </row>
    <row r="324" spans="2:32">
      <c r="B324" s="534"/>
      <c r="C324" s="535" t="s">
        <v>66</v>
      </c>
      <c r="D324" s="535" t="s">
        <v>59</v>
      </c>
      <c r="E324" s="535"/>
      <c r="F324" s="535"/>
      <c r="G324" s="536">
        <v>0.01</v>
      </c>
      <c r="H324" s="536"/>
      <c r="I324" s="537">
        <v>0.4</v>
      </c>
      <c r="J324" s="595"/>
      <c r="K324" s="538">
        <v>100</v>
      </c>
      <c r="L324" s="272"/>
      <c r="M324" s="272"/>
      <c r="P324" s="273"/>
      <c r="Q324" s="273"/>
      <c r="R324" s="273"/>
      <c r="S324" s="273"/>
      <c r="T324" s="272"/>
      <c r="U324" s="273"/>
      <c r="V324" s="273"/>
      <c r="W324" s="273"/>
      <c r="X324" s="272"/>
      <c r="Y324" s="272"/>
      <c r="Z324" s="272"/>
      <c r="AA324" s="272"/>
      <c r="AB324" s="272"/>
      <c r="AC324" s="272"/>
      <c r="AD324" s="272"/>
      <c r="AE324" s="272"/>
      <c r="AF324" s="272"/>
    </row>
    <row r="325" spans="2:32">
      <c r="B325" s="539"/>
      <c r="C325" s="540" t="s">
        <v>66</v>
      </c>
      <c r="D325" s="540" t="s">
        <v>55</v>
      </c>
      <c r="E325" s="540"/>
      <c r="F325" s="540"/>
      <c r="G325" s="541">
        <v>0.01</v>
      </c>
      <c r="H325" s="541"/>
      <c r="I325" s="542">
        <v>0.4</v>
      </c>
      <c r="J325" s="602"/>
      <c r="K325" s="543">
        <v>101</v>
      </c>
      <c r="L325" s="272"/>
      <c r="M325" s="272"/>
      <c r="P325" s="273"/>
      <c r="Q325" s="273"/>
      <c r="R325" s="273"/>
      <c r="S325" s="273"/>
      <c r="T325" s="272"/>
      <c r="U325" s="273"/>
      <c r="V325" s="273"/>
      <c r="W325" s="273"/>
      <c r="X325" s="272"/>
      <c r="Y325" s="272"/>
      <c r="Z325" s="272"/>
      <c r="AA325" s="272"/>
      <c r="AB325" s="272"/>
      <c r="AC325" s="272"/>
      <c r="AD325" s="272"/>
      <c r="AE325" s="272"/>
      <c r="AF325" s="272"/>
    </row>
    <row r="326" spans="2:32">
      <c r="B326" s="517"/>
      <c r="C326" s="518" t="s">
        <v>66</v>
      </c>
      <c r="D326" s="518" t="s">
        <v>57</v>
      </c>
      <c r="E326" s="518"/>
      <c r="F326" s="518"/>
      <c r="G326" s="525">
        <v>0.01</v>
      </c>
      <c r="H326" s="525"/>
      <c r="I326" s="527">
        <v>0.4</v>
      </c>
      <c r="J326" s="594"/>
      <c r="K326" s="519">
        <v>101</v>
      </c>
      <c r="L326" s="272"/>
      <c r="M326" s="272"/>
      <c r="P326" s="273"/>
      <c r="Q326" s="273"/>
      <c r="R326" s="273"/>
      <c r="S326" s="273"/>
      <c r="T326" s="272"/>
      <c r="U326" s="273"/>
      <c r="V326" s="273"/>
      <c r="W326" s="273"/>
      <c r="X326" s="272"/>
      <c r="Y326" s="272"/>
      <c r="Z326" s="272"/>
      <c r="AA326" s="272"/>
      <c r="AB326" s="272"/>
      <c r="AC326" s="272"/>
      <c r="AD326" s="272"/>
      <c r="AE326" s="272"/>
      <c r="AF326" s="272"/>
    </row>
    <row r="327" spans="2:32">
      <c r="B327" s="534"/>
      <c r="C327" s="535" t="s">
        <v>66</v>
      </c>
      <c r="D327" s="535" t="s">
        <v>59</v>
      </c>
      <c r="E327" s="535"/>
      <c r="F327" s="535"/>
      <c r="G327" s="536">
        <v>0.01</v>
      </c>
      <c r="H327" s="536"/>
      <c r="I327" s="537">
        <v>0.4</v>
      </c>
      <c r="J327" s="595"/>
      <c r="K327" s="538">
        <v>101</v>
      </c>
      <c r="L327" s="272"/>
      <c r="M327" s="272"/>
      <c r="P327" s="273"/>
      <c r="Q327" s="273"/>
      <c r="R327" s="273"/>
      <c r="S327" s="273"/>
      <c r="T327" s="272"/>
      <c r="U327" s="273"/>
      <c r="V327" s="273"/>
      <c r="W327" s="273"/>
      <c r="X327" s="272"/>
      <c r="Y327" s="272"/>
      <c r="Z327" s="272"/>
      <c r="AA327" s="272"/>
      <c r="AB327" s="272"/>
      <c r="AC327" s="272"/>
      <c r="AD327" s="272"/>
      <c r="AE327" s="272"/>
      <c r="AF327" s="272"/>
    </row>
    <row r="328" spans="2:32">
      <c r="B328" s="539"/>
      <c r="C328" s="540" t="s">
        <v>66</v>
      </c>
      <c r="D328" s="540" t="s">
        <v>55</v>
      </c>
      <c r="E328" s="540"/>
      <c r="F328" s="540"/>
      <c r="G328" s="541">
        <v>0.01</v>
      </c>
      <c r="H328" s="541"/>
      <c r="I328" s="542">
        <v>0.4</v>
      </c>
      <c r="J328" s="602"/>
      <c r="K328" s="543">
        <v>102</v>
      </c>
      <c r="L328" s="272"/>
      <c r="M328" s="272"/>
      <c r="P328" s="273"/>
      <c r="Q328" s="273"/>
      <c r="R328" s="273"/>
      <c r="S328" s="273"/>
      <c r="T328" s="272"/>
      <c r="U328" s="273"/>
      <c r="V328" s="273"/>
      <c r="W328" s="273"/>
      <c r="X328" s="272"/>
      <c r="Y328" s="272"/>
      <c r="Z328" s="272"/>
      <c r="AA328" s="272"/>
      <c r="AB328" s="272"/>
      <c r="AC328" s="272"/>
      <c r="AD328" s="272"/>
      <c r="AE328" s="272"/>
      <c r="AF328" s="272"/>
    </row>
    <row r="329" spans="2:32">
      <c r="B329" s="517"/>
      <c r="C329" s="518" t="s">
        <v>66</v>
      </c>
      <c r="D329" s="518" t="s">
        <v>57</v>
      </c>
      <c r="E329" s="518"/>
      <c r="F329" s="518"/>
      <c r="G329" s="525">
        <v>0.01</v>
      </c>
      <c r="H329" s="525"/>
      <c r="I329" s="527">
        <v>0.4</v>
      </c>
      <c r="J329" s="594"/>
      <c r="K329" s="519">
        <v>102</v>
      </c>
      <c r="L329" s="272"/>
      <c r="M329" s="272"/>
      <c r="N329" s="272"/>
      <c r="P329" s="273"/>
      <c r="Q329" s="273"/>
      <c r="R329" s="273"/>
      <c r="S329" s="273"/>
      <c r="T329" s="272"/>
      <c r="U329" s="272"/>
      <c r="V329" s="272"/>
      <c r="W329" s="272"/>
      <c r="X329" s="272"/>
      <c r="Y329" s="272"/>
      <c r="Z329" s="272"/>
      <c r="AA329" s="272"/>
      <c r="AB329" s="272"/>
      <c r="AC329" s="272"/>
      <c r="AD329" s="272"/>
      <c r="AE329" s="272"/>
      <c r="AF329" s="272"/>
    </row>
    <row r="330" spans="2:32">
      <c r="B330" s="534"/>
      <c r="C330" s="535" t="s">
        <v>66</v>
      </c>
      <c r="D330" s="535" t="s">
        <v>59</v>
      </c>
      <c r="E330" s="535"/>
      <c r="F330" s="535"/>
      <c r="G330" s="536">
        <v>0.01</v>
      </c>
      <c r="H330" s="536"/>
      <c r="I330" s="537">
        <v>0.4</v>
      </c>
      <c r="J330" s="595"/>
      <c r="K330" s="538">
        <v>102</v>
      </c>
      <c r="L330" s="272"/>
      <c r="M330" s="272"/>
      <c r="N330" s="272"/>
      <c r="P330" s="273"/>
      <c r="Q330" s="273"/>
      <c r="R330" s="273"/>
      <c r="S330" s="273"/>
      <c r="T330" s="272"/>
      <c r="U330" s="272"/>
      <c r="V330" s="272"/>
      <c r="W330" s="272"/>
      <c r="X330" s="272"/>
      <c r="Y330" s="272"/>
      <c r="Z330" s="272"/>
      <c r="AA330" s="272"/>
      <c r="AB330" s="272"/>
      <c r="AC330" s="272"/>
      <c r="AD330" s="272"/>
      <c r="AE330" s="272"/>
      <c r="AF330" s="272"/>
    </row>
    <row r="331" spans="2:32">
      <c r="B331" s="539"/>
      <c r="C331" s="540" t="s">
        <v>66</v>
      </c>
      <c r="D331" s="540" t="s">
        <v>55</v>
      </c>
      <c r="E331" s="540"/>
      <c r="F331" s="540"/>
      <c r="G331" s="541">
        <v>0.01</v>
      </c>
      <c r="H331" s="541"/>
      <c r="I331" s="542">
        <v>0.4</v>
      </c>
      <c r="J331" s="602"/>
      <c r="K331" s="543">
        <v>103</v>
      </c>
      <c r="L331" s="272"/>
      <c r="M331" s="272"/>
      <c r="N331" s="272"/>
      <c r="P331" s="273"/>
      <c r="Q331" s="273"/>
      <c r="R331" s="273"/>
      <c r="S331" s="273"/>
      <c r="T331" s="272"/>
      <c r="U331" s="272"/>
      <c r="V331" s="272"/>
      <c r="W331" s="272"/>
      <c r="X331" s="272"/>
      <c r="Y331" s="272"/>
      <c r="Z331" s="272"/>
      <c r="AA331" s="272"/>
      <c r="AB331" s="272"/>
      <c r="AC331" s="272"/>
      <c r="AD331" s="272"/>
      <c r="AE331" s="272"/>
      <c r="AF331" s="272"/>
    </row>
    <row r="332" spans="2:32">
      <c r="B332" s="517"/>
      <c r="C332" s="518" t="s">
        <v>66</v>
      </c>
      <c r="D332" s="518" t="s">
        <v>57</v>
      </c>
      <c r="E332" s="518"/>
      <c r="F332" s="518"/>
      <c r="G332" s="525">
        <v>0.01</v>
      </c>
      <c r="H332" s="525"/>
      <c r="I332" s="527">
        <v>0.4</v>
      </c>
      <c r="J332" s="594"/>
      <c r="K332" s="519">
        <v>103</v>
      </c>
      <c r="L332" s="272"/>
      <c r="M332" s="272"/>
      <c r="N332" s="272"/>
      <c r="P332" s="273"/>
      <c r="Q332" s="273"/>
      <c r="R332" s="273"/>
      <c r="S332" s="273"/>
      <c r="T332" s="272"/>
      <c r="U332" s="272"/>
      <c r="V332" s="272"/>
      <c r="W332" s="272"/>
      <c r="X332" s="272"/>
      <c r="Y332" s="272"/>
      <c r="Z332" s="272"/>
      <c r="AA332" s="272"/>
      <c r="AB332" s="272"/>
      <c r="AC332" s="272"/>
      <c r="AD332" s="272"/>
      <c r="AE332" s="272"/>
      <c r="AF332" s="272"/>
    </row>
    <row r="333" spans="2:32">
      <c r="B333" s="534"/>
      <c r="C333" s="535" t="s">
        <v>66</v>
      </c>
      <c r="D333" s="535" t="s">
        <v>59</v>
      </c>
      <c r="E333" s="535"/>
      <c r="F333" s="535"/>
      <c r="G333" s="536">
        <v>0.01</v>
      </c>
      <c r="H333" s="536"/>
      <c r="I333" s="537">
        <v>0.4</v>
      </c>
      <c r="J333" s="595"/>
      <c r="K333" s="538">
        <v>103</v>
      </c>
      <c r="L333" s="272"/>
      <c r="M333" s="272"/>
      <c r="N333" s="272"/>
      <c r="P333" s="273"/>
      <c r="Q333" s="273"/>
      <c r="R333" s="273"/>
      <c r="S333" s="273"/>
      <c r="T333" s="272"/>
      <c r="U333" s="272"/>
      <c r="V333" s="272"/>
      <c r="W333" s="272"/>
      <c r="X333" s="272"/>
      <c r="Y333" s="272"/>
      <c r="Z333" s="272"/>
      <c r="AA333" s="272"/>
      <c r="AB333" s="272"/>
      <c r="AC333" s="272"/>
      <c r="AD333" s="272"/>
      <c r="AE333" s="272"/>
      <c r="AF333" s="272"/>
    </row>
    <row r="334" spans="2:32">
      <c r="B334" s="539"/>
      <c r="C334" s="540" t="s">
        <v>66</v>
      </c>
      <c r="D334" s="540" t="s">
        <v>55</v>
      </c>
      <c r="E334" s="540"/>
      <c r="F334" s="540"/>
      <c r="G334" s="541">
        <v>0.01</v>
      </c>
      <c r="H334" s="541"/>
      <c r="I334" s="542">
        <v>0.4</v>
      </c>
      <c r="J334" s="602"/>
      <c r="K334" s="543">
        <v>104</v>
      </c>
      <c r="L334" s="272"/>
      <c r="M334" s="272"/>
      <c r="N334" s="272"/>
      <c r="P334" s="273"/>
      <c r="Q334" s="273"/>
      <c r="R334" s="273"/>
      <c r="S334" s="273"/>
      <c r="T334" s="272"/>
      <c r="U334" s="272"/>
      <c r="V334" s="272"/>
      <c r="W334" s="272"/>
      <c r="X334" s="272"/>
      <c r="Y334" s="272"/>
      <c r="Z334" s="272"/>
      <c r="AA334" s="272"/>
      <c r="AB334" s="272"/>
      <c r="AC334" s="272"/>
      <c r="AD334" s="272"/>
      <c r="AE334" s="272"/>
      <c r="AF334" s="272"/>
    </row>
    <row r="335" spans="2:32">
      <c r="B335" s="517"/>
      <c r="C335" s="518" t="s">
        <v>66</v>
      </c>
      <c r="D335" s="518" t="s">
        <v>57</v>
      </c>
      <c r="E335" s="518"/>
      <c r="F335" s="518"/>
      <c r="G335" s="525">
        <v>0.01</v>
      </c>
      <c r="H335" s="525"/>
      <c r="I335" s="527">
        <v>0.4</v>
      </c>
      <c r="J335" s="594"/>
      <c r="K335" s="519">
        <v>104</v>
      </c>
      <c r="L335" s="272"/>
      <c r="M335" s="272"/>
      <c r="N335" s="272"/>
      <c r="P335" s="273"/>
      <c r="Q335" s="273"/>
      <c r="R335" s="273"/>
      <c r="S335" s="273"/>
      <c r="T335" s="272"/>
      <c r="U335" s="272"/>
      <c r="V335" s="272"/>
      <c r="W335" s="272"/>
      <c r="X335" s="272"/>
      <c r="Y335" s="272"/>
      <c r="Z335" s="272"/>
      <c r="AA335" s="272"/>
      <c r="AB335" s="272"/>
      <c r="AC335" s="272"/>
      <c r="AD335" s="272"/>
      <c r="AE335" s="272"/>
      <c r="AF335" s="272"/>
    </row>
    <row r="336" spans="2:32">
      <c r="B336" s="534"/>
      <c r="C336" s="535" t="s">
        <v>66</v>
      </c>
      <c r="D336" s="535" t="s">
        <v>59</v>
      </c>
      <c r="E336" s="535"/>
      <c r="F336" s="535"/>
      <c r="G336" s="536">
        <v>0.01</v>
      </c>
      <c r="H336" s="536"/>
      <c r="I336" s="537">
        <v>0.4</v>
      </c>
      <c r="J336" s="595"/>
      <c r="K336" s="538">
        <v>104</v>
      </c>
      <c r="L336" s="272"/>
      <c r="M336" s="272"/>
      <c r="N336" s="272"/>
      <c r="P336" s="273"/>
      <c r="Q336" s="273"/>
      <c r="R336" s="273"/>
      <c r="S336" s="273"/>
      <c r="T336" s="272"/>
      <c r="U336" s="272"/>
      <c r="V336" s="272"/>
      <c r="W336" s="272"/>
      <c r="X336" s="272"/>
      <c r="Y336" s="272"/>
      <c r="Z336" s="272"/>
      <c r="AA336" s="272"/>
      <c r="AB336" s="272"/>
      <c r="AC336" s="272"/>
      <c r="AD336" s="272"/>
      <c r="AE336" s="272"/>
      <c r="AF336" s="272"/>
    </row>
    <row r="337" spans="2:32">
      <c r="B337" s="539"/>
      <c r="C337" s="540" t="s">
        <v>66</v>
      </c>
      <c r="D337" s="540" t="s">
        <v>55</v>
      </c>
      <c r="E337" s="540"/>
      <c r="F337" s="540"/>
      <c r="G337" s="541">
        <v>0.01</v>
      </c>
      <c r="H337" s="541"/>
      <c r="I337" s="542">
        <v>0.4</v>
      </c>
      <c r="J337" s="602"/>
      <c r="K337" s="543">
        <v>105</v>
      </c>
      <c r="L337" s="272"/>
      <c r="M337" s="272"/>
      <c r="N337" s="272"/>
      <c r="P337" s="273"/>
      <c r="Q337" s="273"/>
      <c r="R337" s="273"/>
      <c r="S337" s="273"/>
      <c r="T337" s="272"/>
      <c r="U337" s="272"/>
      <c r="V337" s="272"/>
      <c r="W337" s="272"/>
      <c r="X337" s="272"/>
      <c r="Y337" s="272"/>
      <c r="Z337" s="272"/>
      <c r="AA337" s="272"/>
      <c r="AB337" s="272"/>
      <c r="AC337" s="272"/>
      <c r="AD337" s="272"/>
      <c r="AE337" s="272"/>
      <c r="AF337" s="272"/>
    </row>
    <row r="338" spans="2:32">
      <c r="B338" s="517"/>
      <c r="C338" s="518" t="s">
        <v>66</v>
      </c>
      <c r="D338" s="518" t="s">
        <v>57</v>
      </c>
      <c r="E338" s="518"/>
      <c r="F338" s="518"/>
      <c r="G338" s="525">
        <v>0.01</v>
      </c>
      <c r="H338" s="525"/>
      <c r="I338" s="527">
        <v>0.4</v>
      </c>
      <c r="J338" s="594"/>
      <c r="K338" s="519">
        <v>105</v>
      </c>
      <c r="L338" s="272"/>
      <c r="M338" s="272"/>
      <c r="N338" s="272"/>
      <c r="P338" s="273"/>
      <c r="Q338" s="273"/>
      <c r="R338" s="273"/>
      <c r="S338" s="273"/>
      <c r="T338" s="272"/>
      <c r="U338" s="272"/>
      <c r="V338" s="272"/>
      <c r="W338" s="272"/>
      <c r="X338" s="272"/>
      <c r="Y338" s="272"/>
      <c r="Z338" s="272"/>
      <c r="AA338" s="272"/>
      <c r="AB338" s="272"/>
      <c r="AC338" s="272"/>
      <c r="AD338" s="272"/>
      <c r="AE338" s="272"/>
      <c r="AF338" s="272"/>
    </row>
    <row r="339" spans="2:32">
      <c r="B339" s="534"/>
      <c r="C339" s="535" t="s">
        <v>66</v>
      </c>
      <c r="D339" s="535" t="s">
        <v>59</v>
      </c>
      <c r="E339" s="535"/>
      <c r="F339" s="535"/>
      <c r="G339" s="536">
        <v>0.01</v>
      </c>
      <c r="H339" s="536"/>
      <c r="I339" s="537">
        <v>0.4</v>
      </c>
      <c r="J339" s="595"/>
      <c r="K339" s="538">
        <v>105</v>
      </c>
      <c r="L339" s="272"/>
      <c r="M339" s="272"/>
      <c r="N339" s="272"/>
      <c r="P339" s="273"/>
      <c r="Q339" s="273"/>
      <c r="R339" s="273"/>
      <c r="S339" s="273"/>
      <c r="T339" s="272"/>
      <c r="U339" s="272"/>
      <c r="V339" s="272"/>
      <c r="W339" s="272"/>
      <c r="X339" s="272"/>
      <c r="Y339" s="272"/>
      <c r="Z339" s="272"/>
      <c r="AA339" s="272"/>
      <c r="AB339" s="272"/>
      <c r="AC339" s="272"/>
      <c r="AD339" s="272"/>
      <c r="AE339" s="272"/>
      <c r="AF339" s="272"/>
    </row>
    <row r="340" spans="2:32">
      <c r="B340" s="539"/>
      <c r="C340" s="540" t="s">
        <v>66</v>
      </c>
      <c r="D340" s="540" t="s">
        <v>55</v>
      </c>
      <c r="E340" s="540"/>
      <c r="F340" s="540"/>
      <c r="G340" s="541">
        <v>0.01</v>
      </c>
      <c r="H340" s="541"/>
      <c r="I340" s="542">
        <v>0.4</v>
      </c>
      <c r="J340" s="602"/>
      <c r="K340" s="543">
        <v>106</v>
      </c>
      <c r="L340" s="272"/>
      <c r="M340" s="272"/>
      <c r="N340" s="272"/>
      <c r="P340" s="273"/>
      <c r="Q340" s="273"/>
      <c r="R340" s="273"/>
      <c r="S340" s="273"/>
      <c r="T340" s="272"/>
      <c r="U340" s="272"/>
      <c r="V340" s="272"/>
      <c r="W340" s="272"/>
      <c r="X340" s="272"/>
      <c r="Y340" s="272"/>
      <c r="Z340" s="272"/>
      <c r="AA340" s="272"/>
      <c r="AB340" s="272"/>
      <c r="AC340" s="272"/>
      <c r="AD340" s="272"/>
      <c r="AE340" s="272"/>
      <c r="AF340" s="272"/>
    </row>
    <row r="341" spans="2:32">
      <c r="B341" s="517"/>
      <c r="C341" s="518" t="s">
        <v>66</v>
      </c>
      <c r="D341" s="518" t="s">
        <v>57</v>
      </c>
      <c r="E341" s="518"/>
      <c r="F341" s="518"/>
      <c r="G341" s="525">
        <v>0.01</v>
      </c>
      <c r="H341" s="525"/>
      <c r="I341" s="527">
        <v>0.4</v>
      </c>
      <c r="J341" s="594"/>
      <c r="K341" s="519">
        <v>106</v>
      </c>
      <c r="L341" s="272"/>
      <c r="M341" s="272"/>
      <c r="N341" s="272"/>
      <c r="P341" s="273"/>
      <c r="Q341" s="273"/>
      <c r="R341" s="273"/>
      <c r="S341" s="273"/>
      <c r="T341" s="272"/>
      <c r="U341" s="272"/>
      <c r="V341" s="272"/>
      <c r="W341" s="272"/>
      <c r="X341" s="272"/>
      <c r="Y341" s="272"/>
      <c r="Z341" s="272"/>
      <c r="AA341" s="272"/>
      <c r="AB341" s="272"/>
      <c r="AC341" s="272"/>
      <c r="AD341" s="272"/>
      <c r="AE341" s="272"/>
      <c r="AF341" s="272"/>
    </row>
    <row r="342" spans="2:32">
      <c r="B342" s="534"/>
      <c r="C342" s="535" t="s">
        <v>66</v>
      </c>
      <c r="D342" s="535" t="s">
        <v>59</v>
      </c>
      <c r="E342" s="535"/>
      <c r="F342" s="535"/>
      <c r="G342" s="536">
        <v>0.01</v>
      </c>
      <c r="H342" s="536"/>
      <c r="I342" s="537">
        <v>0.4</v>
      </c>
      <c r="J342" s="595"/>
      <c r="K342" s="538">
        <v>106</v>
      </c>
      <c r="L342" s="272"/>
      <c r="M342" s="272"/>
      <c r="N342" s="272"/>
      <c r="P342" s="273"/>
      <c r="Q342" s="273"/>
      <c r="R342" s="273"/>
      <c r="S342" s="273"/>
      <c r="T342" s="272"/>
      <c r="U342" s="272"/>
      <c r="V342" s="272"/>
      <c r="W342" s="272"/>
      <c r="X342" s="272"/>
      <c r="Y342" s="272"/>
      <c r="Z342" s="272"/>
      <c r="AA342" s="272"/>
      <c r="AB342" s="272"/>
      <c r="AC342" s="272"/>
      <c r="AD342" s="272"/>
      <c r="AE342" s="272"/>
      <c r="AF342" s="272"/>
    </row>
    <row r="343" spans="2:32">
      <c r="B343" s="539"/>
      <c r="C343" s="540" t="s">
        <v>66</v>
      </c>
      <c r="D343" s="540" t="s">
        <v>55</v>
      </c>
      <c r="E343" s="540"/>
      <c r="F343" s="540"/>
      <c r="G343" s="541">
        <v>0.01</v>
      </c>
      <c r="H343" s="541"/>
      <c r="I343" s="542">
        <v>0.4</v>
      </c>
      <c r="J343" s="602"/>
      <c r="K343" s="543">
        <v>107</v>
      </c>
      <c r="L343" s="272"/>
      <c r="M343" s="272"/>
      <c r="N343" s="272"/>
      <c r="P343" s="273"/>
      <c r="Q343" s="273"/>
      <c r="R343" s="273"/>
      <c r="S343" s="273"/>
      <c r="T343" s="272"/>
      <c r="U343" s="272"/>
      <c r="V343" s="272"/>
      <c r="W343" s="272"/>
      <c r="X343" s="272"/>
      <c r="Y343" s="272"/>
      <c r="Z343" s="272"/>
      <c r="AA343" s="272"/>
      <c r="AB343" s="272"/>
      <c r="AC343" s="272"/>
      <c r="AD343" s="272"/>
      <c r="AE343" s="272"/>
      <c r="AF343" s="272"/>
    </row>
    <row r="344" spans="2:32">
      <c r="B344" s="517"/>
      <c r="C344" s="518" t="s">
        <v>66</v>
      </c>
      <c r="D344" s="518" t="s">
        <v>57</v>
      </c>
      <c r="E344" s="518"/>
      <c r="F344" s="518"/>
      <c r="G344" s="525">
        <v>0.01</v>
      </c>
      <c r="H344" s="525"/>
      <c r="I344" s="527">
        <v>0.4</v>
      </c>
      <c r="J344" s="594"/>
      <c r="K344" s="519">
        <v>107</v>
      </c>
      <c r="L344" s="272"/>
      <c r="M344" s="272"/>
      <c r="N344" s="272"/>
      <c r="P344" s="273"/>
      <c r="Q344" s="273"/>
      <c r="R344" s="273"/>
      <c r="S344" s="273"/>
      <c r="T344" s="272"/>
      <c r="U344" s="272"/>
      <c r="V344" s="272"/>
      <c r="W344" s="272"/>
      <c r="X344" s="272"/>
      <c r="Y344" s="272"/>
      <c r="Z344" s="272"/>
      <c r="AA344" s="272"/>
      <c r="AB344" s="272"/>
      <c r="AC344" s="272"/>
      <c r="AD344" s="272"/>
      <c r="AE344" s="272"/>
      <c r="AF344" s="272"/>
    </row>
    <row r="345" spans="2:32">
      <c r="B345" s="534"/>
      <c r="C345" s="535" t="s">
        <v>66</v>
      </c>
      <c r="D345" s="535" t="s">
        <v>59</v>
      </c>
      <c r="E345" s="535"/>
      <c r="F345" s="535"/>
      <c r="G345" s="536">
        <v>0.01</v>
      </c>
      <c r="H345" s="536"/>
      <c r="I345" s="537">
        <v>0.4</v>
      </c>
      <c r="J345" s="595"/>
      <c r="K345" s="538">
        <v>107</v>
      </c>
      <c r="L345" s="272"/>
      <c r="M345" s="272"/>
      <c r="N345" s="272"/>
      <c r="P345" s="273"/>
      <c r="Q345" s="273"/>
      <c r="R345" s="273"/>
      <c r="S345" s="273"/>
      <c r="T345" s="272"/>
      <c r="U345" s="272"/>
      <c r="V345" s="272"/>
      <c r="W345" s="272"/>
      <c r="X345" s="272"/>
      <c r="Y345" s="272"/>
      <c r="Z345" s="272"/>
      <c r="AA345" s="272"/>
      <c r="AB345" s="272"/>
      <c r="AC345" s="272"/>
      <c r="AD345" s="272"/>
      <c r="AE345" s="272"/>
      <c r="AF345" s="272"/>
    </row>
    <row r="346" spans="2:32">
      <c r="B346" s="539"/>
      <c r="C346" s="540" t="s">
        <v>66</v>
      </c>
      <c r="D346" s="540" t="s">
        <v>55</v>
      </c>
      <c r="E346" s="540"/>
      <c r="F346" s="540"/>
      <c r="G346" s="541">
        <v>0.01</v>
      </c>
      <c r="H346" s="541"/>
      <c r="I346" s="542">
        <v>0.4</v>
      </c>
      <c r="J346" s="602"/>
      <c r="K346" s="543">
        <v>108</v>
      </c>
      <c r="L346" s="272"/>
      <c r="M346" s="272"/>
      <c r="N346" s="272"/>
      <c r="P346" s="273"/>
      <c r="Q346" s="273"/>
      <c r="R346" s="273"/>
      <c r="S346" s="273"/>
      <c r="T346" s="272"/>
      <c r="U346" s="272"/>
      <c r="V346" s="272"/>
      <c r="W346" s="272"/>
      <c r="X346" s="272"/>
      <c r="Y346" s="272"/>
      <c r="Z346" s="272"/>
      <c r="AA346" s="272"/>
      <c r="AB346" s="272"/>
      <c r="AC346" s="272"/>
      <c r="AD346" s="272"/>
      <c r="AE346" s="272"/>
      <c r="AF346" s="272"/>
    </row>
    <row r="347" spans="2:32">
      <c r="B347" s="517"/>
      <c r="C347" s="518" t="s">
        <v>66</v>
      </c>
      <c r="D347" s="518" t="s">
        <v>57</v>
      </c>
      <c r="E347" s="518"/>
      <c r="F347" s="518"/>
      <c r="G347" s="525">
        <v>0.01</v>
      </c>
      <c r="H347" s="525"/>
      <c r="I347" s="527">
        <v>0.4</v>
      </c>
      <c r="J347" s="594"/>
      <c r="K347" s="519">
        <v>108</v>
      </c>
      <c r="L347" s="272"/>
      <c r="M347" s="272"/>
      <c r="N347" s="272"/>
      <c r="P347" s="273"/>
      <c r="Q347" s="273"/>
      <c r="R347" s="273"/>
      <c r="S347" s="273"/>
      <c r="T347" s="272"/>
      <c r="U347" s="272"/>
      <c r="V347" s="272"/>
      <c r="W347" s="272"/>
      <c r="X347" s="272"/>
      <c r="Y347" s="272"/>
      <c r="Z347" s="272"/>
      <c r="AA347" s="272"/>
      <c r="AB347" s="272"/>
      <c r="AC347" s="272"/>
      <c r="AD347" s="272"/>
      <c r="AE347" s="272"/>
      <c r="AF347" s="272"/>
    </row>
    <row r="348" spans="2:32">
      <c r="B348" s="534"/>
      <c r="C348" s="535" t="s">
        <v>66</v>
      </c>
      <c r="D348" s="535" t="s">
        <v>59</v>
      </c>
      <c r="E348" s="535"/>
      <c r="F348" s="535"/>
      <c r="G348" s="536">
        <v>0.01</v>
      </c>
      <c r="H348" s="536"/>
      <c r="I348" s="537">
        <v>0.4</v>
      </c>
      <c r="J348" s="595"/>
      <c r="K348" s="538">
        <v>108</v>
      </c>
      <c r="L348" s="272"/>
      <c r="M348" s="272"/>
      <c r="N348" s="272"/>
      <c r="P348" s="273"/>
      <c r="Q348" s="273"/>
      <c r="R348" s="273"/>
      <c r="S348" s="273"/>
      <c r="T348" s="272"/>
      <c r="U348" s="272"/>
      <c r="V348" s="272"/>
      <c r="W348" s="272"/>
      <c r="X348" s="272"/>
      <c r="Y348" s="272"/>
      <c r="Z348" s="272"/>
      <c r="AA348" s="272"/>
      <c r="AB348" s="272"/>
      <c r="AC348" s="272"/>
      <c r="AD348" s="272"/>
      <c r="AE348" s="272"/>
      <c r="AF348" s="272"/>
    </row>
    <row r="349" spans="2:32">
      <c r="B349" s="539"/>
      <c r="C349" s="540" t="s">
        <v>66</v>
      </c>
      <c r="D349" s="540" t="s">
        <v>55</v>
      </c>
      <c r="E349" s="540"/>
      <c r="F349" s="540"/>
      <c r="G349" s="541">
        <v>0.01</v>
      </c>
      <c r="H349" s="541"/>
      <c r="I349" s="542">
        <v>0.4</v>
      </c>
      <c r="J349" s="602"/>
      <c r="K349" s="543">
        <v>109</v>
      </c>
      <c r="L349" s="272"/>
      <c r="M349" s="272"/>
      <c r="N349" s="272"/>
      <c r="P349" s="273"/>
      <c r="Q349" s="273"/>
      <c r="R349" s="273"/>
      <c r="S349" s="273"/>
      <c r="T349" s="272"/>
      <c r="U349" s="272"/>
      <c r="V349" s="272"/>
      <c r="W349" s="272"/>
      <c r="X349" s="272"/>
      <c r="Y349" s="272"/>
      <c r="Z349" s="272"/>
      <c r="AA349" s="272"/>
      <c r="AB349" s="272"/>
      <c r="AC349" s="272"/>
      <c r="AD349" s="272"/>
      <c r="AE349" s="272"/>
      <c r="AF349" s="272"/>
    </row>
    <row r="350" spans="2:32">
      <c r="B350" s="517"/>
      <c r="C350" s="518" t="s">
        <v>66</v>
      </c>
      <c r="D350" s="518" t="s">
        <v>57</v>
      </c>
      <c r="E350" s="518"/>
      <c r="F350" s="518"/>
      <c r="G350" s="525">
        <v>0.01</v>
      </c>
      <c r="H350" s="525"/>
      <c r="I350" s="527">
        <v>0.4</v>
      </c>
      <c r="J350" s="594"/>
      <c r="K350" s="519">
        <v>109</v>
      </c>
      <c r="L350" s="272"/>
      <c r="M350" s="272"/>
      <c r="N350" s="272"/>
      <c r="P350" s="273"/>
      <c r="Q350" s="273"/>
      <c r="R350" s="273"/>
      <c r="S350" s="273"/>
      <c r="T350" s="272"/>
      <c r="U350" s="272"/>
      <c r="V350" s="272"/>
      <c r="W350" s="272"/>
      <c r="X350" s="272"/>
      <c r="Y350" s="272"/>
      <c r="Z350" s="272"/>
      <c r="AA350" s="272"/>
      <c r="AB350" s="272"/>
      <c r="AC350" s="272"/>
      <c r="AD350" s="272"/>
      <c r="AE350" s="272"/>
      <c r="AF350" s="272"/>
    </row>
    <row r="351" spans="2:32">
      <c r="B351" s="534"/>
      <c r="C351" s="535" t="s">
        <v>66</v>
      </c>
      <c r="D351" s="535" t="s">
        <v>59</v>
      </c>
      <c r="E351" s="535"/>
      <c r="F351" s="535"/>
      <c r="G351" s="536">
        <v>0.01</v>
      </c>
      <c r="H351" s="536"/>
      <c r="I351" s="537">
        <v>0.4</v>
      </c>
      <c r="J351" s="595"/>
      <c r="K351" s="538">
        <v>109</v>
      </c>
      <c r="L351" s="272"/>
      <c r="M351" s="272"/>
      <c r="N351" s="272"/>
      <c r="P351" s="273"/>
      <c r="Q351" s="273"/>
      <c r="R351" s="273"/>
      <c r="S351" s="273"/>
      <c r="T351" s="272"/>
      <c r="U351" s="272"/>
      <c r="V351" s="272"/>
      <c r="W351" s="272"/>
      <c r="X351" s="272"/>
      <c r="Y351" s="272"/>
      <c r="Z351" s="272"/>
      <c r="AA351" s="272"/>
      <c r="AB351" s="272"/>
      <c r="AC351" s="272"/>
      <c r="AD351" s="272"/>
      <c r="AE351" s="272"/>
      <c r="AF351" s="272"/>
    </row>
    <row r="352" spans="2:32">
      <c r="B352" s="539"/>
      <c r="C352" s="540" t="s">
        <v>66</v>
      </c>
      <c r="D352" s="540" t="s">
        <v>55</v>
      </c>
      <c r="E352" s="540"/>
      <c r="F352" s="540"/>
      <c r="G352" s="541">
        <v>0.01</v>
      </c>
      <c r="H352" s="541"/>
      <c r="I352" s="542">
        <v>0.4</v>
      </c>
      <c r="J352" s="602"/>
      <c r="K352" s="543">
        <v>110</v>
      </c>
      <c r="L352" s="272"/>
      <c r="M352" s="272"/>
      <c r="N352" s="272"/>
      <c r="P352" s="273"/>
      <c r="Q352" s="273"/>
      <c r="R352" s="273"/>
      <c r="S352" s="273"/>
      <c r="T352" s="272"/>
      <c r="U352" s="272"/>
      <c r="V352" s="272"/>
      <c r="W352" s="272"/>
      <c r="X352" s="272"/>
      <c r="Y352" s="272"/>
      <c r="Z352" s="272"/>
      <c r="AA352" s="272"/>
      <c r="AB352" s="272"/>
      <c r="AC352" s="272"/>
      <c r="AD352" s="272"/>
      <c r="AE352" s="272"/>
      <c r="AF352" s="272"/>
    </row>
    <row r="353" spans="2:32">
      <c r="B353" s="517"/>
      <c r="C353" s="518" t="s">
        <v>66</v>
      </c>
      <c r="D353" s="518" t="s">
        <v>57</v>
      </c>
      <c r="E353" s="518"/>
      <c r="F353" s="518"/>
      <c r="G353" s="525">
        <v>0.01</v>
      </c>
      <c r="H353" s="525"/>
      <c r="I353" s="527">
        <v>0.4</v>
      </c>
      <c r="J353" s="594"/>
      <c r="K353" s="519">
        <v>110</v>
      </c>
      <c r="L353" s="272"/>
      <c r="M353" s="272"/>
      <c r="N353" s="272"/>
      <c r="P353" s="273"/>
      <c r="Q353" s="273"/>
      <c r="R353" s="273"/>
      <c r="S353" s="273"/>
      <c r="T353" s="272"/>
      <c r="U353" s="272"/>
      <c r="V353" s="272"/>
      <c r="W353" s="272"/>
      <c r="X353" s="272"/>
      <c r="Y353" s="272"/>
      <c r="Z353" s="272"/>
      <c r="AA353" s="272"/>
      <c r="AB353" s="272"/>
      <c r="AC353" s="272"/>
      <c r="AD353" s="272"/>
      <c r="AE353" s="272"/>
      <c r="AF353" s="272"/>
    </row>
    <row r="354" spans="2:32">
      <c r="B354" s="534"/>
      <c r="C354" s="535" t="s">
        <v>66</v>
      </c>
      <c r="D354" s="535" t="s">
        <v>59</v>
      </c>
      <c r="E354" s="535"/>
      <c r="F354" s="535"/>
      <c r="G354" s="536">
        <v>0.01</v>
      </c>
      <c r="H354" s="536"/>
      <c r="I354" s="537">
        <v>0.4</v>
      </c>
      <c r="J354" s="595"/>
      <c r="K354" s="538">
        <v>110</v>
      </c>
      <c r="L354" s="272"/>
      <c r="M354" s="272"/>
      <c r="N354" s="272"/>
      <c r="P354" s="273"/>
      <c r="Q354" s="273"/>
      <c r="R354" s="273"/>
      <c r="S354" s="273"/>
      <c r="T354" s="272"/>
      <c r="U354" s="272"/>
      <c r="V354" s="272"/>
      <c r="W354" s="272"/>
      <c r="X354" s="272"/>
      <c r="Y354" s="272"/>
      <c r="Z354" s="272"/>
      <c r="AA354" s="272"/>
      <c r="AB354" s="272"/>
      <c r="AC354" s="272"/>
      <c r="AD354" s="272"/>
      <c r="AE354" s="272"/>
      <c r="AF354" s="272"/>
    </row>
    <row r="355" spans="2:32">
      <c r="B355" s="539"/>
      <c r="C355" s="540" t="s">
        <v>66</v>
      </c>
      <c r="D355" s="540" t="s">
        <v>55</v>
      </c>
      <c r="E355" s="540"/>
      <c r="F355" s="540"/>
      <c r="G355" s="541">
        <v>0.01</v>
      </c>
      <c r="H355" s="541"/>
      <c r="I355" s="542">
        <v>0.4</v>
      </c>
      <c r="J355" s="602"/>
      <c r="K355" s="543">
        <v>111</v>
      </c>
      <c r="L355" s="272"/>
      <c r="M355" s="272"/>
      <c r="N355" s="272"/>
      <c r="P355" s="273"/>
      <c r="Q355" s="273"/>
      <c r="R355" s="273"/>
      <c r="S355" s="273"/>
      <c r="T355" s="272"/>
      <c r="U355" s="272"/>
      <c r="V355" s="272"/>
      <c r="W355" s="272"/>
      <c r="X355" s="272"/>
      <c r="Y355" s="272"/>
      <c r="Z355" s="272"/>
      <c r="AA355" s="272"/>
      <c r="AB355" s="272"/>
      <c r="AC355" s="272"/>
      <c r="AD355" s="272"/>
      <c r="AE355" s="272"/>
      <c r="AF355" s="272"/>
    </row>
    <row r="356" spans="2:32">
      <c r="B356" s="517"/>
      <c r="C356" s="518" t="s">
        <v>66</v>
      </c>
      <c r="D356" s="518" t="s">
        <v>57</v>
      </c>
      <c r="E356" s="518"/>
      <c r="F356" s="518"/>
      <c r="G356" s="525">
        <v>0.01</v>
      </c>
      <c r="H356" s="525"/>
      <c r="I356" s="527">
        <v>0.4</v>
      </c>
      <c r="J356" s="594"/>
      <c r="K356" s="519">
        <v>111</v>
      </c>
      <c r="L356" s="272"/>
      <c r="M356" s="272"/>
      <c r="N356" s="272"/>
      <c r="P356" s="273"/>
      <c r="Q356" s="273"/>
      <c r="R356" s="273"/>
      <c r="S356" s="273"/>
      <c r="T356" s="272"/>
      <c r="U356" s="272"/>
      <c r="V356" s="272"/>
      <c r="W356" s="272"/>
      <c r="X356" s="272"/>
      <c r="Y356" s="272"/>
      <c r="Z356" s="272"/>
      <c r="AA356" s="272"/>
      <c r="AB356" s="272"/>
      <c r="AC356" s="272"/>
      <c r="AD356" s="272"/>
      <c r="AE356" s="272"/>
      <c r="AF356" s="272"/>
    </row>
    <row r="357" spans="2:32">
      <c r="B357" s="534"/>
      <c r="C357" s="535" t="s">
        <v>66</v>
      </c>
      <c r="D357" s="535" t="s">
        <v>59</v>
      </c>
      <c r="E357" s="535"/>
      <c r="F357" s="535"/>
      <c r="G357" s="536">
        <v>0.01</v>
      </c>
      <c r="H357" s="536"/>
      <c r="I357" s="537">
        <v>0.4</v>
      </c>
      <c r="J357" s="595"/>
      <c r="K357" s="538">
        <v>111</v>
      </c>
      <c r="L357" s="272"/>
      <c r="M357" s="272"/>
      <c r="N357" s="272"/>
      <c r="P357" s="273"/>
      <c r="Q357" s="273"/>
      <c r="R357" s="273"/>
      <c r="S357" s="273"/>
      <c r="T357" s="272"/>
      <c r="U357" s="272"/>
      <c r="V357" s="272"/>
      <c r="W357" s="272"/>
      <c r="X357" s="272"/>
      <c r="Y357" s="272"/>
      <c r="Z357" s="272"/>
      <c r="AA357" s="272"/>
      <c r="AB357" s="272"/>
      <c r="AC357" s="272"/>
      <c r="AD357" s="272"/>
      <c r="AE357" s="272"/>
      <c r="AF357" s="272"/>
    </row>
    <row r="358" spans="2:32">
      <c r="B358" s="539"/>
      <c r="C358" s="540" t="s">
        <v>66</v>
      </c>
      <c r="D358" s="540" t="s">
        <v>55</v>
      </c>
      <c r="E358" s="540"/>
      <c r="F358" s="540"/>
      <c r="G358" s="541">
        <v>0.01</v>
      </c>
      <c r="H358" s="541"/>
      <c r="I358" s="542">
        <v>0.4</v>
      </c>
      <c r="J358" s="602"/>
      <c r="K358" s="543">
        <v>112</v>
      </c>
      <c r="L358" s="272"/>
      <c r="M358" s="272"/>
      <c r="N358" s="272"/>
      <c r="P358" s="273"/>
      <c r="Q358" s="273"/>
      <c r="R358" s="273"/>
      <c r="S358" s="273"/>
      <c r="T358" s="272"/>
      <c r="U358" s="272"/>
      <c r="V358" s="272"/>
      <c r="W358" s="272"/>
      <c r="X358" s="272"/>
      <c r="Y358" s="272"/>
      <c r="Z358" s="272"/>
      <c r="AA358" s="272"/>
      <c r="AB358" s="272"/>
      <c r="AC358" s="272"/>
      <c r="AD358" s="272"/>
      <c r="AE358" s="272"/>
      <c r="AF358" s="272"/>
    </row>
    <row r="359" spans="2:32">
      <c r="B359" s="517"/>
      <c r="C359" s="518" t="s">
        <v>66</v>
      </c>
      <c r="D359" s="518" t="s">
        <v>57</v>
      </c>
      <c r="E359" s="518"/>
      <c r="F359" s="518"/>
      <c r="G359" s="525">
        <v>0.01</v>
      </c>
      <c r="H359" s="525"/>
      <c r="I359" s="527">
        <v>0.4</v>
      </c>
      <c r="J359" s="594"/>
      <c r="K359" s="519">
        <v>112</v>
      </c>
      <c r="L359" s="272"/>
      <c r="M359" s="272"/>
      <c r="N359" s="272"/>
      <c r="P359" s="273"/>
      <c r="Q359" s="273"/>
      <c r="R359" s="273"/>
      <c r="S359" s="273"/>
      <c r="T359" s="272"/>
      <c r="U359" s="272"/>
      <c r="V359" s="272"/>
      <c r="W359" s="272"/>
      <c r="X359" s="272"/>
      <c r="Y359" s="272"/>
      <c r="Z359" s="272"/>
      <c r="AA359" s="272"/>
      <c r="AB359" s="272"/>
      <c r="AC359" s="272"/>
      <c r="AD359" s="272"/>
      <c r="AE359" s="272"/>
      <c r="AF359" s="272"/>
    </row>
    <row r="360" spans="2:32">
      <c r="B360" s="534"/>
      <c r="C360" s="535" t="s">
        <v>66</v>
      </c>
      <c r="D360" s="535" t="s">
        <v>59</v>
      </c>
      <c r="E360" s="535"/>
      <c r="F360" s="535"/>
      <c r="G360" s="536">
        <v>0.01</v>
      </c>
      <c r="H360" s="536"/>
      <c r="I360" s="537">
        <v>0.4</v>
      </c>
      <c r="J360" s="595"/>
      <c r="K360" s="538">
        <v>112</v>
      </c>
      <c r="L360" s="272"/>
      <c r="M360" s="272"/>
      <c r="N360" s="272"/>
      <c r="P360" s="273"/>
      <c r="Q360" s="273"/>
      <c r="R360" s="273"/>
      <c r="S360" s="273"/>
      <c r="T360" s="272"/>
      <c r="U360" s="272"/>
      <c r="V360" s="272"/>
      <c r="W360" s="272"/>
      <c r="X360" s="272"/>
      <c r="Y360" s="272"/>
      <c r="Z360" s="272"/>
      <c r="AA360" s="272"/>
      <c r="AB360" s="272"/>
      <c r="AC360" s="272"/>
      <c r="AD360" s="272"/>
      <c r="AE360" s="272"/>
      <c r="AF360" s="272"/>
    </row>
    <row r="361" spans="2:32">
      <c r="B361" s="539"/>
      <c r="C361" s="540" t="s">
        <v>66</v>
      </c>
      <c r="D361" s="540" t="s">
        <v>55</v>
      </c>
      <c r="E361" s="540"/>
      <c r="F361" s="540"/>
      <c r="G361" s="541">
        <v>0.01</v>
      </c>
      <c r="H361" s="541"/>
      <c r="I361" s="542">
        <v>0.4</v>
      </c>
      <c r="J361" s="602"/>
      <c r="K361" s="543">
        <v>113</v>
      </c>
      <c r="L361" s="272"/>
      <c r="M361" s="272"/>
      <c r="N361" s="272"/>
      <c r="P361" s="273"/>
      <c r="Q361" s="273"/>
      <c r="R361" s="273"/>
      <c r="S361" s="273"/>
      <c r="T361" s="272"/>
      <c r="U361" s="272"/>
      <c r="V361" s="272"/>
      <c r="W361" s="272"/>
      <c r="X361" s="272"/>
      <c r="Y361" s="272"/>
      <c r="Z361" s="272"/>
      <c r="AA361" s="272"/>
      <c r="AB361" s="272"/>
      <c r="AC361" s="272"/>
      <c r="AD361" s="272"/>
      <c r="AE361" s="272"/>
      <c r="AF361" s="272"/>
    </row>
    <row r="362" spans="2:32">
      <c r="B362" s="517"/>
      <c r="C362" s="518" t="s">
        <v>66</v>
      </c>
      <c r="D362" s="518" t="s">
        <v>57</v>
      </c>
      <c r="E362" s="518"/>
      <c r="F362" s="518"/>
      <c r="G362" s="525">
        <v>0.01</v>
      </c>
      <c r="H362" s="525"/>
      <c r="I362" s="527">
        <v>0.4</v>
      </c>
      <c r="J362" s="594"/>
      <c r="K362" s="519">
        <v>113</v>
      </c>
      <c r="L362" s="272"/>
      <c r="M362" s="272"/>
      <c r="N362" s="272"/>
      <c r="P362" s="273"/>
      <c r="Q362" s="273"/>
      <c r="R362" s="273"/>
      <c r="S362" s="273"/>
      <c r="T362" s="272"/>
      <c r="U362" s="272"/>
      <c r="V362" s="272"/>
      <c r="W362" s="272"/>
      <c r="X362" s="272"/>
      <c r="Y362" s="272"/>
      <c r="Z362" s="272"/>
      <c r="AA362" s="272"/>
      <c r="AB362" s="272"/>
      <c r="AC362" s="272"/>
      <c r="AD362" s="272"/>
      <c r="AE362" s="272"/>
      <c r="AF362" s="272"/>
    </row>
    <row r="363" spans="2:32">
      <c r="B363" s="534"/>
      <c r="C363" s="535" t="s">
        <v>66</v>
      </c>
      <c r="D363" s="535" t="s">
        <v>59</v>
      </c>
      <c r="E363" s="535"/>
      <c r="F363" s="535"/>
      <c r="G363" s="536">
        <v>0.01</v>
      </c>
      <c r="H363" s="536"/>
      <c r="I363" s="537">
        <v>0.4</v>
      </c>
      <c r="J363" s="595"/>
      <c r="K363" s="538">
        <v>113</v>
      </c>
      <c r="L363" s="272"/>
      <c r="M363" s="272"/>
      <c r="N363" s="272"/>
      <c r="P363" s="273"/>
      <c r="Q363" s="273"/>
      <c r="R363" s="273"/>
      <c r="S363" s="273"/>
      <c r="T363" s="272"/>
      <c r="U363" s="272"/>
      <c r="V363" s="272"/>
      <c r="W363" s="272"/>
      <c r="X363" s="272"/>
      <c r="Y363" s="272"/>
      <c r="Z363" s="272"/>
      <c r="AA363" s="272"/>
      <c r="AB363" s="272"/>
      <c r="AC363" s="272"/>
      <c r="AD363" s="272"/>
      <c r="AE363" s="272"/>
      <c r="AF363" s="272"/>
    </row>
    <row r="364" spans="2:32">
      <c r="B364" s="539"/>
      <c r="C364" s="540" t="s">
        <v>66</v>
      </c>
      <c r="D364" s="540" t="s">
        <v>55</v>
      </c>
      <c r="E364" s="540"/>
      <c r="F364" s="540"/>
      <c r="G364" s="541">
        <v>0.01</v>
      </c>
      <c r="H364" s="541"/>
      <c r="I364" s="542">
        <v>0.4</v>
      </c>
      <c r="J364" s="602"/>
      <c r="K364" s="543">
        <v>114</v>
      </c>
      <c r="L364" s="272"/>
      <c r="M364" s="272"/>
      <c r="N364" s="272"/>
      <c r="P364" s="273"/>
      <c r="Q364" s="273"/>
      <c r="R364" s="273"/>
      <c r="S364" s="273"/>
      <c r="T364" s="272"/>
      <c r="U364" s="272"/>
      <c r="V364" s="272"/>
      <c r="W364" s="272"/>
      <c r="X364" s="272"/>
      <c r="Y364" s="272"/>
      <c r="Z364" s="272"/>
      <c r="AA364" s="272"/>
      <c r="AB364" s="272"/>
      <c r="AC364" s="272"/>
      <c r="AD364" s="272"/>
      <c r="AE364" s="272"/>
      <c r="AF364" s="272"/>
    </row>
    <row r="365" spans="2:32">
      <c r="B365" s="517"/>
      <c r="C365" s="518" t="s">
        <v>66</v>
      </c>
      <c r="D365" s="518" t="s">
        <v>57</v>
      </c>
      <c r="E365" s="518"/>
      <c r="F365" s="518"/>
      <c r="G365" s="525">
        <v>0.01</v>
      </c>
      <c r="H365" s="525"/>
      <c r="I365" s="527">
        <v>0.4</v>
      </c>
      <c r="J365" s="594"/>
      <c r="K365" s="519">
        <v>114</v>
      </c>
      <c r="L365" s="272"/>
      <c r="M365" s="272"/>
      <c r="N365" s="272"/>
      <c r="P365" s="273"/>
      <c r="Q365" s="273"/>
      <c r="R365" s="273"/>
      <c r="S365" s="273"/>
      <c r="T365" s="272"/>
      <c r="U365" s="272"/>
      <c r="V365" s="272"/>
      <c r="W365" s="272"/>
      <c r="X365" s="272"/>
      <c r="Y365" s="272"/>
      <c r="Z365" s="272"/>
      <c r="AA365" s="272"/>
      <c r="AB365" s="272"/>
      <c r="AC365" s="272"/>
      <c r="AD365" s="272"/>
      <c r="AE365" s="272"/>
      <c r="AF365" s="272"/>
    </row>
    <row r="366" spans="2:32">
      <c r="B366" s="534"/>
      <c r="C366" s="535" t="s">
        <v>66</v>
      </c>
      <c r="D366" s="535" t="s">
        <v>59</v>
      </c>
      <c r="E366" s="535"/>
      <c r="F366" s="535"/>
      <c r="G366" s="536">
        <v>0.01</v>
      </c>
      <c r="H366" s="536"/>
      <c r="I366" s="537">
        <v>0.4</v>
      </c>
      <c r="J366" s="595"/>
      <c r="K366" s="538">
        <v>114</v>
      </c>
      <c r="L366" s="272"/>
      <c r="M366" s="272"/>
      <c r="N366" s="272"/>
      <c r="P366" s="273"/>
      <c r="Q366" s="273"/>
      <c r="R366" s="273"/>
      <c r="S366" s="273"/>
      <c r="T366" s="272"/>
      <c r="U366" s="272"/>
      <c r="V366" s="272"/>
      <c r="W366" s="272"/>
      <c r="X366" s="272"/>
      <c r="Y366" s="272"/>
      <c r="Z366" s="272"/>
      <c r="AA366" s="272"/>
      <c r="AB366" s="272"/>
      <c r="AC366" s="272"/>
      <c r="AD366" s="272"/>
      <c r="AE366" s="272"/>
      <c r="AF366" s="272"/>
    </row>
    <row r="367" spans="2:32">
      <c r="B367" s="539"/>
      <c r="C367" s="540" t="s">
        <v>66</v>
      </c>
      <c r="D367" s="540" t="s">
        <v>55</v>
      </c>
      <c r="E367" s="540"/>
      <c r="F367" s="540"/>
      <c r="G367" s="541">
        <v>0.01</v>
      </c>
      <c r="H367" s="541"/>
      <c r="I367" s="542">
        <v>0.4</v>
      </c>
      <c r="J367" s="602"/>
      <c r="K367" s="543">
        <v>115</v>
      </c>
      <c r="L367" s="272"/>
      <c r="M367" s="272"/>
      <c r="N367" s="272"/>
      <c r="P367" s="273"/>
      <c r="Q367" s="273"/>
      <c r="R367" s="273"/>
      <c r="S367" s="273"/>
      <c r="T367" s="272"/>
      <c r="U367" s="272"/>
      <c r="V367" s="272"/>
      <c r="W367" s="272"/>
      <c r="X367" s="272"/>
      <c r="Y367" s="272"/>
      <c r="Z367" s="272"/>
      <c r="AA367" s="272"/>
      <c r="AB367" s="272"/>
      <c r="AC367" s="272"/>
      <c r="AD367" s="272"/>
      <c r="AE367" s="272"/>
      <c r="AF367" s="272"/>
    </row>
    <row r="368" spans="2:32">
      <c r="B368" s="517"/>
      <c r="C368" s="518" t="s">
        <v>66</v>
      </c>
      <c r="D368" s="518" t="s">
        <v>57</v>
      </c>
      <c r="E368" s="518"/>
      <c r="F368" s="518"/>
      <c r="G368" s="525">
        <v>0.01</v>
      </c>
      <c r="H368" s="525"/>
      <c r="I368" s="527">
        <v>0.4</v>
      </c>
      <c r="J368" s="594"/>
      <c r="K368" s="519">
        <v>115</v>
      </c>
      <c r="L368" s="272"/>
      <c r="M368" s="272"/>
      <c r="N368" s="272"/>
      <c r="P368" s="273"/>
      <c r="Q368" s="273"/>
      <c r="R368" s="273"/>
      <c r="S368" s="273"/>
      <c r="T368" s="272"/>
      <c r="U368" s="272"/>
      <c r="V368" s="272"/>
      <c r="W368" s="272"/>
      <c r="X368" s="272"/>
      <c r="Y368" s="272"/>
      <c r="Z368" s="272"/>
      <c r="AA368" s="272"/>
      <c r="AB368" s="272"/>
      <c r="AC368" s="272"/>
      <c r="AD368" s="272"/>
      <c r="AE368" s="272"/>
      <c r="AF368" s="272"/>
    </row>
    <row r="369" spans="2:32">
      <c r="B369" s="534"/>
      <c r="C369" s="535" t="s">
        <v>66</v>
      </c>
      <c r="D369" s="535" t="s">
        <v>59</v>
      </c>
      <c r="E369" s="535"/>
      <c r="F369" s="535"/>
      <c r="G369" s="536">
        <v>0.01</v>
      </c>
      <c r="H369" s="536"/>
      <c r="I369" s="537">
        <v>0.4</v>
      </c>
      <c r="J369" s="595"/>
      <c r="K369" s="538">
        <v>115</v>
      </c>
      <c r="L369" s="272"/>
      <c r="M369" s="272"/>
      <c r="N369" s="272"/>
      <c r="P369" s="273"/>
      <c r="Q369" s="273"/>
      <c r="R369" s="273"/>
      <c r="S369" s="273"/>
      <c r="T369" s="272"/>
      <c r="U369" s="272"/>
      <c r="V369" s="272"/>
      <c r="W369" s="272"/>
      <c r="X369" s="272"/>
      <c r="Y369" s="272"/>
      <c r="Z369" s="272"/>
      <c r="AA369" s="272"/>
      <c r="AB369" s="272"/>
      <c r="AC369" s="272"/>
      <c r="AD369" s="272"/>
      <c r="AE369" s="272"/>
      <c r="AF369" s="272"/>
    </row>
    <row r="370" spans="2:32">
      <c r="B370" s="539"/>
      <c r="C370" s="540" t="s">
        <v>66</v>
      </c>
      <c r="D370" s="540" t="s">
        <v>55</v>
      </c>
      <c r="E370" s="540"/>
      <c r="F370" s="540"/>
      <c r="G370" s="541">
        <v>0.01</v>
      </c>
      <c r="H370" s="541"/>
      <c r="I370" s="542">
        <v>0.4</v>
      </c>
      <c r="J370" s="602"/>
      <c r="K370" s="543">
        <v>116</v>
      </c>
      <c r="L370" s="272"/>
      <c r="M370" s="272"/>
      <c r="N370" s="272"/>
      <c r="P370" s="273"/>
      <c r="Q370" s="273"/>
      <c r="R370" s="273"/>
      <c r="S370" s="273"/>
      <c r="T370" s="272"/>
      <c r="U370" s="272"/>
      <c r="V370" s="272"/>
      <c r="W370" s="272"/>
      <c r="X370" s="272"/>
      <c r="Y370" s="272"/>
      <c r="Z370" s="272"/>
      <c r="AA370" s="272"/>
      <c r="AB370" s="272"/>
      <c r="AC370" s="272"/>
      <c r="AD370" s="272"/>
      <c r="AE370" s="272"/>
      <c r="AF370" s="272"/>
    </row>
    <row r="371" spans="2:32">
      <c r="B371" s="517"/>
      <c r="C371" s="518" t="s">
        <v>66</v>
      </c>
      <c r="D371" s="518" t="s">
        <v>57</v>
      </c>
      <c r="E371" s="518"/>
      <c r="F371" s="518"/>
      <c r="G371" s="525">
        <v>0.01</v>
      </c>
      <c r="H371" s="525"/>
      <c r="I371" s="527">
        <v>0.4</v>
      </c>
      <c r="J371" s="594"/>
      <c r="K371" s="519">
        <v>116</v>
      </c>
      <c r="L371" s="272"/>
      <c r="M371" s="272"/>
      <c r="N371" s="272"/>
      <c r="P371" s="273"/>
      <c r="Q371" s="273"/>
      <c r="R371" s="273"/>
      <c r="S371" s="273"/>
      <c r="T371" s="272"/>
      <c r="U371" s="272"/>
      <c r="V371" s="272"/>
      <c r="W371" s="272"/>
      <c r="X371" s="272"/>
      <c r="Y371" s="272"/>
      <c r="Z371" s="272"/>
      <c r="AA371" s="272"/>
      <c r="AB371" s="272"/>
      <c r="AC371" s="272"/>
      <c r="AD371" s="272"/>
      <c r="AE371" s="272"/>
      <c r="AF371" s="272"/>
    </row>
    <row r="372" spans="2:32">
      <c r="B372" s="534"/>
      <c r="C372" s="535" t="s">
        <v>66</v>
      </c>
      <c r="D372" s="535" t="s">
        <v>59</v>
      </c>
      <c r="E372" s="535"/>
      <c r="F372" s="535"/>
      <c r="G372" s="536">
        <v>0.01</v>
      </c>
      <c r="H372" s="536"/>
      <c r="I372" s="537">
        <v>0.4</v>
      </c>
      <c r="J372" s="595"/>
      <c r="K372" s="538">
        <v>116</v>
      </c>
      <c r="L372" s="272"/>
      <c r="M372" s="272"/>
      <c r="N372" s="272"/>
      <c r="P372" s="273"/>
      <c r="Q372" s="273"/>
      <c r="R372" s="273"/>
      <c r="S372" s="273"/>
      <c r="T372" s="272"/>
      <c r="U372" s="272"/>
      <c r="V372" s="272"/>
      <c r="W372" s="272"/>
      <c r="X372" s="272"/>
      <c r="Y372" s="272"/>
      <c r="Z372" s="272"/>
      <c r="AA372" s="272"/>
      <c r="AB372" s="272"/>
      <c r="AC372" s="272"/>
      <c r="AD372" s="272"/>
      <c r="AE372" s="272"/>
      <c r="AF372" s="272"/>
    </row>
    <row r="373" spans="2:32">
      <c r="B373" s="539"/>
      <c r="C373" s="540" t="s">
        <v>66</v>
      </c>
      <c r="D373" s="540" t="s">
        <v>55</v>
      </c>
      <c r="E373" s="540"/>
      <c r="F373" s="540"/>
      <c r="G373" s="541">
        <v>0.01</v>
      </c>
      <c r="H373" s="541"/>
      <c r="I373" s="542">
        <v>0.4</v>
      </c>
      <c r="J373" s="602"/>
      <c r="K373" s="543">
        <v>117</v>
      </c>
      <c r="L373" s="272"/>
      <c r="M373" s="272"/>
      <c r="N373" s="272"/>
      <c r="P373" s="273"/>
      <c r="Q373" s="273"/>
      <c r="R373" s="273"/>
      <c r="S373" s="273"/>
      <c r="T373" s="272"/>
      <c r="U373" s="272"/>
      <c r="V373" s="272"/>
      <c r="W373" s="272"/>
      <c r="X373" s="272"/>
      <c r="Y373" s="272"/>
      <c r="Z373" s="272"/>
      <c r="AA373" s="272"/>
      <c r="AB373" s="272"/>
      <c r="AC373" s="272"/>
      <c r="AD373" s="272"/>
      <c r="AE373" s="272"/>
      <c r="AF373" s="272"/>
    </row>
    <row r="374" spans="2:32">
      <c r="B374" s="517"/>
      <c r="C374" s="518" t="s">
        <v>66</v>
      </c>
      <c r="D374" s="518" t="s">
        <v>57</v>
      </c>
      <c r="E374" s="518"/>
      <c r="F374" s="518"/>
      <c r="G374" s="525">
        <v>0.01</v>
      </c>
      <c r="H374" s="525"/>
      <c r="I374" s="527">
        <v>0.4</v>
      </c>
      <c r="J374" s="594"/>
      <c r="K374" s="519">
        <v>117</v>
      </c>
      <c r="L374" s="272"/>
      <c r="M374" s="272"/>
      <c r="N374" s="272"/>
      <c r="P374" s="273"/>
      <c r="Q374" s="273"/>
      <c r="R374" s="273"/>
      <c r="S374" s="273"/>
      <c r="T374" s="272"/>
      <c r="U374" s="272"/>
      <c r="V374" s="272"/>
      <c r="W374" s="272"/>
      <c r="X374" s="272"/>
      <c r="Y374" s="272"/>
      <c r="Z374" s="272"/>
      <c r="AA374" s="272"/>
      <c r="AB374" s="272"/>
      <c r="AC374" s="272"/>
      <c r="AD374" s="272"/>
      <c r="AE374" s="272"/>
      <c r="AF374" s="272"/>
    </row>
    <row r="375" spans="2:32">
      <c r="B375" s="534"/>
      <c r="C375" s="535" t="s">
        <v>66</v>
      </c>
      <c r="D375" s="535" t="s">
        <v>59</v>
      </c>
      <c r="E375" s="535"/>
      <c r="F375" s="535"/>
      <c r="G375" s="536">
        <v>0.01</v>
      </c>
      <c r="H375" s="536"/>
      <c r="I375" s="537">
        <v>0.4</v>
      </c>
      <c r="J375" s="595"/>
      <c r="K375" s="538">
        <v>117</v>
      </c>
      <c r="L375" s="272"/>
      <c r="M375" s="272"/>
      <c r="N375" s="272"/>
      <c r="P375" s="273"/>
      <c r="Q375" s="273"/>
      <c r="R375" s="273"/>
      <c r="S375" s="273"/>
      <c r="T375" s="272"/>
      <c r="U375" s="272"/>
      <c r="V375" s="272"/>
      <c r="W375" s="272"/>
      <c r="X375" s="272"/>
      <c r="Y375" s="272"/>
      <c r="Z375" s="272"/>
      <c r="AA375" s="272"/>
      <c r="AB375" s="272"/>
      <c r="AC375" s="272"/>
      <c r="AD375" s="272"/>
      <c r="AE375" s="272"/>
      <c r="AF375" s="272"/>
    </row>
    <row r="376" spans="2:32">
      <c r="B376" s="539"/>
      <c r="C376" s="540" t="s">
        <v>66</v>
      </c>
      <c r="D376" s="540" t="s">
        <v>55</v>
      </c>
      <c r="E376" s="540"/>
      <c r="F376" s="540"/>
      <c r="G376" s="541">
        <v>0.01</v>
      </c>
      <c r="H376" s="541"/>
      <c r="I376" s="542">
        <v>0.4</v>
      </c>
      <c r="J376" s="602"/>
      <c r="K376" s="543">
        <v>118</v>
      </c>
      <c r="L376" s="272"/>
      <c r="M376" s="272"/>
      <c r="N376" s="272"/>
      <c r="P376" s="273"/>
      <c r="Q376" s="273"/>
      <c r="R376" s="273"/>
      <c r="S376" s="273"/>
      <c r="T376" s="272"/>
      <c r="U376" s="272"/>
      <c r="V376" s="272"/>
      <c r="W376" s="272"/>
      <c r="X376" s="272"/>
      <c r="Y376" s="272"/>
      <c r="Z376" s="272"/>
      <c r="AA376" s="272"/>
      <c r="AB376" s="272"/>
      <c r="AC376" s="272"/>
      <c r="AD376" s="272"/>
      <c r="AE376" s="272"/>
      <c r="AF376" s="272"/>
    </row>
    <row r="377" spans="2:32">
      <c r="B377" s="517"/>
      <c r="C377" s="518" t="s">
        <v>66</v>
      </c>
      <c r="D377" s="518" t="s">
        <v>57</v>
      </c>
      <c r="E377" s="518"/>
      <c r="F377" s="518"/>
      <c r="G377" s="525">
        <v>0.01</v>
      </c>
      <c r="H377" s="525"/>
      <c r="I377" s="527">
        <v>0.4</v>
      </c>
      <c r="J377" s="594"/>
      <c r="K377" s="519">
        <v>118</v>
      </c>
      <c r="L377" s="272"/>
      <c r="M377" s="272"/>
      <c r="N377" s="272"/>
      <c r="P377" s="273"/>
      <c r="Q377" s="273"/>
      <c r="R377" s="273"/>
      <c r="S377" s="273"/>
      <c r="T377" s="272"/>
      <c r="U377" s="272"/>
      <c r="V377" s="272"/>
      <c r="W377" s="272"/>
      <c r="X377" s="272"/>
      <c r="Y377" s="272"/>
      <c r="Z377" s="272"/>
      <c r="AA377" s="272"/>
      <c r="AB377" s="272"/>
      <c r="AC377" s="272"/>
      <c r="AD377" s="272"/>
      <c r="AE377" s="272"/>
      <c r="AF377" s="272"/>
    </row>
    <row r="378" spans="2:32">
      <c r="B378" s="534"/>
      <c r="C378" s="535" t="s">
        <v>66</v>
      </c>
      <c r="D378" s="535" t="s">
        <v>59</v>
      </c>
      <c r="E378" s="535"/>
      <c r="F378" s="535"/>
      <c r="G378" s="536">
        <v>0.01</v>
      </c>
      <c r="H378" s="536"/>
      <c r="I378" s="537">
        <v>0.4</v>
      </c>
      <c r="J378" s="595"/>
      <c r="K378" s="538">
        <v>118</v>
      </c>
      <c r="L378" s="272"/>
      <c r="M378" s="272"/>
      <c r="N378" s="272"/>
      <c r="P378" s="273"/>
      <c r="Q378" s="273"/>
      <c r="R378" s="273"/>
      <c r="S378" s="273"/>
      <c r="T378" s="272"/>
      <c r="U378" s="272"/>
      <c r="V378" s="272"/>
      <c r="W378" s="272"/>
      <c r="X378" s="272"/>
      <c r="Y378" s="272"/>
      <c r="Z378" s="272"/>
      <c r="AA378" s="272"/>
      <c r="AB378" s="272"/>
      <c r="AC378" s="272"/>
      <c r="AD378" s="272"/>
      <c r="AE378" s="272"/>
      <c r="AF378" s="272"/>
    </row>
    <row r="379" spans="2:32">
      <c r="B379" s="539"/>
      <c r="C379" s="540" t="s">
        <v>66</v>
      </c>
      <c r="D379" s="540" t="s">
        <v>55</v>
      </c>
      <c r="E379" s="540"/>
      <c r="F379" s="540"/>
      <c r="G379" s="541">
        <v>0.01</v>
      </c>
      <c r="H379" s="541"/>
      <c r="I379" s="542">
        <v>0.4</v>
      </c>
      <c r="J379" s="602"/>
      <c r="K379" s="543">
        <v>119</v>
      </c>
      <c r="L379" s="272"/>
      <c r="M379" s="272"/>
      <c r="N379" s="272"/>
      <c r="P379" s="273"/>
      <c r="Q379" s="273"/>
      <c r="R379" s="273"/>
      <c r="S379" s="273"/>
      <c r="T379" s="272"/>
      <c r="U379" s="272"/>
      <c r="V379" s="272"/>
      <c r="W379" s="272"/>
      <c r="X379" s="272"/>
      <c r="Y379" s="272"/>
      <c r="Z379" s="272"/>
      <c r="AA379" s="272"/>
      <c r="AB379" s="272"/>
      <c r="AC379" s="272"/>
      <c r="AD379" s="272"/>
      <c r="AE379" s="272"/>
      <c r="AF379" s="272"/>
    </row>
    <row r="380" spans="2:32">
      <c r="B380" s="517"/>
      <c r="C380" s="518" t="s">
        <v>66</v>
      </c>
      <c r="D380" s="518" t="s">
        <v>57</v>
      </c>
      <c r="E380" s="518"/>
      <c r="F380" s="518"/>
      <c r="G380" s="525">
        <v>0.01</v>
      </c>
      <c r="H380" s="525"/>
      <c r="I380" s="527">
        <v>0.4</v>
      </c>
      <c r="J380" s="594"/>
      <c r="K380" s="519">
        <v>119</v>
      </c>
      <c r="L380" s="272"/>
      <c r="M380" s="272"/>
      <c r="N380" s="272"/>
      <c r="P380" s="273"/>
      <c r="Q380" s="273"/>
      <c r="R380" s="273"/>
      <c r="S380" s="273"/>
      <c r="T380" s="272"/>
      <c r="U380" s="272"/>
      <c r="V380" s="272"/>
      <c r="W380" s="272"/>
      <c r="X380" s="272"/>
      <c r="Y380" s="272"/>
      <c r="Z380" s="272"/>
      <c r="AA380" s="272"/>
      <c r="AB380" s="272"/>
      <c r="AC380" s="272"/>
      <c r="AD380" s="272"/>
      <c r="AE380" s="272"/>
      <c r="AF380" s="272"/>
    </row>
    <row r="381" spans="2:32">
      <c r="B381" s="534"/>
      <c r="C381" s="535" t="s">
        <v>66</v>
      </c>
      <c r="D381" s="535" t="s">
        <v>59</v>
      </c>
      <c r="E381" s="535"/>
      <c r="F381" s="535"/>
      <c r="G381" s="536">
        <v>0.01</v>
      </c>
      <c r="H381" s="536"/>
      <c r="I381" s="537">
        <v>0.4</v>
      </c>
      <c r="J381" s="595"/>
      <c r="K381" s="538">
        <v>119</v>
      </c>
      <c r="L381" s="272"/>
      <c r="M381" s="272"/>
      <c r="N381" s="272"/>
      <c r="P381" s="273"/>
      <c r="Q381" s="273"/>
      <c r="R381" s="273"/>
      <c r="S381" s="273"/>
      <c r="T381" s="272"/>
      <c r="U381" s="272"/>
      <c r="V381" s="272"/>
      <c r="W381" s="272"/>
      <c r="X381" s="272"/>
      <c r="Y381" s="272"/>
      <c r="Z381" s="272"/>
      <c r="AA381" s="272"/>
      <c r="AB381" s="272"/>
      <c r="AC381" s="272"/>
      <c r="AD381" s="272"/>
      <c r="AE381" s="272"/>
      <c r="AF381" s="272"/>
    </row>
    <row r="382" spans="2:32">
      <c r="B382" s="539"/>
      <c r="C382" s="540" t="s">
        <v>66</v>
      </c>
      <c r="D382" s="540" t="s">
        <v>55</v>
      </c>
      <c r="E382" s="540"/>
      <c r="F382" s="540"/>
      <c r="G382" s="541">
        <v>0.01</v>
      </c>
      <c r="H382" s="541"/>
      <c r="I382" s="542">
        <v>0.4</v>
      </c>
      <c r="J382" s="602"/>
      <c r="K382" s="543">
        <v>120</v>
      </c>
      <c r="L382" s="272"/>
      <c r="M382" s="272"/>
      <c r="N382" s="272"/>
      <c r="P382" s="273"/>
      <c r="Q382" s="273"/>
      <c r="R382" s="273"/>
      <c r="S382" s="273"/>
      <c r="T382" s="272"/>
      <c r="U382" s="272"/>
      <c r="V382" s="272"/>
      <c r="W382" s="272"/>
      <c r="X382" s="272"/>
      <c r="Y382" s="272"/>
      <c r="Z382" s="272"/>
      <c r="AA382" s="272"/>
      <c r="AB382" s="272"/>
      <c r="AC382" s="272"/>
      <c r="AD382" s="272"/>
      <c r="AE382" s="272"/>
      <c r="AF382" s="272"/>
    </row>
    <row r="383" spans="2:32">
      <c r="B383" s="517"/>
      <c r="C383" s="518" t="s">
        <v>66</v>
      </c>
      <c r="D383" s="518" t="s">
        <v>57</v>
      </c>
      <c r="E383" s="518"/>
      <c r="F383" s="518"/>
      <c r="G383" s="525">
        <v>0.01</v>
      </c>
      <c r="H383" s="525"/>
      <c r="I383" s="527">
        <v>0.4</v>
      </c>
      <c r="J383" s="594"/>
      <c r="K383" s="519">
        <v>120</v>
      </c>
      <c r="L383" s="272"/>
      <c r="M383" s="272"/>
      <c r="N383" s="272"/>
      <c r="P383" s="273"/>
      <c r="Q383" s="273"/>
      <c r="R383" s="273"/>
      <c r="S383" s="273"/>
      <c r="T383" s="272"/>
      <c r="U383" s="272"/>
      <c r="V383" s="272"/>
      <c r="W383" s="272"/>
      <c r="X383" s="272"/>
      <c r="Y383" s="272"/>
      <c r="Z383" s="272"/>
      <c r="AA383" s="272"/>
      <c r="AB383" s="272"/>
      <c r="AC383" s="272"/>
      <c r="AD383" s="272"/>
      <c r="AE383" s="272"/>
      <c r="AF383" s="272"/>
    </row>
    <row r="384" spans="2:32">
      <c r="B384" s="534"/>
      <c r="C384" s="535" t="s">
        <v>66</v>
      </c>
      <c r="D384" s="535" t="s">
        <v>59</v>
      </c>
      <c r="E384" s="535"/>
      <c r="F384" s="535"/>
      <c r="G384" s="536">
        <v>0.01</v>
      </c>
      <c r="H384" s="536"/>
      <c r="I384" s="537">
        <v>0.4</v>
      </c>
      <c r="J384" s="595"/>
      <c r="K384" s="538">
        <v>120</v>
      </c>
      <c r="L384" s="272"/>
      <c r="M384" s="272"/>
      <c r="N384" s="272"/>
      <c r="P384" s="273"/>
      <c r="Q384" s="273"/>
      <c r="R384" s="273"/>
      <c r="S384" s="273"/>
      <c r="T384" s="272"/>
      <c r="U384" s="272"/>
      <c r="V384" s="272"/>
      <c r="W384" s="272"/>
      <c r="X384" s="272"/>
      <c r="Y384" s="272"/>
      <c r="Z384" s="272"/>
      <c r="AA384" s="272"/>
      <c r="AB384" s="272"/>
      <c r="AC384" s="272"/>
      <c r="AD384" s="272"/>
      <c r="AE384" s="272"/>
      <c r="AF384" s="272"/>
    </row>
    <row r="385" spans="2:32">
      <c r="B385" s="539"/>
      <c r="C385" s="540" t="s">
        <v>66</v>
      </c>
      <c r="D385" s="540" t="s">
        <v>55</v>
      </c>
      <c r="E385" s="540"/>
      <c r="F385" s="540"/>
      <c r="G385" s="541">
        <v>0.01</v>
      </c>
      <c r="H385" s="541"/>
      <c r="I385" s="542">
        <v>0.4</v>
      </c>
      <c r="J385" s="602"/>
      <c r="K385" s="543">
        <v>121</v>
      </c>
      <c r="L385" s="272"/>
      <c r="M385" s="272"/>
      <c r="N385" s="272"/>
      <c r="P385" s="273"/>
      <c r="Q385" s="273"/>
      <c r="R385" s="273"/>
      <c r="S385" s="273"/>
      <c r="T385" s="272"/>
      <c r="U385" s="272"/>
      <c r="V385" s="272"/>
      <c r="W385" s="272"/>
      <c r="X385" s="272"/>
      <c r="Y385" s="272"/>
      <c r="Z385" s="272"/>
      <c r="AA385" s="272"/>
      <c r="AB385" s="272"/>
      <c r="AC385" s="272"/>
      <c r="AD385" s="272"/>
      <c r="AE385" s="272"/>
      <c r="AF385" s="272"/>
    </row>
    <row r="386" spans="2:32">
      <c r="B386" s="517"/>
      <c r="C386" s="518" t="s">
        <v>66</v>
      </c>
      <c r="D386" s="518" t="s">
        <v>57</v>
      </c>
      <c r="E386" s="518"/>
      <c r="F386" s="518"/>
      <c r="G386" s="525">
        <v>0.01</v>
      </c>
      <c r="H386" s="525"/>
      <c r="I386" s="527">
        <v>0.4</v>
      </c>
      <c r="J386" s="594"/>
      <c r="K386" s="519">
        <v>121</v>
      </c>
      <c r="L386" s="272"/>
      <c r="M386" s="272"/>
      <c r="N386" s="272"/>
      <c r="P386" s="273"/>
      <c r="Q386" s="273"/>
      <c r="R386" s="273"/>
      <c r="S386" s="273"/>
      <c r="T386" s="272"/>
      <c r="U386" s="272"/>
      <c r="V386" s="272"/>
      <c r="W386" s="272"/>
      <c r="X386" s="272"/>
      <c r="Y386" s="272"/>
      <c r="Z386" s="272"/>
      <c r="AA386" s="272"/>
      <c r="AB386" s="272"/>
      <c r="AC386" s="272"/>
      <c r="AD386" s="272"/>
      <c r="AE386" s="272"/>
      <c r="AF386" s="272"/>
    </row>
    <row r="387" spans="2:32">
      <c r="B387" s="534"/>
      <c r="C387" s="535" t="s">
        <v>66</v>
      </c>
      <c r="D387" s="535" t="s">
        <v>59</v>
      </c>
      <c r="E387" s="535"/>
      <c r="F387" s="535"/>
      <c r="G387" s="536">
        <v>0.01</v>
      </c>
      <c r="H387" s="536"/>
      <c r="I387" s="537">
        <v>0.4</v>
      </c>
      <c r="J387" s="595"/>
      <c r="K387" s="538">
        <v>121</v>
      </c>
      <c r="L387" s="272"/>
      <c r="M387" s="272"/>
      <c r="N387" s="272"/>
      <c r="P387" s="273"/>
      <c r="Q387" s="273"/>
      <c r="R387" s="273"/>
      <c r="S387" s="273"/>
      <c r="T387" s="272"/>
      <c r="U387" s="272"/>
      <c r="V387" s="272"/>
      <c r="W387" s="272"/>
      <c r="X387" s="272"/>
      <c r="Y387" s="272"/>
      <c r="Z387" s="272"/>
      <c r="AA387" s="272"/>
      <c r="AB387" s="272"/>
      <c r="AC387" s="272"/>
      <c r="AD387" s="272"/>
      <c r="AE387" s="272"/>
      <c r="AF387" s="272"/>
    </row>
    <row r="388" spans="2:32">
      <c r="B388" s="539"/>
      <c r="C388" s="540" t="s">
        <v>66</v>
      </c>
      <c r="D388" s="540" t="s">
        <v>55</v>
      </c>
      <c r="E388" s="540"/>
      <c r="F388" s="540"/>
      <c r="G388" s="541">
        <v>0.01</v>
      </c>
      <c r="H388" s="541"/>
      <c r="I388" s="542">
        <v>0.4</v>
      </c>
      <c r="J388" s="602"/>
      <c r="K388" s="543">
        <v>122</v>
      </c>
      <c r="L388" s="272"/>
      <c r="M388" s="272"/>
      <c r="N388" s="272"/>
      <c r="P388" s="273"/>
      <c r="Q388" s="273"/>
      <c r="R388" s="273"/>
      <c r="S388" s="273"/>
      <c r="T388" s="272"/>
      <c r="U388" s="272"/>
      <c r="V388" s="272"/>
      <c r="W388" s="272"/>
      <c r="X388" s="272"/>
      <c r="Y388" s="272"/>
      <c r="Z388" s="272"/>
      <c r="AA388" s="272"/>
      <c r="AB388" s="272"/>
      <c r="AC388" s="272"/>
      <c r="AD388" s="272"/>
      <c r="AE388" s="272"/>
      <c r="AF388" s="272"/>
    </row>
    <row r="389" spans="2:32">
      <c r="B389" s="517"/>
      <c r="C389" s="518" t="s">
        <v>66</v>
      </c>
      <c r="D389" s="518" t="s">
        <v>57</v>
      </c>
      <c r="E389" s="518"/>
      <c r="F389" s="518"/>
      <c r="G389" s="525">
        <v>0.01</v>
      </c>
      <c r="H389" s="525"/>
      <c r="I389" s="527">
        <v>0.4</v>
      </c>
      <c r="J389" s="594"/>
      <c r="K389" s="519">
        <v>122</v>
      </c>
      <c r="L389" s="272"/>
      <c r="M389" s="272"/>
      <c r="N389" s="272"/>
      <c r="P389" s="273"/>
      <c r="Q389" s="273"/>
      <c r="R389" s="273"/>
      <c r="S389" s="273"/>
      <c r="T389" s="272"/>
      <c r="U389" s="272"/>
      <c r="V389" s="272"/>
      <c r="W389" s="272"/>
      <c r="X389" s="272"/>
      <c r="Y389" s="272"/>
      <c r="Z389" s="272"/>
      <c r="AA389" s="272"/>
      <c r="AB389" s="272"/>
      <c r="AC389" s="272"/>
      <c r="AD389" s="272"/>
      <c r="AE389" s="272"/>
      <c r="AF389" s="272"/>
    </row>
    <row r="390" spans="2:32">
      <c r="B390" s="534"/>
      <c r="C390" s="535" t="s">
        <v>66</v>
      </c>
      <c r="D390" s="535" t="s">
        <v>59</v>
      </c>
      <c r="E390" s="535"/>
      <c r="F390" s="535"/>
      <c r="G390" s="536">
        <v>0.01</v>
      </c>
      <c r="H390" s="536"/>
      <c r="I390" s="537">
        <v>0.4</v>
      </c>
      <c r="J390" s="595"/>
      <c r="K390" s="538">
        <v>122</v>
      </c>
      <c r="L390" s="272"/>
      <c r="M390" s="272"/>
      <c r="N390" s="272"/>
      <c r="P390" s="273"/>
      <c r="Q390" s="273"/>
      <c r="R390" s="273"/>
      <c r="S390" s="273"/>
      <c r="T390" s="272"/>
      <c r="U390" s="272"/>
      <c r="V390" s="272"/>
      <c r="W390" s="272"/>
      <c r="X390" s="272"/>
      <c r="Y390" s="272"/>
      <c r="Z390" s="272"/>
      <c r="AA390" s="272"/>
      <c r="AB390" s="272"/>
      <c r="AC390" s="272"/>
      <c r="AD390" s="272"/>
      <c r="AE390" s="272"/>
      <c r="AF390" s="272"/>
    </row>
    <row r="391" spans="2:32">
      <c r="B391" s="539"/>
      <c r="C391" s="540" t="s">
        <v>66</v>
      </c>
      <c r="D391" s="540" t="s">
        <v>55</v>
      </c>
      <c r="E391" s="540"/>
      <c r="F391" s="540"/>
      <c r="G391" s="541">
        <v>0.01</v>
      </c>
      <c r="H391" s="541"/>
      <c r="I391" s="542">
        <v>0.4</v>
      </c>
      <c r="J391" s="602"/>
      <c r="K391" s="543">
        <v>123</v>
      </c>
      <c r="L391" s="272"/>
      <c r="M391" s="272"/>
      <c r="N391" s="272"/>
      <c r="P391" s="273"/>
      <c r="Q391" s="273"/>
      <c r="R391" s="273"/>
      <c r="S391" s="273"/>
      <c r="T391" s="272"/>
      <c r="U391" s="272"/>
      <c r="V391" s="272"/>
      <c r="W391" s="272"/>
      <c r="X391" s="272"/>
      <c r="Y391" s="272"/>
      <c r="Z391" s="272"/>
      <c r="AA391" s="272"/>
      <c r="AB391" s="272"/>
      <c r="AC391" s="272"/>
      <c r="AD391" s="272"/>
      <c r="AE391" s="272"/>
      <c r="AF391" s="272"/>
    </row>
    <row r="392" spans="2:32">
      <c r="B392" s="517"/>
      <c r="C392" s="518" t="s">
        <v>66</v>
      </c>
      <c r="D392" s="518" t="s">
        <v>57</v>
      </c>
      <c r="E392" s="518"/>
      <c r="F392" s="518"/>
      <c r="G392" s="525">
        <v>0.01</v>
      </c>
      <c r="H392" s="525"/>
      <c r="I392" s="527">
        <v>0.4</v>
      </c>
      <c r="J392" s="594"/>
      <c r="K392" s="519">
        <v>123</v>
      </c>
      <c r="L392" s="272"/>
      <c r="M392" s="272"/>
      <c r="N392" s="272"/>
      <c r="P392" s="273"/>
      <c r="Q392" s="273"/>
      <c r="R392" s="273"/>
      <c r="S392" s="273"/>
      <c r="T392" s="272"/>
      <c r="U392" s="272"/>
      <c r="V392" s="272"/>
      <c r="W392" s="272"/>
      <c r="X392" s="272"/>
      <c r="Y392" s="272"/>
      <c r="Z392" s="272"/>
      <c r="AA392" s="272"/>
      <c r="AB392" s="272"/>
      <c r="AC392" s="272"/>
      <c r="AD392" s="272"/>
      <c r="AE392" s="272"/>
      <c r="AF392" s="272"/>
    </row>
    <row r="393" spans="2:32">
      <c r="B393" s="534"/>
      <c r="C393" s="535" t="s">
        <v>66</v>
      </c>
      <c r="D393" s="535" t="s">
        <v>59</v>
      </c>
      <c r="E393" s="535"/>
      <c r="F393" s="535"/>
      <c r="G393" s="536">
        <v>0.01</v>
      </c>
      <c r="H393" s="536"/>
      <c r="I393" s="537">
        <v>0.4</v>
      </c>
      <c r="J393" s="595"/>
      <c r="K393" s="538">
        <v>123</v>
      </c>
      <c r="L393" s="272"/>
      <c r="M393" s="272"/>
      <c r="N393" s="272"/>
      <c r="P393" s="273"/>
      <c r="Q393" s="273"/>
      <c r="R393" s="273"/>
      <c r="S393" s="273"/>
      <c r="T393" s="272"/>
      <c r="U393" s="272"/>
      <c r="V393" s="272"/>
      <c r="W393" s="272"/>
      <c r="X393" s="272"/>
      <c r="Y393" s="272"/>
      <c r="Z393" s="272"/>
      <c r="AA393" s="272"/>
      <c r="AB393" s="272"/>
      <c r="AC393" s="272"/>
      <c r="AD393" s="272"/>
      <c r="AE393" s="272"/>
      <c r="AF393" s="272"/>
    </row>
    <row r="394" spans="2:32">
      <c r="B394" s="539"/>
      <c r="C394" s="540" t="s">
        <v>66</v>
      </c>
      <c r="D394" s="540" t="s">
        <v>55</v>
      </c>
      <c r="E394" s="540"/>
      <c r="F394" s="540"/>
      <c r="G394" s="541">
        <v>0.01</v>
      </c>
      <c r="H394" s="541"/>
      <c r="I394" s="542">
        <v>0.4</v>
      </c>
      <c r="J394" s="602"/>
      <c r="K394" s="543">
        <v>124</v>
      </c>
      <c r="L394" s="272"/>
      <c r="M394" s="272"/>
      <c r="N394" s="272"/>
      <c r="P394" s="273"/>
      <c r="Q394" s="273"/>
      <c r="R394" s="273"/>
      <c r="S394" s="273"/>
      <c r="T394" s="272"/>
      <c r="U394" s="272"/>
      <c r="V394" s="272"/>
      <c r="W394" s="272"/>
      <c r="X394" s="272"/>
      <c r="Y394" s="272"/>
      <c r="Z394" s="272"/>
      <c r="AA394" s="272"/>
      <c r="AB394" s="272"/>
      <c r="AC394" s="272"/>
      <c r="AD394" s="272"/>
      <c r="AE394" s="272"/>
      <c r="AF394" s="272"/>
    </row>
    <row r="395" spans="2:32">
      <c r="B395" s="517"/>
      <c r="C395" s="518" t="s">
        <v>66</v>
      </c>
      <c r="D395" s="518" t="s">
        <v>57</v>
      </c>
      <c r="E395" s="518"/>
      <c r="F395" s="518"/>
      <c r="G395" s="525">
        <v>0.01</v>
      </c>
      <c r="H395" s="525"/>
      <c r="I395" s="527">
        <v>0.4</v>
      </c>
      <c r="J395" s="594"/>
      <c r="K395" s="519">
        <v>124</v>
      </c>
      <c r="L395" s="272"/>
      <c r="M395" s="272"/>
      <c r="N395" s="272"/>
      <c r="P395" s="273"/>
      <c r="Q395" s="273"/>
      <c r="R395" s="273"/>
      <c r="S395" s="273"/>
      <c r="T395" s="272"/>
      <c r="U395" s="272"/>
      <c r="V395" s="272"/>
      <c r="W395" s="272"/>
      <c r="X395" s="272"/>
      <c r="Y395" s="272"/>
      <c r="Z395" s="272"/>
      <c r="AA395" s="272"/>
      <c r="AB395" s="272"/>
      <c r="AC395" s="272"/>
      <c r="AD395" s="272"/>
      <c r="AE395" s="272"/>
      <c r="AF395" s="272"/>
    </row>
    <row r="396" spans="2:32">
      <c r="B396" s="534"/>
      <c r="C396" s="535" t="s">
        <v>66</v>
      </c>
      <c r="D396" s="535" t="s">
        <v>59</v>
      </c>
      <c r="E396" s="535"/>
      <c r="F396" s="535"/>
      <c r="G396" s="536">
        <v>0.01</v>
      </c>
      <c r="H396" s="536"/>
      <c r="I396" s="537">
        <v>0.4</v>
      </c>
      <c r="J396" s="595"/>
      <c r="K396" s="538">
        <v>124</v>
      </c>
      <c r="L396" s="272"/>
      <c r="M396" s="272"/>
      <c r="N396" s="272"/>
      <c r="P396" s="273"/>
      <c r="Q396" s="273"/>
      <c r="R396" s="273"/>
      <c r="S396" s="273"/>
      <c r="T396" s="272"/>
      <c r="U396" s="272"/>
      <c r="V396" s="272"/>
      <c r="W396" s="272"/>
      <c r="X396" s="272"/>
      <c r="Y396" s="272"/>
      <c r="Z396" s="272"/>
      <c r="AA396" s="272"/>
      <c r="AB396" s="272"/>
      <c r="AC396" s="272"/>
      <c r="AD396" s="272"/>
      <c r="AE396" s="272"/>
      <c r="AF396" s="272"/>
    </row>
    <row r="397" spans="2:32">
      <c r="B397" s="517"/>
      <c r="C397" s="518" t="s">
        <v>66</v>
      </c>
      <c r="D397" s="518" t="s">
        <v>55</v>
      </c>
      <c r="E397" s="518"/>
      <c r="F397" s="518"/>
      <c r="G397" s="525">
        <v>0.01</v>
      </c>
      <c r="H397" s="525"/>
      <c r="I397" s="527">
        <v>0.4</v>
      </c>
      <c r="J397" s="594"/>
      <c r="K397" s="519">
        <v>125</v>
      </c>
      <c r="L397" s="272"/>
      <c r="M397" s="272"/>
      <c r="N397" s="272"/>
      <c r="P397" s="273"/>
      <c r="Q397" s="273"/>
      <c r="R397" s="273"/>
      <c r="S397" s="273"/>
      <c r="T397" s="272"/>
      <c r="U397" s="272"/>
      <c r="V397" s="272"/>
      <c r="W397" s="272"/>
      <c r="X397" s="272"/>
      <c r="Y397" s="272"/>
      <c r="Z397" s="272"/>
      <c r="AA397" s="272"/>
      <c r="AB397" s="272"/>
      <c r="AC397" s="272"/>
      <c r="AD397" s="272"/>
      <c r="AE397" s="272"/>
      <c r="AF397" s="272"/>
    </row>
    <row r="398" spans="2:32">
      <c r="B398" s="517"/>
      <c r="C398" s="518" t="s">
        <v>66</v>
      </c>
      <c r="D398" s="518" t="s">
        <v>57</v>
      </c>
      <c r="E398" s="518"/>
      <c r="F398" s="518"/>
      <c r="G398" s="525">
        <v>0.01</v>
      </c>
      <c r="H398" s="525"/>
      <c r="I398" s="527">
        <v>0.4</v>
      </c>
      <c r="J398" s="594"/>
      <c r="K398" s="519">
        <v>125</v>
      </c>
      <c r="L398" s="272"/>
      <c r="M398" s="272"/>
      <c r="N398" s="272"/>
      <c r="P398" s="273"/>
      <c r="Q398" s="273"/>
      <c r="R398" s="273"/>
      <c r="S398" s="273"/>
      <c r="T398" s="272"/>
      <c r="U398" s="272"/>
      <c r="V398" s="272"/>
      <c r="W398" s="272"/>
      <c r="X398" s="272"/>
      <c r="Y398" s="272"/>
      <c r="Z398" s="272"/>
      <c r="AA398" s="272"/>
      <c r="AB398" s="272"/>
      <c r="AC398" s="272"/>
      <c r="AD398" s="272"/>
      <c r="AE398" s="272"/>
      <c r="AF398" s="272"/>
    </row>
    <row r="399" spans="2:32" ht="12" thickBot="1">
      <c r="B399" s="520"/>
      <c r="C399" s="521" t="s">
        <v>66</v>
      </c>
      <c r="D399" s="521" t="s">
        <v>59</v>
      </c>
      <c r="E399" s="521"/>
      <c r="F399" s="521"/>
      <c r="G399" s="526">
        <v>0.01</v>
      </c>
      <c r="H399" s="526"/>
      <c r="I399" s="528">
        <v>0.4</v>
      </c>
      <c r="J399" s="603"/>
      <c r="K399" s="522">
        <v>125</v>
      </c>
      <c r="L399" s="272"/>
      <c r="M399" s="272"/>
      <c r="N399" s="272"/>
      <c r="P399" s="273"/>
      <c r="Q399" s="273"/>
      <c r="R399" s="273"/>
      <c r="S399" s="273"/>
      <c r="T399" s="272"/>
      <c r="U399" s="272"/>
      <c r="V399" s="272"/>
      <c r="W399" s="272"/>
      <c r="X399" s="272"/>
      <c r="Y399" s="272"/>
      <c r="Z399" s="272"/>
      <c r="AA399" s="272"/>
      <c r="AB399" s="272"/>
      <c r="AC399" s="272"/>
      <c r="AD399" s="272"/>
      <c r="AE399" s="272"/>
      <c r="AF399" s="272"/>
    </row>
    <row r="400" spans="2:32">
      <c r="D400" s="272"/>
      <c r="E400" s="272"/>
      <c r="F400" s="272"/>
      <c r="G400" s="272"/>
      <c r="H400" s="272"/>
      <c r="I400" s="272"/>
      <c r="J400" s="272"/>
      <c r="K400" s="272"/>
      <c r="L400" s="272"/>
      <c r="M400" s="272"/>
      <c r="N400" s="272"/>
      <c r="P400" s="273"/>
      <c r="Q400" s="273"/>
      <c r="R400" s="273"/>
      <c r="S400" s="273"/>
      <c r="T400" s="272"/>
      <c r="U400" s="272"/>
      <c r="V400" s="272"/>
      <c r="W400" s="272"/>
      <c r="X400" s="272"/>
      <c r="Y400" s="272"/>
      <c r="Z400" s="272"/>
      <c r="AA400" s="272"/>
      <c r="AB400" s="272"/>
      <c r="AC400" s="272"/>
      <c r="AD400" s="272"/>
      <c r="AE400" s="272"/>
      <c r="AF400" s="272"/>
    </row>
    <row r="401" spans="15:19" s="272" customFormat="1">
      <c r="O401" s="273"/>
      <c r="P401" s="273"/>
      <c r="Q401" s="273"/>
      <c r="R401" s="273"/>
      <c r="S401" s="273"/>
    </row>
    <row r="402" spans="15:19" s="272" customFormat="1">
      <c r="O402" s="273"/>
      <c r="P402" s="273"/>
      <c r="Q402" s="273"/>
      <c r="R402" s="273"/>
      <c r="S402" s="273"/>
    </row>
    <row r="403" spans="15:19" s="272" customFormat="1">
      <c r="O403" s="273"/>
      <c r="P403" s="273"/>
      <c r="Q403" s="273"/>
      <c r="R403" s="273"/>
      <c r="S403" s="273"/>
    </row>
    <row r="404" spans="15:19" s="272" customFormat="1">
      <c r="O404" s="273"/>
      <c r="P404" s="273"/>
      <c r="Q404" s="273"/>
      <c r="R404" s="273"/>
      <c r="S404" s="273"/>
    </row>
    <row r="405" spans="15:19" s="272" customFormat="1">
      <c r="O405" s="273"/>
      <c r="P405" s="273"/>
      <c r="Q405" s="273"/>
      <c r="R405" s="273"/>
      <c r="S405" s="273"/>
    </row>
    <row r="406" spans="15:19" s="272" customFormat="1">
      <c r="O406" s="273"/>
      <c r="P406" s="273"/>
      <c r="Q406" s="273"/>
      <c r="R406" s="273"/>
      <c r="S406" s="273"/>
    </row>
    <row r="407" spans="15:19" s="272" customFormat="1">
      <c r="O407" s="273"/>
      <c r="P407" s="273"/>
      <c r="Q407" s="273"/>
      <c r="R407" s="273"/>
      <c r="S407" s="273"/>
    </row>
    <row r="408" spans="15:19" s="272" customFormat="1">
      <c r="O408" s="273"/>
      <c r="P408" s="273"/>
      <c r="Q408" s="273"/>
      <c r="R408" s="273"/>
      <c r="S408" s="273"/>
    </row>
    <row r="409" spans="15:19" s="272" customFormat="1">
      <c r="O409" s="273"/>
      <c r="P409" s="273"/>
      <c r="Q409" s="273"/>
      <c r="R409" s="273"/>
      <c r="S409" s="273"/>
    </row>
    <row r="410" spans="15:19" s="272" customFormat="1">
      <c r="O410" s="273"/>
      <c r="P410" s="273"/>
      <c r="Q410" s="273"/>
      <c r="R410" s="273"/>
      <c r="S410" s="273"/>
    </row>
    <row r="411" spans="15:19" s="272" customFormat="1">
      <c r="O411" s="273"/>
      <c r="P411" s="273"/>
      <c r="Q411" s="273"/>
      <c r="R411" s="273"/>
      <c r="S411" s="273"/>
    </row>
    <row r="412" spans="15:19" s="272" customFormat="1">
      <c r="O412" s="273"/>
      <c r="P412" s="273"/>
      <c r="Q412" s="273"/>
      <c r="R412" s="273"/>
      <c r="S412" s="273"/>
    </row>
    <row r="413" spans="15:19" s="272" customFormat="1">
      <c r="O413" s="273"/>
      <c r="P413" s="273"/>
      <c r="Q413" s="273"/>
      <c r="R413" s="273"/>
      <c r="S413" s="273"/>
    </row>
    <row r="414" spans="15:19" s="272" customFormat="1">
      <c r="O414" s="273"/>
      <c r="P414" s="273"/>
      <c r="Q414" s="273"/>
      <c r="R414" s="273"/>
      <c r="S414" s="273"/>
    </row>
    <row r="415" spans="15:19" s="272" customFormat="1">
      <c r="O415" s="273"/>
      <c r="P415" s="273"/>
      <c r="Q415" s="273"/>
      <c r="R415" s="273"/>
      <c r="S415" s="273"/>
    </row>
    <row r="416" spans="15:19" s="272" customFormat="1">
      <c r="O416" s="273"/>
      <c r="P416" s="273"/>
      <c r="Q416" s="273"/>
      <c r="R416" s="273"/>
      <c r="S416" s="273"/>
    </row>
    <row r="417" spans="15:19" s="272" customFormat="1">
      <c r="O417" s="273"/>
      <c r="P417" s="273"/>
      <c r="Q417" s="273"/>
      <c r="R417" s="273"/>
      <c r="S417" s="273"/>
    </row>
    <row r="418" spans="15:19" s="272" customFormat="1">
      <c r="O418" s="273"/>
      <c r="P418" s="273"/>
      <c r="Q418" s="273"/>
      <c r="R418" s="273"/>
      <c r="S418" s="273"/>
    </row>
    <row r="419" spans="15:19" s="272" customFormat="1">
      <c r="O419" s="273"/>
      <c r="P419" s="273"/>
      <c r="Q419" s="273"/>
      <c r="R419" s="273"/>
      <c r="S419" s="273"/>
    </row>
    <row r="420" spans="15:19" s="272" customFormat="1">
      <c r="O420" s="273"/>
      <c r="P420" s="273"/>
      <c r="Q420" s="273"/>
      <c r="R420" s="273"/>
      <c r="S420" s="273"/>
    </row>
    <row r="421" spans="15:19" s="272" customFormat="1">
      <c r="O421" s="273"/>
      <c r="P421" s="273"/>
      <c r="Q421" s="273"/>
      <c r="R421" s="273"/>
      <c r="S421" s="273"/>
    </row>
    <row r="422" spans="15:19" s="272" customFormat="1">
      <c r="O422" s="273"/>
      <c r="P422" s="273"/>
      <c r="Q422" s="273"/>
      <c r="R422" s="273"/>
      <c r="S422" s="273"/>
    </row>
    <row r="423" spans="15:19" s="272" customFormat="1">
      <c r="O423" s="273"/>
      <c r="P423" s="273"/>
      <c r="Q423" s="273"/>
      <c r="R423" s="273"/>
      <c r="S423" s="273"/>
    </row>
    <row r="424" spans="15:19" s="272" customFormat="1">
      <c r="O424" s="273"/>
      <c r="P424" s="273"/>
      <c r="Q424" s="273"/>
      <c r="R424" s="273"/>
      <c r="S424" s="273"/>
    </row>
    <row r="425" spans="15:19" s="272" customFormat="1">
      <c r="O425" s="273"/>
      <c r="P425" s="273"/>
      <c r="Q425" s="273"/>
      <c r="R425" s="273"/>
      <c r="S425" s="273"/>
    </row>
    <row r="426" spans="15:19" s="272" customFormat="1">
      <c r="O426" s="273"/>
      <c r="P426" s="273"/>
      <c r="Q426" s="273"/>
      <c r="R426" s="273"/>
      <c r="S426" s="273"/>
    </row>
    <row r="427" spans="15:19" s="272" customFormat="1">
      <c r="O427" s="273"/>
      <c r="P427" s="273"/>
      <c r="Q427" s="273"/>
      <c r="R427" s="273"/>
      <c r="S427" s="273"/>
    </row>
    <row r="428" spans="15:19" s="272" customFormat="1">
      <c r="O428" s="273"/>
      <c r="P428" s="273"/>
      <c r="Q428" s="273"/>
      <c r="R428" s="273"/>
      <c r="S428" s="273"/>
    </row>
    <row r="429" spans="15:19" s="272" customFormat="1">
      <c r="O429" s="273"/>
      <c r="P429" s="273"/>
      <c r="Q429" s="273"/>
      <c r="R429" s="273"/>
      <c r="S429" s="273"/>
    </row>
    <row r="430" spans="15:19" s="272" customFormat="1">
      <c r="O430" s="273"/>
      <c r="P430" s="273"/>
      <c r="Q430" s="273"/>
      <c r="R430" s="273"/>
      <c r="S430" s="273"/>
    </row>
    <row r="431" spans="15:19" s="272" customFormat="1">
      <c r="O431" s="273"/>
      <c r="P431" s="273"/>
      <c r="Q431" s="273"/>
      <c r="R431" s="273"/>
      <c r="S431" s="273"/>
    </row>
    <row r="432" spans="15:19" s="272" customFormat="1">
      <c r="O432" s="273"/>
      <c r="P432" s="273"/>
      <c r="Q432" s="273"/>
      <c r="R432" s="273"/>
      <c r="S432" s="273"/>
    </row>
    <row r="433" spans="15:19" s="272" customFormat="1">
      <c r="O433" s="273"/>
      <c r="P433" s="273"/>
      <c r="Q433" s="273"/>
      <c r="R433" s="273"/>
      <c r="S433" s="273"/>
    </row>
    <row r="434" spans="15:19" s="272" customFormat="1">
      <c r="O434" s="273"/>
      <c r="P434" s="273"/>
      <c r="Q434" s="273"/>
      <c r="R434" s="273"/>
      <c r="S434" s="273"/>
    </row>
    <row r="435" spans="15:19" s="272" customFormat="1">
      <c r="O435" s="273"/>
      <c r="P435" s="273"/>
      <c r="Q435" s="273"/>
      <c r="R435" s="273"/>
      <c r="S435" s="273"/>
    </row>
    <row r="436" spans="15:19" s="272" customFormat="1">
      <c r="O436" s="273"/>
      <c r="P436" s="273"/>
      <c r="Q436" s="273"/>
      <c r="R436" s="273"/>
      <c r="S436" s="273"/>
    </row>
    <row r="437" spans="15:19" s="272" customFormat="1">
      <c r="O437" s="273"/>
      <c r="P437" s="273"/>
      <c r="Q437" s="273"/>
      <c r="R437" s="273"/>
      <c r="S437" s="273"/>
    </row>
    <row r="438" spans="15:19" s="272" customFormat="1">
      <c r="O438" s="273"/>
      <c r="P438" s="273"/>
      <c r="Q438" s="273"/>
      <c r="R438" s="273"/>
      <c r="S438" s="273"/>
    </row>
    <row r="439" spans="15:19" s="272" customFormat="1">
      <c r="O439" s="273"/>
      <c r="P439" s="273"/>
      <c r="Q439" s="273"/>
      <c r="R439" s="273"/>
      <c r="S439" s="273"/>
    </row>
    <row r="440" spans="15:19" s="272" customFormat="1">
      <c r="O440" s="273"/>
      <c r="P440" s="273"/>
      <c r="Q440" s="273"/>
      <c r="R440" s="273"/>
      <c r="S440" s="273"/>
    </row>
    <row r="441" spans="15:19" s="272" customFormat="1">
      <c r="O441" s="273"/>
      <c r="P441" s="273"/>
      <c r="Q441" s="273"/>
      <c r="R441" s="273"/>
      <c r="S441" s="273"/>
    </row>
    <row r="442" spans="15:19" s="272" customFormat="1">
      <c r="O442" s="273"/>
      <c r="P442" s="273"/>
      <c r="Q442" s="273"/>
      <c r="R442" s="273"/>
      <c r="S442" s="273"/>
    </row>
    <row r="443" spans="15:19" s="272" customFormat="1">
      <c r="O443" s="273"/>
      <c r="P443" s="273"/>
      <c r="Q443" s="273"/>
      <c r="R443" s="273"/>
      <c r="S443" s="273"/>
    </row>
    <row r="444" spans="15:19" s="272" customFormat="1">
      <c r="O444" s="273"/>
      <c r="P444" s="273"/>
      <c r="Q444" s="273"/>
      <c r="R444" s="273"/>
      <c r="S444" s="273"/>
    </row>
    <row r="445" spans="15:19" s="272" customFormat="1">
      <c r="O445" s="273"/>
      <c r="P445" s="273"/>
      <c r="Q445" s="273"/>
      <c r="R445" s="273"/>
      <c r="S445" s="273"/>
    </row>
    <row r="446" spans="15:19" s="272" customFormat="1">
      <c r="O446" s="273"/>
      <c r="P446" s="273"/>
      <c r="Q446" s="273"/>
      <c r="R446" s="273"/>
      <c r="S446" s="273"/>
    </row>
    <row r="447" spans="15:19" s="272" customFormat="1">
      <c r="O447" s="273"/>
      <c r="P447" s="273"/>
      <c r="Q447" s="273"/>
      <c r="R447" s="273"/>
      <c r="S447" s="273"/>
    </row>
    <row r="448" spans="15:19" s="272" customFormat="1">
      <c r="O448" s="273"/>
      <c r="P448" s="273"/>
      <c r="Q448" s="273"/>
      <c r="R448" s="273"/>
      <c r="S448" s="273"/>
    </row>
    <row r="449" spans="15:19" s="272" customFormat="1">
      <c r="O449" s="273"/>
      <c r="P449" s="273"/>
      <c r="Q449" s="273"/>
      <c r="R449" s="273"/>
      <c r="S449" s="273"/>
    </row>
    <row r="450" spans="15:19" s="272" customFormat="1">
      <c r="O450" s="273"/>
      <c r="P450" s="273"/>
      <c r="Q450" s="273"/>
      <c r="R450" s="273"/>
      <c r="S450" s="273"/>
    </row>
    <row r="451" spans="15:19" s="272" customFormat="1">
      <c r="O451" s="273"/>
      <c r="P451" s="273"/>
      <c r="Q451" s="273"/>
      <c r="R451" s="273"/>
      <c r="S451" s="273"/>
    </row>
    <row r="452" spans="15:19" s="272" customFormat="1">
      <c r="O452" s="273"/>
      <c r="P452" s="273"/>
      <c r="Q452" s="273"/>
      <c r="R452" s="273"/>
      <c r="S452" s="273"/>
    </row>
    <row r="453" spans="15:19" s="272" customFormat="1">
      <c r="O453" s="273"/>
      <c r="P453" s="273"/>
      <c r="Q453" s="273"/>
      <c r="R453" s="273"/>
      <c r="S453" s="273"/>
    </row>
    <row r="454" spans="15:19" s="272" customFormat="1">
      <c r="O454" s="273"/>
      <c r="P454" s="273"/>
      <c r="Q454" s="273"/>
      <c r="R454" s="273"/>
      <c r="S454" s="273"/>
    </row>
    <row r="455" spans="15:19" s="272" customFormat="1">
      <c r="O455" s="273"/>
      <c r="P455" s="273"/>
      <c r="Q455" s="273"/>
      <c r="R455" s="273"/>
      <c r="S455" s="273"/>
    </row>
    <row r="456" spans="15:19" s="272" customFormat="1">
      <c r="O456" s="273"/>
      <c r="P456" s="273"/>
      <c r="Q456" s="273"/>
      <c r="R456" s="273"/>
      <c r="S456" s="273"/>
    </row>
    <row r="457" spans="15:19" s="272" customFormat="1">
      <c r="O457" s="273"/>
      <c r="P457" s="273"/>
      <c r="Q457" s="273"/>
      <c r="R457" s="273"/>
      <c r="S457" s="273"/>
    </row>
    <row r="458" spans="15:19" s="272" customFormat="1">
      <c r="O458" s="273"/>
      <c r="P458" s="273"/>
      <c r="Q458" s="273"/>
      <c r="R458" s="273"/>
      <c r="S458" s="273"/>
    </row>
    <row r="459" spans="15:19" s="272" customFormat="1">
      <c r="O459" s="273"/>
      <c r="P459" s="273"/>
      <c r="Q459" s="273"/>
      <c r="R459" s="273"/>
      <c r="S459" s="273"/>
    </row>
    <row r="460" spans="15:19" s="272" customFormat="1">
      <c r="O460" s="273"/>
      <c r="P460" s="273"/>
      <c r="Q460" s="273"/>
      <c r="R460" s="273"/>
      <c r="S460" s="273"/>
    </row>
    <row r="461" spans="15:19" s="272" customFormat="1">
      <c r="O461" s="273"/>
      <c r="P461" s="273"/>
      <c r="Q461" s="273"/>
      <c r="R461" s="273"/>
      <c r="S461" s="273"/>
    </row>
    <row r="462" spans="15:19" s="272" customFormat="1">
      <c r="O462" s="273"/>
      <c r="P462" s="273"/>
      <c r="Q462" s="273"/>
      <c r="R462" s="273"/>
      <c r="S462" s="273"/>
    </row>
    <row r="463" spans="15:19" s="272" customFormat="1">
      <c r="O463" s="273"/>
      <c r="P463" s="273"/>
      <c r="Q463" s="273"/>
      <c r="R463" s="273"/>
      <c r="S463" s="273"/>
    </row>
    <row r="464" spans="15:19" s="272" customFormat="1">
      <c r="O464" s="273"/>
      <c r="P464" s="273"/>
      <c r="Q464" s="273"/>
      <c r="R464" s="273"/>
      <c r="S464" s="273"/>
    </row>
    <row r="465" spans="15:19" s="272" customFormat="1">
      <c r="O465" s="273"/>
      <c r="P465" s="273"/>
      <c r="Q465" s="273"/>
      <c r="R465" s="273"/>
      <c r="S465" s="273"/>
    </row>
    <row r="466" spans="15:19" s="272" customFormat="1">
      <c r="O466" s="273"/>
      <c r="P466" s="273"/>
      <c r="Q466" s="273"/>
      <c r="R466" s="273"/>
      <c r="S466" s="273"/>
    </row>
    <row r="467" spans="15:19" s="272" customFormat="1">
      <c r="O467" s="273"/>
      <c r="P467" s="273"/>
      <c r="Q467" s="273"/>
      <c r="R467" s="273"/>
      <c r="S467" s="273"/>
    </row>
    <row r="468" spans="15:19" s="272" customFormat="1">
      <c r="O468" s="273"/>
      <c r="P468" s="273"/>
      <c r="Q468" s="273"/>
      <c r="R468" s="273"/>
      <c r="S468" s="273"/>
    </row>
    <row r="469" spans="15:19" s="272" customFormat="1">
      <c r="O469" s="273"/>
      <c r="P469" s="273"/>
      <c r="Q469" s="273"/>
      <c r="R469" s="273"/>
      <c r="S469" s="273"/>
    </row>
    <row r="470" spans="15:19" s="272" customFormat="1">
      <c r="O470" s="273"/>
      <c r="P470" s="273"/>
      <c r="Q470" s="273"/>
      <c r="R470" s="273"/>
      <c r="S470" s="273"/>
    </row>
    <row r="471" spans="15:19" s="272" customFormat="1">
      <c r="O471" s="273"/>
      <c r="P471" s="273"/>
      <c r="Q471" s="273"/>
      <c r="R471" s="273"/>
      <c r="S471" s="273"/>
    </row>
    <row r="472" spans="15:19" s="272" customFormat="1">
      <c r="O472" s="273"/>
      <c r="P472" s="273"/>
      <c r="Q472" s="273"/>
      <c r="R472" s="273"/>
      <c r="S472" s="273"/>
    </row>
    <row r="473" spans="15:19" s="272" customFormat="1">
      <c r="O473" s="273"/>
      <c r="P473" s="273"/>
      <c r="Q473" s="273"/>
      <c r="R473" s="273"/>
      <c r="S473" s="273"/>
    </row>
    <row r="474" spans="15:19" s="272" customFormat="1">
      <c r="O474" s="273"/>
      <c r="P474" s="273"/>
      <c r="Q474" s="273"/>
      <c r="R474" s="273"/>
      <c r="S474" s="273"/>
    </row>
    <row r="475" spans="15:19" s="272" customFormat="1">
      <c r="O475" s="273"/>
      <c r="P475" s="273"/>
      <c r="Q475" s="273"/>
      <c r="R475" s="273"/>
      <c r="S475" s="273"/>
    </row>
    <row r="476" spans="15:19" s="272" customFormat="1">
      <c r="O476" s="273"/>
      <c r="P476" s="273"/>
      <c r="Q476" s="273"/>
      <c r="R476" s="273"/>
      <c r="S476" s="273"/>
    </row>
    <row r="477" spans="15:19" s="272" customFormat="1">
      <c r="O477" s="273"/>
      <c r="P477" s="273"/>
      <c r="Q477" s="273"/>
      <c r="R477" s="273"/>
      <c r="S477" s="273"/>
    </row>
    <row r="478" spans="15:19" s="272" customFormat="1">
      <c r="O478" s="273"/>
      <c r="P478" s="273"/>
      <c r="Q478" s="273"/>
      <c r="R478" s="273"/>
      <c r="S478" s="273"/>
    </row>
    <row r="479" spans="15:19" s="272" customFormat="1">
      <c r="O479" s="273"/>
      <c r="P479" s="273"/>
      <c r="Q479" s="273"/>
      <c r="R479" s="273"/>
      <c r="S479" s="273"/>
    </row>
    <row r="480" spans="15:19" s="272" customFormat="1">
      <c r="O480" s="273"/>
      <c r="P480" s="273"/>
      <c r="Q480" s="273"/>
      <c r="R480" s="273"/>
      <c r="S480" s="273"/>
    </row>
    <row r="481" spans="15:19" s="272" customFormat="1">
      <c r="O481" s="273"/>
      <c r="P481" s="273"/>
      <c r="Q481" s="273"/>
      <c r="R481" s="273"/>
      <c r="S481" s="273"/>
    </row>
    <row r="482" spans="15:19" s="272" customFormat="1">
      <c r="O482" s="273"/>
      <c r="P482" s="273"/>
      <c r="Q482" s="273"/>
      <c r="R482" s="273"/>
      <c r="S482" s="273"/>
    </row>
    <row r="483" spans="15:19" s="272" customFormat="1">
      <c r="O483" s="273"/>
      <c r="P483" s="273"/>
      <c r="Q483" s="273"/>
      <c r="R483" s="273"/>
      <c r="S483" s="273"/>
    </row>
    <row r="484" spans="15:19" s="272" customFormat="1">
      <c r="O484" s="273"/>
      <c r="P484" s="273"/>
      <c r="Q484" s="273"/>
      <c r="R484" s="273"/>
      <c r="S484" s="273"/>
    </row>
    <row r="485" spans="15:19" s="272" customFormat="1">
      <c r="O485" s="273"/>
      <c r="P485" s="273"/>
      <c r="Q485" s="273"/>
      <c r="R485" s="273"/>
      <c r="S485" s="273"/>
    </row>
    <row r="486" spans="15:19" s="272" customFormat="1">
      <c r="O486" s="273"/>
      <c r="P486" s="273"/>
      <c r="Q486" s="273"/>
      <c r="R486" s="273"/>
      <c r="S486" s="273"/>
    </row>
    <row r="487" spans="15:19" s="272" customFormat="1">
      <c r="O487" s="273"/>
      <c r="P487" s="273"/>
      <c r="Q487" s="273"/>
      <c r="R487" s="273"/>
      <c r="S487" s="273"/>
    </row>
    <row r="488" spans="15:19" s="272" customFormat="1">
      <c r="O488" s="273"/>
      <c r="P488" s="273"/>
      <c r="Q488" s="273"/>
      <c r="R488" s="273"/>
      <c r="S488" s="273"/>
    </row>
    <row r="489" spans="15:19" s="272" customFormat="1">
      <c r="O489" s="273"/>
      <c r="P489" s="273"/>
      <c r="Q489" s="273"/>
      <c r="R489" s="273"/>
      <c r="S489" s="273"/>
    </row>
    <row r="490" spans="15:19" s="272" customFormat="1">
      <c r="O490" s="273"/>
      <c r="P490" s="273"/>
      <c r="Q490" s="273"/>
      <c r="R490" s="273"/>
      <c r="S490" s="273"/>
    </row>
    <row r="491" spans="15:19" s="272" customFormat="1">
      <c r="O491" s="273"/>
      <c r="P491" s="273"/>
      <c r="Q491" s="273"/>
      <c r="R491" s="273"/>
      <c r="S491" s="273"/>
    </row>
    <row r="492" spans="15:19" s="272" customFormat="1">
      <c r="O492" s="273"/>
      <c r="P492" s="273"/>
      <c r="Q492" s="273"/>
      <c r="R492" s="273"/>
      <c r="S492" s="273"/>
    </row>
    <row r="493" spans="15:19" s="272" customFormat="1">
      <c r="O493" s="273"/>
      <c r="P493" s="273"/>
      <c r="Q493" s="273"/>
      <c r="R493" s="273"/>
      <c r="S493" s="273"/>
    </row>
    <row r="494" spans="15:19" s="272" customFormat="1">
      <c r="O494" s="273"/>
      <c r="P494" s="273"/>
      <c r="Q494" s="273"/>
      <c r="R494" s="273"/>
      <c r="S494" s="273"/>
    </row>
    <row r="495" spans="15:19" s="272" customFormat="1">
      <c r="O495" s="273"/>
      <c r="P495" s="273"/>
      <c r="Q495" s="273"/>
      <c r="R495" s="273"/>
      <c r="S495" s="273"/>
    </row>
    <row r="496" spans="15:19" s="272" customFormat="1">
      <c r="O496" s="273"/>
      <c r="P496" s="273"/>
      <c r="Q496" s="273"/>
      <c r="R496" s="273"/>
      <c r="S496" s="273"/>
    </row>
    <row r="497" spans="15:19" s="272" customFormat="1">
      <c r="O497" s="273"/>
      <c r="P497" s="273"/>
      <c r="Q497" s="273"/>
      <c r="R497" s="273"/>
      <c r="S497" s="273"/>
    </row>
    <row r="498" spans="15:19" s="272" customFormat="1">
      <c r="O498" s="273"/>
      <c r="P498" s="273"/>
      <c r="Q498" s="273"/>
      <c r="R498" s="273"/>
      <c r="S498" s="273"/>
    </row>
    <row r="499" spans="15:19" s="272" customFormat="1">
      <c r="O499" s="273"/>
      <c r="P499" s="273"/>
      <c r="Q499" s="273"/>
      <c r="R499" s="273"/>
      <c r="S499" s="273"/>
    </row>
    <row r="500" spans="15:19" s="272" customFormat="1">
      <c r="O500" s="273"/>
      <c r="P500" s="273"/>
      <c r="Q500" s="273"/>
      <c r="R500" s="273"/>
      <c r="S500" s="273"/>
    </row>
    <row r="501" spans="15:19" s="272" customFormat="1">
      <c r="O501" s="273"/>
      <c r="P501" s="273"/>
      <c r="Q501" s="273"/>
      <c r="R501" s="273"/>
      <c r="S501" s="273"/>
    </row>
    <row r="502" spans="15:19" s="272" customFormat="1">
      <c r="O502" s="273"/>
      <c r="P502" s="273"/>
      <c r="Q502" s="273"/>
      <c r="R502" s="273"/>
      <c r="S502" s="273"/>
    </row>
    <row r="503" spans="15:19" s="272" customFormat="1">
      <c r="O503" s="273"/>
      <c r="P503" s="273"/>
      <c r="Q503" s="273"/>
      <c r="R503" s="273"/>
      <c r="S503" s="273"/>
    </row>
    <row r="504" spans="15:19" s="272" customFormat="1">
      <c r="O504" s="273"/>
      <c r="P504" s="273"/>
      <c r="Q504" s="273"/>
      <c r="R504" s="273"/>
      <c r="S504" s="273"/>
    </row>
    <row r="505" spans="15:19" s="272" customFormat="1">
      <c r="O505" s="273"/>
      <c r="P505" s="273"/>
      <c r="Q505" s="273"/>
      <c r="R505" s="273"/>
      <c r="S505" s="273"/>
    </row>
    <row r="506" spans="15:19" s="272" customFormat="1">
      <c r="O506" s="273"/>
      <c r="P506" s="273"/>
      <c r="Q506" s="273"/>
      <c r="R506" s="273"/>
      <c r="S506" s="273"/>
    </row>
    <row r="507" spans="15:19" s="272" customFormat="1">
      <c r="O507" s="273"/>
      <c r="P507" s="273"/>
      <c r="Q507" s="273"/>
      <c r="R507" s="273"/>
      <c r="S507" s="273"/>
    </row>
    <row r="508" spans="15:19" s="272" customFormat="1">
      <c r="O508" s="273"/>
      <c r="P508" s="273"/>
      <c r="Q508" s="273"/>
      <c r="R508" s="273"/>
      <c r="S508" s="273"/>
    </row>
    <row r="509" spans="15:19" s="272" customFormat="1">
      <c r="O509" s="273"/>
      <c r="P509" s="273"/>
      <c r="Q509" s="273"/>
      <c r="R509" s="273"/>
      <c r="S509" s="273"/>
    </row>
    <row r="510" spans="15:19" s="272" customFormat="1">
      <c r="O510" s="273"/>
      <c r="P510" s="273"/>
      <c r="Q510" s="273"/>
      <c r="R510" s="273"/>
      <c r="S510" s="273"/>
    </row>
    <row r="511" spans="15:19" s="272" customFormat="1">
      <c r="O511" s="273"/>
      <c r="P511" s="273"/>
      <c r="Q511" s="273"/>
      <c r="R511" s="273"/>
      <c r="S511" s="273"/>
    </row>
    <row r="512" spans="15:19" s="272" customFormat="1">
      <c r="O512" s="273"/>
      <c r="P512" s="273"/>
      <c r="Q512" s="273"/>
      <c r="R512" s="273"/>
      <c r="S512" s="273"/>
    </row>
    <row r="513" spans="15:19" s="272" customFormat="1">
      <c r="O513" s="273"/>
      <c r="P513" s="273"/>
      <c r="Q513" s="273"/>
      <c r="R513" s="273"/>
      <c r="S513" s="273"/>
    </row>
    <row r="514" spans="15:19" s="272" customFormat="1">
      <c r="O514" s="273"/>
      <c r="P514" s="273"/>
      <c r="Q514" s="273"/>
      <c r="R514" s="273"/>
      <c r="S514" s="273"/>
    </row>
    <row r="515" spans="15:19" s="272" customFormat="1">
      <c r="P515" s="273"/>
      <c r="Q515" s="273"/>
      <c r="R515" s="273"/>
      <c r="S515" s="273"/>
    </row>
    <row r="516" spans="15:19" s="272" customFormat="1">
      <c r="P516" s="273"/>
      <c r="Q516" s="273"/>
      <c r="R516" s="273"/>
      <c r="S516" s="273"/>
    </row>
    <row r="517" spans="15:19" s="272" customFormat="1">
      <c r="P517" s="273"/>
      <c r="Q517" s="273"/>
      <c r="R517" s="273"/>
      <c r="S517" s="273"/>
    </row>
    <row r="518" spans="15:19" s="272" customFormat="1">
      <c r="P518" s="273"/>
      <c r="Q518" s="273"/>
      <c r="R518" s="273"/>
      <c r="S518" s="273"/>
    </row>
    <row r="519" spans="15:19" s="272" customFormat="1">
      <c r="P519" s="273"/>
      <c r="Q519" s="273"/>
      <c r="R519" s="273"/>
      <c r="S519" s="273"/>
    </row>
    <row r="520" spans="15:19" s="272" customFormat="1">
      <c r="P520" s="273"/>
      <c r="Q520" s="273"/>
      <c r="R520" s="273"/>
      <c r="S520" s="273"/>
    </row>
    <row r="521" spans="15:19" s="272" customFormat="1">
      <c r="P521" s="273"/>
      <c r="Q521" s="273"/>
      <c r="R521" s="273"/>
      <c r="S521" s="273"/>
    </row>
    <row r="522" spans="15:19" s="272" customFormat="1">
      <c r="P522" s="273"/>
      <c r="Q522" s="273"/>
      <c r="R522" s="273"/>
      <c r="S522" s="273"/>
    </row>
    <row r="523" spans="15:19" s="272" customFormat="1">
      <c r="P523" s="273"/>
      <c r="Q523" s="273"/>
      <c r="R523" s="273"/>
      <c r="S523" s="273"/>
    </row>
    <row r="524" spans="15:19" s="272" customFormat="1">
      <c r="P524" s="273"/>
      <c r="Q524" s="273"/>
      <c r="R524" s="273"/>
      <c r="S524" s="273"/>
    </row>
    <row r="525" spans="15:19" s="272" customFormat="1">
      <c r="P525" s="273"/>
      <c r="Q525" s="273"/>
      <c r="R525" s="273"/>
      <c r="S525" s="273"/>
    </row>
    <row r="526" spans="15:19" s="272" customFormat="1">
      <c r="P526" s="273"/>
      <c r="Q526" s="273"/>
      <c r="R526" s="273"/>
      <c r="S526" s="273"/>
    </row>
    <row r="527" spans="15:19" s="272" customFormat="1">
      <c r="P527" s="273"/>
      <c r="Q527" s="273"/>
      <c r="R527" s="273"/>
      <c r="S527" s="273"/>
    </row>
    <row r="528" spans="15:19" s="272" customFormat="1">
      <c r="P528" s="273"/>
      <c r="Q528" s="273"/>
      <c r="R528" s="273"/>
      <c r="S528" s="273"/>
    </row>
    <row r="529" spans="16:19" s="272" customFormat="1">
      <c r="P529" s="273"/>
      <c r="Q529" s="273"/>
      <c r="R529" s="273"/>
      <c r="S529" s="273"/>
    </row>
    <row r="530" spans="16:19" s="272" customFormat="1">
      <c r="P530" s="273"/>
      <c r="Q530" s="273"/>
      <c r="R530" s="273"/>
      <c r="S530" s="273"/>
    </row>
    <row r="531" spans="16:19" s="272" customFormat="1">
      <c r="P531" s="273"/>
      <c r="Q531" s="273"/>
      <c r="R531" s="273"/>
      <c r="S531" s="273"/>
    </row>
    <row r="532" spans="16:19" s="272" customFormat="1">
      <c r="P532" s="273"/>
      <c r="Q532" s="273"/>
      <c r="R532" s="273"/>
      <c r="S532" s="273"/>
    </row>
    <row r="533" spans="16:19" s="272" customFormat="1">
      <c r="P533" s="273"/>
      <c r="Q533" s="273"/>
      <c r="R533" s="273"/>
      <c r="S533" s="273"/>
    </row>
    <row r="534" spans="16:19" s="272" customFormat="1">
      <c r="P534" s="273"/>
      <c r="Q534" s="273"/>
      <c r="R534" s="273"/>
      <c r="S534" s="273"/>
    </row>
    <row r="535" spans="16:19" s="272" customFormat="1">
      <c r="P535" s="273"/>
      <c r="Q535" s="273"/>
      <c r="R535" s="273"/>
      <c r="S535" s="273"/>
    </row>
    <row r="536" spans="16:19" s="272" customFormat="1">
      <c r="P536" s="273"/>
      <c r="Q536" s="273"/>
      <c r="R536" s="273"/>
      <c r="S536" s="273"/>
    </row>
    <row r="537" spans="16:19" s="272" customFormat="1">
      <c r="P537" s="273"/>
      <c r="Q537" s="273"/>
      <c r="R537" s="273"/>
      <c r="S537" s="273"/>
    </row>
    <row r="538" spans="16:19" s="272" customFormat="1">
      <c r="P538" s="273"/>
      <c r="Q538" s="273"/>
      <c r="R538" s="273"/>
      <c r="S538" s="273"/>
    </row>
    <row r="539" spans="16:19" s="272" customFormat="1">
      <c r="P539" s="273"/>
      <c r="Q539" s="273"/>
      <c r="R539" s="273"/>
      <c r="S539" s="273"/>
    </row>
    <row r="540" spans="16:19" s="272" customFormat="1">
      <c r="P540" s="273"/>
      <c r="Q540" s="273"/>
      <c r="R540" s="273"/>
      <c r="S540" s="273"/>
    </row>
    <row r="541" spans="16:19" s="272" customFormat="1">
      <c r="P541" s="273"/>
      <c r="Q541" s="273"/>
      <c r="R541" s="273"/>
      <c r="S541" s="273"/>
    </row>
    <row r="542" spans="16:19" s="272" customFormat="1">
      <c r="P542" s="273"/>
      <c r="Q542" s="273"/>
      <c r="R542" s="273"/>
      <c r="S542" s="273"/>
    </row>
    <row r="543" spans="16:19" s="272" customFormat="1">
      <c r="P543" s="273"/>
      <c r="Q543" s="273"/>
      <c r="R543" s="273"/>
      <c r="S543" s="273"/>
    </row>
    <row r="544" spans="16:19" s="272" customFormat="1">
      <c r="P544" s="273"/>
      <c r="Q544" s="273"/>
      <c r="R544" s="273"/>
      <c r="S544" s="273"/>
    </row>
    <row r="545" spans="16:19" s="272" customFormat="1">
      <c r="P545" s="273"/>
      <c r="Q545" s="273"/>
      <c r="R545" s="273"/>
      <c r="S545" s="273"/>
    </row>
    <row r="546" spans="16:19" s="272" customFormat="1">
      <c r="P546" s="273"/>
      <c r="Q546" s="273"/>
      <c r="R546" s="273"/>
      <c r="S546" s="273"/>
    </row>
    <row r="547" spans="16:19" s="272" customFormat="1">
      <c r="P547" s="273"/>
      <c r="Q547" s="273"/>
      <c r="R547" s="273"/>
      <c r="S547" s="273"/>
    </row>
    <row r="548" spans="16:19" s="272" customFormat="1">
      <c r="P548" s="273"/>
      <c r="Q548" s="273"/>
      <c r="R548" s="273"/>
      <c r="S548" s="273"/>
    </row>
    <row r="549" spans="16:19" s="272" customFormat="1">
      <c r="P549" s="273"/>
      <c r="Q549" s="273"/>
      <c r="R549" s="273"/>
      <c r="S549" s="273"/>
    </row>
    <row r="550" spans="16:19" s="272" customFormat="1">
      <c r="P550" s="273"/>
      <c r="Q550" s="273"/>
      <c r="R550" s="273"/>
      <c r="S550" s="273"/>
    </row>
    <row r="551" spans="16:19" s="272" customFormat="1">
      <c r="P551" s="273"/>
      <c r="Q551" s="273"/>
      <c r="R551" s="273"/>
      <c r="S551" s="273"/>
    </row>
    <row r="552" spans="16:19" s="272" customFormat="1">
      <c r="P552" s="273"/>
      <c r="Q552" s="273"/>
      <c r="R552" s="273"/>
      <c r="S552" s="273"/>
    </row>
    <row r="553" spans="16:19" s="272" customFormat="1">
      <c r="P553" s="273"/>
      <c r="Q553" s="273"/>
      <c r="R553" s="273"/>
      <c r="S553" s="273"/>
    </row>
    <row r="554" spans="16:19" s="272" customFormat="1">
      <c r="P554" s="273"/>
      <c r="Q554" s="273"/>
      <c r="R554" s="273"/>
      <c r="S554" s="273"/>
    </row>
    <row r="555" spans="16:19" s="272" customFormat="1">
      <c r="P555" s="273"/>
      <c r="Q555" s="273"/>
      <c r="R555" s="273"/>
      <c r="S555" s="273"/>
    </row>
    <row r="556" spans="16:19" s="272" customFormat="1">
      <c r="P556" s="273"/>
      <c r="Q556" s="273"/>
      <c r="R556" s="273"/>
      <c r="S556" s="273"/>
    </row>
    <row r="557" spans="16:19" s="272" customFormat="1">
      <c r="P557" s="273"/>
      <c r="Q557" s="273"/>
      <c r="R557" s="273"/>
      <c r="S557" s="273"/>
    </row>
    <row r="558" spans="16:19" s="272" customFormat="1">
      <c r="P558" s="273"/>
      <c r="Q558" s="273"/>
      <c r="R558" s="273"/>
      <c r="S558" s="273"/>
    </row>
    <row r="559" spans="16:19" s="272" customFormat="1">
      <c r="P559" s="273"/>
      <c r="Q559" s="273"/>
      <c r="R559" s="273"/>
      <c r="S559" s="273"/>
    </row>
    <row r="560" spans="16:19" s="272" customFormat="1">
      <c r="P560" s="273"/>
      <c r="Q560" s="273"/>
      <c r="R560" s="273"/>
      <c r="S560" s="273"/>
    </row>
    <row r="561" spans="16:19" s="272" customFormat="1">
      <c r="P561" s="273"/>
      <c r="Q561" s="273"/>
      <c r="R561" s="273"/>
      <c r="S561" s="273"/>
    </row>
    <row r="562" spans="16:19" s="272" customFormat="1">
      <c r="P562" s="273"/>
      <c r="Q562" s="273"/>
      <c r="R562" s="273"/>
      <c r="S562" s="273"/>
    </row>
    <row r="563" spans="16:19" s="272" customFormat="1">
      <c r="P563" s="273"/>
      <c r="Q563" s="273"/>
      <c r="R563" s="273"/>
      <c r="S563" s="273"/>
    </row>
    <row r="564" spans="16:19" s="272" customFormat="1">
      <c r="P564" s="273"/>
      <c r="Q564" s="273"/>
      <c r="R564" s="273"/>
      <c r="S564" s="273"/>
    </row>
    <row r="565" spans="16:19" s="272" customFormat="1">
      <c r="P565" s="273"/>
      <c r="Q565" s="273"/>
      <c r="R565" s="273"/>
      <c r="S565" s="273"/>
    </row>
    <row r="566" spans="16:19" s="272" customFormat="1">
      <c r="P566" s="273"/>
      <c r="Q566" s="273"/>
      <c r="R566" s="273"/>
      <c r="S566" s="273"/>
    </row>
    <row r="567" spans="16:19" s="272" customFormat="1">
      <c r="P567" s="273"/>
      <c r="Q567" s="273"/>
      <c r="R567" s="273"/>
      <c r="S567" s="273"/>
    </row>
    <row r="568" spans="16:19" s="272" customFormat="1">
      <c r="P568" s="273"/>
      <c r="Q568" s="273"/>
      <c r="R568" s="273"/>
      <c r="S568" s="273"/>
    </row>
    <row r="569" spans="16:19" s="272" customFormat="1">
      <c r="P569" s="273"/>
      <c r="Q569" s="273"/>
      <c r="R569" s="273"/>
      <c r="S569" s="273"/>
    </row>
    <row r="570" spans="16:19" s="272" customFormat="1">
      <c r="P570" s="273"/>
      <c r="Q570" s="273"/>
      <c r="R570" s="273"/>
      <c r="S570" s="273"/>
    </row>
    <row r="571" spans="16:19" s="272" customFormat="1">
      <c r="P571" s="273"/>
      <c r="Q571" s="273"/>
      <c r="R571" s="273"/>
      <c r="S571" s="273"/>
    </row>
    <row r="572" spans="16:19" s="272" customFormat="1">
      <c r="P572" s="273"/>
      <c r="Q572" s="273"/>
      <c r="R572" s="273"/>
      <c r="S572" s="273"/>
    </row>
    <row r="573" spans="16:19" s="272" customFormat="1">
      <c r="P573" s="273"/>
      <c r="Q573" s="273"/>
      <c r="R573" s="273"/>
      <c r="S573" s="273"/>
    </row>
    <row r="574" spans="16:19" s="272" customFormat="1">
      <c r="P574" s="273"/>
      <c r="Q574" s="273"/>
      <c r="R574" s="273"/>
      <c r="S574" s="273"/>
    </row>
    <row r="575" spans="16:19" s="272" customFormat="1">
      <c r="P575" s="273"/>
      <c r="Q575" s="273"/>
      <c r="R575" s="273"/>
      <c r="S575" s="273"/>
    </row>
    <row r="576" spans="16:19" s="272" customFormat="1">
      <c r="P576" s="273"/>
      <c r="Q576" s="273"/>
      <c r="R576" s="273"/>
      <c r="S576" s="273"/>
    </row>
    <row r="577" spans="16:19" s="272" customFormat="1">
      <c r="P577" s="273"/>
      <c r="Q577" s="273"/>
      <c r="R577" s="273"/>
      <c r="S577" s="273"/>
    </row>
    <row r="578" spans="16:19" s="272" customFormat="1">
      <c r="P578" s="273"/>
      <c r="Q578" s="273"/>
      <c r="R578" s="273"/>
      <c r="S578" s="273"/>
    </row>
    <row r="579" spans="16:19" s="272" customFormat="1">
      <c r="P579" s="273"/>
      <c r="Q579" s="273"/>
      <c r="R579" s="273"/>
      <c r="S579" s="273"/>
    </row>
    <row r="580" spans="16:19" s="272" customFormat="1">
      <c r="P580" s="273"/>
      <c r="Q580" s="273"/>
      <c r="R580" s="273"/>
      <c r="S580" s="273"/>
    </row>
    <row r="581" spans="16:19" s="272" customFormat="1">
      <c r="P581" s="273"/>
      <c r="Q581" s="273"/>
      <c r="R581" s="273"/>
      <c r="S581" s="273"/>
    </row>
    <row r="582" spans="16:19" s="272" customFormat="1">
      <c r="P582" s="273"/>
      <c r="Q582" s="273"/>
      <c r="R582" s="273"/>
      <c r="S582" s="273"/>
    </row>
    <row r="583" spans="16:19" s="272" customFormat="1">
      <c r="P583" s="273"/>
      <c r="Q583" s="273"/>
      <c r="R583" s="273"/>
      <c r="S583" s="273"/>
    </row>
    <row r="584" spans="16:19" s="272" customFormat="1">
      <c r="P584" s="273"/>
      <c r="Q584" s="273"/>
      <c r="R584" s="273"/>
      <c r="S584" s="273"/>
    </row>
    <row r="585" spans="16:19" s="272" customFormat="1">
      <c r="P585" s="273"/>
      <c r="Q585" s="273"/>
      <c r="R585" s="273"/>
      <c r="S585" s="273"/>
    </row>
    <row r="586" spans="16:19" s="272" customFormat="1">
      <c r="P586" s="273"/>
      <c r="Q586" s="273"/>
      <c r="R586" s="273"/>
      <c r="S586" s="273"/>
    </row>
    <row r="587" spans="16:19" s="272" customFormat="1">
      <c r="P587" s="273"/>
      <c r="Q587" s="273"/>
      <c r="R587" s="273"/>
      <c r="S587" s="273"/>
    </row>
    <row r="588" spans="16:19" s="272" customFormat="1">
      <c r="P588" s="273"/>
      <c r="Q588" s="273"/>
      <c r="R588" s="273"/>
      <c r="S588" s="273"/>
    </row>
    <row r="589" spans="16:19" s="272" customFormat="1">
      <c r="P589" s="273"/>
      <c r="Q589" s="273"/>
      <c r="R589" s="273"/>
      <c r="S589" s="273"/>
    </row>
    <row r="590" spans="16:19" s="272" customFormat="1">
      <c r="P590" s="273"/>
      <c r="Q590" s="273"/>
      <c r="R590" s="273"/>
      <c r="S590" s="273"/>
    </row>
    <row r="591" spans="16:19" s="272" customFormat="1">
      <c r="P591" s="273"/>
      <c r="Q591" s="273"/>
      <c r="R591" s="273"/>
      <c r="S591" s="273"/>
    </row>
    <row r="592" spans="16:19" s="272" customFormat="1">
      <c r="P592" s="273"/>
      <c r="Q592" s="273"/>
      <c r="R592" s="273"/>
      <c r="S592" s="273"/>
    </row>
    <row r="593" spans="16:19" s="272" customFormat="1">
      <c r="P593" s="273"/>
      <c r="Q593" s="273"/>
      <c r="R593" s="273"/>
      <c r="S593" s="273"/>
    </row>
    <row r="594" spans="16:19" s="272" customFormat="1">
      <c r="P594" s="273"/>
      <c r="Q594" s="273"/>
      <c r="R594" s="273"/>
      <c r="S594" s="273"/>
    </row>
    <row r="595" spans="16:19" s="272" customFormat="1">
      <c r="P595" s="273"/>
      <c r="Q595" s="273"/>
      <c r="R595" s="273"/>
      <c r="S595" s="273"/>
    </row>
    <row r="596" spans="16:19" s="272" customFormat="1">
      <c r="P596" s="273"/>
      <c r="Q596" s="273"/>
      <c r="R596" s="273"/>
      <c r="S596" s="273"/>
    </row>
    <row r="597" spans="16:19" s="272" customFormat="1">
      <c r="P597" s="273"/>
      <c r="Q597" s="273"/>
      <c r="R597" s="273"/>
      <c r="S597" s="273"/>
    </row>
    <row r="598" spans="16:19" s="272" customFormat="1">
      <c r="P598" s="273"/>
      <c r="Q598" s="273"/>
      <c r="R598" s="273"/>
      <c r="S598" s="273"/>
    </row>
    <row r="599" spans="16:19" s="272" customFormat="1">
      <c r="P599" s="273"/>
      <c r="Q599" s="273"/>
      <c r="R599" s="273"/>
      <c r="S599" s="273"/>
    </row>
    <row r="600" spans="16:19" s="272" customFormat="1">
      <c r="P600" s="273"/>
      <c r="Q600" s="273"/>
      <c r="R600" s="273"/>
      <c r="S600" s="273"/>
    </row>
    <row r="601" spans="16:19" s="272" customFormat="1">
      <c r="P601" s="273"/>
      <c r="Q601" s="273"/>
      <c r="R601" s="273"/>
      <c r="S601" s="273"/>
    </row>
    <row r="602" spans="16:19" s="272" customFormat="1">
      <c r="P602" s="273"/>
      <c r="Q602" s="273"/>
      <c r="R602" s="273"/>
      <c r="S602" s="273"/>
    </row>
    <row r="603" spans="16:19" s="272" customFormat="1">
      <c r="P603" s="273"/>
      <c r="Q603" s="273"/>
      <c r="R603" s="273"/>
      <c r="S603" s="273"/>
    </row>
    <row r="604" spans="16:19" s="272" customFormat="1">
      <c r="P604" s="273"/>
      <c r="Q604" s="273"/>
      <c r="R604" s="273"/>
      <c r="S604" s="273"/>
    </row>
    <row r="605" spans="16:19" s="272" customFormat="1">
      <c r="P605" s="273"/>
      <c r="Q605" s="273"/>
      <c r="R605" s="273"/>
      <c r="S605" s="273"/>
    </row>
    <row r="606" spans="16:19" s="272" customFormat="1">
      <c r="P606" s="273"/>
      <c r="Q606" s="273"/>
      <c r="R606" s="273"/>
      <c r="S606" s="273"/>
    </row>
    <row r="607" spans="16:19" s="272" customFormat="1">
      <c r="P607" s="273"/>
      <c r="Q607" s="273"/>
      <c r="R607" s="273"/>
      <c r="S607" s="273"/>
    </row>
    <row r="608" spans="16:19" s="272" customFormat="1">
      <c r="P608" s="273"/>
      <c r="Q608" s="273"/>
      <c r="R608" s="273"/>
      <c r="S608" s="273"/>
    </row>
    <row r="609" spans="16:19" s="272" customFormat="1">
      <c r="P609" s="273"/>
      <c r="Q609" s="273"/>
      <c r="R609" s="273"/>
      <c r="S609" s="273"/>
    </row>
    <row r="610" spans="16:19" s="272" customFormat="1">
      <c r="P610" s="273"/>
      <c r="Q610" s="273"/>
      <c r="R610" s="273"/>
      <c r="S610" s="273"/>
    </row>
    <row r="611" spans="16:19" s="272" customFormat="1">
      <c r="P611" s="273"/>
      <c r="Q611" s="273"/>
      <c r="R611" s="273"/>
      <c r="S611" s="273"/>
    </row>
    <row r="612" spans="16:19" s="272" customFormat="1">
      <c r="P612" s="273"/>
      <c r="Q612" s="273"/>
      <c r="R612" s="273"/>
      <c r="S612" s="273"/>
    </row>
    <row r="613" spans="16:19" s="272" customFormat="1">
      <c r="P613" s="273"/>
      <c r="Q613" s="273"/>
      <c r="R613" s="273"/>
      <c r="S613" s="273"/>
    </row>
    <row r="614" spans="16:19" s="272" customFormat="1">
      <c r="P614" s="273"/>
      <c r="Q614" s="273"/>
      <c r="R614" s="273"/>
      <c r="S614" s="273"/>
    </row>
    <row r="615" spans="16:19" s="272" customFormat="1">
      <c r="P615" s="273"/>
      <c r="Q615" s="273"/>
      <c r="R615" s="273"/>
      <c r="S615" s="273"/>
    </row>
    <row r="616" spans="16:19" s="272" customFormat="1">
      <c r="P616" s="273"/>
      <c r="Q616" s="273"/>
      <c r="R616" s="273"/>
      <c r="S616" s="273"/>
    </row>
    <row r="617" spans="16:19" s="272" customFormat="1">
      <c r="P617" s="273"/>
      <c r="Q617" s="273"/>
      <c r="R617" s="273"/>
      <c r="S617" s="273"/>
    </row>
    <row r="618" spans="16:19" s="272" customFormat="1">
      <c r="P618" s="273"/>
      <c r="Q618" s="273"/>
      <c r="R618" s="273"/>
      <c r="S618" s="273"/>
    </row>
    <row r="619" spans="16:19" s="272" customFormat="1">
      <c r="P619" s="273"/>
      <c r="Q619" s="273"/>
      <c r="R619" s="273"/>
      <c r="S619" s="273"/>
    </row>
    <row r="620" spans="16:19" s="272" customFormat="1">
      <c r="P620" s="273"/>
      <c r="Q620" s="273"/>
      <c r="R620" s="273"/>
      <c r="S620" s="273"/>
    </row>
    <row r="621" spans="16:19" s="272" customFormat="1">
      <c r="P621" s="273"/>
      <c r="Q621" s="273"/>
      <c r="R621" s="273"/>
      <c r="S621" s="273"/>
    </row>
    <row r="622" spans="16:19" s="272" customFormat="1"/>
    <row r="623" spans="16:19" s="272" customFormat="1"/>
    <row r="624" spans="16:19" s="272" customFormat="1"/>
    <row r="625" s="272" customFormat="1"/>
    <row r="626" s="272" customFormat="1"/>
    <row r="627" s="272" customFormat="1"/>
    <row r="628" s="272" customFormat="1"/>
    <row r="629" s="272" customFormat="1"/>
    <row r="630" s="272" customFormat="1"/>
    <row r="631" s="272" customFormat="1"/>
    <row r="632" s="272" customFormat="1"/>
    <row r="633" s="272" customFormat="1"/>
    <row r="634" s="272" customFormat="1"/>
    <row r="635" s="272" customFormat="1"/>
    <row r="636" s="272" customFormat="1"/>
    <row r="637" s="272" customFormat="1"/>
    <row r="638" s="272" customFormat="1"/>
    <row r="639" s="272" customFormat="1"/>
    <row r="640" s="272" customFormat="1"/>
    <row r="641" s="272" customFormat="1"/>
    <row r="642" s="272" customFormat="1"/>
    <row r="643" s="272" customFormat="1"/>
    <row r="644" s="272" customFormat="1"/>
    <row r="645" s="272" customFormat="1"/>
    <row r="646" s="272" customFormat="1"/>
    <row r="647" s="272" customFormat="1"/>
    <row r="648" s="272" customFormat="1"/>
    <row r="649" s="272" customFormat="1"/>
    <row r="650" s="272" customFormat="1"/>
    <row r="651" s="272" customFormat="1"/>
    <row r="652" s="272" customFormat="1"/>
    <row r="653" s="272" customFormat="1"/>
    <row r="654" s="272" customFormat="1"/>
    <row r="655" s="272" customFormat="1"/>
    <row r="656" s="272" customFormat="1"/>
    <row r="657" s="272" customFormat="1"/>
    <row r="658" s="272" customFormat="1"/>
    <row r="659" s="272" customFormat="1"/>
    <row r="660" s="272" customFormat="1"/>
    <row r="661" s="272" customFormat="1"/>
    <row r="662" s="272" customFormat="1"/>
    <row r="663" s="272" customFormat="1"/>
    <row r="664" s="272" customFormat="1"/>
    <row r="665" s="272" customFormat="1"/>
    <row r="666" s="272" customFormat="1"/>
    <row r="667" s="272" customFormat="1"/>
    <row r="668" s="272" customFormat="1"/>
    <row r="669" s="272" customFormat="1"/>
    <row r="670" s="272" customFormat="1"/>
    <row r="671" s="272" customFormat="1"/>
    <row r="672" s="272" customFormat="1"/>
    <row r="673" s="272" customFormat="1"/>
    <row r="674" s="272" customFormat="1"/>
    <row r="675" s="272" customFormat="1"/>
    <row r="676" s="272" customFormat="1"/>
    <row r="677" s="272" customFormat="1"/>
    <row r="678" s="272" customFormat="1"/>
    <row r="679" s="272" customFormat="1"/>
    <row r="680" s="272" customFormat="1"/>
    <row r="681" s="272" customFormat="1"/>
    <row r="682" s="272" customFormat="1"/>
    <row r="683" s="272" customFormat="1"/>
    <row r="684" s="272" customFormat="1"/>
    <row r="685" s="272" customFormat="1"/>
    <row r="686" s="272" customFormat="1"/>
    <row r="687" s="272" customFormat="1"/>
    <row r="688" s="272" customFormat="1"/>
    <row r="689" s="272" customFormat="1"/>
    <row r="690" s="272" customFormat="1"/>
    <row r="691" s="272" customFormat="1"/>
    <row r="692" s="272" customFormat="1"/>
    <row r="693" s="272" customFormat="1"/>
    <row r="694" s="272" customFormat="1"/>
    <row r="695" s="272" customFormat="1"/>
    <row r="696" s="272" customFormat="1"/>
    <row r="697" s="272" customFormat="1"/>
    <row r="698" s="272" customFormat="1"/>
    <row r="699" s="272" customFormat="1"/>
    <row r="700" s="272" customFormat="1"/>
    <row r="701" s="272" customFormat="1"/>
    <row r="702" s="272" customFormat="1"/>
    <row r="703" s="272" customFormat="1"/>
    <row r="704" s="272" customFormat="1"/>
    <row r="705" s="272" customFormat="1"/>
    <row r="706" s="272" customFormat="1"/>
    <row r="707" s="272" customFormat="1"/>
    <row r="708" s="272" customFormat="1"/>
    <row r="709" s="272" customFormat="1"/>
    <row r="710" s="272" customFormat="1"/>
    <row r="711" s="272" customFormat="1"/>
    <row r="712" s="272" customFormat="1"/>
    <row r="713" s="272" customFormat="1"/>
    <row r="714" s="272" customFormat="1"/>
    <row r="715" s="272" customFormat="1"/>
    <row r="716" s="272" customFormat="1"/>
    <row r="717" s="272" customFormat="1"/>
    <row r="718" s="272" customFormat="1"/>
    <row r="719" s="272" customFormat="1"/>
    <row r="720" s="272" customFormat="1"/>
    <row r="721" s="272" customFormat="1"/>
    <row r="722" s="272" customFormat="1"/>
    <row r="723" s="272" customFormat="1"/>
    <row r="724" s="272" customFormat="1"/>
    <row r="725" s="272" customFormat="1"/>
    <row r="726" s="272" customFormat="1"/>
    <row r="727" s="272" customFormat="1"/>
    <row r="728" s="272" customFormat="1"/>
    <row r="729" s="272" customFormat="1"/>
    <row r="730" s="272" customFormat="1"/>
    <row r="731" s="272" customFormat="1"/>
    <row r="732" s="272" customFormat="1"/>
    <row r="733" s="272" customFormat="1"/>
    <row r="734" s="272" customFormat="1"/>
    <row r="735" s="272" customFormat="1"/>
    <row r="736" s="272" customFormat="1"/>
    <row r="737" s="272" customFormat="1"/>
    <row r="738" s="272" customFormat="1"/>
    <row r="739" s="272" customFormat="1"/>
    <row r="740" s="272" customFormat="1"/>
    <row r="741" s="272" customFormat="1"/>
    <row r="742" s="272" customFormat="1"/>
    <row r="743" s="272" customFormat="1"/>
    <row r="744" s="272" customFormat="1"/>
    <row r="745" s="272" customFormat="1"/>
    <row r="746" s="272" customFormat="1"/>
    <row r="747" s="272" customFormat="1"/>
    <row r="748" s="272" customFormat="1"/>
    <row r="749" s="272" customFormat="1"/>
    <row r="750" s="272" customFormat="1"/>
    <row r="751" s="272" customFormat="1"/>
    <row r="752" s="272" customFormat="1"/>
    <row r="753" spans="4:32">
      <c r="D753" s="272"/>
      <c r="E753" s="272"/>
      <c r="F753" s="272"/>
      <c r="G753" s="272"/>
      <c r="H753" s="272"/>
      <c r="I753" s="272"/>
      <c r="J753" s="272"/>
      <c r="K753" s="272"/>
      <c r="L753" s="272"/>
      <c r="M753" s="272"/>
      <c r="N753" s="272"/>
      <c r="O753" s="272"/>
      <c r="P753" s="272"/>
      <c r="Q753" s="272"/>
      <c r="R753" s="272"/>
      <c r="S753" s="272"/>
      <c r="T753" s="272"/>
      <c r="U753" s="272"/>
      <c r="V753" s="272"/>
      <c r="W753" s="272"/>
      <c r="X753" s="272"/>
      <c r="Y753" s="272"/>
      <c r="Z753" s="272"/>
      <c r="AA753" s="272"/>
      <c r="AB753" s="272"/>
      <c r="AC753" s="272"/>
      <c r="AD753" s="272"/>
      <c r="AE753" s="272"/>
      <c r="AF753" s="272"/>
    </row>
    <row r="754" spans="4:32">
      <c r="D754" s="272"/>
      <c r="E754" s="272"/>
      <c r="F754" s="272"/>
      <c r="G754" s="272"/>
      <c r="H754" s="272"/>
      <c r="I754" s="272"/>
      <c r="J754" s="272"/>
      <c r="K754" s="272"/>
      <c r="L754" s="272"/>
      <c r="M754" s="272"/>
      <c r="N754" s="272"/>
      <c r="O754" s="272"/>
      <c r="P754" s="272"/>
      <c r="Q754" s="272"/>
      <c r="R754" s="272"/>
      <c r="S754" s="272"/>
      <c r="T754" s="272"/>
      <c r="U754" s="272"/>
      <c r="V754" s="272"/>
      <c r="W754" s="272"/>
      <c r="X754" s="272"/>
      <c r="Y754" s="272"/>
      <c r="Z754" s="272"/>
      <c r="AA754" s="272"/>
      <c r="AB754" s="272"/>
      <c r="AC754" s="272"/>
      <c r="AD754" s="272"/>
      <c r="AE754" s="272"/>
      <c r="AF754" s="272"/>
    </row>
    <row r="755" spans="4:32">
      <c r="D755" s="272"/>
      <c r="E755" s="272"/>
      <c r="F755" s="272"/>
      <c r="G755" s="272"/>
      <c r="H755" s="272"/>
      <c r="I755" s="272"/>
      <c r="J755" s="272"/>
      <c r="K755" s="272"/>
      <c r="L755" s="272"/>
      <c r="M755" s="272"/>
      <c r="N755" s="272"/>
      <c r="O755" s="272"/>
      <c r="P755" s="272"/>
      <c r="Q755" s="272"/>
      <c r="R755" s="272"/>
      <c r="S755" s="272"/>
      <c r="T755" s="272"/>
      <c r="U755" s="272"/>
      <c r="V755" s="272"/>
      <c r="W755" s="272"/>
      <c r="X755" s="272"/>
      <c r="Y755" s="272"/>
      <c r="Z755" s="272"/>
      <c r="AA755" s="272"/>
      <c r="AB755" s="272"/>
      <c r="AC755" s="272"/>
      <c r="AD755" s="272"/>
      <c r="AE755" s="272"/>
      <c r="AF755" s="272"/>
    </row>
    <row r="756" spans="4:32">
      <c r="D756" s="272"/>
      <c r="E756" s="272"/>
      <c r="F756" s="272"/>
      <c r="G756" s="272"/>
      <c r="H756" s="272"/>
      <c r="I756" s="272"/>
      <c r="J756" s="272"/>
      <c r="K756" s="272"/>
      <c r="L756" s="272"/>
      <c r="M756" s="272"/>
      <c r="N756" s="272"/>
      <c r="O756" s="272"/>
      <c r="P756" s="272"/>
      <c r="Q756" s="272"/>
      <c r="R756" s="272"/>
      <c r="S756" s="272"/>
      <c r="T756" s="272"/>
      <c r="U756" s="272"/>
      <c r="V756" s="272"/>
      <c r="W756" s="272"/>
      <c r="X756" s="272"/>
      <c r="Y756" s="272"/>
      <c r="Z756" s="272"/>
      <c r="AA756" s="272"/>
      <c r="AB756" s="272"/>
      <c r="AC756" s="272"/>
      <c r="AD756" s="272"/>
      <c r="AE756" s="272"/>
      <c r="AF756" s="272"/>
    </row>
    <row r="757" spans="4:32">
      <c r="D757" s="272"/>
      <c r="E757" s="272"/>
      <c r="F757" s="272"/>
      <c r="G757" s="272"/>
      <c r="H757" s="272"/>
      <c r="I757" s="272"/>
      <c r="J757" s="272"/>
      <c r="K757" s="272"/>
      <c r="L757" s="272"/>
      <c r="M757" s="272"/>
      <c r="N757" s="272"/>
      <c r="O757" s="272"/>
      <c r="P757" s="272"/>
      <c r="Q757" s="272"/>
      <c r="R757" s="272"/>
      <c r="S757" s="272"/>
      <c r="T757" s="272"/>
      <c r="U757" s="272"/>
      <c r="V757" s="272"/>
      <c r="W757" s="272"/>
      <c r="X757" s="272"/>
      <c r="Y757" s="272"/>
      <c r="Z757" s="272"/>
      <c r="AA757" s="272"/>
      <c r="AB757" s="272"/>
      <c r="AC757" s="272"/>
      <c r="AD757" s="272"/>
      <c r="AE757" s="272"/>
      <c r="AF757" s="272"/>
    </row>
    <row r="758" spans="4:32">
      <c r="P758" s="272"/>
      <c r="Q758" s="272"/>
      <c r="R758" s="272"/>
      <c r="S758" s="272"/>
      <c r="T758" s="272"/>
      <c r="U758" s="272"/>
      <c r="V758" s="272"/>
      <c r="W758" s="272"/>
      <c r="X758" s="272"/>
      <c r="Y758" s="272"/>
      <c r="Z758" s="272"/>
      <c r="AA758" s="272"/>
      <c r="AB758" s="272"/>
      <c r="AC758" s="272"/>
      <c r="AD758" s="272"/>
      <c r="AE758" s="272"/>
      <c r="AF758" s="272"/>
    </row>
    <row r="759" spans="4:32">
      <c r="P759" s="272"/>
      <c r="Q759" s="272"/>
      <c r="R759" s="272"/>
      <c r="S759" s="272"/>
      <c r="T759" s="272"/>
      <c r="U759" s="272"/>
      <c r="V759" s="272"/>
      <c r="W759" s="272"/>
      <c r="X759" s="272"/>
      <c r="Y759" s="272"/>
      <c r="Z759" s="272"/>
      <c r="AA759" s="272"/>
      <c r="AB759" s="272"/>
      <c r="AC759" s="272"/>
      <c r="AD759" s="272"/>
      <c r="AE759" s="272"/>
      <c r="AF759" s="272"/>
    </row>
    <row r="760" spans="4:32">
      <c r="P760" s="272"/>
      <c r="Q760" s="272"/>
      <c r="R760" s="272"/>
      <c r="S760" s="272"/>
      <c r="T760" s="272"/>
      <c r="U760" s="272"/>
      <c r="V760" s="272"/>
      <c r="W760" s="272"/>
      <c r="X760" s="272"/>
      <c r="Y760" s="272"/>
      <c r="Z760" s="272"/>
      <c r="AA760" s="272"/>
      <c r="AB760" s="272"/>
      <c r="AC760" s="272"/>
      <c r="AD760" s="272"/>
      <c r="AE760" s="272"/>
      <c r="AF760" s="272"/>
    </row>
    <row r="761" spans="4:32">
      <c r="P761" s="272"/>
      <c r="Q761" s="272"/>
      <c r="R761" s="272"/>
      <c r="S761" s="272"/>
      <c r="T761" s="272"/>
      <c r="U761" s="272"/>
      <c r="V761" s="272"/>
      <c r="W761" s="272"/>
      <c r="X761" s="272"/>
      <c r="Y761" s="272"/>
      <c r="Z761" s="272"/>
      <c r="AA761" s="272"/>
      <c r="AB761" s="272"/>
      <c r="AC761" s="272"/>
      <c r="AD761" s="272"/>
      <c r="AE761" s="272"/>
      <c r="AF761" s="272"/>
    </row>
    <row r="762" spans="4:32">
      <c r="P762" s="272"/>
      <c r="Q762" s="272"/>
      <c r="R762" s="272"/>
      <c r="S762" s="272"/>
      <c r="T762" s="272"/>
      <c r="U762" s="272"/>
      <c r="V762" s="272"/>
      <c r="W762" s="272"/>
      <c r="X762" s="272"/>
      <c r="Y762" s="272"/>
      <c r="Z762" s="272"/>
      <c r="AA762" s="272"/>
      <c r="AB762" s="272"/>
      <c r="AC762" s="272"/>
      <c r="AD762" s="272"/>
      <c r="AE762" s="272"/>
      <c r="AF762" s="272"/>
    </row>
    <row r="763" spans="4:32">
      <c r="P763" s="272"/>
      <c r="Q763" s="272"/>
      <c r="R763" s="272"/>
      <c r="S763" s="272"/>
      <c r="T763" s="272"/>
      <c r="U763" s="272"/>
      <c r="V763" s="272"/>
      <c r="W763" s="272"/>
      <c r="X763" s="272"/>
      <c r="Y763" s="272"/>
      <c r="Z763" s="272"/>
      <c r="AA763" s="272"/>
      <c r="AB763" s="272"/>
      <c r="AC763" s="272"/>
      <c r="AD763" s="272"/>
      <c r="AE763" s="272"/>
      <c r="AF763" s="272"/>
    </row>
    <row r="764" spans="4:32">
      <c r="P764" s="272"/>
      <c r="Q764" s="272"/>
      <c r="R764" s="272"/>
      <c r="S764" s="272"/>
      <c r="T764" s="272"/>
      <c r="U764" s="272"/>
      <c r="V764" s="272"/>
      <c r="W764" s="272"/>
      <c r="X764" s="272"/>
      <c r="Y764" s="272"/>
      <c r="Z764" s="272"/>
      <c r="AA764" s="272"/>
      <c r="AB764" s="272"/>
      <c r="AC764" s="272"/>
      <c r="AD764" s="272"/>
      <c r="AE764" s="272"/>
      <c r="AF764" s="272"/>
    </row>
    <row r="765" spans="4:32">
      <c r="P765" s="272"/>
      <c r="Q765" s="272"/>
      <c r="R765" s="272"/>
      <c r="S765" s="272"/>
      <c r="T765" s="272"/>
      <c r="U765" s="272"/>
      <c r="V765" s="272"/>
      <c r="W765" s="272"/>
      <c r="X765" s="272"/>
      <c r="Y765" s="272"/>
      <c r="Z765" s="272"/>
      <c r="AA765" s="272"/>
      <c r="AB765" s="272"/>
      <c r="AC765" s="272"/>
      <c r="AD765" s="272"/>
      <c r="AE765" s="272"/>
      <c r="AF765" s="272"/>
    </row>
    <row r="766" spans="4:32">
      <c r="P766" s="272"/>
      <c r="Q766" s="272"/>
      <c r="R766" s="272"/>
      <c r="S766" s="272"/>
      <c r="T766" s="272"/>
      <c r="U766" s="272"/>
      <c r="V766" s="272"/>
      <c r="W766" s="272"/>
      <c r="X766" s="272"/>
      <c r="Y766" s="272"/>
      <c r="Z766" s="272"/>
      <c r="AA766" s="272"/>
      <c r="AB766" s="272"/>
      <c r="AC766" s="272"/>
      <c r="AD766" s="272"/>
      <c r="AE766" s="272"/>
      <c r="AF766" s="272"/>
    </row>
    <row r="767" spans="4:32">
      <c r="P767" s="272"/>
      <c r="Q767" s="272"/>
      <c r="R767" s="272"/>
      <c r="S767" s="272"/>
      <c r="T767" s="272"/>
      <c r="U767" s="272"/>
      <c r="V767" s="272"/>
      <c r="W767" s="272"/>
      <c r="X767" s="272"/>
      <c r="Y767" s="272"/>
      <c r="Z767" s="272"/>
      <c r="AA767" s="272"/>
      <c r="AB767" s="272"/>
      <c r="AC767" s="272"/>
      <c r="AD767" s="272"/>
      <c r="AE767" s="272"/>
      <c r="AF767" s="272"/>
    </row>
    <row r="768" spans="4:32">
      <c r="P768" s="272"/>
      <c r="Q768" s="272"/>
      <c r="R768" s="272"/>
      <c r="S768" s="272"/>
      <c r="T768" s="272"/>
      <c r="U768" s="272"/>
      <c r="V768" s="272"/>
      <c r="W768" s="272"/>
      <c r="X768" s="272"/>
      <c r="Y768" s="272"/>
      <c r="Z768" s="272"/>
      <c r="AA768" s="272"/>
      <c r="AB768" s="272"/>
      <c r="AC768" s="272"/>
      <c r="AD768" s="272"/>
      <c r="AE768" s="272"/>
      <c r="AF768" s="272"/>
    </row>
    <row r="769" spans="16:32">
      <c r="P769" s="272"/>
      <c r="Q769" s="272"/>
      <c r="R769" s="272"/>
      <c r="S769" s="272"/>
      <c r="T769" s="272"/>
      <c r="U769" s="272"/>
      <c r="V769" s="272"/>
      <c r="W769" s="272"/>
      <c r="X769" s="272"/>
      <c r="Y769" s="272"/>
      <c r="Z769" s="272"/>
      <c r="AA769" s="272"/>
      <c r="AB769" s="272"/>
      <c r="AC769" s="272"/>
      <c r="AD769" s="272"/>
      <c r="AE769" s="272"/>
      <c r="AF769" s="272"/>
    </row>
    <row r="770" spans="16:32">
      <c r="P770" s="272"/>
      <c r="Q770" s="272"/>
      <c r="R770" s="272"/>
      <c r="S770" s="272"/>
      <c r="T770" s="272"/>
      <c r="U770" s="272"/>
      <c r="V770" s="272"/>
      <c r="W770" s="272"/>
      <c r="X770" s="272"/>
      <c r="Y770" s="272"/>
      <c r="Z770" s="272"/>
      <c r="AA770" s="272"/>
      <c r="AB770" s="272"/>
      <c r="AC770" s="272"/>
      <c r="AD770" s="272"/>
      <c r="AE770" s="272"/>
      <c r="AF770" s="272"/>
    </row>
    <row r="771" spans="16:32">
      <c r="P771" s="272"/>
      <c r="Q771" s="272"/>
      <c r="R771" s="272"/>
      <c r="S771" s="272"/>
      <c r="T771" s="272"/>
      <c r="U771" s="272"/>
      <c r="V771" s="272"/>
      <c r="W771" s="272"/>
      <c r="X771" s="272"/>
      <c r="Y771" s="272"/>
      <c r="Z771" s="272"/>
      <c r="AA771" s="272"/>
      <c r="AB771" s="272"/>
      <c r="AC771" s="272"/>
      <c r="AD771" s="272"/>
      <c r="AE771" s="272"/>
      <c r="AF771" s="272"/>
    </row>
    <row r="772" spans="16:32">
      <c r="P772" s="272"/>
      <c r="Q772" s="272"/>
      <c r="R772" s="272"/>
      <c r="S772" s="272"/>
      <c r="T772" s="272"/>
      <c r="U772" s="272"/>
      <c r="V772" s="272"/>
      <c r="W772" s="272"/>
      <c r="X772" s="272"/>
      <c r="Y772" s="272"/>
      <c r="Z772" s="272"/>
      <c r="AA772" s="272"/>
      <c r="AB772" s="272"/>
      <c r="AC772" s="272"/>
      <c r="AD772" s="272"/>
      <c r="AE772" s="272"/>
      <c r="AF772" s="272"/>
    </row>
    <row r="773" spans="16:32">
      <c r="P773" s="272"/>
      <c r="Q773" s="272"/>
      <c r="R773" s="272"/>
      <c r="S773" s="272"/>
      <c r="T773" s="272"/>
      <c r="U773" s="272"/>
      <c r="V773" s="272"/>
      <c r="W773" s="272"/>
      <c r="X773" s="272"/>
      <c r="Y773" s="272"/>
      <c r="Z773" s="272"/>
      <c r="AA773" s="272"/>
      <c r="AB773" s="272"/>
      <c r="AC773" s="272"/>
      <c r="AD773" s="272"/>
      <c r="AE773" s="272"/>
      <c r="AF773" s="272"/>
    </row>
    <row r="774" spans="16:32">
      <c r="P774" s="272"/>
      <c r="Q774" s="272"/>
      <c r="R774" s="272"/>
      <c r="S774" s="272"/>
      <c r="T774" s="272"/>
      <c r="U774" s="272"/>
      <c r="V774" s="272"/>
      <c r="W774" s="272"/>
      <c r="X774" s="272"/>
      <c r="Y774" s="272"/>
      <c r="Z774" s="272"/>
      <c r="AA774" s="272"/>
      <c r="AB774" s="272"/>
      <c r="AC774" s="272"/>
      <c r="AD774" s="272"/>
      <c r="AE774" s="272"/>
      <c r="AF774" s="272"/>
    </row>
    <row r="775" spans="16:32">
      <c r="P775" s="272"/>
      <c r="Q775" s="272"/>
      <c r="R775" s="272"/>
      <c r="S775" s="272"/>
      <c r="T775" s="272"/>
      <c r="U775" s="272"/>
      <c r="V775" s="272"/>
      <c r="W775" s="272"/>
      <c r="X775" s="272"/>
      <c r="Y775" s="272"/>
      <c r="Z775" s="272"/>
      <c r="AA775" s="272"/>
      <c r="AB775" s="272"/>
      <c r="AC775" s="272"/>
      <c r="AD775" s="272"/>
      <c r="AE775" s="272"/>
      <c r="AF775" s="272"/>
    </row>
    <row r="776" spans="16:32">
      <c r="P776" s="272"/>
      <c r="Q776" s="272"/>
      <c r="R776" s="272"/>
      <c r="S776" s="272"/>
      <c r="T776" s="272"/>
      <c r="U776" s="272"/>
      <c r="V776" s="272"/>
      <c r="W776" s="272"/>
      <c r="X776" s="272"/>
      <c r="Y776" s="272"/>
      <c r="Z776" s="272"/>
      <c r="AA776" s="272"/>
      <c r="AB776" s="272"/>
      <c r="AC776" s="272"/>
      <c r="AD776" s="272"/>
      <c r="AE776" s="272"/>
      <c r="AF776" s="272"/>
    </row>
    <row r="777" spans="16:32">
      <c r="P777" s="272"/>
      <c r="Q777" s="272"/>
      <c r="R777" s="272"/>
      <c r="S777" s="272"/>
      <c r="T777" s="272"/>
      <c r="U777" s="272"/>
      <c r="V777" s="272"/>
      <c r="W777" s="272"/>
      <c r="X777" s="272"/>
      <c r="Y777" s="272"/>
      <c r="Z777" s="272"/>
      <c r="AA777" s="272"/>
      <c r="AB777" s="272"/>
      <c r="AC777" s="272"/>
      <c r="AD777" s="272"/>
      <c r="AE777" s="272"/>
      <c r="AF777" s="272"/>
    </row>
    <row r="778" spans="16:32">
      <c r="P778" s="272"/>
      <c r="Q778" s="272"/>
      <c r="R778" s="272"/>
      <c r="S778" s="272"/>
      <c r="T778" s="272"/>
      <c r="U778" s="272"/>
      <c r="V778" s="272"/>
      <c r="W778" s="272"/>
      <c r="X778" s="272"/>
      <c r="Y778" s="272"/>
      <c r="Z778" s="272"/>
      <c r="AA778" s="272"/>
      <c r="AB778" s="272"/>
      <c r="AC778" s="272"/>
      <c r="AD778" s="272"/>
      <c r="AE778" s="272"/>
      <c r="AF778" s="272"/>
    </row>
    <row r="779" spans="16:32">
      <c r="P779" s="272"/>
      <c r="Q779" s="272"/>
      <c r="R779" s="272"/>
      <c r="S779" s="272"/>
      <c r="T779" s="272"/>
      <c r="U779" s="272"/>
      <c r="V779" s="272"/>
      <c r="W779" s="272"/>
      <c r="X779" s="272"/>
      <c r="Y779" s="272"/>
      <c r="Z779" s="272"/>
      <c r="AA779" s="272"/>
      <c r="AB779" s="272"/>
      <c r="AC779" s="272"/>
      <c r="AD779" s="272"/>
      <c r="AE779" s="272"/>
      <c r="AF779" s="272"/>
    </row>
    <row r="780" spans="16:32">
      <c r="P780" s="272"/>
      <c r="Q780" s="272"/>
      <c r="R780" s="272"/>
      <c r="S780" s="272"/>
      <c r="T780" s="272"/>
      <c r="U780" s="272"/>
      <c r="V780" s="272"/>
      <c r="W780" s="272"/>
      <c r="X780" s="272"/>
      <c r="Y780" s="272"/>
      <c r="Z780" s="272"/>
      <c r="AA780" s="272"/>
      <c r="AB780" s="272"/>
      <c r="AC780" s="272"/>
      <c r="AD780" s="272"/>
      <c r="AE780" s="272"/>
      <c r="AF780" s="272"/>
    </row>
    <row r="781" spans="16:32">
      <c r="P781" s="272"/>
      <c r="Q781" s="272"/>
      <c r="R781" s="272"/>
      <c r="S781" s="272"/>
      <c r="T781" s="272"/>
      <c r="U781" s="272"/>
      <c r="V781" s="272"/>
      <c r="W781" s="272"/>
      <c r="X781" s="272"/>
      <c r="Y781" s="272"/>
      <c r="Z781" s="272"/>
      <c r="AA781" s="272"/>
      <c r="AB781" s="272"/>
      <c r="AC781" s="272"/>
      <c r="AD781" s="272"/>
      <c r="AE781" s="272"/>
      <c r="AF781" s="272"/>
    </row>
    <row r="782" spans="16:32">
      <c r="P782" s="272"/>
      <c r="Q782" s="272"/>
      <c r="R782" s="272"/>
      <c r="S782" s="272"/>
      <c r="T782" s="272"/>
      <c r="U782" s="272"/>
      <c r="V782" s="272"/>
      <c r="W782" s="272"/>
      <c r="X782" s="272"/>
      <c r="Y782" s="272"/>
      <c r="Z782" s="272"/>
      <c r="AA782" s="272"/>
      <c r="AB782" s="272"/>
      <c r="AC782" s="272"/>
      <c r="AD782" s="272"/>
      <c r="AE782" s="272"/>
      <c r="AF782" s="272"/>
    </row>
    <row r="783" spans="16:32">
      <c r="P783" s="272"/>
      <c r="Q783" s="272"/>
      <c r="R783" s="272"/>
      <c r="S783" s="272"/>
      <c r="T783" s="272"/>
      <c r="U783" s="272"/>
      <c r="V783" s="272"/>
      <c r="W783" s="272"/>
      <c r="X783" s="272"/>
      <c r="Y783" s="272"/>
      <c r="Z783" s="272"/>
      <c r="AA783" s="272"/>
      <c r="AB783" s="272"/>
      <c r="AC783" s="272"/>
      <c r="AD783" s="272"/>
      <c r="AE783" s="272"/>
      <c r="AF783" s="272"/>
    </row>
    <row r="784" spans="16:32">
      <c r="P784" s="272"/>
      <c r="Q784" s="272"/>
      <c r="R784" s="272"/>
      <c r="S784" s="272"/>
      <c r="T784" s="272"/>
      <c r="U784" s="272"/>
      <c r="V784" s="272"/>
      <c r="W784" s="272"/>
      <c r="X784" s="272"/>
      <c r="Y784" s="272"/>
      <c r="Z784" s="272"/>
      <c r="AA784" s="272"/>
      <c r="AB784" s="272"/>
      <c r="AC784" s="272"/>
      <c r="AD784" s="272"/>
      <c r="AE784" s="272"/>
      <c r="AF784" s="272"/>
    </row>
    <row r="785" spans="16:32">
      <c r="P785" s="272"/>
      <c r="Q785" s="272"/>
      <c r="R785" s="272"/>
      <c r="S785" s="272"/>
      <c r="T785" s="272"/>
      <c r="U785" s="272"/>
      <c r="V785" s="272"/>
      <c r="W785" s="272"/>
      <c r="X785" s="272"/>
      <c r="Y785" s="272"/>
      <c r="Z785" s="272"/>
      <c r="AA785" s="272"/>
      <c r="AB785" s="272"/>
      <c r="AC785" s="272"/>
      <c r="AD785" s="272"/>
      <c r="AE785" s="272"/>
      <c r="AF785" s="272"/>
    </row>
    <row r="786" spans="16:32">
      <c r="P786" s="272"/>
      <c r="Q786" s="272"/>
      <c r="R786" s="272"/>
      <c r="S786" s="272"/>
      <c r="T786" s="272"/>
      <c r="U786" s="272"/>
      <c r="V786" s="272"/>
      <c r="W786" s="272"/>
      <c r="X786" s="272"/>
      <c r="Y786" s="272"/>
      <c r="Z786" s="272"/>
      <c r="AA786" s="272"/>
      <c r="AB786" s="272"/>
      <c r="AC786" s="272"/>
      <c r="AD786" s="272"/>
      <c r="AE786" s="272"/>
      <c r="AF786" s="272"/>
    </row>
    <row r="787" spans="16:32">
      <c r="P787" s="272"/>
      <c r="Q787" s="272"/>
      <c r="R787" s="272"/>
      <c r="S787" s="272"/>
      <c r="T787" s="272"/>
      <c r="U787" s="272"/>
      <c r="V787" s="272"/>
      <c r="W787" s="272"/>
      <c r="X787" s="272"/>
      <c r="Y787" s="272"/>
      <c r="Z787" s="272"/>
      <c r="AA787" s="272"/>
      <c r="AB787" s="272"/>
      <c r="AC787" s="272"/>
      <c r="AD787" s="272"/>
      <c r="AE787" s="272"/>
      <c r="AF787" s="272"/>
    </row>
    <row r="788" spans="16:32">
      <c r="P788" s="272"/>
      <c r="Q788" s="272"/>
      <c r="R788" s="272"/>
      <c r="S788" s="272"/>
      <c r="T788" s="272"/>
      <c r="U788" s="272"/>
      <c r="V788" s="272"/>
      <c r="W788" s="272"/>
      <c r="X788" s="272"/>
      <c r="Y788" s="272"/>
      <c r="Z788" s="272"/>
      <c r="AA788" s="272"/>
      <c r="AB788" s="272"/>
      <c r="AC788" s="272"/>
      <c r="AD788" s="272"/>
      <c r="AE788" s="272"/>
      <c r="AF788" s="272"/>
    </row>
    <row r="789" spans="16:32">
      <c r="P789" s="272"/>
      <c r="Q789" s="272"/>
      <c r="R789" s="272"/>
      <c r="S789" s="272"/>
      <c r="T789" s="272"/>
      <c r="U789" s="272"/>
      <c r="V789" s="272"/>
      <c r="W789" s="272"/>
      <c r="X789" s="272"/>
      <c r="Y789" s="272"/>
      <c r="Z789" s="272"/>
      <c r="AA789" s="272"/>
      <c r="AB789" s="272"/>
      <c r="AC789" s="272"/>
      <c r="AD789" s="272"/>
      <c r="AE789" s="272"/>
      <c r="AF789" s="272"/>
    </row>
    <row r="790" spans="16:32">
      <c r="P790" s="272"/>
      <c r="Q790" s="272"/>
      <c r="R790" s="272"/>
      <c r="S790" s="272"/>
      <c r="T790" s="272"/>
      <c r="U790" s="272"/>
      <c r="V790" s="272"/>
      <c r="W790" s="272"/>
      <c r="X790" s="272"/>
      <c r="Y790" s="272"/>
      <c r="Z790" s="272"/>
      <c r="AA790" s="272"/>
      <c r="AB790" s="272"/>
      <c r="AC790" s="272"/>
      <c r="AD790" s="272"/>
      <c r="AE790" s="272"/>
      <c r="AF790" s="272"/>
    </row>
    <row r="791" spans="16:32">
      <c r="P791" s="272"/>
      <c r="Q791" s="272"/>
      <c r="R791" s="272"/>
      <c r="S791" s="272"/>
      <c r="T791" s="272"/>
      <c r="U791" s="272"/>
      <c r="V791" s="272"/>
      <c r="W791" s="272"/>
      <c r="X791" s="272"/>
      <c r="Y791" s="272"/>
      <c r="Z791" s="272"/>
      <c r="AA791" s="272"/>
      <c r="AB791" s="272"/>
      <c r="AC791" s="272"/>
      <c r="AD791" s="272"/>
      <c r="AE791" s="272"/>
      <c r="AF791" s="272"/>
    </row>
    <row r="792" spans="16:32">
      <c r="P792" s="272"/>
      <c r="Q792" s="272"/>
      <c r="R792" s="272"/>
      <c r="S792" s="272"/>
      <c r="T792" s="272"/>
      <c r="U792" s="272"/>
      <c r="V792" s="272"/>
      <c r="W792" s="272"/>
      <c r="X792" s="272"/>
      <c r="Y792" s="272"/>
      <c r="Z792" s="272"/>
      <c r="AA792" s="272"/>
      <c r="AB792" s="272"/>
      <c r="AC792" s="272"/>
      <c r="AD792" s="272"/>
      <c r="AE792" s="272"/>
      <c r="AF792" s="272"/>
    </row>
    <row r="793" spans="16:32">
      <c r="P793" s="272"/>
      <c r="Q793" s="272"/>
      <c r="R793" s="272"/>
      <c r="S793" s="272"/>
      <c r="T793" s="272"/>
      <c r="U793" s="272"/>
      <c r="V793" s="272"/>
      <c r="W793" s="272"/>
      <c r="X793" s="272"/>
      <c r="Y793" s="272"/>
      <c r="Z793" s="272"/>
      <c r="AA793" s="272"/>
      <c r="AB793" s="272"/>
      <c r="AC793" s="272"/>
      <c r="AD793" s="272"/>
      <c r="AE793" s="272"/>
      <c r="AF793" s="272"/>
    </row>
    <row r="794" spans="16:32">
      <c r="P794" s="272"/>
      <c r="Q794" s="272"/>
      <c r="R794" s="272"/>
      <c r="S794" s="272"/>
      <c r="T794" s="272"/>
      <c r="U794" s="272"/>
      <c r="V794" s="272"/>
      <c r="W794" s="272"/>
      <c r="X794" s="272"/>
      <c r="Y794" s="272"/>
      <c r="Z794" s="272"/>
      <c r="AA794" s="272"/>
      <c r="AB794" s="272"/>
      <c r="AC794" s="272"/>
      <c r="AD794" s="272"/>
      <c r="AE794" s="272"/>
      <c r="AF794" s="272"/>
    </row>
    <row r="795" spans="16:32">
      <c r="P795" s="272"/>
      <c r="Q795" s="272"/>
      <c r="R795" s="272"/>
      <c r="S795" s="272"/>
      <c r="T795" s="272"/>
      <c r="U795" s="272"/>
      <c r="V795" s="272"/>
      <c r="W795" s="272"/>
      <c r="X795" s="272"/>
      <c r="Y795" s="272"/>
      <c r="Z795" s="272"/>
      <c r="AA795" s="272"/>
      <c r="AB795" s="272"/>
      <c r="AC795" s="272"/>
      <c r="AD795" s="272"/>
      <c r="AE795" s="272"/>
      <c r="AF795" s="272"/>
    </row>
    <row r="796" spans="16:32">
      <c r="P796" s="272"/>
      <c r="Q796" s="272"/>
      <c r="R796" s="272"/>
      <c r="S796" s="272"/>
      <c r="T796" s="272"/>
      <c r="U796" s="272"/>
      <c r="V796" s="272"/>
      <c r="W796" s="272"/>
      <c r="X796" s="272"/>
      <c r="Y796" s="272"/>
      <c r="Z796" s="272"/>
      <c r="AA796" s="272"/>
      <c r="AB796" s="272"/>
      <c r="AC796" s="272"/>
      <c r="AD796" s="272"/>
      <c r="AE796" s="272"/>
      <c r="AF796" s="272"/>
    </row>
    <row r="797" spans="16:32">
      <c r="P797" s="272"/>
      <c r="Q797" s="272"/>
      <c r="R797" s="272"/>
      <c r="S797" s="272"/>
      <c r="T797" s="272"/>
      <c r="U797" s="272"/>
      <c r="V797" s="272"/>
      <c r="W797" s="272"/>
      <c r="X797" s="272"/>
      <c r="Y797" s="272"/>
      <c r="Z797" s="272"/>
      <c r="AA797" s="272"/>
      <c r="AB797" s="272"/>
      <c r="AC797" s="272"/>
      <c r="AD797" s="272"/>
      <c r="AE797" s="272"/>
      <c r="AF797" s="272"/>
    </row>
    <row r="798" spans="16:32">
      <c r="P798" s="272"/>
      <c r="Q798" s="272"/>
      <c r="R798" s="272"/>
      <c r="S798" s="272"/>
      <c r="T798" s="272"/>
      <c r="U798" s="272"/>
      <c r="V798" s="272"/>
      <c r="W798" s="272"/>
      <c r="X798" s="272"/>
      <c r="Y798" s="272"/>
      <c r="Z798" s="272"/>
      <c r="AA798" s="272"/>
      <c r="AB798" s="272"/>
      <c r="AC798" s="272"/>
      <c r="AD798" s="272"/>
      <c r="AE798" s="272"/>
      <c r="AF798" s="272"/>
    </row>
    <row r="799" spans="16:32">
      <c r="P799" s="272"/>
      <c r="Q799" s="272"/>
      <c r="R799" s="272"/>
      <c r="S799" s="272"/>
      <c r="T799" s="272"/>
      <c r="U799" s="272"/>
      <c r="V799" s="272"/>
      <c r="W799" s="272"/>
      <c r="X799" s="272"/>
      <c r="Y799" s="272"/>
      <c r="Z799" s="272"/>
      <c r="AA799" s="272"/>
      <c r="AB799" s="272"/>
      <c r="AC799" s="272"/>
      <c r="AD799" s="272"/>
      <c r="AE799" s="272"/>
      <c r="AF799" s="272"/>
    </row>
    <row r="800" spans="16:32">
      <c r="P800" s="272"/>
      <c r="Q800" s="272"/>
      <c r="R800" s="272"/>
      <c r="S800" s="272"/>
      <c r="T800" s="272"/>
      <c r="U800" s="272"/>
      <c r="V800" s="272"/>
      <c r="W800" s="272"/>
      <c r="X800" s="272"/>
      <c r="Y800" s="272"/>
      <c r="Z800" s="272"/>
      <c r="AA800" s="272"/>
      <c r="AB800" s="272"/>
      <c r="AC800" s="272"/>
      <c r="AD800" s="272"/>
      <c r="AE800" s="272"/>
      <c r="AF800" s="272"/>
    </row>
    <row r="801" spans="16:32">
      <c r="P801" s="272"/>
      <c r="Q801" s="272"/>
      <c r="R801" s="272"/>
      <c r="S801" s="272"/>
      <c r="T801" s="272"/>
      <c r="U801" s="272"/>
      <c r="V801" s="272"/>
      <c r="W801" s="272"/>
      <c r="X801" s="272"/>
      <c r="Y801" s="272"/>
      <c r="Z801" s="272"/>
      <c r="AA801" s="272"/>
      <c r="AB801" s="272"/>
      <c r="AC801" s="272"/>
      <c r="AD801" s="272"/>
      <c r="AE801" s="272"/>
      <c r="AF801" s="272"/>
    </row>
    <row r="802" spans="16:32">
      <c r="P802" s="272"/>
      <c r="Q802" s="272"/>
      <c r="R802" s="272"/>
      <c r="S802" s="272"/>
      <c r="T802" s="272"/>
      <c r="U802" s="272"/>
      <c r="V802" s="272"/>
      <c r="W802" s="272"/>
      <c r="X802" s="272"/>
      <c r="Y802" s="272"/>
      <c r="Z802" s="272"/>
      <c r="AA802" s="272"/>
      <c r="AB802" s="272"/>
      <c r="AC802" s="272"/>
      <c r="AD802" s="272"/>
      <c r="AE802" s="272"/>
      <c r="AF802" s="272"/>
    </row>
    <row r="803" spans="16:32">
      <c r="P803" s="272"/>
      <c r="Q803" s="272"/>
      <c r="R803" s="272"/>
      <c r="S803" s="272"/>
      <c r="T803" s="272"/>
      <c r="U803" s="272"/>
      <c r="V803" s="272"/>
      <c r="W803" s="272"/>
      <c r="X803" s="272"/>
      <c r="Y803" s="272"/>
      <c r="Z803" s="272"/>
      <c r="AA803" s="272"/>
      <c r="AB803" s="272"/>
      <c r="AC803" s="272"/>
      <c r="AD803" s="272"/>
      <c r="AE803" s="272"/>
      <c r="AF803" s="272"/>
    </row>
    <row r="804" spans="16:32">
      <c r="P804" s="272"/>
      <c r="Q804" s="272"/>
      <c r="R804" s="272"/>
      <c r="S804" s="272"/>
      <c r="T804" s="272"/>
      <c r="U804" s="272"/>
      <c r="V804" s="272"/>
      <c r="W804" s="272"/>
      <c r="X804" s="272"/>
      <c r="Y804" s="272"/>
      <c r="Z804" s="272"/>
      <c r="AA804" s="272"/>
      <c r="AB804" s="272"/>
      <c r="AC804" s="272"/>
      <c r="AD804" s="272"/>
      <c r="AE804" s="272"/>
      <c r="AF804" s="272"/>
    </row>
    <row r="805" spans="16:32">
      <c r="P805" s="272"/>
      <c r="Q805" s="272"/>
      <c r="R805" s="272"/>
      <c r="S805" s="272"/>
      <c r="T805" s="272"/>
      <c r="U805" s="272"/>
      <c r="V805" s="272"/>
      <c r="W805" s="272"/>
      <c r="X805" s="272"/>
      <c r="Y805" s="272"/>
      <c r="Z805" s="272"/>
      <c r="AA805" s="272"/>
      <c r="AB805" s="272"/>
      <c r="AC805" s="272"/>
      <c r="AD805" s="272"/>
      <c r="AE805" s="272"/>
      <c r="AF805" s="272"/>
    </row>
    <row r="806" spans="16:32">
      <c r="P806" s="272"/>
      <c r="Q806" s="272"/>
      <c r="R806" s="272"/>
      <c r="S806" s="272"/>
      <c r="T806" s="272"/>
      <c r="U806" s="272"/>
      <c r="V806" s="272"/>
      <c r="W806" s="272"/>
      <c r="X806" s="272"/>
      <c r="Y806" s="272"/>
      <c r="Z806" s="272"/>
      <c r="AA806" s="272"/>
      <c r="AB806" s="272"/>
      <c r="AC806" s="272"/>
      <c r="AD806" s="272"/>
      <c r="AE806" s="272"/>
      <c r="AF806" s="272"/>
    </row>
    <row r="807" spans="16:32">
      <c r="P807" s="272"/>
      <c r="Q807" s="272"/>
      <c r="R807" s="272"/>
      <c r="S807" s="272"/>
      <c r="T807" s="272"/>
      <c r="U807" s="272"/>
      <c r="V807" s="272"/>
      <c r="W807" s="272"/>
      <c r="X807" s="272"/>
      <c r="Y807" s="272"/>
      <c r="Z807" s="272"/>
      <c r="AA807" s="272"/>
      <c r="AB807" s="272"/>
      <c r="AC807" s="272"/>
      <c r="AD807" s="272"/>
      <c r="AE807" s="272"/>
      <c r="AF807" s="272"/>
    </row>
    <row r="808" spans="16:32">
      <c r="P808" s="272"/>
      <c r="Q808" s="272"/>
      <c r="R808" s="272"/>
      <c r="S808" s="272"/>
      <c r="T808" s="272"/>
      <c r="U808" s="272"/>
      <c r="V808" s="272"/>
      <c r="W808" s="272"/>
      <c r="X808" s="272"/>
      <c r="Y808" s="272"/>
      <c r="Z808" s="272"/>
      <c r="AA808" s="272"/>
      <c r="AB808" s="272"/>
      <c r="AC808" s="272"/>
      <c r="AD808" s="272"/>
      <c r="AE808" s="272"/>
      <c r="AF808" s="272"/>
    </row>
  </sheetData>
  <autoFilter ref="B24:K399" xr:uid="{BAB8E048-3245-4E24-912E-3BBF0790E685}"/>
  <dataValidations disablePrompts="1" count="1">
    <dataValidation type="list" allowBlank="1" showInputMessage="1" showErrorMessage="1" sqref="Y8" xr:uid="{44381CB1-248E-4567-9214-77DFC5B13FFC}">
      <formula1>TrueFalseTab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401" r:id="rId3" name="Button 17">
              <controlPr defaultSize="0" print="0" autoFill="0" autoPict="0" macro="[0]!CurrentRegionCalculate">
                <anchor moveWithCells="1">
                  <from>
                    <xdr:col>20</xdr:col>
                    <xdr:colOff>323850</xdr:colOff>
                    <xdr:row>4</xdr:row>
                    <xdr:rowOff>66675</xdr:rowOff>
                  </from>
                  <to>
                    <xdr:col>21</xdr:col>
                    <xdr:colOff>247650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279C7-4235-4ABD-8C51-BE5A87F9C38C}">
  <sheetPr codeName="Feuil7"/>
  <dimension ref="A1:HT808"/>
  <sheetViews>
    <sheetView workbookViewId="0">
      <selection activeCell="C5" sqref="C5"/>
    </sheetView>
  </sheetViews>
  <sheetFormatPr defaultColWidth="9.140625" defaultRowHeight="11.25"/>
  <cols>
    <col min="1" max="1" width="2.85546875" style="272" customWidth="1"/>
    <col min="2" max="2" width="17" style="272" bestFit="1" customWidth="1"/>
    <col min="3" max="3" width="26.5703125" style="272" bestFit="1" customWidth="1"/>
    <col min="4" max="4" width="10.5703125" style="273" customWidth="1"/>
    <col min="5" max="14" width="9.85546875" style="273" customWidth="1"/>
    <col min="15" max="31" width="9.140625" style="79"/>
    <col min="32" max="16384" width="9.140625" style="272"/>
  </cols>
  <sheetData>
    <row r="1" spans="1:228" customFormat="1" ht="29.25" customHeight="1">
      <c r="A1" s="269"/>
      <c r="B1" s="269"/>
      <c r="C1" s="269"/>
      <c r="D1" s="269"/>
      <c r="E1" s="269"/>
      <c r="F1" s="269"/>
      <c r="G1" s="269"/>
      <c r="H1" s="269"/>
      <c r="I1" s="269"/>
      <c r="J1" s="269"/>
      <c r="K1" s="269"/>
      <c r="L1" s="269"/>
      <c r="M1" s="269"/>
      <c r="N1" s="269"/>
      <c r="O1" s="269"/>
      <c r="P1" s="269"/>
      <c r="Q1" s="269"/>
      <c r="R1" s="269"/>
      <c r="S1" s="269"/>
      <c r="T1" s="269"/>
      <c r="U1" s="269"/>
      <c r="V1" s="269"/>
      <c r="W1" s="269"/>
      <c r="X1" s="269"/>
      <c r="Y1" s="269"/>
      <c r="Z1" s="269"/>
      <c r="AA1" s="269"/>
      <c r="AB1" s="269"/>
      <c r="AC1" s="269"/>
      <c r="AD1" s="269"/>
      <c r="AE1" s="269"/>
      <c r="AF1" s="269"/>
      <c r="AG1" s="269"/>
      <c r="AH1" s="269"/>
      <c r="AI1" s="269"/>
      <c r="AJ1" s="269"/>
      <c r="AK1" s="269"/>
      <c r="AL1" s="269"/>
      <c r="AM1" s="269"/>
      <c r="AN1" s="269"/>
      <c r="AO1" s="269"/>
      <c r="AP1" s="269"/>
      <c r="AQ1" s="269"/>
      <c r="AR1" s="269"/>
      <c r="AS1" s="269"/>
      <c r="AT1" s="269"/>
      <c r="AU1" s="269"/>
      <c r="AV1" s="269"/>
      <c r="AW1" s="269"/>
      <c r="AX1" s="269"/>
      <c r="AY1" s="269"/>
      <c r="AZ1" s="269"/>
      <c r="BA1" s="269"/>
      <c r="BB1" s="269"/>
      <c r="BC1" s="269"/>
      <c r="BD1" s="269"/>
      <c r="BE1" s="269"/>
      <c r="BF1" s="269"/>
      <c r="BG1" s="269"/>
      <c r="BH1" s="269"/>
      <c r="BI1" s="269"/>
      <c r="BJ1" s="269"/>
      <c r="BK1" s="269"/>
      <c r="BL1" s="269"/>
      <c r="BM1" s="269"/>
      <c r="BN1" s="269"/>
      <c r="BO1" s="269"/>
      <c r="BP1" s="269"/>
      <c r="BQ1" s="269"/>
      <c r="BR1" s="269"/>
      <c r="BS1" s="269"/>
      <c r="BT1" s="269"/>
      <c r="BU1" s="269"/>
      <c r="BV1" s="269"/>
      <c r="BW1" s="269"/>
      <c r="BX1" s="269"/>
      <c r="BY1" s="269"/>
      <c r="BZ1" s="269"/>
      <c r="CA1" s="269"/>
      <c r="CB1" s="269"/>
      <c r="CC1" s="269"/>
      <c r="CD1" s="269"/>
      <c r="CE1" s="269"/>
      <c r="CF1" s="269"/>
      <c r="CG1" s="269"/>
      <c r="CH1" s="269"/>
      <c r="CI1" s="269"/>
      <c r="CJ1" s="269"/>
      <c r="CK1" s="269"/>
      <c r="CL1" s="269"/>
      <c r="CM1" s="269"/>
      <c r="CN1" s="269"/>
      <c r="CO1" s="269"/>
      <c r="CP1" s="269"/>
      <c r="CQ1" s="269"/>
      <c r="CR1" s="269"/>
      <c r="CS1" s="269"/>
      <c r="CT1" s="269"/>
      <c r="CU1" s="269"/>
      <c r="CV1" s="269"/>
      <c r="CW1" s="269"/>
      <c r="CX1" s="269"/>
      <c r="CY1" s="269"/>
      <c r="CZ1" s="269"/>
      <c r="DA1" s="269"/>
      <c r="DB1" s="269"/>
      <c r="DC1" s="269"/>
      <c r="DD1" s="269"/>
      <c r="DE1" s="269"/>
      <c r="DF1" s="269"/>
      <c r="DG1" s="269"/>
      <c r="DH1" s="269"/>
      <c r="DI1" s="269"/>
      <c r="DJ1" s="269"/>
      <c r="DK1" s="269"/>
      <c r="DL1" s="269"/>
      <c r="DM1" s="269"/>
      <c r="DN1" s="269"/>
      <c r="DO1" s="269"/>
      <c r="DP1" s="269"/>
      <c r="DQ1" s="269"/>
      <c r="DR1" s="269"/>
      <c r="DS1" s="269"/>
      <c r="DT1" s="269"/>
      <c r="DU1" s="269"/>
      <c r="DV1" s="269"/>
      <c r="DW1" s="269"/>
      <c r="DX1" s="269"/>
      <c r="DY1" s="269"/>
      <c r="DZ1" s="269"/>
      <c r="EA1" s="269"/>
      <c r="EB1" s="269"/>
      <c r="EC1" s="269"/>
      <c r="ED1" s="269"/>
      <c r="EE1" s="269"/>
      <c r="EF1" s="269"/>
      <c r="EG1" s="269"/>
      <c r="EH1" s="269"/>
      <c r="EI1" s="269"/>
      <c r="EJ1" s="269"/>
      <c r="EK1" s="269"/>
      <c r="EL1" s="269"/>
      <c r="EM1" s="269"/>
      <c r="EN1" s="269"/>
      <c r="EO1" s="269"/>
      <c r="EP1" s="269"/>
      <c r="EQ1" s="269"/>
      <c r="ER1" s="269"/>
      <c r="ES1" s="269"/>
      <c r="ET1" s="269"/>
      <c r="EU1" s="269"/>
      <c r="EV1" s="269"/>
      <c r="EW1" s="269"/>
      <c r="EX1" s="269"/>
      <c r="EY1" s="269"/>
      <c r="EZ1" s="269"/>
      <c r="FA1" s="269"/>
      <c r="FB1" s="269"/>
      <c r="FC1" s="269"/>
      <c r="FD1" s="269"/>
      <c r="FE1" s="269"/>
      <c r="FF1" s="269"/>
      <c r="FG1" s="269"/>
      <c r="FH1" s="269"/>
      <c r="FI1" s="269"/>
      <c r="FJ1" s="269"/>
      <c r="FK1" s="269"/>
      <c r="FL1" s="269"/>
      <c r="FM1" s="269"/>
      <c r="FN1" s="269"/>
      <c r="FO1" s="269"/>
      <c r="FP1" s="269"/>
      <c r="FQ1" s="269"/>
      <c r="FR1" s="269"/>
      <c r="FS1" s="269"/>
      <c r="FT1" s="269"/>
      <c r="FU1" s="269"/>
      <c r="FV1" s="269"/>
      <c r="FW1" s="269"/>
      <c r="FX1" s="269"/>
      <c r="FY1" s="269"/>
      <c r="FZ1" s="269"/>
      <c r="GA1" s="269"/>
      <c r="GB1" s="269"/>
      <c r="GC1" s="269"/>
      <c r="GD1" s="269"/>
      <c r="GE1" s="269"/>
      <c r="GF1" s="269"/>
      <c r="GG1" s="269"/>
      <c r="GH1" s="269"/>
      <c r="GI1" s="269"/>
      <c r="GJ1" s="269"/>
      <c r="GK1" s="269"/>
      <c r="GL1" s="269"/>
      <c r="GM1" s="269"/>
      <c r="GN1" s="269"/>
      <c r="GO1" s="269"/>
      <c r="GP1" s="269"/>
      <c r="GQ1" s="269"/>
      <c r="GR1" s="269"/>
      <c r="GS1" s="269"/>
      <c r="GT1" s="269"/>
      <c r="GU1" s="269"/>
      <c r="GV1" s="269"/>
      <c r="GW1" s="269"/>
      <c r="GX1" s="269"/>
      <c r="GY1" s="269"/>
      <c r="GZ1" s="269"/>
      <c r="HA1" s="269"/>
      <c r="HB1" s="269"/>
      <c r="HC1" s="269"/>
      <c r="HD1" s="269"/>
      <c r="HE1" s="269"/>
      <c r="HF1" s="269"/>
      <c r="HG1" s="269"/>
      <c r="HH1" s="269"/>
      <c r="HI1" s="269"/>
      <c r="HJ1" s="269"/>
      <c r="HK1" s="269"/>
      <c r="HL1" s="269"/>
      <c r="HM1" s="269"/>
      <c r="HN1" s="269"/>
      <c r="HO1" s="269"/>
      <c r="HP1" s="269"/>
      <c r="HQ1" s="269"/>
      <c r="HR1" s="269"/>
      <c r="HS1" s="269"/>
      <c r="HT1" s="269"/>
    </row>
    <row r="2" spans="1:228" customFormat="1" ht="54.75" customHeight="1">
      <c r="A2" s="269"/>
      <c r="B2" s="269"/>
      <c r="C2" s="270"/>
      <c r="D2" s="269"/>
      <c r="E2" s="269"/>
      <c r="F2" s="269"/>
      <c r="G2" s="269"/>
      <c r="H2" s="269"/>
      <c r="I2" s="269"/>
      <c r="J2" s="269"/>
      <c r="K2" s="269"/>
      <c r="L2" s="269"/>
      <c r="M2" s="269"/>
      <c r="N2" s="269"/>
      <c r="O2" s="269"/>
      <c r="P2" s="269"/>
      <c r="Q2" s="269"/>
      <c r="R2" s="269"/>
      <c r="S2" s="269"/>
      <c r="T2" s="269"/>
      <c r="U2" s="269"/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69"/>
      <c r="AK2" s="269"/>
      <c r="AL2" s="269"/>
      <c r="AM2" s="269"/>
      <c r="AN2" s="269"/>
      <c r="AO2" s="269"/>
      <c r="AP2" s="269"/>
      <c r="AQ2" s="269"/>
      <c r="AR2" s="269"/>
      <c r="AS2" s="269"/>
      <c r="AT2" s="269"/>
      <c r="AU2" s="269"/>
      <c r="AV2" s="269"/>
      <c r="AW2" s="269"/>
      <c r="AX2" s="269"/>
      <c r="AY2" s="269"/>
      <c r="AZ2" s="269"/>
      <c r="BA2" s="269"/>
      <c r="BB2" s="269"/>
      <c r="BC2" s="269"/>
      <c r="BD2" s="269"/>
      <c r="BE2" s="269"/>
      <c r="BF2" s="269"/>
      <c r="BG2" s="269"/>
      <c r="BH2" s="269"/>
      <c r="BI2" s="269"/>
      <c r="BJ2" s="269"/>
      <c r="BK2" s="269"/>
      <c r="BL2" s="269"/>
      <c r="BM2" s="269"/>
      <c r="BN2" s="269"/>
      <c r="BO2" s="269"/>
      <c r="BP2" s="269"/>
      <c r="BQ2" s="269"/>
      <c r="BR2" s="269"/>
      <c r="BS2" s="269"/>
      <c r="BT2" s="269"/>
      <c r="BU2" s="269"/>
      <c r="BV2" s="269"/>
      <c r="BW2" s="269"/>
      <c r="BX2" s="269"/>
      <c r="BY2" s="269"/>
      <c r="BZ2" s="269"/>
      <c r="CA2" s="269"/>
      <c r="CB2" s="269"/>
      <c r="CC2" s="269"/>
      <c r="CD2" s="269"/>
      <c r="CE2" s="269"/>
      <c r="CF2" s="269"/>
      <c r="CG2" s="269"/>
      <c r="CH2" s="269"/>
      <c r="CI2" s="269"/>
      <c r="CJ2" s="269"/>
      <c r="CK2" s="269"/>
      <c r="CL2" s="269"/>
      <c r="CM2" s="269"/>
      <c r="CN2" s="269"/>
      <c r="CO2" s="269"/>
      <c r="CP2" s="269"/>
      <c r="CQ2" s="269"/>
      <c r="CR2" s="269"/>
      <c r="CS2" s="269"/>
      <c r="CT2" s="269"/>
      <c r="CU2" s="269"/>
      <c r="CV2" s="269"/>
      <c r="CW2" s="269"/>
      <c r="CX2" s="269"/>
      <c r="CY2" s="269"/>
      <c r="CZ2" s="269"/>
      <c r="DA2" s="269"/>
      <c r="DB2" s="269"/>
      <c r="DC2" s="269"/>
      <c r="DD2" s="269"/>
      <c r="DE2" s="269"/>
      <c r="DF2" s="269"/>
      <c r="DG2" s="269"/>
      <c r="DH2" s="269"/>
      <c r="DI2" s="269"/>
      <c r="DJ2" s="269"/>
      <c r="DK2" s="269"/>
      <c r="DL2" s="269"/>
      <c r="DM2" s="269"/>
      <c r="DN2" s="269"/>
      <c r="DO2" s="269"/>
      <c r="DP2" s="269"/>
      <c r="DQ2" s="269"/>
      <c r="DR2" s="269"/>
      <c r="DS2" s="269"/>
      <c r="DT2" s="269"/>
      <c r="DU2" s="269"/>
      <c r="DV2" s="269"/>
      <c r="DW2" s="269"/>
      <c r="DX2" s="269"/>
      <c r="DY2" s="269"/>
      <c r="DZ2" s="269"/>
      <c r="EA2" s="269"/>
      <c r="EB2" s="269"/>
      <c r="EC2" s="269"/>
      <c r="ED2" s="269"/>
      <c r="EE2" s="269"/>
      <c r="EF2" s="269"/>
      <c r="EG2" s="269"/>
      <c r="EH2" s="269"/>
      <c r="EI2" s="269"/>
      <c r="EJ2" s="269"/>
      <c r="EK2" s="269"/>
      <c r="EL2" s="269"/>
      <c r="EM2" s="269"/>
      <c r="EN2" s="269"/>
      <c r="EO2" s="269"/>
      <c r="EP2" s="269"/>
      <c r="EQ2" s="269"/>
      <c r="ER2" s="269"/>
      <c r="ES2" s="269"/>
      <c r="ET2" s="269"/>
      <c r="EU2" s="269"/>
      <c r="EV2" s="269"/>
      <c r="EW2" s="269"/>
      <c r="EX2" s="269"/>
      <c r="EY2" s="269"/>
      <c r="EZ2" s="269"/>
      <c r="FA2" s="269"/>
      <c r="FB2" s="269"/>
      <c r="FC2" s="269"/>
      <c r="FD2" s="269"/>
      <c r="FE2" s="269"/>
      <c r="FF2" s="269"/>
      <c r="FG2" s="269"/>
      <c r="FH2" s="269"/>
      <c r="FI2" s="269"/>
      <c r="FJ2" s="269"/>
      <c r="FK2" s="269"/>
      <c r="FL2" s="269"/>
      <c r="FM2" s="269"/>
      <c r="FN2" s="269"/>
      <c r="FO2" s="269"/>
      <c r="FP2" s="269"/>
      <c r="FQ2" s="269"/>
      <c r="FR2" s="269"/>
      <c r="FS2" s="269"/>
      <c r="FT2" s="269"/>
      <c r="FU2" s="269"/>
      <c r="FV2" s="269"/>
      <c r="FW2" s="269"/>
      <c r="FX2" s="269"/>
      <c r="FY2" s="269"/>
      <c r="FZ2" s="269"/>
      <c r="GA2" s="269"/>
      <c r="GB2" s="269"/>
      <c r="GC2" s="269"/>
      <c r="GD2" s="269"/>
      <c r="GE2" s="269"/>
      <c r="GF2" s="269"/>
      <c r="GG2" s="269"/>
      <c r="GH2" s="269"/>
      <c r="GI2" s="269"/>
      <c r="GJ2" s="269"/>
      <c r="GK2" s="269"/>
      <c r="GL2" s="269"/>
      <c r="GM2" s="269"/>
      <c r="GN2" s="269"/>
      <c r="GO2" s="269"/>
      <c r="GP2" s="269"/>
      <c r="GQ2" s="269"/>
      <c r="GR2" s="269"/>
      <c r="GS2" s="269"/>
      <c r="GT2" s="269"/>
      <c r="GU2" s="269"/>
      <c r="GV2" s="269"/>
      <c r="GW2" s="269"/>
      <c r="GX2" s="269"/>
      <c r="GY2" s="269"/>
      <c r="GZ2" s="269"/>
      <c r="HA2" s="269"/>
      <c r="HB2" s="269"/>
      <c r="HC2" s="269"/>
      <c r="HD2" s="269"/>
      <c r="HE2" s="269"/>
      <c r="HF2" s="269"/>
      <c r="HG2" s="269"/>
      <c r="HH2" s="269"/>
      <c r="HI2" s="269"/>
      <c r="HJ2" s="269"/>
      <c r="HK2" s="269"/>
      <c r="HL2" s="269"/>
      <c r="HM2" s="269"/>
      <c r="HN2" s="269"/>
      <c r="HO2" s="269"/>
      <c r="HP2" s="269"/>
      <c r="HQ2" s="269"/>
      <c r="HR2" s="269"/>
      <c r="HS2" s="269"/>
      <c r="HT2" s="269"/>
    </row>
    <row r="3" spans="1:228" customFormat="1" ht="36.75" customHeight="1">
      <c r="A3" s="269"/>
      <c r="B3" s="269"/>
      <c r="C3" s="269"/>
      <c r="D3" s="269"/>
      <c r="E3" s="269"/>
      <c r="F3" s="269"/>
      <c r="G3" s="269"/>
      <c r="H3" s="269"/>
      <c r="I3" s="271"/>
      <c r="J3" s="271"/>
      <c r="K3" s="271"/>
      <c r="L3" s="271"/>
      <c r="M3" s="271"/>
      <c r="N3" s="271"/>
      <c r="O3" s="271"/>
      <c r="P3" s="271"/>
      <c r="Q3" s="269"/>
      <c r="R3" s="269"/>
      <c r="S3" s="269"/>
      <c r="T3" s="269"/>
      <c r="U3" s="269"/>
      <c r="V3" s="269"/>
      <c r="W3" s="269"/>
      <c r="X3" s="269"/>
      <c r="Y3" s="269"/>
      <c r="Z3" s="269"/>
      <c r="AA3" s="269"/>
      <c r="AB3" s="271"/>
      <c r="AC3" s="269"/>
      <c r="AD3" s="269"/>
      <c r="AE3" s="269"/>
      <c r="AF3" s="269"/>
      <c r="AG3" s="269"/>
      <c r="AH3" s="269"/>
      <c r="AI3" s="269"/>
      <c r="AJ3" s="269"/>
      <c r="AK3" s="269"/>
      <c r="AL3" s="269"/>
      <c r="AM3" s="269"/>
      <c r="AN3" s="269"/>
      <c r="AO3" s="269"/>
      <c r="AP3" s="269"/>
      <c r="AQ3" s="269"/>
      <c r="AR3" s="269"/>
      <c r="AS3" s="269"/>
      <c r="AT3" s="269"/>
      <c r="AU3" s="269"/>
      <c r="AV3" s="269"/>
      <c r="AW3" s="269"/>
      <c r="AX3" s="269"/>
      <c r="AY3" s="269"/>
      <c r="AZ3" s="269"/>
      <c r="BA3" s="269"/>
      <c r="BB3" s="269"/>
      <c r="BC3" s="269"/>
      <c r="BD3" s="269"/>
      <c r="BE3" s="269"/>
      <c r="BF3" s="269"/>
      <c r="BG3" s="269"/>
      <c r="BH3" s="269"/>
      <c r="BI3" s="269"/>
      <c r="BJ3" s="269"/>
      <c r="BK3" s="269"/>
      <c r="BL3" s="269"/>
      <c r="BM3" s="269"/>
      <c r="BN3" s="269"/>
      <c r="BO3" s="269"/>
      <c r="BP3" s="269"/>
      <c r="BQ3" s="269"/>
      <c r="BR3" s="269"/>
      <c r="BS3" s="269"/>
      <c r="BT3" s="269"/>
      <c r="BU3" s="269"/>
      <c r="BV3" s="269"/>
      <c r="BW3" s="269"/>
      <c r="BX3" s="269"/>
      <c r="BY3" s="269"/>
      <c r="BZ3" s="269"/>
      <c r="CA3" s="269"/>
      <c r="CB3" s="269"/>
      <c r="CC3" s="269"/>
      <c r="CD3" s="269"/>
      <c r="CE3" s="269"/>
      <c r="CF3" s="269"/>
      <c r="CG3" s="269"/>
      <c r="CH3" s="269"/>
      <c r="CI3" s="269"/>
      <c r="CJ3" s="269"/>
      <c r="CK3" s="269"/>
      <c r="CL3" s="269"/>
      <c r="CM3" s="269"/>
      <c r="CN3" s="269"/>
      <c r="CO3" s="269"/>
      <c r="CP3" s="269"/>
      <c r="CQ3" s="269"/>
      <c r="CR3" s="269"/>
      <c r="CS3" s="269"/>
      <c r="CT3" s="269"/>
      <c r="CU3" s="269"/>
      <c r="CV3" s="269"/>
      <c r="CW3" s="269"/>
      <c r="CX3" s="269"/>
      <c r="CY3" s="269"/>
      <c r="CZ3" s="269"/>
      <c r="DA3" s="269"/>
      <c r="DB3" s="269"/>
      <c r="DC3" s="269"/>
      <c r="DD3" s="269"/>
      <c r="DE3" s="269"/>
      <c r="DF3" s="269"/>
      <c r="DG3" s="269"/>
      <c r="DH3" s="269"/>
      <c r="DI3" s="269"/>
      <c r="DJ3" s="269"/>
      <c r="DK3" s="269"/>
      <c r="DL3" s="269"/>
      <c r="DM3" s="269"/>
      <c r="DN3" s="269"/>
      <c r="DO3" s="269"/>
      <c r="DP3" s="269"/>
      <c r="DQ3" s="269"/>
      <c r="DR3" s="269"/>
      <c r="DS3" s="269"/>
      <c r="DT3" s="269"/>
      <c r="DU3" s="269"/>
      <c r="DV3" s="269"/>
      <c r="DW3" s="269"/>
      <c r="DX3" s="269"/>
      <c r="DY3" s="269"/>
      <c r="DZ3" s="269"/>
      <c r="EA3" s="269"/>
      <c r="EB3" s="269"/>
      <c r="EC3" s="269"/>
      <c r="ED3" s="269"/>
      <c r="EE3" s="269"/>
      <c r="EF3" s="269"/>
      <c r="EG3" s="269"/>
      <c r="EH3" s="269"/>
      <c r="EI3" s="269"/>
      <c r="EJ3" s="269"/>
      <c r="EK3" s="269"/>
      <c r="EL3" s="269"/>
      <c r="EM3" s="269"/>
      <c r="EN3" s="269"/>
      <c r="EO3" s="269"/>
      <c r="EP3" s="269"/>
      <c r="EQ3" s="269"/>
      <c r="ER3" s="269"/>
      <c r="ES3" s="269"/>
      <c r="ET3" s="269"/>
      <c r="EU3" s="269"/>
      <c r="EV3" s="269"/>
      <c r="EW3" s="269"/>
      <c r="EX3" s="269"/>
      <c r="EY3" s="269"/>
      <c r="EZ3" s="269"/>
      <c r="FA3" s="269"/>
      <c r="FB3" s="269"/>
      <c r="FC3" s="269"/>
      <c r="FD3" s="269"/>
      <c r="FE3" s="269"/>
      <c r="FF3" s="269"/>
      <c r="FG3" s="269"/>
      <c r="FH3" s="269"/>
      <c r="FI3" s="269"/>
      <c r="FJ3" s="269"/>
      <c r="FK3" s="269"/>
      <c r="FL3" s="269"/>
      <c r="FM3" s="269"/>
      <c r="FN3" s="269"/>
      <c r="FO3" s="269"/>
      <c r="FP3" s="269"/>
      <c r="FQ3" s="269"/>
      <c r="FR3" s="269"/>
      <c r="FS3" s="269"/>
      <c r="FT3" s="269"/>
      <c r="FU3" s="269"/>
      <c r="FV3" s="269"/>
      <c r="FW3" s="269"/>
      <c r="FX3" s="269"/>
      <c r="FY3" s="269"/>
      <c r="FZ3" s="269"/>
      <c r="GA3" s="269"/>
      <c r="GB3" s="269"/>
      <c r="GC3" s="269"/>
      <c r="GD3" s="269"/>
      <c r="GE3" s="269"/>
      <c r="GF3" s="269"/>
      <c r="GG3" s="269"/>
      <c r="GH3" s="269"/>
      <c r="GI3" s="269"/>
      <c r="GJ3" s="269"/>
      <c r="GK3" s="269"/>
      <c r="GL3" s="269"/>
      <c r="GM3" s="269"/>
      <c r="GN3" s="269"/>
      <c r="GO3" s="269"/>
      <c r="GP3" s="269"/>
      <c r="GQ3" s="269"/>
      <c r="GR3" s="269"/>
      <c r="GS3" s="269"/>
      <c r="GT3" s="269"/>
      <c r="GU3" s="269"/>
      <c r="GV3" s="269"/>
      <c r="GW3" s="269"/>
      <c r="GX3" s="269"/>
      <c r="GY3" s="269"/>
      <c r="GZ3" s="269"/>
      <c r="HA3" s="269"/>
      <c r="HB3" s="269"/>
      <c r="HC3" s="269"/>
      <c r="HD3" s="269"/>
      <c r="HE3" s="269"/>
      <c r="HF3" s="269"/>
      <c r="HG3" s="269"/>
      <c r="HH3" s="269"/>
      <c r="HI3" s="269"/>
      <c r="HJ3" s="269"/>
      <c r="HK3" s="269"/>
      <c r="HL3" s="269"/>
      <c r="HM3" s="269"/>
      <c r="HN3" s="269"/>
      <c r="HO3" s="269"/>
      <c r="HP3" s="269"/>
      <c r="HQ3" s="269"/>
      <c r="HR3" s="269"/>
      <c r="HS3" s="269"/>
      <c r="HT3" s="269"/>
    </row>
    <row r="4" spans="1:228" ht="12" thickBot="1">
      <c r="O4" s="272"/>
      <c r="P4" s="272"/>
      <c r="Q4" s="272"/>
      <c r="R4" s="272"/>
      <c r="S4" s="272"/>
      <c r="T4" s="272"/>
      <c r="U4" s="272"/>
      <c r="V4" s="272"/>
      <c r="W4" s="272"/>
      <c r="X4" s="272"/>
      <c r="Y4" s="272"/>
      <c r="Z4" s="272"/>
      <c r="AA4" s="272"/>
      <c r="AB4" s="272"/>
      <c r="AC4" s="272"/>
      <c r="AD4" s="272"/>
      <c r="AE4" s="272"/>
    </row>
    <row r="5" spans="1:228">
      <c r="B5" s="274" t="s">
        <v>432</v>
      </c>
      <c r="C5" s="275">
        <v>46828</v>
      </c>
      <c r="O5" s="272"/>
      <c r="P5" s="272"/>
      <c r="Q5" s="272"/>
      <c r="R5" s="272"/>
      <c r="S5" s="272"/>
      <c r="T5" s="272"/>
      <c r="U5" s="272"/>
      <c r="V5" s="272"/>
      <c r="W5" s="272"/>
      <c r="X5" s="272"/>
      <c r="Y5" s="272"/>
      <c r="Z5" s="272"/>
      <c r="AA5" s="272"/>
      <c r="AB5" s="272"/>
      <c r="AC5" s="272"/>
      <c r="AD5" s="272"/>
      <c r="AE5" s="272"/>
    </row>
    <row r="6" spans="1:228">
      <c r="B6" s="276" t="s">
        <v>475</v>
      </c>
      <c r="C6" s="277">
        <v>5000</v>
      </c>
      <c r="D6" s="272"/>
      <c r="E6" s="656"/>
      <c r="F6" s="656"/>
      <c r="G6" s="656"/>
      <c r="H6" s="656"/>
      <c r="I6" s="656"/>
      <c r="J6" s="656"/>
      <c r="K6" s="656"/>
      <c r="L6" s="656"/>
      <c r="M6" s="656"/>
      <c r="N6" s="656"/>
      <c r="O6" s="272"/>
      <c r="P6" s="272"/>
      <c r="Q6" s="272"/>
      <c r="R6" s="272"/>
      <c r="S6" s="272"/>
      <c r="T6" s="272"/>
      <c r="U6" s="272"/>
      <c r="V6" s="272"/>
      <c r="W6" s="272"/>
      <c r="X6" s="272"/>
      <c r="Y6" s="272"/>
      <c r="Z6" s="272"/>
      <c r="AA6" s="272"/>
      <c r="AB6" s="272"/>
      <c r="AC6" s="272"/>
      <c r="AD6" s="272"/>
      <c r="AE6" s="272"/>
    </row>
    <row r="7" spans="1:228" ht="12" thickBot="1">
      <c r="B7" s="278" t="s">
        <v>476</v>
      </c>
      <c r="C7" s="279" t="b">
        <v>0</v>
      </c>
      <c r="D7" s="272"/>
      <c r="E7" s="272"/>
      <c r="H7" s="280"/>
      <c r="O7" s="656"/>
      <c r="P7" s="656"/>
      <c r="Q7" s="656"/>
      <c r="R7" s="656"/>
      <c r="S7" s="656"/>
      <c r="T7" s="656"/>
      <c r="U7" s="656"/>
      <c r="V7" s="656"/>
      <c r="W7" s="656"/>
      <c r="X7" s="656"/>
      <c r="Y7" s="272"/>
      <c r="Z7" s="272"/>
      <c r="AA7" s="272"/>
      <c r="AB7" s="272"/>
      <c r="AC7" s="272"/>
      <c r="AD7" s="272"/>
      <c r="AE7" s="272"/>
    </row>
    <row r="8" spans="1:228" ht="12" thickBot="1">
      <c r="B8" s="278" t="s">
        <v>477</v>
      </c>
      <c r="C8" s="281">
        <v>0.3</v>
      </c>
      <c r="D8" s="282"/>
      <c r="E8" s="272"/>
      <c r="H8" s="280"/>
      <c r="O8" s="272"/>
      <c r="P8" s="272"/>
      <c r="Q8" s="272"/>
      <c r="R8" s="272"/>
      <c r="S8" s="272"/>
      <c r="T8" s="272"/>
      <c r="U8" s="272"/>
      <c r="V8" s="272"/>
      <c r="W8" s="272"/>
      <c r="X8" s="272"/>
      <c r="Y8" s="272"/>
      <c r="Z8" s="272"/>
      <c r="AA8" s="272"/>
      <c r="AB8" s="272"/>
      <c r="AC8" s="272"/>
      <c r="AD8" s="272"/>
      <c r="AE8" s="272"/>
    </row>
    <row r="9" spans="1:228" ht="12" thickBot="1">
      <c r="B9" s="278" t="s">
        <v>478</v>
      </c>
      <c r="C9" s="283">
        <v>125</v>
      </c>
      <c r="D9" s="282"/>
      <c r="E9" s="272"/>
      <c r="H9" s="280"/>
      <c r="O9" s="272"/>
      <c r="P9" s="272"/>
      <c r="Q9" s="272"/>
      <c r="R9" s="272"/>
      <c r="S9" s="272"/>
      <c r="T9" s="272"/>
      <c r="U9" s="272"/>
      <c r="V9" s="272"/>
      <c r="W9" s="272"/>
      <c r="X9" s="272"/>
      <c r="Y9" s="272"/>
      <c r="Z9" s="272"/>
      <c r="AA9" s="272"/>
      <c r="AB9" s="272"/>
      <c r="AC9" s="272"/>
      <c r="AD9" s="272"/>
      <c r="AE9" s="272"/>
    </row>
    <row r="10" spans="1:228" ht="12" thickBot="1">
      <c r="B10" s="284"/>
      <c r="C10" s="285"/>
      <c r="D10" s="282"/>
      <c r="E10" s="272"/>
      <c r="H10" s="280"/>
      <c r="O10" s="272"/>
      <c r="P10" s="272"/>
      <c r="Q10" s="272"/>
      <c r="R10" s="272"/>
      <c r="S10" s="272"/>
      <c r="T10" s="272"/>
      <c r="U10" s="272"/>
      <c r="V10" s="272"/>
      <c r="W10" s="272"/>
      <c r="X10" s="272"/>
      <c r="Y10" s="272"/>
      <c r="Z10" s="272"/>
      <c r="AA10" s="272"/>
      <c r="AB10" s="272"/>
      <c r="AC10" s="272"/>
      <c r="AD10" s="272"/>
      <c r="AE10" s="272"/>
    </row>
    <row r="11" spans="1:228">
      <c r="B11" s="286" t="s">
        <v>82</v>
      </c>
      <c r="C11" s="287" t="s">
        <v>67</v>
      </c>
      <c r="D11" s="272"/>
      <c r="E11" s="272"/>
      <c r="H11" s="280"/>
      <c r="O11" s="272"/>
      <c r="P11" s="272"/>
      <c r="Q11" s="272"/>
      <c r="R11" s="272"/>
      <c r="S11" s="272"/>
      <c r="T11" s="272"/>
      <c r="U11" s="272"/>
      <c r="V11" s="272"/>
      <c r="W11" s="272"/>
      <c r="X11" s="272"/>
      <c r="Y11" s="272"/>
      <c r="Z11" s="272"/>
      <c r="AA11" s="272"/>
      <c r="AB11" s="272"/>
      <c r="AC11" s="272"/>
      <c r="AD11" s="272"/>
      <c r="AE11" s="272"/>
    </row>
    <row r="12" spans="1:228">
      <c r="B12" s="288" t="s">
        <v>437</v>
      </c>
      <c r="C12" s="289">
        <v>-0.1</v>
      </c>
      <c r="D12" s="282"/>
      <c r="E12" s="272"/>
      <c r="H12" s="280"/>
      <c r="O12" s="272"/>
      <c r="P12" s="272"/>
      <c r="Q12" s="272"/>
      <c r="R12" s="272"/>
      <c r="S12" s="272"/>
      <c r="T12" s="272"/>
      <c r="U12" s="272"/>
      <c r="V12" s="272"/>
      <c r="W12" s="272"/>
      <c r="X12" s="272"/>
      <c r="Y12" s="272"/>
      <c r="Z12" s="272"/>
      <c r="AA12" s="272"/>
      <c r="AB12" s="272"/>
      <c r="AC12" s="272"/>
      <c r="AD12" s="272"/>
      <c r="AE12" s="272"/>
    </row>
    <row r="13" spans="1:228" ht="12" thickBot="1">
      <c r="B13" s="290" t="s">
        <v>439</v>
      </c>
      <c r="C13" s="226">
        <v>0.1</v>
      </c>
      <c r="E13" s="291"/>
      <c r="H13" s="280"/>
      <c r="O13" s="272"/>
      <c r="P13" s="272"/>
      <c r="Q13" s="272"/>
      <c r="R13" s="272"/>
      <c r="S13" s="272"/>
      <c r="T13" s="272"/>
      <c r="U13" s="272"/>
      <c r="V13" s="272"/>
      <c r="W13" s="272"/>
      <c r="X13" s="272"/>
      <c r="Y13" s="272"/>
      <c r="Z13" s="272"/>
      <c r="AA13" s="272"/>
      <c r="AB13" s="272"/>
      <c r="AC13" s="272"/>
      <c r="AD13" s="272"/>
      <c r="AE13" s="272"/>
    </row>
    <row r="14" spans="1:228" ht="12" thickBot="1">
      <c r="B14" s="292"/>
      <c r="C14" s="293"/>
      <c r="E14" s="291"/>
      <c r="H14" s="280"/>
      <c r="O14" s="272"/>
      <c r="P14" s="272"/>
      <c r="Q14" s="272"/>
      <c r="R14" s="272"/>
      <c r="S14" s="272"/>
      <c r="T14" s="272"/>
      <c r="U14" s="272"/>
      <c r="V14" s="272"/>
      <c r="W14" s="272"/>
      <c r="X14" s="272"/>
      <c r="Y14" s="272"/>
      <c r="Z14" s="272"/>
      <c r="AA14" s="272"/>
      <c r="AB14" s="272"/>
      <c r="AC14" s="272"/>
      <c r="AD14" s="272"/>
      <c r="AE14" s="272"/>
    </row>
    <row r="15" spans="1:228">
      <c r="B15" s="274" t="s">
        <v>458</v>
      </c>
      <c r="C15" s="294" t="s">
        <v>459</v>
      </c>
      <c r="E15" s="291"/>
      <c r="H15" s="280"/>
      <c r="O15" s="272"/>
      <c r="P15" s="272"/>
      <c r="Q15" s="272"/>
      <c r="R15" s="272"/>
      <c r="S15" s="272"/>
      <c r="T15" s="272"/>
      <c r="U15" s="272"/>
      <c r="V15" s="272"/>
      <c r="W15" s="272"/>
      <c r="X15" s="272"/>
      <c r="Y15" s="272"/>
      <c r="Z15" s="272"/>
      <c r="AA15" s="272"/>
      <c r="AB15" s="272"/>
      <c r="AC15" s="272"/>
      <c r="AD15" s="272"/>
      <c r="AE15" s="272"/>
    </row>
    <row r="16" spans="1:228">
      <c r="B16" s="276" t="s">
        <v>461</v>
      </c>
      <c r="C16" s="295" t="s">
        <v>479</v>
      </c>
      <c r="E16" s="291"/>
      <c r="H16" s="280"/>
      <c r="O16" s="272"/>
      <c r="P16" s="272"/>
      <c r="Q16" s="272"/>
      <c r="R16" s="272"/>
      <c r="S16" s="272"/>
      <c r="T16" s="272"/>
      <c r="U16" s="272"/>
      <c r="V16" s="272"/>
      <c r="W16" s="272"/>
      <c r="X16" s="272"/>
      <c r="Y16" s="272"/>
      <c r="Z16" s="272"/>
      <c r="AA16" s="272"/>
      <c r="AB16" s="272"/>
      <c r="AC16" s="272"/>
      <c r="AD16" s="272"/>
      <c r="AE16" s="272"/>
    </row>
    <row r="17" spans="2:31" ht="12" thickBot="1">
      <c r="B17" s="278" t="s">
        <v>462</v>
      </c>
      <c r="C17" s="296"/>
      <c r="E17" s="291"/>
      <c r="H17" s="280"/>
      <c r="O17" s="272"/>
      <c r="P17" s="272"/>
      <c r="Q17" s="272"/>
      <c r="R17" s="272"/>
      <c r="S17" s="272"/>
      <c r="T17" s="272"/>
      <c r="U17" s="272"/>
      <c r="V17" s="272"/>
      <c r="W17" s="272"/>
      <c r="X17" s="272"/>
      <c r="Y17" s="272"/>
      <c r="Z17" s="272"/>
      <c r="AA17" s="272"/>
      <c r="AB17" s="272"/>
      <c r="AC17" s="272"/>
      <c r="AD17" s="272"/>
      <c r="AE17" s="272"/>
    </row>
    <row r="18" spans="2:31" ht="12" thickBot="1">
      <c r="B18" s="284"/>
      <c r="C18" s="297"/>
      <c r="E18" s="291"/>
      <c r="H18" s="280"/>
      <c r="O18" s="272"/>
      <c r="P18" s="272"/>
      <c r="Q18" s="272"/>
      <c r="R18" s="272"/>
      <c r="S18" s="272"/>
      <c r="T18" s="272"/>
      <c r="U18" s="272"/>
      <c r="V18" s="272"/>
      <c r="W18" s="272"/>
      <c r="X18" s="272"/>
      <c r="Y18" s="272"/>
      <c r="Z18" s="272"/>
      <c r="AA18" s="272"/>
      <c r="AB18" s="272"/>
      <c r="AC18" s="272"/>
      <c r="AD18" s="272"/>
      <c r="AE18" s="272"/>
    </row>
    <row r="19" spans="2:31" ht="12" thickBot="1">
      <c r="B19" s="286" t="s">
        <v>480</v>
      </c>
      <c r="C19" s="298"/>
      <c r="D19" s="299"/>
      <c r="E19" s="657" t="s">
        <v>481</v>
      </c>
      <c r="F19" s="657"/>
      <c r="G19" s="657"/>
      <c r="H19" s="657"/>
      <c r="I19" s="657"/>
      <c r="J19" s="657"/>
      <c r="K19" s="657"/>
      <c r="L19" s="657"/>
      <c r="M19" s="657"/>
      <c r="N19" s="658"/>
      <c r="O19" s="272"/>
      <c r="P19" s="272"/>
      <c r="Q19" s="272"/>
      <c r="R19" s="272"/>
      <c r="S19" s="272"/>
      <c r="T19" s="272"/>
      <c r="U19" s="272"/>
      <c r="V19" s="272"/>
      <c r="W19" s="272"/>
      <c r="X19" s="272"/>
      <c r="Y19" s="272"/>
      <c r="Z19" s="272"/>
      <c r="AA19" s="272"/>
      <c r="AB19" s="272"/>
      <c r="AC19" s="272"/>
      <c r="AD19" s="272"/>
      <c r="AE19" s="272"/>
    </row>
    <row r="20" spans="2:31" ht="12" thickBot="1">
      <c r="B20" s="301"/>
      <c r="C20" s="302"/>
      <c r="D20" s="303" t="s">
        <v>482</v>
      </c>
      <c r="E20" s="304">
        <v>1</v>
      </c>
      <c r="F20" s="305">
        <v>2</v>
      </c>
      <c r="G20" s="304">
        <v>3</v>
      </c>
      <c r="H20" s="306">
        <v>4</v>
      </c>
      <c r="I20" s="306">
        <v>5</v>
      </c>
      <c r="J20" s="306">
        <v>6</v>
      </c>
      <c r="K20" s="306">
        <v>7</v>
      </c>
      <c r="L20" s="305">
        <v>8</v>
      </c>
      <c r="M20" s="306">
        <v>9</v>
      </c>
      <c r="N20" s="307">
        <v>10</v>
      </c>
      <c r="O20" s="272"/>
      <c r="P20" s="272"/>
      <c r="Q20" s="272"/>
      <c r="R20" s="272"/>
      <c r="S20" s="272"/>
      <c r="T20" s="272"/>
      <c r="U20" s="272"/>
      <c r="V20" s="272"/>
      <c r="W20" s="284"/>
      <c r="X20" s="272"/>
      <c r="Y20" s="272"/>
      <c r="Z20" s="272"/>
      <c r="AA20" s="272"/>
      <c r="AB20" s="272"/>
      <c r="AC20" s="272"/>
      <c r="AD20" s="272"/>
      <c r="AE20" s="272"/>
    </row>
    <row r="21" spans="2:31">
      <c r="B21" s="274" t="s">
        <v>465</v>
      </c>
      <c r="C21" s="308">
        <v>0.54</v>
      </c>
      <c r="D21" s="309" t="s">
        <v>465</v>
      </c>
      <c r="E21" s="310">
        <v>6.0999999999999999E-2</v>
      </c>
      <c r="F21" s="310">
        <v>6.0999999999999999E-2</v>
      </c>
      <c r="G21" s="310">
        <v>6.0999999999999999E-2</v>
      </c>
      <c r="H21" s="310">
        <v>6.0999999999999999E-2</v>
      </c>
      <c r="I21" s="311">
        <v>0.06</v>
      </c>
      <c r="J21" s="311">
        <v>0.06</v>
      </c>
      <c r="K21" s="312"/>
      <c r="L21" s="313"/>
      <c r="M21" s="312"/>
      <c r="N21" s="314"/>
      <c r="O21" s="272"/>
      <c r="P21" s="272"/>
      <c r="Q21" s="272"/>
      <c r="R21" s="272"/>
      <c r="S21" s="272"/>
      <c r="T21" s="272"/>
      <c r="U21" s="272"/>
      <c r="V21" s="272"/>
      <c r="W21" s="272"/>
      <c r="X21" s="272"/>
      <c r="Y21" s="272"/>
      <c r="Z21" s="272"/>
      <c r="AA21" s="272"/>
      <c r="AB21" s="272"/>
      <c r="AC21" s="272"/>
      <c r="AD21" s="272"/>
      <c r="AE21" s="272"/>
    </row>
    <row r="22" spans="2:31" ht="12" thickBot="1">
      <c r="B22" s="278" t="s">
        <v>466</v>
      </c>
      <c r="C22" s="315">
        <v>0.84</v>
      </c>
      <c r="D22" s="309" t="s">
        <v>483</v>
      </c>
      <c r="E22" s="316">
        <v>0.111</v>
      </c>
      <c r="F22" s="316">
        <v>0.111</v>
      </c>
      <c r="G22" s="316">
        <v>0.111</v>
      </c>
      <c r="H22" s="316">
        <v>0.111</v>
      </c>
      <c r="I22" s="317">
        <v>0.11</v>
      </c>
      <c r="J22" s="317">
        <v>0.11</v>
      </c>
      <c r="K22" s="318"/>
      <c r="L22" s="319"/>
      <c r="M22" s="318"/>
      <c r="N22" s="320"/>
      <c r="O22" s="272"/>
      <c r="P22" s="272"/>
      <c r="Q22" s="321"/>
      <c r="R22" s="272"/>
      <c r="S22" s="272"/>
      <c r="T22" s="272"/>
      <c r="U22" s="272"/>
      <c r="V22" s="272"/>
      <c r="W22" s="272"/>
      <c r="X22" s="272"/>
      <c r="Y22" s="272"/>
      <c r="Z22" s="272"/>
      <c r="AA22" s="272"/>
      <c r="AB22" s="272"/>
      <c r="AC22" s="272"/>
      <c r="AD22" s="272"/>
      <c r="AE22" s="272"/>
    </row>
    <row r="23" spans="2:31" ht="12" thickBot="1">
      <c r="B23" s="322"/>
      <c r="C23" s="323"/>
      <c r="D23" s="324" t="s">
        <v>484</v>
      </c>
      <c r="E23" s="325">
        <f t="shared" ref="E23:J23" si="0">0.166666666666667%*100</f>
        <v>0.16666666666666699</v>
      </c>
      <c r="F23" s="325">
        <f t="shared" si="0"/>
        <v>0.16666666666666699</v>
      </c>
      <c r="G23" s="325">
        <f t="shared" si="0"/>
        <v>0.16666666666666699</v>
      </c>
      <c r="H23" s="325">
        <f t="shared" si="0"/>
        <v>0.16666666666666699</v>
      </c>
      <c r="I23" s="325">
        <f t="shared" si="0"/>
        <v>0.16666666666666699</v>
      </c>
      <c r="J23" s="325">
        <f t="shared" si="0"/>
        <v>0.16666666666666699</v>
      </c>
      <c r="K23" s="318"/>
      <c r="L23" s="319"/>
      <c r="M23" s="318"/>
      <c r="N23" s="320"/>
      <c r="O23" s="272"/>
      <c r="P23" s="272"/>
      <c r="Q23" s="272"/>
      <c r="R23" s="272"/>
      <c r="S23" s="272"/>
      <c r="T23" s="272"/>
      <c r="U23" s="272"/>
      <c r="V23" s="272"/>
      <c r="W23" s="272"/>
      <c r="X23" s="272"/>
      <c r="Y23" s="272"/>
      <c r="Z23" s="272"/>
      <c r="AA23" s="272"/>
      <c r="AB23" s="272"/>
      <c r="AC23" s="272"/>
      <c r="AD23" s="272"/>
      <c r="AE23" s="272"/>
    </row>
    <row r="24" spans="2:31" ht="12" thickBot="1">
      <c r="B24" s="322"/>
      <c r="C24" s="323"/>
      <c r="D24" s="326"/>
      <c r="E24" s="327"/>
      <c r="F24" s="328"/>
      <c r="G24" s="328"/>
      <c r="H24" s="328"/>
      <c r="I24" s="328"/>
      <c r="J24" s="328"/>
      <c r="K24" s="328"/>
      <c r="L24" s="328"/>
      <c r="M24" s="328"/>
      <c r="N24" s="126"/>
      <c r="O24" s="272"/>
      <c r="P24" s="272"/>
      <c r="Q24" s="272"/>
      <c r="R24" s="272"/>
      <c r="S24" s="272"/>
      <c r="T24" s="272"/>
      <c r="U24" s="272"/>
      <c r="V24" s="272"/>
      <c r="W24" s="272"/>
      <c r="X24" s="272"/>
      <c r="Y24" s="272"/>
      <c r="Z24" s="272"/>
      <c r="AA24" s="272"/>
      <c r="AB24" s="272"/>
      <c r="AC24" s="272"/>
      <c r="AD24" s="272"/>
      <c r="AE24" s="272"/>
    </row>
    <row r="25" spans="2:31" ht="12" thickBot="1">
      <c r="B25" s="274" t="s">
        <v>485</v>
      </c>
      <c r="C25" s="329">
        <v>8.3836702003960026E-2</v>
      </c>
      <c r="D25" s="330"/>
      <c r="E25" s="655" t="s">
        <v>486</v>
      </c>
      <c r="F25" s="655"/>
      <c r="G25" s="655"/>
      <c r="H25" s="655"/>
      <c r="I25" s="655"/>
      <c r="J25" s="655"/>
      <c r="K25" s="655"/>
      <c r="L25" s="655"/>
      <c r="M25" s="655"/>
      <c r="N25" s="654"/>
      <c r="O25" s="272"/>
      <c r="P25" s="272"/>
      <c r="Q25" s="272"/>
      <c r="R25" s="272"/>
      <c r="S25" s="272"/>
      <c r="T25" s="272"/>
      <c r="U25" s="272"/>
      <c r="V25" s="272"/>
      <c r="W25" s="272"/>
      <c r="X25" s="272"/>
      <c r="Y25" s="272"/>
      <c r="Z25" s="272"/>
      <c r="AA25" s="272"/>
      <c r="AB25" s="272"/>
      <c r="AC25" s="272"/>
      <c r="AD25" s="272"/>
      <c r="AE25" s="272"/>
    </row>
    <row r="26" spans="2:31" ht="12" thickBot="1">
      <c r="B26" s="278" t="s">
        <v>487</v>
      </c>
      <c r="C26" s="331" t="b">
        <v>1</v>
      </c>
      <c r="D26" s="303" t="s">
        <v>488</v>
      </c>
      <c r="E26" s="332">
        <v>1</v>
      </c>
      <c r="F26" s="59">
        <f t="shared" ref="F26:N26" si="1">E26+1</f>
        <v>2</v>
      </c>
      <c r="G26" s="333">
        <f t="shared" si="1"/>
        <v>3</v>
      </c>
      <c r="H26" s="334">
        <f t="shared" si="1"/>
        <v>4</v>
      </c>
      <c r="I26" s="334">
        <f t="shared" si="1"/>
        <v>5</v>
      </c>
      <c r="J26" s="334">
        <f t="shared" si="1"/>
        <v>6</v>
      </c>
      <c r="K26" s="334">
        <f t="shared" si="1"/>
        <v>7</v>
      </c>
      <c r="L26" s="59">
        <f t="shared" si="1"/>
        <v>8</v>
      </c>
      <c r="M26" s="334">
        <f t="shared" si="1"/>
        <v>9</v>
      </c>
      <c r="N26" s="335">
        <f t="shared" si="1"/>
        <v>10</v>
      </c>
      <c r="O26" s="272"/>
      <c r="P26" s="272"/>
      <c r="Q26" s="272"/>
      <c r="R26" s="272"/>
      <c r="S26" s="272"/>
      <c r="T26" s="272"/>
      <c r="U26" s="272"/>
      <c r="V26" s="272"/>
      <c r="W26" s="272"/>
      <c r="X26" s="272"/>
      <c r="Y26" s="272"/>
      <c r="Z26" s="272"/>
      <c r="AA26" s="272"/>
      <c r="AB26" s="272"/>
      <c r="AC26" s="272"/>
      <c r="AD26" s="272"/>
      <c r="AE26" s="272"/>
    </row>
    <row r="27" spans="2:31">
      <c r="B27" s="322"/>
      <c r="D27" s="336">
        <v>0</v>
      </c>
      <c r="E27" s="337">
        <v>1.9E-2</v>
      </c>
      <c r="F27" s="338">
        <v>2.1000000000000001E-2</v>
      </c>
      <c r="G27" s="339">
        <v>2.1999999999999999E-2</v>
      </c>
      <c r="H27" s="340">
        <v>2.1000000000000001E-2</v>
      </c>
      <c r="I27" s="339">
        <v>2.1999999999999999E-2</v>
      </c>
      <c r="J27" s="339">
        <v>2.1000000000000001E-2</v>
      </c>
      <c r="K27" s="313"/>
      <c r="L27" s="341"/>
      <c r="M27" s="313"/>
      <c r="N27" s="289"/>
      <c r="O27" s="272"/>
      <c r="P27" s="272"/>
      <c r="Q27" s="272"/>
      <c r="R27" s="272"/>
      <c r="S27" s="272"/>
      <c r="T27" s="272"/>
      <c r="U27" s="272"/>
      <c r="V27" s="272"/>
      <c r="W27" s="272"/>
      <c r="X27" s="272"/>
      <c r="Y27" s="272"/>
      <c r="Z27" s="272"/>
      <c r="AA27" s="272"/>
      <c r="AB27" s="272"/>
      <c r="AC27" s="272"/>
      <c r="AD27" s="272"/>
      <c r="AE27" s="272"/>
    </row>
    <row r="28" spans="2:31">
      <c r="B28" s="322"/>
      <c r="D28" s="342">
        <v>2.4E-2</v>
      </c>
      <c r="E28" s="337">
        <v>3.5999999999999997E-2</v>
      </c>
      <c r="F28" s="343">
        <v>0.04</v>
      </c>
      <c r="G28" s="344">
        <v>4.1000000000000002E-2</v>
      </c>
      <c r="H28" s="345">
        <v>0.04</v>
      </c>
      <c r="I28" s="345">
        <v>4.1000000000000002E-2</v>
      </c>
      <c r="J28" s="345">
        <v>0.04</v>
      </c>
      <c r="K28" s="346"/>
      <c r="L28" s="346"/>
      <c r="M28" s="346"/>
      <c r="N28" s="346"/>
      <c r="O28" s="272"/>
      <c r="P28" s="272"/>
      <c r="Q28" s="272"/>
      <c r="R28" s="272"/>
      <c r="S28" s="272"/>
      <c r="T28" s="272"/>
      <c r="U28" s="272"/>
      <c r="V28" s="272"/>
      <c r="W28" s="272"/>
      <c r="X28" s="272"/>
      <c r="Y28" s="272"/>
      <c r="Z28" s="272"/>
      <c r="AA28" s="272"/>
      <c r="AB28" s="272"/>
      <c r="AC28" s="272"/>
      <c r="AD28" s="272"/>
      <c r="AE28" s="272"/>
    </row>
    <row r="29" spans="2:31">
      <c r="B29" s="322"/>
      <c r="D29" s="342">
        <v>4.9000000000000002E-2</v>
      </c>
      <c r="E29" s="337">
        <v>6.3E-2</v>
      </c>
      <c r="F29" s="343">
        <v>6.9000000000000006E-2</v>
      </c>
      <c r="G29" s="344">
        <v>7.0999999999999994E-2</v>
      </c>
      <c r="H29" s="345">
        <v>6.9000000000000006E-2</v>
      </c>
      <c r="I29" s="345">
        <v>7.0999999999999994E-2</v>
      </c>
      <c r="J29" s="345">
        <v>6.9000000000000006E-2</v>
      </c>
      <c r="K29" s="346"/>
      <c r="L29" s="346"/>
      <c r="M29" s="346"/>
      <c r="N29" s="346"/>
      <c r="O29" s="272"/>
      <c r="P29" s="272"/>
      <c r="Q29" s="272"/>
      <c r="R29" s="272"/>
      <c r="S29" s="272"/>
      <c r="T29" s="272"/>
      <c r="U29" s="272"/>
      <c r="V29" s="272"/>
      <c r="W29" s="272"/>
      <c r="X29" s="272"/>
      <c r="Y29" s="272"/>
      <c r="Z29" s="272"/>
      <c r="AA29" s="272"/>
      <c r="AB29" s="272"/>
      <c r="AC29" s="272"/>
      <c r="AD29" s="272"/>
      <c r="AE29" s="272"/>
    </row>
    <row r="30" spans="2:31">
      <c r="B30" s="322"/>
      <c r="D30" s="342">
        <v>6.5000000000000002E-2</v>
      </c>
      <c r="E30" s="337">
        <v>9.2999999999999999E-2</v>
      </c>
      <c r="F30" s="343">
        <v>0.107</v>
      </c>
      <c r="G30" s="344">
        <v>0.111</v>
      </c>
      <c r="H30" s="345">
        <v>0.108</v>
      </c>
      <c r="I30" s="345">
        <v>0.112</v>
      </c>
      <c r="J30" s="345">
        <v>0.108</v>
      </c>
      <c r="K30" s="346"/>
      <c r="L30" s="346"/>
      <c r="M30" s="346"/>
      <c r="N30" s="346"/>
      <c r="O30" s="272"/>
      <c r="P30" s="272"/>
      <c r="Q30" s="272"/>
      <c r="R30" s="272"/>
      <c r="S30" s="272"/>
      <c r="T30" s="272"/>
      <c r="U30" s="272"/>
      <c r="V30" s="272"/>
      <c r="W30" s="272"/>
      <c r="X30" s="272"/>
      <c r="Y30" s="272"/>
      <c r="Z30" s="272"/>
      <c r="AA30" s="272"/>
      <c r="AB30" s="272"/>
      <c r="AC30" s="272"/>
      <c r="AD30" s="272"/>
      <c r="AE30" s="272"/>
    </row>
    <row r="31" spans="2:31">
      <c r="B31" s="322"/>
      <c r="D31" s="342">
        <v>8.1000000000000003E-2</v>
      </c>
      <c r="E31" s="337">
        <v>0.13300000000000001</v>
      </c>
      <c r="F31" s="343">
        <v>0.14899999999999999</v>
      </c>
      <c r="G31" s="344">
        <v>0.154</v>
      </c>
      <c r="H31" s="345">
        <v>0.151</v>
      </c>
      <c r="I31" s="345">
        <v>0.154</v>
      </c>
      <c r="J31" s="345">
        <v>0.14899999999999999</v>
      </c>
      <c r="K31" s="346"/>
      <c r="L31" s="346"/>
      <c r="M31" s="346"/>
      <c r="N31" s="346"/>
      <c r="O31" s="272"/>
      <c r="P31" s="272"/>
      <c r="Q31" s="272"/>
      <c r="R31" s="272"/>
      <c r="S31" s="272"/>
      <c r="T31" s="272"/>
      <c r="U31" s="272"/>
      <c r="V31" s="272"/>
      <c r="W31" s="272"/>
      <c r="X31" s="272"/>
      <c r="Y31" s="272"/>
      <c r="Z31" s="272"/>
      <c r="AA31" s="272"/>
      <c r="AB31" s="272"/>
      <c r="AC31" s="272"/>
      <c r="AD31" s="272"/>
      <c r="AE31" s="272"/>
    </row>
    <row r="32" spans="2:31">
      <c r="B32" s="322"/>
      <c r="D32" s="342">
        <v>9.8000000000000004E-2</v>
      </c>
      <c r="E32" s="337">
        <v>0.17399999999999999</v>
      </c>
      <c r="F32" s="343">
        <v>0.191</v>
      </c>
      <c r="G32" s="344">
        <v>0.19600000000000001</v>
      </c>
      <c r="H32" s="345">
        <v>0.19400000000000001</v>
      </c>
      <c r="I32" s="345">
        <v>0.19700000000000001</v>
      </c>
      <c r="J32" s="345">
        <v>0.191</v>
      </c>
      <c r="K32" s="346"/>
      <c r="L32" s="346"/>
      <c r="M32" s="346"/>
      <c r="N32" s="346"/>
      <c r="O32" s="272"/>
      <c r="P32" s="272"/>
      <c r="Q32" s="272"/>
      <c r="R32" s="272"/>
      <c r="S32" s="272"/>
      <c r="T32" s="272"/>
      <c r="U32" s="272"/>
      <c r="V32" s="272"/>
      <c r="W32" s="272"/>
      <c r="X32" s="272"/>
      <c r="Y32" s="272"/>
      <c r="Z32" s="272"/>
      <c r="AA32" s="272"/>
      <c r="AB32" s="272"/>
      <c r="AC32" s="272"/>
      <c r="AD32" s="272"/>
      <c r="AE32" s="272"/>
    </row>
    <row r="33" spans="1:31" ht="12" thickBot="1">
      <c r="B33" s="347"/>
      <c r="C33" s="348"/>
      <c r="D33" s="349">
        <v>0.114</v>
      </c>
      <c r="E33" s="350">
        <v>0.214</v>
      </c>
      <c r="F33" s="351">
        <v>0.23200000000000001</v>
      </c>
      <c r="G33" s="352">
        <v>0.23799999999999999</v>
      </c>
      <c r="H33" s="353">
        <v>0.23499999999999999</v>
      </c>
      <c r="I33" s="352">
        <v>0.23899999999999999</v>
      </c>
      <c r="J33" s="352">
        <v>0.23200000000000001</v>
      </c>
      <c r="K33" s="319"/>
      <c r="L33" s="354"/>
      <c r="M33" s="319"/>
      <c r="N33" s="315"/>
      <c r="O33" s="272"/>
      <c r="P33" s="272"/>
      <c r="Q33" s="272"/>
      <c r="R33" s="272"/>
      <c r="S33" s="272"/>
      <c r="T33" s="272"/>
      <c r="U33" s="272"/>
      <c r="V33" s="272"/>
      <c r="W33" s="272"/>
      <c r="X33" s="272"/>
      <c r="Y33" s="272"/>
      <c r="Z33" s="272"/>
      <c r="AA33" s="272"/>
      <c r="AB33" s="272"/>
      <c r="AC33" s="272"/>
      <c r="AD33" s="272"/>
      <c r="AE33" s="272"/>
    </row>
    <row r="34" spans="1:31" ht="12" thickBot="1">
      <c r="D34" s="272"/>
      <c r="E34" s="272"/>
      <c r="F34" s="272"/>
      <c r="G34" s="272"/>
      <c r="H34" s="272"/>
      <c r="I34" s="272"/>
      <c r="J34" s="272"/>
      <c r="K34" s="272"/>
      <c r="L34" s="272"/>
      <c r="M34" s="272"/>
      <c r="N34" s="272"/>
      <c r="O34" s="272"/>
      <c r="P34" s="272"/>
      <c r="Q34" s="272"/>
      <c r="R34" s="272"/>
      <c r="S34" s="272"/>
      <c r="T34" s="272"/>
      <c r="U34" s="272"/>
      <c r="V34" s="272"/>
      <c r="W34" s="272"/>
      <c r="X34" s="272"/>
      <c r="Y34" s="272"/>
      <c r="Z34" s="272"/>
      <c r="AA34" s="272"/>
      <c r="AB34" s="272"/>
      <c r="AC34" s="272"/>
      <c r="AD34" s="272"/>
      <c r="AE34" s="272"/>
    </row>
    <row r="35" spans="1:31" ht="12" thickBot="1">
      <c r="D35" s="355" t="s">
        <v>423</v>
      </c>
      <c r="E35" s="356" t="b">
        <v>1</v>
      </c>
      <c r="F35" s="272"/>
      <c r="G35" s="272"/>
      <c r="H35" s="272"/>
      <c r="I35" s="272"/>
      <c r="J35" s="272"/>
      <c r="K35" s="272"/>
      <c r="L35" s="272"/>
      <c r="M35" s="272"/>
      <c r="N35" s="272"/>
      <c r="O35" s="272"/>
      <c r="P35" s="272"/>
      <c r="Q35" s="272"/>
      <c r="R35" s="272"/>
      <c r="S35" s="272"/>
      <c r="T35" s="272"/>
      <c r="U35" s="272"/>
      <c r="V35" s="272"/>
      <c r="W35" s="272"/>
      <c r="X35" s="272"/>
      <c r="Y35" s="272"/>
      <c r="Z35" s="272"/>
      <c r="AA35" s="272"/>
      <c r="AB35" s="272"/>
      <c r="AC35" s="272"/>
      <c r="AD35" s="272"/>
      <c r="AE35" s="272"/>
    </row>
    <row r="36" spans="1:31" ht="12" thickBot="1">
      <c r="B36" s="357"/>
      <c r="C36" s="79"/>
      <c r="D36" s="272"/>
      <c r="E36" s="272"/>
      <c r="F36" s="272"/>
      <c r="G36" s="272"/>
      <c r="H36" s="272"/>
      <c r="I36" s="272"/>
      <c r="J36" s="272"/>
      <c r="K36" s="272"/>
      <c r="L36" s="272"/>
      <c r="M36" s="272"/>
      <c r="N36" s="272"/>
      <c r="O36" s="272"/>
      <c r="P36" s="272"/>
      <c r="Q36" s="272"/>
      <c r="R36" s="272"/>
      <c r="S36" s="272"/>
      <c r="T36" s="272"/>
      <c r="U36" s="272"/>
      <c r="V36" s="272"/>
      <c r="W36" s="272"/>
      <c r="X36" s="272"/>
      <c r="Y36" s="272"/>
      <c r="Z36" s="272"/>
      <c r="AA36" s="272"/>
      <c r="AB36" s="272"/>
      <c r="AC36" s="272"/>
      <c r="AD36" s="272"/>
      <c r="AE36" s="272"/>
    </row>
    <row r="37" spans="1:31" ht="13.5" customHeight="1" thickBot="1">
      <c r="B37" s="357"/>
      <c r="C37" s="653" t="s">
        <v>480</v>
      </c>
      <c r="D37" s="654"/>
      <c r="E37" s="655" t="s">
        <v>489</v>
      </c>
      <c r="F37" s="655"/>
      <c r="G37" s="655"/>
      <c r="H37" s="655"/>
      <c r="I37" s="655"/>
      <c r="J37" s="655"/>
      <c r="K37" s="655"/>
      <c r="L37" s="655"/>
      <c r="M37" s="655"/>
      <c r="N37" s="654"/>
      <c r="O37" s="272"/>
      <c r="P37" s="272"/>
      <c r="Q37" s="272"/>
      <c r="R37" s="272"/>
      <c r="S37" s="272"/>
      <c r="T37" s="272"/>
      <c r="U37" s="272"/>
      <c r="V37" s="272"/>
      <c r="W37" s="272"/>
      <c r="X37" s="272"/>
      <c r="Y37" s="272"/>
      <c r="Z37" s="272"/>
      <c r="AA37" s="272"/>
      <c r="AB37" s="272"/>
      <c r="AC37" s="272"/>
      <c r="AD37" s="272"/>
      <c r="AE37" s="272"/>
    </row>
    <row r="38" spans="1:31" ht="12" thickBot="1">
      <c r="B38" s="284"/>
      <c r="C38" s="358" t="s">
        <v>434</v>
      </c>
      <c r="D38" s="359" t="s">
        <v>490</v>
      </c>
      <c r="E38" s="273">
        <v>1</v>
      </c>
      <c r="F38" s="273">
        <f t="shared" ref="F38:N38" si="2">E38+1</f>
        <v>2</v>
      </c>
      <c r="G38" s="273">
        <f t="shared" si="2"/>
        <v>3</v>
      </c>
      <c r="H38" s="273">
        <f t="shared" si="2"/>
        <v>4</v>
      </c>
      <c r="I38" s="273">
        <f t="shared" si="2"/>
        <v>5</v>
      </c>
      <c r="J38" s="273">
        <f t="shared" si="2"/>
        <v>6</v>
      </c>
      <c r="K38" s="273">
        <f t="shared" si="2"/>
        <v>7</v>
      </c>
      <c r="L38" s="273">
        <f t="shared" si="2"/>
        <v>8</v>
      </c>
      <c r="M38" s="273">
        <f t="shared" si="2"/>
        <v>9</v>
      </c>
      <c r="N38" s="360">
        <f t="shared" si="2"/>
        <v>10</v>
      </c>
      <c r="O38" s="272"/>
      <c r="P38" s="272"/>
      <c r="Q38" s="272"/>
      <c r="R38" s="272"/>
      <c r="S38" s="272"/>
      <c r="T38" s="272"/>
      <c r="U38" s="272"/>
      <c r="V38" s="272"/>
      <c r="W38" s="272"/>
      <c r="X38" s="272"/>
      <c r="Y38" s="272"/>
      <c r="Z38" s="272"/>
      <c r="AA38" s="272"/>
      <c r="AB38" s="272"/>
      <c r="AC38" s="272"/>
      <c r="AD38" s="272"/>
      <c r="AE38" s="272"/>
    </row>
    <row r="39" spans="1:31" ht="12" thickBot="1">
      <c r="A39" s="79"/>
      <c r="B39" s="358" t="s">
        <v>491</v>
      </c>
      <c r="C39" s="361" t="e">
        <f t="array" aca="1" ref="C39:N40" ca="1">IF(NOT($E$35),"",EuropeanCDO2(E21:N23, C21, C22, C26,D46:N345, Expected_Recovery, Parameter_Date, C5,CDSRollDate,StrippedDefaultProb,SpreadCurveMaturities,C11,Currency, C13,C12,C15,C16,C17,C6,  D27:N33,  C25, C7))</f>
        <v>#NAME?</v>
      </c>
      <c r="D39" s="362" t="e">
        <f ca="1"/>
        <v>#NAME?</v>
      </c>
      <c r="E39" s="363" t="e">
        <f ca="1"/>
        <v>#NAME?</v>
      </c>
      <c r="F39" s="363" t="e">
        <f ca="1"/>
        <v>#NAME?</v>
      </c>
      <c r="G39" s="363" t="e">
        <f ca="1"/>
        <v>#NAME?</v>
      </c>
      <c r="H39" s="363" t="e">
        <f ca="1"/>
        <v>#NAME?</v>
      </c>
      <c r="I39" s="363" t="e">
        <f ca="1"/>
        <v>#NAME?</v>
      </c>
      <c r="J39" s="363" t="e">
        <f ca="1"/>
        <v>#NAME?</v>
      </c>
      <c r="K39" s="363" t="e">
        <f ca="1"/>
        <v>#NAME?</v>
      </c>
      <c r="L39" s="363" t="e">
        <f ca="1"/>
        <v>#NAME?</v>
      </c>
      <c r="M39" s="363" t="e">
        <f ca="1"/>
        <v>#NAME?</v>
      </c>
      <c r="N39" s="364" t="e">
        <f ca="1"/>
        <v>#NAME?</v>
      </c>
      <c r="O39" s="272"/>
      <c r="P39" s="272"/>
      <c r="Q39" s="272"/>
      <c r="R39" s="272"/>
      <c r="S39" s="272"/>
      <c r="T39" s="272"/>
      <c r="U39" s="272"/>
      <c r="V39" s="272"/>
      <c r="W39" s="272"/>
      <c r="X39" s="272"/>
      <c r="Y39" s="272"/>
      <c r="Z39" s="272"/>
      <c r="AA39" s="272"/>
      <c r="AB39" s="272"/>
      <c r="AC39" s="272"/>
      <c r="AD39" s="272"/>
      <c r="AE39" s="272"/>
    </row>
    <row r="40" spans="1:31" ht="12" thickBot="1">
      <c r="B40" s="358" t="s">
        <v>492</v>
      </c>
      <c r="C40" s="365" t="e">
        <f ca="1"/>
        <v>#NAME?</v>
      </c>
      <c r="D40" s="366" t="e">
        <f ca="1"/>
        <v>#NAME?</v>
      </c>
      <c r="E40" s="367" t="e">
        <f ca="1"/>
        <v>#NAME?</v>
      </c>
      <c r="F40" s="367" t="e">
        <f ca="1"/>
        <v>#NAME?</v>
      </c>
      <c r="G40" s="367" t="e">
        <f ca="1"/>
        <v>#NAME?</v>
      </c>
      <c r="H40" s="367" t="e">
        <f ca="1"/>
        <v>#NAME?</v>
      </c>
      <c r="I40" s="367" t="e">
        <f ca="1"/>
        <v>#NAME?</v>
      </c>
      <c r="J40" s="367" t="e">
        <f ca="1"/>
        <v>#NAME?</v>
      </c>
      <c r="K40" s="367" t="e">
        <f ca="1"/>
        <v>#NAME?</v>
      </c>
      <c r="L40" s="367" t="e">
        <f ca="1"/>
        <v>#NAME?</v>
      </c>
      <c r="M40" s="367" t="e">
        <f ca="1"/>
        <v>#NAME?</v>
      </c>
      <c r="N40" s="368" t="e">
        <f ca="1"/>
        <v>#NAME?</v>
      </c>
      <c r="O40" s="272"/>
      <c r="P40" s="272"/>
      <c r="Q40" s="272"/>
      <c r="R40" s="272"/>
      <c r="S40" s="272"/>
      <c r="T40" s="272"/>
      <c r="U40" s="272"/>
      <c r="V40" s="272"/>
      <c r="W40" s="272"/>
      <c r="X40" s="272"/>
      <c r="Y40" s="272"/>
      <c r="Z40" s="272"/>
      <c r="AA40" s="272"/>
      <c r="AB40" s="272"/>
      <c r="AC40" s="272"/>
      <c r="AD40" s="272"/>
      <c r="AE40" s="272"/>
    </row>
    <row r="41" spans="1:31">
      <c r="C41" s="369"/>
      <c r="D41" s="370" t="e" cm="1">
        <f t="array" aca="1" ref="D41" ca="1">GetTest2(E21:N23)</f>
        <v>#NAME?</v>
      </c>
      <c r="E41" s="370"/>
      <c r="F41" s="371"/>
      <c r="G41" s="370"/>
      <c r="H41" s="371"/>
      <c r="I41" s="369"/>
      <c r="J41" s="371"/>
      <c r="K41" s="369"/>
      <c r="L41" s="371"/>
      <c r="M41" s="369"/>
      <c r="N41" s="369"/>
      <c r="O41" s="272"/>
      <c r="P41" s="656"/>
      <c r="Q41" s="656"/>
      <c r="R41" s="656"/>
      <c r="S41" s="272"/>
      <c r="T41" s="272"/>
      <c r="U41" s="272"/>
      <c r="V41" s="272"/>
      <c r="W41" s="272"/>
      <c r="X41" s="272"/>
      <c r="Y41" s="272"/>
      <c r="Z41" s="272"/>
      <c r="AA41" s="272"/>
      <c r="AB41" s="272"/>
      <c r="AC41" s="272"/>
      <c r="AD41" s="272"/>
      <c r="AE41" s="272"/>
    </row>
    <row r="42" spans="1:31">
      <c r="B42" s="272" t="e" cm="1">
        <f t="array" aca="1" ref="B42" ca="1">GetTest2(E21:N23,C21,C22,C26,D46:N345,Parameter_Date,C5,C11)</f>
        <v>#NAME?</v>
      </c>
      <c r="D42" s="370"/>
      <c r="E42" s="370"/>
      <c r="F42" s="371"/>
      <c r="G42" s="370"/>
      <c r="H42" s="371"/>
      <c r="I42" s="369"/>
      <c r="J42" s="371"/>
      <c r="K42" s="369"/>
      <c r="L42" s="371"/>
      <c r="M42" s="369"/>
      <c r="N42" s="369"/>
      <c r="O42" s="272"/>
      <c r="P42" s="272"/>
      <c r="Q42" s="272"/>
      <c r="R42" s="272"/>
      <c r="S42" s="272"/>
      <c r="T42" s="272"/>
      <c r="U42" s="272"/>
      <c r="V42" s="272"/>
      <c r="W42" s="272"/>
      <c r="X42" s="272"/>
      <c r="Y42" s="272"/>
      <c r="Z42" s="272"/>
      <c r="AA42" s="272"/>
      <c r="AB42" s="272"/>
      <c r="AC42" s="272"/>
      <c r="AD42" s="272"/>
      <c r="AE42" s="272"/>
    </row>
    <row r="43" spans="1:31" ht="12" thickBot="1">
      <c r="D43" s="272"/>
      <c r="E43" s="372"/>
      <c r="O43" s="272"/>
      <c r="P43" s="272"/>
      <c r="Q43" s="272"/>
      <c r="R43" s="272"/>
      <c r="S43" s="272"/>
      <c r="T43" s="272"/>
      <c r="U43" s="272"/>
      <c r="V43" s="272"/>
      <c r="W43" s="272"/>
      <c r="X43" s="272"/>
      <c r="Y43" s="272"/>
      <c r="Z43" s="272"/>
      <c r="AA43" s="272"/>
      <c r="AB43" s="272"/>
      <c r="AC43" s="272"/>
      <c r="AD43" s="272"/>
      <c r="AE43" s="272"/>
    </row>
    <row r="44" spans="1:31" ht="12" thickBot="1">
      <c r="C44" s="323"/>
      <c r="D44" s="373"/>
      <c r="E44" s="653" t="s">
        <v>493</v>
      </c>
      <c r="F44" s="655"/>
      <c r="G44" s="655"/>
      <c r="H44" s="655"/>
      <c r="I44" s="655"/>
      <c r="J44" s="655"/>
      <c r="K44" s="655"/>
      <c r="L44" s="655"/>
      <c r="M44" s="655"/>
      <c r="N44" s="654"/>
      <c r="O44" s="272"/>
      <c r="P44" s="272"/>
      <c r="Q44" s="272"/>
      <c r="R44" s="272"/>
      <c r="S44" s="272"/>
      <c r="T44" s="272"/>
      <c r="U44" s="272"/>
      <c r="V44" s="272"/>
      <c r="W44" s="272"/>
      <c r="X44" s="272"/>
      <c r="Y44" s="272"/>
      <c r="Z44" s="272"/>
      <c r="AA44" s="272"/>
      <c r="AB44" s="272"/>
      <c r="AC44" s="272"/>
      <c r="AD44" s="272"/>
      <c r="AE44" s="272"/>
    </row>
    <row r="45" spans="1:31" ht="12" thickBot="1">
      <c r="B45" s="303" t="s">
        <v>494</v>
      </c>
      <c r="C45" s="300" t="s">
        <v>495</v>
      </c>
      <c r="D45" s="358" t="s">
        <v>474</v>
      </c>
      <c r="E45" s="374">
        <v>1</v>
      </c>
      <c r="F45" s="375">
        <f t="shared" ref="F45:N45" si="3">E45+1</f>
        <v>2</v>
      </c>
      <c r="G45" s="375">
        <f t="shared" si="3"/>
        <v>3</v>
      </c>
      <c r="H45" s="375">
        <f t="shared" si="3"/>
        <v>4</v>
      </c>
      <c r="I45" s="375">
        <f t="shared" si="3"/>
        <v>5</v>
      </c>
      <c r="J45" s="375">
        <f t="shared" si="3"/>
        <v>6</v>
      </c>
      <c r="K45" s="375">
        <f t="shared" si="3"/>
        <v>7</v>
      </c>
      <c r="L45" s="375">
        <f t="shared" si="3"/>
        <v>8</v>
      </c>
      <c r="M45" s="375">
        <f t="shared" si="3"/>
        <v>9</v>
      </c>
      <c r="N45" s="376">
        <f t="shared" si="3"/>
        <v>10</v>
      </c>
      <c r="O45" s="272"/>
      <c r="P45" s="272"/>
      <c r="Q45" s="272"/>
      <c r="R45" s="272"/>
      <c r="S45" s="272"/>
      <c r="T45" s="272"/>
      <c r="U45" s="272"/>
      <c r="V45" s="272"/>
      <c r="W45" s="272"/>
      <c r="X45" s="272"/>
      <c r="Y45" s="272"/>
      <c r="Z45" s="272"/>
      <c r="AA45" s="272"/>
      <c r="AB45" s="272"/>
      <c r="AC45" s="272"/>
      <c r="AD45" s="272"/>
      <c r="AE45" s="272"/>
    </row>
    <row r="46" spans="1:31" ht="15">
      <c r="B46" s="377">
        <v>1</v>
      </c>
      <c r="C46" s="385" t="str" cm="1">
        <f t="array" aca="1" ref="C46" ca="1">IF(B46&lt;=$C$9,GetGetCDSName(B46),"")</f>
        <v>ABNAMRO_MMR.EUR.SU</v>
      </c>
      <c r="D46" s="345">
        <v>0</v>
      </c>
      <c r="E46" s="378">
        <v>0</v>
      </c>
      <c r="F46" s="297">
        <v>0</v>
      </c>
      <c r="G46" s="297">
        <v>1</v>
      </c>
      <c r="H46" s="297">
        <v>0</v>
      </c>
      <c r="I46" s="297">
        <v>0</v>
      </c>
      <c r="J46" s="297">
        <v>0</v>
      </c>
      <c r="K46" s="297"/>
      <c r="L46" s="297"/>
      <c r="M46" s="297"/>
      <c r="N46" s="379"/>
      <c r="O46" s="272"/>
      <c r="P46" s="272"/>
      <c r="Q46" s="272"/>
      <c r="R46" s="272"/>
      <c r="S46" s="272"/>
      <c r="T46" s="272"/>
      <c r="U46" s="272"/>
      <c r="V46" s="272"/>
      <c r="W46" s="272"/>
      <c r="X46" s="272"/>
      <c r="Y46" s="272"/>
      <c r="Z46" s="272"/>
      <c r="AA46" s="272"/>
      <c r="AB46" s="272"/>
      <c r="AC46" s="272"/>
      <c r="AD46" s="272"/>
      <c r="AE46" s="272"/>
    </row>
    <row r="47" spans="1:31" ht="15">
      <c r="B47" s="377">
        <f t="shared" ref="B47:B110" si="4">B46+1</f>
        <v>2</v>
      </c>
      <c r="C47" s="385" t="str" cm="1">
        <f t="array" aca="1" ref="C47" ca="1">IF(B47&lt;=$C$9,GetGetCDSName(B47),"")</f>
        <v>ACCOR_MMR.EUR.SU</v>
      </c>
      <c r="D47" s="345">
        <v>0</v>
      </c>
      <c r="E47" s="378">
        <v>0</v>
      </c>
      <c r="F47" s="297">
        <v>0</v>
      </c>
      <c r="G47" s="297">
        <v>0</v>
      </c>
      <c r="H47" s="297">
        <v>0</v>
      </c>
      <c r="I47" s="297">
        <v>1</v>
      </c>
      <c r="J47" s="297">
        <v>1</v>
      </c>
      <c r="K47" s="297"/>
      <c r="L47" s="297"/>
      <c r="M47" s="297"/>
      <c r="N47" s="379"/>
      <c r="O47" s="272"/>
      <c r="P47" s="272"/>
      <c r="Q47" s="272"/>
      <c r="R47" s="272"/>
      <c r="S47" s="272"/>
      <c r="T47" s="272"/>
      <c r="U47" s="272"/>
      <c r="V47" s="272"/>
      <c r="W47" s="272"/>
      <c r="X47" s="272"/>
      <c r="Y47" s="272"/>
      <c r="Z47" s="272"/>
      <c r="AA47" s="272"/>
      <c r="AB47" s="272"/>
      <c r="AC47" s="272"/>
      <c r="AD47" s="272"/>
      <c r="AE47" s="272"/>
    </row>
    <row r="48" spans="1:31" ht="15">
      <c r="B48" s="377">
        <f t="shared" si="4"/>
        <v>3</v>
      </c>
      <c r="C48" s="385" t="str" cm="1">
        <f t="array" aca="1" ref="C48" ca="1">IF(B48&lt;=$C$9,GetGetCDSName(B48),"")</f>
        <v>ADECCO_MMR.EUR.SU</v>
      </c>
      <c r="D48" s="345">
        <v>0</v>
      </c>
      <c r="E48" s="378">
        <v>0</v>
      </c>
      <c r="F48" s="297">
        <v>0</v>
      </c>
      <c r="G48" s="297">
        <v>1</v>
      </c>
      <c r="H48" s="297">
        <v>0</v>
      </c>
      <c r="I48" s="297">
        <v>1</v>
      </c>
      <c r="J48" s="297">
        <v>0</v>
      </c>
      <c r="K48" s="297"/>
      <c r="L48" s="297"/>
      <c r="M48" s="297"/>
      <c r="N48" s="379"/>
      <c r="O48" s="272"/>
      <c r="P48" s="272"/>
      <c r="Q48" s="272"/>
      <c r="R48" s="272"/>
      <c r="S48" s="272"/>
      <c r="T48" s="272"/>
      <c r="U48" s="272"/>
      <c r="V48" s="272"/>
      <c r="W48" s="272"/>
      <c r="X48" s="272"/>
      <c r="Y48" s="272"/>
      <c r="Z48" s="272"/>
      <c r="AA48" s="272"/>
      <c r="AB48" s="272"/>
      <c r="AC48" s="272"/>
      <c r="AD48" s="272"/>
      <c r="AE48" s="272"/>
    </row>
    <row r="49" spans="2:31" ht="15">
      <c r="B49" s="377">
        <f t="shared" si="4"/>
        <v>4</v>
      </c>
      <c r="C49" s="385" t="str" cm="1">
        <f t="array" aca="1" ref="C49" ca="1">IF(B49&lt;=$C$9,GetGetCDSName(B49),"")</f>
        <v>AEGON_MMR.EUR.SU</v>
      </c>
      <c r="D49" s="345">
        <v>0</v>
      </c>
      <c r="E49" s="378">
        <v>0</v>
      </c>
      <c r="F49" s="297">
        <v>0</v>
      </c>
      <c r="G49" s="297">
        <v>0</v>
      </c>
      <c r="H49" s="297">
        <v>0</v>
      </c>
      <c r="I49" s="297">
        <v>0</v>
      </c>
      <c r="J49" s="297">
        <v>1</v>
      </c>
      <c r="K49" s="297"/>
      <c r="L49" s="297"/>
      <c r="M49" s="297"/>
      <c r="N49" s="379"/>
      <c r="O49" s="272"/>
      <c r="P49" s="272"/>
      <c r="Q49" s="272"/>
      <c r="R49" s="272"/>
      <c r="S49" s="272"/>
      <c r="T49" s="272"/>
      <c r="U49" s="272"/>
      <c r="V49" s="272"/>
      <c r="W49" s="272"/>
      <c r="X49" s="272"/>
      <c r="Y49" s="272"/>
      <c r="Z49" s="272"/>
      <c r="AA49" s="272"/>
      <c r="AB49" s="272"/>
      <c r="AC49" s="272"/>
      <c r="AD49" s="272"/>
      <c r="AE49" s="272"/>
    </row>
    <row r="50" spans="2:31" ht="15">
      <c r="B50" s="377">
        <f t="shared" si="4"/>
        <v>5</v>
      </c>
      <c r="C50" s="385" t="str" cm="1">
        <f t="array" aca="1" ref="C50" ca="1">IF(B50&lt;=$C$9,GetGetCDSName(B50),"")</f>
        <v>AKZONOBEL_MMR.EUR.SU</v>
      </c>
      <c r="D50" s="345">
        <v>0</v>
      </c>
      <c r="E50" s="378">
        <v>0</v>
      </c>
      <c r="F50" s="297">
        <v>0</v>
      </c>
      <c r="G50" s="297">
        <v>0</v>
      </c>
      <c r="H50" s="297">
        <v>1</v>
      </c>
      <c r="I50" s="297">
        <v>0</v>
      </c>
      <c r="J50" s="297">
        <v>0</v>
      </c>
      <c r="K50" s="297"/>
      <c r="L50" s="297"/>
      <c r="M50" s="297"/>
      <c r="N50" s="379"/>
      <c r="O50" s="272"/>
      <c r="P50" s="272"/>
      <c r="Q50" s="272"/>
      <c r="R50" s="272"/>
      <c r="S50" s="272"/>
      <c r="T50" s="272"/>
      <c r="U50" s="272"/>
      <c r="V50" s="272"/>
      <c r="W50" s="272"/>
      <c r="X50" s="272"/>
      <c r="Y50" s="272"/>
      <c r="Z50" s="272"/>
      <c r="AA50" s="272"/>
      <c r="AB50" s="272"/>
      <c r="AC50" s="272"/>
      <c r="AD50" s="272"/>
      <c r="AE50" s="272"/>
    </row>
    <row r="51" spans="2:31" ht="15">
      <c r="B51" s="377">
        <f t="shared" si="4"/>
        <v>6</v>
      </c>
      <c r="C51" s="385" t="str" cm="1">
        <f t="array" aca="1" ref="C51" ca="1">IF(B51&lt;=$C$9,GetGetCDSName(B51),"")</f>
        <v>ALLIANZ_MMR.EUR.SU</v>
      </c>
      <c r="D51" s="345">
        <v>0</v>
      </c>
      <c r="E51" s="378">
        <v>1</v>
      </c>
      <c r="F51" s="297">
        <v>1</v>
      </c>
      <c r="G51" s="297">
        <v>0</v>
      </c>
      <c r="H51" s="297">
        <v>0</v>
      </c>
      <c r="I51" s="297">
        <v>0</v>
      </c>
      <c r="J51" s="297">
        <v>1</v>
      </c>
      <c r="K51" s="297"/>
      <c r="L51" s="297"/>
      <c r="M51" s="297"/>
      <c r="N51" s="379"/>
      <c r="O51" s="272"/>
      <c r="P51" s="272"/>
      <c r="Q51" s="272"/>
      <c r="R51" s="272"/>
      <c r="S51" s="272"/>
      <c r="T51" s="272"/>
      <c r="U51" s="272"/>
      <c r="V51" s="272"/>
      <c r="W51" s="272"/>
      <c r="X51" s="272"/>
      <c r="Y51" s="272"/>
      <c r="Z51" s="272"/>
      <c r="AA51" s="272"/>
      <c r="AB51" s="272"/>
      <c r="AC51" s="272"/>
      <c r="AD51" s="272"/>
      <c r="AE51" s="272"/>
    </row>
    <row r="52" spans="2:31" ht="15">
      <c r="B52" s="377">
        <f t="shared" si="4"/>
        <v>7</v>
      </c>
      <c r="C52" s="385" t="str" cm="1">
        <f t="array" aca="1" ref="C52" ca="1">IF(B52&lt;=$C$9,GetGetCDSName(B52),"")</f>
        <v>ALTADIS_MMR.EUR.SU</v>
      </c>
      <c r="D52" s="345">
        <v>0</v>
      </c>
      <c r="E52" s="378">
        <v>0</v>
      </c>
      <c r="F52" s="297">
        <v>0</v>
      </c>
      <c r="G52" s="297">
        <v>1</v>
      </c>
      <c r="H52" s="297">
        <v>1</v>
      </c>
      <c r="I52" s="297">
        <v>1</v>
      </c>
      <c r="J52" s="297">
        <v>0</v>
      </c>
      <c r="K52" s="297"/>
      <c r="L52" s="297"/>
      <c r="M52" s="297"/>
      <c r="N52" s="379"/>
      <c r="O52" s="272"/>
      <c r="P52" s="272"/>
      <c r="Q52" s="272"/>
      <c r="R52" s="272"/>
      <c r="S52" s="272"/>
      <c r="T52" s="272"/>
      <c r="U52" s="272"/>
      <c r="V52" s="272"/>
      <c r="W52" s="272"/>
      <c r="X52" s="272"/>
      <c r="Y52" s="272"/>
      <c r="Z52" s="272"/>
      <c r="AA52" s="272"/>
      <c r="AB52" s="272"/>
      <c r="AC52" s="272"/>
      <c r="AD52" s="272"/>
      <c r="AE52" s="272"/>
    </row>
    <row r="53" spans="2:31" ht="15">
      <c r="B53" s="377">
        <f t="shared" si="4"/>
        <v>8</v>
      </c>
      <c r="C53" s="385" t="str" cm="1">
        <f t="array" aca="1" ref="C53" ca="1">IF(B53&lt;=$C$9,GetGetCDSName(B53),"")</f>
        <v>ARCELORFINANCESCA_MMR.EUR.SU</v>
      </c>
      <c r="D53" s="345">
        <v>0</v>
      </c>
      <c r="E53" s="378">
        <v>1</v>
      </c>
      <c r="F53" s="297">
        <v>1</v>
      </c>
      <c r="G53" s="297">
        <v>0</v>
      </c>
      <c r="H53" s="297">
        <v>0</v>
      </c>
      <c r="I53" s="297">
        <v>1</v>
      </c>
      <c r="J53" s="297">
        <v>0</v>
      </c>
      <c r="K53" s="297"/>
      <c r="L53" s="297"/>
      <c r="M53" s="297"/>
      <c r="N53" s="379"/>
      <c r="O53" s="272"/>
      <c r="P53" s="272"/>
      <c r="Q53" s="272"/>
      <c r="R53" s="272"/>
      <c r="S53" s="272"/>
      <c r="T53" s="272"/>
      <c r="U53" s="272"/>
      <c r="V53" s="272"/>
      <c r="W53" s="272"/>
      <c r="X53" s="272"/>
      <c r="Y53" s="272"/>
      <c r="Z53" s="272"/>
      <c r="AA53" s="272"/>
      <c r="AB53" s="272"/>
      <c r="AC53" s="272"/>
      <c r="AD53" s="272"/>
      <c r="AE53" s="272"/>
    </row>
    <row r="54" spans="2:31" ht="15">
      <c r="B54" s="377">
        <f t="shared" si="4"/>
        <v>9</v>
      </c>
      <c r="C54" s="385" t="str" cm="1">
        <f t="array" aca="1" ref="C54" ca="1">IF(B54&lt;=$C$9,GetGetCDSName(B54),"")</f>
        <v>AUCHAN_MMR.EUR.SU</v>
      </c>
      <c r="D54" s="345">
        <v>0</v>
      </c>
      <c r="E54" s="378">
        <v>0</v>
      </c>
      <c r="F54" s="297">
        <v>0</v>
      </c>
      <c r="G54" s="297">
        <v>0</v>
      </c>
      <c r="H54" s="297">
        <v>0</v>
      </c>
      <c r="I54" s="297">
        <v>0</v>
      </c>
      <c r="J54" s="297">
        <v>1</v>
      </c>
      <c r="K54" s="297"/>
      <c r="L54" s="297"/>
      <c r="M54" s="297"/>
      <c r="N54" s="379"/>
      <c r="O54" s="272"/>
      <c r="P54" s="272"/>
      <c r="Q54" s="272"/>
      <c r="R54" s="272"/>
      <c r="S54" s="272"/>
      <c r="T54" s="272"/>
      <c r="U54" s="272"/>
      <c r="V54" s="272"/>
      <c r="W54" s="272"/>
      <c r="X54" s="272"/>
      <c r="Y54" s="272"/>
      <c r="Z54" s="272"/>
      <c r="AA54" s="272"/>
      <c r="AB54" s="272"/>
      <c r="AC54" s="272"/>
      <c r="AD54" s="272"/>
      <c r="AE54" s="272"/>
    </row>
    <row r="55" spans="2:31" ht="15">
      <c r="B55" s="377">
        <f t="shared" si="4"/>
        <v>10</v>
      </c>
      <c r="C55" s="385" t="str" cm="1">
        <f t="array" aca="1" ref="C55" ca="1">IF(B55&lt;=$C$9,GetGetCDSName(B55),"")</f>
        <v>AVIVA_MMR.EUR.SU</v>
      </c>
      <c r="D55" s="345">
        <v>0</v>
      </c>
      <c r="E55" s="378">
        <v>0</v>
      </c>
      <c r="F55" s="297">
        <v>0</v>
      </c>
      <c r="G55" s="297">
        <v>1</v>
      </c>
      <c r="H55" s="297">
        <v>1</v>
      </c>
      <c r="I55" s="297">
        <v>0</v>
      </c>
      <c r="J55" s="297">
        <v>0</v>
      </c>
      <c r="K55" s="297"/>
      <c r="L55" s="297"/>
      <c r="M55" s="297"/>
      <c r="N55" s="379"/>
      <c r="O55" s="272"/>
      <c r="P55" s="272"/>
      <c r="Q55" s="272"/>
      <c r="R55" s="272"/>
      <c r="S55" s="272"/>
      <c r="T55" s="272"/>
      <c r="U55" s="272"/>
      <c r="V55" s="272"/>
      <c r="W55" s="272"/>
      <c r="X55" s="272"/>
      <c r="Y55" s="272"/>
      <c r="Z55" s="272"/>
      <c r="AA55" s="272"/>
      <c r="AB55" s="272"/>
      <c r="AC55" s="272"/>
      <c r="AD55" s="272"/>
      <c r="AE55" s="272"/>
    </row>
    <row r="56" spans="2:31" ht="15">
      <c r="B56" s="377">
        <f t="shared" si="4"/>
        <v>11</v>
      </c>
      <c r="C56" s="385" t="str" cm="1">
        <f t="array" aca="1" ref="C56" ca="1">IF(B56&lt;=$C$9,GetGetCDSName(B56),"")</f>
        <v>AXA_MMR.EUR.SU</v>
      </c>
      <c r="D56" s="345">
        <v>0</v>
      </c>
      <c r="E56" s="378">
        <v>1</v>
      </c>
      <c r="F56" s="297">
        <v>0</v>
      </c>
      <c r="G56" s="297">
        <v>0</v>
      </c>
      <c r="H56" s="297">
        <v>0</v>
      </c>
      <c r="I56" s="297">
        <v>0</v>
      </c>
      <c r="J56" s="297">
        <v>0</v>
      </c>
      <c r="K56" s="297"/>
      <c r="L56" s="297"/>
      <c r="M56" s="297"/>
      <c r="N56" s="379"/>
      <c r="O56" s="272"/>
      <c r="P56" s="272"/>
      <c r="Q56" s="272"/>
      <c r="R56" s="272"/>
      <c r="S56" s="272"/>
      <c r="T56" s="272"/>
      <c r="U56" s="272"/>
      <c r="V56" s="272"/>
      <c r="W56" s="272"/>
      <c r="X56" s="272"/>
      <c r="Y56" s="272"/>
      <c r="Z56" s="272"/>
      <c r="AA56" s="272"/>
      <c r="AB56" s="272"/>
      <c r="AC56" s="272"/>
      <c r="AD56" s="272"/>
      <c r="AE56" s="272"/>
    </row>
    <row r="57" spans="2:31" ht="15">
      <c r="B57" s="377">
        <f t="shared" si="4"/>
        <v>12</v>
      </c>
      <c r="C57" s="385" t="str" cm="1">
        <f t="array" aca="1" ref="C57" ca="1">IF(B57&lt;=$C$9,GetGetCDSName(B57),"")</f>
        <v>BANCOESPIRITOSANTO_MMR.EUR.SU</v>
      </c>
      <c r="D57" s="345">
        <v>0</v>
      </c>
      <c r="E57" s="378">
        <v>0</v>
      </c>
      <c r="F57" s="297">
        <v>1</v>
      </c>
      <c r="G57" s="297">
        <v>0</v>
      </c>
      <c r="H57" s="297">
        <v>0</v>
      </c>
      <c r="I57" s="297">
        <v>0</v>
      </c>
      <c r="J57" s="297">
        <v>0</v>
      </c>
      <c r="K57" s="297"/>
      <c r="L57" s="297"/>
      <c r="M57" s="297"/>
      <c r="N57" s="379"/>
      <c r="O57" s="272"/>
      <c r="P57" s="272"/>
      <c r="Q57" s="272"/>
      <c r="R57" s="272"/>
      <c r="S57" s="272"/>
      <c r="T57" s="272"/>
      <c r="U57" s="272"/>
      <c r="V57" s="272"/>
      <c r="W57" s="272"/>
      <c r="X57" s="272"/>
      <c r="Y57" s="272"/>
      <c r="Z57" s="272"/>
      <c r="AA57" s="272"/>
      <c r="AB57" s="272"/>
      <c r="AC57" s="272"/>
      <c r="AD57" s="272"/>
      <c r="AE57" s="272"/>
    </row>
    <row r="58" spans="2:31" ht="15">
      <c r="B58" s="377">
        <f t="shared" si="4"/>
        <v>13</v>
      </c>
      <c r="C58" s="385" t="str" cm="1">
        <f t="array" aca="1" ref="C58" ca="1">IF(B58&lt;=$C$9,GetGetCDSName(B58),"")</f>
        <v>BARCLAYS_MMR.EUR.SU</v>
      </c>
      <c r="D58" s="345">
        <v>0</v>
      </c>
      <c r="E58" s="378">
        <v>0</v>
      </c>
      <c r="F58" s="297">
        <v>0</v>
      </c>
      <c r="G58" s="297">
        <v>0</v>
      </c>
      <c r="H58" s="297">
        <v>1</v>
      </c>
      <c r="I58" s="297">
        <v>0</v>
      </c>
      <c r="J58" s="297">
        <v>0</v>
      </c>
      <c r="K58" s="297"/>
      <c r="L58" s="297"/>
      <c r="M58" s="297"/>
      <c r="N58" s="379"/>
      <c r="O58" s="272"/>
      <c r="P58" s="272"/>
      <c r="Q58" s="272"/>
      <c r="R58" s="272"/>
      <c r="S58" s="272"/>
      <c r="T58" s="272"/>
      <c r="U58" s="272"/>
      <c r="V58" s="272"/>
      <c r="W58" s="272"/>
      <c r="X58" s="272"/>
      <c r="Y58" s="272"/>
      <c r="Z58" s="272"/>
      <c r="AA58" s="272"/>
      <c r="AB58" s="272"/>
      <c r="AC58" s="272"/>
      <c r="AD58" s="272"/>
      <c r="AE58" s="272"/>
    </row>
    <row r="59" spans="2:31" ht="15">
      <c r="B59" s="377">
        <f t="shared" si="4"/>
        <v>14</v>
      </c>
      <c r="C59" s="385" t="str" cm="1">
        <f t="array" aca="1" ref="C59" ca="1">IF(B59&lt;=$C$9,GetGetCDSName(B59),"")</f>
        <v>BASF_MMR.EUR.SU</v>
      </c>
      <c r="D59" s="345">
        <v>0</v>
      </c>
      <c r="E59" s="378">
        <v>0</v>
      </c>
      <c r="F59" s="297">
        <v>0</v>
      </c>
      <c r="G59" s="297">
        <v>0</v>
      </c>
      <c r="H59" s="297">
        <v>1</v>
      </c>
      <c r="I59" s="297">
        <v>1</v>
      </c>
      <c r="J59" s="297">
        <v>0</v>
      </c>
      <c r="K59" s="297"/>
      <c r="L59" s="297"/>
      <c r="M59" s="297"/>
      <c r="N59" s="379"/>
      <c r="O59" s="272"/>
      <c r="P59" s="272"/>
      <c r="Q59" s="272"/>
      <c r="R59" s="272"/>
      <c r="S59" s="272"/>
      <c r="T59" s="272"/>
      <c r="U59" s="272"/>
      <c r="V59" s="272"/>
      <c r="W59" s="272"/>
      <c r="X59" s="272"/>
      <c r="Y59" s="272"/>
      <c r="Z59" s="272"/>
      <c r="AA59" s="272"/>
      <c r="AB59" s="272"/>
      <c r="AC59" s="272"/>
      <c r="AD59" s="272"/>
      <c r="AE59" s="272"/>
    </row>
    <row r="60" spans="2:31" ht="15">
      <c r="B60" s="377">
        <f t="shared" si="4"/>
        <v>15</v>
      </c>
      <c r="C60" s="385" t="str" cm="1">
        <f t="array" aca="1" ref="C60" ca="1">IF(B60&lt;=$C$9,GetGetCDSName(B60),"")</f>
        <v>BAT_MMR.EUR.SU</v>
      </c>
      <c r="D60" s="345">
        <v>0</v>
      </c>
      <c r="E60" s="378">
        <v>1</v>
      </c>
      <c r="F60" s="297">
        <v>0</v>
      </c>
      <c r="G60" s="297">
        <v>0</v>
      </c>
      <c r="H60" s="297">
        <v>1</v>
      </c>
      <c r="I60" s="297">
        <v>1</v>
      </c>
      <c r="J60" s="297">
        <v>0</v>
      </c>
      <c r="K60" s="297"/>
      <c r="L60" s="297"/>
      <c r="M60" s="297"/>
      <c r="N60" s="379"/>
      <c r="O60" s="272"/>
      <c r="P60" s="272"/>
      <c r="Q60" s="272"/>
      <c r="R60" s="272"/>
      <c r="S60" s="272"/>
      <c r="T60" s="272"/>
      <c r="U60" s="272"/>
      <c r="V60" s="272"/>
      <c r="W60" s="272"/>
      <c r="X60" s="272"/>
      <c r="Y60" s="272"/>
      <c r="Z60" s="272"/>
      <c r="AA60" s="272"/>
      <c r="AB60" s="272"/>
      <c r="AC60" s="272"/>
      <c r="AD60" s="272"/>
      <c r="AE60" s="272"/>
    </row>
    <row r="61" spans="2:31" ht="15">
      <c r="B61" s="377">
        <f t="shared" si="4"/>
        <v>16</v>
      </c>
      <c r="C61" s="385" t="str" cm="1">
        <f t="array" aca="1" ref="C61" ca="1">IF(B61&lt;=$C$9,GetGetCDSName(B61),"")</f>
        <v>BAYER_MMR.EUR.SU</v>
      </c>
      <c r="D61" s="345">
        <v>0</v>
      </c>
      <c r="E61" s="378">
        <v>0</v>
      </c>
      <c r="F61" s="297">
        <v>0</v>
      </c>
      <c r="G61" s="297">
        <v>0</v>
      </c>
      <c r="H61" s="297">
        <v>0</v>
      </c>
      <c r="I61" s="297">
        <v>1</v>
      </c>
      <c r="J61" s="297">
        <v>0</v>
      </c>
      <c r="K61" s="297"/>
      <c r="L61" s="297"/>
      <c r="M61" s="297"/>
      <c r="N61" s="379"/>
      <c r="O61" s="272"/>
      <c r="P61" s="272"/>
      <c r="Q61" s="272"/>
      <c r="R61" s="272"/>
      <c r="S61" s="272"/>
      <c r="T61" s="272"/>
      <c r="U61" s="272"/>
      <c r="V61" s="272"/>
      <c r="W61" s="272"/>
      <c r="X61" s="272"/>
      <c r="Y61" s="272"/>
      <c r="Z61" s="272"/>
      <c r="AA61" s="272"/>
      <c r="AB61" s="272"/>
      <c r="AC61" s="272"/>
      <c r="AD61" s="272"/>
      <c r="AE61" s="272"/>
    </row>
    <row r="62" spans="2:31" ht="15">
      <c r="B62" s="377">
        <f t="shared" si="4"/>
        <v>17</v>
      </c>
      <c r="C62" s="385" t="str" cm="1">
        <f t="array" aca="1" ref="C62" ca="1">IF(B62&lt;=$C$9,GetGetCDSName(B62),"")</f>
        <v>BBVA_MMR.EUR.SU</v>
      </c>
      <c r="D62" s="345">
        <v>0</v>
      </c>
      <c r="E62" s="378">
        <v>1</v>
      </c>
      <c r="F62" s="297">
        <v>0</v>
      </c>
      <c r="G62" s="297">
        <v>0</v>
      </c>
      <c r="H62" s="297">
        <v>0</v>
      </c>
      <c r="I62" s="297">
        <v>0</v>
      </c>
      <c r="J62" s="297">
        <v>0</v>
      </c>
      <c r="K62" s="297"/>
      <c r="L62" s="297"/>
      <c r="M62" s="297"/>
      <c r="N62" s="379"/>
      <c r="O62" s="272"/>
      <c r="P62" s="272"/>
      <c r="Q62" s="272"/>
      <c r="R62" s="272"/>
      <c r="S62" s="272"/>
      <c r="T62" s="272"/>
      <c r="U62" s="272"/>
      <c r="V62" s="272"/>
      <c r="W62" s="272"/>
      <c r="X62" s="272"/>
      <c r="Y62" s="272"/>
      <c r="Z62" s="272"/>
      <c r="AA62" s="272"/>
      <c r="AB62" s="272"/>
      <c r="AC62" s="272"/>
      <c r="AD62" s="272"/>
      <c r="AE62" s="272"/>
    </row>
    <row r="63" spans="2:31" ht="15">
      <c r="B63" s="377">
        <f t="shared" si="4"/>
        <v>18</v>
      </c>
      <c r="C63" s="385" t="str" cm="1">
        <f t="array" aca="1" ref="C63" ca="1">IF(B63&lt;=$C$9,GetGetCDSName(B63),"")</f>
        <v>BERTELSMANNAG_MMR.EUR.SU</v>
      </c>
      <c r="D63" s="345">
        <v>0</v>
      </c>
      <c r="E63" s="378">
        <v>0</v>
      </c>
      <c r="F63" s="297">
        <v>1</v>
      </c>
      <c r="G63" s="297">
        <v>0</v>
      </c>
      <c r="H63" s="297">
        <v>0</v>
      </c>
      <c r="I63" s="297">
        <v>0</v>
      </c>
      <c r="J63" s="297">
        <v>0</v>
      </c>
      <c r="K63" s="297"/>
      <c r="L63" s="297"/>
      <c r="M63" s="297"/>
      <c r="N63" s="379"/>
      <c r="O63" s="272"/>
      <c r="P63" s="272"/>
      <c r="Q63" s="272"/>
      <c r="R63" s="272"/>
      <c r="S63" s="272"/>
      <c r="T63" s="272"/>
      <c r="U63" s="272"/>
      <c r="V63" s="272"/>
      <c r="W63" s="272"/>
      <c r="X63" s="272"/>
      <c r="Y63" s="272"/>
      <c r="Z63" s="272"/>
      <c r="AA63" s="272"/>
      <c r="AB63" s="272"/>
      <c r="AC63" s="272"/>
      <c r="AD63" s="272"/>
      <c r="AE63" s="272"/>
    </row>
    <row r="64" spans="2:31" ht="15">
      <c r="B64" s="377">
        <f t="shared" si="4"/>
        <v>19</v>
      </c>
      <c r="C64" s="385" t="str" cm="1">
        <f t="array" aca="1" ref="C64" ca="1">IF(B64&lt;=$C$9,GetGetCDSName(B64),"")</f>
        <v>BMW_MMR.EUR.SU</v>
      </c>
      <c r="D64" s="345">
        <v>0</v>
      </c>
      <c r="E64" s="378">
        <v>0</v>
      </c>
      <c r="F64" s="297">
        <v>0</v>
      </c>
      <c r="G64" s="297">
        <v>1</v>
      </c>
      <c r="H64" s="297">
        <v>0</v>
      </c>
      <c r="I64" s="297">
        <v>0</v>
      </c>
      <c r="J64" s="297">
        <v>0</v>
      </c>
      <c r="K64" s="297"/>
      <c r="L64" s="297"/>
      <c r="M64" s="297"/>
      <c r="N64" s="379"/>
      <c r="O64" s="272"/>
      <c r="P64" s="272"/>
      <c r="Q64" s="272"/>
      <c r="R64" s="272"/>
      <c r="S64" s="272"/>
      <c r="T64" s="272"/>
      <c r="U64" s="272"/>
      <c r="V64" s="272"/>
      <c r="W64" s="272"/>
      <c r="X64" s="272"/>
      <c r="Y64" s="272"/>
      <c r="Z64" s="272"/>
      <c r="AA64" s="272"/>
      <c r="AB64" s="272"/>
      <c r="AC64" s="272"/>
      <c r="AD64" s="272"/>
      <c r="AE64" s="272"/>
    </row>
    <row r="65" spans="2:31" ht="15">
      <c r="B65" s="377">
        <f t="shared" si="4"/>
        <v>20</v>
      </c>
      <c r="C65" s="385" t="str" cm="1">
        <f t="array" aca="1" ref="C65" ca="1">IF(B65&lt;=$C$9,GetGetCDSName(B65),"")</f>
        <v>BNPPARIBAS_MMR.EUR.SU</v>
      </c>
      <c r="D65" s="345">
        <v>0</v>
      </c>
      <c r="E65" s="378">
        <v>1</v>
      </c>
      <c r="F65" s="297">
        <v>0</v>
      </c>
      <c r="G65" s="297">
        <v>1</v>
      </c>
      <c r="H65" s="297">
        <v>1</v>
      </c>
      <c r="I65" s="297">
        <v>0</v>
      </c>
      <c r="J65" s="297">
        <v>0</v>
      </c>
      <c r="K65" s="297"/>
      <c r="L65" s="297"/>
      <c r="M65" s="297"/>
      <c r="N65" s="379"/>
      <c r="O65" s="272"/>
      <c r="P65" s="272"/>
      <c r="Q65" s="272"/>
      <c r="R65" s="272"/>
      <c r="S65" s="272"/>
      <c r="T65" s="272"/>
      <c r="U65" s="272"/>
      <c r="V65" s="272"/>
      <c r="W65" s="272"/>
      <c r="X65" s="272"/>
      <c r="Y65" s="272"/>
      <c r="Z65" s="272"/>
      <c r="AA65" s="272"/>
      <c r="AB65" s="272"/>
      <c r="AC65" s="272"/>
      <c r="AD65" s="272"/>
      <c r="AE65" s="272"/>
    </row>
    <row r="66" spans="2:31" ht="15">
      <c r="B66" s="377">
        <f t="shared" si="4"/>
        <v>21</v>
      </c>
      <c r="C66" s="385" t="str" cm="1">
        <f t="array" aca="1" ref="C66" ca="1">IF(B66&lt;=$C$9,GetGetCDSName(B66),"")</f>
        <v>BRITISHTELECOM_MMR.EUR.SU</v>
      </c>
      <c r="D66" s="345">
        <v>0</v>
      </c>
      <c r="E66" s="378">
        <v>0</v>
      </c>
      <c r="F66" s="297">
        <v>1</v>
      </c>
      <c r="G66" s="297">
        <v>1</v>
      </c>
      <c r="H66" s="297">
        <v>0</v>
      </c>
      <c r="I66" s="297">
        <v>0</v>
      </c>
      <c r="J66" s="297">
        <v>1</v>
      </c>
      <c r="K66" s="297"/>
      <c r="L66" s="297"/>
      <c r="M66" s="297"/>
      <c r="N66" s="379"/>
      <c r="O66" s="272"/>
      <c r="P66" s="272"/>
      <c r="Q66" s="272"/>
      <c r="R66" s="272"/>
      <c r="S66" s="272"/>
      <c r="T66" s="272"/>
      <c r="U66" s="272"/>
      <c r="V66" s="272"/>
      <c r="W66" s="272"/>
      <c r="X66" s="272"/>
      <c r="Y66" s="272"/>
      <c r="Z66" s="272"/>
      <c r="AA66" s="272"/>
      <c r="AB66" s="272"/>
      <c r="AC66" s="272"/>
      <c r="AD66" s="272"/>
      <c r="AE66" s="272"/>
    </row>
    <row r="67" spans="2:31" ht="15">
      <c r="B67" s="377">
        <f t="shared" si="4"/>
        <v>22</v>
      </c>
      <c r="C67" s="385" t="str" cm="1">
        <f t="array" aca="1" ref="C67" ca="1">IF(B67&lt;=$C$9,GetGetCDSName(B67),"")</f>
        <v>BSCH_MMR.EUR.SU</v>
      </c>
      <c r="D67" s="345">
        <v>0</v>
      </c>
      <c r="E67" s="378">
        <v>0</v>
      </c>
      <c r="F67" s="297">
        <v>0</v>
      </c>
      <c r="G67" s="297">
        <v>1</v>
      </c>
      <c r="H67" s="297">
        <v>0</v>
      </c>
      <c r="I67" s="297">
        <v>0</v>
      </c>
      <c r="J67" s="297">
        <v>1</v>
      </c>
      <c r="K67" s="297"/>
      <c r="L67" s="297"/>
      <c r="M67" s="297"/>
      <c r="N67" s="379"/>
      <c r="O67" s="272"/>
      <c r="P67" s="272"/>
      <c r="Q67" s="272"/>
      <c r="R67" s="272"/>
      <c r="S67" s="272"/>
      <c r="T67" s="272"/>
      <c r="U67" s="272"/>
      <c r="V67" s="272"/>
      <c r="W67" s="272"/>
      <c r="X67" s="272"/>
      <c r="Y67" s="272"/>
      <c r="Z67" s="272"/>
      <c r="AA67" s="272"/>
      <c r="AB67" s="272"/>
      <c r="AC67" s="272"/>
      <c r="AD67" s="272"/>
      <c r="AE67" s="272"/>
    </row>
    <row r="68" spans="2:31" ht="15">
      <c r="B68" s="377">
        <f t="shared" si="4"/>
        <v>23</v>
      </c>
      <c r="C68" s="385" t="str" cm="1">
        <f t="array" aca="1" ref="C68" ca="1">IF(B68&lt;=$C$9,GetGetCDSName(B68),"")</f>
        <v>CADBURYSCHWEPPES_MMR.EUR.SU</v>
      </c>
      <c r="D68" s="345">
        <v>0</v>
      </c>
      <c r="E68" s="378">
        <v>0</v>
      </c>
      <c r="F68" s="297">
        <v>0</v>
      </c>
      <c r="G68" s="297">
        <v>0</v>
      </c>
      <c r="H68" s="297">
        <v>0</v>
      </c>
      <c r="I68" s="297">
        <v>0</v>
      </c>
      <c r="J68" s="297">
        <v>1</v>
      </c>
      <c r="K68" s="297"/>
      <c r="L68" s="297"/>
      <c r="M68" s="297"/>
      <c r="N68" s="379"/>
      <c r="O68" s="272"/>
      <c r="P68" s="272"/>
      <c r="Q68" s="272"/>
      <c r="R68" s="272"/>
      <c r="S68" s="272"/>
      <c r="T68" s="272"/>
      <c r="U68" s="272"/>
      <c r="V68" s="272"/>
      <c r="W68" s="272"/>
      <c r="X68" s="272"/>
      <c r="Y68" s="272"/>
      <c r="Z68" s="272"/>
      <c r="AA68" s="272"/>
      <c r="AB68" s="272"/>
      <c r="AC68" s="272"/>
      <c r="AD68" s="272"/>
      <c r="AE68" s="272"/>
    </row>
    <row r="69" spans="2:31" ht="15">
      <c r="B69" s="377">
        <f t="shared" si="4"/>
        <v>24</v>
      </c>
      <c r="C69" s="385" t="str" cm="1">
        <f t="array" aca="1" ref="C69" ca="1">IF(B69&lt;=$C$9,GetGetCDSName(B69),"")</f>
        <v>CAPITALIA_MMR.EUR.SU</v>
      </c>
      <c r="D69" s="345">
        <v>0</v>
      </c>
      <c r="E69" s="378">
        <v>0</v>
      </c>
      <c r="F69" s="297">
        <v>1</v>
      </c>
      <c r="G69" s="297">
        <v>1</v>
      </c>
      <c r="H69" s="297">
        <v>0</v>
      </c>
      <c r="I69" s="297">
        <v>0</v>
      </c>
      <c r="J69" s="297">
        <v>0</v>
      </c>
      <c r="K69" s="297"/>
      <c r="L69" s="297"/>
      <c r="M69" s="297"/>
      <c r="N69" s="379"/>
      <c r="O69" s="272"/>
      <c r="P69" s="272"/>
      <c r="Q69" s="272"/>
      <c r="R69" s="272"/>
      <c r="S69" s="272"/>
      <c r="T69" s="272"/>
      <c r="U69" s="272"/>
      <c r="V69" s="272"/>
      <c r="W69" s="272"/>
      <c r="X69" s="272"/>
      <c r="Y69" s="272"/>
      <c r="Z69" s="272"/>
      <c r="AA69" s="272"/>
      <c r="AB69" s="272"/>
      <c r="AC69" s="272"/>
      <c r="AD69" s="272"/>
      <c r="AE69" s="272"/>
    </row>
    <row r="70" spans="2:31" ht="15">
      <c r="B70" s="377">
        <f t="shared" si="4"/>
        <v>25</v>
      </c>
      <c r="C70" s="385" t="str" cm="1">
        <f t="array" aca="1" ref="C70" ca="1">IF(B70&lt;=$C$9,GetGetCDSName(B70),"")</f>
        <v>CARREFOUR_MMR.EUR.SU</v>
      </c>
      <c r="D70" s="345">
        <v>0</v>
      </c>
      <c r="E70" s="378">
        <v>0</v>
      </c>
      <c r="F70" s="297">
        <v>0</v>
      </c>
      <c r="G70" s="297">
        <v>0</v>
      </c>
      <c r="H70" s="297">
        <v>0</v>
      </c>
      <c r="I70" s="297">
        <v>1</v>
      </c>
      <c r="J70" s="297">
        <v>0</v>
      </c>
      <c r="K70" s="297"/>
      <c r="L70" s="297"/>
      <c r="M70" s="297"/>
      <c r="N70" s="379"/>
      <c r="O70" s="272"/>
      <c r="P70" s="272"/>
      <c r="Q70" s="272"/>
      <c r="R70" s="272"/>
      <c r="S70" s="272"/>
      <c r="T70" s="272"/>
      <c r="U70" s="272"/>
      <c r="V70" s="272"/>
      <c r="W70" s="272"/>
      <c r="X70" s="272"/>
      <c r="Y70" s="272"/>
      <c r="Z70" s="272"/>
      <c r="AA70" s="272"/>
      <c r="AB70" s="272"/>
      <c r="AC70" s="272"/>
      <c r="AD70" s="272"/>
      <c r="AE70" s="272"/>
    </row>
    <row r="71" spans="2:31" ht="15">
      <c r="B71" s="377">
        <f t="shared" si="4"/>
        <v>26</v>
      </c>
      <c r="C71" s="385" t="str" cm="1">
        <f t="array" aca="1" ref="C71" ca="1">IF(B71&lt;=$C$9,GetGetCDSName(B71),"")</f>
        <v>CASINOGUICHARD_MMR.EUR.SU</v>
      </c>
      <c r="D71" s="345">
        <v>0</v>
      </c>
      <c r="E71" s="378">
        <v>1</v>
      </c>
      <c r="F71" s="297">
        <v>0</v>
      </c>
      <c r="G71" s="297">
        <v>0</v>
      </c>
      <c r="H71" s="297">
        <v>0</v>
      </c>
      <c r="I71" s="297">
        <v>1</v>
      </c>
      <c r="J71" s="297">
        <v>1</v>
      </c>
      <c r="K71" s="297"/>
      <c r="L71" s="297"/>
      <c r="M71" s="297"/>
      <c r="N71" s="379"/>
      <c r="O71" s="272"/>
      <c r="P71" s="272"/>
      <c r="Q71" s="272"/>
      <c r="R71" s="272"/>
      <c r="S71" s="272"/>
      <c r="T71" s="272"/>
      <c r="U71" s="272"/>
      <c r="V71" s="272"/>
      <c r="W71" s="272"/>
      <c r="X71" s="272"/>
      <c r="Y71" s="272"/>
      <c r="Z71" s="272"/>
      <c r="AA71" s="272"/>
      <c r="AB71" s="272"/>
      <c r="AC71" s="272"/>
      <c r="AD71" s="272"/>
      <c r="AE71" s="272"/>
    </row>
    <row r="72" spans="2:31" ht="15">
      <c r="B72" s="377">
        <f t="shared" si="4"/>
        <v>27</v>
      </c>
      <c r="C72" s="385" t="str" cm="1">
        <f t="array" aca="1" ref="C72" ca="1">IF(B72&lt;=$C$9,GetGetCDSName(B72),"")</f>
        <v>CENTRICA_MMR.EUR.SU</v>
      </c>
      <c r="D72" s="345">
        <v>0</v>
      </c>
      <c r="E72" s="378">
        <v>0</v>
      </c>
      <c r="F72" s="297">
        <v>1</v>
      </c>
      <c r="G72" s="297">
        <v>0</v>
      </c>
      <c r="H72" s="297">
        <v>1</v>
      </c>
      <c r="I72" s="297">
        <v>0</v>
      </c>
      <c r="J72" s="297">
        <v>0</v>
      </c>
      <c r="K72" s="297"/>
      <c r="L72" s="297"/>
      <c r="M72" s="297"/>
      <c r="N72" s="379"/>
      <c r="O72" s="272"/>
      <c r="P72" s="272"/>
      <c r="Q72" s="272"/>
      <c r="R72" s="272"/>
      <c r="S72" s="272"/>
      <c r="T72" s="272"/>
      <c r="U72" s="272"/>
      <c r="V72" s="272"/>
      <c r="W72" s="272"/>
      <c r="X72" s="272"/>
      <c r="Y72" s="272"/>
      <c r="Z72" s="272"/>
      <c r="AA72" s="272"/>
      <c r="AB72" s="272"/>
      <c r="AC72" s="272"/>
      <c r="AD72" s="272"/>
      <c r="AE72" s="272"/>
    </row>
    <row r="73" spans="2:31" ht="15">
      <c r="B73" s="377">
        <f t="shared" si="4"/>
        <v>28</v>
      </c>
      <c r="C73" s="385" t="str" cm="1">
        <f t="array" aca="1" ref="C73" ca="1">IF(B73&lt;=$C$9,GetGetCDSName(B73),"")</f>
        <v>CIBASC_MMR.EUR.SU</v>
      </c>
      <c r="D73" s="345">
        <v>0</v>
      </c>
      <c r="E73" s="378">
        <v>1</v>
      </c>
      <c r="F73" s="297">
        <v>0</v>
      </c>
      <c r="G73" s="297">
        <v>0</v>
      </c>
      <c r="H73" s="297">
        <v>0</v>
      </c>
      <c r="I73" s="297">
        <v>0</v>
      </c>
      <c r="J73" s="297">
        <v>1</v>
      </c>
      <c r="K73" s="297"/>
      <c r="L73" s="297"/>
      <c r="M73" s="297"/>
      <c r="N73" s="379"/>
      <c r="O73" s="272"/>
      <c r="P73" s="272"/>
      <c r="Q73" s="272"/>
      <c r="R73" s="272"/>
      <c r="S73" s="272"/>
      <c r="T73" s="272"/>
      <c r="U73" s="272"/>
      <c r="V73" s="272"/>
      <c r="W73" s="272"/>
      <c r="X73" s="272"/>
      <c r="Y73" s="272"/>
      <c r="Z73" s="272"/>
      <c r="AA73" s="272"/>
      <c r="AB73" s="272"/>
      <c r="AC73" s="272"/>
      <c r="AD73" s="272"/>
      <c r="AE73" s="272"/>
    </row>
    <row r="74" spans="2:31" ht="15">
      <c r="B74" s="377">
        <f t="shared" si="4"/>
        <v>29</v>
      </c>
      <c r="C74" s="385" t="str" cm="1">
        <f t="array" aca="1" ref="C74" ca="1">IF(B74&lt;=$C$9,GetGetCDSName(B74),"")</f>
        <v>COMMERZBANK_MMR.EUR.SU</v>
      </c>
      <c r="D74" s="345">
        <v>0</v>
      </c>
      <c r="E74" s="378">
        <v>1</v>
      </c>
      <c r="F74" s="297">
        <v>0</v>
      </c>
      <c r="G74" s="297">
        <v>0</v>
      </c>
      <c r="H74" s="297">
        <v>0</v>
      </c>
      <c r="I74" s="297">
        <v>0</v>
      </c>
      <c r="J74" s="297">
        <v>0</v>
      </c>
      <c r="K74" s="297"/>
      <c r="L74" s="297"/>
      <c r="M74" s="297"/>
      <c r="N74" s="379"/>
      <c r="O74" s="272"/>
      <c r="P74" s="272"/>
      <c r="Q74" s="272"/>
      <c r="R74" s="272"/>
      <c r="S74" s="272"/>
      <c r="T74" s="272"/>
      <c r="U74" s="272"/>
      <c r="V74" s="272"/>
      <c r="W74" s="272"/>
      <c r="X74" s="272"/>
      <c r="Y74" s="272"/>
      <c r="Z74" s="272"/>
      <c r="AA74" s="272"/>
      <c r="AB74" s="272"/>
      <c r="AC74" s="272"/>
      <c r="AD74" s="272"/>
      <c r="AE74" s="272"/>
    </row>
    <row r="75" spans="2:31" ht="15">
      <c r="B75" s="377">
        <f t="shared" si="4"/>
        <v>30</v>
      </c>
      <c r="C75" s="385" t="str" cm="1">
        <f t="array" aca="1" ref="C75" ca="1">IF(B75&lt;=$C$9,GetGetCDSName(B75),"")</f>
        <v>COMPASS_MMR.EUR.SU</v>
      </c>
      <c r="D75" s="345">
        <v>0</v>
      </c>
      <c r="E75" s="378">
        <v>0</v>
      </c>
      <c r="F75" s="297">
        <v>1</v>
      </c>
      <c r="G75" s="297">
        <v>0</v>
      </c>
      <c r="H75" s="297">
        <v>0</v>
      </c>
      <c r="I75" s="297">
        <v>1</v>
      </c>
      <c r="J75" s="297">
        <v>1</v>
      </c>
      <c r="K75" s="297"/>
      <c r="L75" s="297"/>
      <c r="M75" s="297"/>
      <c r="N75" s="379"/>
      <c r="O75" s="272"/>
      <c r="P75" s="272"/>
      <c r="Q75" s="272"/>
      <c r="R75" s="272"/>
      <c r="S75" s="272"/>
      <c r="T75" s="272"/>
      <c r="U75" s="272"/>
      <c r="V75" s="272"/>
      <c r="W75" s="272"/>
      <c r="X75" s="272"/>
      <c r="Y75" s="272"/>
      <c r="Z75" s="272"/>
      <c r="AA75" s="272"/>
      <c r="AB75" s="272"/>
      <c r="AC75" s="272"/>
      <c r="AD75" s="272"/>
      <c r="AE75" s="272"/>
    </row>
    <row r="76" spans="2:31" ht="15">
      <c r="B76" s="377">
        <f t="shared" si="4"/>
        <v>31</v>
      </c>
      <c r="C76" s="385" t="str" cm="1">
        <f t="array" aca="1" ref="C76" ca="1">IF(B76&lt;=$C$9,GetGetCDSName(B76),"")</f>
        <v>CONTINENTAL_MMR.EUR.SU</v>
      </c>
      <c r="D76" s="345">
        <v>0</v>
      </c>
      <c r="E76" s="378">
        <v>0</v>
      </c>
      <c r="F76" s="297">
        <v>0</v>
      </c>
      <c r="G76" s="297">
        <v>1</v>
      </c>
      <c r="H76" s="297">
        <v>1</v>
      </c>
      <c r="I76" s="297">
        <v>0</v>
      </c>
      <c r="J76" s="297">
        <v>1</v>
      </c>
      <c r="K76" s="297"/>
      <c r="L76" s="297"/>
      <c r="M76" s="297"/>
      <c r="N76" s="379"/>
      <c r="O76" s="272"/>
      <c r="P76" s="272"/>
      <c r="Q76" s="272"/>
      <c r="R76" s="272"/>
      <c r="S76" s="272"/>
      <c r="T76" s="272"/>
      <c r="U76" s="272"/>
      <c r="V76" s="272"/>
      <c r="W76" s="272"/>
      <c r="X76" s="272"/>
      <c r="Y76" s="272"/>
      <c r="Z76" s="272"/>
      <c r="AA76" s="272"/>
      <c r="AB76" s="272"/>
      <c r="AC76" s="272"/>
      <c r="AD76" s="272"/>
      <c r="AE76" s="272"/>
    </row>
    <row r="77" spans="2:31" ht="15">
      <c r="B77" s="377">
        <f t="shared" si="4"/>
        <v>32</v>
      </c>
      <c r="C77" s="385" t="str" cm="1">
        <f t="array" aca="1" ref="C77" ca="1">IF(B77&lt;=$C$9,GetGetCDSName(B77),"")</f>
        <v>CREDITAGRICOLE_MMR.EUR.SU</v>
      </c>
      <c r="D77" s="345">
        <v>0</v>
      </c>
      <c r="E77" s="378">
        <v>0</v>
      </c>
      <c r="F77" s="297">
        <v>0</v>
      </c>
      <c r="G77" s="297">
        <v>1</v>
      </c>
      <c r="H77" s="297">
        <v>0</v>
      </c>
      <c r="I77" s="297">
        <v>0</v>
      </c>
      <c r="J77" s="297">
        <v>1</v>
      </c>
      <c r="K77" s="297"/>
      <c r="L77" s="297"/>
      <c r="M77" s="297"/>
      <c r="N77" s="379"/>
      <c r="O77" s="272"/>
      <c r="P77" s="272"/>
      <c r="Q77" s="272"/>
      <c r="R77" s="272"/>
      <c r="S77" s="272"/>
      <c r="T77" s="272"/>
      <c r="U77" s="272"/>
      <c r="V77" s="272"/>
      <c r="W77" s="272"/>
      <c r="X77" s="272"/>
      <c r="Y77" s="272"/>
      <c r="Z77" s="272"/>
      <c r="AA77" s="272"/>
      <c r="AB77" s="272"/>
      <c r="AC77" s="272"/>
      <c r="AD77" s="272"/>
      <c r="AE77" s="272"/>
    </row>
    <row r="78" spans="2:31" ht="15">
      <c r="B78" s="377">
        <f t="shared" si="4"/>
        <v>33</v>
      </c>
      <c r="C78" s="385" t="str" cm="1">
        <f t="array" aca="1" ref="C78" ca="1">IF(B78&lt;=$C$9,GetGetCDSName(B78),"")</f>
        <v>CREDITSUISSEGROUP_MMR.EUR.SU</v>
      </c>
      <c r="D78" s="345">
        <v>0</v>
      </c>
      <c r="E78" s="378">
        <v>1</v>
      </c>
      <c r="F78" s="297">
        <v>0</v>
      </c>
      <c r="G78" s="297">
        <v>0</v>
      </c>
      <c r="H78" s="297">
        <v>1</v>
      </c>
      <c r="I78" s="297">
        <v>0</v>
      </c>
      <c r="J78" s="297">
        <v>0</v>
      </c>
      <c r="K78" s="297"/>
      <c r="L78" s="297"/>
      <c r="M78" s="297"/>
      <c r="N78" s="379"/>
      <c r="O78" s="272"/>
      <c r="P78" s="272"/>
      <c r="Q78" s="272"/>
      <c r="R78" s="272"/>
      <c r="S78" s="272"/>
      <c r="T78" s="272"/>
      <c r="U78" s="272"/>
      <c r="V78" s="272"/>
      <c r="W78" s="272"/>
      <c r="X78" s="272"/>
      <c r="Y78" s="272"/>
      <c r="Z78" s="272"/>
      <c r="AA78" s="272"/>
      <c r="AB78" s="272"/>
      <c r="AC78" s="272"/>
      <c r="AD78" s="272"/>
      <c r="AE78" s="272"/>
    </row>
    <row r="79" spans="2:31" ht="15">
      <c r="B79" s="377">
        <f t="shared" si="4"/>
        <v>34</v>
      </c>
      <c r="C79" s="385" t="str" cm="1">
        <f t="array" aca="1" ref="C79" ca="1">IF(B79&lt;=$C$9,GetGetCDSName(B79),"")</f>
        <v>DAIMLERCHRYSLER_MMR.EUR.SU</v>
      </c>
      <c r="D79" s="345">
        <v>0</v>
      </c>
      <c r="E79" s="378">
        <v>1</v>
      </c>
      <c r="F79" s="297">
        <v>0</v>
      </c>
      <c r="G79" s="297">
        <v>1</v>
      </c>
      <c r="H79" s="297">
        <v>0</v>
      </c>
      <c r="I79" s="297">
        <v>0</v>
      </c>
      <c r="J79" s="297">
        <v>1</v>
      </c>
      <c r="K79" s="297"/>
      <c r="L79" s="297"/>
      <c r="M79" s="297"/>
      <c r="N79" s="379"/>
      <c r="O79" s="272"/>
      <c r="P79" s="272"/>
      <c r="Q79" s="272"/>
      <c r="R79" s="272"/>
      <c r="S79" s="272"/>
      <c r="T79" s="272"/>
      <c r="U79" s="272"/>
      <c r="V79" s="272"/>
      <c r="W79" s="272"/>
      <c r="X79" s="272"/>
      <c r="Y79" s="272"/>
      <c r="Z79" s="272"/>
      <c r="AA79" s="272"/>
      <c r="AB79" s="272"/>
      <c r="AC79" s="272"/>
      <c r="AD79" s="272"/>
      <c r="AE79" s="272"/>
    </row>
    <row r="80" spans="2:31" ht="15">
      <c r="B80" s="377">
        <f t="shared" si="4"/>
        <v>35</v>
      </c>
      <c r="C80" s="385" t="str" cm="1">
        <f t="array" aca="1" ref="C80" ca="1">IF(B80&lt;=$C$9,GetGetCDSName(B80),"")</f>
        <v>DANONE_MMR.EUR.SU</v>
      </c>
      <c r="D80" s="345">
        <v>0</v>
      </c>
      <c r="E80" s="378">
        <v>0</v>
      </c>
      <c r="F80" s="297">
        <v>1</v>
      </c>
      <c r="G80" s="297">
        <v>1</v>
      </c>
      <c r="H80" s="297">
        <v>1</v>
      </c>
      <c r="I80" s="297">
        <v>0</v>
      </c>
      <c r="J80" s="297">
        <v>0</v>
      </c>
      <c r="K80" s="297"/>
      <c r="L80" s="297"/>
      <c r="M80" s="297"/>
      <c r="N80" s="379"/>
      <c r="O80" s="272"/>
      <c r="P80" s="272"/>
      <c r="Q80" s="272"/>
      <c r="R80" s="272"/>
      <c r="S80" s="272"/>
      <c r="T80" s="272"/>
      <c r="U80" s="272"/>
      <c r="V80" s="272"/>
      <c r="W80" s="272"/>
      <c r="X80" s="272"/>
      <c r="Y80" s="272"/>
      <c r="Z80" s="272"/>
      <c r="AA80" s="272"/>
      <c r="AB80" s="272"/>
      <c r="AC80" s="272"/>
      <c r="AD80" s="272"/>
      <c r="AE80" s="272"/>
    </row>
    <row r="81" spans="2:31" ht="15">
      <c r="B81" s="377">
        <f t="shared" si="4"/>
        <v>36</v>
      </c>
      <c r="C81" s="385" t="str" cm="1">
        <f t="array" aca="1" ref="C81" ca="1">IF(B81&lt;=$C$9,GetGetCDSName(B81),"")</f>
        <v>DEUTSCHEBANK_MMR.EUR.SU</v>
      </c>
      <c r="D81" s="345">
        <v>0</v>
      </c>
      <c r="E81" s="378">
        <v>0</v>
      </c>
      <c r="F81" s="297">
        <v>1</v>
      </c>
      <c r="G81" s="297">
        <v>0</v>
      </c>
      <c r="H81" s="297">
        <v>0</v>
      </c>
      <c r="I81" s="297">
        <v>1</v>
      </c>
      <c r="J81" s="297">
        <v>0</v>
      </c>
      <c r="K81" s="297"/>
      <c r="L81" s="297"/>
      <c r="M81" s="297"/>
      <c r="N81" s="379"/>
      <c r="O81" s="272"/>
      <c r="P81" s="272"/>
      <c r="Q81" s="272"/>
      <c r="R81" s="272"/>
      <c r="S81" s="272"/>
      <c r="T81" s="272"/>
      <c r="U81" s="272"/>
      <c r="V81" s="272"/>
      <c r="W81" s="272"/>
      <c r="X81" s="272"/>
      <c r="Y81" s="272"/>
      <c r="Z81" s="272"/>
      <c r="AA81" s="272"/>
      <c r="AB81" s="272"/>
      <c r="AC81" s="272"/>
      <c r="AD81" s="272"/>
      <c r="AE81" s="272"/>
    </row>
    <row r="82" spans="2:31" ht="15">
      <c r="B82" s="377">
        <f t="shared" si="4"/>
        <v>37</v>
      </c>
      <c r="C82" s="385" t="str" cm="1">
        <f t="array" aca="1" ref="C82" ca="1">IF(B82&lt;=$C$9,GetGetCDSName(B82),"")</f>
        <v>DEUTSCHEPOSTAG_MMR.EUR.SU</v>
      </c>
      <c r="D82" s="345">
        <v>0</v>
      </c>
      <c r="E82" s="378">
        <v>0</v>
      </c>
      <c r="F82" s="297">
        <v>0</v>
      </c>
      <c r="G82" s="297">
        <v>1</v>
      </c>
      <c r="H82" s="297">
        <v>0</v>
      </c>
      <c r="I82" s="297">
        <v>1</v>
      </c>
      <c r="J82" s="297">
        <v>0</v>
      </c>
      <c r="K82" s="297"/>
      <c r="L82" s="297"/>
      <c r="M82" s="297"/>
      <c r="N82" s="379"/>
      <c r="O82" s="272"/>
      <c r="P82" s="272"/>
      <c r="Q82" s="272"/>
      <c r="R82" s="272"/>
      <c r="S82" s="272"/>
      <c r="T82" s="272"/>
      <c r="U82" s="272"/>
      <c r="V82" s="272"/>
      <c r="W82" s="272"/>
      <c r="X82" s="272"/>
      <c r="Y82" s="272"/>
      <c r="Z82" s="272"/>
      <c r="AA82" s="272"/>
      <c r="AB82" s="272"/>
      <c r="AC82" s="272"/>
      <c r="AD82" s="272"/>
      <c r="AE82" s="272"/>
    </row>
    <row r="83" spans="2:31" ht="15">
      <c r="B83" s="377">
        <f t="shared" si="4"/>
        <v>38</v>
      </c>
      <c r="C83" s="385" t="str" cm="1">
        <f t="array" aca="1" ref="C83" ca="1">IF(B83&lt;=$C$9,GetGetCDSName(B83),"")</f>
        <v>DEUTSCHETELEKOM_MMR.EUR.SU</v>
      </c>
      <c r="D83" s="345">
        <v>0</v>
      </c>
      <c r="E83" s="378">
        <v>0</v>
      </c>
      <c r="F83" s="297">
        <v>1</v>
      </c>
      <c r="G83" s="297">
        <v>0</v>
      </c>
      <c r="H83" s="297">
        <v>0</v>
      </c>
      <c r="I83" s="297">
        <v>0</v>
      </c>
      <c r="J83" s="297">
        <v>1</v>
      </c>
      <c r="K83" s="297"/>
      <c r="L83" s="297"/>
      <c r="M83" s="297"/>
      <c r="N83" s="379"/>
      <c r="O83" s="272"/>
      <c r="P83" s="272"/>
      <c r="Q83" s="272"/>
      <c r="R83" s="272"/>
      <c r="S83" s="272"/>
      <c r="T83" s="272"/>
      <c r="U83" s="272"/>
      <c r="V83" s="272"/>
      <c r="W83" s="272"/>
      <c r="X83" s="272"/>
      <c r="Y83" s="272"/>
      <c r="Z83" s="272"/>
      <c r="AA83" s="272"/>
      <c r="AB83" s="272"/>
      <c r="AC83" s="272"/>
      <c r="AD83" s="272"/>
      <c r="AE83" s="272"/>
    </row>
    <row r="84" spans="2:31" ht="15">
      <c r="B84" s="377">
        <f t="shared" si="4"/>
        <v>39</v>
      </c>
      <c r="C84" s="385" t="str" cm="1">
        <f t="array" aca="1" ref="C84" ca="1">IF(B84&lt;=$C$9,GetGetCDSName(B84),"")</f>
        <v>DIAGEO_MMR.EUR.SU</v>
      </c>
      <c r="D84" s="345">
        <v>0</v>
      </c>
      <c r="E84" s="378">
        <v>1</v>
      </c>
      <c r="F84" s="297">
        <v>0</v>
      </c>
      <c r="G84" s="297">
        <v>0</v>
      </c>
      <c r="H84" s="297">
        <v>0</v>
      </c>
      <c r="I84" s="297">
        <v>1</v>
      </c>
      <c r="J84" s="297">
        <v>0</v>
      </c>
      <c r="K84" s="297"/>
      <c r="L84" s="297"/>
      <c r="M84" s="297"/>
      <c r="N84" s="379"/>
      <c r="O84" s="272"/>
      <c r="P84" s="272"/>
      <c r="Q84" s="272"/>
      <c r="R84" s="272"/>
      <c r="S84" s="272"/>
      <c r="T84" s="272"/>
      <c r="U84" s="272"/>
      <c r="V84" s="272"/>
      <c r="W84" s="272"/>
      <c r="X84" s="272"/>
      <c r="Y84" s="272"/>
      <c r="Z84" s="272"/>
      <c r="AA84" s="272"/>
      <c r="AB84" s="272"/>
      <c r="AC84" s="272"/>
      <c r="AD84" s="272"/>
      <c r="AE84" s="272"/>
    </row>
    <row r="85" spans="2:31" ht="15">
      <c r="B85" s="377">
        <f t="shared" si="4"/>
        <v>40</v>
      </c>
      <c r="C85" s="385" t="str" cm="1">
        <f t="array" aca="1" ref="C85" ca="1">IF(B85&lt;=$C$9,GetGetCDSName(B85),"")</f>
        <v>DIXONSGROUPPLC_MMR.EUR.SU</v>
      </c>
      <c r="D85" s="345">
        <v>0</v>
      </c>
      <c r="E85" s="378">
        <v>0</v>
      </c>
      <c r="F85" s="297">
        <v>0</v>
      </c>
      <c r="G85" s="297">
        <v>0</v>
      </c>
      <c r="H85" s="297">
        <v>1</v>
      </c>
      <c r="I85" s="297">
        <v>1</v>
      </c>
      <c r="J85" s="297">
        <v>1</v>
      </c>
      <c r="K85" s="297"/>
      <c r="L85" s="297"/>
      <c r="M85" s="297"/>
      <c r="N85" s="379"/>
      <c r="O85" s="272"/>
      <c r="P85" s="272"/>
      <c r="Q85" s="272"/>
      <c r="R85" s="272"/>
      <c r="S85" s="272"/>
      <c r="T85" s="272"/>
      <c r="U85" s="272"/>
      <c r="V85" s="272"/>
      <c r="W85" s="272"/>
      <c r="X85" s="272"/>
      <c r="Y85" s="272"/>
      <c r="Z85" s="272"/>
      <c r="AA85" s="272"/>
      <c r="AB85" s="272"/>
      <c r="AC85" s="272"/>
      <c r="AD85" s="272"/>
      <c r="AE85" s="272"/>
    </row>
    <row r="86" spans="2:31" ht="15">
      <c r="B86" s="377">
        <f t="shared" si="4"/>
        <v>41</v>
      </c>
      <c r="C86" s="385" t="str" cm="1">
        <f t="array" aca="1" ref="C86" ca="1">IF(B86&lt;=$C$9,GetGetCDSName(B86),"")</f>
        <v>DSM_MMR.EUR.SU</v>
      </c>
      <c r="D86" s="345">
        <v>0</v>
      </c>
      <c r="E86" s="378">
        <v>0</v>
      </c>
      <c r="F86" s="297">
        <v>0</v>
      </c>
      <c r="G86" s="297">
        <v>0</v>
      </c>
      <c r="H86" s="297">
        <v>1</v>
      </c>
      <c r="I86" s="297">
        <v>0</v>
      </c>
      <c r="J86" s="297">
        <v>1</v>
      </c>
      <c r="K86" s="297"/>
      <c r="L86" s="297"/>
      <c r="M86" s="297"/>
      <c r="N86" s="379"/>
      <c r="O86" s="272"/>
      <c r="P86" s="272"/>
      <c r="Q86" s="272"/>
      <c r="R86" s="272"/>
      <c r="S86" s="272"/>
      <c r="T86" s="272"/>
      <c r="U86" s="272"/>
      <c r="V86" s="272"/>
      <c r="W86" s="272"/>
      <c r="X86" s="272"/>
      <c r="Y86" s="272"/>
      <c r="Z86" s="272"/>
      <c r="AA86" s="272"/>
      <c r="AB86" s="272"/>
      <c r="AC86" s="272"/>
      <c r="AD86" s="272"/>
      <c r="AE86" s="272"/>
    </row>
    <row r="87" spans="2:31" ht="15">
      <c r="B87" s="377">
        <f t="shared" si="4"/>
        <v>42</v>
      </c>
      <c r="C87" s="385" t="str" cm="1">
        <f t="array" aca="1" ref="C87" ca="1">IF(B87&lt;=$C$9,GetGetCDSName(B87),"")</f>
        <v>EADS_MMR.EUR.SU</v>
      </c>
      <c r="D87" s="345">
        <v>0</v>
      </c>
      <c r="E87" s="378">
        <v>1</v>
      </c>
      <c r="F87" s="297">
        <v>0</v>
      </c>
      <c r="G87" s="297">
        <v>1</v>
      </c>
      <c r="H87" s="297">
        <v>0</v>
      </c>
      <c r="I87" s="297">
        <v>0</v>
      </c>
      <c r="J87" s="297">
        <v>0</v>
      </c>
      <c r="K87" s="297"/>
      <c r="L87" s="297"/>
      <c r="M87" s="297"/>
      <c r="N87" s="379"/>
      <c r="O87" s="272"/>
      <c r="P87" s="272"/>
      <c r="Q87" s="272"/>
      <c r="R87" s="272"/>
      <c r="S87" s="272"/>
      <c r="T87" s="272"/>
      <c r="U87" s="272"/>
      <c r="V87" s="272"/>
      <c r="W87" s="272"/>
      <c r="X87" s="272"/>
      <c r="Y87" s="272"/>
      <c r="Z87" s="272"/>
      <c r="AA87" s="272"/>
      <c r="AB87" s="272"/>
      <c r="AC87" s="272"/>
      <c r="AD87" s="272"/>
      <c r="AE87" s="272"/>
    </row>
    <row r="88" spans="2:31" ht="15">
      <c r="B88" s="377">
        <f t="shared" si="4"/>
        <v>43</v>
      </c>
      <c r="C88" s="385" t="str" cm="1">
        <f t="array" aca="1" ref="C88" ca="1">IF(B88&lt;=$C$9,GetGetCDSName(B88),"")</f>
        <v>EDF_MMR.EUR.SU</v>
      </c>
      <c r="D88" s="345">
        <v>0</v>
      </c>
      <c r="E88" s="378">
        <v>0</v>
      </c>
      <c r="F88" s="297">
        <v>1</v>
      </c>
      <c r="G88" s="297">
        <v>0</v>
      </c>
      <c r="H88" s="297">
        <v>0</v>
      </c>
      <c r="I88" s="297">
        <v>0</v>
      </c>
      <c r="J88" s="297">
        <v>0</v>
      </c>
      <c r="K88" s="297"/>
      <c r="L88" s="297"/>
      <c r="M88" s="297"/>
      <c r="N88" s="379"/>
      <c r="O88" s="272"/>
      <c r="P88" s="272"/>
      <c r="Q88" s="272"/>
      <c r="R88" s="272"/>
      <c r="S88" s="272"/>
      <c r="T88" s="272"/>
      <c r="U88" s="272"/>
      <c r="V88" s="272"/>
      <c r="W88" s="272"/>
      <c r="X88" s="272"/>
      <c r="Y88" s="272"/>
      <c r="Z88" s="272"/>
      <c r="AA88" s="272"/>
      <c r="AB88" s="272"/>
      <c r="AC88" s="272"/>
      <c r="AD88" s="272"/>
      <c r="AE88" s="272"/>
    </row>
    <row r="89" spans="2:31" ht="15">
      <c r="B89" s="377">
        <f t="shared" si="4"/>
        <v>44</v>
      </c>
      <c r="C89" s="385" t="str" cm="1">
        <f t="array" aca="1" ref="C89" ca="1">IF(B89&lt;=$C$9,GetGetCDSName(B89),"")</f>
        <v>EDISON_MMR.EUR.SU</v>
      </c>
      <c r="D89" s="345">
        <v>0</v>
      </c>
      <c r="E89" s="378">
        <v>1</v>
      </c>
      <c r="F89" s="297">
        <v>0</v>
      </c>
      <c r="G89" s="297">
        <v>0</v>
      </c>
      <c r="H89" s="297">
        <v>0</v>
      </c>
      <c r="I89" s="297">
        <v>0</v>
      </c>
      <c r="J89" s="297">
        <v>0</v>
      </c>
      <c r="K89" s="297"/>
      <c r="L89" s="297"/>
      <c r="M89" s="297"/>
      <c r="N89" s="379"/>
      <c r="O89" s="272"/>
      <c r="P89" s="272"/>
      <c r="Q89" s="272"/>
      <c r="R89" s="272"/>
      <c r="S89" s="272"/>
      <c r="T89" s="272"/>
      <c r="U89" s="272"/>
      <c r="V89" s="272"/>
      <c r="W89" s="272"/>
      <c r="X89" s="272"/>
      <c r="Y89" s="272"/>
      <c r="Z89" s="272"/>
      <c r="AA89" s="272"/>
      <c r="AB89" s="272"/>
      <c r="AC89" s="272"/>
      <c r="AD89" s="272"/>
      <c r="AE89" s="272"/>
    </row>
    <row r="90" spans="2:31" ht="15">
      <c r="B90" s="377">
        <f t="shared" si="4"/>
        <v>45</v>
      </c>
      <c r="C90" s="385" t="str" cm="1">
        <f t="array" aca="1" ref="C90" ca="1">IF(B90&lt;=$C$9,GetGetCDSName(B90),"")</f>
        <v>ELECTRICITEDEPORTUGAL_MMR.EUR.SU</v>
      </c>
      <c r="D90" s="345">
        <v>0</v>
      </c>
      <c r="E90" s="378">
        <v>0</v>
      </c>
      <c r="F90" s="297">
        <v>0</v>
      </c>
      <c r="G90" s="297">
        <v>1</v>
      </c>
      <c r="H90" s="297">
        <v>0</v>
      </c>
      <c r="I90" s="297">
        <v>0</v>
      </c>
      <c r="J90" s="297">
        <v>0</v>
      </c>
      <c r="K90" s="297"/>
      <c r="L90" s="297"/>
      <c r="M90" s="297"/>
      <c r="N90" s="379"/>
      <c r="O90" s="272"/>
      <c r="P90" s="272"/>
      <c r="Q90" s="272"/>
      <c r="R90" s="272"/>
      <c r="S90" s="272"/>
      <c r="T90" s="272"/>
      <c r="U90" s="272"/>
      <c r="V90" s="272"/>
      <c r="W90" s="272"/>
      <c r="X90" s="272"/>
      <c r="Y90" s="272"/>
      <c r="Z90" s="272"/>
      <c r="AA90" s="272"/>
      <c r="AB90" s="272"/>
      <c r="AC90" s="272"/>
      <c r="AD90" s="272"/>
      <c r="AE90" s="272"/>
    </row>
    <row r="91" spans="2:31" ht="15">
      <c r="B91" s="377">
        <f t="shared" si="4"/>
        <v>46</v>
      </c>
      <c r="C91" s="385" t="str" cm="1">
        <f t="array" aca="1" ref="C91" ca="1">IF(B91&lt;=$C$9,GetGetCDSName(B91),"")</f>
        <v>ELECTROLUX_MMR.EUR.SU</v>
      </c>
      <c r="D91" s="345">
        <v>0</v>
      </c>
      <c r="E91" s="378">
        <v>1</v>
      </c>
      <c r="F91" s="297">
        <v>1</v>
      </c>
      <c r="G91" s="297">
        <v>1</v>
      </c>
      <c r="H91" s="297">
        <v>0</v>
      </c>
      <c r="I91" s="297">
        <v>0</v>
      </c>
      <c r="J91" s="297">
        <v>0</v>
      </c>
      <c r="K91" s="297"/>
      <c r="L91" s="297"/>
      <c r="M91" s="297"/>
      <c r="N91" s="379"/>
      <c r="O91" s="272"/>
      <c r="P91" s="272"/>
      <c r="Q91" s="272"/>
      <c r="R91" s="272"/>
      <c r="S91" s="272"/>
      <c r="T91" s="272"/>
      <c r="U91" s="272"/>
      <c r="V91" s="272"/>
      <c r="W91" s="272"/>
      <c r="X91" s="272"/>
      <c r="Y91" s="272"/>
      <c r="Z91" s="272"/>
      <c r="AA91" s="272"/>
      <c r="AB91" s="272"/>
      <c r="AC91" s="272"/>
      <c r="AD91" s="272"/>
      <c r="AE91" s="272"/>
    </row>
    <row r="92" spans="2:31" ht="15">
      <c r="B92" s="377">
        <f t="shared" si="4"/>
        <v>47</v>
      </c>
      <c r="C92" s="385" t="str" cm="1">
        <f t="array" aca="1" ref="C92" ca="1">IF(B92&lt;=$C$9,GetGetCDSName(B92),"")</f>
        <v>ENDESA_MMR.EUR.SU</v>
      </c>
      <c r="D92" s="345">
        <v>0</v>
      </c>
      <c r="E92" s="378">
        <v>0</v>
      </c>
      <c r="F92" s="297">
        <v>1</v>
      </c>
      <c r="G92" s="297">
        <v>0</v>
      </c>
      <c r="H92" s="297">
        <v>1</v>
      </c>
      <c r="I92" s="297">
        <v>1</v>
      </c>
      <c r="J92" s="297">
        <v>0</v>
      </c>
      <c r="K92" s="297"/>
      <c r="L92" s="297"/>
      <c r="M92" s="297"/>
      <c r="N92" s="379"/>
      <c r="O92" s="272"/>
      <c r="P92" s="272"/>
      <c r="Q92" s="272"/>
      <c r="R92" s="272"/>
      <c r="S92" s="272"/>
      <c r="T92" s="272"/>
      <c r="U92" s="272"/>
      <c r="V92" s="272"/>
      <c r="W92" s="272"/>
      <c r="X92" s="272"/>
      <c r="Y92" s="272"/>
      <c r="Z92" s="272"/>
      <c r="AA92" s="272"/>
      <c r="AB92" s="272"/>
      <c r="AC92" s="272"/>
      <c r="AD92" s="272"/>
      <c r="AE92" s="272"/>
    </row>
    <row r="93" spans="2:31" ht="15">
      <c r="B93" s="377">
        <f t="shared" si="4"/>
        <v>48</v>
      </c>
      <c r="C93" s="385" t="str" cm="1">
        <f t="array" aca="1" ref="C93" ca="1">IF(B93&lt;=$C$9,GetGetCDSName(B93),"")</f>
        <v>ENEL_MMR.EUR.SU</v>
      </c>
      <c r="D93" s="345">
        <v>0</v>
      </c>
      <c r="E93" s="378">
        <v>1</v>
      </c>
      <c r="F93" s="297">
        <v>1</v>
      </c>
      <c r="G93" s="297">
        <v>1</v>
      </c>
      <c r="H93" s="297">
        <v>0</v>
      </c>
      <c r="I93" s="297">
        <v>0</v>
      </c>
      <c r="J93" s="297">
        <v>0</v>
      </c>
      <c r="K93" s="297"/>
      <c r="L93" s="297"/>
      <c r="M93" s="297"/>
      <c r="N93" s="379"/>
      <c r="O93" s="272"/>
      <c r="P93" s="272"/>
      <c r="Q93" s="272"/>
      <c r="R93" s="272"/>
      <c r="S93" s="272"/>
      <c r="T93" s="272"/>
      <c r="U93" s="272"/>
      <c r="V93" s="272"/>
      <c r="W93" s="272"/>
      <c r="X93" s="272"/>
      <c r="Y93" s="272"/>
      <c r="Z93" s="272"/>
      <c r="AA93" s="272"/>
      <c r="AB93" s="272"/>
      <c r="AC93" s="272"/>
      <c r="AD93" s="272"/>
      <c r="AE93" s="272"/>
    </row>
    <row r="94" spans="2:31" ht="15">
      <c r="B94" s="377">
        <f t="shared" si="4"/>
        <v>49</v>
      </c>
      <c r="C94" s="385" t="str" cm="1">
        <f t="array" aca="1" ref="C94" ca="1">IF(B94&lt;=$C$9,GetGetCDSName(B94),"")</f>
        <v>ENERGIEBADENWUERTTEMBERG_MMR.EUR.SU</v>
      </c>
      <c r="D94" s="345">
        <v>0</v>
      </c>
      <c r="E94" s="378">
        <v>0</v>
      </c>
      <c r="F94" s="297">
        <v>1</v>
      </c>
      <c r="G94" s="297">
        <v>0</v>
      </c>
      <c r="H94" s="297">
        <v>0</v>
      </c>
      <c r="I94" s="297">
        <v>0</v>
      </c>
      <c r="J94" s="297">
        <v>1</v>
      </c>
      <c r="K94" s="297"/>
      <c r="L94" s="297"/>
      <c r="M94" s="297"/>
      <c r="N94" s="379"/>
      <c r="O94" s="272"/>
      <c r="P94" s="272"/>
      <c r="Q94" s="272"/>
      <c r="R94" s="272"/>
      <c r="S94" s="272"/>
      <c r="T94" s="272"/>
      <c r="U94" s="272"/>
      <c r="V94" s="272"/>
      <c r="W94" s="272"/>
      <c r="X94" s="272"/>
      <c r="Y94" s="272"/>
      <c r="Z94" s="272"/>
      <c r="AA94" s="272"/>
      <c r="AB94" s="272"/>
      <c r="AC94" s="272"/>
      <c r="AD94" s="272"/>
      <c r="AE94" s="272"/>
    </row>
    <row r="95" spans="2:31" ht="15">
      <c r="B95" s="377">
        <f t="shared" si="4"/>
        <v>50</v>
      </c>
      <c r="C95" s="385" t="str" cm="1">
        <f t="array" aca="1" ref="C95" ca="1">IF(B95&lt;=$C$9,GetGetCDSName(B95),"")</f>
        <v>EON_MMR.EUR.SU</v>
      </c>
      <c r="D95" s="345">
        <v>0</v>
      </c>
      <c r="E95" s="378">
        <v>0</v>
      </c>
      <c r="F95" s="297">
        <v>0</v>
      </c>
      <c r="G95" s="297">
        <v>1</v>
      </c>
      <c r="H95" s="297">
        <v>0</v>
      </c>
      <c r="I95" s="297">
        <v>0</v>
      </c>
      <c r="J95" s="297">
        <v>0</v>
      </c>
      <c r="K95" s="297"/>
      <c r="L95" s="297"/>
      <c r="M95" s="297"/>
      <c r="N95" s="379"/>
      <c r="O95" s="272"/>
      <c r="P95" s="272"/>
      <c r="Q95" s="272"/>
      <c r="R95" s="272"/>
      <c r="S95" s="272"/>
      <c r="T95" s="272"/>
      <c r="U95" s="272"/>
      <c r="V95" s="272"/>
      <c r="W95" s="272"/>
      <c r="X95" s="272"/>
      <c r="Y95" s="272"/>
      <c r="Z95" s="272"/>
      <c r="AA95" s="272"/>
      <c r="AB95" s="272"/>
      <c r="AC95" s="272"/>
      <c r="AD95" s="272"/>
      <c r="AE95" s="272"/>
    </row>
    <row r="96" spans="2:31" ht="15">
      <c r="B96" s="377">
        <f t="shared" si="4"/>
        <v>51</v>
      </c>
      <c r="C96" s="385" t="str" cm="1">
        <f t="array" aca="1" ref="C96" ca="1">IF(B96&lt;=$C$9,GetGetCDSName(B96),"")</f>
        <v>FORTUMOYJ_MMR.EUR.SU</v>
      </c>
      <c r="D96" s="345">
        <v>0</v>
      </c>
      <c r="E96" s="378">
        <v>0</v>
      </c>
      <c r="F96" s="297">
        <v>0</v>
      </c>
      <c r="G96" s="297">
        <v>0</v>
      </c>
      <c r="H96" s="297">
        <v>0</v>
      </c>
      <c r="I96" s="297">
        <v>1</v>
      </c>
      <c r="J96" s="297">
        <v>0</v>
      </c>
      <c r="K96" s="297"/>
      <c r="L96" s="297"/>
      <c r="M96" s="297"/>
      <c r="N96" s="379"/>
      <c r="O96" s="272"/>
      <c r="P96" s="272"/>
      <c r="Q96" s="272"/>
      <c r="R96" s="272"/>
      <c r="S96" s="272"/>
      <c r="T96" s="272"/>
      <c r="U96" s="272"/>
      <c r="V96" s="272"/>
      <c r="W96" s="272"/>
      <c r="X96" s="272"/>
      <c r="Y96" s="272"/>
      <c r="Z96" s="272"/>
      <c r="AA96" s="272"/>
      <c r="AB96" s="272"/>
      <c r="AC96" s="272"/>
      <c r="AD96" s="272"/>
      <c r="AE96" s="272"/>
    </row>
    <row r="97" spans="2:31" ht="15">
      <c r="B97" s="377">
        <f t="shared" si="4"/>
        <v>52</v>
      </c>
      <c r="C97" s="385" t="str" cm="1">
        <f t="array" aca="1" ref="C97" ca="1">IF(B97&lt;=$C$9,GetGetCDSName(B97),"")</f>
        <v>FRANCETELECOM_MMR.EUR.SU</v>
      </c>
      <c r="D97" s="345">
        <v>0</v>
      </c>
      <c r="E97" s="378">
        <v>1</v>
      </c>
      <c r="F97" s="297">
        <v>0</v>
      </c>
      <c r="G97" s="297">
        <v>0</v>
      </c>
      <c r="H97" s="297">
        <v>1</v>
      </c>
      <c r="I97" s="297">
        <v>0</v>
      </c>
      <c r="J97" s="297">
        <v>1</v>
      </c>
      <c r="K97" s="297"/>
      <c r="L97" s="297"/>
      <c r="M97" s="297"/>
      <c r="N97" s="379"/>
      <c r="O97" s="272"/>
      <c r="P97" s="272"/>
      <c r="Q97" s="272"/>
      <c r="R97" s="272"/>
      <c r="S97" s="272"/>
      <c r="T97" s="272"/>
      <c r="U97" s="272"/>
      <c r="V97" s="272"/>
      <c r="W97" s="272"/>
      <c r="X97" s="272"/>
      <c r="Y97" s="272"/>
      <c r="Z97" s="272"/>
      <c r="AA97" s="272"/>
      <c r="AB97" s="272"/>
      <c r="AC97" s="272"/>
      <c r="AD97" s="272"/>
      <c r="AE97" s="272"/>
    </row>
    <row r="98" spans="2:31" ht="15">
      <c r="B98" s="377">
        <f t="shared" si="4"/>
        <v>53</v>
      </c>
      <c r="C98" s="385" t="str" cm="1">
        <f t="array" aca="1" ref="C98" ca="1">IF(B98&lt;=$C$9,GetGetCDSName(B98),"")</f>
        <v>GALLAHERGROUPPLC_MMR.EUR.SU</v>
      </c>
      <c r="D98" s="345">
        <v>0</v>
      </c>
      <c r="E98" s="378">
        <v>0</v>
      </c>
      <c r="F98" s="297">
        <v>0</v>
      </c>
      <c r="G98" s="297">
        <v>0</v>
      </c>
      <c r="H98" s="297">
        <v>1</v>
      </c>
      <c r="I98" s="297">
        <v>1</v>
      </c>
      <c r="J98" s="297">
        <v>1</v>
      </c>
      <c r="K98" s="297"/>
      <c r="L98" s="297"/>
      <c r="M98" s="297"/>
      <c r="N98" s="379"/>
      <c r="O98" s="272"/>
      <c r="P98" s="272"/>
      <c r="Q98" s="272"/>
      <c r="R98" s="272"/>
      <c r="S98" s="272"/>
      <c r="T98" s="272"/>
      <c r="U98" s="272"/>
      <c r="V98" s="272"/>
      <c r="W98" s="272"/>
      <c r="X98" s="272"/>
      <c r="Y98" s="272"/>
      <c r="Z98" s="272"/>
      <c r="AA98" s="272"/>
      <c r="AB98" s="272"/>
      <c r="AC98" s="272"/>
      <c r="AD98" s="272"/>
      <c r="AE98" s="272"/>
    </row>
    <row r="99" spans="2:31" ht="15">
      <c r="B99" s="377">
        <f t="shared" si="4"/>
        <v>54</v>
      </c>
      <c r="C99" s="385" t="str" cm="1">
        <f t="array" aca="1" ref="C99" ca="1">IF(B99&lt;=$C$9,GetGetCDSName(B99),"")</f>
        <v>GASNATURALSDGSA_MMR.EUR.SU</v>
      </c>
      <c r="D99" s="345">
        <v>0</v>
      </c>
      <c r="E99" s="378">
        <v>1</v>
      </c>
      <c r="F99" s="297">
        <v>0</v>
      </c>
      <c r="G99" s="297">
        <v>0</v>
      </c>
      <c r="H99" s="297">
        <v>1</v>
      </c>
      <c r="I99" s="297">
        <v>0</v>
      </c>
      <c r="J99" s="297">
        <v>0</v>
      </c>
      <c r="K99" s="297"/>
      <c r="L99" s="297"/>
      <c r="M99" s="297"/>
      <c r="N99" s="379"/>
      <c r="O99" s="272"/>
      <c r="P99" s="272"/>
      <c r="Q99" s="272"/>
      <c r="R99" s="272"/>
      <c r="S99" s="272"/>
      <c r="T99" s="272"/>
      <c r="U99" s="272"/>
      <c r="V99" s="272"/>
      <c r="W99" s="272"/>
      <c r="X99" s="272"/>
      <c r="Y99" s="272"/>
      <c r="Z99" s="272"/>
      <c r="AA99" s="272"/>
      <c r="AB99" s="272"/>
      <c r="AC99" s="272"/>
      <c r="AD99" s="272"/>
      <c r="AE99" s="272"/>
    </row>
    <row r="100" spans="2:31" ht="15">
      <c r="B100" s="377">
        <f t="shared" si="4"/>
        <v>55</v>
      </c>
      <c r="C100" s="385" t="str" cm="1">
        <f t="array" aca="1" ref="C100" ca="1">IF(B100&lt;=$C$9,GetGetCDSName(B100),"")</f>
        <v>GAZDEFRANCE_MMR.EUR.SU</v>
      </c>
      <c r="D100" s="345">
        <v>0</v>
      </c>
      <c r="E100" s="378">
        <v>0</v>
      </c>
      <c r="F100" s="297">
        <v>0</v>
      </c>
      <c r="G100" s="297">
        <v>0</v>
      </c>
      <c r="H100" s="297">
        <v>0</v>
      </c>
      <c r="I100" s="297">
        <v>1</v>
      </c>
      <c r="J100" s="297">
        <v>0</v>
      </c>
      <c r="K100" s="297"/>
      <c r="L100" s="297"/>
      <c r="M100" s="297"/>
      <c r="N100" s="379"/>
      <c r="O100" s="272"/>
      <c r="P100" s="272"/>
      <c r="Q100" s="272"/>
      <c r="R100" s="272"/>
      <c r="S100" s="272"/>
      <c r="T100" s="272"/>
      <c r="U100" s="272"/>
      <c r="V100" s="272"/>
      <c r="W100" s="272"/>
      <c r="X100" s="272"/>
      <c r="Y100" s="272"/>
      <c r="Z100" s="272"/>
      <c r="AA100" s="272"/>
      <c r="AB100" s="272"/>
      <c r="AC100" s="272"/>
      <c r="AD100" s="272"/>
      <c r="AE100" s="272"/>
    </row>
    <row r="101" spans="2:31" ht="15">
      <c r="B101" s="377">
        <f t="shared" si="4"/>
        <v>56</v>
      </c>
      <c r="C101" s="385" t="str" cm="1">
        <f t="array" aca="1" ref="C101" ca="1">IF(B101&lt;=$C$9,GetGetCDSName(B101),"")</f>
        <v>GENERALI_MMR.EUR.SU</v>
      </c>
      <c r="D101" s="345">
        <v>0</v>
      </c>
      <c r="E101" s="378">
        <v>0</v>
      </c>
      <c r="F101" s="297">
        <v>0</v>
      </c>
      <c r="G101" s="297">
        <v>0</v>
      </c>
      <c r="H101" s="297">
        <v>1</v>
      </c>
      <c r="I101" s="297">
        <v>0</v>
      </c>
      <c r="J101" s="297">
        <v>0</v>
      </c>
      <c r="K101" s="297"/>
      <c r="L101" s="297"/>
      <c r="M101" s="297"/>
      <c r="N101" s="379"/>
      <c r="O101" s="272"/>
      <c r="P101" s="272"/>
      <c r="Q101" s="272"/>
      <c r="R101" s="272"/>
      <c r="S101" s="272"/>
      <c r="T101" s="272"/>
      <c r="U101" s="272"/>
      <c r="V101" s="272"/>
      <c r="W101" s="272"/>
      <c r="X101" s="272"/>
      <c r="Y101" s="272"/>
      <c r="Z101" s="272"/>
      <c r="AA101" s="272"/>
      <c r="AB101" s="272"/>
      <c r="AC101" s="272"/>
      <c r="AD101" s="272"/>
      <c r="AE101" s="272"/>
    </row>
    <row r="102" spans="2:31" ht="15">
      <c r="B102" s="377">
        <f t="shared" si="4"/>
        <v>57</v>
      </c>
      <c r="C102" s="385" t="str" cm="1">
        <f t="array" aca="1" ref="C102" ca="1">IF(B102&lt;=$C$9,GetGetCDSName(B102),"")</f>
        <v>GKN HOLDINGS  PLC_MMR.EUR.SU</v>
      </c>
      <c r="D102" s="345">
        <v>0</v>
      </c>
      <c r="E102" s="378">
        <v>0</v>
      </c>
      <c r="F102" s="297">
        <v>0</v>
      </c>
      <c r="G102" s="297">
        <v>0</v>
      </c>
      <c r="H102" s="297">
        <v>0</v>
      </c>
      <c r="I102" s="297">
        <v>0</v>
      </c>
      <c r="J102" s="297">
        <v>1</v>
      </c>
      <c r="K102" s="297"/>
      <c r="L102" s="297"/>
      <c r="M102" s="297"/>
      <c r="N102" s="379"/>
      <c r="O102" s="272"/>
      <c r="P102" s="272"/>
      <c r="Q102" s="272"/>
      <c r="R102" s="272"/>
      <c r="S102" s="272"/>
      <c r="T102" s="272"/>
      <c r="U102" s="272"/>
      <c r="V102" s="272"/>
      <c r="W102" s="272"/>
      <c r="X102" s="272"/>
      <c r="Y102" s="272"/>
      <c r="Z102" s="272"/>
      <c r="AA102" s="272"/>
      <c r="AB102" s="272"/>
      <c r="AC102" s="272"/>
      <c r="AD102" s="272"/>
      <c r="AE102" s="272"/>
    </row>
    <row r="103" spans="2:31" ht="15">
      <c r="B103" s="377">
        <f t="shared" si="4"/>
        <v>58</v>
      </c>
      <c r="C103" s="385" t="str" cm="1">
        <f t="array" aca="1" ref="C103" ca="1">IF(B103&lt;=$C$9,GetGetCDSName(B103),"")</f>
        <v>GLENCOREINTAG_MMR.EUR.SU</v>
      </c>
      <c r="D103" s="345">
        <v>0</v>
      </c>
      <c r="E103" s="378">
        <v>0</v>
      </c>
      <c r="F103" s="297">
        <v>0</v>
      </c>
      <c r="G103" s="297">
        <v>0</v>
      </c>
      <c r="H103" s="297">
        <v>1</v>
      </c>
      <c r="I103" s="297">
        <v>0</v>
      </c>
      <c r="J103" s="297">
        <v>0</v>
      </c>
      <c r="K103" s="297"/>
      <c r="L103" s="297"/>
      <c r="M103" s="297"/>
      <c r="N103" s="379"/>
      <c r="O103" s="272"/>
      <c r="P103" s="272"/>
      <c r="Q103" s="272"/>
      <c r="R103" s="272"/>
      <c r="S103" s="272"/>
      <c r="T103" s="272"/>
      <c r="U103" s="272"/>
      <c r="V103" s="272"/>
      <c r="W103" s="272"/>
      <c r="X103" s="272"/>
      <c r="Y103" s="272"/>
      <c r="Z103" s="272"/>
      <c r="AA103" s="272"/>
      <c r="AB103" s="272"/>
      <c r="AC103" s="272"/>
      <c r="AD103" s="272"/>
      <c r="AE103" s="272"/>
    </row>
    <row r="104" spans="2:31" ht="15">
      <c r="B104" s="377">
        <f t="shared" si="4"/>
        <v>59</v>
      </c>
      <c r="C104" s="385" t="str" cm="1">
        <f t="array" aca="1" ref="C104" ca="1">IF(B104&lt;=$C$9,GetGetCDSName(B104),"")</f>
        <v>GREATUNIVERSALSTORES_MMR.EUR.SU</v>
      </c>
      <c r="D104" s="345">
        <v>0</v>
      </c>
      <c r="E104" s="378">
        <v>0</v>
      </c>
      <c r="F104" s="297">
        <v>1</v>
      </c>
      <c r="G104" s="297">
        <v>1</v>
      </c>
      <c r="H104" s="297">
        <v>0</v>
      </c>
      <c r="I104" s="297">
        <v>1</v>
      </c>
      <c r="J104" s="297">
        <v>0</v>
      </c>
      <c r="K104" s="297"/>
      <c r="L104" s="297"/>
      <c r="M104" s="297"/>
      <c r="N104" s="379"/>
      <c r="O104" s="272"/>
      <c r="P104" s="272"/>
      <c r="Q104" s="272"/>
      <c r="R104" s="272"/>
      <c r="S104" s="272"/>
      <c r="T104" s="272"/>
      <c r="U104" s="272"/>
      <c r="V104" s="272"/>
      <c r="W104" s="272"/>
      <c r="X104" s="272"/>
      <c r="Y104" s="272"/>
      <c r="Z104" s="272"/>
      <c r="AA104" s="272"/>
      <c r="AB104" s="272"/>
      <c r="AC104" s="272"/>
      <c r="AD104" s="272"/>
      <c r="AE104" s="272"/>
    </row>
    <row r="105" spans="2:31" ht="15">
      <c r="B105" s="377">
        <f t="shared" si="4"/>
        <v>60</v>
      </c>
      <c r="C105" s="385" t="str" cm="1">
        <f t="array" aca="1" ref="C105" ca="1">IF(B105&lt;=$C$9,GetGetCDSName(B105),"")</f>
        <v>HANNOVERRUECK_MMR.EUR.SU</v>
      </c>
      <c r="D105" s="345">
        <v>0</v>
      </c>
      <c r="E105" s="378">
        <v>0</v>
      </c>
      <c r="F105" s="297">
        <v>1</v>
      </c>
      <c r="G105" s="297">
        <v>0</v>
      </c>
      <c r="H105" s="297">
        <v>0</v>
      </c>
      <c r="I105" s="297">
        <v>0</v>
      </c>
      <c r="J105" s="297">
        <v>1</v>
      </c>
      <c r="K105" s="297"/>
      <c r="L105" s="297"/>
      <c r="M105" s="297"/>
      <c r="N105" s="379"/>
      <c r="O105" s="272"/>
      <c r="P105" s="272"/>
      <c r="Q105" s="272"/>
      <c r="R105" s="272"/>
      <c r="S105" s="272"/>
      <c r="T105" s="272"/>
      <c r="U105" s="272"/>
      <c r="V105" s="272"/>
      <c r="W105" s="272"/>
      <c r="X105" s="272"/>
      <c r="Y105" s="272"/>
      <c r="Z105" s="272"/>
      <c r="AA105" s="272"/>
      <c r="AB105" s="272"/>
      <c r="AC105" s="272"/>
      <c r="AD105" s="272"/>
      <c r="AE105" s="272"/>
    </row>
    <row r="106" spans="2:31" ht="15">
      <c r="B106" s="377">
        <f t="shared" si="4"/>
        <v>61</v>
      </c>
      <c r="C106" s="385" t="str" cm="1">
        <f t="array" aca="1" ref="C106" ca="1">IF(B106&lt;=$C$9,GetGetCDSName(B106),"")</f>
        <v>HELLENIC TELCOM_MMR.EUR.SU</v>
      </c>
      <c r="D106" s="345">
        <v>0</v>
      </c>
      <c r="E106" s="378">
        <v>0</v>
      </c>
      <c r="F106" s="297">
        <v>1</v>
      </c>
      <c r="G106" s="297">
        <v>0</v>
      </c>
      <c r="H106" s="297">
        <v>1</v>
      </c>
      <c r="I106" s="297">
        <v>0</v>
      </c>
      <c r="J106" s="297">
        <v>0</v>
      </c>
      <c r="K106" s="297"/>
      <c r="L106" s="297"/>
      <c r="M106" s="297"/>
      <c r="N106" s="379"/>
      <c r="O106" s="272"/>
      <c r="P106" s="272"/>
      <c r="Q106" s="272"/>
      <c r="R106" s="272"/>
      <c r="S106" s="272"/>
      <c r="T106" s="272"/>
      <c r="U106" s="272"/>
      <c r="V106" s="272"/>
      <c r="W106" s="272"/>
      <c r="X106" s="272"/>
      <c r="Y106" s="272"/>
      <c r="Z106" s="272"/>
      <c r="AA106" s="272"/>
      <c r="AB106" s="272"/>
      <c r="AC106" s="272"/>
      <c r="AD106" s="272"/>
      <c r="AE106" s="272"/>
    </row>
    <row r="107" spans="2:31" ht="15">
      <c r="B107" s="377">
        <f t="shared" si="4"/>
        <v>62</v>
      </c>
      <c r="C107" s="385" t="str" cm="1">
        <f t="array" aca="1" ref="C107" ca="1">IF(B107&lt;=$C$9,GetGetCDSName(B107),"")</f>
        <v>HENKELKG_MMR.EUR.SU</v>
      </c>
      <c r="D107" s="345">
        <v>0</v>
      </c>
      <c r="E107" s="378">
        <v>1</v>
      </c>
      <c r="F107" s="297">
        <v>0</v>
      </c>
      <c r="G107" s="297">
        <v>0</v>
      </c>
      <c r="H107" s="297">
        <v>0</v>
      </c>
      <c r="I107" s="297">
        <v>0</v>
      </c>
      <c r="J107" s="297">
        <v>1</v>
      </c>
      <c r="K107" s="297"/>
      <c r="L107" s="297"/>
      <c r="M107" s="297"/>
      <c r="N107" s="379"/>
      <c r="O107" s="272"/>
      <c r="P107" s="272"/>
      <c r="Q107" s="272"/>
      <c r="R107" s="272"/>
      <c r="S107" s="272"/>
      <c r="T107" s="272"/>
      <c r="U107" s="272"/>
      <c r="V107" s="272"/>
      <c r="W107" s="272"/>
      <c r="X107" s="272"/>
      <c r="Y107" s="272"/>
      <c r="Z107" s="272"/>
      <c r="AA107" s="272"/>
      <c r="AB107" s="272"/>
      <c r="AC107" s="272"/>
      <c r="AD107" s="272"/>
      <c r="AE107" s="272"/>
    </row>
    <row r="108" spans="2:31" ht="15">
      <c r="B108" s="377">
        <f t="shared" si="4"/>
        <v>63</v>
      </c>
      <c r="C108" s="385" t="str" cm="1">
        <f t="array" aca="1" ref="C108" ca="1">IF(B108&lt;=$C$9,GetGetCDSName(B108),"")</f>
        <v>IBERDROLA_MMR.EUR.SU</v>
      </c>
      <c r="D108" s="345">
        <v>0</v>
      </c>
      <c r="E108" s="378">
        <v>1</v>
      </c>
      <c r="F108" s="297">
        <v>1</v>
      </c>
      <c r="G108" s="297">
        <v>0</v>
      </c>
      <c r="H108" s="297">
        <v>1</v>
      </c>
      <c r="I108" s="297">
        <v>0</v>
      </c>
      <c r="J108" s="297">
        <v>0</v>
      </c>
      <c r="K108" s="297"/>
      <c r="L108" s="297"/>
      <c r="M108" s="297"/>
      <c r="N108" s="379"/>
      <c r="O108" s="272"/>
      <c r="P108" s="272"/>
      <c r="Q108" s="272"/>
      <c r="R108" s="272"/>
      <c r="S108" s="272"/>
      <c r="T108" s="272"/>
      <c r="U108" s="272"/>
      <c r="V108" s="272"/>
      <c r="W108" s="272"/>
      <c r="X108" s="272"/>
      <c r="Y108" s="272"/>
      <c r="Z108" s="272"/>
      <c r="AA108" s="272"/>
      <c r="AB108" s="272"/>
      <c r="AC108" s="272"/>
      <c r="AD108" s="272"/>
      <c r="AE108" s="272"/>
    </row>
    <row r="109" spans="2:31" ht="15">
      <c r="B109" s="377">
        <f t="shared" si="4"/>
        <v>64</v>
      </c>
      <c r="C109" s="385" t="str" cm="1">
        <f t="array" aca="1" ref="C109" ca="1">IF(B109&lt;=$C$9,GetGetCDSName(B109),"")</f>
        <v>ICI_MMR.EUR.SU</v>
      </c>
      <c r="D109" s="345">
        <v>0</v>
      </c>
      <c r="E109" s="378">
        <v>1</v>
      </c>
      <c r="F109" s="297">
        <v>0</v>
      </c>
      <c r="G109" s="297">
        <v>0</v>
      </c>
      <c r="H109" s="297">
        <v>1</v>
      </c>
      <c r="I109" s="297">
        <v>0</v>
      </c>
      <c r="J109" s="297">
        <v>1</v>
      </c>
      <c r="K109" s="297"/>
      <c r="L109" s="297"/>
      <c r="M109" s="297"/>
      <c r="N109" s="379"/>
      <c r="O109" s="272"/>
      <c r="P109" s="272"/>
      <c r="Q109" s="272"/>
      <c r="R109" s="272"/>
      <c r="S109" s="272"/>
      <c r="T109" s="272"/>
      <c r="U109" s="272"/>
      <c r="V109" s="272"/>
      <c r="W109" s="272"/>
      <c r="X109" s="272"/>
      <c r="Y109" s="272"/>
      <c r="Z109" s="272"/>
      <c r="AA109" s="272"/>
      <c r="AB109" s="272"/>
      <c r="AC109" s="272"/>
      <c r="AD109" s="272"/>
      <c r="AE109" s="272"/>
    </row>
    <row r="110" spans="2:31" ht="15">
      <c r="B110" s="377">
        <f t="shared" si="4"/>
        <v>65</v>
      </c>
      <c r="C110" s="385" t="str" cm="1">
        <f t="array" aca="1" ref="C110" ca="1">IF(B110&lt;=$C$9,GetGetCDSName(B110),"")</f>
        <v>INTESA_MMR.EUR.SU</v>
      </c>
      <c r="D110" s="345">
        <v>0</v>
      </c>
      <c r="E110" s="378">
        <v>0</v>
      </c>
      <c r="F110" s="297">
        <v>1</v>
      </c>
      <c r="G110" s="297">
        <v>1</v>
      </c>
      <c r="H110" s="297">
        <v>0</v>
      </c>
      <c r="I110" s="297">
        <v>1</v>
      </c>
      <c r="J110" s="297">
        <v>0</v>
      </c>
      <c r="K110" s="297"/>
      <c r="L110" s="297"/>
      <c r="M110" s="297"/>
      <c r="N110" s="379"/>
      <c r="O110" s="272"/>
      <c r="P110" s="272"/>
      <c r="Q110" s="272"/>
      <c r="R110" s="272"/>
      <c r="S110" s="272"/>
      <c r="T110" s="272"/>
      <c r="U110" s="272"/>
      <c r="V110" s="272"/>
      <c r="W110" s="272"/>
      <c r="X110" s="272"/>
      <c r="Y110" s="272"/>
      <c r="Z110" s="272"/>
      <c r="AA110" s="272"/>
      <c r="AB110" s="272"/>
      <c r="AC110" s="272"/>
      <c r="AD110" s="272"/>
      <c r="AE110" s="272"/>
    </row>
    <row r="111" spans="2:31" ht="15">
      <c r="B111" s="377">
        <f t="shared" ref="B111:B174" si="5">B110+1</f>
        <v>66</v>
      </c>
      <c r="C111" s="385" t="str" cm="1">
        <f t="array" aca="1" ref="C111" ca="1">IF(B111&lt;=$C$9,GetGetCDSName(B111),"")</f>
        <v>KINGFISHER_MMR.EUR.SU</v>
      </c>
      <c r="D111" s="345">
        <v>0</v>
      </c>
      <c r="E111" s="378">
        <v>1</v>
      </c>
      <c r="F111" s="297">
        <v>0</v>
      </c>
      <c r="G111" s="297">
        <v>1</v>
      </c>
      <c r="H111" s="297">
        <v>0</v>
      </c>
      <c r="I111" s="297">
        <v>1</v>
      </c>
      <c r="J111" s="297">
        <v>0</v>
      </c>
      <c r="K111" s="297"/>
      <c r="L111" s="297"/>
      <c r="M111" s="297"/>
      <c r="N111" s="379"/>
      <c r="O111" s="272"/>
      <c r="P111" s="272"/>
      <c r="Q111" s="272"/>
      <c r="R111" s="272"/>
      <c r="S111" s="272"/>
      <c r="T111" s="272"/>
      <c r="U111" s="272"/>
      <c r="V111" s="272"/>
      <c r="W111" s="272"/>
      <c r="X111" s="272"/>
      <c r="Y111" s="272"/>
      <c r="Z111" s="272"/>
      <c r="AA111" s="272"/>
      <c r="AB111" s="272"/>
      <c r="AC111" s="272"/>
      <c r="AD111" s="272"/>
      <c r="AE111" s="272"/>
    </row>
    <row r="112" spans="2:31" ht="15">
      <c r="B112" s="377">
        <f t="shared" si="5"/>
        <v>67</v>
      </c>
      <c r="C112" s="385" t="str" cm="1">
        <f t="array" aca="1" ref="C112" ca="1">IF(B112&lt;=$C$9,GetGetCDSName(B112),"")</f>
        <v>KPN_MMR.EUR.SU</v>
      </c>
      <c r="D112" s="345">
        <v>0</v>
      </c>
      <c r="E112" s="378">
        <v>1</v>
      </c>
      <c r="F112" s="297">
        <v>0</v>
      </c>
      <c r="G112" s="297">
        <v>0</v>
      </c>
      <c r="H112" s="297">
        <v>1</v>
      </c>
      <c r="I112" s="297">
        <v>0</v>
      </c>
      <c r="J112" s="297">
        <v>1</v>
      </c>
      <c r="K112" s="297"/>
      <c r="L112" s="297"/>
      <c r="M112" s="297"/>
      <c r="N112" s="379"/>
      <c r="O112" s="272"/>
      <c r="P112" s="272"/>
      <c r="Q112" s="272"/>
      <c r="R112" s="272"/>
      <c r="S112" s="272"/>
      <c r="T112" s="272"/>
      <c r="U112" s="272"/>
      <c r="V112" s="272"/>
      <c r="W112" s="272"/>
      <c r="X112" s="272"/>
      <c r="Y112" s="272"/>
      <c r="Z112" s="272"/>
      <c r="AA112" s="272"/>
      <c r="AB112" s="272"/>
      <c r="AC112" s="272"/>
      <c r="AD112" s="272"/>
      <c r="AE112" s="272"/>
    </row>
    <row r="113" spans="2:31" ht="15">
      <c r="B113" s="377">
        <f t="shared" si="5"/>
        <v>68</v>
      </c>
      <c r="C113" s="385" t="str" cm="1">
        <f t="array" aca="1" ref="C113" ca="1">IF(B113&lt;=$C$9,GetGetCDSName(B113),"")</f>
        <v>LAFARGE_MMR.EUR.SU</v>
      </c>
      <c r="D113" s="345">
        <v>0</v>
      </c>
      <c r="E113" s="378">
        <v>0</v>
      </c>
      <c r="F113" s="297">
        <v>1</v>
      </c>
      <c r="G113" s="297">
        <v>0</v>
      </c>
      <c r="H113" s="297">
        <v>1</v>
      </c>
      <c r="I113" s="297">
        <v>0</v>
      </c>
      <c r="J113" s="297">
        <v>1</v>
      </c>
      <c r="K113" s="297"/>
      <c r="L113" s="297"/>
      <c r="M113" s="297"/>
      <c r="N113" s="379"/>
      <c r="O113" s="272"/>
      <c r="P113" s="272"/>
      <c r="Q113" s="272"/>
      <c r="R113" s="272"/>
      <c r="S113" s="272"/>
      <c r="T113" s="272"/>
      <c r="U113" s="272"/>
      <c r="V113" s="272"/>
      <c r="W113" s="272"/>
      <c r="X113" s="272"/>
      <c r="Y113" s="272"/>
      <c r="Z113" s="272"/>
      <c r="AA113" s="272"/>
      <c r="AB113" s="272"/>
      <c r="AC113" s="272"/>
      <c r="AD113" s="272"/>
      <c r="AE113" s="272"/>
    </row>
    <row r="114" spans="2:31" ht="15">
      <c r="B114" s="377">
        <f t="shared" si="5"/>
        <v>69</v>
      </c>
      <c r="C114" s="385" t="str" cm="1">
        <f t="array" aca="1" ref="C114" ca="1">IF(B114&lt;=$C$9,GetGetCDSName(B114),"")</f>
        <v>LINDE_MMR.EUR.SU</v>
      </c>
      <c r="D114" s="345">
        <v>0</v>
      </c>
      <c r="E114" s="378">
        <v>0</v>
      </c>
      <c r="F114" s="297">
        <v>0</v>
      </c>
      <c r="G114" s="297">
        <v>1</v>
      </c>
      <c r="H114" s="297">
        <v>0</v>
      </c>
      <c r="I114" s="297">
        <v>1</v>
      </c>
      <c r="J114" s="297">
        <v>1</v>
      </c>
      <c r="K114" s="297"/>
      <c r="L114" s="297"/>
      <c r="M114" s="297"/>
      <c r="N114" s="379"/>
      <c r="O114" s="272"/>
      <c r="P114" s="272"/>
      <c r="Q114" s="272"/>
      <c r="R114" s="272"/>
      <c r="S114" s="272"/>
      <c r="T114" s="272"/>
      <c r="U114" s="272"/>
      <c r="V114" s="272"/>
      <c r="W114" s="272"/>
      <c r="X114" s="272"/>
      <c r="Y114" s="272"/>
      <c r="Z114" s="272"/>
      <c r="AA114" s="272"/>
      <c r="AB114" s="272"/>
      <c r="AC114" s="272"/>
      <c r="AD114" s="272"/>
      <c r="AE114" s="272"/>
    </row>
    <row r="115" spans="2:31" ht="15">
      <c r="B115" s="377">
        <f t="shared" si="5"/>
        <v>70</v>
      </c>
      <c r="C115" s="385" t="str" cm="1">
        <f t="array" aca="1" ref="C115" ca="1">IF(B115&lt;=$C$9,GetGetCDSName(B115),"")</f>
        <v>LUFTHANSA_MMR.EUR.SU</v>
      </c>
      <c r="D115" s="345">
        <v>0</v>
      </c>
      <c r="E115" s="378">
        <v>1</v>
      </c>
      <c r="F115" s="297">
        <v>0</v>
      </c>
      <c r="G115" s="297">
        <v>0</v>
      </c>
      <c r="H115" s="297">
        <v>0</v>
      </c>
      <c r="I115" s="297">
        <v>1</v>
      </c>
      <c r="J115" s="297">
        <v>1</v>
      </c>
      <c r="K115" s="297"/>
      <c r="L115" s="297"/>
      <c r="M115" s="297"/>
      <c r="N115" s="379"/>
      <c r="O115" s="272"/>
      <c r="P115" s="272"/>
      <c r="Q115" s="272"/>
      <c r="R115" s="272"/>
      <c r="S115" s="272"/>
      <c r="T115" s="272"/>
      <c r="U115" s="272"/>
      <c r="V115" s="272"/>
      <c r="W115" s="272"/>
      <c r="X115" s="272"/>
      <c r="Y115" s="272"/>
      <c r="Z115" s="272"/>
      <c r="AA115" s="272"/>
      <c r="AB115" s="272"/>
      <c r="AC115" s="272"/>
      <c r="AD115" s="272"/>
      <c r="AE115" s="272"/>
    </row>
    <row r="116" spans="2:31" ht="15">
      <c r="B116" s="377">
        <f t="shared" si="5"/>
        <v>71</v>
      </c>
      <c r="C116" s="385" t="str" cm="1">
        <f t="array" aca="1" ref="C116" ca="1">IF(B116&lt;=$C$9,GetGetCDSName(B116),"")</f>
        <v>LVMH_MMR.EUR.SU</v>
      </c>
      <c r="D116" s="345">
        <v>0</v>
      </c>
      <c r="E116" s="378">
        <v>1</v>
      </c>
      <c r="F116" s="297">
        <v>1</v>
      </c>
      <c r="G116" s="297">
        <v>0</v>
      </c>
      <c r="H116" s="297">
        <v>0</v>
      </c>
      <c r="I116" s="297">
        <v>0</v>
      </c>
      <c r="J116" s="297">
        <v>1</v>
      </c>
      <c r="K116" s="297"/>
      <c r="L116" s="297"/>
      <c r="M116" s="297"/>
      <c r="N116" s="379"/>
      <c r="O116" s="272"/>
      <c r="P116" s="272"/>
      <c r="Q116" s="272"/>
      <c r="R116" s="272"/>
      <c r="S116" s="272"/>
      <c r="T116" s="272"/>
      <c r="U116" s="272"/>
      <c r="V116" s="272"/>
      <c r="W116" s="272"/>
      <c r="X116" s="272"/>
      <c r="Y116" s="272"/>
      <c r="Z116" s="272"/>
      <c r="AA116" s="272"/>
      <c r="AB116" s="272"/>
      <c r="AC116" s="272"/>
      <c r="AD116" s="272"/>
      <c r="AE116" s="272"/>
    </row>
    <row r="117" spans="2:31" ht="15">
      <c r="B117" s="377">
        <f t="shared" si="5"/>
        <v>72</v>
      </c>
      <c r="C117" s="385" t="str" cm="1">
        <f t="array" aca="1" ref="C117" ca="1">IF(B117&lt;=$C$9,GetGetCDSName(B117),"")</f>
        <v>MARKSANDSPENCERPLC_MMR.EUR.SU</v>
      </c>
      <c r="D117" s="345">
        <v>0</v>
      </c>
      <c r="E117" s="378">
        <v>1</v>
      </c>
      <c r="F117" s="297">
        <v>1</v>
      </c>
      <c r="G117" s="297">
        <v>0</v>
      </c>
      <c r="H117" s="297">
        <v>0</v>
      </c>
      <c r="I117" s="297">
        <v>0</v>
      </c>
      <c r="J117" s="297">
        <v>0</v>
      </c>
      <c r="K117" s="297"/>
      <c r="L117" s="297"/>
      <c r="M117" s="297"/>
      <c r="N117" s="379"/>
      <c r="O117" s="272"/>
      <c r="P117" s="272"/>
      <c r="Q117" s="272"/>
      <c r="R117" s="272"/>
      <c r="S117" s="272"/>
      <c r="T117" s="272"/>
      <c r="U117" s="272"/>
      <c r="V117" s="272"/>
      <c r="W117" s="272"/>
      <c r="X117" s="272"/>
      <c r="Y117" s="272"/>
      <c r="Z117" s="272"/>
      <c r="AA117" s="272"/>
      <c r="AB117" s="272"/>
      <c r="AC117" s="272"/>
      <c r="AD117" s="272"/>
      <c r="AE117" s="272"/>
    </row>
    <row r="118" spans="2:31" ht="15">
      <c r="B118" s="377">
        <f t="shared" si="5"/>
        <v>73</v>
      </c>
      <c r="C118" s="385" t="str" cm="1">
        <f t="array" aca="1" ref="C118" ca="1">IF(B118&lt;=$C$9,GetGetCDSName(B118),"")</f>
        <v>METRO_MMR.EUR.SU</v>
      </c>
      <c r="D118" s="345">
        <v>0</v>
      </c>
      <c r="E118" s="378">
        <v>0</v>
      </c>
      <c r="F118" s="297">
        <v>1</v>
      </c>
      <c r="G118" s="297">
        <v>0</v>
      </c>
      <c r="H118" s="297">
        <v>1</v>
      </c>
      <c r="I118" s="297">
        <v>0</v>
      </c>
      <c r="J118" s="297">
        <v>1</v>
      </c>
      <c r="K118" s="297"/>
      <c r="L118" s="297"/>
      <c r="M118" s="297"/>
      <c r="N118" s="379"/>
      <c r="O118" s="272"/>
      <c r="P118" s="272"/>
      <c r="Q118" s="272"/>
      <c r="R118" s="272"/>
      <c r="S118" s="272"/>
      <c r="T118" s="272"/>
      <c r="U118" s="272"/>
      <c r="V118" s="272"/>
      <c r="W118" s="272"/>
      <c r="X118" s="272"/>
      <c r="Y118" s="272"/>
      <c r="Z118" s="272"/>
      <c r="AA118" s="272"/>
      <c r="AB118" s="272"/>
      <c r="AC118" s="272"/>
      <c r="AD118" s="272"/>
      <c r="AE118" s="272"/>
    </row>
    <row r="119" spans="2:31" ht="15">
      <c r="B119" s="377">
        <f t="shared" si="5"/>
        <v>74</v>
      </c>
      <c r="C119" s="385" t="str" cm="1">
        <f t="array" aca="1" ref="C119" ca="1">IF(B119&lt;=$C$9,GetGetCDSName(B119),"")</f>
        <v>MICHELIN_MMR.EUR.SU</v>
      </c>
      <c r="D119" s="345">
        <v>0</v>
      </c>
      <c r="E119" s="378">
        <v>1</v>
      </c>
      <c r="F119" s="297">
        <v>1</v>
      </c>
      <c r="G119" s="297">
        <v>0</v>
      </c>
      <c r="H119" s="297">
        <v>1</v>
      </c>
      <c r="I119" s="297">
        <v>0</v>
      </c>
      <c r="J119" s="297">
        <v>0</v>
      </c>
      <c r="K119" s="297"/>
      <c r="L119" s="297"/>
      <c r="M119" s="297"/>
      <c r="N119" s="379"/>
      <c r="O119" s="272"/>
      <c r="P119" s="272"/>
      <c r="Q119" s="272"/>
      <c r="R119" s="272"/>
      <c r="S119" s="272"/>
      <c r="T119" s="272"/>
      <c r="U119" s="272"/>
      <c r="V119" s="272"/>
      <c r="W119" s="272"/>
      <c r="X119" s="272"/>
      <c r="Y119" s="272"/>
      <c r="Z119" s="272"/>
      <c r="AA119" s="272"/>
      <c r="AB119" s="272"/>
      <c r="AC119" s="272"/>
      <c r="AD119" s="272"/>
      <c r="AE119" s="272"/>
    </row>
    <row r="120" spans="2:31" ht="15">
      <c r="B120" s="377">
        <f t="shared" si="5"/>
        <v>75</v>
      </c>
      <c r="C120" s="385" t="str" cm="1">
        <f t="array" aca="1" ref="C120" ca="1">IF(B120&lt;=$C$9,GetGetCDSName(B120),"")</f>
        <v>MONTEDEIPASCHI_MMR.EUR.SU</v>
      </c>
      <c r="D120" s="345">
        <v>0</v>
      </c>
      <c r="E120" s="378">
        <v>0</v>
      </c>
      <c r="F120" s="297">
        <v>0</v>
      </c>
      <c r="G120" s="297">
        <v>0</v>
      </c>
      <c r="H120" s="297">
        <v>1</v>
      </c>
      <c r="I120" s="297">
        <v>0</v>
      </c>
      <c r="J120" s="297">
        <v>1</v>
      </c>
      <c r="K120" s="297"/>
      <c r="L120" s="297"/>
      <c r="M120" s="297"/>
      <c r="N120" s="379"/>
      <c r="O120" s="272"/>
      <c r="P120" s="272"/>
      <c r="Q120" s="272"/>
      <c r="R120" s="272"/>
      <c r="S120" s="272"/>
      <c r="T120" s="272"/>
      <c r="U120" s="272"/>
      <c r="V120" s="272"/>
      <c r="W120" s="272"/>
      <c r="X120" s="272"/>
      <c r="Y120" s="272"/>
      <c r="Z120" s="272"/>
      <c r="AA120" s="272"/>
      <c r="AB120" s="272"/>
      <c r="AC120" s="272"/>
      <c r="AD120" s="272"/>
      <c r="AE120" s="272"/>
    </row>
    <row r="121" spans="2:31" ht="15">
      <c r="B121" s="377">
        <f t="shared" si="5"/>
        <v>76</v>
      </c>
      <c r="C121" s="385" t="str" cm="1">
        <f t="array" aca="1" ref="C121" ca="1">IF(B121&lt;=$C$9,GetGetCDSName(B121),"")</f>
        <v>MUNICHRE_MMR.EUR.SU</v>
      </c>
      <c r="D121" s="345">
        <v>0</v>
      </c>
      <c r="E121" s="378">
        <v>0</v>
      </c>
      <c r="F121" s="297">
        <v>0</v>
      </c>
      <c r="G121" s="297">
        <v>1</v>
      </c>
      <c r="H121" s="297">
        <v>1</v>
      </c>
      <c r="I121" s="297">
        <v>0</v>
      </c>
      <c r="J121" s="297">
        <v>1</v>
      </c>
      <c r="K121" s="297"/>
      <c r="L121" s="297"/>
      <c r="M121" s="297"/>
      <c r="N121" s="379"/>
      <c r="O121" s="272"/>
      <c r="P121" s="272"/>
      <c r="Q121" s="272"/>
      <c r="R121" s="272"/>
      <c r="S121" s="272"/>
      <c r="T121" s="272"/>
      <c r="U121" s="272"/>
      <c r="V121" s="272"/>
      <c r="W121" s="272"/>
      <c r="X121" s="272"/>
      <c r="Y121" s="272"/>
      <c r="Z121" s="272"/>
      <c r="AA121" s="272"/>
      <c r="AB121" s="272"/>
      <c r="AC121" s="272"/>
      <c r="AD121" s="272"/>
      <c r="AE121" s="272"/>
    </row>
    <row r="122" spans="2:31" ht="15">
      <c r="B122" s="377">
        <f t="shared" si="5"/>
        <v>77</v>
      </c>
      <c r="C122" s="385" t="str" cm="1">
        <f t="array" aca="1" ref="C122" ca="1">IF(B122&lt;=$C$9,GetGetCDSName(B122),"")</f>
        <v>NATIONALGRIDTRANSCOPLC_MMR.EUR.SU</v>
      </c>
      <c r="D122" s="345">
        <v>0</v>
      </c>
      <c r="E122" s="378">
        <v>1</v>
      </c>
      <c r="F122" s="297">
        <v>0</v>
      </c>
      <c r="G122" s="297">
        <v>1</v>
      </c>
      <c r="H122" s="297">
        <v>0</v>
      </c>
      <c r="I122" s="297">
        <v>1</v>
      </c>
      <c r="J122" s="297">
        <v>0</v>
      </c>
      <c r="K122" s="297"/>
      <c r="L122" s="297"/>
      <c r="M122" s="297"/>
      <c r="N122" s="379"/>
      <c r="O122" s="272"/>
      <c r="P122" s="272"/>
      <c r="Q122" s="272"/>
      <c r="R122" s="272"/>
      <c r="S122" s="272"/>
      <c r="T122" s="272"/>
      <c r="U122" s="272"/>
      <c r="V122" s="272"/>
      <c r="W122" s="272"/>
      <c r="X122" s="272"/>
      <c r="Y122" s="272"/>
      <c r="Z122" s="272"/>
      <c r="AA122" s="272"/>
      <c r="AB122" s="272"/>
      <c r="AC122" s="272"/>
      <c r="AD122" s="272"/>
      <c r="AE122" s="272"/>
    </row>
    <row r="123" spans="2:31" ht="15">
      <c r="B123" s="377">
        <f t="shared" si="5"/>
        <v>78</v>
      </c>
      <c r="C123" s="385" t="str" cm="1">
        <f t="array" aca="1" ref="C123" ca="1">IF(B123&lt;=$C$9,GetGetCDSName(B123),"")</f>
        <v>NEXTPLC_MMR.EUR.SU</v>
      </c>
      <c r="D123" s="345">
        <v>0</v>
      </c>
      <c r="E123" s="378">
        <v>0</v>
      </c>
      <c r="F123" s="297">
        <v>0</v>
      </c>
      <c r="G123" s="297">
        <v>0</v>
      </c>
      <c r="H123" s="297">
        <v>0</v>
      </c>
      <c r="I123" s="297">
        <v>1</v>
      </c>
      <c r="J123" s="297">
        <v>1</v>
      </c>
      <c r="K123" s="297"/>
      <c r="L123" s="297"/>
      <c r="M123" s="297"/>
      <c r="N123" s="379"/>
      <c r="O123" s="272"/>
      <c r="P123" s="272"/>
      <c r="Q123" s="272"/>
      <c r="R123" s="272"/>
      <c r="S123" s="272"/>
      <c r="T123" s="272"/>
      <c r="U123" s="272"/>
      <c r="V123" s="272"/>
      <c r="W123" s="272"/>
      <c r="X123" s="272"/>
      <c r="Y123" s="272"/>
      <c r="Z123" s="272"/>
      <c r="AA123" s="272"/>
      <c r="AB123" s="272"/>
      <c r="AC123" s="272"/>
      <c r="AD123" s="272"/>
      <c r="AE123" s="272"/>
    </row>
    <row r="124" spans="2:31" ht="15">
      <c r="B124" s="377">
        <f t="shared" si="5"/>
        <v>79</v>
      </c>
      <c r="C124" s="385" t="str" cm="1">
        <f t="array" aca="1" ref="C124" ca="1">IF(B124&lt;=$C$9,GetGetCDSName(B124),"")</f>
        <v>PEARSON_MMR.EUR.SU</v>
      </c>
      <c r="D124" s="345">
        <v>0</v>
      </c>
      <c r="E124" s="378">
        <v>0</v>
      </c>
      <c r="F124" s="297">
        <v>0</v>
      </c>
      <c r="G124" s="297">
        <v>1</v>
      </c>
      <c r="H124" s="297">
        <v>0</v>
      </c>
      <c r="I124" s="297">
        <v>0</v>
      </c>
      <c r="J124" s="297">
        <v>1</v>
      </c>
      <c r="K124" s="297"/>
      <c r="L124" s="297"/>
      <c r="M124" s="297"/>
      <c r="N124" s="379"/>
      <c r="O124" s="272"/>
      <c r="P124" s="272"/>
      <c r="Q124" s="272"/>
      <c r="R124" s="272"/>
      <c r="S124" s="272"/>
      <c r="T124" s="272"/>
      <c r="U124" s="272"/>
      <c r="V124" s="272"/>
      <c r="W124" s="272"/>
      <c r="X124" s="272"/>
      <c r="Y124" s="272"/>
      <c r="Z124" s="272"/>
      <c r="AA124" s="272"/>
      <c r="AB124" s="272"/>
      <c r="AC124" s="272"/>
      <c r="AD124" s="272"/>
      <c r="AE124" s="272"/>
    </row>
    <row r="125" spans="2:31" ht="15">
      <c r="B125" s="377">
        <f t="shared" si="5"/>
        <v>80</v>
      </c>
      <c r="C125" s="385" t="str" cm="1">
        <f t="array" aca="1" ref="C125" ca="1">IF(B125&lt;=$C$9,GetGetCDSName(B125),"")</f>
        <v>PEUGEOT_MMR.EUR.SU</v>
      </c>
      <c r="D125" s="345">
        <v>0</v>
      </c>
      <c r="E125" s="378">
        <v>1</v>
      </c>
      <c r="F125" s="297">
        <v>1</v>
      </c>
      <c r="G125" s="297">
        <v>0</v>
      </c>
      <c r="H125" s="297">
        <v>0</v>
      </c>
      <c r="I125" s="297">
        <v>0</v>
      </c>
      <c r="J125" s="297">
        <v>0</v>
      </c>
      <c r="K125" s="297"/>
      <c r="L125" s="297"/>
      <c r="M125" s="297"/>
      <c r="N125" s="379"/>
      <c r="O125" s="272"/>
      <c r="P125" s="272"/>
      <c r="Q125" s="272"/>
      <c r="R125" s="272"/>
      <c r="S125" s="272"/>
      <c r="T125" s="272"/>
      <c r="U125" s="272"/>
      <c r="V125" s="272"/>
      <c r="W125" s="272"/>
      <c r="X125" s="272"/>
      <c r="Y125" s="272"/>
      <c r="Z125" s="272"/>
      <c r="AA125" s="272"/>
      <c r="AB125" s="272"/>
      <c r="AC125" s="272"/>
      <c r="AD125" s="272"/>
      <c r="AE125" s="272"/>
    </row>
    <row r="126" spans="2:31" ht="15">
      <c r="B126" s="377">
        <f t="shared" si="5"/>
        <v>81</v>
      </c>
      <c r="C126" s="385" t="str" cm="1">
        <f t="array" aca="1" ref="C126" ca="1">IF(B126&lt;=$C$9,GetGetCDSName(B126),"")</f>
        <v>PHILIPSELEC_MMR.EUR.SU</v>
      </c>
      <c r="D126" s="345">
        <v>0</v>
      </c>
      <c r="E126" s="378">
        <v>0</v>
      </c>
      <c r="F126" s="297">
        <v>0</v>
      </c>
      <c r="G126" s="297">
        <v>0</v>
      </c>
      <c r="H126" s="297">
        <v>1</v>
      </c>
      <c r="I126" s="297">
        <v>0</v>
      </c>
      <c r="J126" s="297">
        <v>1</v>
      </c>
      <c r="K126" s="297"/>
      <c r="L126" s="297"/>
      <c r="M126" s="297"/>
      <c r="N126" s="379"/>
      <c r="O126" s="272"/>
      <c r="P126" s="272"/>
      <c r="Q126" s="272"/>
      <c r="R126" s="272"/>
      <c r="S126" s="272"/>
      <c r="T126" s="272"/>
      <c r="U126" s="272"/>
      <c r="V126" s="272"/>
      <c r="W126" s="272"/>
      <c r="X126" s="272"/>
      <c r="Y126" s="272"/>
      <c r="Z126" s="272"/>
      <c r="AA126" s="272"/>
      <c r="AB126" s="272"/>
      <c r="AC126" s="272"/>
      <c r="AD126" s="272"/>
      <c r="AE126" s="272"/>
    </row>
    <row r="127" spans="2:31" ht="15">
      <c r="B127" s="377">
        <f t="shared" si="5"/>
        <v>82</v>
      </c>
      <c r="C127" s="385" t="str" cm="1">
        <f t="array" aca="1" ref="C127" ca="1">IF(B127&lt;=$C$9,GetGetCDSName(B127),"")</f>
        <v>PINAULTPRINTEMPS_MMR.EUR.SU</v>
      </c>
      <c r="D127" s="345">
        <v>0</v>
      </c>
      <c r="E127" s="378">
        <v>0</v>
      </c>
      <c r="F127" s="297">
        <v>0</v>
      </c>
      <c r="G127" s="297">
        <v>1</v>
      </c>
      <c r="H127" s="297">
        <v>1</v>
      </c>
      <c r="I127" s="297">
        <v>0</v>
      </c>
      <c r="J127" s="297">
        <v>0</v>
      </c>
      <c r="K127" s="297"/>
      <c r="L127" s="297"/>
      <c r="M127" s="297"/>
      <c r="N127" s="379"/>
      <c r="O127" s="272"/>
      <c r="P127" s="272"/>
      <c r="Q127" s="272"/>
      <c r="R127" s="272"/>
      <c r="S127" s="272"/>
      <c r="T127" s="272"/>
      <c r="U127" s="272"/>
      <c r="V127" s="272"/>
      <c r="W127" s="272"/>
      <c r="X127" s="272"/>
      <c r="Y127" s="272"/>
      <c r="Z127" s="272"/>
      <c r="AA127" s="272"/>
      <c r="AB127" s="272"/>
      <c r="AC127" s="272"/>
      <c r="AD127" s="272"/>
      <c r="AE127" s="272"/>
    </row>
    <row r="128" spans="2:31" ht="15">
      <c r="B128" s="377">
        <f t="shared" si="5"/>
        <v>83</v>
      </c>
      <c r="C128" s="385" t="str" cm="1">
        <f t="array" aca="1" ref="C128" ca="1">IF(B128&lt;=$C$9,GetGetCDSName(B128),"")</f>
        <v>PORTUGALTELECOM_MMR.EUR.SU</v>
      </c>
      <c r="D128" s="345">
        <v>0</v>
      </c>
      <c r="E128" s="378">
        <v>0</v>
      </c>
      <c r="F128" s="297">
        <v>0</v>
      </c>
      <c r="G128" s="297">
        <v>1</v>
      </c>
      <c r="H128" s="297">
        <v>0</v>
      </c>
      <c r="I128" s="297">
        <v>1</v>
      </c>
      <c r="J128" s="297">
        <v>1</v>
      </c>
      <c r="K128" s="297"/>
      <c r="L128" s="297"/>
      <c r="M128" s="297"/>
      <c r="N128" s="379"/>
      <c r="O128" s="272"/>
      <c r="P128" s="272"/>
      <c r="Q128" s="272"/>
      <c r="R128" s="272"/>
      <c r="S128" s="272"/>
      <c r="T128" s="272"/>
      <c r="U128" s="272"/>
      <c r="V128" s="272"/>
      <c r="W128" s="272"/>
      <c r="X128" s="272"/>
      <c r="Y128" s="272"/>
      <c r="Z128" s="272"/>
      <c r="AA128" s="272"/>
      <c r="AB128" s="272"/>
      <c r="AC128" s="272"/>
      <c r="AD128" s="272"/>
      <c r="AE128" s="272"/>
    </row>
    <row r="129" spans="2:31" ht="15">
      <c r="B129" s="377">
        <f t="shared" si="5"/>
        <v>84</v>
      </c>
      <c r="C129" s="385" t="str" cm="1">
        <f t="array" aca="1" ref="C129" ca="1">IF(B129&lt;=$C$9,GetGetCDSName(B129),"")</f>
        <v>REEDELSEVIER_MMR.EUR.SU</v>
      </c>
      <c r="D129" s="345">
        <v>0</v>
      </c>
      <c r="E129" s="378">
        <v>1</v>
      </c>
      <c r="F129" s="297">
        <v>0</v>
      </c>
      <c r="G129" s="297">
        <v>1</v>
      </c>
      <c r="H129" s="297">
        <v>1</v>
      </c>
      <c r="I129" s="297">
        <v>0</v>
      </c>
      <c r="J129" s="297">
        <v>0</v>
      </c>
      <c r="K129" s="297"/>
      <c r="L129" s="297"/>
      <c r="M129" s="297"/>
      <c r="N129" s="379"/>
      <c r="O129" s="272"/>
      <c r="P129" s="272"/>
      <c r="Q129" s="272"/>
      <c r="R129" s="272"/>
      <c r="S129" s="272"/>
      <c r="T129" s="272"/>
      <c r="U129" s="272"/>
      <c r="V129" s="272"/>
      <c r="W129" s="272"/>
      <c r="X129" s="272"/>
      <c r="Y129" s="272"/>
      <c r="Z129" s="272"/>
      <c r="AA129" s="272"/>
      <c r="AB129" s="272"/>
      <c r="AC129" s="272"/>
      <c r="AD129" s="272"/>
      <c r="AE129" s="272"/>
    </row>
    <row r="130" spans="2:31" ht="15">
      <c r="B130" s="377">
        <f t="shared" si="5"/>
        <v>85</v>
      </c>
      <c r="C130" s="385" t="str" cm="1">
        <f t="array" aca="1" ref="C130" ca="1">IF(B130&lt;=$C$9,GetGetCDSName(B130),"")</f>
        <v>RENAULT_MMR.EUR.SU</v>
      </c>
      <c r="D130" s="345">
        <v>0</v>
      </c>
      <c r="E130" s="378">
        <v>0</v>
      </c>
      <c r="F130" s="297">
        <v>1</v>
      </c>
      <c r="G130" s="297">
        <v>0</v>
      </c>
      <c r="H130" s="297">
        <v>0</v>
      </c>
      <c r="I130" s="297">
        <v>1</v>
      </c>
      <c r="J130" s="297">
        <v>0</v>
      </c>
      <c r="K130" s="297"/>
      <c r="L130" s="297"/>
      <c r="M130" s="297"/>
      <c r="N130" s="379"/>
      <c r="O130" s="272"/>
      <c r="P130" s="272"/>
      <c r="Q130" s="272"/>
      <c r="R130" s="272"/>
      <c r="S130" s="272"/>
      <c r="T130" s="272"/>
      <c r="U130" s="272"/>
      <c r="V130" s="272"/>
      <c r="W130" s="272"/>
      <c r="X130" s="272"/>
      <c r="Y130" s="272"/>
      <c r="Z130" s="272"/>
      <c r="AA130" s="272"/>
      <c r="AB130" s="272"/>
      <c r="AC130" s="272"/>
      <c r="AD130" s="272"/>
      <c r="AE130" s="272"/>
    </row>
    <row r="131" spans="2:31" ht="15">
      <c r="B131" s="377">
        <f t="shared" si="5"/>
        <v>86</v>
      </c>
      <c r="C131" s="385" t="str" cm="1">
        <f t="array" aca="1" ref="C131" ca="1">IF(B131&lt;=$C$9,GetGetCDSName(B131),"")</f>
        <v>REPSOL_MMR.EUR.SU</v>
      </c>
      <c r="D131" s="345">
        <v>0</v>
      </c>
      <c r="E131" s="378">
        <v>1</v>
      </c>
      <c r="F131" s="297">
        <v>0</v>
      </c>
      <c r="G131" s="297">
        <v>1</v>
      </c>
      <c r="H131" s="297">
        <v>0</v>
      </c>
      <c r="I131" s="297">
        <v>0</v>
      </c>
      <c r="J131" s="297">
        <v>0</v>
      </c>
      <c r="K131" s="297"/>
      <c r="L131" s="297"/>
      <c r="M131" s="297"/>
      <c r="N131" s="379"/>
      <c r="O131" s="272"/>
      <c r="P131" s="272"/>
      <c r="Q131" s="272"/>
      <c r="R131" s="272"/>
      <c r="S131" s="272"/>
      <c r="T131" s="272"/>
      <c r="U131" s="272"/>
      <c r="V131" s="272"/>
      <c r="W131" s="272"/>
      <c r="X131" s="272"/>
      <c r="Y131" s="272"/>
      <c r="Z131" s="272"/>
      <c r="AA131" s="272"/>
      <c r="AB131" s="272"/>
      <c r="AC131" s="272"/>
      <c r="AD131" s="272"/>
      <c r="AE131" s="272"/>
    </row>
    <row r="132" spans="2:31" ht="15">
      <c r="B132" s="377">
        <f t="shared" si="5"/>
        <v>87</v>
      </c>
      <c r="C132" s="385" t="str" cm="1">
        <f t="array" aca="1" ref="C132" ca="1">IF(B132&lt;=$C$9,GetGetCDSName(B132),"")</f>
        <v>REUTERS_MMR.EUR.SU</v>
      </c>
      <c r="D132" s="345">
        <v>0</v>
      </c>
      <c r="E132" s="378">
        <v>1</v>
      </c>
      <c r="F132" s="297">
        <v>0</v>
      </c>
      <c r="G132" s="297">
        <v>0</v>
      </c>
      <c r="H132" s="297">
        <v>1</v>
      </c>
      <c r="I132" s="297">
        <v>0</v>
      </c>
      <c r="J132" s="297">
        <v>0</v>
      </c>
      <c r="K132" s="297"/>
      <c r="L132" s="297"/>
      <c r="M132" s="297"/>
      <c r="N132" s="379"/>
      <c r="O132" s="272"/>
      <c r="P132" s="272"/>
      <c r="Q132" s="272"/>
      <c r="R132" s="272"/>
      <c r="S132" s="272"/>
      <c r="T132" s="272"/>
      <c r="U132" s="272"/>
      <c r="V132" s="272"/>
      <c r="W132" s="272"/>
      <c r="X132" s="272"/>
      <c r="Y132" s="272"/>
      <c r="Z132" s="272"/>
      <c r="AA132" s="272"/>
      <c r="AB132" s="272"/>
      <c r="AC132" s="272"/>
      <c r="AD132" s="272"/>
      <c r="AE132" s="272"/>
    </row>
    <row r="133" spans="2:31" ht="15">
      <c r="B133" s="377">
        <f t="shared" si="5"/>
        <v>88</v>
      </c>
      <c r="C133" s="385" t="str" cm="1">
        <f t="array" aca="1" ref="C133" ca="1">IF(B133&lt;=$C$9,GetGetCDSName(B133),"")</f>
        <v>ROYALBANKSCOTLAND_MMR.EUR.SU</v>
      </c>
      <c r="D133" s="345">
        <v>0</v>
      </c>
      <c r="E133" s="378">
        <v>0</v>
      </c>
      <c r="F133" s="297">
        <v>0</v>
      </c>
      <c r="G133" s="297">
        <v>1</v>
      </c>
      <c r="H133" s="297">
        <v>1</v>
      </c>
      <c r="I133" s="297">
        <v>1</v>
      </c>
      <c r="J133" s="297">
        <v>0</v>
      </c>
      <c r="K133" s="297"/>
      <c r="L133" s="297"/>
      <c r="M133" s="297"/>
      <c r="N133" s="379"/>
      <c r="O133" s="272"/>
      <c r="P133" s="272"/>
      <c r="Q133" s="272"/>
      <c r="R133" s="272"/>
      <c r="S133" s="272"/>
      <c r="T133" s="272"/>
      <c r="U133" s="272"/>
      <c r="V133" s="272"/>
      <c r="W133" s="272"/>
      <c r="X133" s="272"/>
      <c r="Y133" s="272"/>
      <c r="Z133" s="272"/>
      <c r="AA133" s="272"/>
      <c r="AB133" s="272"/>
      <c r="AC133" s="272"/>
      <c r="AD133" s="272"/>
      <c r="AE133" s="272"/>
    </row>
    <row r="134" spans="2:31" ht="15">
      <c r="B134" s="377">
        <f t="shared" si="5"/>
        <v>89</v>
      </c>
      <c r="C134" s="385" t="str" cm="1">
        <f t="array" aca="1" ref="C134" ca="1">IF(B134&lt;=$C$9,GetGetCDSName(B134),"")</f>
        <v>RWE_MMR.EUR.SU</v>
      </c>
      <c r="D134" s="345">
        <v>0</v>
      </c>
      <c r="E134" s="378">
        <v>0</v>
      </c>
      <c r="F134" s="297">
        <v>0</v>
      </c>
      <c r="G134" s="297">
        <v>0</v>
      </c>
      <c r="H134" s="297">
        <v>1</v>
      </c>
      <c r="I134" s="297">
        <v>1</v>
      </c>
      <c r="J134" s="297">
        <v>0</v>
      </c>
      <c r="K134" s="297"/>
      <c r="L134" s="297"/>
      <c r="M134" s="297"/>
      <c r="N134" s="379"/>
      <c r="O134" s="272"/>
      <c r="P134" s="272"/>
      <c r="Q134" s="272"/>
      <c r="R134" s="272"/>
      <c r="S134" s="272"/>
      <c r="T134" s="272"/>
      <c r="U134" s="272"/>
      <c r="V134" s="272"/>
      <c r="W134" s="272"/>
      <c r="X134" s="272"/>
      <c r="Y134" s="272"/>
      <c r="Z134" s="272"/>
      <c r="AA134" s="272"/>
      <c r="AB134" s="272"/>
      <c r="AC134" s="272"/>
      <c r="AD134" s="272"/>
      <c r="AE134" s="272"/>
    </row>
    <row r="135" spans="2:31" ht="15">
      <c r="B135" s="377">
        <f t="shared" si="5"/>
        <v>90</v>
      </c>
      <c r="C135" s="385" t="str" cm="1">
        <f t="array" aca="1" ref="C135" ca="1">IF(B135&lt;=$C$9,GetGetCDSName(B135),"")</f>
        <v>SAFEWAYPLC_MMR.EUR.SU</v>
      </c>
      <c r="D135" s="345">
        <v>0</v>
      </c>
      <c r="E135" s="378">
        <v>0</v>
      </c>
      <c r="F135" s="297">
        <v>1</v>
      </c>
      <c r="G135" s="297">
        <v>0</v>
      </c>
      <c r="H135" s="297">
        <v>1</v>
      </c>
      <c r="I135" s="297">
        <v>0</v>
      </c>
      <c r="J135" s="297">
        <v>0</v>
      </c>
      <c r="K135" s="297"/>
      <c r="L135" s="297"/>
      <c r="M135" s="297"/>
      <c r="N135" s="379"/>
      <c r="O135" s="272"/>
      <c r="P135" s="272"/>
      <c r="Q135" s="272"/>
      <c r="R135" s="272"/>
      <c r="S135" s="272"/>
      <c r="T135" s="272"/>
      <c r="U135" s="272"/>
      <c r="V135" s="272"/>
      <c r="W135" s="272"/>
      <c r="X135" s="272"/>
      <c r="Y135" s="272"/>
      <c r="Z135" s="272"/>
      <c r="AA135" s="272"/>
      <c r="AB135" s="272"/>
      <c r="AC135" s="272"/>
      <c r="AD135" s="272"/>
      <c r="AE135" s="272"/>
    </row>
    <row r="136" spans="2:31" ht="15">
      <c r="B136" s="377">
        <f t="shared" si="5"/>
        <v>91</v>
      </c>
      <c r="C136" s="385" t="str" cm="1">
        <f t="array" aca="1" ref="C136" ca="1">IF(B136&lt;=$C$9,GetGetCDSName(B136),"")</f>
        <v>SANOFIAVENTIS_MMR.EUR.SU</v>
      </c>
      <c r="D136" s="345">
        <v>0</v>
      </c>
      <c r="E136" s="378">
        <v>0</v>
      </c>
      <c r="F136" s="297">
        <v>1</v>
      </c>
      <c r="G136" s="297">
        <v>1</v>
      </c>
      <c r="H136" s="297">
        <v>0</v>
      </c>
      <c r="I136" s="297">
        <v>0</v>
      </c>
      <c r="J136" s="297">
        <v>1</v>
      </c>
      <c r="K136" s="297"/>
      <c r="L136" s="297"/>
      <c r="M136" s="297"/>
      <c r="N136" s="379"/>
      <c r="O136" s="272"/>
      <c r="P136" s="272"/>
      <c r="Q136" s="272"/>
      <c r="R136" s="272"/>
      <c r="S136" s="272"/>
      <c r="T136" s="272"/>
      <c r="U136" s="272"/>
      <c r="V136" s="272"/>
      <c r="W136" s="272"/>
      <c r="X136" s="272"/>
      <c r="Y136" s="272"/>
      <c r="Z136" s="272"/>
      <c r="AA136" s="272"/>
      <c r="AB136" s="272"/>
      <c r="AC136" s="272"/>
      <c r="AD136" s="272"/>
      <c r="AE136" s="272"/>
    </row>
    <row r="137" spans="2:31" ht="15">
      <c r="B137" s="377">
        <f t="shared" si="5"/>
        <v>92</v>
      </c>
      <c r="C137" s="385" t="str" cm="1">
        <f t="array" aca="1" ref="C137" ca="1">IF(B137&lt;=$C$9,GetGetCDSName(B137),"")</f>
        <v>SIEMENS_MMR.EUR.SU</v>
      </c>
      <c r="D137" s="345">
        <v>0</v>
      </c>
      <c r="E137" s="378">
        <v>0</v>
      </c>
      <c r="F137" s="297">
        <v>1</v>
      </c>
      <c r="G137" s="297">
        <v>0</v>
      </c>
      <c r="H137" s="297">
        <v>0</v>
      </c>
      <c r="I137" s="297">
        <v>1</v>
      </c>
      <c r="J137" s="297">
        <v>1</v>
      </c>
      <c r="K137" s="297"/>
      <c r="L137" s="297"/>
      <c r="M137" s="297"/>
      <c r="N137" s="379"/>
      <c r="O137" s="272"/>
      <c r="P137" s="272"/>
      <c r="Q137" s="272"/>
      <c r="R137" s="272"/>
      <c r="S137" s="272"/>
      <c r="T137" s="272"/>
      <c r="U137" s="272"/>
      <c r="V137" s="272"/>
      <c r="W137" s="272"/>
      <c r="X137" s="272"/>
      <c r="Y137" s="272"/>
      <c r="Z137" s="272"/>
      <c r="AA137" s="272"/>
      <c r="AB137" s="272"/>
      <c r="AC137" s="272"/>
      <c r="AD137" s="272"/>
      <c r="AE137" s="272"/>
    </row>
    <row r="138" spans="2:31" ht="15">
      <c r="B138" s="377">
        <f t="shared" si="5"/>
        <v>93</v>
      </c>
      <c r="C138" s="385" t="str" cm="1">
        <f t="array" aca="1" ref="C138" ca="1">IF(B138&lt;=$C$9,GetGetCDSName(B138),"")</f>
        <v>SODEXHOALLIANCE_MMR.EUR.SU</v>
      </c>
      <c r="D138" s="345">
        <v>0</v>
      </c>
      <c r="E138" s="378">
        <v>1</v>
      </c>
      <c r="F138" s="297">
        <v>1</v>
      </c>
      <c r="G138" s="297">
        <v>0</v>
      </c>
      <c r="H138" s="297">
        <v>0</v>
      </c>
      <c r="I138" s="297">
        <v>1</v>
      </c>
      <c r="J138" s="297">
        <v>0</v>
      </c>
      <c r="K138" s="297"/>
      <c r="L138" s="297"/>
      <c r="M138" s="297"/>
      <c r="N138" s="379"/>
      <c r="O138" s="272"/>
      <c r="P138" s="272"/>
      <c r="Q138" s="272"/>
      <c r="R138" s="272"/>
      <c r="S138" s="272"/>
      <c r="T138" s="272"/>
      <c r="U138" s="272"/>
      <c r="V138" s="272"/>
      <c r="W138" s="272"/>
      <c r="X138" s="272"/>
      <c r="Y138" s="272"/>
      <c r="Z138" s="272"/>
      <c r="AA138" s="272"/>
      <c r="AB138" s="272"/>
      <c r="AC138" s="272"/>
      <c r="AD138" s="272"/>
      <c r="AE138" s="272"/>
    </row>
    <row r="139" spans="2:31" ht="15">
      <c r="B139" s="377">
        <f t="shared" si="5"/>
        <v>94</v>
      </c>
      <c r="C139" s="385" t="str" cm="1">
        <f t="array" aca="1" ref="C139" ca="1">IF(B139&lt;=$C$9,GetGetCDSName(B139),"")</f>
        <v>SOLVAY_MMR.EUR.SU</v>
      </c>
      <c r="D139" s="345">
        <v>0</v>
      </c>
      <c r="E139" s="378">
        <v>1</v>
      </c>
      <c r="F139" s="297">
        <v>0</v>
      </c>
      <c r="G139" s="297">
        <v>0</v>
      </c>
      <c r="H139" s="297">
        <v>0</v>
      </c>
      <c r="I139" s="297">
        <v>1</v>
      </c>
      <c r="J139" s="297">
        <v>0</v>
      </c>
      <c r="K139" s="297"/>
      <c r="L139" s="297"/>
      <c r="M139" s="297"/>
      <c r="N139" s="379"/>
      <c r="O139" s="272"/>
      <c r="P139" s="272"/>
      <c r="Q139" s="272"/>
      <c r="R139" s="272"/>
      <c r="S139" s="272"/>
      <c r="T139" s="272"/>
      <c r="U139" s="272"/>
      <c r="V139" s="272"/>
      <c r="W139" s="272"/>
      <c r="X139" s="272"/>
      <c r="Y139" s="272"/>
      <c r="Z139" s="272"/>
      <c r="AA139" s="272"/>
      <c r="AB139" s="272"/>
      <c r="AC139" s="272"/>
      <c r="AD139" s="272"/>
      <c r="AE139" s="272"/>
    </row>
    <row r="140" spans="2:31" ht="15">
      <c r="B140" s="377">
        <f t="shared" si="5"/>
        <v>95</v>
      </c>
      <c r="C140" s="385" t="str" cm="1">
        <f t="array" aca="1" ref="C140" ca="1">IF(B140&lt;=$C$9,GetGetCDSName(B140),"")</f>
        <v>STGOBAIN_MMR.EUR.SU</v>
      </c>
      <c r="D140" s="345">
        <v>0</v>
      </c>
      <c r="E140" s="378">
        <v>1</v>
      </c>
      <c r="F140" s="297">
        <v>1</v>
      </c>
      <c r="G140" s="297">
        <v>0</v>
      </c>
      <c r="H140" s="297">
        <v>0</v>
      </c>
      <c r="I140" s="297">
        <v>1</v>
      </c>
      <c r="J140" s="297">
        <v>0</v>
      </c>
      <c r="K140" s="297"/>
      <c r="L140" s="297"/>
      <c r="M140" s="297"/>
      <c r="N140" s="379"/>
      <c r="O140" s="272"/>
      <c r="P140" s="272"/>
      <c r="Q140" s="272"/>
      <c r="R140" s="272"/>
      <c r="S140" s="272"/>
      <c r="T140" s="272"/>
      <c r="U140" s="272"/>
      <c r="V140" s="272"/>
      <c r="W140" s="272"/>
      <c r="X140" s="272"/>
      <c r="Y140" s="272"/>
      <c r="Z140" s="272"/>
      <c r="AA140" s="272"/>
      <c r="AB140" s="272"/>
      <c r="AC140" s="272"/>
      <c r="AD140" s="272"/>
      <c r="AE140" s="272"/>
    </row>
    <row r="141" spans="2:31" ht="15">
      <c r="B141" s="377">
        <f t="shared" si="5"/>
        <v>96</v>
      </c>
      <c r="C141" s="385" t="str" cm="1">
        <f t="array" aca="1" ref="C141" ca="1">IF(B141&lt;=$C$9,GetGetCDSName(B141),"")</f>
        <v>STMICRO_MMR.EUR.SU</v>
      </c>
      <c r="D141" s="345">
        <v>0</v>
      </c>
      <c r="E141" s="378">
        <v>0</v>
      </c>
      <c r="F141" s="297">
        <v>0</v>
      </c>
      <c r="G141" s="297">
        <v>0</v>
      </c>
      <c r="H141" s="297">
        <v>0</v>
      </c>
      <c r="I141" s="297">
        <v>0</v>
      </c>
      <c r="J141" s="297">
        <v>1</v>
      </c>
      <c r="K141" s="297"/>
      <c r="L141" s="297"/>
      <c r="M141" s="297"/>
      <c r="N141" s="379"/>
      <c r="O141" s="272"/>
      <c r="P141" s="272"/>
      <c r="Q141" s="272"/>
      <c r="R141" s="272"/>
      <c r="S141" s="272"/>
      <c r="T141" s="272"/>
      <c r="U141" s="272"/>
      <c r="V141" s="272"/>
      <c r="W141" s="272"/>
      <c r="X141" s="272"/>
      <c r="Y141" s="272"/>
      <c r="Z141" s="272"/>
      <c r="AA141" s="272"/>
      <c r="AB141" s="272"/>
      <c r="AC141" s="272"/>
      <c r="AD141" s="272"/>
      <c r="AE141" s="272"/>
    </row>
    <row r="142" spans="2:31" ht="15">
      <c r="B142" s="377">
        <f t="shared" si="5"/>
        <v>97</v>
      </c>
      <c r="C142" s="385" t="str" cm="1">
        <f t="array" aca="1" ref="C142" ca="1">IF(B142&lt;=$C$9,GetGetCDSName(B142),"")</f>
        <v>SUEDZUCKERAG_MMR.EUR.SU</v>
      </c>
      <c r="D142" s="345">
        <v>0</v>
      </c>
      <c r="E142" s="378">
        <v>1</v>
      </c>
      <c r="F142" s="297">
        <v>0</v>
      </c>
      <c r="G142" s="297">
        <v>0</v>
      </c>
      <c r="H142" s="297">
        <v>0</v>
      </c>
      <c r="I142" s="297">
        <v>0</v>
      </c>
      <c r="J142" s="297">
        <v>0</v>
      </c>
      <c r="K142" s="297"/>
      <c r="L142" s="297"/>
      <c r="M142" s="297"/>
      <c r="N142" s="379"/>
      <c r="O142" s="272"/>
      <c r="P142" s="272"/>
      <c r="Q142" s="272"/>
      <c r="R142" s="272"/>
      <c r="S142" s="272"/>
      <c r="T142" s="272"/>
      <c r="U142" s="272"/>
      <c r="V142" s="272"/>
      <c r="W142" s="272"/>
      <c r="X142" s="272"/>
      <c r="Y142" s="272"/>
      <c r="Z142" s="272"/>
      <c r="AA142" s="272"/>
      <c r="AB142" s="272"/>
      <c r="AC142" s="272"/>
      <c r="AD142" s="272"/>
      <c r="AE142" s="272"/>
    </row>
    <row r="143" spans="2:31" ht="15">
      <c r="B143" s="377">
        <f t="shared" si="5"/>
        <v>98</v>
      </c>
      <c r="C143" s="385" t="str" cm="1">
        <f t="array" aca="1" ref="C143" ca="1">IF(B143&lt;=$C$9,GetGetCDSName(B143),"")</f>
        <v>SUEZLYONNAISE_MMR.EUR.SU</v>
      </c>
      <c r="D143" s="345">
        <v>0</v>
      </c>
      <c r="E143" s="378">
        <v>0</v>
      </c>
      <c r="F143" s="297">
        <v>0</v>
      </c>
      <c r="G143" s="297">
        <v>1</v>
      </c>
      <c r="H143" s="297">
        <v>0</v>
      </c>
      <c r="I143" s="297">
        <v>0</v>
      </c>
      <c r="J143" s="297">
        <v>0</v>
      </c>
      <c r="K143" s="297"/>
      <c r="L143" s="297"/>
      <c r="M143" s="297"/>
      <c r="N143" s="379"/>
      <c r="O143" s="272"/>
      <c r="P143" s="272"/>
      <c r="Q143" s="272"/>
      <c r="R143" s="272"/>
      <c r="S143" s="272"/>
      <c r="T143" s="272"/>
      <c r="U143" s="272"/>
      <c r="V143" s="272"/>
      <c r="W143" s="272"/>
      <c r="X143" s="272"/>
      <c r="Y143" s="272"/>
      <c r="Z143" s="272"/>
      <c r="AA143" s="272"/>
      <c r="AB143" s="272"/>
      <c r="AC143" s="272"/>
      <c r="AD143" s="272"/>
      <c r="AE143" s="272"/>
    </row>
    <row r="144" spans="2:31" ht="15">
      <c r="B144" s="377">
        <f t="shared" si="5"/>
        <v>99</v>
      </c>
      <c r="C144" s="385" t="str" cm="1">
        <f t="array" aca="1" ref="C144" ca="1">IF(B144&lt;=$C$9,GetGetCDSName(B144),"")</f>
        <v>SVENSKACELLULOSAAB_MMR.EUR.SU</v>
      </c>
      <c r="D144" s="345">
        <v>0</v>
      </c>
      <c r="E144" s="378">
        <v>0</v>
      </c>
      <c r="F144" s="297">
        <v>0</v>
      </c>
      <c r="G144" s="297">
        <v>0</v>
      </c>
      <c r="H144" s="297">
        <v>0</v>
      </c>
      <c r="I144" s="297">
        <v>1</v>
      </c>
      <c r="J144" s="297">
        <v>0</v>
      </c>
      <c r="K144" s="297"/>
      <c r="L144" s="297"/>
      <c r="M144" s="297"/>
      <c r="N144" s="379"/>
      <c r="O144" s="272"/>
      <c r="P144" s="272"/>
      <c r="Q144" s="272"/>
      <c r="R144" s="272"/>
      <c r="S144" s="272"/>
      <c r="T144" s="272"/>
      <c r="U144" s="272"/>
      <c r="V144" s="272"/>
      <c r="W144" s="272"/>
      <c r="X144" s="272"/>
      <c r="Y144" s="272"/>
      <c r="Z144" s="272"/>
      <c r="AA144" s="272"/>
      <c r="AB144" s="272"/>
      <c r="AC144" s="272"/>
      <c r="AD144" s="272"/>
      <c r="AE144" s="272"/>
    </row>
    <row r="145" spans="2:31" ht="15">
      <c r="B145" s="377">
        <f t="shared" si="5"/>
        <v>100</v>
      </c>
      <c r="C145" s="385" t="str" cm="1">
        <f t="array" aca="1" ref="C145" ca="1">IF(B145&lt;=$C$9,GetGetCDSName(B145),"")</f>
        <v>SWISSRE_MMR.EUR.SU</v>
      </c>
      <c r="D145" s="345">
        <v>0</v>
      </c>
      <c r="E145" s="378">
        <v>0</v>
      </c>
      <c r="F145" s="297">
        <v>0</v>
      </c>
      <c r="G145" s="297">
        <v>1</v>
      </c>
      <c r="H145" s="297">
        <v>0</v>
      </c>
      <c r="I145" s="297">
        <v>1</v>
      </c>
      <c r="J145" s="297">
        <v>1</v>
      </c>
      <c r="K145" s="297"/>
      <c r="L145" s="297"/>
      <c r="M145" s="297"/>
      <c r="N145" s="379"/>
      <c r="O145" s="272"/>
      <c r="P145" s="272"/>
      <c r="Q145" s="272"/>
      <c r="R145" s="272"/>
      <c r="S145" s="272"/>
      <c r="T145" s="272"/>
      <c r="U145" s="272"/>
      <c r="V145" s="272"/>
      <c r="W145" s="272"/>
      <c r="X145" s="272"/>
      <c r="Y145" s="272"/>
      <c r="Z145" s="272"/>
      <c r="AA145" s="272"/>
      <c r="AB145" s="272"/>
      <c r="AC145" s="272"/>
      <c r="AD145" s="272"/>
      <c r="AE145" s="272"/>
    </row>
    <row r="146" spans="2:31" ht="15">
      <c r="B146" s="377">
        <f t="shared" si="5"/>
        <v>101</v>
      </c>
      <c r="C146" s="385" t="str" cm="1">
        <f t="array" aca="1" ref="C146" ca="1">IF(B146&lt;=$C$9,GetGetCDSName(B146),"")</f>
        <v>TATE&amp;LYLE_MMR.EUR.SU</v>
      </c>
      <c r="D146" s="345">
        <v>0</v>
      </c>
      <c r="E146" s="378">
        <v>0</v>
      </c>
      <c r="F146" s="297">
        <v>1</v>
      </c>
      <c r="G146" s="297">
        <v>1</v>
      </c>
      <c r="H146" s="297">
        <v>0</v>
      </c>
      <c r="I146" s="297">
        <v>0</v>
      </c>
      <c r="J146" s="297">
        <v>0</v>
      </c>
      <c r="K146" s="297"/>
      <c r="L146" s="297"/>
      <c r="M146" s="297"/>
      <c r="N146" s="379"/>
      <c r="O146" s="272"/>
      <c r="P146" s="272"/>
      <c r="Q146" s="272"/>
      <c r="R146" s="272"/>
      <c r="S146" s="272"/>
      <c r="T146" s="272"/>
      <c r="U146" s="272"/>
      <c r="V146" s="272"/>
      <c r="W146" s="272"/>
      <c r="X146" s="272"/>
      <c r="Y146" s="272"/>
      <c r="Z146" s="272"/>
      <c r="AA146" s="272"/>
      <c r="AB146" s="272"/>
      <c r="AC146" s="272"/>
      <c r="AD146" s="272"/>
      <c r="AE146" s="272"/>
    </row>
    <row r="147" spans="2:31" ht="15">
      <c r="B147" s="377">
        <f t="shared" si="5"/>
        <v>102</v>
      </c>
      <c r="C147" s="385" t="str" cm="1">
        <f t="array" aca="1" ref="C147" ca="1">IF(B147&lt;=$C$9,GetGetCDSName(B147),"")</f>
        <v>TELECOMITALIA_MMR.EUR.SU</v>
      </c>
      <c r="D147" s="345">
        <v>0</v>
      </c>
      <c r="E147" s="378">
        <v>1</v>
      </c>
      <c r="F147" s="297">
        <v>1</v>
      </c>
      <c r="G147" s="297">
        <v>0</v>
      </c>
      <c r="H147" s="297">
        <v>0</v>
      </c>
      <c r="I147" s="297">
        <v>0</v>
      </c>
      <c r="J147" s="297">
        <v>0</v>
      </c>
      <c r="K147" s="297"/>
      <c r="L147" s="297"/>
      <c r="M147" s="297"/>
      <c r="N147" s="379"/>
      <c r="O147" s="272"/>
      <c r="P147" s="272"/>
      <c r="Q147" s="272"/>
      <c r="R147" s="272"/>
      <c r="S147" s="272"/>
      <c r="T147" s="272"/>
      <c r="U147" s="272"/>
      <c r="V147" s="272"/>
      <c r="W147" s="272"/>
      <c r="X147" s="272"/>
      <c r="Y147" s="272"/>
      <c r="Z147" s="272"/>
      <c r="AA147" s="272"/>
      <c r="AB147" s="272"/>
      <c r="AC147" s="272"/>
      <c r="AD147" s="272"/>
      <c r="AE147" s="272"/>
    </row>
    <row r="148" spans="2:31" ht="15">
      <c r="B148" s="377">
        <f t="shared" si="5"/>
        <v>103</v>
      </c>
      <c r="C148" s="385" t="str" cm="1">
        <f t="array" aca="1" ref="C148" ca="1">IF(B148&lt;=$C$9,GetGetCDSName(B148),"")</f>
        <v>TELEFONICA_MMR.EUR.SU</v>
      </c>
      <c r="D148" s="345">
        <v>0</v>
      </c>
      <c r="E148" s="378">
        <v>0</v>
      </c>
      <c r="F148" s="297">
        <v>0</v>
      </c>
      <c r="G148" s="297">
        <v>0</v>
      </c>
      <c r="H148" s="297">
        <v>1</v>
      </c>
      <c r="I148" s="297">
        <v>0</v>
      </c>
      <c r="J148" s="297">
        <v>0</v>
      </c>
      <c r="K148" s="297"/>
      <c r="L148" s="297"/>
      <c r="M148" s="297"/>
      <c r="N148" s="379"/>
      <c r="O148" s="272"/>
      <c r="P148" s="272"/>
      <c r="Q148" s="272"/>
      <c r="R148" s="272"/>
      <c r="S148" s="272"/>
      <c r="T148" s="272"/>
      <c r="U148" s="272"/>
      <c r="V148" s="272"/>
      <c r="W148" s="272"/>
      <c r="X148" s="272"/>
      <c r="Y148" s="272"/>
      <c r="Z148" s="272"/>
      <c r="AA148" s="272"/>
      <c r="AB148" s="272"/>
      <c r="AC148" s="272"/>
      <c r="AD148" s="272"/>
      <c r="AE148" s="272"/>
    </row>
    <row r="149" spans="2:31" ht="15">
      <c r="B149" s="377">
        <f t="shared" si="5"/>
        <v>104</v>
      </c>
      <c r="C149" s="385" t="str" cm="1">
        <f t="array" aca="1" ref="C149" ca="1">IF(B149&lt;=$C$9,GetGetCDSName(B149),"")</f>
        <v>TELEKOMAUSTRIA_MMR.EUR.SU</v>
      </c>
      <c r="D149" s="345">
        <v>0</v>
      </c>
      <c r="E149" s="378">
        <v>0</v>
      </c>
      <c r="F149" s="297">
        <v>0</v>
      </c>
      <c r="G149" s="297">
        <v>0</v>
      </c>
      <c r="H149" s="297">
        <v>0</v>
      </c>
      <c r="I149" s="297">
        <v>0</v>
      </c>
      <c r="J149" s="297">
        <v>1</v>
      </c>
      <c r="K149" s="297"/>
      <c r="L149" s="297"/>
      <c r="M149" s="297"/>
      <c r="N149" s="379"/>
      <c r="O149" s="272"/>
      <c r="P149" s="272"/>
      <c r="Q149" s="272"/>
      <c r="R149" s="272"/>
      <c r="S149" s="272"/>
      <c r="T149" s="272"/>
      <c r="U149" s="272"/>
      <c r="V149" s="272"/>
      <c r="W149" s="272"/>
      <c r="X149" s="272"/>
      <c r="Y149" s="272"/>
      <c r="Z149" s="272"/>
      <c r="AA149" s="272"/>
      <c r="AB149" s="272"/>
      <c r="AC149" s="272"/>
      <c r="AD149" s="272"/>
      <c r="AE149" s="272"/>
    </row>
    <row r="150" spans="2:31" ht="15">
      <c r="B150" s="377">
        <f t="shared" si="5"/>
        <v>105</v>
      </c>
      <c r="C150" s="385" t="str" cm="1">
        <f t="array" aca="1" ref="C150" ca="1">IF(B150&lt;=$C$9,GetGetCDSName(B150),"")</f>
        <v>TELENOR_MMR.EUR.SU</v>
      </c>
      <c r="D150" s="345">
        <v>0</v>
      </c>
      <c r="E150" s="378">
        <v>0</v>
      </c>
      <c r="F150" s="297">
        <v>1</v>
      </c>
      <c r="G150" s="297">
        <v>0</v>
      </c>
      <c r="H150" s="297">
        <v>1</v>
      </c>
      <c r="I150" s="297">
        <v>1</v>
      </c>
      <c r="J150" s="297">
        <v>0</v>
      </c>
      <c r="K150" s="297"/>
      <c r="L150" s="297"/>
      <c r="M150" s="297"/>
      <c r="N150" s="379"/>
      <c r="O150" s="272"/>
      <c r="P150" s="272"/>
      <c r="Q150" s="272"/>
      <c r="R150" s="272"/>
      <c r="S150" s="272"/>
      <c r="T150" s="272"/>
      <c r="U150" s="272"/>
      <c r="V150" s="272"/>
      <c r="W150" s="272"/>
      <c r="X150" s="272"/>
      <c r="Y150" s="272"/>
      <c r="Z150" s="272"/>
      <c r="AA150" s="272"/>
      <c r="AB150" s="272"/>
      <c r="AC150" s="272"/>
      <c r="AD150" s="272"/>
      <c r="AE150" s="272"/>
    </row>
    <row r="151" spans="2:31" ht="15">
      <c r="B151" s="377">
        <f t="shared" si="5"/>
        <v>106</v>
      </c>
      <c r="C151" s="385" t="str" cm="1">
        <f t="array" aca="1" ref="C151" ca="1">IF(B151&lt;=$C$9,GetGetCDSName(B151),"")</f>
        <v>TELIA_MMR.EUR.SU</v>
      </c>
      <c r="D151" s="345">
        <v>0</v>
      </c>
      <c r="E151" s="378">
        <v>0</v>
      </c>
      <c r="F151" s="297">
        <v>0</v>
      </c>
      <c r="G151" s="297">
        <v>0</v>
      </c>
      <c r="H151" s="297">
        <v>0</v>
      </c>
      <c r="I151" s="297">
        <v>1</v>
      </c>
      <c r="J151" s="297">
        <v>0</v>
      </c>
      <c r="K151" s="297"/>
      <c r="L151" s="297"/>
      <c r="M151" s="297"/>
      <c r="N151" s="379"/>
      <c r="O151" s="272"/>
      <c r="P151" s="272"/>
      <c r="Q151" s="272"/>
      <c r="R151" s="272"/>
      <c r="S151" s="272"/>
      <c r="T151" s="272"/>
      <c r="U151" s="272"/>
      <c r="V151" s="272"/>
      <c r="W151" s="272"/>
      <c r="X151" s="272"/>
      <c r="Y151" s="272"/>
      <c r="Z151" s="272"/>
      <c r="AA151" s="272"/>
      <c r="AB151" s="272"/>
      <c r="AC151" s="272"/>
      <c r="AD151" s="272"/>
      <c r="AE151" s="272"/>
    </row>
    <row r="152" spans="2:31" ht="15">
      <c r="B152" s="377">
        <f t="shared" si="5"/>
        <v>107</v>
      </c>
      <c r="C152" s="385" t="str" cm="1">
        <f t="array" aca="1" ref="C152" ca="1">IF(B152&lt;=$C$9,GetGetCDSName(B152),"")</f>
        <v>TESCO_MMR.EUR.SU</v>
      </c>
      <c r="D152" s="345">
        <v>0</v>
      </c>
      <c r="E152" s="378">
        <v>0</v>
      </c>
      <c r="F152" s="297">
        <v>0</v>
      </c>
      <c r="G152" s="297">
        <v>1</v>
      </c>
      <c r="H152" s="297">
        <v>0</v>
      </c>
      <c r="I152" s="297">
        <v>0</v>
      </c>
      <c r="J152" s="297">
        <v>0</v>
      </c>
      <c r="K152" s="297"/>
      <c r="L152" s="297"/>
      <c r="M152" s="297"/>
      <c r="N152" s="379"/>
      <c r="O152" s="272"/>
      <c r="P152" s="272"/>
      <c r="Q152" s="272"/>
      <c r="R152" s="272"/>
      <c r="S152" s="272"/>
      <c r="T152" s="272"/>
      <c r="U152" s="272"/>
      <c r="V152" s="272"/>
      <c r="W152" s="272"/>
      <c r="X152" s="272"/>
      <c r="Y152" s="272"/>
      <c r="Z152" s="272"/>
      <c r="AA152" s="272"/>
      <c r="AB152" s="272"/>
      <c r="AC152" s="272"/>
      <c r="AD152" s="272"/>
      <c r="AE152" s="272"/>
    </row>
    <row r="153" spans="2:31" ht="15">
      <c r="B153" s="377">
        <f t="shared" si="5"/>
        <v>108</v>
      </c>
      <c r="C153" s="385" t="str" cm="1">
        <f t="array" aca="1" ref="C153" ca="1">IF(B153&lt;=$C$9,GetGetCDSName(B153),"")</f>
        <v>THYSSENKRUPPAG_MMR.EUR.SU</v>
      </c>
      <c r="D153" s="345">
        <v>0</v>
      </c>
      <c r="E153" s="378">
        <v>0</v>
      </c>
      <c r="F153" s="297">
        <v>0</v>
      </c>
      <c r="G153" s="297">
        <v>0</v>
      </c>
      <c r="H153" s="297">
        <v>1</v>
      </c>
      <c r="I153" s="297">
        <v>1</v>
      </c>
      <c r="J153" s="297">
        <v>1</v>
      </c>
      <c r="K153" s="297"/>
      <c r="L153" s="297"/>
      <c r="M153" s="297"/>
      <c r="N153" s="379"/>
      <c r="O153" s="272"/>
      <c r="P153" s="272"/>
      <c r="Q153" s="272"/>
      <c r="R153" s="272"/>
      <c r="S153" s="272"/>
      <c r="T153" s="272"/>
      <c r="U153" s="272"/>
      <c r="V153" s="272"/>
      <c r="W153" s="272"/>
      <c r="X153" s="272"/>
      <c r="Y153" s="272"/>
      <c r="Z153" s="272"/>
      <c r="AA153" s="272"/>
      <c r="AB153" s="272"/>
      <c r="AC153" s="272"/>
      <c r="AD153" s="272"/>
      <c r="AE153" s="272"/>
    </row>
    <row r="154" spans="2:31" ht="15">
      <c r="B154" s="377">
        <f t="shared" si="5"/>
        <v>109</v>
      </c>
      <c r="C154" s="385" t="str" cm="1">
        <f t="array" aca="1" ref="C154" ca="1">IF(B154&lt;=$C$9,GetGetCDSName(B154),"")</f>
        <v>UBS_MMR.EUR.SU</v>
      </c>
      <c r="D154" s="345">
        <v>0</v>
      </c>
      <c r="E154" s="378">
        <v>1</v>
      </c>
      <c r="F154" s="297">
        <v>0</v>
      </c>
      <c r="G154" s="297">
        <v>0</v>
      </c>
      <c r="H154" s="297">
        <v>0</v>
      </c>
      <c r="I154" s="297">
        <v>0</v>
      </c>
      <c r="J154" s="297">
        <v>0</v>
      </c>
      <c r="K154" s="297"/>
      <c r="L154" s="297"/>
      <c r="M154" s="297"/>
      <c r="N154" s="379"/>
      <c r="O154" s="272"/>
      <c r="P154" s="272"/>
      <c r="Q154" s="272"/>
      <c r="R154" s="272"/>
      <c r="S154" s="272"/>
      <c r="T154" s="272"/>
      <c r="U154" s="272"/>
      <c r="V154" s="272"/>
      <c r="W154" s="272"/>
      <c r="X154" s="272"/>
      <c r="Y154" s="272"/>
      <c r="Z154" s="272"/>
      <c r="AA154" s="272"/>
      <c r="AB154" s="272"/>
      <c r="AC154" s="272"/>
      <c r="AD154" s="272"/>
      <c r="AE154" s="272"/>
    </row>
    <row r="155" spans="2:31" ht="15">
      <c r="B155" s="377">
        <f t="shared" si="5"/>
        <v>110</v>
      </c>
      <c r="C155" s="385" t="str" cm="1">
        <f t="array" aca="1" ref="C155" ca="1">IF(B155&lt;=$C$9,GetGetCDSName(B155),"")</f>
        <v>UNICREDITOITALIANO_MMR.EUR.SU</v>
      </c>
      <c r="D155" s="345">
        <v>0</v>
      </c>
      <c r="E155" s="378">
        <v>1</v>
      </c>
      <c r="F155" s="297">
        <v>0</v>
      </c>
      <c r="G155" s="297">
        <v>0</v>
      </c>
      <c r="H155" s="297">
        <v>1</v>
      </c>
      <c r="I155" s="297">
        <v>1</v>
      </c>
      <c r="J155" s="297">
        <v>0</v>
      </c>
      <c r="K155" s="297"/>
      <c r="L155" s="297"/>
      <c r="M155" s="297"/>
      <c r="N155" s="379"/>
      <c r="O155" s="272"/>
      <c r="P155" s="272"/>
      <c r="Q155" s="272"/>
      <c r="R155" s="272"/>
      <c r="S155" s="272"/>
      <c r="T155" s="272"/>
      <c r="U155" s="272"/>
      <c r="V155" s="272"/>
      <c r="W155" s="272"/>
      <c r="X155" s="272"/>
      <c r="Y155" s="272"/>
      <c r="Z155" s="272"/>
      <c r="AA155" s="272"/>
      <c r="AB155" s="272"/>
      <c r="AC155" s="272"/>
      <c r="AD155" s="272"/>
      <c r="AE155" s="272"/>
    </row>
    <row r="156" spans="2:31" ht="15">
      <c r="B156" s="377">
        <f t="shared" si="5"/>
        <v>111</v>
      </c>
      <c r="C156" s="385" t="str" cm="1">
        <f t="array" aca="1" ref="C156" ca="1">IF(B156&lt;=$C$9,GetGetCDSName(B156),"")</f>
        <v>UNILEVER_MMR.EUR.SU</v>
      </c>
      <c r="D156" s="345">
        <v>0</v>
      </c>
      <c r="E156" s="378">
        <v>0</v>
      </c>
      <c r="F156" s="297">
        <v>0</v>
      </c>
      <c r="G156" s="297">
        <v>0</v>
      </c>
      <c r="H156" s="297">
        <v>0</v>
      </c>
      <c r="I156" s="297">
        <v>1</v>
      </c>
      <c r="J156" s="297">
        <v>1</v>
      </c>
      <c r="K156" s="297"/>
      <c r="L156" s="297"/>
      <c r="M156" s="297"/>
      <c r="N156" s="379"/>
      <c r="O156" s="272"/>
      <c r="P156" s="272"/>
      <c r="Q156" s="272"/>
      <c r="R156" s="272"/>
      <c r="S156" s="272"/>
      <c r="T156" s="272"/>
      <c r="U156" s="272"/>
      <c r="V156" s="272"/>
      <c r="W156" s="272"/>
      <c r="X156" s="272"/>
      <c r="Y156" s="272"/>
      <c r="Z156" s="272"/>
      <c r="AA156" s="272"/>
      <c r="AB156" s="272"/>
      <c r="AC156" s="272"/>
      <c r="AD156" s="272"/>
      <c r="AE156" s="272"/>
    </row>
    <row r="157" spans="2:31" ht="15">
      <c r="B157" s="377">
        <f t="shared" si="5"/>
        <v>112</v>
      </c>
      <c r="C157" s="385" t="str" cm="1">
        <f t="array" aca="1" ref="C157" ca="1">IF(B157&lt;=$C$9,GetGetCDSName(B157),"")</f>
        <v>UNIONFENOSA_MMR.EUR.SU</v>
      </c>
      <c r="D157" s="345">
        <v>0</v>
      </c>
      <c r="E157" s="378">
        <v>0</v>
      </c>
      <c r="F157" s="297">
        <v>0</v>
      </c>
      <c r="G157" s="297">
        <v>1</v>
      </c>
      <c r="H157" s="297">
        <v>1</v>
      </c>
      <c r="I157" s="297">
        <v>0</v>
      </c>
      <c r="J157" s="297">
        <v>0</v>
      </c>
      <c r="K157" s="297"/>
      <c r="L157" s="297"/>
      <c r="M157" s="297"/>
      <c r="N157" s="379"/>
      <c r="O157" s="272"/>
      <c r="P157" s="272"/>
      <c r="Q157" s="272"/>
      <c r="R157" s="272"/>
      <c r="S157" s="272"/>
      <c r="T157" s="272"/>
      <c r="U157" s="272"/>
      <c r="V157" s="272"/>
      <c r="W157" s="272"/>
      <c r="X157" s="272"/>
      <c r="Y157" s="272"/>
      <c r="Z157" s="272"/>
      <c r="AA157" s="272"/>
      <c r="AB157" s="272"/>
      <c r="AC157" s="272"/>
      <c r="AD157" s="272"/>
      <c r="AE157" s="272"/>
    </row>
    <row r="158" spans="2:31" ht="15">
      <c r="B158" s="377">
        <f t="shared" si="5"/>
        <v>113</v>
      </c>
      <c r="C158" s="385" t="str" cm="1">
        <f t="array" aca="1" ref="C158" ca="1">IF(B158&lt;=$C$9,GetGetCDSName(B158),"")</f>
        <v>UNITEDUTILITIES_MMR.EUR.SU</v>
      </c>
      <c r="D158" s="345">
        <v>0</v>
      </c>
      <c r="E158" s="378">
        <v>0</v>
      </c>
      <c r="F158" s="297">
        <v>0</v>
      </c>
      <c r="G158" s="297">
        <v>0</v>
      </c>
      <c r="H158" s="297">
        <v>0</v>
      </c>
      <c r="I158" s="297">
        <v>0</v>
      </c>
      <c r="J158" s="297">
        <v>1</v>
      </c>
      <c r="K158" s="297"/>
      <c r="L158" s="297"/>
      <c r="M158" s="297"/>
      <c r="N158" s="379"/>
      <c r="O158" s="272"/>
      <c r="P158" s="272"/>
      <c r="Q158" s="272"/>
      <c r="R158" s="272"/>
      <c r="S158" s="272"/>
      <c r="T158" s="272"/>
      <c r="U158" s="272"/>
      <c r="V158" s="272"/>
      <c r="W158" s="272"/>
      <c r="X158" s="272"/>
      <c r="Y158" s="272"/>
      <c r="Z158" s="272"/>
      <c r="AA158" s="272"/>
      <c r="AB158" s="272"/>
      <c r="AC158" s="272"/>
      <c r="AD158" s="272"/>
      <c r="AE158" s="272"/>
    </row>
    <row r="159" spans="2:31" ht="15">
      <c r="B159" s="377">
        <f t="shared" si="5"/>
        <v>114</v>
      </c>
      <c r="C159" s="385" t="str" cm="1">
        <f t="array" aca="1" ref="C159" ca="1">IF(B159&lt;=$C$9,GetGetCDSName(B159),"")</f>
        <v>UPMKYMMENE_MMR.EUR.SU</v>
      </c>
      <c r="D159" s="345">
        <v>0</v>
      </c>
      <c r="E159" s="378">
        <v>0</v>
      </c>
      <c r="F159" s="297">
        <v>1</v>
      </c>
      <c r="G159" s="297">
        <v>0</v>
      </c>
      <c r="H159" s="297">
        <v>0</v>
      </c>
      <c r="I159" s="297">
        <v>0</v>
      </c>
      <c r="J159" s="297">
        <v>0</v>
      </c>
      <c r="K159" s="297"/>
      <c r="L159" s="297"/>
      <c r="M159" s="297"/>
      <c r="N159" s="379"/>
      <c r="O159" s="272"/>
      <c r="P159" s="272"/>
      <c r="Q159" s="272"/>
      <c r="R159" s="272"/>
      <c r="S159" s="272"/>
      <c r="T159" s="272"/>
      <c r="U159" s="272"/>
      <c r="V159" s="272"/>
      <c r="W159" s="272"/>
      <c r="X159" s="272"/>
      <c r="Y159" s="272"/>
      <c r="Z159" s="272"/>
      <c r="AA159" s="272"/>
      <c r="AB159" s="272"/>
      <c r="AC159" s="272"/>
      <c r="AD159" s="272"/>
      <c r="AE159" s="272"/>
    </row>
    <row r="160" spans="2:31" ht="15">
      <c r="B160" s="377">
        <f t="shared" si="5"/>
        <v>115</v>
      </c>
      <c r="C160" s="385" t="str" cm="1">
        <f t="array" aca="1" ref="C160" ca="1">IF(B160&lt;=$C$9,GetGetCDSName(B160),"")</f>
        <v>VALEO_MMR.EUR.SU</v>
      </c>
      <c r="D160" s="345">
        <v>0</v>
      </c>
      <c r="E160" s="378">
        <v>0</v>
      </c>
      <c r="F160" s="297">
        <v>0</v>
      </c>
      <c r="G160" s="297">
        <v>1</v>
      </c>
      <c r="H160" s="297">
        <v>0</v>
      </c>
      <c r="I160" s="297">
        <v>0</v>
      </c>
      <c r="J160" s="297">
        <v>1</v>
      </c>
      <c r="K160" s="297"/>
      <c r="L160" s="297"/>
      <c r="M160" s="297"/>
      <c r="N160" s="379"/>
      <c r="O160" s="272"/>
      <c r="P160" s="272"/>
      <c r="Q160" s="272"/>
      <c r="R160" s="272"/>
      <c r="S160" s="272"/>
      <c r="T160" s="272"/>
      <c r="U160" s="272"/>
      <c r="V160" s="272"/>
      <c r="W160" s="272"/>
      <c r="X160" s="272"/>
      <c r="Y160" s="272"/>
      <c r="Z160" s="272"/>
      <c r="AA160" s="272"/>
      <c r="AB160" s="272"/>
      <c r="AC160" s="272"/>
      <c r="AD160" s="272"/>
      <c r="AE160" s="272"/>
    </row>
    <row r="161" spans="2:31" ht="15">
      <c r="B161" s="377">
        <f t="shared" si="5"/>
        <v>116</v>
      </c>
      <c r="C161" s="385" t="str" cm="1">
        <f t="array" aca="1" ref="C161" ca="1">IF(B161&lt;=$C$9,GetGetCDSName(B161),"")</f>
        <v>VATTENFALLAB_MMR.EUR.SU</v>
      </c>
      <c r="D161" s="345">
        <v>0</v>
      </c>
      <c r="E161" s="378">
        <v>0</v>
      </c>
      <c r="F161" s="297">
        <v>0</v>
      </c>
      <c r="G161" s="297">
        <v>0</v>
      </c>
      <c r="H161" s="297">
        <v>0</v>
      </c>
      <c r="I161" s="297">
        <v>0</v>
      </c>
      <c r="J161" s="297">
        <v>1</v>
      </c>
      <c r="K161" s="297"/>
      <c r="L161" s="297"/>
      <c r="M161" s="297"/>
      <c r="N161" s="379"/>
      <c r="O161" s="272"/>
      <c r="P161" s="272"/>
      <c r="Q161" s="272"/>
      <c r="R161" s="272"/>
      <c r="S161" s="272"/>
      <c r="T161" s="272"/>
      <c r="U161" s="272"/>
      <c r="V161" s="272"/>
      <c r="W161" s="272"/>
      <c r="X161" s="272"/>
      <c r="Y161" s="272"/>
      <c r="Z161" s="272"/>
      <c r="AA161" s="272"/>
      <c r="AB161" s="272"/>
      <c r="AC161" s="272"/>
      <c r="AD161" s="272"/>
      <c r="AE161" s="272"/>
    </row>
    <row r="162" spans="2:31" ht="15">
      <c r="B162" s="377">
        <f t="shared" si="5"/>
        <v>117</v>
      </c>
      <c r="C162" s="385" t="str" cm="1">
        <f t="array" aca="1" ref="C162" ca="1">IF(B162&lt;=$C$9,GetGetCDSName(B162),"")</f>
        <v>VEOLIAENVIRONNEMENT_MMR.EUR.SU</v>
      </c>
      <c r="D162" s="345">
        <v>0</v>
      </c>
      <c r="E162" s="378">
        <v>0</v>
      </c>
      <c r="F162" s="297">
        <v>0</v>
      </c>
      <c r="G162" s="297">
        <v>1</v>
      </c>
      <c r="H162" s="297">
        <v>0</v>
      </c>
      <c r="I162" s="297">
        <v>1</v>
      </c>
      <c r="J162" s="297">
        <v>0</v>
      </c>
      <c r="K162" s="297"/>
      <c r="L162" s="297"/>
      <c r="M162" s="297"/>
      <c r="N162" s="379"/>
      <c r="O162" s="272"/>
      <c r="P162" s="272"/>
      <c r="Q162" s="272"/>
      <c r="R162" s="272"/>
      <c r="S162" s="272"/>
      <c r="T162" s="272"/>
      <c r="U162" s="272"/>
      <c r="V162" s="272"/>
      <c r="W162" s="272"/>
      <c r="X162" s="272"/>
      <c r="Y162" s="272"/>
      <c r="Z162" s="272"/>
      <c r="AA162" s="272"/>
      <c r="AB162" s="272"/>
      <c r="AC162" s="272"/>
      <c r="AD162" s="272"/>
      <c r="AE162" s="272"/>
    </row>
    <row r="163" spans="2:31" ht="15">
      <c r="B163" s="377">
        <f t="shared" si="5"/>
        <v>118</v>
      </c>
      <c r="C163" s="385" t="str" cm="1">
        <f t="array" aca="1" ref="C163" ca="1">IF(B163&lt;=$C$9,GetGetCDSName(B163),"")</f>
        <v>VINCI_MMR.EUR.SU</v>
      </c>
      <c r="D163" s="345">
        <v>0</v>
      </c>
      <c r="E163" s="378">
        <v>0</v>
      </c>
      <c r="F163" s="297">
        <v>1</v>
      </c>
      <c r="G163" s="297">
        <v>0</v>
      </c>
      <c r="H163" s="297">
        <v>0</v>
      </c>
      <c r="I163" s="297">
        <v>0</v>
      </c>
      <c r="J163" s="297">
        <v>0</v>
      </c>
      <c r="K163" s="297"/>
      <c r="L163" s="297"/>
      <c r="M163" s="297"/>
      <c r="N163" s="379"/>
      <c r="O163" s="272"/>
      <c r="P163" s="272"/>
      <c r="Q163" s="272"/>
      <c r="R163" s="272"/>
      <c r="S163" s="272"/>
      <c r="T163" s="272"/>
      <c r="U163" s="272"/>
      <c r="V163" s="272"/>
      <c r="W163" s="272"/>
      <c r="X163" s="272"/>
      <c r="Y163" s="272"/>
      <c r="Z163" s="272"/>
      <c r="AA163" s="272"/>
      <c r="AB163" s="272"/>
      <c r="AC163" s="272"/>
      <c r="AD163" s="272"/>
      <c r="AE163" s="272"/>
    </row>
    <row r="164" spans="2:31" ht="15">
      <c r="B164" s="377">
        <f t="shared" si="5"/>
        <v>119</v>
      </c>
      <c r="C164" s="385" t="str" cm="1">
        <f t="array" aca="1" ref="C164" ca="1">IF(B164&lt;=$C$9,GetGetCDSName(B164),"")</f>
        <v>VIVENDI_MMR.EUR.SU</v>
      </c>
      <c r="D164" s="345">
        <v>0</v>
      </c>
      <c r="E164" s="378">
        <v>0</v>
      </c>
      <c r="F164" s="297">
        <v>0</v>
      </c>
      <c r="G164" s="297">
        <v>1</v>
      </c>
      <c r="H164" s="297">
        <v>0</v>
      </c>
      <c r="I164" s="297">
        <v>0</v>
      </c>
      <c r="J164" s="297">
        <v>0</v>
      </c>
      <c r="K164" s="297"/>
      <c r="L164" s="297"/>
      <c r="M164" s="297"/>
      <c r="N164" s="379"/>
      <c r="O164" s="272"/>
      <c r="P164" s="272"/>
      <c r="Q164" s="272"/>
      <c r="R164" s="272"/>
      <c r="S164" s="272"/>
      <c r="T164" s="272"/>
      <c r="U164" s="272"/>
      <c r="V164" s="272"/>
      <c r="W164" s="272"/>
      <c r="X164" s="272"/>
      <c r="Y164" s="272"/>
      <c r="Z164" s="272"/>
      <c r="AA164" s="272"/>
      <c r="AB164" s="272"/>
      <c r="AC164" s="272"/>
      <c r="AD164" s="272"/>
      <c r="AE164" s="272"/>
    </row>
    <row r="165" spans="2:31" ht="15">
      <c r="B165" s="377">
        <f t="shared" si="5"/>
        <v>120</v>
      </c>
      <c r="C165" s="385" t="str" cm="1">
        <f t="array" aca="1" ref="C165" ca="1">IF(B165&lt;=$C$9,GetGetCDSName(B165),"")</f>
        <v>VODAFONE_MMR.EUR.SU</v>
      </c>
      <c r="D165" s="345">
        <v>0</v>
      </c>
      <c r="E165" s="378">
        <v>1</v>
      </c>
      <c r="F165" s="297">
        <v>0</v>
      </c>
      <c r="G165" s="297">
        <v>0</v>
      </c>
      <c r="H165" s="297">
        <v>0</v>
      </c>
      <c r="I165" s="297">
        <v>0</v>
      </c>
      <c r="J165" s="297">
        <v>0</v>
      </c>
      <c r="K165" s="297"/>
      <c r="L165" s="297"/>
      <c r="M165" s="297"/>
      <c r="N165" s="379"/>
      <c r="O165" s="272"/>
      <c r="P165" s="272"/>
      <c r="Q165" s="272"/>
      <c r="R165" s="272"/>
      <c r="S165" s="272"/>
      <c r="T165" s="272"/>
      <c r="U165" s="272"/>
      <c r="V165" s="272"/>
      <c r="W165" s="272"/>
      <c r="X165" s="272"/>
      <c r="Y165" s="272"/>
      <c r="Z165" s="272"/>
      <c r="AA165" s="272"/>
      <c r="AB165" s="272"/>
      <c r="AC165" s="272"/>
      <c r="AD165" s="272"/>
      <c r="AE165" s="272"/>
    </row>
    <row r="166" spans="2:31" ht="15">
      <c r="B166" s="377">
        <f t="shared" si="5"/>
        <v>121</v>
      </c>
      <c r="C166" s="385" t="str" cm="1">
        <f t="array" aca="1" ref="C166" ca="1">IF(B166&lt;=$C$9,GetGetCDSName(B166),"")</f>
        <v>VOLVO_MMR.EUR.SU</v>
      </c>
      <c r="D166" s="345">
        <v>0</v>
      </c>
      <c r="E166" s="378">
        <v>0</v>
      </c>
      <c r="F166" s="297">
        <v>0</v>
      </c>
      <c r="G166" s="297">
        <v>0</v>
      </c>
      <c r="H166" s="297">
        <v>1</v>
      </c>
      <c r="I166" s="297">
        <v>0</v>
      </c>
      <c r="J166" s="297">
        <v>1</v>
      </c>
      <c r="K166" s="297"/>
      <c r="L166" s="297"/>
      <c r="M166" s="297"/>
      <c r="N166" s="379"/>
      <c r="O166" s="272"/>
      <c r="P166" s="272"/>
      <c r="Q166" s="272"/>
      <c r="R166" s="272"/>
      <c r="S166" s="272"/>
      <c r="T166" s="272"/>
      <c r="U166" s="272"/>
      <c r="V166" s="272"/>
      <c r="W166" s="272"/>
      <c r="X166" s="272"/>
      <c r="Y166" s="272"/>
      <c r="Z166" s="272"/>
      <c r="AA166" s="272"/>
      <c r="AB166" s="272"/>
      <c r="AC166" s="272"/>
      <c r="AD166" s="272"/>
      <c r="AE166" s="272"/>
    </row>
    <row r="167" spans="2:31" ht="15">
      <c r="B167" s="377">
        <f t="shared" si="5"/>
        <v>122</v>
      </c>
      <c r="C167" s="385" t="str" cm="1">
        <f t="array" aca="1" ref="C167" ca="1">IF(B167&lt;=$C$9,GetGetCDSName(B167),"")</f>
        <v>VW_MMR.EUR.SU</v>
      </c>
      <c r="D167" s="345">
        <v>0</v>
      </c>
      <c r="E167" s="378">
        <v>1</v>
      </c>
      <c r="F167" s="297">
        <v>0</v>
      </c>
      <c r="G167" s="297">
        <v>0</v>
      </c>
      <c r="H167" s="297">
        <v>0</v>
      </c>
      <c r="I167" s="297">
        <v>0</v>
      </c>
      <c r="J167" s="297">
        <v>0</v>
      </c>
      <c r="K167" s="297"/>
      <c r="L167" s="297"/>
      <c r="M167" s="297"/>
      <c r="N167" s="379"/>
      <c r="O167" s="272"/>
      <c r="P167" s="272"/>
      <c r="Q167" s="272"/>
      <c r="R167" s="272"/>
      <c r="S167" s="272"/>
      <c r="T167" s="272"/>
      <c r="U167" s="272"/>
      <c r="V167" s="272"/>
      <c r="W167" s="272"/>
      <c r="X167" s="272"/>
      <c r="Y167" s="272"/>
      <c r="Z167" s="272"/>
      <c r="AA167" s="272"/>
      <c r="AB167" s="272"/>
      <c r="AC167" s="272"/>
      <c r="AD167" s="272"/>
      <c r="AE167" s="272"/>
    </row>
    <row r="168" spans="2:31" ht="15">
      <c r="B168" s="377">
        <f t="shared" si="5"/>
        <v>123</v>
      </c>
      <c r="C168" s="385" t="str" cm="1">
        <f t="array" aca="1" ref="C168" ca="1">IF(B168&lt;=$C$9,GetGetCDSName(B168),"")</f>
        <v>WOLTERSKLUWERCVA_MMR.EUR.SU</v>
      </c>
      <c r="D168" s="345">
        <v>0</v>
      </c>
      <c r="E168" s="378">
        <v>0</v>
      </c>
      <c r="F168" s="297">
        <v>1</v>
      </c>
      <c r="G168" s="297">
        <v>0</v>
      </c>
      <c r="H168" s="297">
        <v>0</v>
      </c>
      <c r="I168" s="297">
        <v>0</v>
      </c>
      <c r="J168" s="297">
        <v>0</v>
      </c>
      <c r="K168" s="297"/>
      <c r="L168" s="297"/>
      <c r="M168" s="297"/>
      <c r="N168" s="379"/>
      <c r="O168" s="272"/>
      <c r="P168" s="272"/>
      <c r="Q168" s="272"/>
      <c r="R168" s="272"/>
      <c r="S168" s="272"/>
      <c r="T168" s="272"/>
      <c r="U168" s="272"/>
      <c r="V168" s="272"/>
      <c r="W168" s="272"/>
      <c r="X168" s="272"/>
      <c r="Y168" s="272"/>
      <c r="Z168" s="272"/>
      <c r="AA168" s="272"/>
      <c r="AB168" s="272"/>
      <c r="AC168" s="272"/>
      <c r="AD168" s="272"/>
      <c r="AE168" s="272"/>
    </row>
    <row r="169" spans="2:31" ht="15">
      <c r="B169" s="377">
        <f t="shared" si="5"/>
        <v>124</v>
      </c>
      <c r="C169" s="385" t="str" cm="1">
        <f t="array" aca="1" ref="C169" ca="1">IF(B169&lt;=$C$9,GetGetCDSName(B169),"")</f>
        <v>WPPGROUP_MMR.EUR.SU</v>
      </c>
      <c r="D169" s="345">
        <v>0</v>
      </c>
      <c r="E169" s="378">
        <v>1</v>
      </c>
      <c r="F169" s="297">
        <v>0</v>
      </c>
      <c r="G169" s="297">
        <v>1</v>
      </c>
      <c r="H169" s="297">
        <v>0</v>
      </c>
      <c r="I169" s="297">
        <v>1</v>
      </c>
      <c r="J169" s="297">
        <v>0</v>
      </c>
      <c r="K169" s="297"/>
      <c r="L169" s="297"/>
      <c r="M169" s="297"/>
      <c r="N169" s="379"/>
      <c r="O169" s="272"/>
      <c r="P169" s="272"/>
      <c r="Q169" s="272"/>
      <c r="R169" s="272"/>
      <c r="S169" s="272"/>
      <c r="T169" s="272"/>
      <c r="U169" s="272"/>
      <c r="V169" s="272"/>
      <c r="W169" s="272"/>
      <c r="X169" s="272"/>
      <c r="Y169" s="272"/>
      <c r="Z169" s="272"/>
      <c r="AA169" s="272"/>
      <c r="AB169" s="272"/>
      <c r="AC169" s="272"/>
      <c r="AD169" s="272"/>
      <c r="AE169" s="272"/>
    </row>
    <row r="170" spans="2:31" ht="15">
      <c r="B170" s="377">
        <f t="shared" si="5"/>
        <v>125</v>
      </c>
      <c r="C170" s="385" t="str" cm="1">
        <f t="array" aca="1" ref="C170" ca="1">IF(B170&lt;=$C$9,GetGetCDSName(B170),"")</f>
        <v>ZURICHINSURANCE_MMR.EUR.SU</v>
      </c>
      <c r="D170" s="345">
        <v>0</v>
      </c>
      <c r="E170" s="378">
        <v>0</v>
      </c>
      <c r="F170" s="297">
        <v>0</v>
      </c>
      <c r="G170" s="297">
        <v>0</v>
      </c>
      <c r="H170" s="297">
        <v>1</v>
      </c>
      <c r="I170" s="297">
        <v>0</v>
      </c>
      <c r="J170" s="297">
        <v>0</v>
      </c>
      <c r="K170" s="297"/>
      <c r="L170" s="297"/>
      <c r="M170" s="297"/>
      <c r="N170" s="379"/>
      <c r="O170" s="272"/>
      <c r="P170" s="272"/>
      <c r="Q170" s="272"/>
      <c r="R170" s="272"/>
      <c r="S170" s="272"/>
      <c r="T170" s="272"/>
      <c r="U170" s="272"/>
      <c r="V170" s="272"/>
      <c r="W170" s="272"/>
      <c r="X170" s="272"/>
      <c r="Y170" s="272"/>
      <c r="Z170" s="272"/>
      <c r="AA170" s="272"/>
      <c r="AB170" s="272"/>
      <c r="AC170" s="272"/>
      <c r="AD170" s="272"/>
      <c r="AE170" s="272"/>
    </row>
    <row r="171" spans="2:31" ht="15">
      <c r="B171" s="377">
        <f t="shared" si="5"/>
        <v>126</v>
      </c>
      <c r="C171" s="385" t="str" cm="1">
        <f t="array" aca="1" ref="C171" ca="1">IF(B171&lt;=$C$9,GetGetCDSName(B171),"")</f>
        <v/>
      </c>
      <c r="D171" s="345"/>
      <c r="E171" s="378"/>
      <c r="F171" s="297"/>
      <c r="G171" s="297"/>
      <c r="H171" s="297"/>
      <c r="I171" s="297"/>
      <c r="J171" s="297"/>
      <c r="K171" s="297"/>
      <c r="L171" s="297"/>
      <c r="M171" s="297"/>
      <c r="N171" s="379"/>
      <c r="O171" s="272"/>
      <c r="P171" s="272"/>
      <c r="Q171" s="272"/>
      <c r="R171" s="272"/>
      <c r="S171" s="272"/>
      <c r="T171" s="272"/>
      <c r="U171" s="272"/>
      <c r="V171" s="272"/>
      <c r="W171" s="272"/>
      <c r="X171" s="272"/>
      <c r="Y171" s="272"/>
      <c r="Z171" s="272"/>
      <c r="AA171" s="272"/>
      <c r="AB171" s="272"/>
      <c r="AC171" s="272"/>
      <c r="AD171" s="272"/>
      <c r="AE171" s="272"/>
    </row>
    <row r="172" spans="2:31" ht="15">
      <c r="B172" s="377">
        <f t="shared" si="5"/>
        <v>127</v>
      </c>
      <c r="C172" s="385" t="str" cm="1">
        <f t="array" aca="1" ref="C172" ca="1">IF(B172&lt;=$C$9,GetGetCDSName(B172),"")</f>
        <v/>
      </c>
      <c r="D172" s="345"/>
      <c r="E172" s="378"/>
      <c r="F172" s="297"/>
      <c r="G172" s="297"/>
      <c r="H172" s="297"/>
      <c r="I172" s="297"/>
      <c r="J172" s="297"/>
      <c r="K172" s="297"/>
      <c r="L172" s="297"/>
      <c r="M172" s="297"/>
      <c r="N172" s="379"/>
      <c r="O172" s="272"/>
      <c r="P172" s="272"/>
      <c r="Q172" s="272"/>
      <c r="R172" s="272"/>
      <c r="S172" s="272"/>
      <c r="T172" s="272"/>
      <c r="U172" s="272"/>
      <c r="V172" s="272"/>
      <c r="W172" s="272"/>
      <c r="X172" s="272"/>
      <c r="Y172" s="272"/>
      <c r="Z172" s="272"/>
      <c r="AA172" s="272"/>
      <c r="AB172" s="272"/>
      <c r="AC172" s="272"/>
      <c r="AD172" s="272"/>
      <c r="AE172" s="272"/>
    </row>
    <row r="173" spans="2:31" ht="15">
      <c r="B173" s="377">
        <f t="shared" si="5"/>
        <v>128</v>
      </c>
      <c r="C173" s="385" t="str" cm="1">
        <f t="array" aca="1" ref="C173" ca="1">IF(B173&lt;=$C$9,GetGetCDSName(B173),"")</f>
        <v/>
      </c>
      <c r="D173" s="345"/>
      <c r="E173" s="378"/>
      <c r="F173" s="297"/>
      <c r="G173" s="297"/>
      <c r="H173" s="297"/>
      <c r="I173" s="297"/>
      <c r="J173" s="297"/>
      <c r="K173" s="297"/>
      <c r="L173" s="297"/>
      <c r="M173" s="297"/>
      <c r="N173" s="379"/>
      <c r="O173" s="272"/>
      <c r="P173" s="272"/>
      <c r="Q173" s="272"/>
      <c r="R173" s="272"/>
      <c r="S173" s="272"/>
      <c r="T173" s="272"/>
      <c r="U173" s="272"/>
      <c r="V173" s="272"/>
      <c r="W173" s="272"/>
      <c r="X173" s="272"/>
      <c r="Y173" s="272"/>
      <c r="Z173" s="272"/>
      <c r="AA173" s="272"/>
      <c r="AB173" s="272"/>
      <c r="AC173" s="272"/>
      <c r="AD173" s="272"/>
      <c r="AE173" s="272"/>
    </row>
    <row r="174" spans="2:31" ht="15">
      <c r="B174" s="377">
        <f t="shared" si="5"/>
        <v>129</v>
      </c>
      <c r="C174" s="385" t="str" cm="1">
        <f t="array" aca="1" ref="C174" ca="1">IF(B174&lt;=$C$9,GetGetCDSName(B174),"")</f>
        <v/>
      </c>
      <c r="D174" s="345"/>
      <c r="E174" s="378"/>
      <c r="F174" s="297"/>
      <c r="G174" s="297"/>
      <c r="H174" s="297"/>
      <c r="I174" s="297"/>
      <c r="J174" s="297"/>
      <c r="K174" s="297"/>
      <c r="L174" s="297"/>
      <c r="M174" s="297"/>
      <c r="N174" s="379"/>
      <c r="O174" s="272"/>
      <c r="P174" s="272"/>
      <c r="Q174" s="272"/>
      <c r="R174" s="272"/>
      <c r="S174" s="272"/>
      <c r="T174" s="272"/>
      <c r="U174" s="272"/>
      <c r="V174" s="272"/>
      <c r="W174" s="272"/>
      <c r="X174" s="272"/>
      <c r="Y174" s="272"/>
      <c r="Z174" s="272"/>
      <c r="AA174" s="272"/>
      <c r="AB174" s="272"/>
      <c r="AC174" s="272"/>
      <c r="AD174" s="272"/>
      <c r="AE174" s="272"/>
    </row>
    <row r="175" spans="2:31" ht="15">
      <c r="B175" s="377">
        <f t="shared" ref="B175:B238" si="6">B174+1</f>
        <v>130</v>
      </c>
      <c r="C175" s="385" t="str" cm="1">
        <f t="array" aca="1" ref="C175" ca="1">IF(B175&lt;=$C$9,GetGetCDSName(B175),"")</f>
        <v/>
      </c>
      <c r="D175" s="345"/>
      <c r="E175" s="378"/>
      <c r="F175" s="297"/>
      <c r="G175" s="297"/>
      <c r="H175" s="297"/>
      <c r="I175" s="297"/>
      <c r="J175" s="297"/>
      <c r="K175" s="297"/>
      <c r="L175" s="297"/>
      <c r="M175" s="297"/>
      <c r="N175" s="379"/>
      <c r="O175" s="272"/>
      <c r="P175" s="272"/>
      <c r="Q175" s="272"/>
      <c r="R175" s="272"/>
      <c r="S175" s="272"/>
      <c r="T175" s="272"/>
      <c r="U175" s="272"/>
      <c r="V175" s="272"/>
      <c r="W175" s="272"/>
      <c r="X175" s="272"/>
      <c r="Y175" s="272"/>
      <c r="Z175" s="272"/>
      <c r="AA175" s="272"/>
      <c r="AB175" s="272"/>
      <c r="AC175" s="272"/>
      <c r="AD175" s="272"/>
      <c r="AE175" s="272"/>
    </row>
    <row r="176" spans="2:31" ht="15">
      <c r="B176" s="377">
        <f t="shared" si="6"/>
        <v>131</v>
      </c>
      <c r="C176" s="385" t="str" cm="1">
        <f t="array" aca="1" ref="C176" ca="1">IF(B176&lt;=$C$9,GetGetCDSName(B176),"")</f>
        <v/>
      </c>
      <c r="D176" s="345"/>
      <c r="E176" s="378"/>
      <c r="F176" s="297"/>
      <c r="G176" s="297"/>
      <c r="H176" s="297"/>
      <c r="I176" s="297"/>
      <c r="J176" s="297"/>
      <c r="K176" s="297"/>
      <c r="L176" s="297"/>
      <c r="M176" s="297"/>
      <c r="N176" s="379"/>
      <c r="O176" s="272"/>
      <c r="P176" s="272"/>
      <c r="Q176" s="272"/>
      <c r="R176" s="272"/>
      <c r="S176" s="272"/>
      <c r="T176" s="272"/>
      <c r="U176" s="272"/>
      <c r="V176" s="272"/>
      <c r="W176" s="272"/>
      <c r="X176" s="272"/>
      <c r="Y176" s="272"/>
      <c r="Z176" s="272"/>
      <c r="AA176" s="272"/>
      <c r="AB176" s="272"/>
      <c r="AC176" s="272"/>
      <c r="AD176" s="272"/>
      <c r="AE176" s="272"/>
    </row>
    <row r="177" spans="2:31" ht="15">
      <c r="B177" s="377">
        <f t="shared" si="6"/>
        <v>132</v>
      </c>
      <c r="C177" s="385" t="str" cm="1">
        <f t="array" aca="1" ref="C177" ca="1">IF(B177&lt;=$C$9,GetGetCDSName(B177),"")</f>
        <v/>
      </c>
      <c r="D177" s="345"/>
      <c r="E177" s="378"/>
      <c r="F177" s="297"/>
      <c r="G177" s="297"/>
      <c r="H177" s="297"/>
      <c r="I177" s="297"/>
      <c r="J177" s="297"/>
      <c r="K177" s="297"/>
      <c r="L177" s="297"/>
      <c r="M177" s="297"/>
      <c r="N177" s="379"/>
      <c r="O177" s="272"/>
      <c r="P177" s="272"/>
      <c r="Q177" s="272"/>
      <c r="R177" s="272"/>
      <c r="S177" s="272"/>
      <c r="T177" s="272"/>
      <c r="U177" s="272"/>
      <c r="V177" s="272"/>
      <c r="W177" s="272"/>
      <c r="X177" s="272"/>
      <c r="Y177" s="272"/>
      <c r="Z177" s="272"/>
      <c r="AA177" s="272"/>
      <c r="AB177" s="272"/>
      <c r="AC177" s="272"/>
      <c r="AD177" s="272"/>
      <c r="AE177" s="272"/>
    </row>
    <row r="178" spans="2:31" ht="15">
      <c r="B178" s="377">
        <f t="shared" si="6"/>
        <v>133</v>
      </c>
      <c r="C178" s="385" t="str" cm="1">
        <f t="array" aca="1" ref="C178" ca="1">IF(B178&lt;=$C$9,GetGetCDSName(B178),"")</f>
        <v/>
      </c>
      <c r="D178" s="345"/>
      <c r="E178" s="378"/>
      <c r="F178" s="297"/>
      <c r="G178" s="297"/>
      <c r="H178" s="297"/>
      <c r="I178" s="297"/>
      <c r="J178" s="297"/>
      <c r="K178" s="297"/>
      <c r="L178" s="297"/>
      <c r="M178" s="297"/>
      <c r="N178" s="379"/>
      <c r="O178" s="272"/>
      <c r="P178" s="272"/>
      <c r="Q178" s="272"/>
      <c r="R178" s="272"/>
      <c r="S178" s="272"/>
      <c r="T178" s="272"/>
      <c r="U178" s="272"/>
      <c r="V178" s="272"/>
      <c r="W178" s="272"/>
      <c r="X178" s="272"/>
      <c r="Y178" s="272"/>
      <c r="Z178" s="272"/>
      <c r="AA178" s="272"/>
      <c r="AB178" s="272"/>
      <c r="AC178" s="272"/>
      <c r="AD178" s="272"/>
      <c r="AE178" s="272"/>
    </row>
    <row r="179" spans="2:31" ht="15">
      <c r="B179" s="377">
        <f t="shared" si="6"/>
        <v>134</v>
      </c>
      <c r="C179" s="385" t="str" cm="1">
        <f t="array" aca="1" ref="C179" ca="1">IF(B179&lt;=$C$9,GetGetCDSName(B179),"")</f>
        <v/>
      </c>
      <c r="D179" s="345"/>
      <c r="E179" s="378"/>
      <c r="F179" s="297"/>
      <c r="G179" s="297"/>
      <c r="H179" s="297"/>
      <c r="I179" s="297"/>
      <c r="J179" s="297"/>
      <c r="K179" s="297"/>
      <c r="L179" s="297"/>
      <c r="M179" s="297"/>
      <c r="N179" s="379"/>
      <c r="O179" s="272"/>
      <c r="P179" s="272"/>
      <c r="Q179" s="272"/>
      <c r="R179" s="272"/>
      <c r="S179" s="272"/>
      <c r="T179" s="272"/>
      <c r="U179" s="272"/>
      <c r="V179" s="272"/>
      <c r="W179" s="272"/>
      <c r="X179" s="272"/>
      <c r="Y179" s="272"/>
      <c r="Z179" s="272"/>
      <c r="AA179" s="272"/>
      <c r="AB179" s="272"/>
      <c r="AC179" s="272"/>
      <c r="AD179" s="272"/>
      <c r="AE179" s="272"/>
    </row>
    <row r="180" spans="2:31" ht="15">
      <c r="B180" s="377">
        <f t="shared" si="6"/>
        <v>135</v>
      </c>
      <c r="C180" s="385" t="str" cm="1">
        <f t="array" aca="1" ref="C180" ca="1">IF(B180&lt;=$C$9,GetGetCDSName(B180),"")</f>
        <v/>
      </c>
      <c r="D180" s="345"/>
      <c r="E180" s="378"/>
      <c r="F180" s="297"/>
      <c r="G180" s="297"/>
      <c r="H180" s="297"/>
      <c r="I180" s="297"/>
      <c r="J180" s="297"/>
      <c r="K180" s="297"/>
      <c r="L180" s="297"/>
      <c r="M180" s="297"/>
      <c r="N180" s="379"/>
      <c r="O180" s="272"/>
      <c r="P180" s="272"/>
      <c r="Q180" s="272"/>
      <c r="R180" s="272"/>
      <c r="S180" s="272"/>
      <c r="T180" s="272"/>
      <c r="U180" s="272"/>
      <c r="V180" s="272"/>
      <c r="W180" s="272"/>
      <c r="X180" s="272"/>
      <c r="Y180" s="272"/>
      <c r="Z180" s="272"/>
      <c r="AA180" s="272"/>
      <c r="AB180" s="272"/>
      <c r="AC180" s="272"/>
      <c r="AD180" s="272"/>
      <c r="AE180" s="272"/>
    </row>
    <row r="181" spans="2:31" ht="15">
      <c r="B181" s="377">
        <f t="shared" si="6"/>
        <v>136</v>
      </c>
      <c r="C181" s="385" t="str" cm="1">
        <f t="array" aca="1" ref="C181" ca="1">IF(B181&lt;=$C$9,GetGetCDSName(B181),"")</f>
        <v/>
      </c>
      <c r="D181" s="345"/>
      <c r="E181" s="378"/>
      <c r="F181" s="297"/>
      <c r="G181" s="297"/>
      <c r="H181" s="297"/>
      <c r="I181" s="297"/>
      <c r="J181" s="297"/>
      <c r="K181" s="297"/>
      <c r="L181" s="297"/>
      <c r="M181" s="297"/>
      <c r="N181" s="379"/>
      <c r="O181" s="272"/>
      <c r="P181" s="272"/>
      <c r="Q181" s="272"/>
      <c r="R181" s="272"/>
      <c r="S181" s="272"/>
      <c r="T181" s="272"/>
      <c r="U181" s="272"/>
      <c r="V181" s="272"/>
      <c r="W181" s="272"/>
      <c r="X181" s="272"/>
      <c r="Y181" s="272"/>
      <c r="Z181" s="272"/>
      <c r="AA181" s="272"/>
      <c r="AB181" s="272"/>
      <c r="AC181" s="272"/>
      <c r="AD181" s="272"/>
      <c r="AE181" s="272"/>
    </row>
    <row r="182" spans="2:31" ht="15">
      <c r="B182" s="377">
        <f t="shared" si="6"/>
        <v>137</v>
      </c>
      <c r="C182" s="385" t="str" cm="1">
        <f t="array" aca="1" ref="C182" ca="1">IF(B182&lt;=$C$9,GetGetCDSName(B182),"")</f>
        <v/>
      </c>
      <c r="D182" s="345"/>
      <c r="E182" s="378"/>
      <c r="F182" s="297"/>
      <c r="G182" s="297"/>
      <c r="H182" s="297"/>
      <c r="I182" s="297"/>
      <c r="J182" s="297"/>
      <c r="K182" s="297"/>
      <c r="L182" s="297"/>
      <c r="M182" s="297"/>
      <c r="N182" s="379"/>
      <c r="O182" s="272"/>
      <c r="P182" s="272"/>
      <c r="Q182" s="272"/>
      <c r="R182" s="272"/>
      <c r="S182" s="272"/>
      <c r="T182" s="272"/>
      <c r="U182" s="272"/>
      <c r="V182" s="272"/>
      <c r="W182" s="272"/>
      <c r="X182" s="272"/>
      <c r="Y182" s="272"/>
      <c r="Z182" s="272"/>
      <c r="AA182" s="272"/>
      <c r="AB182" s="272"/>
      <c r="AC182" s="272"/>
      <c r="AD182" s="272"/>
      <c r="AE182" s="272"/>
    </row>
    <row r="183" spans="2:31" ht="15">
      <c r="B183" s="377">
        <f t="shared" si="6"/>
        <v>138</v>
      </c>
      <c r="C183" s="385" t="str" cm="1">
        <f t="array" aca="1" ref="C183" ca="1">IF(B183&lt;=$C$9,GetGetCDSName(B183),"")</f>
        <v/>
      </c>
      <c r="D183" s="345"/>
      <c r="E183" s="378"/>
      <c r="F183" s="297"/>
      <c r="G183" s="297"/>
      <c r="H183" s="297"/>
      <c r="I183" s="297"/>
      <c r="J183" s="297"/>
      <c r="K183" s="297"/>
      <c r="L183" s="297"/>
      <c r="M183" s="297"/>
      <c r="N183" s="379"/>
      <c r="O183" s="272"/>
      <c r="P183" s="272"/>
      <c r="Q183" s="272"/>
      <c r="R183" s="272"/>
      <c r="S183" s="272"/>
      <c r="T183" s="272"/>
      <c r="U183" s="272"/>
      <c r="V183" s="272"/>
      <c r="W183" s="272"/>
      <c r="X183" s="272"/>
      <c r="Y183" s="272"/>
      <c r="Z183" s="272"/>
      <c r="AA183" s="272"/>
      <c r="AB183" s="272"/>
      <c r="AC183" s="272"/>
      <c r="AD183" s="272"/>
      <c r="AE183" s="272"/>
    </row>
    <row r="184" spans="2:31" ht="15">
      <c r="B184" s="377">
        <f t="shared" si="6"/>
        <v>139</v>
      </c>
      <c r="C184" s="385" t="str" cm="1">
        <f t="array" aca="1" ref="C184" ca="1">IF(B184&lt;=$C$9,GetGetCDSName(B184),"")</f>
        <v/>
      </c>
      <c r="D184" s="345"/>
      <c r="E184" s="378"/>
      <c r="F184" s="297"/>
      <c r="G184" s="297"/>
      <c r="H184" s="297"/>
      <c r="I184" s="297"/>
      <c r="J184" s="297"/>
      <c r="K184" s="297"/>
      <c r="L184" s="297"/>
      <c r="M184" s="297"/>
      <c r="N184" s="379"/>
      <c r="O184" s="272"/>
      <c r="P184" s="272"/>
      <c r="Q184" s="272"/>
      <c r="R184" s="272"/>
      <c r="S184" s="272"/>
      <c r="T184" s="272"/>
      <c r="U184" s="272"/>
      <c r="V184" s="272"/>
      <c r="W184" s="272"/>
      <c r="X184" s="272"/>
      <c r="Y184" s="272"/>
      <c r="Z184" s="272"/>
      <c r="AA184" s="272"/>
      <c r="AB184" s="272"/>
      <c r="AC184" s="272"/>
      <c r="AD184" s="272"/>
      <c r="AE184" s="272"/>
    </row>
    <row r="185" spans="2:31" ht="15">
      <c r="B185" s="377">
        <f t="shared" si="6"/>
        <v>140</v>
      </c>
      <c r="C185" s="385" t="str" cm="1">
        <f t="array" aca="1" ref="C185" ca="1">IF(B185&lt;=$C$9,GetGetCDSName(B185),"")</f>
        <v/>
      </c>
      <c r="D185" s="345"/>
      <c r="E185" s="378"/>
      <c r="F185" s="297"/>
      <c r="G185" s="297"/>
      <c r="H185" s="297"/>
      <c r="I185" s="297"/>
      <c r="J185" s="297"/>
      <c r="K185" s="297"/>
      <c r="L185" s="297"/>
      <c r="M185" s="297"/>
      <c r="N185" s="379"/>
      <c r="O185" s="272"/>
      <c r="P185" s="272"/>
      <c r="Q185" s="272"/>
      <c r="R185" s="272"/>
      <c r="S185" s="272"/>
      <c r="T185" s="272"/>
      <c r="U185" s="272"/>
      <c r="V185" s="272"/>
      <c r="W185" s="272"/>
      <c r="X185" s="272"/>
      <c r="Y185" s="272"/>
      <c r="Z185" s="272"/>
      <c r="AA185" s="272"/>
      <c r="AB185" s="272"/>
      <c r="AC185" s="272"/>
      <c r="AD185" s="272"/>
      <c r="AE185" s="272"/>
    </row>
    <row r="186" spans="2:31" ht="15">
      <c r="B186" s="377">
        <f t="shared" si="6"/>
        <v>141</v>
      </c>
      <c r="C186" s="385" t="str" cm="1">
        <f t="array" aca="1" ref="C186" ca="1">IF(B186&lt;=$C$9,GetGetCDSName(B186),"")</f>
        <v/>
      </c>
      <c r="D186" s="345"/>
      <c r="E186" s="378"/>
      <c r="F186" s="297"/>
      <c r="G186" s="297"/>
      <c r="H186" s="297"/>
      <c r="I186" s="297"/>
      <c r="J186" s="297"/>
      <c r="K186" s="297"/>
      <c r="L186" s="297"/>
      <c r="M186" s="297"/>
      <c r="N186" s="379"/>
      <c r="O186" s="272"/>
      <c r="P186" s="272"/>
      <c r="Q186" s="272"/>
      <c r="R186" s="272"/>
      <c r="S186" s="272"/>
      <c r="T186" s="272"/>
      <c r="U186" s="272"/>
      <c r="V186" s="272"/>
      <c r="W186" s="272"/>
      <c r="X186" s="272"/>
      <c r="Y186" s="272"/>
      <c r="Z186" s="272"/>
      <c r="AA186" s="272"/>
      <c r="AB186" s="272"/>
      <c r="AC186" s="272"/>
      <c r="AD186" s="272"/>
      <c r="AE186" s="272"/>
    </row>
    <row r="187" spans="2:31" ht="15">
      <c r="B187" s="377">
        <f t="shared" si="6"/>
        <v>142</v>
      </c>
      <c r="C187" s="385" t="str" cm="1">
        <f t="array" aca="1" ref="C187" ca="1">IF(B187&lt;=$C$9,GetGetCDSName(B187),"")</f>
        <v/>
      </c>
      <c r="D187" s="345"/>
      <c r="E187" s="378"/>
      <c r="F187" s="297"/>
      <c r="G187" s="297"/>
      <c r="H187" s="297"/>
      <c r="I187" s="297"/>
      <c r="J187" s="297"/>
      <c r="K187" s="297"/>
      <c r="L187" s="297"/>
      <c r="M187" s="297"/>
      <c r="N187" s="379"/>
      <c r="O187" s="272"/>
      <c r="P187" s="272"/>
      <c r="Q187" s="272"/>
      <c r="R187" s="272"/>
      <c r="S187" s="272"/>
      <c r="T187" s="272"/>
      <c r="U187" s="272"/>
      <c r="V187" s="272"/>
      <c r="W187" s="272"/>
      <c r="X187" s="272"/>
      <c r="Y187" s="272"/>
      <c r="Z187" s="272"/>
      <c r="AA187" s="272"/>
      <c r="AB187" s="272"/>
      <c r="AC187" s="272"/>
      <c r="AD187" s="272"/>
      <c r="AE187" s="272"/>
    </row>
    <row r="188" spans="2:31" ht="15">
      <c r="B188" s="377">
        <f t="shared" si="6"/>
        <v>143</v>
      </c>
      <c r="C188" s="385" t="str" cm="1">
        <f t="array" aca="1" ref="C188" ca="1">IF(B188&lt;=$C$9,GetGetCDSName(B188),"")</f>
        <v/>
      </c>
      <c r="D188" s="345"/>
      <c r="E188" s="378"/>
      <c r="F188" s="297"/>
      <c r="G188" s="297"/>
      <c r="H188" s="297"/>
      <c r="I188" s="297"/>
      <c r="J188" s="297"/>
      <c r="K188" s="297"/>
      <c r="L188" s="297"/>
      <c r="M188" s="297"/>
      <c r="N188" s="379"/>
      <c r="O188" s="272"/>
      <c r="P188" s="272"/>
      <c r="Q188" s="272"/>
      <c r="R188" s="272"/>
      <c r="S188" s="272"/>
      <c r="T188" s="272"/>
      <c r="U188" s="272"/>
      <c r="V188" s="272"/>
      <c r="W188" s="272"/>
      <c r="X188" s="272"/>
      <c r="Y188" s="272"/>
      <c r="Z188" s="272"/>
      <c r="AA188" s="272"/>
      <c r="AB188" s="272"/>
      <c r="AC188" s="272"/>
      <c r="AD188" s="272"/>
      <c r="AE188" s="272"/>
    </row>
    <row r="189" spans="2:31" ht="15">
      <c r="B189" s="377">
        <f t="shared" si="6"/>
        <v>144</v>
      </c>
      <c r="C189" s="385" t="str" cm="1">
        <f t="array" aca="1" ref="C189" ca="1">IF(B189&lt;=$C$9,GetGetCDSName(B189),"")</f>
        <v/>
      </c>
      <c r="D189" s="345"/>
      <c r="E189" s="378"/>
      <c r="F189" s="297"/>
      <c r="G189" s="297"/>
      <c r="H189" s="297"/>
      <c r="I189" s="297"/>
      <c r="J189" s="297"/>
      <c r="K189" s="297"/>
      <c r="L189" s="297"/>
      <c r="M189" s="297"/>
      <c r="N189" s="379"/>
      <c r="O189" s="272"/>
      <c r="P189" s="272"/>
      <c r="Q189" s="272"/>
      <c r="R189" s="272"/>
      <c r="S189" s="272"/>
      <c r="T189" s="272"/>
      <c r="U189" s="272"/>
      <c r="V189" s="272"/>
      <c r="W189" s="272"/>
      <c r="X189" s="272"/>
      <c r="Y189" s="272"/>
      <c r="Z189" s="272"/>
      <c r="AA189" s="272"/>
      <c r="AB189" s="272"/>
      <c r="AC189" s="272"/>
      <c r="AD189" s="272"/>
      <c r="AE189" s="272"/>
    </row>
    <row r="190" spans="2:31" ht="15">
      <c r="B190" s="377">
        <f t="shared" si="6"/>
        <v>145</v>
      </c>
      <c r="C190" s="385" t="str" cm="1">
        <f t="array" aca="1" ref="C190" ca="1">IF(B190&lt;=$C$9,GetGetCDSName(B190),"")</f>
        <v/>
      </c>
      <c r="D190" s="345"/>
      <c r="E190" s="378"/>
      <c r="F190" s="297"/>
      <c r="G190" s="297"/>
      <c r="H190" s="297"/>
      <c r="I190" s="297"/>
      <c r="J190" s="297"/>
      <c r="K190" s="297"/>
      <c r="L190" s="297"/>
      <c r="M190" s="297"/>
      <c r="N190" s="379"/>
      <c r="O190" s="272"/>
      <c r="P190" s="272"/>
      <c r="Q190" s="272"/>
      <c r="R190" s="272"/>
      <c r="S190" s="272"/>
      <c r="T190" s="272"/>
      <c r="U190" s="272"/>
      <c r="V190" s="272"/>
      <c r="W190" s="272"/>
      <c r="X190" s="272"/>
      <c r="Y190" s="272"/>
      <c r="Z190" s="272"/>
      <c r="AA190" s="272"/>
      <c r="AB190" s="272"/>
      <c r="AC190" s="272"/>
      <c r="AD190" s="272"/>
      <c r="AE190" s="272"/>
    </row>
    <row r="191" spans="2:31" ht="15">
      <c r="B191" s="377">
        <f t="shared" si="6"/>
        <v>146</v>
      </c>
      <c r="C191" s="385" t="str" cm="1">
        <f t="array" aca="1" ref="C191" ca="1">IF(B191&lt;=$C$9,GetGetCDSName(B191),"")</f>
        <v/>
      </c>
      <c r="D191" s="345"/>
      <c r="E191" s="378"/>
      <c r="F191" s="297"/>
      <c r="G191" s="297"/>
      <c r="H191" s="297"/>
      <c r="I191" s="297"/>
      <c r="J191" s="297"/>
      <c r="K191" s="297"/>
      <c r="L191" s="297"/>
      <c r="M191" s="297"/>
      <c r="N191" s="379"/>
      <c r="O191" s="272"/>
      <c r="P191" s="272"/>
      <c r="Q191" s="272"/>
      <c r="R191" s="272"/>
      <c r="S191" s="272"/>
      <c r="T191" s="272"/>
      <c r="U191" s="272"/>
      <c r="V191" s="272"/>
      <c r="W191" s="272"/>
      <c r="X191" s="272"/>
      <c r="Y191" s="272"/>
      <c r="Z191" s="272"/>
      <c r="AA191" s="272"/>
      <c r="AB191" s="272"/>
      <c r="AC191" s="272"/>
      <c r="AD191" s="272"/>
      <c r="AE191" s="272"/>
    </row>
    <row r="192" spans="2:31" ht="15">
      <c r="B192" s="377">
        <f t="shared" si="6"/>
        <v>147</v>
      </c>
      <c r="C192" s="385" t="str" cm="1">
        <f t="array" aca="1" ref="C192" ca="1">IF(B192&lt;=$C$9,GetGetCDSName(B192),"")</f>
        <v/>
      </c>
      <c r="D192" s="345"/>
      <c r="E192" s="378"/>
      <c r="F192" s="297"/>
      <c r="G192" s="297"/>
      <c r="H192" s="297"/>
      <c r="I192" s="297"/>
      <c r="J192" s="297"/>
      <c r="K192" s="297"/>
      <c r="L192" s="297"/>
      <c r="M192" s="297"/>
      <c r="N192" s="379"/>
      <c r="O192" s="272"/>
      <c r="P192" s="272"/>
      <c r="Q192" s="272"/>
      <c r="R192" s="272"/>
      <c r="S192" s="272"/>
      <c r="T192" s="272"/>
      <c r="U192" s="272"/>
      <c r="V192" s="272"/>
      <c r="W192" s="272"/>
      <c r="X192" s="272"/>
      <c r="Y192" s="272"/>
      <c r="Z192" s="272"/>
      <c r="AA192" s="272"/>
      <c r="AB192" s="272"/>
      <c r="AC192" s="272"/>
      <c r="AD192" s="272"/>
      <c r="AE192" s="272"/>
    </row>
    <row r="193" spans="2:31" ht="15">
      <c r="B193" s="377">
        <f t="shared" si="6"/>
        <v>148</v>
      </c>
      <c r="C193" s="385" t="str" cm="1">
        <f t="array" aca="1" ref="C193" ca="1">IF(B193&lt;=$C$9,GetGetCDSName(B193),"")</f>
        <v/>
      </c>
      <c r="D193" s="345"/>
      <c r="E193" s="378"/>
      <c r="F193" s="297"/>
      <c r="G193" s="297"/>
      <c r="H193" s="297"/>
      <c r="I193" s="297"/>
      <c r="J193" s="297"/>
      <c r="K193" s="297"/>
      <c r="L193" s="297"/>
      <c r="M193" s="297"/>
      <c r="N193" s="379"/>
      <c r="O193" s="272"/>
      <c r="P193" s="272"/>
      <c r="Q193" s="272"/>
      <c r="R193" s="272"/>
      <c r="S193" s="272"/>
      <c r="T193" s="272"/>
      <c r="U193" s="272"/>
      <c r="V193" s="272"/>
      <c r="W193" s="272"/>
      <c r="X193" s="272"/>
      <c r="Y193" s="272"/>
      <c r="Z193" s="272"/>
      <c r="AA193" s="272"/>
      <c r="AB193" s="272"/>
      <c r="AC193" s="272"/>
      <c r="AD193" s="272"/>
      <c r="AE193" s="272"/>
    </row>
    <row r="194" spans="2:31" ht="15">
      <c r="B194" s="377">
        <f t="shared" si="6"/>
        <v>149</v>
      </c>
      <c r="C194" s="385" t="str" cm="1">
        <f t="array" aca="1" ref="C194" ca="1">IF(B194&lt;=$C$9,GetGetCDSName(B194),"")</f>
        <v/>
      </c>
      <c r="D194" s="345"/>
      <c r="E194" s="378"/>
      <c r="F194" s="297"/>
      <c r="G194" s="297"/>
      <c r="H194" s="297"/>
      <c r="I194" s="297"/>
      <c r="J194" s="297"/>
      <c r="K194" s="297"/>
      <c r="L194" s="297"/>
      <c r="M194" s="297"/>
      <c r="N194" s="379"/>
      <c r="O194" s="272"/>
      <c r="P194" s="272"/>
      <c r="Q194" s="272"/>
      <c r="R194" s="272"/>
      <c r="S194" s="272"/>
      <c r="T194" s="272"/>
      <c r="U194" s="272"/>
      <c r="V194" s="272"/>
      <c r="W194" s="272"/>
      <c r="X194" s="272"/>
      <c r="Y194" s="272"/>
      <c r="Z194" s="272"/>
      <c r="AA194" s="272"/>
      <c r="AB194" s="272"/>
      <c r="AC194" s="272"/>
      <c r="AD194" s="272"/>
      <c r="AE194" s="272"/>
    </row>
    <row r="195" spans="2:31" ht="15">
      <c r="B195" s="377">
        <f t="shared" si="6"/>
        <v>150</v>
      </c>
      <c r="C195" s="385" t="str" cm="1">
        <f t="array" aca="1" ref="C195" ca="1">IF(B195&lt;=$C$9,GetGetCDSName(B195),"")</f>
        <v/>
      </c>
      <c r="D195" s="345"/>
      <c r="E195" s="378"/>
      <c r="F195" s="297"/>
      <c r="G195" s="297"/>
      <c r="H195" s="297"/>
      <c r="I195" s="297"/>
      <c r="J195" s="297"/>
      <c r="K195" s="297"/>
      <c r="L195" s="297"/>
      <c r="M195" s="297"/>
      <c r="N195" s="379"/>
      <c r="O195" s="272"/>
      <c r="P195" s="272"/>
      <c r="Q195" s="272"/>
      <c r="R195" s="272"/>
      <c r="S195" s="272"/>
      <c r="T195" s="272"/>
      <c r="U195" s="272"/>
      <c r="V195" s="272"/>
      <c r="W195" s="272"/>
      <c r="X195" s="272"/>
      <c r="Y195" s="272"/>
      <c r="Z195" s="272"/>
      <c r="AA195" s="272"/>
      <c r="AB195" s="272"/>
      <c r="AC195" s="272"/>
      <c r="AD195" s="272"/>
      <c r="AE195" s="272"/>
    </row>
    <row r="196" spans="2:31" ht="15">
      <c r="B196" s="377">
        <f t="shared" si="6"/>
        <v>151</v>
      </c>
      <c r="C196" s="385" t="str" cm="1">
        <f t="array" aca="1" ref="C196" ca="1">IF(B196&lt;=$C$9,GetGetCDSName(B196),"")</f>
        <v/>
      </c>
      <c r="D196" s="345"/>
      <c r="E196" s="378"/>
      <c r="F196" s="297"/>
      <c r="G196" s="297"/>
      <c r="H196" s="297"/>
      <c r="I196" s="297"/>
      <c r="J196" s="297"/>
      <c r="K196" s="297"/>
      <c r="L196" s="297"/>
      <c r="M196" s="297"/>
      <c r="N196" s="379"/>
      <c r="O196" s="272"/>
      <c r="P196" s="272"/>
      <c r="Q196" s="272"/>
      <c r="R196" s="272"/>
      <c r="S196" s="272"/>
      <c r="T196" s="272"/>
      <c r="U196" s="272"/>
      <c r="V196" s="272"/>
      <c r="W196" s="272"/>
      <c r="X196" s="272"/>
      <c r="Y196" s="272"/>
      <c r="Z196" s="272"/>
      <c r="AA196" s="272"/>
      <c r="AB196" s="272"/>
      <c r="AC196" s="272"/>
      <c r="AD196" s="272"/>
      <c r="AE196" s="272"/>
    </row>
    <row r="197" spans="2:31" ht="15">
      <c r="B197" s="377">
        <f t="shared" si="6"/>
        <v>152</v>
      </c>
      <c r="C197" s="385" t="str" cm="1">
        <f t="array" aca="1" ref="C197" ca="1">IF(B197&lt;=$C$9,GetGetCDSName(B197),"")</f>
        <v/>
      </c>
      <c r="D197" s="345"/>
      <c r="E197" s="378"/>
      <c r="F197" s="297"/>
      <c r="G197" s="297"/>
      <c r="H197" s="297"/>
      <c r="I197" s="297"/>
      <c r="J197" s="297"/>
      <c r="K197" s="297"/>
      <c r="L197" s="297"/>
      <c r="M197" s="297"/>
      <c r="N197" s="379"/>
      <c r="O197" s="272"/>
      <c r="P197" s="272"/>
      <c r="Q197" s="272"/>
      <c r="R197" s="272"/>
      <c r="S197" s="272"/>
      <c r="T197" s="272"/>
      <c r="U197" s="272"/>
      <c r="V197" s="272"/>
      <c r="W197" s="272"/>
      <c r="X197" s="272"/>
      <c r="Y197" s="272"/>
      <c r="Z197" s="272"/>
      <c r="AA197" s="272"/>
      <c r="AB197" s="272"/>
      <c r="AC197" s="272"/>
      <c r="AD197" s="272"/>
      <c r="AE197" s="272"/>
    </row>
    <row r="198" spans="2:31" ht="15">
      <c r="B198" s="377">
        <f t="shared" si="6"/>
        <v>153</v>
      </c>
      <c r="C198" s="385" t="str" cm="1">
        <f t="array" aca="1" ref="C198" ca="1">IF(B198&lt;=$C$9,GetGetCDSName(B198),"")</f>
        <v/>
      </c>
      <c r="D198" s="345"/>
      <c r="E198" s="378"/>
      <c r="F198" s="297"/>
      <c r="G198" s="297"/>
      <c r="H198" s="297"/>
      <c r="I198" s="297"/>
      <c r="J198" s="297"/>
      <c r="K198" s="297"/>
      <c r="L198" s="297"/>
      <c r="M198" s="297"/>
      <c r="N198" s="379"/>
      <c r="O198" s="272"/>
      <c r="P198" s="272"/>
      <c r="Q198" s="272"/>
      <c r="R198" s="272"/>
      <c r="S198" s="272"/>
      <c r="T198" s="272"/>
      <c r="U198" s="272"/>
      <c r="V198" s="272"/>
      <c r="W198" s="272"/>
      <c r="X198" s="272"/>
      <c r="Y198" s="272"/>
      <c r="Z198" s="272"/>
      <c r="AA198" s="272"/>
      <c r="AB198" s="272"/>
      <c r="AC198" s="272"/>
      <c r="AD198" s="272"/>
      <c r="AE198" s="272"/>
    </row>
    <row r="199" spans="2:31" ht="15">
      <c r="B199" s="377">
        <f t="shared" si="6"/>
        <v>154</v>
      </c>
      <c r="C199" s="385" t="str" cm="1">
        <f t="array" aca="1" ref="C199" ca="1">IF(B199&lt;=$C$9,GetGetCDSName(B199),"")</f>
        <v/>
      </c>
      <c r="D199" s="345"/>
      <c r="E199" s="378"/>
      <c r="F199" s="297"/>
      <c r="G199" s="297"/>
      <c r="H199" s="297"/>
      <c r="I199" s="297"/>
      <c r="J199" s="297"/>
      <c r="K199" s="297"/>
      <c r="L199" s="297"/>
      <c r="M199" s="297"/>
      <c r="N199" s="379"/>
      <c r="O199" s="272"/>
      <c r="P199" s="272"/>
      <c r="Q199" s="272"/>
      <c r="R199" s="272"/>
      <c r="S199" s="272"/>
      <c r="T199" s="272"/>
      <c r="U199" s="272"/>
      <c r="V199" s="272"/>
      <c r="W199" s="272"/>
      <c r="X199" s="272"/>
      <c r="Y199" s="272"/>
      <c r="Z199" s="272"/>
      <c r="AA199" s="272"/>
      <c r="AB199" s="272"/>
      <c r="AC199" s="272"/>
      <c r="AD199" s="272"/>
      <c r="AE199" s="272"/>
    </row>
    <row r="200" spans="2:31" ht="15">
      <c r="B200" s="377">
        <f t="shared" si="6"/>
        <v>155</v>
      </c>
      <c r="C200" s="385" t="str" cm="1">
        <f t="array" aca="1" ref="C200" ca="1">IF(B200&lt;=$C$9,GetGetCDSName(B200),"")</f>
        <v/>
      </c>
      <c r="D200" s="345"/>
      <c r="E200" s="378"/>
      <c r="F200" s="297"/>
      <c r="G200" s="297"/>
      <c r="H200" s="297"/>
      <c r="I200" s="297"/>
      <c r="J200" s="297"/>
      <c r="K200" s="297"/>
      <c r="L200" s="297"/>
      <c r="M200" s="297"/>
      <c r="N200" s="379"/>
      <c r="O200" s="272"/>
      <c r="P200" s="272"/>
      <c r="Q200" s="272"/>
      <c r="R200" s="272"/>
      <c r="S200" s="272"/>
      <c r="T200" s="272"/>
      <c r="U200" s="272"/>
      <c r="V200" s="272"/>
      <c r="W200" s="272"/>
      <c r="X200" s="272"/>
      <c r="Y200" s="272"/>
      <c r="Z200" s="272"/>
      <c r="AA200" s="272"/>
      <c r="AB200" s="272"/>
      <c r="AC200" s="272"/>
      <c r="AD200" s="272"/>
      <c r="AE200" s="272"/>
    </row>
    <row r="201" spans="2:31" ht="15">
      <c r="B201" s="377">
        <f t="shared" si="6"/>
        <v>156</v>
      </c>
      <c r="C201" s="385" t="str" cm="1">
        <f t="array" aca="1" ref="C201" ca="1">IF(B201&lt;=$C$9,GetGetCDSName(B201),"")</f>
        <v/>
      </c>
      <c r="D201" s="345"/>
      <c r="E201" s="378"/>
      <c r="F201" s="297"/>
      <c r="G201" s="297"/>
      <c r="H201" s="297"/>
      <c r="I201" s="297"/>
      <c r="J201" s="297"/>
      <c r="K201" s="297"/>
      <c r="L201" s="297"/>
      <c r="M201" s="297"/>
      <c r="N201" s="379"/>
      <c r="O201" s="272"/>
      <c r="P201" s="272"/>
      <c r="Q201" s="272"/>
      <c r="R201" s="272"/>
      <c r="S201" s="272"/>
      <c r="T201" s="272"/>
      <c r="U201" s="272"/>
      <c r="V201" s="272"/>
      <c r="W201" s="272"/>
      <c r="X201" s="272"/>
      <c r="Y201" s="272"/>
      <c r="Z201" s="272"/>
      <c r="AA201" s="272"/>
      <c r="AB201" s="272"/>
      <c r="AC201" s="272"/>
      <c r="AD201" s="272"/>
      <c r="AE201" s="272"/>
    </row>
    <row r="202" spans="2:31" ht="15">
      <c r="B202" s="377">
        <f t="shared" si="6"/>
        <v>157</v>
      </c>
      <c r="C202" s="385" t="str" cm="1">
        <f t="array" aca="1" ref="C202" ca="1">IF(B202&lt;=$C$9,GetGetCDSName(B202),"")</f>
        <v/>
      </c>
      <c r="D202" s="345"/>
      <c r="E202" s="378"/>
      <c r="F202" s="297"/>
      <c r="G202" s="297"/>
      <c r="H202" s="297"/>
      <c r="I202" s="297"/>
      <c r="J202" s="297"/>
      <c r="K202" s="297"/>
      <c r="L202" s="297"/>
      <c r="M202" s="297"/>
      <c r="N202" s="379"/>
      <c r="O202" s="272"/>
      <c r="P202" s="272"/>
      <c r="Q202" s="272"/>
      <c r="R202" s="272"/>
      <c r="S202" s="272"/>
      <c r="T202" s="272"/>
      <c r="U202" s="272"/>
      <c r="V202" s="272"/>
      <c r="W202" s="272"/>
      <c r="X202" s="272"/>
      <c r="Y202" s="272"/>
      <c r="Z202" s="272"/>
      <c r="AA202" s="272"/>
      <c r="AB202" s="272"/>
      <c r="AC202" s="272"/>
      <c r="AD202" s="272"/>
      <c r="AE202" s="272"/>
    </row>
    <row r="203" spans="2:31" ht="15">
      <c r="B203" s="377">
        <f t="shared" si="6"/>
        <v>158</v>
      </c>
      <c r="C203" s="385" t="str" cm="1">
        <f t="array" aca="1" ref="C203" ca="1">IF(B203&lt;=$C$9,GetGetCDSName(B203),"")</f>
        <v/>
      </c>
      <c r="D203" s="345"/>
      <c r="E203" s="378"/>
      <c r="F203" s="297"/>
      <c r="G203" s="297"/>
      <c r="H203" s="297"/>
      <c r="I203" s="297"/>
      <c r="J203" s="297"/>
      <c r="K203" s="297"/>
      <c r="L203" s="297"/>
      <c r="M203" s="297"/>
      <c r="N203" s="379"/>
      <c r="O203" s="272"/>
      <c r="P203" s="272"/>
      <c r="Q203" s="272"/>
      <c r="R203" s="272"/>
      <c r="S203" s="272"/>
      <c r="T203" s="272"/>
      <c r="U203" s="272"/>
      <c r="V203" s="272"/>
      <c r="W203" s="272"/>
      <c r="X203" s="272"/>
      <c r="Y203" s="272"/>
      <c r="Z203" s="272"/>
      <c r="AA203" s="272"/>
      <c r="AB203" s="272"/>
      <c r="AC203" s="272"/>
      <c r="AD203" s="272"/>
      <c r="AE203" s="272"/>
    </row>
    <row r="204" spans="2:31" ht="15">
      <c r="B204" s="377">
        <f t="shared" si="6"/>
        <v>159</v>
      </c>
      <c r="C204" s="385" t="str" cm="1">
        <f t="array" aca="1" ref="C204" ca="1">IF(B204&lt;=$C$9,GetGetCDSName(B204),"")</f>
        <v/>
      </c>
      <c r="D204" s="345"/>
      <c r="E204" s="378"/>
      <c r="F204" s="297"/>
      <c r="G204" s="297"/>
      <c r="H204" s="297"/>
      <c r="I204" s="297"/>
      <c r="J204" s="297"/>
      <c r="K204" s="297"/>
      <c r="L204" s="297"/>
      <c r="M204" s="297"/>
      <c r="N204" s="379"/>
      <c r="O204" s="272"/>
      <c r="P204" s="272"/>
      <c r="Q204" s="272"/>
      <c r="R204" s="272"/>
      <c r="S204" s="272"/>
      <c r="T204" s="272"/>
      <c r="U204" s="272"/>
      <c r="V204" s="272"/>
      <c r="W204" s="272"/>
      <c r="X204" s="272"/>
      <c r="Y204" s="272"/>
      <c r="Z204" s="272"/>
      <c r="AA204" s="272"/>
      <c r="AB204" s="272"/>
      <c r="AC204" s="272"/>
      <c r="AD204" s="272"/>
      <c r="AE204" s="272"/>
    </row>
    <row r="205" spans="2:31" ht="15">
      <c r="B205" s="377">
        <f t="shared" si="6"/>
        <v>160</v>
      </c>
      <c r="C205" s="385" t="str" cm="1">
        <f t="array" aca="1" ref="C205" ca="1">IF(B205&lt;=$C$9,GetGetCDSName(B205),"")</f>
        <v/>
      </c>
      <c r="D205" s="345"/>
      <c r="E205" s="378"/>
      <c r="F205" s="297"/>
      <c r="G205" s="297"/>
      <c r="H205" s="297"/>
      <c r="I205" s="297"/>
      <c r="J205" s="297"/>
      <c r="K205" s="297"/>
      <c r="L205" s="297"/>
      <c r="M205" s="297"/>
      <c r="N205" s="379"/>
      <c r="O205" s="272"/>
      <c r="P205" s="272"/>
      <c r="Q205" s="272"/>
      <c r="R205" s="272"/>
      <c r="S205" s="272"/>
      <c r="T205" s="272"/>
      <c r="U205" s="272"/>
      <c r="V205" s="272"/>
      <c r="W205" s="272"/>
      <c r="X205" s="272"/>
      <c r="Y205" s="272"/>
      <c r="Z205" s="272"/>
      <c r="AA205" s="272"/>
      <c r="AB205" s="272"/>
      <c r="AC205" s="272"/>
      <c r="AD205" s="272"/>
      <c r="AE205" s="272"/>
    </row>
    <row r="206" spans="2:31" ht="15">
      <c r="B206" s="377">
        <f t="shared" si="6"/>
        <v>161</v>
      </c>
      <c r="C206" s="385" t="str" cm="1">
        <f t="array" aca="1" ref="C206" ca="1">IF(B206&lt;=$C$9,GetGetCDSName(B206),"")</f>
        <v/>
      </c>
      <c r="D206" s="345"/>
      <c r="E206" s="378"/>
      <c r="F206" s="297"/>
      <c r="G206" s="297"/>
      <c r="H206" s="297"/>
      <c r="I206" s="297"/>
      <c r="J206" s="297"/>
      <c r="K206" s="297"/>
      <c r="L206" s="297"/>
      <c r="M206" s="297"/>
      <c r="N206" s="379"/>
      <c r="O206" s="272"/>
      <c r="P206" s="272"/>
      <c r="Q206" s="272"/>
      <c r="R206" s="272"/>
      <c r="S206" s="272"/>
      <c r="T206" s="272"/>
      <c r="U206" s="272"/>
      <c r="V206" s="272"/>
      <c r="W206" s="272"/>
      <c r="X206" s="272"/>
      <c r="Y206" s="272"/>
      <c r="Z206" s="272"/>
      <c r="AA206" s="272"/>
      <c r="AB206" s="272"/>
      <c r="AC206" s="272"/>
      <c r="AD206" s="272"/>
      <c r="AE206" s="272"/>
    </row>
    <row r="207" spans="2:31" ht="15">
      <c r="B207" s="377">
        <f t="shared" si="6"/>
        <v>162</v>
      </c>
      <c r="C207" s="385" t="str" cm="1">
        <f t="array" aca="1" ref="C207" ca="1">IF(B207&lt;=$C$9,GetGetCDSName(B207),"")</f>
        <v/>
      </c>
      <c r="D207" s="345"/>
      <c r="E207" s="378"/>
      <c r="F207" s="297"/>
      <c r="G207" s="297"/>
      <c r="H207" s="297"/>
      <c r="I207" s="297"/>
      <c r="J207" s="297"/>
      <c r="K207" s="297"/>
      <c r="L207" s="297"/>
      <c r="M207" s="297"/>
      <c r="N207" s="379"/>
      <c r="O207" s="272"/>
      <c r="P207" s="272"/>
      <c r="Q207" s="272"/>
      <c r="R207" s="272"/>
      <c r="S207" s="272"/>
      <c r="T207" s="272"/>
      <c r="U207" s="272"/>
      <c r="V207" s="272"/>
      <c r="W207" s="272"/>
      <c r="X207" s="272"/>
      <c r="Y207" s="272"/>
      <c r="Z207" s="272"/>
      <c r="AA207" s="272"/>
      <c r="AB207" s="272"/>
      <c r="AC207" s="272"/>
      <c r="AD207" s="272"/>
      <c r="AE207" s="272"/>
    </row>
    <row r="208" spans="2:31" ht="15">
      <c r="B208" s="377">
        <f t="shared" si="6"/>
        <v>163</v>
      </c>
      <c r="C208" s="385" t="str" cm="1">
        <f t="array" aca="1" ref="C208" ca="1">IF(B208&lt;=$C$9,GetGetCDSName(B208),"")</f>
        <v/>
      </c>
      <c r="D208" s="345"/>
      <c r="E208" s="378"/>
      <c r="F208" s="297"/>
      <c r="G208" s="297"/>
      <c r="H208" s="297"/>
      <c r="I208" s="297"/>
      <c r="J208" s="297"/>
      <c r="K208" s="297"/>
      <c r="L208" s="297"/>
      <c r="M208" s="297"/>
      <c r="N208" s="379"/>
      <c r="O208" s="272"/>
      <c r="P208" s="272"/>
      <c r="Q208" s="272"/>
      <c r="R208" s="272"/>
      <c r="S208" s="272"/>
      <c r="T208" s="272"/>
      <c r="U208" s="272"/>
      <c r="V208" s="272"/>
      <c r="W208" s="272"/>
      <c r="X208" s="272"/>
      <c r="Y208" s="272"/>
      <c r="Z208" s="272"/>
      <c r="AA208" s="272"/>
      <c r="AB208" s="272"/>
      <c r="AC208" s="272"/>
      <c r="AD208" s="272"/>
      <c r="AE208" s="272"/>
    </row>
    <row r="209" spans="2:31" ht="15">
      <c r="B209" s="377">
        <f t="shared" si="6"/>
        <v>164</v>
      </c>
      <c r="C209" s="385" t="str" cm="1">
        <f t="array" aca="1" ref="C209" ca="1">IF(B209&lt;=$C$9,GetGetCDSName(B209),"")</f>
        <v/>
      </c>
      <c r="D209" s="345"/>
      <c r="E209" s="378"/>
      <c r="F209" s="297"/>
      <c r="G209" s="297"/>
      <c r="H209" s="297"/>
      <c r="I209" s="297"/>
      <c r="J209" s="297"/>
      <c r="K209" s="297"/>
      <c r="L209" s="297"/>
      <c r="M209" s="297"/>
      <c r="N209" s="379"/>
      <c r="O209" s="272"/>
      <c r="P209" s="272"/>
      <c r="Q209" s="272"/>
      <c r="R209" s="272"/>
      <c r="S209" s="272"/>
      <c r="T209" s="272"/>
      <c r="U209" s="272"/>
      <c r="V209" s="272"/>
      <c r="W209" s="272"/>
      <c r="X209" s="272"/>
      <c r="Y209" s="272"/>
      <c r="Z209" s="272"/>
      <c r="AA209" s="272"/>
      <c r="AB209" s="272"/>
      <c r="AC209" s="272"/>
      <c r="AD209" s="272"/>
      <c r="AE209" s="272"/>
    </row>
    <row r="210" spans="2:31" ht="15">
      <c r="B210" s="377">
        <f t="shared" si="6"/>
        <v>165</v>
      </c>
      <c r="C210" s="385" t="str" cm="1">
        <f t="array" aca="1" ref="C210" ca="1">IF(B210&lt;=$C$9,GetGetCDSName(B210),"")</f>
        <v/>
      </c>
      <c r="D210" s="345"/>
      <c r="E210" s="378"/>
      <c r="F210" s="297"/>
      <c r="G210" s="297"/>
      <c r="H210" s="297"/>
      <c r="I210" s="297"/>
      <c r="J210" s="297"/>
      <c r="K210" s="297"/>
      <c r="L210" s="297"/>
      <c r="M210" s="297"/>
      <c r="N210" s="379"/>
      <c r="O210" s="272"/>
      <c r="P210" s="272"/>
      <c r="Q210" s="272"/>
      <c r="R210" s="272"/>
      <c r="S210" s="272"/>
      <c r="T210" s="272"/>
      <c r="U210" s="272"/>
      <c r="V210" s="272"/>
      <c r="W210" s="272"/>
      <c r="X210" s="272"/>
      <c r="Y210" s="272"/>
      <c r="Z210" s="272"/>
      <c r="AA210" s="272"/>
      <c r="AB210" s="272"/>
      <c r="AC210" s="272"/>
      <c r="AD210" s="272"/>
      <c r="AE210" s="272"/>
    </row>
    <row r="211" spans="2:31" ht="15">
      <c r="B211" s="377">
        <f t="shared" si="6"/>
        <v>166</v>
      </c>
      <c r="C211" s="385" t="str" cm="1">
        <f t="array" aca="1" ref="C211" ca="1">IF(B211&lt;=$C$9,GetGetCDSName(B211),"")</f>
        <v/>
      </c>
      <c r="D211" s="345"/>
      <c r="E211" s="378"/>
      <c r="F211" s="297"/>
      <c r="G211" s="297"/>
      <c r="H211" s="297"/>
      <c r="I211" s="297"/>
      <c r="J211" s="297"/>
      <c r="K211" s="297"/>
      <c r="L211" s="297"/>
      <c r="M211" s="297"/>
      <c r="N211" s="379"/>
      <c r="O211" s="272"/>
      <c r="P211" s="272"/>
      <c r="Q211" s="272"/>
      <c r="R211" s="272"/>
      <c r="S211" s="272"/>
      <c r="T211" s="272"/>
      <c r="U211" s="272"/>
      <c r="V211" s="272"/>
      <c r="W211" s="272"/>
      <c r="X211" s="272"/>
      <c r="Y211" s="272"/>
      <c r="Z211" s="272"/>
      <c r="AA211" s="272"/>
      <c r="AB211" s="272"/>
      <c r="AC211" s="272"/>
      <c r="AD211" s="272"/>
      <c r="AE211" s="272"/>
    </row>
    <row r="212" spans="2:31" ht="15">
      <c r="B212" s="377">
        <f t="shared" si="6"/>
        <v>167</v>
      </c>
      <c r="C212" s="385" t="str" cm="1">
        <f t="array" aca="1" ref="C212" ca="1">IF(B212&lt;=$C$9,GetGetCDSName(B212),"")</f>
        <v/>
      </c>
      <c r="D212" s="345"/>
      <c r="E212" s="378"/>
      <c r="F212" s="297"/>
      <c r="G212" s="297"/>
      <c r="H212" s="297"/>
      <c r="I212" s="297"/>
      <c r="J212" s="297"/>
      <c r="K212" s="297"/>
      <c r="L212" s="297"/>
      <c r="M212" s="297"/>
      <c r="N212" s="379"/>
      <c r="O212" s="272"/>
      <c r="P212" s="272"/>
      <c r="Q212" s="272"/>
      <c r="R212" s="272"/>
      <c r="S212" s="272"/>
      <c r="T212" s="272"/>
      <c r="U212" s="272"/>
      <c r="V212" s="272"/>
      <c r="W212" s="272"/>
      <c r="X212" s="272"/>
      <c r="Y212" s="272"/>
      <c r="Z212" s="272"/>
      <c r="AA212" s="272"/>
      <c r="AB212" s="272"/>
      <c r="AC212" s="272"/>
      <c r="AD212" s="272"/>
      <c r="AE212" s="272"/>
    </row>
    <row r="213" spans="2:31" ht="15">
      <c r="B213" s="377">
        <f t="shared" si="6"/>
        <v>168</v>
      </c>
      <c r="C213" s="385" t="str" cm="1">
        <f t="array" aca="1" ref="C213" ca="1">IF(B213&lt;=$C$9,GetGetCDSName(B213),"")</f>
        <v/>
      </c>
      <c r="D213" s="345"/>
      <c r="E213" s="378"/>
      <c r="F213" s="297"/>
      <c r="G213" s="297"/>
      <c r="H213" s="297"/>
      <c r="I213" s="297"/>
      <c r="J213" s="297"/>
      <c r="K213" s="297"/>
      <c r="L213" s="297"/>
      <c r="M213" s="297"/>
      <c r="N213" s="379"/>
      <c r="O213" s="272"/>
      <c r="P213" s="272"/>
      <c r="Q213" s="272"/>
      <c r="R213" s="272"/>
      <c r="S213" s="272"/>
      <c r="T213" s="272"/>
      <c r="U213" s="272"/>
      <c r="V213" s="272"/>
      <c r="W213" s="272"/>
      <c r="X213" s="272"/>
      <c r="Y213" s="272"/>
      <c r="Z213" s="272"/>
      <c r="AA213" s="272"/>
      <c r="AB213" s="272"/>
      <c r="AC213" s="272"/>
      <c r="AD213" s="272"/>
      <c r="AE213" s="272"/>
    </row>
    <row r="214" spans="2:31" ht="15">
      <c r="B214" s="377">
        <f t="shared" si="6"/>
        <v>169</v>
      </c>
      <c r="C214" s="385" t="str" cm="1">
        <f t="array" aca="1" ref="C214" ca="1">IF(B214&lt;=$C$9,GetGetCDSName(B214),"")</f>
        <v/>
      </c>
      <c r="D214" s="345"/>
      <c r="E214" s="378"/>
      <c r="F214" s="297"/>
      <c r="G214" s="297"/>
      <c r="H214" s="297"/>
      <c r="I214" s="297"/>
      <c r="J214" s="297"/>
      <c r="K214" s="297"/>
      <c r="L214" s="297"/>
      <c r="M214" s="297"/>
      <c r="N214" s="379"/>
      <c r="O214" s="272"/>
      <c r="P214" s="272"/>
      <c r="Q214" s="272"/>
      <c r="R214" s="272"/>
      <c r="S214" s="272"/>
      <c r="T214" s="272"/>
      <c r="U214" s="272"/>
      <c r="V214" s="272"/>
      <c r="W214" s="272"/>
      <c r="X214" s="272"/>
      <c r="Y214" s="272"/>
      <c r="Z214" s="272"/>
      <c r="AA214" s="272"/>
      <c r="AB214" s="272"/>
      <c r="AC214" s="272"/>
      <c r="AD214" s="272"/>
      <c r="AE214" s="272"/>
    </row>
    <row r="215" spans="2:31" ht="15">
      <c r="B215" s="377">
        <f t="shared" si="6"/>
        <v>170</v>
      </c>
      <c r="C215" s="385" t="str" cm="1">
        <f t="array" aca="1" ref="C215" ca="1">IF(B215&lt;=$C$9,GetGetCDSName(B215),"")</f>
        <v/>
      </c>
      <c r="D215" s="345"/>
      <c r="E215" s="378"/>
      <c r="F215" s="297"/>
      <c r="G215" s="297"/>
      <c r="H215" s="297"/>
      <c r="I215" s="297"/>
      <c r="J215" s="297"/>
      <c r="K215" s="297"/>
      <c r="L215" s="297"/>
      <c r="M215" s="297"/>
      <c r="N215" s="379"/>
      <c r="O215" s="272"/>
      <c r="P215" s="272"/>
      <c r="Q215" s="272"/>
      <c r="R215" s="272"/>
      <c r="S215" s="272"/>
      <c r="T215" s="272"/>
      <c r="U215" s="272"/>
      <c r="V215" s="272"/>
      <c r="W215" s="272"/>
      <c r="X215" s="272"/>
      <c r="Y215" s="272"/>
      <c r="Z215" s="272"/>
      <c r="AA215" s="272"/>
      <c r="AB215" s="272"/>
      <c r="AC215" s="272"/>
      <c r="AD215" s="272"/>
      <c r="AE215" s="272"/>
    </row>
    <row r="216" spans="2:31" ht="15">
      <c r="B216" s="377">
        <f t="shared" si="6"/>
        <v>171</v>
      </c>
      <c r="C216" s="385" t="str" cm="1">
        <f t="array" aca="1" ref="C216" ca="1">IF(B216&lt;=$C$9,GetGetCDSName(B216),"")</f>
        <v/>
      </c>
      <c r="D216" s="345"/>
      <c r="E216" s="378"/>
      <c r="F216" s="297"/>
      <c r="G216" s="297"/>
      <c r="H216" s="297"/>
      <c r="I216" s="297"/>
      <c r="J216" s="297"/>
      <c r="K216" s="297"/>
      <c r="L216" s="297"/>
      <c r="M216" s="297"/>
      <c r="N216" s="379"/>
      <c r="O216" s="272"/>
      <c r="P216" s="272"/>
      <c r="Q216" s="272"/>
      <c r="R216" s="272"/>
      <c r="S216" s="272"/>
      <c r="T216" s="272"/>
      <c r="U216" s="272"/>
      <c r="V216" s="272"/>
      <c r="W216" s="272"/>
      <c r="X216" s="272"/>
      <c r="Y216" s="272"/>
      <c r="Z216" s="272"/>
      <c r="AA216" s="272"/>
      <c r="AB216" s="272"/>
      <c r="AC216" s="272"/>
      <c r="AD216" s="272"/>
      <c r="AE216" s="272"/>
    </row>
    <row r="217" spans="2:31" ht="15">
      <c r="B217" s="377">
        <f t="shared" si="6"/>
        <v>172</v>
      </c>
      <c r="C217" s="385" t="str" cm="1">
        <f t="array" aca="1" ref="C217" ca="1">IF(B217&lt;=$C$9,GetGetCDSName(B217),"")</f>
        <v/>
      </c>
      <c r="D217" s="345"/>
      <c r="E217" s="378"/>
      <c r="F217" s="297"/>
      <c r="G217" s="297"/>
      <c r="H217" s="297"/>
      <c r="I217" s="297"/>
      <c r="J217" s="297"/>
      <c r="K217" s="297"/>
      <c r="L217" s="297"/>
      <c r="M217" s="297"/>
      <c r="N217" s="379"/>
      <c r="O217" s="272"/>
      <c r="P217" s="272"/>
      <c r="Q217" s="272"/>
      <c r="R217" s="272"/>
      <c r="S217" s="272"/>
      <c r="T217" s="272"/>
      <c r="U217" s="272"/>
      <c r="V217" s="272"/>
      <c r="W217" s="272"/>
      <c r="X217" s="272"/>
      <c r="Y217" s="272"/>
      <c r="Z217" s="272"/>
      <c r="AA217" s="272"/>
      <c r="AB217" s="272"/>
      <c r="AC217" s="272"/>
      <c r="AD217" s="272"/>
      <c r="AE217" s="272"/>
    </row>
    <row r="218" spans="2:31" ht="15">
      <c r="B218" s="377">
        <f t="shared" si="6"/>
        <v>173</v>
      </c>
      <c r="C218" s="385" t="str" cm="1">
        <f t="array" aca="1" ref="C218" ca="1">IF(B218&lt;=$C$9,GetGetCDSName(B218),"")</f>
        <v/>
      </c>
      <c r="D218" s="345"/>
      <c r="E218" s="378"/>
      <c r="F218" s="297"/>
      <c r="G218" s="297"/>
      <c r="H218" s="297"/>
      <c r="I218" s="297"/>
      <c r="J218" s="297"/>
      <c r="K218" s="297"/>
      <c r="L218" s="297"/>
      <c r="M218" s="297"/>
      <c r="N218" s="379"/>
      <c r="O218" s="272"/>
      <c r="P218" s="272"/>
      <c r="Q218" s="272"/>
      <c r="R218" s="272"/>
      <c r="S218" s="272"/>
      <c r="T218" s="272"/>
      <c r="U218" s="272"/>
      <c r="V218" s="272"/>
      <c r="W218" s="272"/>
      <c r="X218" s="272"/>
      <c r="Y218" s="272"/>
      <c r="Z218" s="272"/>
      <c r="AA218" s="272"/>
      <c r="AB218" s="272"/>
      <c r="AC218" s="272"/>
      <c r="AD218" s="272"/>
      <c r="AE218" s="272"/>
    </row>
    <row r="219" spans="2:31" ht="15">
      <c r="B219" s="377">
        <f t="shared" si="6"/>
        <v>174</v>
      </c>
      <c r="C219" s="385" t="str" cm="1">
        <f t="array" aca="1" ref="C219" ca="1">IF(B219&lt;=$C$9,GetGetCDSName(B219),"")</f>
        <v/>
      </c>
      <c r="D219" s="345"/>
      <c r="E219" s="378"/>
      <c r="F219" s="297"/>
      <c r="G219" s="297"/>
      <c r="H219" s="297"/>
      <c r="I219" s="297"/>
      <c r="J219" s="297"/>
      <c r="K219" s="297"/>
      <c r="L219" s="297"/>
      <c r="M219" s="297"/>
      <c r="N219" s="379"/>
      <c r="O219" s="272"/>
      <c r="P219" s="272"/>
      <c r="Q219" s="272"/>
      <c r="R219" s="272"/>
      <c r="S219" s="272"/>
      <c r="T219" s="272"/>
      <c r="U219" s="272"/>
      <c r="V219" s="272"/>
      <c r="W219" s="272"/>
      <c r="X219" s="272"/>
      <c r="Y219" s="272"/>
      <c r="Z219" s="272"/>
      <c r="AA219" s="272"/>
      <c r="AB219" s="272"/>
      <c r="AC219" s="272"/>
      <c r="AD219" s="272"/>
      <c r="AE219" s="272"/>
    </row>
    <row r="220" spans="2:31" ht="15">
      <c r="B220" s="377">
        <f t="shared" si="6"/>
        <v>175</v>
      </c>
      <c r="C220" s="385" t="str" cm="1">
        <f t="array" aca="1" ref="C220" ca="1">IF(B220&lt;=$C$9,GetGetCDSName(B220),"")</f>
        <v/>
      </c>
      <c r="D220" s="345"/>
      <c r="E220" s="378"/>
      <c r="F220" s="297"/>
      <c r="G220" s="297"/>
      <c r="H220" s="297"/>
      <c r="I220" s="297"/>
      <c r="J220" s="297"/>
      <c r="K220" s="297"/>
      <c r="L220" s="297"/>
      <c r="M220" s="297"/>
      <c r="N220" s="379"/>
      <c r="O220" s="272"/>
      <c r="P220" s="272"/>
      <c r="Q220" s="272"/>
      <c r="R220" s="272"/>
      <c r="S220" s="272"/>
      <c r="T220" s="272"/>
      <c r="U220" s="272"/>
      <c r="V220" s="272"/>
      <c r="W220" s="272"/>
      <c r="X220" s="272"/>
      <c r="Y220" s="272"/>
      <c r="Z220" s="272"/>
      <c r="AA220" s="272"/>
      <c r="AB220" s="272"/>
      <c r="AC220" s="272"/>
      <c r="AD220" s="272"/>
      <c r="AE220" s="272"/>
    </row>
    <row r="221" spans="2:31" ht="15">
      <c r="B221" s="377">
        <f t="shared" si="6"/>
        <v>176</v>
      </c>
      <c r="C221" s="385" t="str" cm="1">
        <f t="array" aca="1" ref="C221" ca="1">IF(B221&lt;=$C$9,GetGetCDSName(B221),"")</f>
        <v/>
      </c>
      <c r="D221" s="345"/>
      <c r="E221" s="378"/>
      <c r="F221" s="297"/>
      <c r="G221" s="297"/>
      <c r="H221" s="297"/>
      <c r="I221" s="297"/>
      <c r="J221" s="297"/>
      <c r="K221" s="297"/>
      <c r="L221" s="297"/>
      <c r="M221" s="297"/>
      <c r="N221" s="379"/>
      <c r="O221" s="272"/>
      <c r="P221" s="272"/>
      <c r="Q221" s="272"/>
      <c r="R221" s="272"/>
      <c r="S221" s="272"/>
      <c r="T221" s="272"/>
      <c r="U221" s="272"/>
      <c r="V221" s="272"/>
      <c r="W221" s="272"/>
      <c r="X221" s="272"/>
      <c r="Y221" s="272"/>
      <c r="Z221" s="272"/>
      <c r="AA221" s="272"/>
      <c r="AB221" s="272"/>
      <c r="AC221" s="272"/>
      <c r="AD221" s="272"/>
      <c r="AE221" s="272"/>
    </row>
    <row r="222" spans="2:31" ht="15">
      <c r="B222" s="377">
        <f t="shared" si="6"/>
        <v>177</v>
      </c>
      <c r="C222" s="385" t="str" cm="1">
        <f t="array" aca="1" ref="C222" ca="1">IF(B222&lt;=$C$9,GetGetCDSName(B222),"")</f>
        <v/>
      </c>
      <c r="D222" s="345"/>
      <c r="E222" s="378"/>
      <c r="F222" s="297"/>
      <c r="G222" s="297"/>
      <c r="H222" s="297"/>
      <c r="I222" s="297"/>
      <c r="J222" s="297"/>
      <c r="K222" s="297"/>
      <c r="L222" s="297"/>
      <c r="M222" s="297"/>
      <c r="N222" s="379"/>
      <c r="O222" s="272"/>
      <c r="P222" s="272"/>
      <c r="Q222" s="272"/>
      <c r="R222" s="272"/>
      <c r="S222" s="272"/>
      <c r="T222" s="272"/>
      <c r="U222" s="272"/>
      <c r="V222" s="272"/>
      <c r="W222" s="272"/>
      <c r="X222" s="272"/>
      <c r="Y222" s="272"/>
      <c r="Z222" s="272"/>
      <c r="AA222" s="272"/>
      <c r="AB222" s="272"/>
      <c r="AC222" s="272"/>
      <c r="AD222" s="272"/>
      <c r="AE222" s="272"/>
    </row>
    <row r="223" spans="2:31" ht="15">
      <c r="B223" s="377">
        <f t="shared" si="6"/>
        <v>178</v>
      </c>
      <c r="C223" s="385" t="str" cm="1">
        <f t="array" aca="1" ref="C223" ca="1">IF(B223&lt;=$C$9,GetGetCDSName(B223),"")</f>
        <v/>
      </c>
      <c r="D223" s="345"/>
      <c r="E223" s="378"/>
      <c r="F223" s="297"/>
      <c r="G223" s="297"/>
      <c r="H223" s="297"/>
      <c r="I223" s="297"/>
      <c r="J223" s="297"/>
      <c r="K223" s="297"/>
      <c r="L223" s="297"/>
      <c r="M223" s="297"/>
      <c r="N223" s="379"/>
      <c r="O223" s="272"/>
      <c r="P223" s="272"/>
      <c r="Q223" s="272"/>
      <c r="R223" s="272"/>
      <c r="S223" s="272"/>
      <c r="T223" s="272"/>
      <c r="U223" s="272"/>
      <c r="V223" s="272"/>
      <c r="W223" s="272"/>
      <c r="X223" s="272"/>
      <c r="Y223" s="272"/>
      <c r="Z223" s="272"/>
      <c r="AA223" s="272"/>
      <c r="AB223" s="272"/>
      <c r="AC223" s="272"/>
      <c r="AD223" s="272"/>
      <c r="AE223" s="272"/>
    </row>
    <row r="224" spans="2:31" ht="15">
      <c r="B224" s="377">
        <f t="shared" si="6"/>
        <v>179</v>
      </c>
      <c r="C224" s="385" t="str" cm="1">
        <f t="array" aca="1" ref="C224" ca="1">IF(B224&lt;=$C$9,GetGetCDSName(B224),"")</f>
        <v/>
      </c>
      <c r="D224" s="345"/>
      <c r="E224" s="378"/>
      <c r="F224" s="297"/>
      <c r="G224" s="297"/>
      <c r="H224" s="297"/>
      <c r="I224" s="297"/>
      <c r="J224" s="297"/>
      <c r="K224" s="297"/>
      <c r="L224" s="297"/>
      <c r="M224" s="297"/>
      <c r="N224" s="379"/>
      <c r="O224" s="272"/>
      <c r="P224" s="272"/>
      <c r="Q224" s="272"/>
      <c r="R224" s="272"/>
      <c r="S224" s="272"/>
      <c r="T224" s="272"/>
      <c r="U224" s="272"/>
      <c r="V224" s="272"/>
      <c r="W224" s="272"/>
      <c r="X224" s="272"/>
      <c r="Y224" s="272"/>
      <c r="Z224" s="272"/>
      <c r="AA224" s="272"/>
      <c r="AB224" s="272"/>
      <c r="AC224" s="272"/>
      <c r="AD224" s="272"/>
      <c r="AE224" s="272"/>
    </row>
    <row r="225" spans="2:31" ht="15">
      <c r="B225" s="377">
        <f t="shared" si="6"/>
        <v>180</v>
      </c>
      <c r="C225" s="385" t="str" cm="1">
        <f t="array" aca="1" ref="C225" ca="1">IF(B225&lt;=$C$9,GetGetCDSName(B225),"")</f>
        <v/>
      </c>
      <c r="D225" s="345"/>
      <c r="E225" s="378"/>
      <c r="F225" s="297"/>
      <c r="G225" s="297"/>
      <c r="H225" s="297"/>
      <c r="I225" s="297"/>
      <c r="J225" s="297"/>
      <c r="K225" s="297"/>
      <c r="L225" s="297"/>
      <c r="M225" s="297"/>
      <c r="N225" s="379"/>
      <c r="O225" s="272"/>
      <c r="P225" s="272"/>
      <c r="Q225" s="272"/>
      <c r="R225" s="272"/>
      <c r="S225" s="272"/>
      <c r="T225" s="272"/>
      <c r="U225" s="272"/>
      <c r="V225" s="272"/>
      <c r="W225" s="272"/>
      <c r="X225" s="272"/>
      <c r="Y225" s="272"/>
      <c r="Z225" s="272"/>
      <c r="AA225" s="272"/>
      <c r="AB225" s="272"/>
      <c r="AC225" s="272"/>
      <c r="AD225" s="272"/>
      <c r="AE225" s="272"/>
    </row>
    <row r="226" spans="2:31" ht="15">
      <c r="B226" s="377">
        <f t="shared" si="6"/>
        <v>181</v>
      </c>
      <c r="C226" s="385" t="str" cm="1">
        <f t="array" aca="1" ref="C226" ca="1">IF(B226&lt;=$C$9,GetGetCDSName(B226),"")</f>
        <v/>
      </c>
      <c r="D226" s="345"/>
      <c r="E226" s="378"/>
      <c r="F226" s="297"/>
      <c r="G226" s="297"/>
      <c r="H226" s="297"/>
      <c r="I226" s="297"/>
      <c r="J226" s="297"/>
      <c r="K226" s="297"/>
      <c r="L226" s="297"/>
      <c r="M226" s="297"/>
      <c r="N226" s="379"/>
      <c r="O226" s="272"/>
      <c r="P226" s="272"/>
      <c r="Q226" s="272"/>
      <c r="R226" s="272"/>
      <c r="S226" s="272"/>
      <c r="T226" s="272"/>
      <c r="U226" s="272"/>
      <c r="V226" s="272"/>
      <c r="W226" s="272"/>
      <c r="X226" s="272"/>
      <c r="Y226" s="272"/>
      <c r="Z226" s="272"/>
      <c r="AA226" s="272"/>
      <c r="AB226" s="272"/>
      <c r="AC226" s="272"/>
      <c r="AD226" s="272"/>
      <c r="AE226" s="272"/>
    </row>
    <row r="227" spans="2:31" ht="15">
      <c r="B227" s="377">
        <f t="shared" si="6"/>
        <v>182</v>
      </c>
      <c r="C227" s="385" t="str" cm="1">
        <f t="array" aca="1" ref="C227" ca="1">IF(B227&lt;=$C$9,GetGetCDSName(B227),"")</f>
        <v/>
      </c>
      <c r="D227" s="345"/>
      <c r="E227" s="378"/>
      <c r="F227" s="297"/>
      <c r="G227" s="297"/>
      <c r="H227" s="297"/>
      <c r="I227" s="297"/>
      <c r="J227" s="297"/>
      <c r="K227" s="297"/>
      <c r="L227" s="297"/>
      <c r="M227" s="297"/>
      <c r="N227" s="379"/>
      <c r="O227" s="272"/>
      <c r="P227" s="272"/>
      <c r="Q227" s="272"/>
      <c r="R227" s="272"/>
      <c r="S227" s="272"/>
      <c r="T227" s="272"/>
      <c r="U227" s="272"/>
      <c r="V227" s="272"/>
      <c r="W227" s="272"/>
      <c r="X227" s="272"/>
      <c r="Y227" s="272"/>
      <c r="Z227" s="272"/>
      <c r="AA227" s="272"/>
      <c r="AB227" s="272"/>
      <c r="AC227" s="272"/>
      <c r="AD227" s="272"/>
      <c r="AE227" s="272"/>
    </row>
    <row r="228" spans="2:31" ht="15">
      <c r="B228" s="377">
        <f t="shared" si="6"/>
        <v>183</v>
      </c>
      <c r="C228" s="385" t="str" cm="1">
        <f t="array" aca="1" ref="C228" ca="1">IF(B228&lt;=$C$9,GetGetCDSName(B228),"")</f>
        <v/>
      </c>
      <c r="D228" s="345"/>
      <c r="E228" s="378"/>
      <c r="F228" s="297"/>
      <c r="G228" s="297"/>
      <c r="H228" s="297"/>
      <c r="I228" s="297"/>
      <c r="J228" s="297"/>
      <c r="K228" s="297"/>
      <c r="L228" s="297"/>
      <c r="M228" s="297"/>
      <c r="N228" s="379"/>
      <c r="O228" s="272"/>
      <c r="P228" s="272"/>
      <c r="Q228" s="272"/>
      <c r="R228" s="272"/>
      <c r="S228" s="272"/>
      <c r="T228" s="272"/>
      <c r="U228" s="272"/>
      <c r="V228" s="272"/>
      <c r="W228" s="272"/>
      <c r="X228" s="272"/>
      <c r="Y228" s="272"/>
      <c r="Z228" s="272"/>
      <c r="AA228" s="272"/>
      <c r="AB228" s="272"/>
      <c r="AC228" s="272"/>
      <c r="AD228" s="272"/>
      <c r="AE228" s="272"/>
    </row>
    <row r="229" spans="2:31" ht="15">
      <c r="B229" s="377">
        <f t="shared" si="6"/>
        <v>184</v>
      </c>
      <c r="C229" s="385" t="str" cm="1">
        <f t="array" aca="1" ref="C229" ca="1">IF(B229&lt;=$C$9,GetGetCDSName(B229),"")</f>
        <v/>
      </c>
      <c r="D229" s="345"/>
      <c r="E229" s="378"/>
      <c r="F229" s="297"/>
      <c r="G229" s="297"/>
      <c r="H229" s="297"/>
      <c r="I229" s="297"/>
      <c r="J229" s="297"/>
      <c r="K229" s="297"/>
      <c r="L229" s="297"/>
      <c r="M229" s="297"/>
      <c r="N229" s="379"/>
      <c r="O229" s="272"/>
      <c r="P229" s="272"/>
      <c r="Q229" s="272"/>
      <c r="R229" s="272"/>
      <c r="S229" s="272"/>
      <c r="T229" s="272"/>
      <c r="U229" s="272"/>
      <c r="V229" s="272"/>
      <c r="W229" s="272"/>
      <c r="X229" s="272"/>
      <c r="Y229" s="272"/>
      <c r="Z229" s="272"/>
      <c r="AA229" s="272"/>
      <c r="AB229" s="272"/>
      <c r="AC229" s="272"/>
      <c r="AD229" s="272"/>
      <c r="AE229" s="272"/>
    </row>
    <row r="230" spans="2:31" ht="15">
      <c r="B230" s="377">
        <f t="shared" si="6"/>
        <v>185</v>
      </c>
      <c r="C230" s="385" t="str" cm="1">
        <f t="array" aca="1" ref="C230" ca="1">IF(B230&lt;=$C$9,GetGetCDSName(B230),"")</f>
        <v/>
      </c>
      <c r="D230" s="345"/>
      <c r="E230" s="378"/>
      <c r="F230" s="297"/>
      <c r="G230" s="297"/>
      <c r="H230" s="297"/>
      <c r="I230" s="297"/>
      <c r="J230" s="297"/>
      <c r="K230" s="297"/>
      <c r="L230" s="297"/>
      <c r="M230" s="297"/>
      <c r="N230" s="379"/>
      <c r="O230" s="272"/>
      <c r="P230" s="272"/>
      <c r="Q230" s="272"/>
      <c r="R230" s="272"/>
      <c r="S230" s="272"/>
      <c r="T230" s="272"/>
      <c r="U230" s="272"/>
      <c r="V230" s="272"/>
      <c r="W230" s="272"/>
      <c r="X230" s="272"/>
      <c r="Y230" s="272"/>
      <c r="Z230" s="272"/>
      <c r="AA230" s="272"/>
      <c r="AB230" s="272"/>
      <c r="AC230" s="272"/>
      <c r="AD230" s="272"/>
      <c r="AE230" s="272"/>
    </row>
    <row r="231" spans="2:31" ht="15">
      <c r="B231" s="377">
        <f t="shared" si="6"/>
        <v>186</v>
      </c>
      <c r="C231" s="385" t="str" cm="1">
        <f t="array" aca="1" ref="C231" ca="1">IF(B231&lt;=$C$9,GetGetCDSName(B231),"")</f>
        <v/>
      </c>
      <c r="D231" s="345"/>
      <c r="E231" s="378"/>
      <c r="F231" s="297"/>
      <c r="G231" s="297"/>
      <c r="H231" s="297"/>
      <c r="I231" s="297"/>
      <c r="J231" s="297"/>
      <c r="K231" s="297"/>
      <c r="L231" s="297"/>
      <c r="M231" s="297"/>
      <c r="N231" s="379"/>
      <c r="O231" s="272"/>
      <c r="P231" s="272"/>
      <c r="Q231" s="272"/>
      <c r="R231" s="272"/>
      <c r="S231" s="272"/>
      <c r="T231" s="272"/>
      <c r="U231" s="272"/>
      <c r="V231" s="272"/>
      <c r="W231" s="272"/>
      <c r="X231" s="272"/>
      <c r="Y231" s="272"/>
      <c r="Z231" s="272"/>
      <c r="AA231" s="272"/>
      <c r="AB231" s="272"/>
      <c r="AC231" s="272"/>
      <c r="AD231" s="272"/>
      <c r="AE231" s="272"/>
    </row>
    <row r="232" spans="2:31" ht="15">
      <c r="B232" s="377">
        <f t="shared" si="6"/>
        <v>187</v>
      </c>
      <c r="C232" s="385" t="str" cm="1">
        <f t="array" aca="1" ref="C232" ca="1">IF(B232&lt;=$C$9,GetGetCDSName(B232),"")</f>
        <v/>
      </c>
      <c r="D232" s="345"/>
      <c r="E232" s="378"/>
      <c r="F232" s="297"/>
      <c r="G232" s="297"/>
      <c r="H232" s="297"/>
      <c r="I232" s="297"/>
      <c r="J232" s="297"/>
      <c r="K232" s="297"/>
      <c r="L232" s="297"/>
      <c r="M232" s="297"/>
      <c r="N232" s="379"/>
      <c r="O232" s="272"/>
      <c r="P232" s="272"/>
      <c r="Q232" s="272"/>
      <c r="R232" s="272"/>
      <c r="S232" s="272"/>
      <c r="T232" s="272"/>
      <c r="U232" s="272"/>
      <c r="V232" s="272"/>
      <c r="W232" s="272"/>
      <c r="X232" s="272"/>
      <c r="Y232" s="272"/>
      <c r="Z232" s="272"/>
      <c r="AA232" s="272"/>
      <c r="AB232" s="272"/>
      <c r="AC232" s="272"/>
      <c r="AD232" s="272"/>
      <c r="AE232" s="272"/>
    </row>
    <row r="233" spans="2:31" ht="15">
      <c r="B233" s="377">
        <f t="shared" si="6"/>
        <v>188</v>
      </c>
      <c r="C233" s="385" t="str" cm="1">
        <f t="array" aca="1" ref="C233" ca="1">IF(B233&lt;=$C$9,GetGetCDSName(B233),"")</f>
        <v/>
      </c>
      <c r="D233" s="345"/>
      <c r="E233" s="378"/>
      <c r="F233" s="297"/>
      <c r="G233" s="297"/>
      <c r="H233" s="297"/>
      <c r="I233" s="297"/>
      <c r="J233" s="297"/>
      <c r="K233" s="297"/>
      <c r="L233" s="297"/>
      <c r="M233" s="297"/>
      <c r="N233" s="379"/>
      <c r="O233" s="272"/>
      <c r="P233" s="272"/>
      <c r="Q233" s="272"/>
      <c r="R233" s="272"/>
      <c r="S233" s="272"/>
      <c r="T233" s="272"/>
      <c r="U233" s="272"/>
      <c r="V233" s="272"/>
      <c r="W233" s="272"/>
      <c r="X233" s="272"/>
      <c r="Y233" s="272"/>
      <c r="Z233" s="272"/>
      <c r="AA233" s="272"/>
      <c r="AB233" s="272"/>
      <c r="AC233" s="272"/>
      <c r="AD233" s="272"/>
      <c r="AE233" s="272"/>
    </row>
    <row r="234" spans="2:31" ht="15">
      <c r="B234" s="377">
        <f t="shared" si="6"/>
        <v>189</v>
      </c>
      <c r="C234" s="385" t="str" cm="1">
        <f t="array" aca="1" ref="C234" ca="1">IF(B234&lt;=$C$9,GetGetCDSName(B234),"")</f>
        <v/>
      </c>
      <c r="D234" s="345"/>
      <c r="E234" s="378"/>
      <c r="F234" s="297"/>
      <c r="G234" s="297"/>
      <c r="H234" s="297"/>
      <c r="I234" s="297"/>
      <c r="J234" s="297"/>
      <c r="K234" s="297"/>
      <c r="L234" s="297"/>
      <c r="M234" s="297"/>
      <c r="N234" s="379"/>
      <c r="O234" s="272"/>
      <c r="P234" s="272"/>
      <c r="Q234" s="272"/>
      <c r="R234" s="272"/>
      <c r="S234" s="272"/>
      <c r="T234" s="272"/>
      <c r="U234" s="272"/>
      <c r="V234" s="272"/>
      <c r="W234" s="272"/>
      <c r="X234" s="272"/>
      <c r="Y234" s="272"/>
      <c r="Z234" s="272"/>
      <c r="AA234" s="272"/>
      <c r="AB234" s="272"/>
      <c r="AC234" s="272"/>
      <c r="AD234" s="272"/>
      <c r="AE234" s="272"/>
    </row>
    <row r="235" spans="2:31" ht="15">
      <c r="B235" s="377">
        <f t="shared" si="6"/>
        <v>190</v>
      </c>
      <c r="C235" s="385" t="str" cm="1">
        <f t="array" aca="1" ref="C235" ca="1">IF(B235&lt;=$C$9,GetGetCDSName(B235),"")</f>
        <v/>
      </c>
      <c r="D235" s="345"/>
      <c r="E235" s="378"/>
      <c r="F235" s="297"/>
      <c r="G235" s="297"/>
      <c r="H235" s="297"/>
      <c r="I235" s="297"/>
      <c r="J235" s="297"/>
      <c r="K235" s="297"/>
      <c r="L235" s="297"/>
      <c r="M235" s="297"/>
      <c r="N235" s="379"/>
      <c r="O235" s="272"/>
      <c r="P235" s="272"/>
      <c r="Q235" s="272"/>
      <c r="R235" s="272"/>
      <c r="S235" s="272"/>
      <c r="T235" s="272"/>
      <c r="U235" s="272"/>
      <c r="V235" s="272"/>
      <c r="W235" s="272"/>
      <c r="X235" s="272"/>
      <c r="Y235" s="272"/>
      <c r="Z235" s="272"/>
      <c r="AA235" s="272"/>
      <c r="AB235" s="272"/>
      <c r="AC235" s="272"/>
      <c r="AD235" s="272"/>
      <c r="AE235" s="272"/>
    </row>
    <row r="236" spans="2:31" ht="15">
      <c r="B236" s="377">
        <f t="shared" si="6"/>
        <v>191</v>
      </c>
      <c r="C236" s="385" t="str" cm="1">
        <f t="array" aca="1" ref="C236" ca="1">IF(B236&lt;=$C$9,GetGetCDSName(B236),"")</f>
        <v/>
      </c>
      <c r="D236" s="345"/>
      <c r="E236" s="378"/>
      <c r="F236" s="297"/>
      <c r="G236" s="297"/>
      <c r="H236" s="297"/>
      <c r="I236" s="297"/>
      <c r="J236" s="297"/>
      <c r="K236" s="297"/>
      <c r="L236" s="297"/>
      <c r="M236" s="297"/>
      <c r="N236" s="379"/>
      <c r="O236" s="272"/>
      <c r="P236" s="272"/>
      <c r="Q236" s="272"/>
      <c r="R236" s="272"/>
      <c r="S236" s="272"/>
      <c r="T236" s="272"/>
      <c r="U236" s="272"/>
      <c r="V236" s="272"/>
      <c r="W236" s="272"/>
      <c r="X236" s="272"/>
      <c r="Y236" s="272"/>
      <c r="Z236" s="272"/>
      <c r="AA236" s="272"/>
      <c r="AB236" s="272"/>
      <c r="AC236" s="272"/>
      <c r="AD236" s="272"/>
      <c r="AE236" s="272"/>
    </row>
    <row r="237" spans="2:31" ht="15">
      <c r="B237" s="377">
        <f t="shared" si="6"/>
        <v>192</v>
      </c>
      <c r="C237" s="385" t="str" cm="1">
        <f t="array" aca="1" ref="C237" ca="1">IF(B237&lt;=$C$9,GetGetCDSName(B237),"")</f>
        <v/>
      </c>
      <c r="D237" s="345"/>
      <c r="E237" s="378"/>
      <c r="F237" s="297"/>
      <c r="G237" s="297"/>
      <c r="H237" s="297"/>
      <c r="I237" s="297"/>
      <c r="J237" s="297"/>
      <c r="K237" s="297"/>
      <c r="L237" s="297"/>
      <c r="M237" s="297"/>
      <c r="N237" s="379"/>
      <c r="O237" s="272"/>
      <c r="P237" s="272"/>
      <c r="Q237" s="272"/>
      <c r="R237" s="272"/>
      <c r="S237" s="272"/>
      <c r="T237" s="272"/>
      <c r="U237" s="272"/>
      <c r="V237" s="272"/>
      <c r="W237" s="272"/>
      <c r="X237" s="272"/>
      <c r="Y237" s="272"/>
      <c r="Z237" s="272"/>
      <c r="AA237" s="272"/>
      <c r="AB237" s="272"/>
      <c r="AC237" s="272"/>
      <c r="AD237" s="272"/>
      <c r="AE237" s="272"/>
    </row>
    <row r="238" spans="2:31" ht="15">
      <c r="B238" s="377">
        <f t="shared" si="6"/>
        <v>193</v>
      </c>
      <c r="C238" s="385" t="str" cm="1">
        <f t="array" aca="1" ref="C238" ca="1">IF(B238&lt;=$C$9,GetGetCDSName(B238),"")</f>
        <v/>
      </c>
      <c r="D238" s="345"/>
      <c r="E238" s="378"/>
      <c r="F238" s="297"/>
      <c r="G238" s="297"/>
      <c r="H238" s="297"/>
      <c r="I238" s="297"/>
      <c r="J238" s="297"/>
      <c r="K238" s="297"/>
      <c r="L238" s="297"/>
      <c r="M238" s="297"/>
      <c r="N238" s="379"/>
      <c r="O238" s="272"/>
      <c r="P238" s="272"/>
      <c r="Q238" s="272"/>
      <c r="R238" s="272"/>
      <c r="S238" s="272"/>
      <c r="T238" s="272"/>
      <c r="U238" s="272"/>
      <c r="V238" s="272"/>
      <c r="W238" s="272"/>
      <c r="X238" s="272"/>
      <c r="Y238" s="272"/>
      <c r="Z238" s="272"/>
      <c r="AA238" s="272"/>
      <c r="AB238" s="272"/>
      <c r="AC238" s="272"/>
      <c r="AD238" s="272"/>
      <c r="AE238" s="272"/>
    </row>
    <row r="239" spans="2:31" ht="15">
      <c r="B239" s="377">
        <f t="shared" ref="B239:B302" si="7">B238+1</f>
        <v>194</v>
      </c>
      <c r="C239" s="385" t="str" cm="1">
        <f t="array" aca="1" ref="C239" ca="1">IF(B239&lt;=$C$9,GetGetCDSName(B239),"")</f>
        <v/>
      </c>
      <c r="D239" s="345"/>
      <c r="E239" s="378"/>
      <c r="F239" s="297"/>
      <c r="G239" s="297"/>
      <c r="H239" s="297"/>
      <c r="I239" s="297"/>
      <c r="J239" s="297"/>
      <c r="K239" s="297"/>
      <c r="L239" s="297"/>
      <c r="M239" s="297"/>
      <c r="N239" s="379"/>
      <c r="O239" s="272"/>
      <c r="P239" s="272"/>
      <c r="Q239" s="272"/>
      <c r="R239" s="272"/>
      <c r="S239" s="272"/>
      <c r="T239" s="272"/>
      <c r="U239" s="272"/>
      <c r="V239" s="272"/>
      <c r="W239" s="272"/>
      <c r="X239" s="272"/>
      <c r="Y239" s="272"/>
      <c r="Z239" s="272"/>
      <c r="AA239" s="272"/>
      <c r="AB239" s="272"/>
      <c r="AC239" s="272"/>
      <c r="AD239" s="272"/>
      <c r="AE239" s="272"/>
    </row>
    <row r="240" spans="2:31" ht="15">
      <c r="B240" s="377">
        <f t="shared" si="7"/>
        <v>195</v>
      </c>
      <c r="C240" s="385" t="str" cm="1">
        <f t="array" aca="1" ref="C240" ca="1">IF(B240&lt;=$C$9,GetGetCDSName(B240),"")</f>
        <v/>
      </c>
      <c r="D240" s="345"/>
      <c r="E240" s="378"/>
      <c r="F240" s="297"/>
      <c r="G240" s="297"/>
      <c r="H240" s="297"/>
      <c r="I240" s="297"/>
      <c r="J240" s="297"/>
      <c r="K240" s="297"/>
      <c r="L240" s="297"/>
      <c r="M240" s="297"/>
      <c r="N240" s="379"/>
      <c r="O240" s="272"/>
      <c r="P240" s="272"/>
      <c r="Q240" s="272"/>
      <c r="R240" s="272"/>
      <c r="S240" s="272"/>
      <c r="T240" s="272"/>
      <c r="U240" s="272"/>
      <c r="V240" s="272"/>
      <c r="W240" s="272"/>
      <c r="X240" s="272"/>
      <c r="Y240" s="272"/>
      <c r="Z240" s="272"/>
      <c r="AA240" s="272"/>
      <c r="AB240" s="272"/>
      <c r="AC240" s="272"/>
      <c r="AD240" s="272"/>
      <c r="AE240" s="272"/>
    </row>
    <row r="241" spans="2:31" ht="15">
      <c r="B241" s="377">
        <f t="shared" si="7"/>
        <v>196</v>
      </c>
      <c r="C241" s="385" t="str" cm="1">
        <f t="array" aca="1" ref="C241" ca="1">IF(B241&lt;=$C$9,GetGetCDSName(B241),"")</f>
        <v/>
      </c>
      <c r="D241" s="345"/>
      <c r="E241" s="378"/>
      <c r="F241" s="297"/>
      <c r="G241" s="297"/>
      <c r="H241" s="297"/>
      <c r="I241" s="297"/>
      <c r="J241" s="297"/>
      <c r="K241" s="297"/>
      <c r="L241" s="297"/>
      <c r="M241" s="297"/>
      <c r="N241" s="379"/>
      <c r="O241" s="272"/>
      <c r="P241" s="272"/>
      <c r="Q241" s="272"/>
      <c r="R241" s="272"/>
      <c r="S241" s="272"/>
      <c r="T241" s="272"/>
      <c r="U241" s="272"/>
      <c r="V241" s="272"/>
      <c r="W241" s="272"/>
      <c r="X241" s="272"/>
      <c r="Y241" s="272"/>
      <c r="Z241" s="272"/>
      <c r="AA241" s="272"/>
      <c r="AB241" s="272"/>
      <c r="AC241" s="272"/>
      <c r="AD241" s="272"/>
      <c r="AE241" s="272"/>
    </row>
    <row r="242" spans="2:31" ht="15">
      <c r="B242" s="377">
        <f t="shared" si="7"/>
        <v>197</v>
      </c>
      <c r="C242" s="385" t="str" cm="1">
        <f t="array" aca="1" ref="C242" ca="1">IF(B242&lt;=$C$9,GetGetCDSName(B242),"")</f>
        <v/>
      </c>
      <c r="D242" s="345"/>
      <c r="E242" s="378"/>
      <c r="F242" s="297"/>
      <c r="G242" s="297"/>
      <c r="H242" s="297"/>
      <c r="I242" s="297"/>
      <c r="J242" s="297"/>
      <c r="K242" s="297"/>
      <c r="L242" s="297"/>
      <c r="M242" s="297"/>
      <c r="N242" s="379"/>
      <c r="O242" s="272"/>
      <c r="P242" s="272"/>
      <c r="Q242" s="272"/>
      <c r="R242" s="272"/>
      <c r="S242" s="272"/>
      <c r="T242" s="272"/>
      <c r="U242" s="272"/>
      <c r="V242" s="272"/>
      <c r="W242" s="272"/>
      <c r="X242" s="272"/>
      <c r="Y242" s="272"/>
      <c r="Z242" s="272"/>
      <c r="AA242" s="272"/>
      <c r="AB242" s="272"/>
      <c r="AC242" s="272"/>
      <c r="AD242" s="272"/>
      <c r="AE242" s="272"/>
    </row>
    <row r="243" spans="2:31" ht="15">
      <c r="B243" s="377">
        <f t="shared" si="7"/>
        <v>198</v>
      </c>
      <c r="C243" s="385" t="str" cm="1">
        <f t="array" aca="1" ref="C243" ca="1">IF(B243&lt;=$C$9,GetGetCDSName(B243),"")</f>
        <v/>
      </c>
      <c r="D243" s="345"/>
      <c r="E243" s="378"/>
      <c r="F243" s="297"/>
      <c r="G243" s="297"/>
      <c r="H243" s="297"/>
      <c r="I243" s="297"/>
      <c r="J243" s="297"/>
      <c r="K243" s="297"/>
      <c r="L243" s="297"/>
      <c r="M243" s="297"/>
      <c r="N243" s="379"/>
      <c r="O243" s="272"/>
      <c r="P243" s="272"/>
      <c r="Q243" s="272"/>
      <c r="R243" s="272"/>
      <c r="S243" s="272"/>
      <c r="T243" s="272"/>
      <c r="U243" s="272"/>
      <c r="V243" s="272"/>
      <c r="W243" s="272"/>
      <c r="X243" s="272"/>
      <c r="Y243" s="272"/>
      <c r="Z243" s="272"/>
      <c r="AA243" s="272"/>
      <c r="AB243" s="272"/>
      <c r="AC243" s="272"/>
      <c r="AD243" s="272"/>
      <c r="AE243" s="272"/>
    </row>
    <row r="244" spans="2:31" ht="15">
      <c r="B244" s="377">
        <f t="shared" si="7"/>
        <v>199</v>
      </c>
      <c r="C244" s="385" t="str" cm="1">
        <f t="array" aca="1" ref="C244" ca="1">IF(B244&lt;=$C$9,GetGetCDSName(B244),"")</f>
        <v/>
      </c>
      <c r="D244" s="345"/>
      <c r="E244" s="378"/>
      <c r="F244" s="297"/>
      <c r="G244" s="297"/>
      <c r="H244" s="297"/>
      <c r="I244" s="297"/>
      <c r="J244" s="297"/>
      <c r="K244" s="297"/>
      <c r="L244" s="297"/>
      <c r="M244" s="297"/>
      <c r="N244" s="379"/>
      <c r="O244" s="272"/>
      <c r="P244" s="272"/>
      <c r="Q244" s="272"/>
      <c r="R244" s="272"/>
      <c r="S244" s="272"/>
      <c r="T244" s="272"/>
      <c r="U244" s="272"/>
      <c r="V244" s="272"/>
      <c r="W244" s="272"/>
      <c r="X244" s="272"/>
      <c r="Y244" s="272"/>
      <c r="Z244" s="272"/>
      <c r="AA244" s="272"/>
      <c r="AB244" s="272"/>
      <c r="AC244" s="272"/>
      <c r="AD244" s="272"/>
      <c r="AE244" s="272"/>
    </row>
    <row r="245" spans="2:31" ht="15">
      <c r="B245" s="377">
        <f t="shared" si="7"/>
        <v>200</v>
      </c>
      <c r="C245" s="385" t="str" cm="1">
        <f t="array" aca="1" ref="C245" ca="1">IF(B245&lt;=$C$9,GetGetCDSName(B245),"")</f>
        <v/>
      </c>
      <c r="D245" s="345"/>
      <c r="E245" s="378"/>
      <c r="F245" s="297"/>
      <c r="G245" s="297"/>
      <c r="H245" s="297"/>
      <c r="I245" s="297"/>
      <c r="J245" s="297"/>
      <c r="K245" s="297"/>
      <c r="L245" s="297"/>
      <c r="M245" s="297"/>
      <c r="N245" s="379"/>
      <c r="O245" s="272"/>
      <c r="P245" s="272"/>
      <c r="Q245" s="272"/>
      <c r="R245" s="272"/>
      <c r="S245" s="272"/>
      <c r="T245" s="272"/>
      <c r="U245" s="272"/>
      <c r="V245" s="272"/>
      <c r="W245" s="272"/>
      <c r="X245" s="272"/>
      <c r="Y245" s="272"/>
      <c r="Z245" s="272"/>
      <c r="AA245" s="272"/>
      <c r="AB245" s="272"/>
      <c r="AC245" s="272"/>
      <c r="AD245" s="272"/>
      <c r="AE245" s="272"/>
    </row>
    <row r="246" spans="2:31" ht="15">
      <c r="B246" s="377">
        <f t="shared" si="7"/>
        <v>201</v>
      </c>
      <c r="C246" s="385" t="str" cm="1">
        <f t="array" aca="1" ref="C246" ca="1">IF(B246&lt;=$C$9,GetGetCDSName(B246),"")</f>
        <v/>
      </c>
      <c r="D246" s="345"/>
      <c r="E246" s="378"/>
      <c r="F246" s="297"/>
      <c r="G246" s="297"/>
      <c r="H246" s="297"/>
      <c r="I246" s="297"/>
      <c r="J246" s="297"/>
      <c r="K246" s="297"/>
      <c r="L246" s="297"/>
      <c r="M246" s="297"/>
      <c r="N246" s="379"/>
      <c r="O246" s="272"/>
      <c r="P246" s="272"/>
      <c r="Q246" s="272"/>
      <c r="R246" s="272"/>
      <c r="S246" s="272"/>
      <c r="T246" s="272"/>
      <c r="U246" s="272"/>
      <c r="V246" s="272"/>
      <c r="W246" s="272"/>
      <c r="X246" s="272"/>
      <c r="Y246" s="272"/>
      <c r="Z246" s="272"/>
      <c r="AA246" s="272"/>
      <c r="AB246" s="272"/>
      <c r="AC246" s="272"/>
      <c r="AD246" s="272"/>
      <c r="AE246" s="272"/>
    </row>
    <row r="247" spans="2:31" ht="15">
      <c r="B247" s="377">
        <f t="shared" si="7"/>
        <v>202</v>
      </c>
      <c r="C247" s="385" t="str" cm="1">
        <f t="array" aca="1" ref="C247" ca="1">IF(B247&lt;=$C$9,GetGetCDSName(B247),"")</f>
        <v/>
      </c>
      <c r="D247" s="345"/>
      <c r="E247" s="378"/>
      <c r="F247" s="297"/>
      <c r="G247" s="297"/>
      <c r="H247" s="297"/>
      <c r="I247" s="297"/>
      <c r="J247" s="297"/>
      <c r="K247" s="297"/>
      <c r="L247" s="297"/>
      <c r="M247" s="297"/>
      <c r="N247" s="379"/>
      <c r="O247" s="272"/>
      <c r="P247" s="272"/>
      <c r="Q247" s="272"/>
      <c r="R247" s="272"/>
      <c r="S247" s="272"/>
      <c r="T247" s="272"/>
      <c r="U247" s="272"/>
      <c r="V247" s="272"/>
      <c r="W247" s="272"/>
      <c r="X247" s="272"/>
      <c r="Y247" s="272"/>
      <c r="Z247" s="272"/>
      <c r="AA247" s="272"/>
      <c r="AB247" s="272"/>
      <c r="AC247" s="272"/>
      <c r="AD247" s="272"/>
      <c r="AE247" s="272"/>
    </row>
    <row r="248" spans="2:31" ht="15">
      <c r="B248" s="377">
        <f t="shared" si="7"/>
        <v>203</v>
      </c>
      <c r="C248" s="385" t="str" cm="1">
        <f t="array" aca="1" ref="C248" ca="1">IF(B248&lt;=$C$9,GetGetCDSName(B248),"")</f>
        <v/>
      </c>
      <c r="D248" s="345"/>
      <c r="E248" s="378"/>
      <c r="F248" s="297"/>
      <c r="G248" s="297"/>
      <c r="H248" s="297"/>
      <c r="I248" s="297"/>
      <c r="J248" s="297"/>
      <c r="K248" s="297"/>
      <c r="L248" s="297"/>
      <c r="M248" s="297"/>
      <c r="N248" s="379"/>
      <c r="O248" s="272"/>
      <c r="P248" s="272"/>
      <c r="Q248" s="272"/>
      <c r="R248" s="272"/>
      <c r="S248" s="272"/>
      <c r="T248" s="272"/>
      <c r="U248" s="272"/>
      <c r="V248" s="272"/>
      <c r="W248" s="272"/>
      <c r="X248" s="272"/>
      <c r="Y248" s="272"/>
      <c r="Z248" s="272"/>
      <c r="AA248" s="272"/>
      <c r="AB248" s="272"/>
      <c r="AC248" s="272"/>
      <c r="AD248" s="272"/>
      <c r="AE248" s="272"/>
    </row>
    <row r="249" spans="2:31" ht="15">
      <c r="B249" s="377">
        <f t="shared" si="7"/>
        <v>204</v>
      </c>
      <c r="C249" s="385" t="str" cm="1">
        <f t="array" aca="1" ref="C249" ca="1">IF(B249&lt;=$C$9,GetGetCDSName(B249),"")</f>
        <v/>
      </c>
      <c r="D249" s="345"/>
      <c r="E249" s="378"/>
      <c r="F249" s="297"/>
      <c r="G249" s="297"/>
      <c r="H249" s="297"/>
      <c r="I249" s="297"/>
      <c r="J249" s="297"/>
      <c r="K249" s="297"/>
      <c r="L249" s="297"/>
      <c r="M249" s="297"/>
      <c r="N249" s="379"/>
      <c r="O249" s="272"/>
      <c r="P249" s="272"/>
      <c r="Q249" s="272"/>
      <c r="R249" s="272"/>
      <c r="S249" s="272"/>
      <c r="T249" s="272"/>
      <c r="U249" s="272"/>
      <c r="V249" s="272"/>
      <c r="W249" s="272"/>
      <c r="X249" s="272"/>
      <c r="Y249" s="272"/>
      <c r="Z249" s="272"/>
      <c r="AA249" s="272"/>
      <c r="AB249" s="272"/>
      <c r="AC249" s="272"/>
      <c r="AD249" s="272"/>
      <c r="AE249" s="272"/>
    </row>
    <row r="250" spans="2:31" ht="15">
      <c r="B250" s="377">
        <f t="shared" si="7"/>
        <v>205</v>
      </c>
      <c r="C250" s="385" t="str" cm="1">
        <f t="array" aca="1" ref="C250" ca="1">IF(B250&lt;=$C$9,GetGetCDSName(B250),"")</f>
        <v/>
      </c>
      <c r="D250" s="345"/>
      <c r="E250" s="378"/>
      <c r="F250" s="297"/>
      <c r="G250" s="297"/>
      <c r="H250" s="297"/>
      <c r="I250" s="297"/>
      <c r="J250" s="297"/>
      <c r="K250" s="297"/>
      <c r="L250" s="297"/>
      <c r="M250" s="297"/>
      <c r="N250" s="379"/>
      <c r="O250" s="272"/>
      <c r="P250" s="272"/>
      <c r="Q250" s="272"/>
      <c r="R250" s="272"/>
      <c r="S250" s="272"/>
      <c r="T250" s="272"/>
      <c r="U250" s="272"/>
      <c r="V250" s="272"/>
      <c r="W250" s="272"/>
      <c r="X250" s="272"/>
      <c r="Y250" s="272"/>
      <c r="Z250" s="272"/>
      <c r="AA250" s="272"/>
      <c r="AB250" s="272"/>
      <c r="AC250" s="272"/>
      <c r="AD250" s="272"/>
      <c r="AE250" s="272"/>
    </row>
    <row r="251" spans="2:31" ht="15">
      <c r="B251" s="377">
        <f t="shared" si="7"/>
        <v>206</v>
      </c>
      <c r="C251" s="385" t="str" cm="1">
        <f t="array" aca="1" ref="C251" ca="1">IF(B251&lt;=$C$9,GetGetCDSName(B251),"")</f>
        <v/>
      </c>
      <c r="D251" s="345"/>
      <c r="E251" s="378"/>
      <c r="F251" s="297"/>
      <c r="G251" s="297"/>
      <c r="H251" s="297"/>
      <c r="I251" s="297"/>
      <c r="J251" s="297"/>
      <c r="K251" s="297"/>
      <c r="L251" s="297"/>
      <c r="M251" s="297"/>
      <c r="N251" s="379"/>
      <c r="O251" s="272"/>
      <c r="P251" s="272"/>
      <c r="Q251" s="272"/>
      <c r="R251" s="272"/>
      <c r="S251" s="272"/>
      <c r="T251" s="272"/>
      <c r="U251" s="272"/>
      <c r="V251" s="272"/>
      <c r="W251" s="272"/>
      <c r="X251" s="272"/>
      <c r="Y251" s="272"/>
      <c r="Z251" s="272"/>
      <c r="AA251" s="272"/>
      <c r="AB251" s="272"/>
      <c r="AC251" s="272"/>
      <c r="AD251" s="272"/>
      <c r="AE251" s="272"/>
    </row>
    <row r="252" spans="2:31" ht="15">
      <c r="B252" s="377">
        <f t="shared" si="7"/>
        <v>207</v>
      </c>
      <c r="C252" s="385" t="str" cm="1">
        <f t="array" aca="1" ref="C252" ca="1">IF(B252&lt;=$C$9,GetGetCDSName(B252),"")</f>
        <v/>
      </c>
      <c r="D252" s="345"/>
      <c r="E252" s="378"/>
      <c r="F252" s="297"/>
      <c r="G252" s="297"/>
      <c r="H252" s="297"/>
      <c r="I252" s="297"/>
      <c r="J252" s="297"/>
      <c r="K252" s="297"/>
      <c r="L252" s="297"/>
      <c r="M252" s="297"/>
      <c r="N252" s="379"/>
      <c r="O252" s="272"/>
      <c r="P252" s="272"/>
      <c r="Q252" s="272"/>
      <c r="R252" s="272"/>
      <c r="S252" s="272"/>
      <c r="T252" s="272"/>
      <c r="U252" s="272"/>
      <c r="V252" s="272"/>
      <c r="W252" s="272"/>
      <c r="X252" s="272"/>
      <c r="Y252" s="272"/>
      <c r="Z252" s="272"/>
      <c r="AA252" s="272"/>
      <c r="AB252" s="272"/>
      <c r="AC252" s="272"/>
      <c r="AD252" s="272"/>
      <c r="AE252" s="272"/>
    </row>
    <row r="253" spans="2:31" ht="15">
      <c r="B253" s="377">
        <f t="shared" si="7"/>
        <v>208</v>
      </c>
      <c r="C253" s="385" t="str" cm="1">
        <f t="array" aca="1" ref="C253" ca="1">IF(B253&lt;=$C$9,GetGetCDSName(B253),"")</f>
        <v/>
      </c>
      <c r="D253" s="345"/>
      <c r="E253" s="378"/>
      <c r="F253" s="297"/>
      <c r="G253" s="297"/>
      <c r="H253" s="297"/>
      <c r="I253" s="297"/>
      <c r="J253" s="297"/>
      <c r="K253" s="297"/>
      <c r="L253" s="297"/>
      <c r="M253" s="297"/>
      <c r="N253" s="379"/>
      <c r="O253" s="272"/>
      <c r="P253" s="272"/>
      <c r="Q253" s="272"/>
      <c r="R253" s="272"/>
      <c r="S253" s="272"/>
      <c r="T253" s="272"/>
      <c r="U253" s="272"/>
      <c r="V253" s="272"/>
      <c r="W253" s="272"/>
      <c r="X253" s="272"/>
      <c r="Y253" s="272"/>
      <c r="Z253" s="272"/>
      <c r="AA253" s="272"/>
      <c r="AB253" s="272"/>
      <c r="AC253" s="272"/>
      <c r="AD253" s="272"/>
      <c r="AE253" s="272"/>
    </row>
    <row r="254" spans="2:31" ht="15">
      <c r="B254" s="377">
        <f t="shared" si="7"/>
        <v>209</v>
      </c>
      <c r="C254" s="385" t="str" cm="1">
        <f t="array" aca="1" ref="C254" ca="1">IF(B254&lt;=$C$9,GetGetCDSName(B254),"")</f>
        <v/>
      </c>
      <c r="D254" s="345"/>
      <c r="E254" s="378"/>
      <c r="F254" s="297"/>
      <c r="G254" s="297"/>
      <c r="H254" s="297"/>
      <c r="I254" s="297"/>
      <c r="J254" s="297"/>
      <c r="K254" s="297"/>
      <c r="L254" s="297"/>
      <c r="M254" s="297"/>
      <c r="N254" s="379"/>
      <c r="O254" s="272"/>
      <c r="P254" s="272"/>
      <c r="Q254" s="272"/>
      <c r="R254" s="272"/>
      <c r="S254" s="272"/>
      <c r="T254" s="272"/>
      <c r="U254" s="272"/>
      <c r="V254" s="272"/>
      <c r="W254" s="272"/>
      <c r="X254" s="272"/>
      <c r="Y254" s="272"/>
      <c r="Z254" s="272"/>
      <c r="AA254" s="272"/>
      <c r="AB254" s="272"/>
      <c r="AC254" s="272"/>
      <c r="AD254" s="272"/>
      <c r="AE254" s="272"/>
    </row>
    <row r="255" spans="2:31" ht="15">
      <c r="B255" s="377">
        <f t="shared" si="7"/>
        <v>210</v>
      </c>
      <c r="C255" s="385" t="str" cm="1">
        <f t="array" aca="1" ref="C255" ca="1">IF(B255&lt;=$C$9,GetGetCDSName(B255),"")</f>
        <v/>
      </c>
      <c r="D255" s="345"/>
      <c r="E255" s="378"/>
      <c r="F255" s="297"/>
      <c r="G255" s="297"/>
      <c r="H255" s="297"/>
      <c r="I255" s="297"/>
      <c r="J255" s="297"/>
      <c r="K255" s="297"/>
      <c r="L255" s="297"/>
      <c r="M255" s="297"/>
      <c r="N255" s="379"/>
      <c r="O255" s="272"/>
      <c r="P255" s="272"/>
      <c r="Q255" s="272"/>
      <c r="R255" s="272"/>
      <c r="S255" s="272"/>
      <c r="T255" s="272"/>
      <c r="U255" s="272"/>
      <c r="V255" s="272"/>
      <c r="W255" s="272"/>
      <c r="X255" s="272"/>
      <c r="Y255" s="272"/>
      <c r="Z255" s="272"/>
      <c r="AA255" s="272"/>
      <c r="AB255" s="272"/>
      <c r="AC255" s="272"/>
      <c r="AD255" s="272"/>
      <c r="AE255" s="272"/>
    </row>
    <row r="256" spans="2:31" ht="15">
      <c r="B256" s="377">
        <f t="shared" si="7"/>
        <v>211</v>
      </c>
      <c r="C256" s="385" t="str" cm="1">
        <f t="array" aca="1" ref="C256" ca="1">IF(B256&lt;=$C$9,GetGetCDSName(B256),"")</f>
        <v/>
      </c>
      <c r="D256" s="345"/>
      <c r="E256" s="378"/>
      <c r="F256" s="297"/>
      <c r="G256" s="297"/>
      <c r="H256" s="297"/>
      <c r="I256" s="297"/>
      <c r="J256" s="297"/>
      <c r="K256" s="297"/>
      <c r="L256" s="297"/>
      <c r="M256" s="297"/>
      <c r="N256" s="379"/>
      <c r="O256" s="272"/>
      <c r="P256" s="272"/>
      <c r="Q256" s="272"/>
      <c r="R256" s="272"/>
      <c r="S256" s="272"/>
      <c r="T256" s="272"/>
      <c r="U256" s="272"/>
      <c r="V256" s="272"/>
      <c r="W256" s="272"/>
      <c r="X256" s="272"/>
      <c r="Y256" s="272"/>
      <c r="Z256" s="272"/>
      <c r="AA256" s="272"/>
      <c r="AB256" s="272"/>
      <c r="AC256" s="272"/>
      <c r="AD256" s="272"/>
      <c r="AE256" s="272"/>
    </row>
    <row r="257" spans="2:31" ht="15">
      <c r="B257" s="377">
        <f t="shared" si="7"/>
        <v>212</v>
      </c>
      <c r="C257" s="385" t="str" cm="1">
        <f t="array" aca="1" ref="C257" ca="1">IF(B257&lt;=$C$9,GetGetCDSName(B257),"")</f>
        <v/>
      </c>
      <c r="D257" s="345"/>
      <c r="E257" s="378"/>
      <c r="F257" s="297"/>
      <c r="G257" s="297"/>
      <c r="H257" s="297"/>
      <c r="I257" s="297"/>
      <c r="J257" s="297"/>
      <c r="K257" s="297"/>
      <c r="L257" s="297"/>
      <c r="M257" s="297"/>
      <c r="N257" s="379"/>
      <c r="O257" s="272"/>
      <c r="P257" s="272"/>
      <c r="Q257" s="272"/>
      <c r="R257" s="272"/>
      <c r="S257" s="272"/>
      <c r="T257" s="272"/>
      <c r="U257" s="272"/>
      <c r="V257" s="272"/>
      <c r="W257" s="272"/>
      <c r="X257" s="272"/>
      <c r="Y257" s="272"/>
      <c r="Z257" s="272"/>
      <c r="AA257" s="272"/>
      <c r="AB257" s="272"/>
      <c r="AC257" s="272"/>
      <c r="AD257" s="272"/>
      <c r="AE257" s="272"/>
    </row>
    <row r="258" spans="2:31" ht="15">
      <c r="B258" s="377">
        <f t="shared" si="7"/>
        <v>213</v>
      </c>
      <c r="C258" s="385" t="str" cm="1">
        <f t="array" aca="1" ref="C258" ca="1">IF(B258&lt;=$C$9,GetGetCDSName(B258),"")</f>
        <v/>
      </c>
      <c r="D258" s="345"/>
      <c r="E258" s="378"/>
      <c r="F258" s="297"/>
      <c r="G258" s="297"/>
      <c r="H258" s="297"/>
      <c r="I258" s="297"/>
      <c r="J258" s="297"/>
      <c r="K258" s="297"/>
      <c r="L258" s="297"/>
      <c r="M258" s="297"/>
      <c r="N258" s="379"/>
      <c r="O258" s="272"/>
      <c r="P258" s="272"/>
      <c r="Q258" s="272"/>
      <c r="R258" s="272"/>
      <c r="S258" s="272"/>
      <c r="T258" s="272"/>
      <c r="U258" s="272"/>
      <c r="V258" s="272"/>
      <c r="W258" s="272"/>
      <c r="X258" s="272"/>
      <c r="Y258" s="272"/>
      <c r="Z258" s="272"/>
      <c r="AA258" s="272"/>
      <c r="AB258" s="272"/>
      <c r="AC258" s="272"/>
      <c r="AD258" s="272"/>
      <c r="AE258" s="272"/>
    </row>
    <row r="259" spans="2:31" ht="15">
      <c r="B259" s="377">
        <f t="shared" si="7"/>
        <v>214</v>
      </c>
      <c r="C259" s="385" t="str" cm="1">
        <f t="array" aca="1" ref="C259" ca="1">IF(B259&lt;=$C$9,GetGetCDSName(B259),"")</f>
        <v/>
      </c>
      <c r="D259" s="345"/>
      <c r="E259" s="378"/>
      <c r="F259" s="297"/>
      <c r="G259" s="297"/>
      <c r="H259" s="297"/>
      <c r="I259" s="297"/>
      <c r="J259" s="297"/>
      <c r="K259" s="297"/>
      <c r="L259" s="297"/>
      <c r="M259" s="297"/>
      <c r="N259" s="379"/>
      <c r="O259" s="272"/>
      <c r="P259" s="272"/>
      <c r="Q259" s="272"/>
      <c r="R259" s="272"/>
      <c r="S259" s="272"/>
      <c r="T259" s="272"/>
      <c r="U259" s="272"/>
      <c r="V259" s="272"/>
      <c r="W259" s="272"/>
      <c r="X259" s="272"/>
      <c r="Y259" s="272"/>
      <c r="Z259" s="272"/>
      <c r="AA259" s="272"/>
      <c r="AB259" s="272"/>
      <c r="AC259" s="272"/>
      <c r="AD259" s="272"/>
      <c r="AE259" s="272"/>
    </row>
    <row r="260" spans="2:31" ht="15">
      <c r="B260" s="377">
        <f t="shared" si="7"/>
        <v>215</v>
      </c>
      <c r="C260" s="385" t="str" cm="1">
        <f t="array" aca="1" ref="C260" ca="1">IF(B260&lt;=$C$9,GetGetCDSName(B260),"")</f>
        <v/>
      </c>
      <c r="D260" s="345"/>
      <c r="E260" s="378"/>
      <c r="F260" s="297"/>
      <c r="G260" s="297"/>
      <c r="H260" s="297"/>
      <c r="I260" s="297"/>
      <c r="J260" s="297"/>
      <c r="K260" s="297"/>
      <c r="L260" s="297"/>
      <c r="M260" s="297"/>
      <c r="N260" s="379"/>
      <c r="O260" s="272"/>
      <c r="P260" s="272"/>
      <c r="Q260" s="272"/>
      <c r="R260" s="272"/>
      <c r="S260" s="272"/>
      <c r="T260" s="272"/>
      <c r="U260" s="272"/>
      <c r="V260" s="272"/>
      <c r="W260" s="272"/>
      <c r="X260" s="272"/>
      <c r="Y260" s="272"/>
      <c r="Z260" s="272"/>
      <c r="AA260" s="272"/>
      <c r="AB260" s="272"/>
      <c r="AC260" s="272"/>
      <c r="AD260" s="272"/>
      <c r="AE260" s="272"/>
    </row>
    <row r="261" spans="2:31" ht="15">
      <c r="B261" s="377">
        <f t="shared" si="7"/>
        <v>216</v>
      </c>
      <c r="C261" s="385" t="str" cm="1">
        <f t="array" aca="1" ref="C261" ca="1">IF(B261&lt;=$C$9,GetGetCDSName(B261),"")</f>
        <v/>
      </c>
      <c r="D261" s="345"/>
      <c r="E261" s="378"/>
      <c r="F261" s="297"/>
      <c r="G261" s="297"/>
      <c r="H261" s="297"/>
      <c r="I261" s="297"/>
      <c r="J261" s="297"/>
      <c r="K261" s="297"/>
      <c r="L261" s="297"/>
      <c r="M261" s="297"/>
      <c r="N261" s="379"/>
      <c r="O261" s="272"/>
      <c r="P261" s="272"/>
      <c r="Q261" s="272"/>
      <c r="R261" s="272"/>
      <c r="S261" s="272"/>
      <c r="T261" s="272"/>
      <c r="U261" s="272"/>
      <c r="V261" s="272"/>
      <c r="W261" s="272"/>
      <c r="X261" s="272"/>
      <c r="Y261" s="272"/>
      <c r="Z261" s="272"/>
      <c r="AA261" s="272"/>
      <c r="AB261" s="272"/>
      <c r="AC261" s="272"/>
      <c r="AD261" s="272"/>
      <c r="AE261" s="272"/>
    </row>
    <row r="262" spans="2:31" ht="15">
      <c r="B262" s="377">
        <f t="shared" si="7"/>
        <v>217</v>
      </c>
      <c r="C262" s="385" t="str" cm="1">
        <f t="array" aca="1" ref="C262" ca="1">IF(B262&lt;=$C$9,GetGetCDSName(B262),"")</f>
        <v/>
      </c>
      <c r="D262" s="345"/>
      <c r="E262" s="378"/>
      <c r="F262" s="297"/>
      <c r="G262" s="297"/>
      <c r="H262" s="297"/>
      <c r="I262" s="297"/>
      <c r="J262" s="297"/>
      <c r="K262" s="297"/>
      <c r="L262" s="297"/>
      <c r="M262" s="297"/>
      <c r="N262" s="379"/>
      <c r="O262" s="272"/>
      <c r="P262" s="272"/>
      <c r="Q262" s="272"/>
      <c r="R262" s="272"/>
      <c r="S262" s="272"/>
      <c r="T262" s="272"/>
      <c r="U262" s="272"/>
      <c r="V262" s="272"/>
      <c r="W262" s="272"/>
      <c r="X262" s="272"/>
      <c r="Y262" s="272"/>
      <c r="Z262" s="272"/>
      <c r="AA262" s="272"/>
      <c r="AB262" s="272"/>
      <c r="AC262" s="272"/>
      <c r="AD262" s="272"/>
      <c r="AE262" s="272"/>
    </row>
    <row r="263" spans="2:31" ht="15">
      <c r="B263" s="377">
        <f t="shared" si="7"/>
        <v>218</v>
      </c>
      <c r="C263" s="385" t="str" cm="1">
        <f t="array" aca="1" ref="C263" ca="1">IF(B263&lt;=$C$9,GetGetCDSName(B263),"")</f>
        <v/>
      </c>
      <c r="D263" s="345"/>
      <c r="E263" s="378"/>
      <c r="F263" s="297"/>
      <c r="G263" s="297"/>
      <c r="H263" s="297"/>
      <c r="I263" s="297"/>
      <c r="J263" s="297"/>
      <c r="K263" s="297"/>
      <c r="L263" s="297"/>
      <c r="M263" s="297"/>
      <c r="N263" s="379"/>
      <c r="O263" s="272"/>
      <c r="P263" s="272"/>
      <c r="Q263" s="272"/>
      <c r="R263" s="272"/>
      <c r="S263" s="272"/>
      <c r="T263" s="272"/>
      <c r="U263" s="272"/>
      <c r="V263" s="272"/>
      <c r="W263" s="272"/>
      <c r="X263" s="272"/>
      <c r="Y263" s="272"/>
      <c r="Z263" s="272"/>
      <c r="AA263" s="272"/>
      <c r="AB263" s="272"/>
      <c r="AC263" s="272"/>
      <c r="AD263" s="272"/>
      <c r="AE263" s="272"/>
    </row>
    <row r="264" spans="2:31" ht="15">
      <c r="B264" s="377">
        <f t="shared" si="7"/>
        <v>219</v>
      </c>
      <c r="C264" s="385" t="str" cm="1">
        <f t="array" aca="1" ref="C264" ca="1">IF(B264&lt;=$C$9,GetGetCDSName(B264),"")</f>
        <v/>
      </c>
      <c r="D264" s="345"/>
      <c r="E264" s="378"/>
      <c r="F264" s="297"/>
      <c r="G264" s="297"/>
      <c r="H264" s="297"/>
      <c r="I264" s="297"/>
      <c r="J264" s="297"/>
      <c r="K264" s="297"/>
      <c r="L264" s="297"/>
      <c r="M264" s="297"/>
      <c r="N264" s="379"/>
      <c r="O264" s="272"/>
      <c r="P264" s="272"/>
      <c r="Q264" s="272"/>
      <c r="R264" s="272"/>
      <c r="S264" s="272"/>
      <c r="T264" s="272"/>
      <c r="U264" s="272"/>
      <c r="V264" s="272"/>
      <c r="W264" s="272"/>
      <c r="X264" s="272"/>
      <c r="Y264" s="272"/>
      <c r="Z264" s="272"/>
      <c r="AA264" s="272"/>
      <c r="AB264" s="272"/>
      <c r="AC264" s="272"/>
      <c r="AD264" s="272"/>
      <c r="AE264" s="272"/>
    </row>
    <row r="265" spans="2:31" ht="15">
      <c r="B265" s="377">
        <f t="shared" si="7"/>
        <v>220</v>
      </c>
      <c r="C265" s="385" t="str" cm="1">
        <f t="array" aca="1" ref="C265" ca="1">IF(B265&lt;=$C$9,GetGetCDSName(B265),"")</f>
        <v/>
      </c>
      <c r="D265" s="345"/>
      <c r="E265" s="378"/>
      <c r="F265" s="297"/>
      <c r="G265" s="297"/>
      <c r="H265" s="297"/>
      <c r="I265" s="297"/>
      <c r="J265" s="297"/>
      <c r="K265" s="297"/>
      <c r="L265" s="297"/>
      <c r="M265" s="297"/>
      <c r="N265" s="379"/>
      <c r="O265" s="272"/>
      <c r="P265" s="272"/>
      <c r="Q265" s="272"/>
      <c r="R265" s="272"/>
      <c r="S265" s="272"/>
      <c r="T265" s="272"/>
      <c r="U265" s="272"/>
      <c r="V265" s="272"/>
      <c r="W265" s="272"/>
      <c r="X265" s="272"/>
      <c r="Y265" s="272"/>
      <c r="Z265" s="272"/>
      <c r="AA265" s="272"/>
      <c r="AB265" s="272"/>
      <c r="AC265" s="272"/>
      <c r="AD265" s="272"/>
      <c r="AE265" s="272"/>
    </row>
    <row r="266" spans="2:31" ht="15">
      <c r="B266" s="377">
        <f t="shared" si="7"/>
        <v>221</v>
      </c>
      <c r="C266" s="385" t="str" cm="1">
        <f t="array" aca="1" ref="C266" ca="1">IF(B266&lt;=$C$9,GetGetCDSName(B266),"")</f>
        <v/>
      </c>
      <c r="D266" s="345"/>
      <c r="E266" s="378"/>
      <c r="F266" s="297"/>
      <c r="G266" s="297"/>
      <c r="H266" s="297"/>
      <c r="I266" s="297"/>
      <c r="J266" s="297"/>
      <c r="K266" s="297"/>
      <c r="L266" s="297"/>
      <c r="M266" s="297"/>
      <c r="N266" s="379"/>
      <c r="O266" s="272"/>
      <c r="P266" s="272"/>
      <c r="Q266" s="272"/>
      <c r="R266" s="272"/>
      <c r="S266" s="272"/>
      <c r="T266" s="272"/>
      <c r="U266" s="272"/>
      <c r="V266" s="272"/>
      <c r="W266" s="272"/>
      <c r="X266" s="272"/>
      <c r="Y266" s="272"/>
      <c r="Z266" s="272"/>
      <c r="AA266" s="272"/>
      <c r="AB266" s="272"/>
      <c r="AC266" s="272"/>
      <c r="AD266" s="272"/>
      <c r="AE266" s="272"/>
    </row>
    <row r="267" spans="2:31" ht="15">
      <c r="B267" s="377">
        <f t="shared" si="7"/>
        <v>222</v>
      </c>
      <c r="C267" s="385" t="str" cm="1">
        <f t="array" aca="1" ref="C267" ca="1">IF(B267&lt;=$C$9,GetGetCDSName(B267),"")</f>
        <v/>
      </c>
      <c r="D267" s="345"/>
      <c r="E267" s="378"/>
      <c r="F267" s="297"/>
      <c r="G267" s="297"/>
      <c r="H267" s="297"/>
      <c r="I267" s="297"/>
      <c r="J267" s="297"/>
      <c r="K267" s="297"/>
      <c r="L267" s="297"/>
      <c r="M267" s="297"/>
      <c r="N267" s="379"/>
      <c r="O267" s="272"/>
      <c r="P267" s="272"/>
      <c r="Q267" s="272"/>
      <c r="R267" s="272"/>
      <c r="S267" s="272"/>
      <c r="T267" s="272"/>
      <c r="U267" s="272"/>
      <c r="V267" s="272"/>
      <c r="W267" s="272"/>
      <c r="X267" s="272"/>
      <c r="Y267" s="272"/>
      <c r="Z267" s="272"/>
      <c r="AA267" s="272"/>
      <c r="AB267" s="272"/>
      <c r="AC267" s="272"/>
      <c r="AD267" s="272"/>
      <c r="AE267" s="272"/>
    </row>
    <row r="268" spans="2:31" ht="15">
      <c r="B268" s="377">
        <f t="shared" si="7"/>
        <v>223</v>
      </c>
      <c r="C268" s="385" t="str" cm="1">
        <f t="array" aca="1" ref="C268" ca="1">IF(B268&lt;=$C$9,GetGetCDSName(B268),"")</f>
        <v/>
      </c>
      <c r="D268" s="345"/>
      <c r="E268" s="378"/>
      <c r="F268" s="297"/>
      <c r="G268" s="297"/>
      <c r="H268" s="297"/>
      <c r="I268" s="297"/>
      <c r="J268" s="297"/>
      <c r="K268" s="297"/>
      <c r="L268" s="297"/>
      <c r="M268" s="297"/>
      <c r="N268" s="379"/>
      <c r="O268" s="272"/>
      <c r="P268" s="272"/>
      <c r="Q268" s="272"/>
      <c r="R268" s="272"/>
      <c r="S268" s="272"/>
      <c r="T268" s="272"/>
      <c r="U268" s="272"/>
      <c r="V268" s="272"/>
      <c r="W268" s="272"/>
      <c r="X268" s="272"/>
      <c r="Y268" s="272"/>
      <c r="Z268" s="272"/>
      <c r="AA268" s="272"/>
      <c r="AB268" s="272"/>
      <c r="AC268" s="272"/>
      <c r="AD268" s="272"/>
      <c r="AE268" s="272"/>
    </row>
    <row r="269" spans="2:31" ht="15">
      <c r="B269" s="377">
        <f t="shared" si="7"/>
        <v>224</v>
      </c>
      <c r="C269" s="385" t="str" cm="1">
        <f t="array" aca="1" ref="C269" ca="1">IF(B269&lt;=$C$9,GetGetCDSName(B269),"")</f>
        <v/>
      </c>
      <c r="D269" s="345"/>
      <c r="E269" s="378"/>
      <c r="F269" s="297"/>
      <c r="G269" s="297"/>
      <c r="H269" s="297"/>
      <c r="I269" s="297"/>
      <c r="J269" s="297"/>
      <c r="K269" s="297"/>
      <c r="L269" s="297"/>
      <c r="M269" s="297"/>
      <c r="N269" s="379"/>
      <c r="O269" s="272"/>
      <c r="P269" s="272"/>
      <c r="Q269" s="272"/>
      <c r="R269" s="272"/>
      <c r="S269" s="272"/>
      <c r="T269" s="272"/>
      <c r="U269" s="272"/>
      <c r="V269" s="272"/>
      <c r="W269" s="272"/>
      <c r="X269" s="272"/>
      <c r="Y269" s="272"/>
      <c r="Z269" s="272"/>
      <c r="AA269" s="272"/>
      <c r="AB269" s="272"/>
      <c r="AC269" s="272"/>
      <c r="AD269" s="272"/>
      <c r="AE269" s="272"/>
    </row>
    <row r="270" spans="2:31" ht="15">
      <c r="B270" s="377">
        <f t="shared" si="7"/>
        <v>225</v>
      </c>
      <c r="C270" s="385" t="str" cm="1">
        <f t="array" aca="1" ref="C270" ca="1">IF(B270&lt;=$C$9,GetGetCDSName(B270),"")</f>
        <v/>
      </c>
      <c r="D270" s="345"/>
      <c r="E270" s="378"/>
      <c r="F270" s="297"/>
      <c r="G270" s="297"/>
      <c r="H270" s="297"/>
      <c r="I270" s="297"/>
      <c r="J270" s="297"/>
      <c r="K270" s="297"/>
      <c r="L270" s="297"/>
      <c r="M270" s="297"/>
      <c r="N270" s="379"/>
      <c r="O270" s="272"/>
      <c r="P270" s="272"/>
      <c r="Q270" s="272"/>
      <c r="R270" s="272"/>
      <c r="S270" s="272"/>
      <c r="T270" s="272"/>
      <c r="U270" s="272"/>
      <c r="V270" s="272"/>
      <c r="W270" s="272"/>
      <c r="X270" s="272"/>
      <c r="Y270" s="272"/>
      <c r="Z270" s="272"/>
      <c r="AA270" s="272"/>
      <c r="AB270" s="272"/>
      <c r="AC270" s="272"/>
      <c r="AD270" s="272"/>
      <c r="AE270" s="272"/>
    </row>
    <row r="271" spans="2:31" ht="15">
      <c r="B271" s="377">
        <f t="shared" si="7"/>
        <v>226</v>
      </c>
      <c r="C271" s="385" t="str" cm="1">
        <f t="array" aca="1" ref="C271" ca="1">IF(B271&lt;=$C$9,GetGetCDSName(B271),"")</f>
        <v/>
      </c>
      <c r="D271" s="345"/>
      <c r="E271" s="378"/>
      <c r="F271" s="297"/>
      <c r="G271" s="297"/>
      <c r="H271" s="297"/>
      <c r="I271" s="297"/>
      <c r="J271" s="297"/>
      <c r="K271" s="297"/>
      <c r="L271" s="297"/>
      <c r="M271" s="297"/>
      <c r="N271" s="379"/>
      <c r="O271" s="272"/>
      <c r="P271" s="272"/>
      <c r="Q271" s="272"/>
      <c r="R271" s="272"/>
      <c r="S271" s="272"/>
      <c r="T271" s="272"/>
      <c r="U271" s="272"/>
      <c r="V271" s="272"/>
      <c r="W271" s="272"/>
      <c r="X271" s="272"/>
      <c r="Y271" s="272"/>
      <c r="Z271" s="272"/>
      <c r="AA271" s="272"/>
      <c r="AB271" s="272"/>
      <c r="AC271" s="272"/>
      <c r="AD271" s="272"/>
      <c r="AE271" s="272"/>
    </row>
    <row r="272" spans="2:31" ht="15">
      <c r="B272" s="377">
        <f t="shared" si="7"/>
        <v>227</v>
      </c>
      <c r="C272" s="385" t="str" cm="1">
        <f t="array" aca="1" ref="C272" ca="1">IF(B272&lt;=$C$9,GetGetCDSName(B272),"")</f>
        <v/>
      </c>
      <c r="D272" s="345"/>
      <c r="E272" s="378"/>
      <c r="F272" s="297"/>
      <c r="G272" s="297"/>
      <c r="H272" s="297"/>
      <c r="I272" s="297"/>
      <c r="J272" s="297"/>
      <c r="K272" s="297"/>
      <c r="L272" s="297"/>
      <c r="M272" s="297"/>
      <c r="N272" s="379"/>
      <c r="O272" s="272"/>
      <c r="P272" s="272"/>
      <c r="Q272" s="272"/>
      <c r="R272" s="272"/>
      <c r="S272" s="272"/>
      <c r="T272" s="272"/>
      <c r="U272" s="272"/>
      <c r="V272" s="272"/>
      <c r="W272" s="272"/>
      <c r="X272" s="272"/>
      <c r="Y272" s="272"/>
      <c r="Z272" s="272"/>
      <c r="AA272" s="272"/>
      <c r="AB272" s="272"/>
      <c r="AC272" s="272"/>
      <c r="AD272" s="272"/>
      <c r="AE272" s="272"/>
    </row>
    <row r="273" spans="2:31" ht="15">
      <c r="B273" s="377">
        <f t="shared" si="7"/>
        <v>228</v>
      </c>
      <c r="C273" s="385" t="str" cm="1">
        <f t="array" aca="1" ref="C273" ca="1">IF(B273&lt;=$C$9,GetGetCDSName(B273),"")</f>
        <v/>
      </c>
      <c r="D273" s="345"/>
      <c r="E273" s="378"/>
      <c r="F273" s="297"/>
      <c r="G273" s="297"/>
      <c r="H273" s="297"/>
      <c r="I273" s="297"/>
      <c r="J273" s="297"/>
      <c r="K273" s="297"/>
      <c r="L273" s="297"/>
      <c r="M273" s="297"/>
      <c r="N273" s="379"/>
      <c r="O273" s="272"/>
      <c r="P273" s="272"/>
      <c r="Q273" s="272"/>
      <c r="R273" s="272"/>
      <c r="S273" s="272"/>
      <c r="T273" s="272"/>
      <c r="U273" s="272"/>
      <c r="V273" s="272"/>
      <c r="W273" s="272"/>
      <c r="X273" s="272"/>
      <c r="Y273" s="272"/>
      <c r="Z273" s="272"/>
      <c r="AA273" s="272"/>
      <c r="AB273" s="272"/>
      <c r="AC273" s="272"/>
      <c r="AD273" s="272"/>
      <c r="AE273" s="272"/>
    </row>
    <row r="274" spans="2:31" ht="15">
      <c r="B274" s="377">
        <f t="shared" si="7"/>
        <v>229</v>
      </c>
      <c r="C274" s="385" t="str" cm="1">
        <f t="array" aca="1" ref="C274" ca="1">IF(B274&lt;=$C$9,GetGetCDSName(B274),"")</f>
        <v/>
      </c>
      <c r="D274" s="345"/>
      <c r="E274" s="378"/>
      <c r="F274" s="297"/>
      <c r="G274" s="297"/>
      <c r="H274" s="297"/>
      <c r="I274" s="297"/>
      <c r="J274" s="297"/>
      <c r="K274" s="297"/>
      <c r="L274" s="297"/>
      <c r="M274" s="297"/>
      <c r="N274" s="379"/>
      <c r="O274" s="272"/>
      <c r="P274" s="272"/>
      <c r="Q274" s="272"/>
      <c r="R274" s="272"/>
      <c r="S274" s="272"/>
      <c r="T274" s="272"/>
      <c r="U274" s="272"/>
      <c r="V274" s="272"/>
      <c r="W274" s="272"/>
      <c r="X274" s="272"/>
      <c r="Y274" s="272"/>
      <c r="Z274" s="272"/>
      <c r="AA274" s="272"/>
      <c r="AB274" s="272"/>
      <c r="AC274" s="272"/>
      <c r="AD274" s="272"/>
      <c r="AE274" s="272"/>
    </row>
    <row r="275" spans="2:31" ht="15">
      <c r="B275" s="377">
        <f t="shared" si="7"/>
        <v>230</v>
      </c>
      <c r="C275" s="385" t="str" cm="1">
        <f t="array" aca="1" ref="C275" ca="1">IF(B275&lt;=$C$9,GetGetCDSName(B275),"")</f>
        <v/>
      </c>
      <c r="D275" s="345"/>
      <c r="E275" s="378"/>
      <c r="F275" s="297"/>
      <c r="G275" s="297"/>
      <c r="H275" s="297"/>
      <c r="I275" s="297"/>
      <c r="J275" s="297"/>
      <c r="K275" s="297"/>
      <c r="L275" s="297"/>
      <c r="M275" s="297"/>
      <c r="N275" s="379"/>
      <c r="O275" s="272"/>
      <c r="P275" s="272"/>
      <c r="Q275" s="272"/>
      <c r="R275" s="272"/>
      <c r="S275" s="272"/>
      <c r="T275" s="272"/>
      <c r="U275" s="272"/>
      <c r="V275" s="272"/>
      <c r="W275" s="272"/>
      <c r="X275" s="272"/>
      <c r="Y275" s="272"/>
      <c r="Z275" s="272"/>
      <c r="AA275" s="272"/>
      <c r="AB275" s="272"/>
      <c r="AC275" s="272"/>
      <c r="AD275" s="272"/>
      <c r="AE275" s="272"/>
    </row>
    <row r="276" spans="2:31" ht="15">
      <c r="B276" s="377">
        <f t="shared" si="7"/>
        <v>231</v>
      </c>
      <c r="C276" s="385" t="str" cm="1">
        <f t="array" aca="1" ref="C276" ca="1">IF(B276&lt;=$C$9,GetGetCDSName(B276),"")</f>
        <v/>
      </c>
      <c r="D276" s="345"/>
      <c r="E276" s="378"/>
      <c r="F276" s="297"/>
      <c r="G276" s="297"/>
      <c r="H276" s="297"/>
      <c r="I276" s="297"/>
      <c r="J276" s="297"/>
      <c r="K276" s="297"/>
      <c r="L276" s="297"/>
      <c r="M276" s="297"/>
      <c r="N276" s="379"/>
      <c r="O276" s="272"/>
      <c r="P276" s="272"/>
      <c r="Q276" s="272"/>
      <c r="R276" s="272"/>
      <c r="S276" s="272"/>
      <c r="T276" s="272"/>
      <c r="U276" s="272"/>
      <c r="V276" s="272"/>
      <c r="W276" s="272"/>
      <c r="X276" s="272"/>
      <c r="Y276" s="272"/>
      <c r="Z276" s="272"/>
      <c r="AA276" s="272"/>
      <c r="AB276" s="272"/>
      <c r="AC276" s="272"/>
      <c r="AD276" s="272"/>
      <c r="AE276" s="272"/>
    </row>
    <row r="277" spans="2:31" ht="15">
      <c r="B277" s="377">
        <f t="shared" si="7"/>
        <v>232</v>
      </c>
      <c r="C277" s="385" t="str" cm="1">
        <f t="array" aca="1" ref="C277" ca="1">IF(B277&lt;=$C$9,GetGetCDSName(B277),"")</f>
        <v/>
      </c>
      <c r="D277" s="345"/>
      <c r="E277" s="378"/>
      <c r="F277" s="297"/>
      <c r="G277" s="297"/>
      <c r="H277" s="297"/>
      <c r="I277" s="297"/>
      <c r="J277" s="297"/>
      <c r="K277" s="297"/>
      <c r="L277" s="297"/>
      <c r="M277" s="297"/>
      <c r="N277" s="379"/>
      <c r="O277" s="272"/>
      <c r="P277" s="272"/>
      <c r="Q277" s="272"/>
      <c r="R277" s="272"/>
      <c r="S277" s="272"/>
      <c r="T277" s="272"/>
      <c r="U277" s="272"/>
      <c r="V277" s="272"/>
      <c r="W277" s="272"/>
      <c r="X277" s="272"/>
      <c r="Y277" s="272"/>
      <c r="Z277" s="272"/>
      <c r="AA277" s="272"/>
      <c r="AB277" s="272"/>
      <c r="AC277" s="272"/>
      <c r="AD277" s="272"/>
      <c r="AE277" s="272"/>
    </row>
    <row r="278" spans="2:31" ht="15">
      <c r="B278" s="377">
        <f t="shared" si="7"/>
        <v>233</v>
      </c>
      <c r="C278" s="385" t="str" cm="1">
        <f t="array" aca="1" ref="C278" ca="1">IF(B278&lt;=$C$9,GetGetCDSName(B278),"")</f>
        <v/>
      </c>
      <c r="D278" s="345"/>
      <c r="E278" s="378"/>
      <c r="F278" s="297"/>
      <c r="G278" s="297"/>
      <c r="H278" s="297"/>
      <c r="I278" s="297"/>
      <c r="J278" s="297"/>
      <c r="K278" s="297"/>
      <c r="L278" s="297"/>
      <c r="M278" s="297"/>
      <c r="N278" s="379"/>
      <c r="O278" s="272"/>
      <c r="P278" s="272"/>
      <c r="Q278" s="272"/>
      <c r="R278" s="272"/>
      <c r="S278" s="272"/>
      <c r="T278" s="272"/>
      <c r="U278" s="272"/>
      <c r="V278" s="272"/>
      <c r="W278" s="272"/>
      <c r="X278" s="272"/>
      <c r="Y278" s="272"/>
      <c r="Z278" s="272"/>
      <c r="AA278" s="272"/>
      <c r="AB278" s="272"/>
      <c r="AC278" s="272"/>
      <c r="AD278" s="272"/>
      <c r="AE278" s="272"/>
    </row>
    <row r="279" spans="2:31" ht="15">
      <c r="B279" s="377">
        <f t="shared" si="7"/>
        <v>234</v>
      </c>
      <c r="C279" s="385" t="str" cm="1">
        <f t="array" aca="1" ref="C279" ca="1">IF(B279&lt;=$C$9,GetGetCDSName(B279),"")</f>
        <v/>
      </c>
      <c r="D279" s="345"/>
      <c r="E279" s="378"/>
      <c r="F279" s="297"/>
      <c r="G279" s="297"/>
      <c r="H279" s="297"/>
      <c r="I279" s="297"/>
      <c r="J279" s="297"/>
      <c r="K279" s="297"/>
      <c r="L279" s="297"/>
      <c r="M279" s="297"/>
      <c r="N279" s="379"/>
      <c r="O279" s="272"/>
      <c r="P279" s="272"/>
      <c r="Q279" s="272"/>
      <c r="R279" s="272"/>
      <c r="S279" s="272"/>
      <c r="T279" s="272"/>
      <c r="U279" s="272"/>
      <c r="V279" s="272"/>
      <c r="W279" s="272"/>
      <c r="X279" s="272"/>
      <c r="Y279" s="272"/>
      <c r="Z279" s="272"/>
      <c r="AA279" s="272"/>
      <c r="AB279" s="272"/>
      <c r="AC279" s="272"/>
      <c r="AD279" s="272"/>
      <c r="AE279" s="272"/>
    </row>
    <row r="280" spans="2:31" ht="15">
      <c r="B280" s="377">
        <f t="shared" si="7"/>
        <v>235</v>
      </c>
      <c r="C280" s="385" t="str" cm="1">
        <f t="array" aca="1" ref="C280" ca="1">IF(B280&lt;=$C$9,GetGetCDSName(B280),"")</f>
        <v/>
      </c>
      <c r="D280" s="345"/>
      <c r="E280" s="378"/>
      <c r="F280" s="297"/>
      <c r="G280" s="297"/>
      <c r="H280" s="297"/>
      <c r="I280" s="297"/>
      <c r="J280" s="297"/>
      <c r="K280" s="297"/>
      <c r="L280" s="297"/>
      <c r="M280" s="297"/>
      <c r="N280" s="379"/>
      <c r="O280" s="272"/>
      <c r="P280" s="272"/>
      <c r="Q280" s="272"/>
      <c r="R280" s="272"/>
      <c r="S280" s="272"/>
      <c r="T280" s="272"/>
      <c r="U280" s="272"/>
      <c r="V280" s="272"/>
      <c r="W280" s="272"/>
      <c r="X280" s="272"/>
      <c r="Y280" s="272"/>
      <c r="Z280" s="272"/>
      <c r="AA280" s="272"/>
      <c r="AB280" s="272"/>
      <c r="AC280" s="272"/>
      <c r="AD280" s="272"/>
      <c r="AE280" s="272"/>
    </row>
    <row r="281" spans="2:31" ht="15">
      <c r="B281" s="377">
        <f t="shared" si="7"/>
        <v>236</v>
      </c>
      <c r="C281" s="385" t="str" cm="1">
        <f t="array" aca="1" ref="C281" ca="1">IF(B281&lt;=$C$9,GetGetCDSName(B281),"")</f>
        <v/>
      </c>
      <c r="D281" s="345"/>
      <c r="E281" s="378"/>
      <c r="F281" s="297"/>
      <c r="G281" s="297"/>
      <c r="H281" s="297"/>
      <c r="I281" s="297"/>
      <c r="J281" s="297"/>
      <c r="K281" s="297"/>
      <c r="L281" s="297"/>
      <c r="M281" s="297"/>
      <c r="N281" s="379"/>
      <c r="O281" s="272"/>
      <c r="P281" s="272"/>
      <c r="Q281" s="272"/>
      <c r="R281" s="272"/>
      <c r="S281" s="272"/>
      <c r="T281" s="272"/>
      <c r="U281" s="272"/>
      <c r="V281" s="272"/>
      <c r="W281" s="272"/>
      <c r="X281" s="272"/>
      <c r="Y281" s="272"/>
      <c r="Z281" s="272"/>
      <c r="AA281" s="272"/>
      <c r="AB281" s="272"/>
      <c r="AC281" s="272"/>
      <c r="AD281" s="272"/>
      <c r="AE281" s="272"/>
    </row>
    <row r="282" spans="2:31" ht="15">
      <c r="B282" s="377">
        <f t="shared" si="7"/>
        <v>237</v>
      </c>
      <c r="C282" s="385" t="str" cm="1">
        <f t="array" aca="1" ref="C282" ca="1">IF(B282&lt;=$C$9,GetGetCDSName(B282),"")</f>
        <v/>
      </c>
      <c r="D282" s="345"/>
      <c r="E282" s="378"/>
      <c r="F282" s="297"/>
      <c r="G282" s="297"/>
      <c r="H282" s="297"/>
      <c r="I282" s="297"/>
      <c r="J282" s="297"/>
      <c r="K282" s="297"/>
      <c r="L282" s="297"/>
      <c r="M282" s="297"/>
      <c r="N282" s="379"/>
      <c r="O282" s="272"/>
      <c r="P282" s="272"/>
      <c r="Q282" s="272"/>
      <c r="R282" s="272"/>
      <c r="S282" s="272"/>
      <c r="T282" s="272"/>
      <c r="U282" s="272"/>
      <c r="V282" s="272"/>
      <c r="W282" s="272"/>
      <c r="X282" s="272"/>
      <c r="Y282" s="272"/>
      <c r="Z282" s="272"/>
      <c r="AA282" s="272"/>
      <c r="AB282" s="272"/>
      <c r="AC282" s="272"/>
      <c r="AD282" s="272"/>
      <c r="AE282" s="272"/>
    </row>
    <row r="283" spans="2:31" ht="15">
      <c r="B283" s="377">
        <f t="shared" si="7"/>
        <v>238</v>
      </c>
      <c r="C283" s="385" t="str" cm="1">
        <f t="array" aca="1" ref="C283" ca="1">IF(B283&lt;=$C$9,GetGetCDSName(B283),"")</f>
        <v/>
      </c>
      <c r="D283" s="345"/>
      <c r="E283" s="378"/>
      <c r="F283" s="297"/>
      <c r="G283" s="297"/>
      <c r="H283" s="297"/>
      <c r="I283" s="297"/>
      <c r="J283" s="297"/>
      <c r="K283" s="297"/>
      <c r="L283" s="297"/>
      <c r="M283" s="297"/>
      <c r="N283" s="379"/>
      <c r="O283" s="272"/>
      <c r="P283" s="272"/>
      <c r="Q283" s="272"/>
      <c r="R283" s="272"/>
      <c r="S283" s="272"/>
      <c r="T283" s="272"/>
      <c r="U283" s="272"/>
      <c r="V283" s="272"/>
      <c r="W283" s="272"/>
      <c r="X283" s="272"/>
      <c r="Y283" s="272"/>
      <c r="Z283" s="272"/>
      <c r="AA283" s="272"/>
      <c r="AB283" s="272"/>
      <c r="AC283" s="272"/>
      <c r="AD283" s="272"/>
      <c r="AE283" s="272"/>
    </row>
    <row r="284" spans="2:31" ht="15">
      <c r="B284" s="377">
        <f t="shared" si="7"/>
        <v>239</v>
      </c>
      <c r="C284" s="385" t="str" cm="1">
        <f t="array" aca="1" ref="C284" ca="1">IF(B284&lt;=$C$9,GetGetCDSName(B284),"")</f>
        <v/>
      </c>
      <c r="D284" s="345"/>
      <c r="E284" s="378"/>
      <c r="F284" s="297"/>
      <c r="G284" s="297"/>
      <c r="H284" s="297"/>
      <c r="I284" s="297"/>
      <c r="J284" s="297"/>
      <c r="K284" s="297"/>
      <c r="L284" s="297"/>
      <c r="M284" s="297"/>
      <c r="N284" s="379"/>
      <c r="O284" s="272"/>
      <c r="P284" s="272"/>
      <c r="Q284" s="272"/>
      <c r="R284" s="272"/>
      <c r="S284" s="272"/>
      <c r="T284" s="272"/>
      <c r="U284" s="272"/>
      <c r="V284" s="272"/>
      <c r="W284" s="272"/>
      <c r="X284" s="272"/>
      <c r="Y284" s="272"/>
      <c r="Z284" s="272"/>
      <c r="AA284" s="272"/>
      <c r="AB284" s="272"/>
      <c r="AC284" s="272"/>
      <c r="AD284" s="272"/>
      <c r="AE284" s="272"/>
    </row>
    <row r="285" spans="2:31" ht="15">
      <c r="B285" s="377">
        <f t="shared" si="7"/>
        <v>240</v>
      </c>
      <c r="C285" s="385" t="str" cm="1">
        <f t="array" aca="1" ref="C285" ca="1">IF(B285&lt;=$C$9,GetGetCDSName(B285),"")</f>
        <v/>
      </c>
      <c r="D285" s="345"/>
      <c r="E285" s="378"/>
      <c r="F285" s="297"/>
      <c r="G285" s="297"/>
      <c r="H285" s="297"/>
      <c r="I285" s="297"/>
      <c r="J285" s="297"/>
      <c r="K285" s="297"/>
      <c r="L285" s="297"/>
      <c r="M285" s="297"/>
      <c r="N285" s="379"/>
      <c r="O285" s="272"/>
      <c r="P285" s="272"/>
      <c r="Q285" s="272"/>
      <c r="R285" s="272"/>
      <c r="S285" s="272"/>
      <c r="T285" s="272"/>
      <c r="U285" s="272"/>
      <c r="V285" s="272"/>
      <c r="W285" s="272"/>
      <c r="X285" s="272"/>
      <c r="Y285" s="272"/>
      <c r="Z285" s="272"/>
      <c r="AA285" s="272"/>
      <c r="AB285" s="272"/>
      <c r="AC285" s="272"/>
      <c r="AD285" s="272"/>
      <c r="AE285" s="272"/>
    </row>
    <row r="286" spans="2:31" ht="15">
      <c r="B286" s="377">
        <f t="shared" si="7"/>
        <v>241</v>
      </c>
      <c r="C286" s="385" t="str" cm="1">
        <f t="array" aca="1" ref="C286" ca="1">IF(B286&lt;=$C$9,GetGetCDSName(B286),"")</f>
        <v/>
      </c>
      <c r="D286" s="345"/>
      <c r="E286" s="378"/>
      <c r="F286" s="297"/>
      <c r="G286" s="297"/>
      <c r="H286" s="297"/>
      <c r="I286" s="297"/>
      <c r="J286" s="297"/>
      <c r="K286" s="297"/>
      <c r="L286" s="297"/>
      <c r="M286" s="297"/>
      <c r="N286" s="379"/>
      <c r="O286" s="272"/>
      <c r="P286" s="272"/>
      <c r="Q286" s="272"/>
      <c r="R286" s="272"/>
      <c r="S286" s="272"/>
      <c r="T286" s="272"/>
      <c r="U286" s="272"/>
      <c r="V286" s="272"/>
      <c r="W286" s="272"/>
      <c r="X286" s="272"/>
      <c r="Y286" s="272"/>
      <c r="Z286" s="272"/>
      <c r="AA286" s="272"/>
      <c r="AB286" s="272"/>
      <c r="AC286" s="272"/>
      <c r="AD286" s="272"/>
      <c r="AE286" s="272"/>
    </row>
    <row r="287" spans="2:31" ht="15">
      <c r="B287" s="377">
        <f t="shared" si="7"/>
        <v>242</v>
      </c>
      <c r="C287" s="385" t="str" cm="1">
        <f t="array" aca="1" ref="C287" ca="1">IF(B287&lt;=$C$9,GetGetCDSName(B287),"")</f>
        <v/>
      </c>
      <c r="D287" s="345"/>
      <c r="E287" s="378"/>
      <c r="F287" s="297"/>
      <c r="G287" s="297"/>
      <c r="H287" s="297"/>
      <c r="I287" s="297"/>
      <c r="J287" s="297"/>
      <c r="K287" s="297"/>
      <c r="L287" s="297"/>
      <c r="M287" s="297"/>
      <c r="N287" s="379"/>
      <c r="O287" s="272"/>
      <c r="P287" s="272"/>
      <c r="Q287" s="272"/>
      <c r="R287" s="272"/>
      <c r="S287" s="272"/>
      <c r="T287" s="272"/>
      <c r="U287" s="272"/>
      <c r="V287" s="272"/>
      <c r="W287" s="272"/>
      <c r="X287" s="272"/>
      <c r="Y287" s="272"/>
      <c r="Z287" s="272"/>
      <c r="AA287" s="272"/>
      <c r="AB287" s="272"/>
      <c r="AC287" s="272"/>
      <c r="AD287" s="272"/>
      <c r="AE287" s="272"/>
    </row>
    <row r="288" spans="2:31" ht="15">
      <c r="B288" s="377">
        <f t="shared" si="7"/>
        <v>243</v>
      </c>
      <c r="C288" s="385" t="str" cm="1">
        <f t="array" aca="1" ref="C288" ca="1">IF(B288&lt;=$C$9,GetGetCDSName(B288),"")</f>
        <v/>
      </c>
      <c r="D288" s="345"/>
      <c r="E288" s="378"/>
      <c r="F288" s="297"/>
      <c r="G288" s="297"/>
      <c r="H288" s="297"/>
      <c r="I288" s="297"/>
      <c r="J288" s="297"/>
      <c r="K288" s="297"/>
      <c r="L288" s="297"/>
      <c r="M288" s="297"/>
      <c r="N288" s="379"/>
      <c r="O288" s="272"/>
      <c r="P288" s="272"/>
      <c r="Q288" s="272"/>
      <c r="R288" s="272"/>
      <c r="S288" s="272"/>
      <c r="T288" s="272"/>
      <c r="U288" s="272"/>
      <c r="V288" s="272"/>
      <c r="W288" s="272"/>
      <c r="X288" s="272"/>
      <c r="Y288" s="272"/>
      <c r="Z288" s="272"/>
      <c r="AA288" s="272"/>
      <c r="AB288" s="272"/>
      <c r="AC288" s="272"/>
      <c r="AD288" s="272"/>
      <c r="AE288" s="272"/>
    </row>
    <row r="289" spans="2:31" ht="15">
      <c r="B289" s="377">
        <f t="shared" si="7"/>
        <v>244</v>
      </c>
      <c r="C289" s="385" t="str" cm="1">
        <f t="array" aca="1" ref="C289" ca="1">IF(B289&lt;=$C$9,GetGetCDSName(B289),"")</f>
        <v/>
      </c>
      <c r="D289" s="345"/>
      <c r="E289" s="378"/>
      <c r="F289" s="297"/>
      <c r="G289" s="297"/>
      <c r="H289" s="297"/>
      <c r="I289" s="297"/>
      <c r="J289" s="297"/>
      <c r="K289" s="297"/>
      <c r="L289" s="297"/>
      <c r="M289" s="297"/>
      <c r="N289" s="379"/>
      <c r="O289" s="272"/>
      <c r="P289" s="272"/>
      <c r="Q289" s="272"/>
      <c r="R289" s="272"/>
      <c r="S289" s="272"/>
      <c r="T289" s="272"/>
      <c r="U289" s="272"/>
      <c r="V289" s="272"/>
      <c r="W289" s="272"/>
      <c r="X289" s="272"/>
      <c r="Y289" s="272"/>
      <c r="Z289" s="272"/>
      <c r="AA289" s="272"/>
      <c r="AB289" s="272"/>
      <c r="AC289" s="272"/>
      <c r="AD289" s="272"/>
      <c r="AE289" s="272"/>
    </row>
    <row r="290" spans="2:31" ht="15">
      <c r="B290" s="377">
        <f t="shared" si="7"/>
        <v>245</v>
      </c>
      <c r="C290" s="385" t="str" cm="1">
        <f t="array" aca="1" ref="C290" ca="1">IF(B290&lt;=$C$9,GetGetCDSName(B290),"")</f>
        <v/>
      </c>
      <c r="D290" s="345"/>
      <c r="E290" s="378"/>
      <c r="F290" s="297"/>
      <c r="G290" s="297"/>
      <c r="H290" s="297"/>
      <c r="I290" s="297"/>
      <c r="J290" s="297"/>
      <c r="K290" s="297"/>
      <c r="L290" s="297"/>
      <c r="M290" s="297"/>
      <c r="N290" s="379"/>
      <c r="O290" s="272"/>
      <c r="P290" s="272"/>
      <c r="Q290" s="272"/>
      <c r="R290" s="272"/>
      <c r="S290" s="272"/>
      <c r="T290" s="272"/>
      <c r="U290" s="272"/>
      <c r="V290" s="272"/>
      <c r="W290" s="272"/>
      <c r="X290" s="272"/>
      <c r="Y290" s="272"/>
      <c r="Z290" s="272"/>
      <c r="AA290" s="272"/>
      <c r="AB290" s="272"/>
      <c r="AC290" s="272"/>
      <c r="AD290" s="272"/>
      <c r="AE290" s="272"/>
    </row>
    <row r="291" spans="2:31" ht="15">
      <c r="B291" s="377">
        <f t="shared" si="7"/>
        <v>246</v>
      </c>
      <c r="C291" s="385" t="str" cm="1">
        <f t="array" aca="1" ref="C291" ca="1">IF(B291&lt;=$C$9,GetGetCDSName(B291),"")</f>
        <v/>
      </c>
      <c r="D291" s="345"/>
      <c r="E291" s="378"/>
      <c r="F291" s="297"/>
      <c r="G291" s="297"/>
      <c r="H291" s="297"/>
      <c r="I291" s="297"/>
      <c r="J291" s="297"/>
      <c r="K291" s="297"/>
      <c r="L291" s="297"/>
      <c r="M291" s="297"/>
      <c r="N291" s="379"/>
      <c r="O291" s="272"/>
      <c r="P291" s="272"/>
      <c r="Q291" s="272"/>
      <c r="R291" s="272"/>
      <c r="S291" s="272"/>
      <c r="T291" s="272"/>
      <c r="U291" s="272"/>
      <c r="V291" s="272"/>
      <c r="W291" s="272"/>
      <c r="X291" s="272"/>
      <c r="Y291" s="272"/>
      <c r="Z291" s="272"/>
      <c r="AA291" s="272"/>
      <c r="AB291" s="272"/>
      <c r="AC291" s="272"/>
      <c r="AD291" s="272"/>
      <c r="AE291" s="272"/>
    </row>
    <row r="292" spans="2:31" ht="15">
      <c r="B292" s="377">
        <f t="shared" si="7"/>
        <v>247</v>
      </c>
      <c r="C292" s="385" t="str" cm="1">
        <f t="array" aca="1" ref="C292" ca="1">IF(B292&lt;=$C$9,GetGetCDSName(B292),"")</f>
        <v/>
      </c>
      <c r="D292" s="345"/>
      <c r="E292" s="378"/>
      <c r="F292" s="297"/>
      <c r="G292" s="297"/>
      <c r="H292" s="297"/>
      <c r="I292" s="297"/>
      <c r="J292" s="297"/>
      <c r="K292" s="297"/>
      <c r="L292" s="297"/>
      <c r="M292" s="297"/>
      <c r="N292" s="379"/>
      <c r="O292" s="272"/>
      <c r="P292" s="272"/>
      <c r="Q292" s="272"/>
      <c r="R292" s="272"/>
      <c r="S292" s="272"/>
      <c r="T292" s="272"/>
      <c r="U292" s="272"/>
      <c r="V292" s="272"/>
      <c r="W292" s="272"/>
      <c r="X292" s="272"/>
      <c r="Y292" s="272"/>
      <c r="Z292" s="272"/>
      <c r="AA292" s="272"/>
      <c r="AB292" s="272"/>
      <c r="AC292" s="272"/>
      <c r="AD292" s="272"/>
      <c r="AE292" s="272"/>
    </row>
    <row r="293" spans="2:31" ht="15">
      <c r="B293" s="377">
        <f t="shared" si="7"/>
        <v>248</v>
      </c>
      <c r="C293" s="385" t="str" cm="1">
        <f t="array" aca="1" ref="C293" ca="1">IF(B293&lt;=$C$9,GetGetCDSName(B293),"")</f>
        <v/>
      </c>
      <c r="D293" s="345"/>
      <c r="E293" s="378"/>
      <c r="F293" s="297"/>
      <c r="G293" s="297"/>
      <c r="H293" s="297"/>
      <c r="I293" s="297"/>
      <c r="J293" s="297"/>
      <c r="K293" s="297"/>
      <c r="L293" s="297"/>
      <c r="M293" s="297"/>
      <c r="N293" s="379"/>
      <c r="O293" s="272"/>
      <c r="P293" s="272"/>
      <c r="Q293" s="272"/>
      <c r="R293" s="272"/>
      <c r="S293" s="272"/>
      <c r="T293" s="272"/>
      <c r="U293" s="272"/>
      <c r="V293" s="272"/>
      <c r="W293" s="272"/>
      <c r="X293" s="272"/>
      <c r="Y293" s="272"/>
      <c r="Z293" s="272"/>
      <c r="AA293" s="272"/>
      <c r="AB293" s="272"/>
      <c r="AC293" s="272"/>
      <c r="AD293" s="272"/>
      <c r="AE293" s="272"/>
    </row>
    <row r="294" spans="2:31" ht="15">
      <c r="B294" s="377">
        <f t="shared" si="7"/>
        <v>249</v>
      </c>
      <c r="C294" s="385" t="str" cm="1">
        <f t="array" aca="1" ref="C294" ca="1">IF(B294&lt;=$C$9,GetGetCDSName(B294),"")</f>
        <v/>
      </c>
      <c r="D294" s="345"/>
      <c r="E294" s="378"/>
      <c r="F294" s="297"/>
      <c r="G294" s="297"/>
      <c r="H294" s="297"/>
      <c r="I294" s="297"/>
      <c r="J294" s="297"/>
      <c r="K294" s="297"/>
      <c r="L294" s="297"/>
      <c r="M294" s="297"/>
      <c r="N294" s="379"/>
      <c r="O294" s="272"/>
      <c r="P294" s="272"/>
      <c r="Q294" s="272"/>
      <c r="R294" s="272"/>
      <c r="S294" s="272"/>
      <c r="T294" s="272"/>
      <c r="U294" s="272"/>
      <c r="V294" s="272"/>
      <c r="W294" s="272"/>
      <c r="X294" s="272"/>
      <c r="Y294" s="272"/>
      <c r="Z294" s="272"/>
      <c r="AA294" s="272"/>
      <c r="AB294" s="272"/>
      <c r="AC294" s="272"/>
      <c r="AD294" s="272"/>
      <c r="AE294" s="272"/>
    </row>
    <row r="295" spans="2:31" ht="15">
      <c r="B295" s="377">
        <f t="shared" si="7"/>
        <v>250</v>
      </c>
      <c r="C295" s="385" t="str" cm="1">
        <f t="array" aca="1" ref="C295" ca="1">IF(B295&lt;=$C$9,GetGetCDSName(B295),"")</f>
        <v/>
      </c>
      <c r="D295" s="345"/>
      <c r="E295" s="378"/>
      <c r="F295" s="297"/>
      <c r="G295" s="297"/>
      <c r="H295" s="297"/>
      <c r="I295" s="297"/>
      <c r="J295" s="297"/>
      <c r="K295" s="297"/>
      <c r="L295" s="297"/>
      <c r="M295" s="297"/>
      <c r="N295" s="379"/>
      <c r="O295" s="272"/>
      <c r="P295" s="272"/>
      <c r="Q295" s="272"/>
      <c r="R295" s="272"/>
      <c r="S295" s="272"/>
      <c r="T295" s="272"/>
      <c r="U295" s="272"/>
      <c r="V295" s="272"/>
      <c r="W295" s="272"/>
      <c r="X295" s="272"/>
      <c r="Y295" s="272"/>
      <c r="Z295" s="272"/>
      <c r="AA295" s="272"/>
      <c r="AB295" s="272"/>
      <c r="AC295" s="272"/>
      <c r="AD295" s="272"/>
      <c r="AE295" s="272"/>
    </row>
    <row r="296" spans="2:31" ht="15">
      <c r="B296" s="377">
        <f t="shared" si="7"/>
        <v>251</v>
      </c>
      <c r="C296" s="385" t="str" cm="1">
        <f t="array" aca="1" ref="C296" ca="1">IF(B296&lt;=$C$9,GetGetCDSName(B296),"")</f>
        <v/>
      </c>
      <c r="D296" s="345"/>
      <c r="E296" s="378"/>
      <c r="F296" s="297"/>
      <c r="G296" s="297"/>
      <c r="H296" s="297"/>
      <c r="I296" s="297"/>
      <c r="J296" s="297"/>
      <c r="K296" s="297"/>
      <c r="L296" s="297"/>
      <c r="M296" s="297"/>
      <c r="N296" s="379"/>
      <c r="O296" s="272"/>
      <c r="P296" s="272"/>
      <c r="Q296" s="272"/>
      <c r="R296" s="272"/>
      <c r="S296" s="272"/>
      <c r="T296" s="272"/>
      <c r="U296" s="272"/>
      <c r="V296" s="272"/>
      <c r="W296" s="272"/>
      <c r="X296" s="272"/>
      <c r="Y296" s="272"/>
      <c r="Z296" s="272"/>
      <c r="AA296" s="272"/>
      <c r="AB296" s="272"/>
      <c r="AC296" s="272"/>
      <c r="AD296" s="272"/>
      <c r="AE296" s="272"/>
    </row>
    <row r="297" spans="2:31" ht="15">
      <c r="B297" s="377">
        <f t="shared" si="7"/>
        <v>252</v>
      </c>
      <c r="C297" s="385" t="str" cm="1">
        <f t="array" aca="1" ref="C297" ca="1">IF(B297&lt;=$C$9,GetGetCDSName(B297),"")</f>
        <v/>
      </c>
      <c r="D297" s="345"/>
      <c r="E297" s="378"/>
      <c r="F297" s="297"/>
      <c r="G297" s="297"/>
      <c r="H297" s="297"/>
      <c r="I297" s="297"/>
      <c r="J297" s="297"/>
      <c r="K297" s="297"/>
      <c r="L297" s="297"/>
      <c r="M297" s="297"/>
      <c r="N297" s="379"/>
      <c r="O297" s="272"/>
      <c r="P297" s="272"/>
      <c r="Q297" s="272"/>
      <c r="R297" s="272"/>
      <c r="S297" s="272"/>
      <c r="T297" s="272"/>
      <c r="U297" s="272"/>
      <c r="V297" s="272"/>
      <c r="W297" s="272"/>
      <c r="X297" s="272"/>
      <c r="Y297" s="272"/>
      <c r="Z297" s="272"/>
      <c r="AA297" s="272"/>
      <c r="AB297" s="272"/>
      <c r="AC297" s="272"/>
      <c r="AD297" s="272"/>
      <c r="AE297" s="272"/>
    </row>
    <row r="298" spans="2:31" ht="15">
      <c r="B298" s="377">
        <f t="shared" si="7"/>
        <v>253</v>
      </c>
      <c r="C298" s="385" t="str" cm="1">
        <f t="array" aca="1" ref="C298" ca="1">IF(B298&lt;=$C$9,GetGetCDSName(B298),"")</f>
        <v/>
      </c>
      <c r="D298" s="345"/>
      <c r="E298" s="378"/>
      <c r="F298" s="297"/>
      <c r="G298" s="297"/>
      <c r="H298" s="297"/>
      <c r="I298" s="297"/>
      <c r="J298" s="297"/>
      <c r="K298" s="297"/>
      <c r="L298" s="297"/>
      <c r="M298" s="297"/>
      <c r="N298" s="379"/>
      <c r="O298" s="272"/>
      <c r="P298" s="272"/>
      <c r="Q298" s="272"/>
      <c r="R298" s="272"/>
      <c r="S298" s="272"/>
      <c r="T298" s="272"/>
      <c r="U298" s="272"/>
      <c r="V298" s="272"/>
      <c r="W298" s="272"/>
      <c r="X298" s="272"/>
      <c r="Y298" s="272"/>
      <c r="Z298" s="272"/>
      <c r="AA298" s="272"/>
      <c r="AB298" s="272"/>
      <c r="AC298" s="272"/>
      <c r="AD298" s="272"/>
      <c r="AE298" s="272"/>
    </row>
    <row r="299" spans="2:31" ht="15">
      <c r="B299" s="377">
        <f t="shared" si="7"/>
        <v>254</v>
      </c>
      <c r="C299" s="385" t="str" cm="1">
        <f t="array" aca="1" ref="C299" ca="1">IF(B299&lt;=$C$9,GetGetCDSName(B299),"")</f>
        <v/>
      </c>
      <c r="D299" s="345"/>
      <c r="E299" s="378"/>
      <c r="F299" s="297"/>
      <c r="G299" s="297"/>
      <c r="H299" s="297"/>
      <c r="I299" s="297"/>
      <c r="J299" s="297"/>
      <c r="K299" s="297"/>
      <c r="L299" s="297"/>
      <c r="M299" s="297"/>
      <c r="N299" s="379"/>
      <c r="O299" s="272"/>
      <c r="P299" s="272"/>
      <c r="Q299" s="272"/>
      <c r="R299" s="272"/>
      <c r="S299" s="272"/>
      <c r="T299" s="272"/>
      <c r="U299" s="272"/>
      <c r="V299" s="272"/>
      <c r="W299" s="272"/>
      <c r="X299" s="272"/>
      <c r="Y299" s="272"/>
      <c r="Z299" s="272"/>
      <c r="AA299" s="272"/>
      <c r="AB299" s="272"/>
      <c r="AC299" s="272"/>
      <c r="AD299" s="272"/>
      <c r="AE299" s="272"/>
    </row>
    <row r="300" spans="2:31" ht="15">
      <c r="B300" s="377">
        <f t="shared" si="7"/>
        <v>255</v>
      </c>
      <c r="C300" s="385" t="str" cm="1">
        <f t="array" aca="1" ref="C300" ca="1">IF(B300&lt;=$C$9,GetGetCDSName(B300),"")</f>
        <v/>
      </c>
      <c r="D300" s="345"/>
      <c r="E300" s="378"/>
      <c r="F300" s="297"/>
      <c r="G300" s="297"/>
      <c r="H300" s="297"/>
      <c r="I300" s="297"/>
      <c r="J300" s="297"/>
      <c r="K300" s="297"/>
      <c r="L300" s="297"/>
      <c r="M300" s="297"/>
      <c r="N300" s="379"/>
      <c r="O300" s="272"/>
      <c r="P300" s="272"/>
      <c r="Q300" s="272"/>
      <c r="R300" s="272"/>
      <c r="S300" s="272"/>
      <c r="T300" s="272"/>
      <c r="U300" s="272"/>
      <c r="V300" s="272"/>
      <c r="W300" s="272"/>
      <c r="X300" s="272"/>
      <c r="Y300" s="272"/>
      <c r="Z300" s="272"/>
      <c r="AA300" s="272"/>
      <c r="AB300" s="272"/>
      <c r="AC300" s="272"/>
      <c r="AD300" s="272"/>
      <c r="AE300" s="272"/>
    </row>
    <row r="301" spans="2:31" ht="15">
      <c r="B301" s="377">
        <f t="shared" si="7"/>
        <v>256</v>
      </c>
      <c r="C301" s="385" t="str" cm="1">
        <f t="array" aca="1" ref="C301" ca="1">IF(B301&lt;=$C$9,GetGetCDSName(B301),"")</f>
        <v/>
      </c>
      <c r="D301" s="345"/>
      <c r="E301" s="378"/>
      <c r="F301" s="297"/>
      <c r="G301" s="297"/>
      <c r="H301" s="297"/>
      <c r="I301" s="297"/>
      <c r="J301" s="297"/>
      <c r="K301" s="297"/>
      <c r="L301" s="297"/>
      <c r="M301" s="297"/>
      <c r="N301" s="379"/>
      <c r="O301" s="272"/>
      <c r="P301" s="272"/>
      <c r="Q301" s="272"/>
      <c r="R301" s="272"/>
      <c r="S301" s="272"/>
      <c r="T301" s="272"/>
      <c r="U301" s="272"/>
      <c r="V301" s="272"/>
      <c r="W301" s="272"/>
      <c r="X301" s="272"/>
      <c r="Y301" s="272"/>
      <c r="Z301" s="272"/>
      <c r="AA301" s="272"/>
      <c r="AB301" s="272"/>
      <c r="AC301" s="272"/>
      <c r="AD301" s="272"/>
      <c r="AE301" s="272"/>
    </row>
    <row r="302" spans="2:31" ht="15">
      <c r="B302" s="377">
        <f t="shared" si="7"/>
        <v>257</v>
      </c>
      <c r="C302" s="385" t="str" cm="1">
        <f t="array" aca="1" ref="C302" ca="1">IF(B302&lt;=$C$9,GetGetCDSName(B302),"")</f>
        <v/>
      </c>
      <c r="D302" s="345"/>
      <c r="E302" s="378"/>
      <c r="F302" s="297"/>
      <c r="G302" s="297"/>
      <c r="H302" s="297"/>
      <c r="I302" s="297"/>
      <c r="J302" s="297"/>
      <c r="K302" s="297"/>
      <c r="L302" s="297"/>
      <c r="M302" s="297"/>
      <c r="N302" s="379"/>
      <c r="O302" s="272"/>
      <c r="P302" s="272"/>
      <c r="Q302" s="272"/>
      <c r="R302" s="272"/>
      <c r="S302" s="272"/>
      <c r="T302" s="272"/>
      <c r="U302" s="272"/>
      <c r="V302" s="272"/>
      <c r="W302" s="272"/>
      <c r="X302" s="272"/>
      <c r="Y302" s="272"/>
      <c r="Z302" s="272"/>
      <c r="AA302" s="272"/>
      <c r="AB302" s="272"/>
      <c r="AC302" s="272"/>
      <c r="AD302" s="272"/>
      <c r="AE302" s="272"/>
    </row>
    <row r="303" spans="2:31" ht="15">
      <c r="B303" s="377">
        <f t="shared" ref="B303:B345" si="8">B302+1</f>
        <v>258</v>
      </c>
      <c r="C303" s="385" t="str" cm="1">
        <f t="array" aca="1" ref="C303" ca="1">IF(B303&lt;=$C$9,GetGetCDSName(B303),"")</f>
        <v/>
      </c>
      <c r="D303" s="345"/>
      <c r="E303" s="378"/>
      <c r="F303" s="297"/>
      <c r="G303" s="297"/>
      <c r="H303" s="297"/>
      <c r="I303" s="297"/>
      <c r="J303" s="297"/>
      <c r="K303" s="297"/>
      <c r="L303" s="297"/>
      <c r="M303" s="297"/>
      <c r="N303" s="379"/>
      <c r="O303" s="272"/>
      <c r="P303" s="272"/>
      <c r="Q303" s="272"/>
      <c r="R303" s="272"/>
      <c r="S303" s="272"/>
      <c r="T303" s="272"/>
      <c r="U303" s="272"/>
      <c r="V303" s="272"/>
      <c r="W303" s="272"/>
      <c r="X303" s="272"/>
      <c r="Y303" s="272"/>
      <c r="Z303" s="272"/>
      <c r="AA303" s="272"/>
      <c r="AB303" s="272"/>
      <c r="AC303" s="272"/>
      <c r="AD303" s="272"/>
      <c r="AE303" s="272"/>
    </row>
    <row r="304" spans="2:31" ht="15">
      <c r="B304" s="377">
        <f t="shared" si="8"/>
        <v>259</v>
      </c>
      <c r="C304" s="385" t="str" cm="1">
        <f t="array" aca="1" ref="C304" ca="1">IF(B304&lt;=$C$9,GetGetCDSName(B304),"")</f>
        <v/>
      </c>
      <c r="D304" s="345"/>
      <c r="E304" s="378"/>
      <c r="F304" s="297"/>
      <c r="G304" s="297"/>
      <c r="H304" s="297"/>
      <c r="I304" s="297"/>
      <c r="J304" s="297"/>
      <c r="K304" s="297"/>
      <c r="L304" s="297"/>
      <c r="M304" s="297"/>
      <c r="N304" s="379"/>
      <c r="O304" s="272"/>
      <c r="P304" s="272"/>
      <c r="Q304" s="272"/>
      <c r="R304" s="272"/>
      <c r="S304" s="272"/>
      <c r="T304" s="272"/>
      <c r="U304" s="272"/>
      <c r="V304" s="272"/>
      <c r="W304" s="272"/>
      <c r="X304" s="272"/>
      <c r="Y304" s="272"/>
      <c r="Z304" s="272"/>
      <c r="AA304" s="272"/>
      <c r="AB304" s="272"/>
      <c r="AC304" s="272"/>
      <c r="AD304" s="272"/>
      <c r="AE304" s="272"/>
    </row>
    <row r="305" spans="2:31" ht="15">
      <c r="B305" s="377">
        <f t="shared" si="8"/>
        <v>260</v>
      </c>
      <c r="C305" s="385" t="str" cm="1">
        <f t="array" aca="1" ref="C305" ca="1">IF(B305&lt;=$C$9,GetGetCDSName(B305),"")</f>
        <v/>
      </c>
      <c r="D305" s="345"/>
      <c r="E305" s="378"/>
      <c r="F305" s="297"/>
      <c r="G305" s="297"/>
      <c r="H305" s="297"/>
      <c r="I305" s="297"/>
      <c r="J305" s="297"/>
      <c r="K305" s="297"/>
      <c r="L305" s="297"/>
      <c r="M305" s="297"/>
      <c r="N305" s="379"/>
      <c r="O305" s="272"/>
      <c r="P305" s="272"/>
      <c r="Q305" s="272"/>
      <c r="R305" s="272"/>
      <c r="S305" s="272"/>
      <c r="T305" s="272"/>
      <c r="U305" s="272"/>
      <c r="V305" s="272"/>
      <c r="W305" s="272"/>
      <c r="X305" s="272"/>
      <c r="Y305" s="272"/>
      <c r="Z305" s="272"/>
      <c r="AA305" s="272"/>
      <c r="AB305" s="272"/>
      <c r="AC305" s="272"/>
      <c r="AD305" s="272"/>
      <c r="AE305" s="272"/>
    </row>
    <row r="306" spans="2:31" ht="15">
      <c r="B306" s="377">
        <f t="shared" si="8"/>
        <v>261</v>
      </c>
      <c r="C306" s="385" t="str" cm="1">
        <f t="array" aca="1" ref="C306" ca="1">IF(B306&lt;=$C$9,GetGetCDSName(B306),"")</f>
        <v/>
      </c>
      <c r="D306" s="345"/>
      <c r="E306" s="378"/>
      <c r="F306" s="297"/>
      <c r="G306" s="297"/>
      <c r="H306" s="297"/>
      <c r="I306" s="297"/>
      <c r="J306" s="297"/>
      <c r="K306" s="297"/>
      <c r="L306" s="297"/>
      <c r="M306" s="297"/>
      <c r="N306" s="379"/>
      <c r="O306" s="272"/>
      <c r="P306" s="272"/>
      <c r="Q306" s="272"/>
      <c r="R306" s="272"/>
      <c r="S306" s="272"/>
      <c r="T306" s="272"/>
      <c r="U306" s="272"/>
      <c r="V306" s="272"/>
      <c r="W306" s="272"/>
      <c r="X306" s="272"/>
      <c r="Y306" s="272"/>
      <c r="Z306" s="272"/>
      <c r="AA306" s="272"/>
      <c r="AB306" s="272"/>
      <c r="AC306" s="272"/>
      <c r="AD306" s="272"/>
      <c r="AE306" s="272"/>
    </row>
    <row r="307" spans="2:31" ht="15">
      <c r="B307" s="377">
        <f t="shared" si="8"/>
        <v>262</v>
      </c>
      <c r="C307" s="385" t="str" cm="1">
        <f t="array" aca="1" ref="C307" ca="1">IF(B307&lt;=$C$9,GetGetCDSName(B307),"")</f>
        <v/>
      </c>
      <c r="D307" s="345"/>
      <c r="E307" s="378"/>
      <c r="F307" s="297"/>
      <c r="G307" s="297"/>
      <c r="H307" s="297"/>
      <c r="I307" s="297"/>
      <c r="J307" s="297"/>
      <c r="K307" s="297"/>
      <c r="L307" s="297"/>
      <c r="M307" s="297"/>
      <c r="N307" s="379"/>
      <c r="O307" s="272"/>
      <c r="P307" s="272"/>
      <c r="Q307" s="272"/>
      <c r="R307" s="272"/>
      <c r="S307" s="272"/>
      <c r="T307" s="272"/>
      <c r="U307" s="272"/>
      <c r="V307" s="272"/>
      <c r="W307" s="272"/>
      <c r="X307" s="272"/>
      <c r="Y307" s="272"/>
      <c r="Z307" s="272"/>
      <c r="AA307" s="272"/>
      <c r="AB307" s="272"/>
      <c r="AC307" s="272"/>
      <c r="AD307" s="272"/>
      <c r="AE307" s="272"/>
    </row>
    <row r="308" spans="2:31" ht="15">
      <c r="B308" s="377">
        <f t="shared" si="8"/>
        <v>263</v>
      </c>
      <c r="C308" s="385" t="str" cm="1">
        <f t="array" aca="1" ref="C308" ca="1">IF(B308&lt;=$C$9,GetGetCDSName(B308),"")</f>
        <v/>
      </c>
      <c r="D308" s="345"/>
      <c r="E308" s="378"/>
      <c r="F308" s="297"/>
      <c r="G308" s="297"/>
      <c r="H308" s="297"/>
      <c r="I308" s="297"/>
      <c r="J308" s="297"/>
      <c r="K308" s="297"/>
      <c r="L308" s="297"/>
      <c r="M308" s="297"/>
      <c r="N308" s="379"/>
      <c r="O308" s="272"/>
      <c r="P308" s="272"/>
      <c r="Q308" s="272"/>
      <c r="R308" s="272"/>
      <c r="S308" s="272"/>
      <c r="T308" s="272"/>
      <c r="U308" s="272"/>
      <c r="V308" s="272"/>
      <c r="W308" s="272"/>
      <c r="X308" s="272"/>
      <c r="Y308" s="272"/>
      <c r="Z308" s="272"/>
      <c r="AA308" s="272"/>
      <c r="AB308" s="272"/>
      <c r="AC308" s="272"/>
      <c r="AD308" s="272"/>
      <c r="AE308" s="272"/>
    </row>
    <row r="309" spans="2:31" ht="15">
      <c r="B309" s="377">
        <f t="shared" si="8"/>
        <v>264</v>
      </c>
      <c r="C309" s="385" t="str" cm="1">
        <f t="array" aca="1" ref="C309" ca="1">IF(B309&lt;=$C$9,GetGetCDSName(B309),"")</f>
        <v/>
      </c>
      <c r="D309" s="345"/>
      <c r="E309" s="378"/>
      <c r="F309" s="297"/>
      <c r="G309" s="297"/>
      <c r="H309" s="297"/>
      <c r="I309" s="297"/>
      <c r="J309" s="297"/>
      <c r="K309" s="297"/>
      <c r="L309" s="297"/>
      <c r="M309" s="297"/>
      <c r="N309" s="379"/>
      <c r="O309" s="272"/>
      <c r="P309" s="272"/>
      <c r="Q309" s="272"/>
      <c r="R309" s="272"/>
      <c r="S309" s="272"/>
      <c r="T309" s="272"/>
      <c r="U309" s="272"/>
      <c r="V309" s="272"/>
      <c r="W309" s="272"/>
      <c r="X309" s="272"/>
      <c r="Y309" s="272"/>
      <c r="Z309" s="272"/>
      <c r="AA309" s="272"/>
      <c r="AB309" s="272"/>
      <c r="AC309" s="272"/>
      <c r="AD309" s="272"/>
      <c r="AE309" s="272"/>
    </row>
    <row r="310" spans="2:31" ht="15">
      <c r="B310" s="377">
        <f t="shared" si="8"/>
        <v>265</v>
      </c>
      <c r="C310" s="385" t="str" cm="1">
        <f t="array" aca="1" ref="C310" ca="1">IF(B310&lt;=$C$9,GetGetCDSName(B310),"")</f>
        <v/>
      </c>
      <c r="D310" s="345"/>
      <c r="E310" s="378"/>
      <c r="F310" s="297"/>
      <c r="G310" s="297"/>
      <c r="H310" s="297"/>
      <c r="I310" s="297"/>
      <c r="J310" s="297"/>
      <c r="K310" s="297"/>
      <c r="L310" s="297"/>
      <c r="M310" s="297"/>
      <c r="N310" s="379"/>
      <c r="O310" s="272"/>
      <c r="P310" s="272"/>
      <c r="Q310" s="272"/>
      <c r="R310" s="272"/>
      <c r="S310" s="272"/>
      <c r="T310" s="272"/>
      <c r="U310" s="272"/>
      <c r="V310" s="272"/>
      <c r="W310" s="272"/>
      <c r="X310" s="272"/>
      <c r="Y310" s="272"/>
      <c r="Z310" s="272"/>
      <c r="AA310" s="272"/>
      <c r="AB310" s="272"/>
      <c r="AC310" s="272"/>
      <c r="AD310" s="272"/>
      <c r="AE310" s="272"/>
    </row>
    <row r="311" spans="2:31" ht="15">
      <c r="B311" s="377">
        <f t="shared" si="8"/>
        <v>266</v>
      </c>
      <c r="C311" s="385" t="str" cm="1">
        <f t="array" aca="1" ref="C311" ca="1">IF(B311&lt;=$C$9,GetGetCDSName(B311),"")</f>
        <v/>
      </c>
      <c r="D311" s="345"/>
      <c r="E311" s="378"/>
      <c r="F311" s="297"/>
      <c r="G311" s="297"/>
      <c r="H311" s="297"/>
      <c r="I311" s="297"/>
      <c r="J311" s="297"/>
      <c r="K311" s="297"/>
      <c r="L311" s="297"/>
      <c r="M311" s="297"/>
      <c r="N311" s="379"/>
      <c r="O311" s="272"/>
      <c r="P311" s="272"/>
      <c r="Q311" s="272"/>
      <c r="R311" s="272"/>
      <c r="S311" s="272"/>
      <c r="T311" s="272"/>
      <c r="U311" s="272"/>
      <c r="V311" s="272"/>
      <c r="W311" s="272"/>
      <c r="X311" s="272"/>
      <c r="Y311" s="272"/>
      <c r="Z311" s="272"/>
      <c r="AA311" s="272"/>
      <c r="AB311" s="272"/>
      <c r="AC311" s="272"/>
      <c r="AD311" s="272"/>
      <c r="AE311" s="272"/>
    </row>
    <row r="312" spans="2:31" ht="15">
      <c r="B312" s="377">
        <f t="shared" si="8"/>
        <v>267</v>
      </c>
      <c r="C312" s="385" t="str" cm="1">
        <f t="array" aca="1" ref="C312" ca="1">IF(B312&lt;=$C$9,GetGetCDSName(B312),"")</f>
        <v/>
      </c>
      <c r="D312" s="345"/>
      <c r="E312" s="378"/>
      <c r="F312" s="297"/>
      <c r="G312" s="297"/>
      <c r="H312" s="297"/>
      <c r="I312" s="297"/>
      <c r="J312" s="297"/>
      <c r="K312" s="297"/>
      <c r="L312" s="297"/>
      <c r="M312" s="297"/>
      <c r="N312" s="379"/>
      <c r="O312" s="272"/>
      <c r="P312" s="272"/>
      <c r="Q312" s="272"/>
      <c r="R312" s="272"/>
      <c r="S312" s="272"/>
      <c r="T312" s="272"/>
      <c r="U312" s="272"/>
      <c r="V312" s="272"/>
      <c r="W312" s="272"/>
      <c r="X312" s="272"/>
      <c r="Y312" s="272"/>
      <c r="Z312" s="272"/>
      <c r="AA312" s="272"/>
      <c r="AB312" s="272"/>
      <c r="AC312" s="272"/>
      <c r="AD312" s="272"/>
      <c r="AE312" s="272"/>
    </row>
    <row r="313" spans="2:31" ht="15">
      <c r="B313" s="377">
        <f t="shared" si="8"/>
        <v>268</v>
      </c>
      <c r="C313" s="385" t="str" cm="1">
        <f t="array" aca="1" ref="C313" ca="1">IF(B313&lt;=$C$9,GetGetCDSName(B313),"")</f>
        <v/>
      </c>
      <c r="D313" s="345"/>
      <c r="E313" s="378"/>
      <c r="F313" s="297"/>
      <c r="G313" s="297"/>
      <c r="H313" s="297"/>
      <c r="I313" s="297"/>
      <c r="J313" s="297"/>
      <c r="K313" s="297"/>
      <c r="L313" s="297"/>
      <c r="M313" s="297"/>
      <c r="N313" s="379"/>
      <c r="O313" s="272"/>
      <c r="P313" s="272"/>
      <c r="Q313" s="272"/>
      <c r="R313" s="272"/>
      <c r="S313" s="272"/>
      <c r="T313" s="272"/>
      <c r="U313" s="272"/>
      <c r="V313" s="272"/>
      <c r="W313" s="272"/>
      <c r="X313" s="272"/>
      <c r="Y313" s="272"/>
      <c r="Z313" s="272"/>
      <c r="AA313" s="272"/>
      <c r="AB313" s="272"/>
      <c r="AC313" s="272"/>
      <c r="AD313" s="272"/>
      <c r="AE313" s="272"/>
    </row>
    <row r="314" spans="2:31" ht="15">
      <c r="B314" s="377">
        <f t="shared" si="8"/>
        <v>269</v>
      </c>
      <c r="C314" s="385" t="str" cm="1">
        <f t="array" aca="1" ref="C314" ca="1">IF(B314&lt;=$C$9,GetGetCDSName(B314),"")</f>
        <v/>
      </c>
      <c r="D314" s="345"/>
      <c r="E314" s="378"/>
      <c r="F314" s="297"/>
      <c r="G314" s="297"/>
      <c r="H314" s="297"/>
      <c r="I314" s="297"/>
      <c r="J314" s="297"/>
      <c r="K314" s="297"/>
      <c r="L314" s="297"/>
      <c r="M314" s="297"/>
      <c r="N314" s="379"/>
      <c r="O314" s="272"/>
      <c r="P314" s="272"/>
      <c r="Q314" s="272"/>
      <c r="R314" s="272"/>
      <c r="S314" s="272"/>
      <c r="T314" s="272"/>
      <c r="U314" s="272"/>
      <c r="V314" s="272"/>
      <c r="W314" s="272"/>
      <c r="X314" s="272"/>
      <c r="Y314" s="272"/>
      <c r="Z314" s="272"/>
      <c r="AA314" s="272"/>
      <c r="AB314" s="272"/>
      <c r="AC314" s="272"/>
      <c r="AD314" s="272"/>
      <c r="AE314" s="272"/>
    </row>
    <row r="315" spans="2:31" ht="15">
      <c r="B315" s="377">
        <f t="shared" si="8"/>
        <v>270</v>
      </c>
      <c r="C315" s="385" t="str" cm="1">
        <f t="array" aca="1" ref="C315" ca="1">IF(B315&lt;=$C$9,GetGetCDSName(B315),"")</f>
        <v/>
      </c>
      <c r="D315" s="345"/>
      <c r="E315" s="378"/>
      <c r="F315" s="297"/>
      <c r="G315" s="297"/>
      <c r="H315" s="297"/>
      <c r="I315" s="297"/>
      <c r="J315" s="297"/>
      <c r="K315" s="297"/>
      <c r="L315" s="297"/>
      <c r="M315" s="297"/>
      <c r="N315" s="379"/>
      <c r="O315" s="272"/>
      <c r="P315" s="272"/>
      <c r="Q315" s="272"/>
      <c r="R315" s="272"/>
      <c r="S315" s="272"/>
      <c r="T315" s="272"/>
      <c r="U315" s="272"/>
      <c r="V315" s="272"/>
      <c r="W315" s="272"/>
      <c r="X315" s="272"/>
      <c r="Y315" s="272"/>
      <c r="Z315" s="272"/>
      <c r="AA315" s="272"/>
      <c r="AB315" s="272"/>
      <c r="AC315" s="272"/>
      <c r="AD315" s="272"/>
      <c r="AE315" s="272"/>
    </row>
    <row r="316" spans="2:31" ht="15">
      <c r="B316" s="377">
        <f t="shared" si="8"/>
        <v>271</v>
      </c>
      <c r="C316" s="385" t="str" cm="1">
        <f t="array" aca="1" ref="C316" ca="1">IF(B316&lt;=$C$9,GetGetCDSName(B316),"")</f>
        <v/>
      </c>
      <c r="D316" s="345"/>
      <c r="E316" s="378"/>
      <c r="F316" s="297"/>
      <c r="G316" s="297"/>
      <c r="H316" s="297"/>
      <c r="I316" s="297"/>
      <c r="J316" s="297"/>
      <c r="K316" s="297"/>
      <c r="L316" s="297"/>
      <c r="M316" s="297"/>
      <c r="N316" s="379"/>
      <c r="O316" s="272"/>
      <c r="P316" s="272"/>
      <c r="Q316" s="272"/>
      <c r="R316" s="272"/>
      <c r="S316" s="272"/>
      <c r="T316" s="272"/>
      <c r="U316" s="272"/>
      <c r="V316" s="272"/>
      <c r="W316" s="272"/>
      <c r="X316" s="272"/>
      <c r="Y316" s="272"/>
      <c r="Z316" s="272"/>
      <c r="AA316" s="272"/>
      <c r="AB316" s="272"/>
      <c r="AC316" s="272"/>
      <c r="AD316" s="272"/>
      <c r="AE316" s="272"/>
    </row>
    <row r="317" spans="2:31" ht="15">
      <c r="B317" s="377">
        <f t="shared" si="8"/>
        <v>272</v>
      </c>
      <c r="C317" s="385" t="str" cm="1">
        <f t="array" aca="1" ref="C317" ca="1">IF(B317&lt;=$C$9,GetGetCDSName(B317),"")</f>
        <v/>
      </c>
      <c r="D317" s="345"/>
      <c r="E317" s="378"/>
      <c r="F317" s="297"/>
      <c r="G317" s="297"/>
      <c r="H317" s="297"/>
      <c r="I317" s="297"/>
      <c r="J317" s="297"/>
      <c r="K317" s="297"/>
      <c r="L317" s="297"/>
      <c r="M317" s="297"/>
      <c r="N317" s="379"/>
      <c r="O317" s="272"/>
      <c r="P317" s="272"/>
      <c r="Q317" s="272"/>
      <c r="R317" s="272"/>
      <c r="S317" s="272"/>
      <c r="T317" s="272"/>
      <c r="U317" s="272"/>
      <c r="V317" s="272"/>
      <c r="W317" s="272"/>
      <c r="X317" s="272"/>
      <c r="Y317" s="272"/>
      <c r="Z317" s="272"/>
      <c r="AA317" s="272"/>
      <c r="AB317" s="272"/>
      <c r="AC317" s="272"/>
      <c r="AD317" s="272"/>
      <c r="AE317" s="272"/>
    </row>
    <row r="318" spans="2:31" ht="15">
      <c r="B318" s="377">
        <f t="shared" si="8"/>
        <v>273</v>
      </c>
      <c r="C318" s="385" t="str" cm="1">
        <f t="array" aca="1" ref="C318" ca="1">IF(B318&lt;=$C$9,GetGetCDSName(B318),"")</f>
        <v/>
      </c>
      <c r="D318" s="345"/>
      <c r="E318" s="378"/>
      <c r="F318" s="297"/>
      <c r="G318" s="297"/>
      <c r="H318" s="297"/>
      <c r="I318" s="297"/>
      <c r="J318" s="297"/>
      <c r="K318" s="297"/>
      <c r="L318" s="297"/>
      <c r="M318" s="297"/>
      <c r="N318" s="379"/>
      <c r="O318" s="272"/>
      <c r="P318" s="272"/>
      <c r="Q318" s="272"/>
      <c r="R318" s="272"/>
      <c r="S318" s="272"/>
      <c r="T318" s="272"/>
      <c r="U318" s="272"/>
      <c r="V318" s="272"/>
      <c r="W318" s="272"/>
      <c r="X318" s="272"/>
      <c r="Y318" s="272"/>
      <c r="Z318" s="272"/>
      <c r="AA318" s="272"/>
      <c r="AB318" s="272"/>
      <c r="AC318" s="272"/>
      <c r="AD318" s="272"/>
      <c r="AE318" s="272"/>
    </row>
    <row r="319" spans="2:31" ht="15">
      <c r="B319" s="377">
        <f t="shared" si="8"/>
        <v>274</v>
      </c>
      <c r="C319" s="385" t="str" cm="1">
        <f t="array" aca="1" ref="C319" ca="1">IF(B319&lt;=$C$9,GetGetCDSName(B319),"")</f>
        <v/>
      </c>
      <c r="D319" s="345"/>
      <c r="E319" s="378"/>
      <c r="F319" s="297"/>
      <c r="G319" s="297"/>
      <c r="H319" s="297"/>
      <c r="I319" s="297"/>
      <c r="J319" s="297"/>
      <c r="K319" s="297"/>
      <c r="L319" s="297"/>
      <c r="M319" s="297"/>
      <c r="N319" s="379"/>
      <c r="O319" s="272"/>
      <c r="P319" s="272"/>
      <c r="Q319" s="272"/>
      <c r="R319" s="272"/>
      <c r="S319" s="272"/>
      <c r="T319" s="272"/>
      <c r="U319" s="272"/>
      <c r="V319" s="272"/>
      <c r="W319" s="272"/>
      <c r="X319" s="272"/>
      <c r="Y319" s="272"/>
      <c r="Z319" s="272"/>
      <c r="AA319" s="272"/>
      <c r="AB319" s="272"/>
      <c r="AC319" s="272"/>
      <c r="AD319" s="272"/>
      <c r="AE319" s="272"/>
    </row>
    <row r="320" spans="2:31" ht="15">
      <c r="B320" s="377">
        <f t="shared" si="8"/>
        <v>275</v>
      </c>
      <c r="C320" s="385" t="str" cm="1">
        <f t="array" aca="1" ref="C320" ca="1">IF(B320&lt;=$C$9,GetGetCDSName(B320),"")</f>
        <v/>
      </c>
      <c r="D320" s="345"/>
      <c r="E320" s="378"/>
      <c r="F320" s="297"/>
      <c r="G320" s="297"/>
      <c r="H320" s="297"/>
      <c r="I320" s="297"/>
      <c r="J320" s="297"/>
      <c r="K320" s="297"/>
      <c r="L320" s="297"/>
      <c r="M320" s="297"/>
      <c r="N320" s="379"/>
      <c r="O320" s="272"/>
      <c r="P320" s="272"/>
      <c r="Q320" s="272"/>
      <c r="R320" s="272"/>
      <c r="S320" s="272"/>
      <c r="T320" s="272"/>
      <c r="U320" s="272"/>
      <c r="V320" s="272"/>
      <c r="W320" s="272"/>
      <c r="X320" s="272"/>
      <c r="Y320" s="272"/>
      <c r="Z320" s="272"/>
      <c r="AA320" s="272"/>
      <c r="AB320" s="272"/>
      <c r="AC320" s="272"/>
      <c r="AD320" s="272"/>
      <c r="AE320" s="272"/>
    </row>
    <row r="321" spans="2:31" ht="15">
      <c r="B321" s="377">
        <f t="shared" si="8"/>
        <v>276</v>
      </c>
      <c r="C321" s="385" t="str" cm="1">
        <f t="array" aca="1" ref="C321" ca="1">IF(B321&lt;=$C$9,GetGetCDSName(B321),"")</f>
        <v/>
      </c>
      <c r="D321" s="345"/>
      <c r="E321" s="378"/>
      <c r="F321" s="297"/>
      <c r="G321" s="297"/>
      <c r="H321" s="297"/>
      <c r="I321" s="297"/>
      <c r="J321" s="297"/>
      <c r="K321" s="297"/>
      <c r="L321" s="297"/>
      <c r="M321" s="297"/>
      <c r="N321" s="379"/>
      <c r="O321" s="272"/>
      <c r="P321" s="272"/>
      <c r="Q321" s="272"/>
      <c r="R321" s="272"/>
      <c r="S321" s="272"/>
      <c r="T321" s="272"/>
      <c r="U321" s="272"/>
      <c r="V321" s="272"/>
      <c r="W321" s="272"/>
      <c r="X321" s="272"/>
      <c r="Y321" s="272"/>
      <c r="Z321" s="272"/>
      <c r="AA321" s="272"/>
      <c r="AB321" s="272"/>
      <c r="AC321" s="272"/>
      <c r="AD321" s="272"/>
      <c r="AE321" s="272"/>
    </row>
    <row r="322" spans="2:31" ht="15">
      <c r="B322" s="377">
        <f t="shared" si="8"/>
        <v>277</v>
      </c>
      <c r="C322" s="385" t="str" cm="1">
        <f t="array" aca="1" ref="C322" ca="1">IF(B322&lt;=$C$9,GetGetCDSName(B322),"")</f>
        <v/>
      </c>
      <c r="D322" s="345"/>
      <c r="E322" s="378"/>
      <c r="F322" s="297"/>
      <c r="G322" s="297"/>
      <c r="H322" s="297"/>
      <c r="I322" s="297"/>
      <c r="J322" s="297"/>
      <c r="K322" s="297"/>
      <c r="L322" s="297"/>
      <c r="M322" s="297"/>
      <c r="N322" s="379"/>
      <c r="O322" s="272"/>
      <c r="P322" s="272"/>
      <c r="Q322" s="272"/>
      <c r="R322" s="272"/>
      <c r="S322" s="272"/>
      <c r="T322" s="272"/>
      <c r="U322" s="272"/>
      <c r="V322" s="272"/>
      <c r="W322" s="272"/>
      <c r="X322" s="272"/>
      <c r="Y322" s="272"/>
      <c r="Z322" s="272"/>
      <c r="AA322" s="272"/>
      <c r="AB322" s="272"/>
      <c r="AC322" s="272"/>
      <c r="AD322" s="272"/>
      <c r="AE322" s="272"/>
    </row>
    <row r="323" spans="2:31" ht="15">
      <c r="B323" s="377">
        <f t="shared" si="8"/>
        <v>278</v>
      </c>
      <c r="C323" s="385" t="str" cm="1">
        <f t="array" aca="1" ref="C323" ca="1">IF(B323&lt;=$C$9,GetGetCDSName(B323),"")</f>
        <v/>
      </c>
      <c r="D323" s="345"/>
      <c r="E323" s="378"/>
      <c r="F323" s="297"/>
      <c r="G323" s="297"/>
      <c r="H323" s="297"/>
      <c r="I323" s="297"/>
      <c r="J323" s="297"/>
      <c r="K323" s="297"/>
      <c r="L323" s="297"/>
      <c r="M323" s="297"/>
      <c r="N323" s="379"/>
      <c r="O323" s="272"/>
      <c r="P323" s="272"/>
      <c r="Q323" s="272"/>
      <c r="R323" s="272"/>
      <c r="S323" s="272"/>
      <c r="T323" s="272"/>
      <c r="U323" s="272"/>
      <c r="V323" s="272"/>
      <c r="W323" s="272"/>
      <c r="X323" s="272"/>
      <c r="Y323" s="272"/>
      <c r="Z323" s="272"/>
      <c r="AA323" s="272"/>
      <c r="AB323" s="272"/>
      <c r="AC323" s="272"/>
      <c r="AD323" s="272"/>
      <c r="AE323" s="272"/>
    </row>
    <row r="324" spans="2:31" ht="15">
      <c r="B324" s="377">
        <f t="shared" si="8"/>
        <v>279</v>
      </c>
      <c r="C324" s="385" t="str" cm="1">
        <f t="array" aca="1" ref="C324" ca="1">IF(B324&lt;=$C$9,GetGetCDSName(B324),"")</f>
        <v/>
      </c>
      <c r="D324" s="345"/>
      <c r="E324" s="378"/>
      <c r="F324" s="297"/>
      <c r="G324" s="297"/>
      <c r="H324" s="297"/>
      <c r="I324" s="297"/>
      <c r="J324" s="297"/>
      <c r="K324" s="297"/>
      <c r="L324" s="297"/>
      <c r="M324" s="297"/>
      <c r="N324" s="379"/>
      <c r="O324" s="272"/>
      <c r="P324" s="272"/>
      <c r="Q324" s="272"/>
      <c r="R324" s="272"/>
      <c r="S324" s="272"/>
      <c r="T324" s="272"/>
      <c r="U324" s="272"/>
      <c r="V324" s="272"/>
      <c r="W324" s="272"/>
      <c r="X324" s="272"/>
      <c r="Y324" s="272"/>
      <c r="Z324" s="272"/>
      <c r="AA324" s="272"/>
      <c r="AB324" s="272"/>
      <c r="AC324" s="272"/>
      <c r="AD324" s="272"/>
      <c r="AE324" s="272"/>
    </row>
    <row r="325" spans="2:31" ht="15">
      <c r="B325" s="377">
        <f t="shared" si="8"/>
        <v>280</v>
      </c>
      <c r="C325" s="385" t="str" cm="1">
        <f t="array" aca="1" ref="C325" ca="1">IF(B325&lt;=$C$9,GetGetCDSName(B325),"")</f>
        <v/>
      </c>
      <c r="D325" s="345"/>
      <c r="E325" s="378"/>
      <c r="F325" s="297"/>
      <c r="G325" s="297"/>
      <c r="H325" s="297"/>
      <c r="I325" s="297"/>
      <c r="J325" s="297"/>
      <c r="K325" s="297"/>
      <c r="L325" s="297"/>
      <c r="M325" s="297"/>
      <c r="N325" s="379"/>
      <c r="O325" s="272"/>
      <c r="P325" s="272"/>
      <c r="Q325" s="272"/>
      <c r="R325" s="272"/>
      <c r="S325" s="272"/>
      <c r="T325" s="272"/>
      <c r="U325" s="272"/>
      <c r="V325" s="272"/>
      <c r="W325" s="272"/>
      <c r="X325" s="272"/>
      <c r="Y325" s="272"/>
      <c r="Z325" s="272"/>
      <c r="AA325" s="272"/>
      <c r="AB325" s="272"/>
      <c r="AC325" s="272"/>
      <c r="AD325" s="272"/>
      <c r="AE325" s="272"/>
    </row>
    <row r="326" spans="2:31" ht="15">
      <c r="B326" s="377">
        <f t="shared" si="8"/>
        <v>281</v>
      </c>
      <c r="C326" s="385" t="str" cm="1">
        <f t="array" aca="1" ref="C326" ca="1">IF(B326&lt;=$C$9,GetGetCDSName(B326),"")</f>
        <v/>
      </c>
      <c r="D326" s="345"/>
      <c r="E326" s="378"/>
      <c r="F326" s="297"/>
      <c r="G326" s="297"/>
      <c r="H326" s="297"/>
      <c r="I326" s="297"/>
      <c r="J326" s="297"/>
      <c r="K326" s="297"/>
      <c r="L326" s="297"/>
      <c r="M326" s="297"/>
      <c r="N326" s="379"/>
      <c r="O326" s="272"/>
      <c r="P326" s="272"/>
      <c r="Q326" s="272"/>
      <c r="R326" s="272"/>
      <c r="S326" s="272"/>
      <c r="T326" s="272"/>
      <c r="U326" s="272"/>
      <c r="V326" s="272"/>
      <c r="W326" s="272"/>
      <c r="X326" s="272"/>
      <c r="Y326" s="272"/>
      <c r="Z326" s="272"/>
      <c r="AA326" s="272"/>
      <c r="AB326" s="272"/>
      <c r="AC326" s="272"/>
      <c r="AD326" s="272"/>
      <c r="AE326" s="272"/>
    </row>
    <row r="327" spans="2:31" ht="15">
      <c r="B327" s="377">
        <f t="shared" si="8"/>
        <v>282</v>
      </c>
      <c r="C327" s="385" t="str" cm="1">
        <f t="array" aca="1" ref="C327" ca="1">IF(B327&lt;=$C$9,GetGetCDSName(B327),"")</f>
        <v/>
      </c>
      <c r="D327" s="345"/>
      <c r="E327" s="378"/>
      <c r="F327" s="297"/>
      <c r="G327" s="297"/>
      <c r="H327" s="297"/>
      <c r="I327" s="297"/>
      <c r="J327" s="297"/>
      <c r="K327" s="297"/>
      <c r="L327" s="297"/>
      <c r="M327" s="297"/>
      <c r="N327" s="379"/>
      <c r="O327" s="272"/>
      <c r="P327" s="272"/>
      <c r="Q327" s="272"/>
      <c r="R327" s="272"/>
      <c r="S327" s="272"/>
      <c r="T327" s="272"/>
      <c r="U327" s="272"/>
      <c r="V327" s="272"/>
      <c r="W327" s="272"/>
      <c r="X327" s="272"/>
      <c r="Y327" s="272"/>
      <c r="Z327" s="272"/>
      <c r="AA327" s="272"/>
      <c r="AB327" s="272"/>
      <c r="AC327" s="272"/>
      <c r="AD327" s="272"/>
      <c r="AE327" s="272"/>
    </row>
    <row r="328" spans="2:31" ht="15">
      <c r="B328" s="377">
        <f t="shared" si="8"/>
        <v>283</v>
      </c>
      <c r="C328" s="385" t="str" cm="1">
        <f t="array" aca="1" ref="C328" ca="1">IF(B328&lt;=$C$9,GetGetCDSName(B328),"")</f>
        <v/>
      </c>
      <c r="D328" s="345"/>
      <c r="E328" s="378"/>
      <c r="F328" s="297"/>
      <c r="G328" s="297"/>
      <c r="H328" s="297"/>
      <c r="I328" s="297"/>
      <c r="J328" s="297"/>
      <c r="K328" s="297"/>
      <c r="L328" s="297"/>
      <c r="M328" s="297"/>
      <c r="N328" s="379"/>
      <c r="O328" s="272"/>
      <c r="P328" s="272"/>
      <c r="Q328" s="272"/>
      <c r="R328" s="272"/>
      <c r="S328" s="272"/>
      <c r="T328" s="272"/>
      <c r="U328" s="272"/>
      <c r="V328" s="272"/>
      <c r="W328" s="272"/>
      <c r="X328" s="272"/>
      <c r="Y328" s="272"/>
      <c r="Z328" s="272"/>
      <c r="AA328" s="272"/>
      <c r="AB328" s="272"/>
      <c r="AC328" s="272"/>
      <c r="AD328" s="272"/>
      <c r="AE328" s="272"/>
    </row>
    <row r="329" spans="2:31" ht="15">
      <c r="B329" s="377">
        <f t="shared" si="8"/>
        <v>284</v>
      </c>
      <c r="C329" s="385" t="str" cm="1">
        <f t="array" aca="1" ref="C329" ca="1">IF(B329&lt;=$C$9,GetGetCDSName(B329),"")</f>
        <v/>
      </c>
      <c r="D329" s="345"/>
      <c r="E329" s="378"/>
      <c r="F329" s="297"/>
      <c r="G329" s="297"/>
      <c r="H329" s="297"/>
      <c r="I329" s="297"/>
      <c r="J329" s="297"/>
      <c r="K329" s="297"/>
      <c r="L329" s="297"/>
      <c r="M329" s="297"/>
      <c r="N329" s="379"/>
      <c r="O329" s="272"/>
      <c r="P329" s="272"/>
      <c r="Q329" s="272"/>
      <c r="R329" s="272"/>
      <c r="S329" s="272"/>
      <c r="T329" s="272"/>
      <c r="U329" s="272"/>
      <c r="V329" s="272"/>
      <c r="W329" s="272"/>
      <c r="X329" s="272"/>
      <c r="Y329" s="272"/>
      <c r="Z329" s="272"/>
      <c r="AA329" s="272"/>
      <c r="AB329" s="272"/>
      <c r="AC329" s="272"/>
      <c r="AD329" s="272"/>
      <c r="AE329" s="272"/>
    </row>
    <row r="330" spans="2:31" ht="15">
      <c r="B330" s="377">
        <f t="shared" si="8"/>
        <v>285</v>
      </c>
      <c r="C330" s="385" t="str" cm="1">
        <f t="array" aca="1" ref="C330" ca="1">IF(B330&lt;=$C$9,GetGetCDSName(B330),"")</f>
        <v/>
      </c>
      <c r="D330" s="345"/>
      <c r="E330" s="378"/>
      <c r="F330" s="297"/>
      <c r="G330" s="297"/>
      <c r="H330" s="297"/>
      <c r="I330" s="297"/>
      <c r="J330" s="297"/>
      <c r="K330" s="297"/>
      <c r="L330" s="297"/>
      <c r="M330" s="297"/>
      <c r="N330" s="379"/>
      <c r="O330" s="272"/>
      <c r="P330" s="272"/>
      <c r="Q330" s="272"/>
      <c r="R330" s="272"/>
      <c r="S330" s="272"/>
      <c r="T330" s="272"/>
      <c r="U330" s="272"/>
      <c r="V330" s="272"/>
      <c r="W330" s="272"/>
      <c r="X330" s="272"/>
      <c r="Y330" s="272"/>
      <c r="Z330" s="272"/>
      <c r="AA330" s="272"/>
      <c r="AB330" s="272"/>
      <c r="AC330" s="272"/>
      <c r="AD330" s="272"/>
      <c r="AE330" s="272"/>
    </row>
    <row r="331" spans="2:31" ht="15">
      <c r="B331" s="377">
        <f t="shared" si="8"/>
        <v>286</v>
      </c>
      <c r="C331" s="385" t="str" cm="1">
        <f t="array" aca="1" ref="C331" ca="1">IF(B331&lt;=$C$9,GetGetCDSName(B331),"")</f>
        <v/>
      </c>
      <c r="D331" s="345"/>
      <c r="E331" s="378"/>
      <c r="F331" s="297"/>
      <c r="G331" s="297"/>
      <c r="H331" s="297"/>
      <c r="I331" s="297"/>
      <c r="J331" s="297"/>
      <c r="K331" s="297"/>
      <c r="L331" s="297"/>
      <c r="M331" s="297"/>
      <c r="N331" s="379"/>
      <c r="O331" s="272"/>
      <c r="P331" s="272"/>
      <c r="Q331" s="272"/>
      <c r="R331" s="272"/>
      <c r="S331" s="272"/>
      <c r="T331" s="272"/>
      <c r="U331" s="272"/>
      <c r="V331" s="272"/>
      <c r="W331" s="272"/>
      <c r="X331" s="272"/>
      <c r="Y331" s="272"/>
      <c r="Z331" s="272"/>
      <c r="AA331" s="272"/>
      <c r="AB331" s="272"/>
      <c r="AC331" s="272"/>
      <c r="AD331" s="272"/>
      <c r="AE331" s="272"/>
    </row>
    <row r="332" spans="2:31" ht="15">
      <c r="B332" s="377">
        <f t="shared" si="8"/>
        <v>287</v>
      </c>
      <c r="C332" s="385" t="str" cm="1">
        <f t="array" aca="1" ref="C332" ca="1">IF(B332&lt;=$C$9,GetGetCDSName(B332),"")</f>
        <v/>
      </c>
      <c r="D332" s="345"/>
      <c r="E332" s="378"/>
      <c r="F332" s="297"/>
      <c r="G332" s="297"/>
      <c r="H332" s="297"/>
      <c r="I332" s="297"/>
      <c r="J332" s="297"/>
      <c r="K332" s="297"/>
      <c r="L332" s="297"/>
      <c r="M332" s="297"/>
      <c r="N332" s="379"/>
      <c r="O332" s="272"/>
      <c r="P332" s="272"/>
      <c r="Q332" s="272"/>
      <c r="R332" s="272"/>
      <c r="S332" s="272"/>
      <c r="T332" s="272"/>
      <c r="U332" s="272"/>
      <c r="V332" s="272"/>
      <c r="W332" s="272"/>
      <c r="X332" s="272"/>
      <c r="Y332" s="272"/>
      <c r="Z332" s="272"/>
      <c r="AA332" s="272"/>
      <c r="AB332" s="272"/>
      <c r="AC332" s="272"/>
      <c r="AD332" s="272"/>
      <c r="AE332" s="272"/>
    </row>
    <row r="333" spans="2:31" ht="15">
      <c r="B333" s="377">
        <f t="shared" si="8"/>
        <v>288</v>
      </c>
      <c r="C333" s="385" t="str" cm="1">
        <f t="array" aca="1" ref="C333" ca="1">IF(B333&lt;=$C$9,GetGetCDSName(B333),"")</f>
        <v/>
      </c>
      <c r="D333" s="345"/>
      <c r="E333" s="378"/>
      <c r="F333" s="297"/>
      <c r="G333" s="297"/>
      <c r="H333" s="297"/>
      <c r="I333" s="297"/>
      <c r="J333" s="297"/>
      <c r="K333" s="297"/>
      <c r="L333" s="297"/>
      <c r="M333" s="297"/>
      <c r="N333" s="379"/>
      <c r="O333" s="272"/>
      <c r="P333" s="272"/>
      <c r="Q333" s="272"/>
      <c r="R333" s="272"/>
      <c r="S333" s="272"/>
      <c r="T333" s="272"/>
      <c r="U333" s="272"/>
      <c r="V333" s="272"/>
      <c r="W333" s="272"/>
      <c r="X333" s="272"/>
      <c r="Y333" s="272"/>
      <c r="Z333" s="272"/>
      <c r="AA333" s="272"/>
      <c r="AB333" s="272"/>
      <c r="AC333" s="272"/>
      <c r="AD333" s="272"/>
      <c r="AE333" s="272"/>
    </row>
    <row r="334" spans="2:31" ht="15">
      <c r="B334" s="377">
        <f t="shared" si="8"/>
        <v>289</v>
      </c>
      <c r="C334" s="385" t="str" cm="1">
        <f t="array" aca="1" ref="C334" ca="1">IF(B334&lt;=$C$9,GetGetCDSName(B334),"")</f>
        <v/>
      </c>
      <c r="D334" s="345"/>
      <c r="E334" s="378"/>
      <c r="F334" s="297"/>
      <c r="G334" s="297"/>
      <c r="H334" s="297"/>
      <c r="I334" s="297"/>
      <c r="J334" s="297"/>
      <c r="K334" s="297"/>
      <c r="L334" s="297"/>
      <c r="M334" s="297"/>
      <c r="N334" s="379"/>
      <c r="O334" s="272"/>
      <c r="P334" s="272"/>
      <c r="Q334" s="272"/>
      <c r="R334" s="272"/>
      <c r="S334" s="272"/>
      <c r="T334" s="272"/>
      <c r="U334" s="272"/>
      <c r="V334" s="272"/>
      <c r="W334" s="272"/>
      <c r="X334" s="272"/>
      <c r="Y334" s="272"/>
      <c r="Z334" s="272"/>
      <c r="AA334" s="272"/>
      <c r="AB334" s="272"/>
      <c r="AC334" s="272"/>
      <c r="AD334" s="272"/>
      <c r="AE334" s="272"/>
    </row>
    <row r="335" spans="2:31" ht="15">
      <c r="B335" s="377">
        <f t="shared" si="8"/>
        <v>290</v>
      </c>
      <c r="C335" s="385" t="str" cm="1">
        <f t="array" aca="1" ref="C335" ca="1">IF(B335&lt;=$C$9,GetGetCDSName(B335),"")</f>
        <v/>
      </c>
      <c r="D335" s="345"/>
      <c r="E335" s="378"/>
      <c r="F335" s="297"/>
      <c r="G335" s="297"/>
      <c r="H335" s="297"/>
      <c r="I335" s="297"/>
      <c r="J335" s="297"/>
      <c r="K335" s="297"/>
      <c r="L335" s="297"/>
      <c r="M335" s="297"/>
      <c r="N335" s="379"/>
      <c r="O335" s="272"/>
      <c r="P335" s="272"/>
      <c r="Q335" s="272"/>
      <c r="R335" s="272"/>
      <c r="S335" s="272"/>
      <c r="T335" s="272"/>
      <c r="U335" s="272"/>
      <c r="V335" s="272"/>
      <c r="W335" s="272"/>
      <c r="X335" s="272"/>
      <c r="Y335" s="272"/>
      <c r="Z335" s="272"/>
      <c r="AA335" s="272"/>
      <c r="AB335" s="272"/>
      <c r="AC335" s="272"/>
      <c r="AD335" s="272"/>
      <c r="AE335" s="272"/>
    </row>
    <row r="336" spans="2:31" ht="15">
      <c r="B336" s="377">
        <f t="shared" si="8"/>
        <v>291</v>
      </c>
      <c r="C336" s="385" t="str" cm="1">
        <f t="array" aca="1" ref="C336" ca="1">IF(B336&lt;=$C$9,GetGetCDSName(B336),"")</f>
        <v/>
      </c>
      <c r="D336" s="345"/>
      <c r="E336" s="378"/>
      <c r="F336" s="297"/>
      <c r="G336" s="297"/>
      <c r="H336" s="297"/>
      <c r="I336" s="297"/>
      <c r="J336" s="297"/>
      <c r="K336" s="297"/>
      <c r="L336" s="297"/>
      <c r="M336" s="297"/>
      <c r="N336" s="379"/>
      <c r="O336" s="272"/>
      <c r="P336" s="272"/>
      <c r="Q336" s="272"/>
      <c r="R336" s="272"/>
      <c r="S336" s="272"/>
      <c r="T336" s="272"/>
      <c r="U336" s="272"/>
      <c r="V336" s="272"/>
      <c r="W336" s="272"/>
      <c r="X336" s="272"/>
      <c r="Y336" s="272"/>
      <c r="Z336" s="272"/>
      <c r="AA336" s="272"/>
      <c r="AB336" s="272"/>
      <c r="AC336" s="272"/>
      <c r="AD336" s="272"/>
      <c r="AE336" s="272"/>
    </row>
    <row r="337" spans="2:31" ht="15">
      <c r="B337" s="377">
        <f t="shared" si="8"/>
        <v>292</v>
      </c>
      <c r="C337" s="385" t="str" cm="1">
        <f t="array" aca="1" ref="C337" ca="1">IF(B337&lt;=$C$9,GetGetCDSName(B337),"")</f>
        <v/>
      </c>
      <c r="D337" s="345"/>
      <c r="E337" s="378"/>
      <c r="F337" s="297"/>
      <c r="G337" s="297"/>
      <c r="H337" s="297"/>
      <c r="I337" s="297"/>
      <c r="J337" s="297"/>
      <c r="K337" s="297"/>
      <c r="L337" s="297"/>
      <c r="M337" s="297"/>
      <c r="N337" s="379"/>
      <c r="O337" s="272"/>
      <c r="P337" s="272"/>
      <c r="Q337" s="272"/>
      <c r="R337" s="272"/>
      <c r="S337" s="272"/>
      <c r="T337" s="272"/>
      <c r="U337" s="272"/>
      <c r="V337" s="272"/>
      <c r="W337" s="272"/>
      <c r="X337" s="272"/>
      <c r="Y337" s="272"/>
      <c r="Z337" s="272"/>
      <c r="AA337" s="272"/>
      <c r="AB337" s="272"/>
      <c r="AC337" s="272"/>
      <c r="AD337" s="272"/>
      <c r="AE337" s="272"/>
    </row>
    <row r="338" spans="2:31" ht="15">
      <c r="B338" s="377">
        <f t="shared" si="8"/>
        <v>293</v>
      </c>
      <c r="C338" s="385" t="str" cm="1">
        <f t="array" aca="1" ref="C338" ca="1">IF(B338&lt;=$C$9,GetGetCDSName(B338),"")</f>
        <v/>
      </c>
      <c r="D338" s="345"/>
      <c r="E338" s="378"/>
      <c r="F338" s="297"/>
      <c r="G338" s="297"/>
      <c r="H338" s="297"/>
      <c r="I338" s="297"/>
      <c r="J338" s="297"/>
      <c r="K338" s="297"/>
      <c r="L338" s="297"/>
      <c r="M338" s="297"/>
      <c r="N338" s="379"/>
      <c r="O338" s="272"/>
      <c r="P338" s="272"/>
      <c r="Q338" s="272"/>
      <c r="R338" s="272"/>
      <c r="S338" s="272"/>
      <c r="T338" s="272"/>
      <c r="U338" s="272"/>
      <c r="V338" s="272"/>
      <c r="W338" s="272"/>
      <c r="X338" s="272"/>
      <c r="Y338" s="272"/>
      <c r="Z338" s="272"/>
      <c r="AA338" s="272"/>
      <c r="AB338" s="272"/>
      <c r="AC338" s="272"/>
      <c r="AD338" s="272"/>
      <c r="AE338" s="272"/>
    </row>
    <row r="339" spans="2:31" ht="15">
      <c r="B339" s="377">
        <f t="shared" si="8"/>
        <v>294</v>
      </c>
      <c r="C339" s="385" t="str" cm="1">
        <f t="array" aca="1" ref="C339" ca="1">IF(B339&lt;=$C$9,GetGetCDSName(B339),"")</f>
        <v/>
      </c>
      <c r="D339" s="345"/>
      <c r="E339" s="378"/>
      <c r="F339" s="297"/>
      <c r="G339" s="297"/>
      <c r="H339" s="297"/>
      <c r="I339" s="297"/>
      <c r="J339" s="297"/>
      <c r="K339" s="297"/>
      <c r="L339" s="297"/>
      <c r="M339" s="297"/>
      <c r="N339" s="379"/>
      <c r="O339" s="272"/>
      <c r="P339" s="272"/>
      <c r="Q339" s="272"/>
      <c r="R339" s="272"/>
      <c r="S339" s="272"/>
      <c r="T339" s="272"/>
      <c r="U339" s="272"/>
      <c r="V339" s="272"/>
      <c r="W339" s="272"/>
      <c r="X339" s="272"/>
      <c r="Y339" s="272"/>
      <c r="Z339" s="272"/>
      <c r="AA339" s="272"/>
      <c r="AB339" s="272"/>
      <c r="AC339" s="272"/>
      <c r="AD339" s="272"/>
      <c r="AE339" s="272"/>
    </row>
    <row r="340" spans="2:31" ht="15">
      <c r="B340" s="377">
        <f t="shared" si="8"/>
        <v>295</v>
      </c>
      <c r="C340" s="385" t="str" cm="1">
        <f t="array" aca="1" ref="C340" ca="1">IF(B340&lt;=$C$9,GetGetCDSName(B340),"")</f>
        <v/>
      </c>
      <c r="D340" s="345"/>
      <c r="E340" s="378"/>
      <c r="F340" s="297"/>
      <c r="G340" s="297"/>
      <c r="H340" s="297"/>
      <c r="I340" s="297"/>
      <c r="J340" s="297"/>
      <c r="K340" s="297"/>
      <c r="L340" s="297"/>
      <c r="M340" s="297"/>
      <c r="N340" s="379"/>
      <c r="O340" s="272"/>
      <c r="P340" s="272"/>
      <c r="Q340" s="272"/>
      <c r="R340" s="272"/>
      <c r="S340" s="272"/>
      <c r="T340" s="272"/>
      <c r="U340" s="272"/>
      <c r="V340" s="272"/>
      <c r="W340" s="272"/>
      <c r="X340" s="272"/>
      <c r="Y340" s="272"/>
      <c r="Z340" s="272"/>
      <c r="AA340" s="272"/>
      <c r="AB340" s="272"/>
      <c r="AC340" s="272"/>
      <c r="AD340" s="272"/>
      <c r="AE340" s="272"/>
    </row>
    <row r="341" spans="2:31" ht="15">
      <c r="B341" s="377">
        <f t="shared" si="8"/>
        <v>296</v>
      </c>
      <c r="C341" s="385" t="str" cm="1">
        <f t="array" aca="1" ref="C341" ca="1">IF(B341&lt;=$C$9,GetGetCDSName(B341),"")</f>
        <v/>
      </c>
      <c r="D341" s="345"/>
      <c r="E341" s="378"/>
      <c r="F341" s="297"/>
      <c r="G341" s="297"/>
      <c r="H341" s="297"/>
      <c r="I341" s="297"/>
      <c r="J341" s="297"/>
      <c r="K341" s="297"/>
      <c r="L341" s="297"/>
      <c r="M341" s="297"/>
      <c r="N341" s="379"/>
      <c r="O341" s="272"/>
      <c r="P341" s="272"/>
      <c r="Q341" s="272"/>
      <c r="R341" s="272"/>
      <c r="S341" s="272"/>
      <c r="T341" s="272"/>
      <c r="U341" s="272"/>
      <c r="V341" s="272"/>
      <c r="W341" s="272"/>
      <c r="X341" s="272"/>
      <c r="Y341" s="272"/>
      <c r="Z341" s="272"/>
      <c r="AA341" s="272"/>
      <c r="AB341" s="272"/>
      <c r="AC341" s="272"/>
      <c r="AD341" s="272"/>
      <c r="AE341" s="272"/>
    </row>
    <row r="342" spans="2:31" ht="15">
      <c r="B342" s="377">
        <f t="shared" si="8"/>
        <v>297</v>
      </c>
      <c r="C342" s="385" t="str" cm="1">
        <f t="array" aca="1" ref="C342" ca="1">IF(B342&lt;=$C$9,GetGetCDSName(B342),"")</f>
        <v/>
      </c>
      <c r="D342" s="345"/>
      <c r="E342" s="378"/>
      <c r="F342" s="297"/>
      <c r="G342" s="297"/>
      <c r="H342" s="297"/>
      <c r="I342" s="297"/>
      <c r="J342" s="297"/>
      <c r="K342" s="297"/>
      <c r="L342" s="297"/>
      <c r="M342" s="297"/>
      <c r="N342" s="379"/>
      <c r="O342" s="272"/>
      <c r="P342" s="272"/>
      <c r="Q342" s="272"/>
      <c r="R342" s="272"/>
      <c r="S342" s="272"/>
      <c r="T342" s="272"/>
      <c r="U342" s="272"/>
      <c r="V342" s="272"/>
      <c r="W342" s="272"/>
      <c r="X342" s="272"/>
      <c r="Y342" s="272"/>
      <c r="Z342" s="272"/>
      <c r="AA342" s="272"/>
      <c r="AB342" s="272"/>
      <c r="AC342" s="272"/>
      <c r="AD342" s="272"/>
      <c r="AE342" s="272"/>
    </row>
    <row r="343" spans="2:31" ht="15">
      <c r="B343" s="377">
        <f t="shared" si="8"/>
        <v>298</v>
      </c>
      <c r="C343" s="385" t="str" cm="1">
        <f t="array" aca="1" ref="C343" ca="1">IF(B343&lt;=$C$9,GetGetCDSName(B343),"")</f>
        <v/>
      </c>
      <c r="D343" s="345"/>
      <c r="E343" s="378"/>
      <c r="F343" s="297"/>
      <c r="G343" s="297"/>
      <c r="H343" s="297"/>
      <c r="I343" s="297"/>
      <c r="J343" s="297"/>
      <c r="K343" s="297"/>
      <c r="L343" s="297"/>
      <c r="M343" s="297"/>
      <c r="N343" s="379"/>
      <c r="O343" s="272"/>
      <c r="P343" s="272"/>
      <c r="Q343" s="272"/>
      <c r="R343" s="272"/>
      <c r="S343" s="272"/>
      <c r="T343" s="272"/>
      <c r="U343" s="272"/>
      <c r="V343" s="272"/>
      <c r="W343" s="272"/>
      <c r="X343" s="272"/>
      <c r="Y343" s="272"/>
      <c r="Z343" s="272"/>
      <c r="AA343" s="272"/>
      <c r="AB343" s="272"/>
      <c r="AC343" s="272"/>
      <c r="AD343" s="272"/>
      <c r="AE343" s="272"/>
    </row>
    <row r="344" spans="2:31" ht="15">
      <c r="B344" s="377">
        <f t="shared" si="8"/>
        <v>299</v>
      </c>
      <c r="C344" s="385" t="str" cm="1">
        <f t="array" aca="1" ref="C344" ca="1">IF(B344&lt;=$C$9,GetGetCDSName(B344),"")</f>
        <v/>
      </c>
      <c r="D344" s="345"/>
      <c r="E344" s="378"/>
      <c r="F344" s="297"/>
      <c r="G344" s="297"/>
      <c r="H344" s="297"/>
      <c r="I344" s="297"/>
      <c r="J344" s="297"/>
      <c r="K344" s="297"/>
      <c r="L344" s="297"/>
      <c r="M344" s="297"/>
      <c r="N344" s="379"/>
      <c r="O344" s="272"/>
      <c r="P344" s="272"/>
      <c r="Q344" s="272"/>
      <c r="R344" s="272"/>
      <c r="S344" s="272"/>
      <c r="T344" s="272"/>
      <c r="U344" s="272"/>
      <c r="V344" s="272"/>
      <c r="W344" s="272"/>
      <c r="X344" s="272"/>
      <c r="Y344" s="272"/>
      <c r="Z344" s="272"/>
      <c r="AA344" s="272"/>
      <c r="AB344" s="272"/>
      <c r="AC344" s="272"/>
      <c r="AD344" s="272"/>
      <c r="AE344" s="272"/>
    </row>
    <row r="345" spans="2:31" ht="15.75" thickBot="1">
      <c r="B345" s="380">
        <f t="shared" si="8"/>
        <v>300</v>
      </c>
      <c r="C345" s="385" t="str" cm="1">
        <f t="array" aca="1" ref="C345" ca="1">IF(B345&lt;=$C$9,GetGetCDSName(B345),"")</f>
        <v/>
      </c>
      <c r="D345" s="381"/>
      <c r="E345" s="382"/>
      <c r="F345" s="383"/>
      <c r="G345" s="383"/>
      <c r="H345" s="383"/>
      <c r="I345" s="383"/>
      <c r="J345" s="383"/>
      <c r="K345" s="383"/>
      <c r="L345" s="383"/>
      <c r="M345" s="383"/>
      <c r="N345" s="384"/>
      <c r="O345" s="272"/>
      <c r="P345" s="272"/>
      <c r="Q345" s="272"/>
      <c r="R345" s="272"/>
      <c r="S345" s="272"/>
      <c r="T345" s="272"/>
      <c r="U345" s="272"/>
      <c r="V345" s="272"/>
      <c r="W345" s="272"/>
      <c r="X345" s="272"/>
      <c r="Y345" s="272"/>
      <c r="Z345" s="272"/>
      <c r="AA345" s="272"/>
      <c r="AB345" s="272"/>
      <c r="AC345" s="272"/>
      <c r="AD345" s="272"/>
      <c r="AE345" s="272"/>
    </row>
    <row r="346" spans="2:31">
      <c r="O346" s="272"/>
      <c r="P346" s="272"/>
      <c r="Q346" s="272"/>
      <c r="R346" s="272"/>
      <c r="S346" s="272"/>
      <c r="T346" s="272"/>
      <c r="U346" s="272"/>
      <c r="V346" s="272"/>
      <c r="W346" s="272"/>
      <c r="X346" s="272"/>
      <c r="Y346" s="272"/>
      <c r="Z346" s="272"/>
      <c r="AA346" s="272"/>
      <c r="AB346" s="272"/>
      <c r="AC346" s="272"/>
      <c r="AD346" s="272"/>
      <c r="AE346" s="272"/>
    </row>
    <row r="347" spans="2:31">
      <c r="O347" s="272"/>
      <c r="P347" s="272"/>
      <c r="Q347" s="272"/>
      <c r="R347" s="272"/>
      <c r="S347" s="272"/>
      <c r="T347" s="272"/>
      <c r="U347" s="272"/>
      <c r="V347" s="272"/>
      <c r="W347" s="272"/>
      <c r="X347" s="272"/>
      <c r="Y347" s="272"/>
      <c r="Z347" s="272"/>
      <c r="AA347" s="272"/>
      <c r="AB347" s="272"/>
      <c r="AC347" s="272"/>
      <c r="AD347" s="272"/>
      <c r="AE347" s="272"/>
    </row>
    <row r="348" spans="2:31">
      <c r="O348" s="272"/>
      <c r="P348" s="272"/>
      <c r="Q348" s="272"/>
      <c r="R348" s="272"/>
      <c r="S348" s="272"/>
      <c r="T348" s="272"/>
      <c r="U348" s="272"/>
      <c r="V348" s="272"/>
      <c r="W348" s="272"/>
      <c r="X348" s="272"/>
      <c r="Y348" s="272"/>
      <c r="Z348" s="272"/>
      <c r="AA348" s="272"/>
      <c r="AB348" s="272"/>
      <c r="AC348" s="272"/>
      <c r="AD348" s="272"/>
      <c r="AE348" s="272"/>
    </row>
    <row r="349" spans="2:31">
      <c r="O349" s="272"/>
      <c r="P349" s="272"/>
      <c r="Q349" s="272"/>
      <c r="R349" s="272"/>
      <c r="S349" s="272"/>
      <c r="T349" s="272"/>
      <c r="U349" s="272"/>
      <c r="V349" s="272"/>
      <c r="W349" s="272"/>
      <c r="X349" s="272"/>
      <c r="Y349" s="272"/>
      <c r="Z349" s="272"/>
      <c r="AA349" s="272"/>
      <c r="AB349" s="272"/>
      <c r="AC349" s="272"/>
      <c r="AD349" s="272"/>
      <c r="AE349" s="272"/>
    </row>
    <row r="350" spans="2:31">
      <c r="O350" s="272"/>
      <c r="P350" s="272"/>
      <c r="Q350" s="272"/>
      <c r="R350" s="272"/>
      <c r="S350" s="272"/>
      <c r="T350" s="272"/>
      <c r="U350" s="272"/>
      <c r="V350" s="272"/>
      <c r="W350" s="272"/>
      <c r="X350" s="272"/>
      <c r="Y350" s="272"/>
      <c r="Z350" s="272"/>
      <c r="AA350" s="272"/>
      <c r="AB350" s="272"/>
      <c r="AC350" s="272"/>
      <c r="AD350" s="272"/>
      <c r="AE350" s="272"/>
    </row>
    <row r="351" spans="2:31">
      <c r="O351" s="272"/>
      <c r="P351" s="272"/>
      <c r="Q351" s="272"/>
      <c r="R351" s="272"/>
      <c r="S351" s="272"/>
      <c r="T351" s="272"/>
      <c r="U351" s="272"/>
      <c r="V351" s="272"/>
      <c r="W351" s="272"/>
      <c r="X351" s="272"/>
      <c r="Y351" s="272"/>
      <c r="Z351" s="272"/>
      <c r="AA351" s="272"/>
      <c r="AB351" s="272"/>
      <c r="AC351" s="272"/>
      <c r="AD351" s="272"/>
      <c r="AE351" s="272"/>
    </row>
    <row r="352" spans="2:31">
      <c r="O352" s="272"/>
      <c r="P352" s="272"/>
      <c r="Q352" s="272"/>
      <c r="R352" s="272"/>
      <c r="S352" s="272"/>
      <c r="T352" s="272"/>
      <c r="U352" s="272"/>
      <c r="V352" s="272"/>
      <c r="W352" s="272"/>
      <c r="X352" s="272"/>
      <c r="Y352" s="272"/>
      <c r="Z352" s="272"/>
      <c r="AA352" s="272"/>
      <c r="AB352" s="272"/>
      <c r="AC352" s="272"/>
      <c r="AD352" s="272"/>
      <c r="AE352" s="272"/>
    </row>
    <row r="353" spans="15:31">
      <c r="O353" s="272"/>
      <c r="P353" s="272"/>
      <c r="Q353" s="272"/>
      <c r="R353" s="272"/>
      <c r="S353" s="272"/>
      <c r="T353" s="272"/>
      <c r="U353" s="272"/>
      <c r="V353" s="272"/>
      <c r="W353" s="272"/>
      <c r="X353" s="272"/>
      <c r="Y353" s="272"/>
      <c r="Z353" s="272"/>
      <c r="AA353" s="272"/>
      <c r="AB353" s="272"/>
      <c r="AC353" s="272"/>
      <c r="AD353" s="272"/>
      <c r="AE353" s="272"/>
    </row>
    <row r="354" spans="15:31">
      <c r="O354" s="272"/>
      <c r="P354" s="272"/>
      <c r="Q354" s="272"/>
      <c r="R354" s="272"/>
      <c r="S354" s="272"/>
      <c r="T354" s="272"/>
      <c r="U354" s="272"/>
      <c r="V354" s="272"/>
      <c r="W354" s="272"/>
      <c r="X354" s="272"/>
      <c r="Y354" s="272"/>
      <c r="Z354" s="272"/>
      <c r="AA354" s="272"/>
      <c r="AB354" s="272"/>
      <c r="AC354" s="272"/>
      <c r="AD354" s="272"/>
      <c r="AE354" s="272"/>
    </row>
    <row r="355" spans="15:31">
      <c r="O355" s="272"/>
      <c r="P355" s="272"/>
      <c r="Q355" s="272"/>
      <c r="R355" s="272"/>
      <c r="S355" s="272"/>
      <c r="T355" s="272"/>
      <c r="U355" s="272"/>
      <c r="V355" s="272"/>
      <c r="W355" s="272"/>
      <c r="X355" s="272"/>
      <c r="Y355" s="272"/>
      <c r="Z355" s="272"/>
      <c r="AA355" s="272"/>
      <c r="AB355" s="272"/>
      <c r="AC355" s="272"/>
      <c r="AD355" s="272"/>
      <c r="AE355" s="272"/>
    </row>
    <row r="356" spans="15:31">
      <c r="O356" s="272"/>
      <c r="P356" s="272"/>
      <c r="Q356" s="272"/>
      <c r="R356" s="272"/>
      <c r="S356" s="272"/>
      <c r="T356" s="272"/>
      <c r="U356" s="272"/>
      <c r="V356" s="272"/>
      <c r="W356" s="272"/>
      <c r="X356" s="272"/>
      <c r="Y356" s="272"/>
      <c r="Z356" s="272"/>
      <c r="AA356" s="272"/>
      <c r="AB356" s="272"/>
      <c r="AC356" s="272"/>
      <c r="AD356" s="272"/>
      <c r="AE356" s="272"/>
    </row>
    <row r="357" spans="15:31">
      <c r="O357" s="272"/>
      <c r="P357" s="272"/>
      <c r="Q357" s="272"/>
      <c r="R357" s="272"/>
      <c r="S357" s="272"/>
      <c r="T357" s="272"/>
      <c r="U357" s="272"/>
      <c r="V357" s="272"/>
      <c r="W357" s="272"/>
      <c r="X357" s="272"/>
      <c r="Y357" s="272"/>
      <c r="Z357" s="272"/>
      <c r="AA357" s="272"/>
      <c r="AB357" s="272"/>
      <c r="AC357" s="272"/>
      <c r="AD357" s="272"/>
      <c r="AE357" s="272"/>
    </row>
    <row r="358" spans="15:31">
      <c r="O358" s="272"/>
      <c r="P358" s="272"/>
      <c r="Q358" s="272"/>
      <c r="R358" s="272"/>
      <c r="S358" s="272"/>
      <c r="T358" s="272"/>
      <c r="U358" s="272"/>
      <c r="V358" s="272"/>
      <c r="W358" s="272"/>
      <c r="X358" s="272"/>
      <c r="Y358" s="272"/>
      <c r="Z358" s="272"/>
      <c r="AA358" s="272"/>
      <c r="AB358" s="272"/>
      <c r="AC358" s="272"/>
      <c r="AD358" s="272"/>
      <c r="AE358" s="272"/>
    </row>
    <row r="359" spans="15:31">
      <c r="O359" s="272"/>
      <c r="P359" s="272"/>
      <c r="Q359" s="272"/>
      <c r="R359" s="272"/>
      <c r="S359" s="272"/>
      <c r="T359" s="272"/>
      <c r="U359" s="272"/>
      <c r="V359" s="272"/>
      <c r="W359" s="272"/>
      <c r="X359" s="272"/>
      <c r="Y359" s="272"/>
      <c r="Z359" s="272"/>
      <c r="AA359" s="272"/>
      <c r="AB359" s="272"/>
      <c r="AC359" s="272"/>
      <c r="AD359" s="272"/>
      <c r="AE359" s="272"/>
    </row>
    <row r="360" spans="15:31">
      <c r="O360" s="272"/>
      <c r="P360" s="272"/>
      <c r="Q360" s="272"/>
      <c r="R360" s="272"/>
      <c r="S360" s="272"/>
      <c r="T360" s="272"/>
      <c r="U360" s="272"/>
      <c r="V360" s="272"/>
      <c r="W360" s="272"/>
      <c r="X360" s="272"/>
      <c r="Y360" s="272"/>
      <c r="Z360" s="272"/>
      <c r="AA360" s="272"/>
      <c r="AB360" s="272"/>
      <c r="AC360" s="272"/>
      <c r="AD360" s="272"/>
      <c r="AE360" s="272"/>
    </row>
    <row r="361" spans="15:31">
      <c r="O361" s="272"/>
      <c r="P361" s="272"/>
      <c r="Q361" s="272"/>
      <c r="R361" s="272"/>
      <c r="S361" s="272"/>
      <c r="T361" s="272"/>
      <c r="U361" s="272"/>
      <c r="V361" s="272"/>
      <c r="W361" s="272"/>
      <c r="X361" s="272"/>
      <c r="Y361" s="272"/>
      <c r="Z361" s="272"/>
      <c r="AA361" s="272"/>
      <c r="AB361" s="272"/>
      <c r="AC361" s="272"/>
      <c r="AD361" s="272"/>
      <c r="AE361" s="272"/>
    </row>
    <row r="362" spans="15:31">
      <c r="O362" s="272"/>
      <c r="P362" s="272"/>
      <c r="Q362" s="272"/>
      <c r="R362" s="272"/>
      <c r="S362" s="272"/>
      <c r="T362" s="272"/>
      <c r="U362" s="272"/>
      <c r="V362" s="272"/>
      <c r="W362" s="272"/>
      <c r="X362" s="272"/>
      <c r="Y362" s="272"/>
      <c r="Z362" s="272"/>
      <c r="AA362" s="272"/>
      <c r="AB362" s="272"/>
      <c r="AC362" s="272"/>
      <c r="AD362" s="272"/>
      <c r="AE362" s="272"/>
    </row>
    <row r="363" spans="15:31">
      <c r="O363" s="272"/>
      <c r="P363" s="272"/>
      <c r="Q363" s="272"/>
      <c r="R363" s="272"/>
      <c r="S363" s="272"/>
      <c r="T363" s="272"/>
      <c r="U363" s="272"/>
      <c r="V363" s="272"/>
      <c r="W363" s="272"/>
      <c r="X363" s="272"/>
      <c r="Y363" s="272"/>
      <c r="Z363" s="272"/>
      <c r="AA363" s="272"/>
      <c r="AB363" s="272"/>
      <c r="AC363" s="272"/>
      <c r="AD363" s="272"/>
      <c r="AE363" s="272"/>
    </row>
    <row r="364" spans="15:31">
      <c r="O364" s="272"/>
      <c r="P364" s="272"/>
      <c r="Q364" s="272"/>
      <c r="R364" s="272"/>
      <c r="S364" s="272"/>
      <c r="T364" s="272"/>
      <c r="U364" s="272"/>
      <c r="V364" s="272"/>
      <c r="W364" s="272"/>
      <c r="X364" s="272"/>
      <c r="Y364" s="272"/>
      <c r="Z364" s="272"/>
      <c r="AA364" s="272"/>
      <c r="AB364" s="272"/>
      <c r="AC364" s="272"/>
      <c r="AD364" s="272"/>
      <c r="AE364" s="272"/>
    </row>
    <row r="365" spans="15:31">
      <c r="O365" s="272"/>
      <c r="P365" s="272"/>
      <c r="Q365" s="272"/>
      <c r="R365" s="272"/>
      <c r="S365" s="272"/>
      <c r="T365" s="272"/>
      <c r="U365" s="272"/>
      <c r="V365" s="272"/>
      <c r="W365" s="272"/>
      <c r="X365" s="272"/>
      <c r="Y365" s="272"/>
      <c r="Z365" s="272"/>
      <c r="AA365" s="272"/>
      <c r="AB365" s="272"/>
      <c r="AC365" s="272"/>
      <c r="AD365" s="272"/>
      <c r="AE365" s="272"/>
    </row>
    <row r="366" spans="15:31">
      <c r="O366" s="272"/>
      <c r="P366" s="272"/>
      <c r="Q366" s="272"/>
      <c r="R366" s="272"/>
      <c r="S366" s="272"/>
      <c r="T366" s="272"/>
      <c r="U366" s="272"/>
      <c r="V366" s="272"/>
      <c r="W366" s="272"/>
      <c r="X366" s="272"/>
      <c r="Y366" s="272"/>
      <c r="Z366" s="272"/>
      <c r="AA366" s="272"/>
      <c r="AB366" s="272"/>
      <c r="AC366" s="272"/>
      <c r="AD366" s="272"/>
      <c r="AE366" s="272"/>
    </row>
    <row r="367" spans="15:31">
      <c r="O367" s="272"/>
      <c r="P367" s="272"/>
      <c r="Q367" s="272"/>
      <c r="R367" s="272"/>
      <c r="S367" s="272"/>
      <c r="T367" s="272"/>
      <c r="U367" s="272"/>
      <c r="V367" s="272"/>
      <c r="W367" s="272"/>
      <c r="X367" s="272"/>
      <c r="Y367" s="272"/>
      <c r="Z367" s="272"/>
      <c r="AA367" s="272"/>
      <c r="AB367" s="272"/>
      <c r="AC367" s="272"/>
      <c r="AD367" s="272"/>
      <c r="AE367" s="272"/>
    </row>
    <row r="368" spans="15:31">
      <c r="O368" s="272"/>
      <c r="P368" s="272"/>
      <c r="Q368" s="272"/>
      <c r="R368" s="272"/>
      <c r="S368" s="272"/>
      <c r="T368" s="272"/>
      <c r="U368" s="272"/>
      <c r="V368" s="272"/>
      <c r="W368" s="272"/>
      <c r="X368" s="272"/>
      <c r="Y368" s="272"/>
      <c r="Z368" s="272"/>
      <c r="AA368" s="272"/>
      <c r="AB368" s="272"/>
      <c r="AC368" s="272"/>
      <c r="AD368" s="272"/>
      <c r="AE368" s="272"/>
    </row>
    <row r="369" spans="15:31">
      <c r="O369" s="272"/>
      <c r="P369" s="272"/>
      <c r="Q369" s="272"/>
      <c r="R369" s="272"/>
      <c r="S369" s="272"/>
      <c r="T369" s="272"/>
      <c r="U369" s="272"/>
      <c r="V369" s="272"/>
      <c r="W369" s="272"/>
      <c r="X369" s="272"/>
      <c r="Y369" s="272"/>
      <c r="Z369" s="272"/>
      <c r="AA369" s="272"/>
      <c r="AB369" s="272"/>
      <c r="AC369" s="272"/>
      <c r="AD369" s="272"/>
      <c r="AE369" s="272"/>
    </row>
    <row r="370" spans="15:31">
      <c r="O370" s="272"/>
      <c r="P370" s="272"/>
      <c r="Q370" s="272"/>
      <c r="R370" s="272"/>
      <c r="S370" s="272"/>
      <c r="T370" s="272"/>
      <c r="U370" s="272"/>
      <c r="V370" s="272"/>
      <c r="W370" s="272"/>
      <c r="X370" s="272"/>
      <c r="Y370" s="272"/>
      <c r="Z370" s="272"/>
      <c r="AA370" s="272"/>
      <c r="AB370" s="272"/>
      <c r="AC370" s="272"/>
      <c r="AD370" s="272"/>
      <c r="AE370" s="272"/>
    </row>
    <row r="371" spans="15:31">
      <c r="O371" s="272"/>
      <c r="P371" s="272"/>
      <c r="Q371" s="272"/>
      <c r="R371" s="272"/>
      <c r="S371" s="272"/>
      <c r="T371" s="272"/>
      <c r="U371" s="272"/>
      <c r="V371" s="272"/>
      <c r="W371" s="272"/>
      <c r="X371" s="272"/>
      <c r="Y371" s="272"/>
      <c r="Z371" s="272"/>
      <c r="AA371" s="272"/>
      <c r="AB371" s="272"/>
      <c r="AC371" s="272"/>
      <c r="AD371" s="272"/>
      <c r="AE371" s="272"/>
    </row>
    <row r="372" spans="15:31">
      <c r="O372" s="272"/>
      <c r="P372" s="272"/>
      <c r="Q372" s="272"/>
      <c r="R372" s="272"/>
      <c r="S372" s="272"/>
      <c r="T372" s="272"/>
      <c r="U372" s="272"/>
      <c r="V372" s="272"/>
      <c r="W372" s="272"/>
      <c r="X372" s="272"/>
      <c r="Y372" s="272"/>
      <c r="Z372" s="272"/>
      <c r="AA372" s="272"/>
      <c r="AB372" s="272"/>
      <c r="AC372" s="272"/>
      <c r="AD372" s="272"/>
      <c r="AE372" s="272"/>
    </row>
    <row r="373" spans="15:31">
      <c r="O373" s="272"/>
      <c r="P373" s="272"/>
      <c r="Q373" s="272"/>
      <c r="R373" s="272"/>
      <c r="S373" s="272"/>
      <c r="T373" s="272"/>
      <c r="U373" s="272"/>
      <c r="V373" s="272"/>
      <c r="W373" s="272"/>
      <c r="X373" s="272"/>
      <c r="Y373" s="272"/>
      <c r="Z373" s="272"/>
      <c r="AA373" s="272"/>
      <c r="AB373" s="272"/>
      <c r="AC373" s="272"/>
      <c r="AD373" s="272"/>
      <c r="AE373" s="272"/>
    </row>
    <row r="374" spans="15:31">
      <c r="O374" s="272"/>
      <c r="P374" s="272"/>
      <c r="Q374" s="272"/>
      <c r="R374" s="272"/>
      <c r="S374" s="272"/>
      <c r="T374" s="272"/>
      <c r="U374" s="272"/>
      <c r="V374" s="272"/>
      <c r="W374" s="272"/>
      <c r="X374" s="272"/>
      <c r="Y374" s="272"/>
      <c r="Z374" s="272"/>
      <c r="AA374" s="272"/>
      <c r="AB374" s="272"/>
      <c r="AC374" s="272"/>
      <c r="AD374" s="272"/>
      <c r="AE374" s="272"/>
    </row>
    <row r="375" spans="15:31">
      <c r="O375" s="272"/>
      <c r="P375" s="272"/>
      <c r="Q375" s="272"/>
      <c r="R375" s="272"/>
      <c r="S375" s="272"/>
      <c r="T375" s="272"/>
      <c r="U375" s="272"/>
      <c r="V375" s="272"/>
      <c r="W375" s="272"/>
      <c r="X375" s="272"/>
      <c r="Y375" s="272"/>
      <c r="Z375" s="272"/>
      <c r="AA375" s="272"/>
      <c r="AB375" s="272"/>
      <c r="AC375" s="272"/>
      <c r="AD375" s="272"/>
      <c r="AE375" s="272"/>
    </row>
    <row r="376" spans="15:31">
      <c r="O376" s="272"/>
      <c r="P376" s="272"/>
      <c r="Q376" s="272"/>
      <c r="R376" s="272"/>
      <c r="S376" s="272"/>
      <c r="T376" s="272"/>
      <c r="U376" s="272"/>
      <c r="V376" s="272"/>
      <c r="W376" s="272"/>
      <c r="X376" s="272"/>
      <c r="Y376" s="272"/>
      <c r="Z376" s="272"/>
      <c r="AA376" s="272"/>
      <c r="AB376" s="272"/>
      <c r="AC376" s="272"/>
      <c r="AD376" s="272"/>
      <c r="AE376" s="272"/>
    </row>
    <row r="377" spans="15:31">
      <c r="O377" s="272"/>
      <c r="P377" s="272"/>
      <c r="Q377" s="272"/>
      <c r="R377" s="272"/>
      <c r="S377" s="272"/>
      <c r="T377" s="272"/>
      <c r="U377" s="272"/>
      <c r="V377" s="272"/>
      <c r="W377" s="272"/>
      <c r="X377" s="272"/>
      <c r="Y377" s="272"/>
      <c r="Z377" s="272"/>
      <c r="AA377" s="272"/>
      <c r="AB377" s="272"/>
      <c r="AC377" s="272"/>
      <c r="AD377" s="272"/>
      <c r="AE377" s="272"/>
    </row>
    <row r="378" spans="15:31">
      <c r="O378" s="272"/>
      <c r="P378" s="272"/>
      <c r="Q378" s="272"/>
      <c r="R378" s="272"/>
      <c r="S378" s="272"/>
      <c r="T378" s="272"/>
      <c r="U378" s="272"/>
      <c r="V378" s="272"/>
      <c r="W378" s="272"/>
      <c r="X378" s="272"/>
      <c r="Y378" s="272"/>
      <c r="Z378" s="272"/>
      <c r="AA378" s="272"/>
      <c r="AB378" s="272"/>
      <c r="AC378" s="272"/>
      <c r="AD378" s="272"/>
      <c r="AE378" s="272"/>
    </row>
    <row r="379" spans="15:31">
      <c r="O379" s="272"/>
      <c r="P379" s="272"/>
      <c r="Q379" s="272"/>
      <c r="R379" s="272"/>
      <c r="S379" s="272"/>
      <c r="T379" s="272"/>
      <c r="U379" s="272"/>
      <c r="V379" s="272"/>
      <c r="W379" s="272"/>
      <c r="X379" s="272"/>
      <c r="Y379" s="272"/>
      <c r="Z379" s="272"/>
      <c r="AA379" s="272"/>
      <c r="AB379" s="272"/>
      <c r="AC379" s="272"/>
      <c r="AD379" s="272"/>
      <c r="AE379" s="272"/>
    </row>
    <row r="380" spans="15:31">
      <c r="O380" s="272"/>
      <c r="P380" s="272"/>
      <c r="Q380" s="272"/>
      <c r="R380" s="272"/>
      <c r="S380" s="272"/>
      <c r="T380" s="272"/>
      <c r="U380" s="272"/>
      <c r="V380" s="272"/>
      <c r="W380" s="272"/>
      <c r="X380" s="272"/>
      <c r="Y380" s="272"/>
      <c r="Z380" s="272"/>
      <c r="AA380" s="272"/>
      <c r="AB380" s="272"/>
      <c r="AC380" s="272"/>
      <c r="AD380" s="272"/>
      <c r="AE380" s="272"/>
    </row>
    <row r="381" spans="15:31">
      <c r="O381" s="272"/>
      <c r="P381" s="272"/>
      <c r="Q381" s="272"/>
      <c r="R381" s="272"/>
      <c r="S381" s="272"/>
      <c r="T381" s="272"/>
      <c r="U381" s="272"/>
      <c r="V381" s="272"/>
      <c r="W381" s="272"/>
      <c r="X381" s="272"/>
      <c r="Y381" s="272"/>
      <c r="Z381" s="272"/>
      <c r="AA381" s="272"/>
      <c r="AB381" s="272"/>
      <c r="AC381" s="272"/>
      <c r="AD381" s="272"/>
      <c r="AE381" s="272"/>
    </row>
    <row r="382" spans="15:31">
      <c r="O382" s="272"/>
      <c r="P382" s="272"/>
      <c r="Q382" s="272"/>
      <c r="R382" s="272"/>
      <c r="S382" s="272"/>
      <c r="T382" s="272"/>
      <c r="U382" s="272"/>
      <c r="V382" s="272"/>
      <c r="W382" s="272"/>
      <c r="X382" s="272"/>
      <c r="Y382" s="272"/>
      <c r="Z382" s="272"/>
      <c r="AA382" s="272"/>
      <c r="AB382" s="272"/>
      <c r="AC382" s="272"/>
      <c r="AD382" s="272"/>
      <c r="AE382" s="272"/>
    </row>
    <row r="383" spans="15:31">
      <c r="O383" s="272"/>
      <c r="P383" s="272"/>
      <c r="Q383" s="272"/>
      <c r="R383" s="272"/>
      <c r="S383" s="272"/>
      <c r="T383" s="272"/>
      <c r="U383" s="272"/>
      <c r="V383" s="272"/>
      <c r="W383" s="272"/>
      <c r="X383" s="272"/>
      <c r="Y383" s="272"/>
      <c r="Z383" s="272"/>
      <c r="AA383" s="272"/>
      <c r="AB383" s="272"/>
      <c r="AC383" s="272"/>
      <c r="AD383" s="272"/>
      <c r="AE383" s="272"/>
    </row>
    <row r="384" spans="15:31">
      <c r="O384" s="272"/>
      <c r="P384" s="272"/>
      <c r="Q384" s="272"/>
      <c r="R384" s="272"/>
      <c r="S384" s="272"/>
      <c r="T384" s="272"/>
      <c r="U384" s="272"/>
      <c r="V384" s="272"/>
      <c r="W384" s="272"/>
      <c r="X384" s="272"/>
      <c r="Y384" s="272"/>
      <c r="Z384" s="272"/>
      <c r="AA384" s="272"/>
      <c r="AB384" s="272"/>
      <c r="AC384" s="272"/>
      <c r="AD384" s="272"/>
      <c r="AE384" s="272"/>
    </row>
    <row r="385" spans="15:31">
      <c r="O385" s="272"/>
      <c r="P385" s="272"/>
      <c r="Q385" s="272"/>
      <c r="R385" s="272"/>
      <c r="S385" s="272"/>
      <c r="T385" s="272"/>
      <c r="U385" s="272"/>
      <c r="V385" s="272"/>
      <c r="W385" s="272"/>
      <c r="X385" s="272"/>
      <c r="Y385" s="272"/>
      <c r="Z385" s="272"/>
      <c r="AA385" s="272"/>
      <c r="AB385" s="272"/>
      <c r="AC385" s="272"/>
      <c r="AD385" s="272"/>
      <c r="AE385" s="272"/>
    </row>
    <row r="386" spans="15:31">
      <c r="O386" s="272"/>
      <c r="P386" s="272"/>
      <c r="Q386" s="272"/>
      <c r="R386" s="272"/>
      <c r="S386" s="272"/>
      <c r="T386" s="272"/>
      <c r="U386" s="272"/>
      <c r="V386" s="272"/>
      <c r="W386" s="272"/>
      <c r="X386" s="272"/>
      <c r="Y386" s="272"/>
      <c r="Z386" s="272"/>
      <c r="AA386" s="272"/>
      <c r="AB386" s="272"/>
      <c r="AC386" s="272"/>
      <c r="AD386" s="272"/>
      <c r="AE386" s="272"/>
    </row>
    <row r="387" spans="15:31">
      <c r="O387" s="272"/>
      <c r="P387" s="272"/>
      <c r="Q387" s="272"/>
      <c r="R387" s="272"/>
      <c r="S387" s="272"/>
      <c r="T387" s="272"/>
      <c r="U387" s="272"/>
      <c r="V387" s="272"/>
      <c r="W387" s="272"/>
      <c r="X387" s="272"/>
      <c r="Y387" s="272"/>
      <c r="Z387" s="272"/>
      <c r="AA387" s="272"/>
      <c r="AB387" s="272"/>
      <c r="AC387" s="272"/>
      <c r="AD387" s="272"/>
      <c r="AE387" s="272"/>
    </row>
    <row r="388" spans="15:31">
      <c r="O388" s="272"/>
      <c r="P388" s="272"/>
      <c r="Q388" s="272"/>
      <c r="R388" s="272"/>
      <c r="S388" s="272"/>
      <c r="T388" s="272"/>
      <c r="U388" s="272"/>
      <c r="V388" s="272"/>
      <c r="W388" s="272"/>
      <c r="X388" s="272"/>
      <c r="Y388" s="272"/>
      <c r="Z388" s="272"/>
      <c r="AA388" s="272"/>
      <c r="AB388" s="272"/>
      <c r="AC388" s="272"/>
      <c r="AD388" s="272"/>
      <c r="AE388" s="272"/>
    </row>
    <row r="389" spans="15:31">
      <c r="O389" s="272"/>
      <c r="P389" s="272"/>
      <c r="Q389" s="272"/>
      <c r="R389" s="272"/>
      <c r="S389" s="272"/>
      <c r="T389" s="272"/>
      <c r="U389" s="272"/>
      <c r="V389" s="272"/>
      <c r="W389" s="272"/>
      <c r="X389" s="272"/>
      <c r="Y389" s="272"/>
      <c r="Z389" s="272"/>
      <c r="AA389" s="272"/>
      <c r="AB389" s="272"/>
      <c r="AC389" s="272"/>
      <c r="AD389" s="272"/>
      <c r="AE389" s="272"/>
    </row>
    <row r="390" spans="15:31">
      <c r="O390" s="272"/>
      <c r="P390" s="272"/>
      <c r="Q390" s="272"/>
      <c r="R390" s="272"/>
      <c r="S390" s="272"/>
      <c r="T390" s="272"/>
      <c r="U390" s="272"/>
      <c r="V390" s="272"/>
      <c r="W390" s="272"/>
      <c r="X390" s="272"/>
      <c r="Y390" s="272"/>
      <c r="Z390" s="272"/>
      <c r="AA390" s="272"/>
      <c r="AB390" s="272"/>
      <c r="AC390" s="272"/>
      <c r="AD390" s="272"/>
      <c r="AE390" s="272"/>
    </row>
    <row r="391" spans="15:31">
      <c r="O391" s="272"/>
      <c r="P391" s="272"/>
      <c r="Q391" s="272"/>
      <c r="R391" s="272"/>
      <c r="S391" s="272"/>
      <c r="T391" s="272"/>
      <c r="U391" s="272"/>
      <c r="V391" s="272"/>
      <c r="W391" s="272"/>
      <c r="X391" s="272"/>
      <c r="Y391" s="272"/>
      <c r="Z391" s="272"/>
      <c r="AA391" s="272"/>
      <c r="AB391" s="272"/>
      <c r="AC391" s="272"/>
      <c r="AD391" s="272"/>
      <c r="AE391" s="272"/>
    </row>
    <row r="392" spans="15:31">
      <c r="O392" s="272"/>
      <c r="P392" s="272"/>
      <c r="Q392" s="272"/>
      <c r="R392" s="272"/>
      <c r="S392" s="272"/>
      <c r="T392" s="272"/>
      <c r="U392" s="272"/>
      <c r="V392" s="272"/>
      <c r="W392" s="272"/>
      <c r="X392" s="272"/>
      <c r="Y392" s="272"/>
      <c r="Z392" s="272"/>
      <c r="AA392" s="272"/>
      <c r="AB392" s="272"/>
      <c r="AC392" s="272"/>
      <c r="AD392" s="272"/>
      <c r="AE392" s="272"/>
    </row>
    <row r="393" spans="15:31">
      <c r="O393" s="272"/>
      <c r="P393" s="272"/>
      <c r="Q393" s="272"/>
      <c r="R393" s="272"/>
      <c r="S393" s="272"/>
      <c r="T393" s="272"/>
      <c r="U393" s="272"/>
      <c r="V393" s="272"/>
      <c r="W393" s="272"/>
      <c r="X393" s="272"/>
      <c r="Y393" s="272"/>
      <c r="Z393" s="272"/>
      <c r="AA393" s="272"/>
      <c r="AB393" s="272"/>
      <c r="AC393" s="272"/>
      <c r="AD393" s="272"/>
      <c r="AE393" s="272"/>
    </row>
    <row r="394" spans="15:31">
      <c r="O394" s="272"/>
      <c r="P394" s="272"/>
      <c r="Q394" s="272"/>
      <c r="R394" s="272"/>
      <c r="S394" s="272"/>
      <c r="T394" s="272"/>
      <c r="U394" s="272"/>
      <c r="V394" s="272"/>
      <c r="W394" s="272"/>
      <c r="X394" s="272"/>
      <c r="Y394" s="272"/>
      <c r="Z394" s="272"/>
      <c r="AA394" s="272"/>
      <c r="AB394" s="272"/>
      <c r="AC394" s="272"/>
      <c r="AD394" s="272"/>
      <c r="AE394" s="272"/>
    </row>
    <row r="395" spans="15:31">
      <c r="O395" s="272"/>
      <c r="P395" s="272"/>
      <c r="Q395" s="272"/>
      <c r="R395" s="272"/>
      <c r="S395" s="272"/>
      <c r="T395" s="272"/>
      <c r="U395" s="272"/>
      <c r="V395" s="272"/>
      <c r="W395" s="272"/>
      <c r="X395" s="272"/>
      <c r="Y395" s="272"/>
      <c r="Z395" s="272"/>
      <c r="AA395" s="272"/>
      <c r="AB395" s="272"/>
      <c r="AC395" s="272"/>
      <c r="AD395" s="272"/>
      <c r="AE395" s="272"/>
    </row>
    <row r="396" spans="15:31">
      <c r="O396" s="272"/>
      <c r="P396" s="272"/>
      <c r="Q396" s="272"/>
      <c r="R396" s="272"/>
      <c r="S396" s="272"/>
      <c r="T396" s="272"/>
      <c r="U396" s="272"/>
      <c r="V396" s="272"/>
      <c r="W396" s="272"/>
      <c r="X396" s="272"/>
      <c r="Y396" s="272"/>
      <c r="Z396" s="272"/>
      <c r="AA396" s="272"/>
      <c r="AB396" s="272"/>
      <c r="AC396" s="272"/>
      <c r="AD396" s="272"/>
      <c r="AE396" s="272"/>
    </row>
    <row r="397" spans="15:31">
      <c r="O397" s="272"/>
      <c r="P397" s="272"/>
      <c r="Q397" s="272"/>
      <c r="R397" s="272"/>
      <c r="S397" s="272"/>
      <c r="T397" s="272"/>
      <c r="U397" s="272"/>
      <c r="V397" s="272"/>
      <c r="W397" s="272"/>
      <c r="X397" s="272"/>
      <c r="Y397" s="272"/>
      <c r="Z397" s="272"/>
      <c r="AA397" s="272"/>
      <c r="AB397" s="272"/>
      <c r="AC397" s="272"/>
      <c r="AD397" s="272"/>
      <c r="AE397" s="272"/>
    </row>
    <row r="398" spans="15:31">
      <c r="O398" s="272"/>
      <c r="P398" s="272"/>
      <c r="Q398" s="272"/>
      <c r="R398" s="272"/>
      <c r="S398" s="272"/>
      <c r="T398" s="272"/>
      <c r="U398" s="272"/>
      <c r="V398" s="272"/>
      <c r="W398" s="272"/>
      <c r="X398" s="272"/>
      <c r="Y398" s="272"/>
      <c r="Z398" s="272"/>
      <c r="AA398" s="272"/>
      <c r="AB398" s="272"/>
      <c r="AC398" s="272"/>
      <c r="AD398" s="272"/>
      <c r="AE398" s="272"/>
    </row>
    <row r="399" spans="15:31">
      <c r="O399" s="272"/>
      <c r="P399" s="272"/>
      <c r="Q399" s="272"/>
      <c r="R399" s="272"/>
      <c r="S399" s="272"/>
      <c r="T399" s="272"/>
      <c r="U399" s="272"/>
      <c r="V399" s="272"/>
      <c r="W399" s="272"/>
      <c r="X399" s="272"/>
      <c r="Y399" s="272"/>
      <c r="Z399" s="272"/>
      <c r="AA399" s="272"/>
      <c r="AB399" s="272"/>
      <c r="AC399" s="272"/>
      <c r="AD399" s="272"/>
      <c r="AE399" s="272"/>
    </row>
    <row r="400" spans="15:31">
      <c r="O400" s="272"/>
      <c r="P400" s="272"/>
      <c r="Q400" s="272"/>
      <c r="R400" s="272"/>
      <c r="S400" s="272"/>
      <c r="T400" s="272"/>
      <c r="U400" s="272"/>
      <c r="V400" s="272"/>
      <c r="W400" s="272"/>
      <c r="X400" s="272"/>
      <c r="Y400" s="272"/>
      <c r="Z400" s="272"/>
      <c r="AA400" s="272"/>
      <c r="AB400" s="272"/>
      <c r="AC400" s="272"/>
      <c r="AD400" s="272"/>
      <c r="AE400" s="272"/>
    </row>
    <row r="401" spans="15:31">
      <c r="O401" s="272"/>
      <c r="P401" s="272"/>
      <c r="Q401" s="272"/>
      <c r="R401" s="272"/>
      <c r="S401" s="272"/>
      <c r="T401" s="272"/>
      <c r="U401" s="272"/>
      <c r="V401" s="272"/>
      <c r="W401" s="272"/>
      <c r="X401" s="272"/>
      <c r="Y401" s="272"/>
      <c r="Z401" s="272"/>
      <c r="AA401" s="272"/>
      <c r="AB401" s="272"/>
      <c r="AC401" s="272"/>
      <c r="AD401" s="272"/>
      <c r="AE401" s="272"/>
    </row>
    <row r="402" spans="15:31">
      <c r="O402" s="272"/>
      <c r="P402" s="272"/>
      <c r="Q402" s="272"/>
      <c r="R402" s="272"/>
      <c r="S402" s="272"/>
      <c r="T402" s="272"/>
      <c r="U402" s="272"/>
      <c r="V402" s="272"/>
      <c r="W402" s="272"/>
      <c r="X402" s="272"/>
      <c r="Y402" s="272"/>
      <c r="Z402" s="272"/>
      <c r="AA402" s="272"/>
      <c r="AB402" s="272"/>
      <c r="AC402" s="272"/>
      <c r="AD402" s="272"/>
      <c r="AE402" s="272"/>
    </row>
    <row r="403" spans="15:31">
      <c r="O403" s="272"/>
      <c r="P403" s="272"/>
      <c r="Q403" s="272"/>
      <c r="R403" s="272"/>
      <c r="S403" s="272"/>
      <c r="T403" s="272"/>
      <c r="U403" s="272"/>
      <c r="V403" s="272"/>
      <c r="W403" s="272"/>
      <c r="X403" s="272"/>
      <c r="Y403" s="272"/>
      <c r="Z403" s="272"/>
      <c r="AA403" s="272"/>
      <c r="AB403" s="272"/>
      <c r="AC403" s="272"/>
      <c r="AD403" s="272"/>
      <c r="AE403" s="272"/>
    </row>
    <row r="404" spans="15:31">
      <c r="O404" s="272"/>
      <c r="P404" s="272"/>
      <c r="Q404" s="272"/>
      <c r="R404" s="272"/>
      <c r="S404" s="272"/>
      <c r="T404" s="272"/>
      <c r="U404" s="272"/>
      <c r="V404" s="272"/>
      <c r="W404" s="272"/>
      <c r="X404" s="272"/>
      <c r="Y404" s="272"/>
      <c r="Z404" s="272"/>
      <c r="AA404" s="272"/>
      <c r="AB404" s="272"/>
      <c r="AC404" s="272"/>
      <c r="AD404" s="272"/>
      <c r="AE404" s="272"/>
    </row>
    <row r="405" spans="15:31">
      <c r="O405" s="272"/>
      <c r="P405" s="272"/>
      <c r="Q405" s="272"/>
      <c r="R405" s="272"/>
      <c r="S405" s="272"/>
      <c r="T405" s="272"/>
      <c r="U405" s="272"/>
      <c r="V405" s="272"/>
      <c r="W405" s="272"/>
      <c r="X405" s="272"/>
      <c r="Y405" s="272"/>
      <c r="Z405" s="272"/>
      <c r="AA405" s="272"/>
      <c r="AB405" s="272"/>
      <c r="AC405" s="272"/>
      <c r="AD405" s="272"/>
      <c r="AE405" s="272"/>
    </row>
    <row r="406" spans="15:31">
      <c r="O406" s="272"/>
      <c r="P406" s="272"/>
      <c r="Q406" s="272"/>
      <c r="R406" s="272"/>
      <c r="S406" s="272"/>
      <c r="T406" s="272"/>
      <c r="U406" s="272"/>
      <c r="V406" s="272"/>
      <c r="W406" s="272"/>
      <c r="X406" s="272"/>
      <c r="Y406" s="272"/>
      <c r="Z406" s="272"/>
      <c r="AA406" s="272"/>
      <c r="AB406" s="272"/>
      <c r="AC406" s="272"/>
      <c r="AD406" s="272"/>
      <c r="AE406" s="272"/>
    </row>
    <row r="407" spans="15:31">
      <c r="O407" s="272"/>
      <c r="P407" s="272"/>
      <c r="Q407" s="272"/>
      <c r="R407" s="272"/>
      <c r="S407" s="272"/>
      <c r="T407" s="272"/>
      <c r="U407" s="272"/>
      <c r="V407" s="272"/>
      <c r="W407" s="272"/>
      <c r="X407" s="272"/>
      <c r="Y407" s="272"/>
      <c r="Z407" s="272"/>
      <c r="AA407" s="272"/>
      <c r="AB407" s="272"/>
      <c r="AC407" s="272"/>
      <c r="AD407" s="272"/>
      <c r="AE407" s="272"/>
    </row>
    <row r="408" spans="15:31">
      <c r="O408" s="272"/>
      <c r="P408" s="272"/>
      <c r="Q408" s="272"/>
      <c r="R408" s="272"/>
      <c r="S408" s="272"/>
      <c r="T408" s="272"/>
      <c r="U408" s="272"/>
      <c r="V408" s="272"/>
      <c r="W408" s="272"/>
      <c r="X408" s="272"/>
      <c r="Y408" s="272"/>
      <c r="Z408" s="272"/>
      <c r="AA408" s="272"/>
      <c r="AB408" s="272"/>
      <c r="AC408" s="272"/>
      <c r="AD408" s="272"/>
      <c r="AE408" s="272"/>
    </row>
    <row r="409" spans="15:31">
      <c r="O409" s="272"/>
      <c r="P409" s="272"/>
      <c r="Q409" s="272"/>
      <c r="R409" s="272"/>
      <c r="S409" s="272"/>
      <c r="T409" s="272"/>
      <c r="U409" s="272"/>
      <c r="V409" s="272"/>
      <c r="W409" s="272"/>
      <c r="X409" s="272"/>
      <c r="Y409" s="272"/>
      <c r="Z409" s="272"/>
      <c r="AA409" s="272"/>
      <c r="AB409" s="272"/>
      <c r="AC409" s="272"/>
      <c r="AD409" s="272"/>
      <c r="AE409" s="272"/>
    </row>
    <row r="410" spans="15:31">
      <c r="O410" s="272"/>
      <c r="P410" s="272"/>
      <c r="Q410" s="272"/>
      <c r="R410" s="272"/>
      <c r="S410" s="272"/>
      <c r="T410" s="272"/>
      <c r="U410" s="272"/>
      <c r="V410" s="272"/>
      <c r="W410" s="272"/>
      <c r="X410" s="272"/>
      <c r="Y410" s="272"/>
      <c r="Z410" s="272"/>
      <c r="AA410" s="272"/>
      <c r="AB410" s="272"/>
      <c r="AC410" s="272"/>
      <c r="AD410" s="272"/>
      <c r="AE410" s="272"/>
    </row>
    <row r="411" spans="15:31">
      <c r="O411" s="272"/>
      <c r="P411" s="272"/>
      <c r="Q411" s="272"/>
      <c r="R411" s="272"/>
      <c r="S411" s="272"/>
      <c r="T411" s="272"/>
      <c r="U411" s="272"/>
      <c r="V411" s="272"/>
      <c r="W411" s="272"/>
      <c r="X411" s="272"/>
      <c r="Y411" s="272"/>
      <c r="Z411" s="272"/>
      <c r="AA411" s="272"/>
      <c r="AB411" s="272"/>
      <c r="AC411" s="272"/>
      <c r="AD411" s="272"/>
      <c r="AE411" s="272"/>
    </row>
    <row r="412" spans="15:31">
      <c r="O412" s="272"/>
      <c r="P412" s="272"/>
      <c r="Q412" s="272"/>
      <c r="R412" s="272"/>
      <c r="S412" s="272"/>
      <c r="T412" s="272"/>
      <c r="U412" s="272"/>
      <c r="V412" s="272"/>
      <c r="W412" s="272"/>
      <c r="X412" s="272"/>
      <c r="Y412" s="272"/>
      <c r="Z412" s="272"/>
      <c r="AA412" s="272"/>
      <c r="AB412" s="272"/>
      <c r="AC412" s="272"/>
      <c r="AD412" s="272"/>
      <c r="AE412" s="272"/>
    </row>
    <row r="413" spans="15:31">
      <c r="O413" s="272"/>
      <c r="P413" s="272"/>
      <c r="Q413" s="272"/>
      <c r="R413" s="272"/>
      <c r="S413" s="272"/>
      <c r="T413" s="272"/>
      <c r="U413" s="272"/>
      <c r="V413" s="272"/>
      <c r="W413" s="272"/>
      <c r="X413" s="272"/>
      <c r="Y413" s="272"/>
      <c r="Z413" s="272"/>
      <c r="AA413" s="272"/>
      <c r="AB413" s="272"/>
      <c r="AC413" s="272"/>
      <c r="AD413" s="272"/>
      <c r="AE413" s="272"/>
    </row>
    <row r="414" spans="15:31">
      <c r="O414" s="272"/>
      <c r="P414" s="272"/>
      <c r="Q414" s="272"/>
      <c r="R414" s="272"/>
      <c r="S414" s="272"/>
      <c r="T414" s="272"/>
      <c r="U414" s="272"/>
      <c r="V414" s="272"/>
      <c r="W414" s="272"/>
      <c r="X414" s="272"/>
      <c r="Y414" s="272"/>
      <c r="Z414" s="272"/>
      <c r="AA414" s="272"/>
      <c r="AB414" s="272"/>
      <c r="AC414" s="272"/>
      <c r="AD414" s="272"/>
      <c r="AE414" s="272"/>
    </row>
    <row r="415" spans="15:31">
      <c r="O415" s="272"/>
      <c r="P415" s="272"/>
      <c r="Q415" s="272"/>
      <c r="R415" s="272"/>
      <c r="S415" s="272"/>
      <c r="T415" s="272"/>
      <c r="U415" s="272"/>
      <c r="V415" s="272"/>
      <c r="W415" s="272"/>
      <c r="X415" s="272"/>
      <c r="Y415" s="272"/>
      <c r="Z415" s="272"/>
      <c r="AA415" s="272"/>
      <c r="AB415" s="272"/>
      <c r="AC415" s="272"/>
      <c r="AD415" s="272"/>
      <c r="AE415" s="272"/>
    </row>
    <row r="416" spans="15:31">
      <c r="O416" s="272"/>
      <c r="P416" s="272"/>
      <c r="Q416" s="272"/>
      <c r="R416" s="272"/>
      <c r="S416" s="272"/>
      <c r="T416" s="272"/>
      <c r="U416" s="272"/>
      <c r="V416" s="272"/>
      <c r="W416" s="272"/>
      <c r="X416" s="272"/>
      <c r="Y416" s="272"/>
      <c r="Z416" s="272"/>
      <c r="AA416" s="272"/>
      <c r="AB416" s="272"/>
      <c r="AC416" s="272"/>
      <c r="AD416" s="272"/>
      <c r="AE416" s="272"/>
    </row>
    <row r="417" spans="15:31">
      <c r="O417" s="272"/>
      <c r="P417" s="272"/>
      <c r="Q417" s="272"/>
      <c r="R417" s="272"/>
      <c r="S417" s="272"/>
      <c r="T417" s="272"/>
      <c r="U417" s="272"/>
      <c r="V417" s="272"/>
      <c r="W417" s="272"/>
      <c r="X417" s="272"/>
      <c r="Y417" s="272"/>
      <c r="Z417" s="272"/>
      <c r="AA417" s="272"/>
      <c r="AB417" s="272"/>
      <c r="AC417" s="272"/>
      <c r="AD417" s="272"/>
      <c r="AE417" s="272"/>
    </row>
    <row r="418" spans="15:31">
      <c r="O418" s="272"/>
      <c r="P418" s="272"/>
      <c r="Q418" s="272"/>
      <c r="R418" s="272"/>
      <c r="S418" s="272"/>
      <c r="T418" s="272"/>
      <c r="U418" s="272"/>
      <c r="V418" s="272"/>
      <c r="W418" s="272"/>
      <c r="X418" s="272"/>
      <c r="Y418" s="272"/>
      <c r="Z418" s="272"/>
      <c r="AA418" s="272"/>
      <c r="AB418" s="272"/>
      <c r="AC418" s="272"/>
      <c r="AD418" s="272"/>
      <c r="AE418" s="272"/>
    </row>
    <row r="419" spans="15:31">
      <c r="O419" s="272"/>
      <c r="P419" s="272"/>
      <c r="Q419" s="272"/>
      <c r="R419" s="272"/>
      <c r="S419" s="272"/>
      <c r="T419" s="272"/>
      <c r="U419" s="272"/>
      <c r="V419" s="272"/>
      <c r="W419" s="272"/>
      <c r="X419" s="272"/>
      <c r="Y419" s="272"/>
      <c r="Z419" s="272"/>
      <c r="AA419" s="272"/>
      <c r="AB419" s="272"/>
      <c r="AC419" s="272"/>
      <c r="AD419" s="272"/>
      <c r="AE419" s="272"/>
    </row>
    <row r="420" spans="15:31">
      <c r="O420" s="272"/>
      <c r="P420" s="272"/>
      <c r="Q420" s="272"/>
      <c r="R420" s="272"/>
      <c r="S420" s="272"/>
      <c r="T420" s="272"/>
      <c r="U420" s="272"/>
      <c r="V420" s="272"/>
      <c r="W420" s="272"/>
      <c r="X420" s="272"/>
      <c r="Y420" s="272"/>
      <c r="Z420" s="272"/>
      <c r="AA420" s="272"/>
      <c r="AB420" s="272"/>
      <c r="AC420" s="272"/>
      <c r="AD420" s="272"/>
      <c r="AE420" s="272"/>
    </row>
    <row r="421" spans="15:31">
      <c r="O421" s="272"/>
      <c r="P421" s="272"/>
      <c r="Q421" s="272"/>
      <c r="R421" s="272"/>
      <c r="S421" s="272"/>
      <c r="T421" s="272"/>
      <c r="U421" s="272"/>
      <c r="V421" s="272"/>
      <c r="W421" s="272"/>
      <c r="X421" s="272"/>
      <c r="Y421" s="272"/>
      <c r="Z421" s="272"/>
      <c r="AA421" s="272"/>
      <c r="AB421" s="272"/>
      <c r="AC421" s="272"/>
      <c r="AD421" s="272"/>
      <c r="AE421" s="272"/>
    </row>
    <row r="422" spans="15:31">
      <c r="O422" s="272"/>
      <c r="P422" s="272"/>
      <c r="Q422" s="272"/>
      <c r="R422" s="272"/>
      <c r="S422" s="272"/>
      <c r="T422" s="272"/>
      <c r="U422" s="272"/>
      <c r="V422" s="272"/>
      <c r="W422" s="272"/>
      <c r="X422" s="272"/>
      <c r="Y422" s="272"/>
      <c r="Z422" s="272"/>
      <c r="AA422" s="272"/>
      <c r="AB422" s="272"/>
      <c r="AC422" s="272"/>
      <c r="AD422" s="272"/>
      <c r="AE422" s="272"/>
    </row>
    <row r="423" spans="15:31">
      <c r="O423" s="272"/>
      <c r="P423" s="272"/>
      <c r="Q423" s="272"/>
      <c r="R423" s="272"/>
      <c r="S423" s="272"/>
      <c r="T423" s="272"/>
      <c r="U423" s="272"/>
      <c r="V423" s="272"/>
      <c r="W423" s="272"/>
      <c r="X423" s="272"/>
      <c r="Y423" s="272"/>
      <c r="Z423" s="272"/>
      <c r="AA423" s="272"/>
      <c r="AB423" s="272"/>
      <c r="AC423" s="272"/>
      <c r="AD423" s="272"/>
      <c r="AE423" s="272"/>
    </row>
    <row r="424" spans="15:31">
      <c r="O424" s="272"/>
      <c r="P424" s="272"/>
      <c r="Q424" s="272"/>
      <c r="R424" s="272"/>
      <c r="S424" s="272"/>
      <c r="T424" s="272"/>
      <c r="U424" s="272"/>
      <c r="V424" s="272"/>
      <c r="W424" s="272"/>
      <c r="X424" s="272"/>
      <c r="Y424" s="272"/>
      <c r="Z424" s="272"/>
      <c r="AA424" s="272"/>
      <c r="AB424" s="272"/>
      <c r="AC424" s="272"/>
      <c r="AD424" s="272"/>
      <c r="AE424" s="272"/>
    </row>
    <row r="425" spans="15:31">
      <c r="O425" s="272"/>
      <c r="P425" s="272"/>
      <c r="Q425" s="272"/>
      <c r="R425" s="272"/>
      <c r="S425" s="272"/>
      <c r="T425" s="272"/>
      <c r="U425" s="272"/>
      <c r="V425" s="272"/>
      <c r="W425" s="272"/>
      <c r="X425" s="272"/>
      <c r="Y425" s="272"/>
      <c r="Z425" s="272"/>
      <c r="AA425" s="272"/>
      <c r="AB425" s="272"/>
      <c r="AC425" s="272"/>
      <c r="AD425" s="272"/>
      <c r="AE425" s="272"/>
    </row>
    <row r="426" spans="15:31">
      <c r="O426" s="272"/>
      <c r="P426" s="272"/>
      <c r="Q426" s="272"/>
      <c r="R426" s="272"/>
      <c r="S426" s="272"/>
      <c r="T426" s="272"/>
      <c r="U426" s="272"/>
      <c r="V426" s="272"/>
      <c r="W426" s="272"/>
      <c r="X426" s="272"/>
      <c r="Y426" s="272"/>
      <c r="Z426" s="272"/>
      <c r="AA426" s="272"/>
      <c r="AB426" s="272"/>
      <c r="AC426" s="272"/>
      <c r="AD426" s="272"/>
      <c r="AE426" s="272"/>
    </row>
    <row r="427" spans="15:31">
      <c r="O427" s="272"/>
      <c r="P427" s="272"/>
      <c r="Q427" s="272"/>
      <c r="R427" s="272"/>
      <c r="S427" s="272"/>
      <c r="T427" s="272"/>
      <c r="U427" s="272"/>
      <c r="V427" s="272"/>
      <c r="W427" s="272"/>
      <c r="X427" s="272"/>
      <c r="Y427" s="272"/>
      <c r="Z427" s="272"/>
      <c r="AA427" s="272"/>
      <c r="AB427" s="272"/>
      <c r="AC427" s="272"/>
      <c r="AD427" s="272"/>
      <c r="AE427" s="272"/>
    </row>
    <row r="428" spans="15:31">
      <c r="O428" s="272"/>
      <c r="P428" s="272"/>
      <c r="Q428" s="272"/>
      <c r="R428" s="272"/>
      <c r="S428" s="272"/>
      <c r="T428" s="272"/>
      <c r="U428" s="272"/>
      <c r="V428" s="272"/>
      <c r="W428" s="272"/>
      <c r="X428" s="272"/>
      <c r="Y428" s="272"/>
      <c r="Z428" s="272"/>
      <c r="AA428" s="272"/>
      <c r="AB428" s="272"/>
      <c r="AC428" s="272"/>
      <c r="AD428" s="272"/>
      <c r="AE428" s="272"/>
    </row>
    <row r="429" spans="15:31">
      <c r="O429" s="272"/>
      <c r="P429" s="272"/>
      <c r="Q429" s="272"/>
      <c r="R429" s="272"/>
      <c r="S429" s="272"/>
      <c r="T429" s="272"/>
      <c r="U429" s="272"/>
      <c r="V429" s="272"/>
      <c r="W429" s="272"/>
      <c r="X429" s="272"/>
      <c r="Y429" s="272"/>
      <c r="Z429" s="272"/>
      <c r="AA429" s="272"/>
      <c r="AB429" s="272"/>
      <c r="AC429" s="272"/>
      <c r="AD429" s="272"/>
      <c r="AE429" s="272"/>
    </row>
    <row r="430" spans="15:31">
      <c r="O430" s="272"/>
      <c r="P430" s="272"/>
      <c r="Q430" s="272"/>
      <c r="R430" s="272"/>
      <c r="S430" s="272"/>
      <c r="T430" s="272"/>
      <c r="U430" s="272"/>
      <c r="V430" s="272"/>
      <c r="W430" s="272"/>
      <c r="X430" s="272"/>
      <c r="Y430" s="272"/>
      <c r="Z430" s="272"/>
      <c r="AA430" s="272"/>
      <c r="AB430" s="272"/>
      <c r="AC430" s="272"/>
      <c r="AD430" s="272"/>
      <c r="AE430" s="272"/>
    </row>
    <row r="431" spans="15:31">
      <c r="O431" s="272"/>
      <c r="P431" s="272"/>
      <c r="Q431" s="272"/>
      <c r="R431" s="272"/>
      <c r="S431" s="272"/>
      <c r="T431" s="272"/>
      <c r="U431" s="272"/>
      <c r="V431" s="272"/>
      <c r="W431" s="272"/>
      <c r="X431" s="272"/>
      <c r="Y431" s="272"/>
      <c r="Z431" s="272"/>
      <c r="AA431" s="272"/>
      <c r="AB431" s="272"/>
      <c r="AC431" s="272"/>
      <c r="AD431" s="272"/>
      <c r="AE431" s="272"/>
    </row>
    <row r="432" spans="15:31">
      <c r="O432" s="272"/>
      <c r="P432" s="272"/>
      <c r="Q432" s="272"/>
      <c r="R432" s="272"/>
      <c r="S432" s="272"/>
      <c r="T432" s="272"/>
      <c r="U432" s="272"/>
      <c r="V432" s="272"/>
      <c r="W432" s="272"/>
      <c r="X432" s="272"/>
      <c r="Y432" s="272"/>
      <c r="Z432" s="272"/>
      <c r="AA432" s="272"/>
      <c r="AB432" s="272"/>
      <c r="AC432" s="272"/>
      <c r="AD432" s="272"/>
      <c r="AE432" s="272"/>
    </row>
    <row r="433" spans="15:31">
      <c r="O433" s="272"/>
      <c r="P433" s="272"/>
      <c r="Q433" s="272"/>
      <c r="R433" s="272"/>
      <c r="S433" s="272"/>
      <c r="T433" s="272"/>
      <c r="U433" s="272"/>
      <c r="V433" s="272"/>
      <c r="W433" s="272"/>
      <c r="X433" s="272"/>
      <c r="Y433" s="272"/>
      <c r="Z433" s="272"/>
      <c r="AA433" s="272"/>
      <c r="AB433" s="272"/>
      <c r="AC433" s="272"/>
      <c r="AD433" s="272"/>
      <c r="AE433" s="272"/>
    </row>
    <row r="434" spans="15:31">
      <c r="O434" s="272"/>
      <c r="P434" s="272"/>
      <c r="Q434" s="272"/>
      <c r="R434" s="272"/>
      <c r="S434" s="272"/>
      <c r="T434" s="272"/>
      <c r="U434" s="272"/>
      <c r="V434" s="272"/>
      <c r="W434" s="272"/>
      <c r="X434" s="272"/>
      <c r="Y434" s="272"/>
      <c r="Z434" s="272"/>
      <c r="AA434" s="272"/>
      <c r="AB434" s="272"/>
      <c r="AC434" s="272"/>
      <c r="AD434" s="272"/>
      <c r="AE434" s="272"/>
    </row>
    <row r="435" spans="15:31">
      <c r="O435" s="272"/>
      <c r="P435" s="272"/>
      <c r="Q435" s="272"/>
      <c r="R435" s="272"/>
      <c r="S435" s="272"/>
      <c r="T435" s="272"/>
      <c r="U435" s="272"/>
      <c r="V435" s="272"/>
      <c r="W435" s="272"/>
      <c r="X435" s="272"/>
      <c r="Y435" s="272"/>
      <c r="Z435" s="272"/>
      <c r="AA435" s="272"/>
      <c r="AB435" s="272"/>
      <c r="AC435" s="272"/>
      <c r="AD435" s="272"/>
      <c r="AE435" s="272"/>
    </row>
    <row r="436" spans="15:31">
      <c r="O436" s="272"/>
      <c r="P436" s="272"/>
      <c r="Q436" s="272"/>
      <c r="R436" s="272"/>
      <c r="S436" s="272"/>
      <c r="T436" s="272"/>
      <c r="U436" s="272"/>
      <c r="V436" s="272"/>
      <c r="W436" s="272"/>
      <c r="X436" s="272"/>
      <c r="Y436" s="272"/>
      <c r="Z436" s="272"/>
      <c r="AA436" s="272"/>
      <c r="AB436" s="272"/>
      <c r="AC436" s="272"/>
      <c r="AD436" s="272"/>
      <c r="AE436" s="272"/>
    </row>
    <row r="437" spans="15:31">
      <c r="O437" s="272"/>
      <c r="P437" s="272"/>
      <c r="Q437" s="272"/>
      <c r="R437" s="272"/>
      <c r="S437" s="272"/>
      <c r="T437" s="272"/>
      <c r="U437" s="272"/>
      <c r="V437" s="272"/>
      <c r="W437" s="272"/>
      <c r="X437" s="272"/>
      <c r="Y437" s="272"/>
      <c r="Z437" s="272"/>
      <c r="AA437" s="272"/>
      <c r="AB437" s="272"/>
      <c r="AC437" s="272"/>
      <c r="AD437" s="272"/>
      <c r="AE437" s="272"/>
    </row>
    <row r="438" spans="15:31">
      <c r="O438" s="272"/>
      <c r="P438" s="272"/>
      <c r="Q438" s="272"/>
      <c r="R438" s="272"/>
      <c r="S438" s="272"/>
      <c r="T438" s="272"/>
      <c r="U438" s="272"/>
      <c r="V438" s="272"/>
      <c r="W438" s="272"/>
      <c r="X438" s="272"/>
      <c r="Y438" s="272"/>
      <c r="Z438" s="272"/>
      <c r="AA438" s="272"/>
      <c r="AB438" s="272"/>
      <c r="AC438" s="272"/>
      <c r="AD438" s="272"/>
      <c r="AE438" s="272"/>
    </row>
    <row r="439" spans="15:31">
      <c r="O439" s="272"/>
      <c r="P439" s="272"/>
      <c r="Q439" s="272"/>
      <c r="R439" s="272"/>
      <c r="S439" s="272"/>
      <c r="T439" s="272"/>
      <c r="U439" s="272"/>
      <c r="V439" s="272"/>
      <c r="W439" s="272"/>
      <c r="X439" s="272"/>
      <c r="Y439" s="272"/>
      <c r="Z439" s="272"/>
      <c r="AA439" s="272"/>
      <c r="AB439" s="272"/>
      <c r="AC439" s="272"/>
      <c r="AD439" s="272"/>
      <c r="AE439" s="272"/>
    </row>
    <row r="440" spans="15:31">
      <c r="O440" s="272"/>
      <c r="P440" s="272"/>
      <c r="Q440" s="272"/>
      <c r="R440" s="272"/>
      <c r="S440" s="272"/>
      <c r="T440" s="272"/>
      <c r="U440" s="272"/>
      <c r="V440" s="272"/>
      <c r="W440" s="272"/>
      <c r="X440" s="272"/>
      <c r="Y440" s="272"/>
      <c r="Z440" s="272"/>
      <c r="AA440" s="272"/>
      <c r="AB440" s="272"/>
      <c r="AC440" s="272"/>
      <c r="AD440" s="272"/>
      <c r="AE440" s="272"/>
    </row>
    <row r="441" spans="15:31">
      <c r="O441" s="272"/>
      <c r="P441" s="272"/>
      <c r="Q441" s="272"/>
      <c r="R441" s="272"/>
      <c r="S441" s="272"/>
      <c r="T441" s="272"/>
      <c r="U441" s="272"/>
      <c r="V441" s="272"/>
      <c r="W441" s="272"/>
      <c r="X441" s="272"/>
      <c r="Y441" s="272"/>
      <c r="Z441" s="272"/>
      <c r="AA441" s="272"/>
      <c r="AB441" s="272"/>
      <c r="AC441" s="272"/>
      <c r="AD441" s="272"/>
      <c r="AE441" s="272"/>
    </row>
    <row r="442" spans="15:31">
      <c r="O442" s="272"/>
      <c r="P442" s="272"/>
      <c r="Q442" s="272"/>
      <c r="R442" s="272"/>
      <c r="S442" s="272"/>
      <c r="T442" s="272"/>
      <c r="U442" s="272"/>
      <c r="V442" s="272"/>
      <c r="W442" s="272"/>
      <c r="X442" s="272"/>
      <c r="Y442" s="272"/>
      <c r="Z442" s="272"/>
      <c r="AA442" s="272"/>
      <c r="AB442" s="272"/>
      <c r="AC442" s="272"/>
      <c r="AD442" s="272"/>
      <c r="AE442" s="272"/>
    </row>
    <row r="443" spans="15:31">
      <c r="O443" s="272"/>
      <c r="P443" s="272"/>
      <c r="Q443" s="272"/>
      <c r="R443" s="272"/>
      <c r="S443" s="272"/>
      <c r="T443" s="272"/>
      <c r="U443" s="272"/>
      <c r="V443" s="272"/>
      <c r="W443" s="272"/>
      <c r="X443" s="272"/>
      <c r="Y443" s="272"/>
      <c r="Z443" s="272"/>
      <c r="AA443" s="272"/>
      <c r="AB443" s="272"/>
      <c r="AC443" s="272"/>
      <c r="AD443" s="272"/>
      <c r="AE443" s="272"/>
    </row>
    <row r="444" spans="15:31">
      <c r="O444" s="272"/>
      <c r="P444" s="272"/>
      <c r="Q444" s="272"/>
      <c r="R444" s="272"/>
      <c r="S444" s="272"/>
      <c r="T444" s="272"/>
      <c r="U444" s="272"/>
      <c r="V444" s="272"/>
      <c r="W444" s="272"/>
      <c r="X444" s="272"/>
      <c r="Y444" s="272"/>
      <c r="Z444" s="272"/>
      <c r="AA444" s="272"/>
      <c r="AB444" s="272"/>
      <c r="AC444" s="272"/>
      <c r="AD444" s="272"/>
      <c r="AE444" s="272"/>
    </row>
    <row r="445" spans="15:31">
      <c r="O445" s="272"/>
      <c r="P445" s="272"/>
      <c r="Q445" s="272"/>
      <c r="R445" s="272"/>
      <c r="S445" s="272"/>
      <c r="T445" s="272"/>
      <c r="U445" s="272"/>
      <c r="V445" s="272"/>
      <c r="W445" s="272"/>
      <c r="X445" s="272"/>
      <c r="Y445" s="272"/>
      <c r="Z445" s="272"/>
      <c r="AA445" s="272"/>
      <c r="AB445" s="272"/>
      <c r="AC445" s="272"/>
      <c r="AD445" s="272"/>
      <c r="AE445" s="272"/>
    </row>
    <row r="446" spans="15:31">
      <c r="O446" s="272"/>
      <c r="P446" s="272"/>
      <c r="Q446" s="272"/>
      <c r="R446" s="272"/>
      <c r="S446" s="272"/>
      <c r="T446" s="272"/>
      <c r="U446" s="272"/>
      <c r="V446" s="272"/>
      <c r="W446" s="272"/>
      <c r="X446" s="272"/>
      <c r="Y446" s="272"/>
      <c r="Z446" s="272"/>
      <c r="AA446" s="272"/>
      <c r="AB446" s="272"/>
      <c r="AC446" s="272"/>
      <c r="AD446" s="272"/>
      <c r="AE446" s="272"/>
    </row>
    <row r="447" spans="15:31">
      <c r="O447" s="272"/>
      <c r="P447" s="272"/>
      <c r="Q447" s="272"/>
      <c r="R447" s="272"/>
      <c r="S447" s="272"/>
      <c r="T447" s="272"/>
      <c r="U447" s="272"/>
      <c r="V447" s="272"/>
      <c r="W447" s="272"/>
      <c r="X447" s="272"/>
      <c r="Y447" s="272"/>
      <c r="Z447" s="272"/>
      <c r="AA447" s="272"/>
      <c r="AB447" s="272"/>
      <c r="AC447" s="272"/>
      <c r="AD447" s="272"/>
      <c r="AE447" s="272"/>
    </row>
    <row r="448" spans="15:31">
      <c r="O448" s="272"/>
      <c r="P448" s="272"/>
      <c r="Q448" s="272"/>
      <c r="R448" s="272"/>
      <c r="S448" s="272"/>
      <c r="T448" s="272"/>
      <c r="U448" s="272"/>
      <c r="V448" s="272"/>
      <c r="W448" s="272"/>
      <c r="X448" s="272"/>
      <c r="Y448" s="272"/>
      <c r="Z448" s="272"/>
      <c r="AA448" s="272"/>
      <c r="AB448" s="272"/>
      <c r="AC448" s="272"/>
      <c r="AD448" s="272"/>
      <c r="AE448" s="272"/>
    </row>
    <row r="449" spans="15:31">
      <c r="O449" s="272"/>
      <c r="P449" s="272"/>
      <c r="Q449" s="272"/>
      <c r="R449" s="272"/>
      <c r="S449" s="272"/>
      <c r="T449" s="272"/>
      <c r="U449" s="272"/>
      <c r="V449" s="272"/>
      <c r="W449" s="272"/>
      <c r="X449" s="272"/>
      <c r="Y449" s="272"/>
      <c r="Z449" s="272"/>
      <c r="AA449" s="272"/>
      <c r="AB449" s="272"/>
      <c r="AC449" s="272"/>
      <c r="AD449" s="272"/>
      <c r="AE449" s="272"/>
    </row>
    <row r="450" spans="15:31">
      <c r="O450" s="272"/>
      <c r="P450" s="272"/>
      <c r="Q450" s="272"/>
      <c r="R450" s="272"/>
      <c r="S450" s="272"/>
      <c r="T450" s="272"/>
      <c r="U450" s="272"/>
      <c r="V450" s="272"/>
      <c r="W450" s="272"/>
      <c r="X450" s="272"/>
      <c r="Y450" s="272"/>
      <c r="Z450" s="272"/>
      <c r="AA450" s="272"/>
      <c r="AB450" s="272"/>
      <c r="AC450" s="272"/>
      <c r="AD450" s="272"/>
      <c r="AE450" s="272"/>
    </row>
    <row r="451" spans="15:31">
      <c r="O451" s="272"/>
      <c r="P451" s="272"/>
      <c r="Q451" s="272"/>
      <c r="R451" s="272"/>
      <c r="S451" s="272"/>
      <c r="T451" s="272"/>
      <c r="U451" s="272"/>
      <c r="V451" s="272"/>
      <c r="W451" s="272"/>
      <c r="X451" s="272"/>
      <c r="Y451" s="272"/>
      <c r="Z451" s="272"/>
      <c r="AA451" s="272"/>
      <c r="AB451" s="272"/>
      <c r="AC451" s="272"/>
      <c r="AD451" s="272"/>
      <c r="AE451" s="272"/>
    </row>
    <row r="452" spans="15:31">
      <c r="O452" s="272"/>
      <c r="P452" s="272"/>
      <c r="Q452" s="272"/>
      <c r="R452" s="272"/>
      <c r="S452" s="272"/>
      <c r="T452" s="272"/>
      <c r="U452" s="272"/>
      <c r="V452" s="272"/>
      <c r="W452" s="272"/>
      <c r="X452" s="272"/>
      <c r="Y452" s="272"/>
      <c r="Z452" s="272"/>
      <c r="AA452" s="272"/>
      <c r="AB452" s="272"/>
      <c r="AC452" s="272"/>
      <c r="AD452" s="272"/>
      <c r="AE452" s="272"/>
    </row>
    <row r="453" spans="15:31">
      <c r="O453" s="272"/>
      <c r="P453" s="272"/>
      <c r="Q453" s="272"/>
      <c r="R453" s="272"/>
      <c r="S453" s="272"/>
      <c r="T453" s="272"/>
      <c r="U453" s="272"/>
      <c r="V453" s="272"/>
      <c r="W453" s="272"/>
      <c r="X453" s="272"/>
      <c r="Y453" s="272"/>
      <c r="Z453" s="272"/>
      <c r="AA453" s="272"/>
      <c r="AB453" s="272"/>
      <c r="AC453" s="272"/>
      <c r="AD453" s="272"/>
      <c r="AE453" s="272"/>
    </row>
    <row r="454" spans="15:31">
      <c r="O454" s="272"/>
      <c r="P454" s="272"/>
      <c r="Q454" s="272"/>
      <c r="R454" s="272"/>
      <c r="S454" s="272"/>
      <c r="T454" s="272"/>
      <c r="U454" s="272"/>
      <c r="V454" s="272"/>
      <c r="W454" s="272"/>
      <c r="X454" s="272"/>
      <c r="Y454" s="272"/>
      <c r="Z454" s="272"/>
      <c r="AA454" s="272"/>
      <c r="AB454" s="272"/>
      <c r="AC454" s="272"/>
      <c r="AD454" s="272"/>
      <c r="AE454" s="272"/>
    </row>
    <row r="455" spans="15:31">
      <c r="O455" s="272"/>
      <c r="P455" s="272"/>
      <c r="Q455" s="272"/>
      <c r="R455" s="272"/>
      <c r="S455" s="272"/>
      <c r="T455" s="272"/>
      <c r="U455" s="272"/>
      <c r="V455" s="272"/>
      <c r="W455" s="272"/>
      <c r="X455" s="272"/>
      <c r="Y455" s="272"/>
      <c r="Z455" s="272"/>
      <c r="AA455" s="272"/>
      <c r="AB455" s="272"/>
      <c r="AC455" s="272"/>
      <c r="AD455" s="272"/>
      <c r="AE455" s="272"/>
    </row>
    <row r="456" spans="15:31">
      <c r="O456" s="272"/>
      <c r="P456" s="272"/>
      <c r="Q456" s="272"/>
      <c r="R456" s="272"/>
      <c r="S456" s="272"/>
      <c r="T456" s="272"/>
      <c r="U456" s="272"/>
      <c r="V456" s="272"/>
      <c r="W456" s="272"/>
      <c r="X456" s="272"/>
      <c r="Y456" s="272"/>
      <c r="Z456" s="272"/>
      <c r="AA456" s="272"/>
      <c r="AB456" s="272"/>
      <c r="AC456" s="272"/>
      <c r="AD456" s="272"/>
      <c r="AE456" s="272"/>
    </row>
    <row r="457" spans="15:31">
      <c r="O457" s="272"/>
      <c r="P457" s="272"/>
      <c r="Q457" s="272"/>
      <c r="R457" s="272"/>
      <c r="S457" s="272"/>
      <c r="T457" s="272"/>
      <c r="U457" s="272"/>
      <c r="V457" s="272"/>
      <c r="W457" s="272"/>
      <c r="X457" s="272"/>
      <c r="Y457" s="272"/>
      <c r="Z457" s="272"/>
      <c r="AA457" s="272"/>
      <c r="AB457" s="272"/>
      <c r="AC457" s="272"/>
      <c r="AD457" s="272"/>
      <c r="AE457" s="272"/>
    </row>
    <row r="458" spans="15:31">
      <c r="O458" s="272"/>
      <c r="P458" s="272"/>
      <c r="Q458" s="272"/>
      <c r="R458" s="272"/>
      <c r="S458" s="272"/>
      <c r="T458" s="272"/>
      <c r="U458" s="272"/>
      <c r="V458" s="272"/>
      <c r="W458" s="272"/>
      <c r="X458" s="272"/>
      <c r="Y458" s="272"/>
      <c r="Z458" s="272"/>
      <c r="AA458" s="272"/>
      <c r="AB458" s="272"/>
      <c r="AC458" s="272"/>
      <c r="AD458" s="272"/>
      <c r="AE458" s="272"/>
    </row>
    <row r="459" spans="15:31">
      <c r="O459" s="272"/>
      <c r="P459" s="272"/>
      <c r="Q459" s="272"/>
      <c r="R459" s="272"/>
      <c r="S459" s="272"/>
      <c r="T459" s="272"/>
      <c r="U459" s="272"/>
      <c r="V459" s="272"/>
      <c r="W459" s="272"/>
      <c r="X459" s="272"/>
      <c r="Y459" s="272"/>
      <c r="Z459" s="272"/>
      <c r="AA459" s="272"/>
      <c r="AB459" s="272"/>
      <c r="AC459" s="272"/>
      <c r="AD459" s="272"/>
      <c r="AE459" s="272"/>
    </row>
    <row r="460" spans="15:31">
      <c r="O460" s="272"/>
      <c r="P460" s="272"/>
      <c r="Q460" s="272"/>
      <c r="R460" s="272"/>
      <c r="S460" s="272"/>
      <c r="T460" s="272"/>
      <c r="U460" s="272"/>
      <c r="V460" s="272"/>
      <c r="W460" s="272"/>
      <c r="X460" s="272"/>
      <c r="Y460" s="272"/>
      <c r="Z460" s="272"/>
      <c r="AA460" s="272"/>
      <c r="AB460" s="272"/>
      <c r="AC460" s="272"/>
      <c r="AD460" s="272"/>
      <c r="AE460" s="272"/>
    </row>
    <row r="461" spans="15:31">
      <c r="O461" s="272"/>
      <c r="P461" s="272"/>
      <c r="Q461" s="272"/>
      <c r="R461" s="272"/>
      <c r="S461" s="272"/>
      <c r="T461" s="272"/>
      <c r="U461" s="272"/>
      <c r="V461" s="272"/>
      <c r="W461" s="272"/>
      <c r="X461" s="272"/>
      <c r="Y461" s="272"/>
      <c r="Z461" s="272"/>
      <c r="AA461" s="272"/>
      <c r="AB461" s="272"/>
      <c r="AC461" s="272"/>
      <c r="AD461" s="272"/>
      <c r="AE461" s="272"/>
    </row>
    <row r="462" spans="15:31">
      <c r="O462" s="272"/>
      <c r="P462" s="272"/>
      <c r="Q462" s="272"/>
      <c r="R462" s="272"/>
      <c r="S462" s="272"/>
      <c r="T462" s="272"/>
      <c r="U462" s="272"/>
      <c r="V462" s="272"/>
      <c r="W462" s="272"/>
      <c r="X462" s="272"/>
      <c r="Y462" s="272"/>
      <c r="Z462" s="272"/>
      <c r="AA462" s="272"/>
      <c r="AB462" s="272"/>
      <c r="AC462" s="272"/>
      <c r="AD462" s="272"/>
      <c r="AE462" s="272"/>
    </row>
    <row r="463" spans="15:31">
      <c r="O463" s="272"/>
      <c r="P463" s="272"/>
      <c r="Q463" s="272"/>
      <c r="R463" s="272"/>
      <c r="S463" s="272"/>
      <c r="T463" s="272"/>
      <c r="U463" s="272"/>
      <c r="V463" s="272"/>
      <c r="W463" s="272"/>
      <c r="X463" s="272"/>
      <c r="Y463" s="272"/>
      <c r="Z463" s="272"/>
      <c r="AA463" s="272"/>
      <c r="AB463" s="272"/>
      <c r="AC463" s="272"/>
      <c r="AD463" s="272"/>
      <c r="AE463" s="272"/>
    </row>
    <row r="464" spans="15:31">
      <c r="O464" s="272"/>
      <c r="P464" s="272"/>
      <c r="Q464" s="272"/>
      <c r="R464" s="272"/>
      <c r="S464" s="272"/>
      <c r="T464" s="272"/>
      <c r="U464" s="272"/>
      <c r="V464" s="272"/>
      <c r="W464" s="272"/>
      <c r="X464" s="272"/>
      <c r="Y464" s="272"/>
      <c r="Z464" s="272"/>
      <c r="AA464" s="272"/>
      <c r="AB464" s="272"/>
      <c r="AC464" s="272"/>
      <c r="AD464" s="272"/>
      <c r="AE464" s="272"/>
    </row>
    <row r="465" spans="15:31">
      <c r="O465" s="272"/>
      <c r="P465" s="272"/>
      <c r="Q465" s="272"/>
      <c r="R465" s="272"/>
      <c r="S465" s="272"/>
      <c r="T465" s="272"/>
      <c r="U465" s="272"/>
      <c r="V465" s="272"/>
      <c r="W465" s="272"/>
      <c r="X465" s="272"/>
      <c r="Y465" s="272"/>
      <c r="Z465" s="272"/>
      <c r="AA465" s="272"/>
      <c r="AB465" s="272"/>
      <c r="AC465" s="272"/>
      <c r="AD465" s="272"/>
      <c r="AE465" s="272"/>
    </row>
    <row r="466" spans="15:31">
      <c r="O466" s="272"/>
      <c r="P466" s="272"/>
      <c r="Q466" s="272"/>
      <c r="R466" s="272"/>
      <c r="S466" s="272"/>
      <c r="T466" s="272"/>
      <c r="U466" s="272"/>
      <c r="V466" s="272"/>
      <c r="W466" s="272"/>
      <c r="X466" s="272"/>
      <c r="Y466" s="272"/>
      <c r="Z466" s="272"/>
      <c r="AA466" s="272"/>
      <c r="AB466" s="272"/>
      <c r="AC466" s="272"/>
      <c r="AD466" s="272"/>
      <c r="AE466" s="272"/>
    </row>
    <row r="467" spans="15:31">
      <c r="O467" s="272"/>
      <c r="P467" s="272"/>
      <c r="Q467" s="272"/>
      <c r="R467" s="272"/>
      <c r="S467" s="272"/>
      <c r="T467" s="272"/>
      <c r="U467" s="272"/>
      <c r="V467" s="272"/>
      <c r="W467" s="272"/>
      <c r="X467" s="272"/>
      <c r="Y467" s="272"/>
      <c r="Z467" s="272"/>
      <c r="AA467" s="272"/>
      <c r="AB467" s="272"/>
      <c r="AC467" s="272"/>
      <c r="AD467" s="272"/>
      <c r="AE467" s="272"/>
    </row>
    <row r="468" spans="15:31">
      <c r="O468" s="272"/>
      <c r="P468" s="272"/>
      <c r="Q468" s="272"/>
      <c r="R468" s="272"/>
      <c r="S468" s="272"/>
      <c r="T468" s="272"/>
      <c r="U468" s="272"/>
      <c r="V468" s="272"/>
      <c r="W468" s="272"/>
      <c r="X468" s="272"/>
      <c r="Y468" s="272"/>
      <c r="Z468" s="272"/>
      <c r="AA468" s="272"/>
      <c r="AB468" s="272"/>
      <c r="AC468" s="272"/>
      <c r="AD468" s="272"/>
      <c r="AE468" s="272"/>
    </row>
    <row r="469" spans="15:31">
      <c r="O469" s="272"/>
      <c r="P469" s="272"/>
      <c r="Q469" s="272"/>
      <c r="R469" s="272"/>
      <c r="S469" s="272"/>
      <c r="T469" s="272"/>
      <c r="U469" s="272"/>
      <c r="V469" s="272"/>
      <c r="W469" s="272"/>
      <c r="X469" s="272"/>
      <c r="Y469" s="272"/>
      <c r="Z469" s="272"/>
      <c r="AA469" s="272"/>
      <c r="AB469" s="272"/>
      <c r="AC469" s="272"/>
      <c r="AD469" s="272"/>
      <c r="AE469" s="272"/>
    </row>
    <row r="470" spans="15:31">
      <c r="O470" s="272"/>
      <c r="P470" s="272"/>
      <c r="Q470" s="272"/>
      <c r="R470" s="272"/>
      <c r="S470" s="272"/>
      <c r="T470" s="272"/>
      <c r="U470" s="272"/>
      <c r="V470" s="272"/>
      <c r="W470" s="272"/>
      <c r="X470" s="272"/>
      <c r="Y470" s="272"/>
      <c r="Z470" s="272"/>
      <c r="AA470" s="272"/>
      <c r="AB470" s="272"/>
      <c r="AC470" s="272"/>
      <c r="AD470" s="272"/>
      <c r="AE470" s="272"/>
    </row>
    <row r="471" spans="15:31">
      <c r="O471" s="272"/>
      <c r="P471" s="272"/>
      <c r="Q471" s="272"/>
      <c r="R471" s="272"/>
      <c r="S471" s="272"/>
      <c r="T471" s="272"/>
      <c r="U471" s="272"/>
      <c r="V471" s="272"/>
      <c r="W471" s="272"/>
      <c r="X471" s="272"/>
      <c r="Y471" s="272"/>
      <c r="Z471" s="272"/>
      <c r="AA471" s="272"/>
      <c r="AB471" s="272"/>
      <c r="AC471" s="272"/>
      <c r="AD471" s="272"/>
      <c r="AE471" s="272"/>
    </row>
    <row r="472" spans="15:31">
      <c r="O472" s="272"/>
      <c r="P472" s="272"/>
      <c r="Q472" s="272"/>
      <c r="R472" s="272"/>
      <c r="S472" s="272"/>
      <c r="T472" s="272"/>
      <c r="U472" s="272"/>
      <c r="V472" s="272"/>
      <c r="W472" s="272"/>
      <c r="X472" s="272"/>
      <c r="Y472" s="272"/>
      <c r="Z472" s="272"/>
      <c r="AA472" s="272"/>
      <c r="AB472" s="272"/>
      <c r="AC472" s="272"/>
      <c r="AD472" s="272"/>
      <c r="AE472" s="272"/>
    </row>
    <row r="473" spans="15:31">
      <c r="O473" s="272"/>
      <c r="P473" s="272"/>
      <c r="Q473" s="272"/>
      <c r="R473" s="272"/>
      <c r="S473" s="272"/>
      <c r="T473" s="272"/>
      <c r="U473" s="272"/>
      <c r="V473" s="272"/>
      <c r="W473" s="272"/>
      <c r="X473" s="272"/>
      <c r="Y473" s="272"/>
      <c r="Z473" s="272"/>
      <c r="AA473" s="272"/>
      <c r="AB473" s="272"/>
      <c r="AC473" s="272"/>
      <c r="AD473" s="272"/>
      <c r="AE473" s="272"/>
    </row>
    <row r="474" spans="15:31">
      <c r="O474" s="272"/>
      <c r="P474" s="272"/>
      <c r="Q474" s="272"/>
      <c r="R474" s="272"/>
      <c r="S474" s="272"/>
      <c r="T474" s="272"/>
      <c r="U474" s="272"/>
      <c r="V474" s="272"/>
      <c r="W474" s="272"/>
      <c r="X474" s="272"/>
      <c r="Y474" s="272"/>
      <c r="Z474" s="272"/>
      <c r="AA474" s="272"/>
      <c r="AB474" s="272"/>
      <c r="AC474" s="272"/>
      <c r="AD474" s="272"/>
      <c r="AE474" s="272"/>
    </row>
    <row r="475" spans="15:31">
      <c r="O475" s="272"/>
      <c r="P475" s="272"/>
      <c r="Q475" s="272"/>
      <c r="R475" s="272"/>
      <c r="S475" s="272"/>
      <c r="T475" s="272"/>
      <c r="U475" s="272"/>
      <c r="V475" s="272"/>
      <c r="W475" s="272"/>
      <c r="X475" s="272"/>
      <c r="Y475" s="272"/>
      <c r="Z475" s="272"/>
      <c r="AA475" s="272"/>
      <c r="AB475" s="272"/>
      <c r="AC475" s="272"/>
      <c r="AD475" s="272"/>
      <c r="AE475" s="272"/>
    </row>
    <row r="476" spans="15:31">
      <c r="O476" s="272"/>
      <c r="P476" s="272"/>
      <c r="Q476" s="272"/>
      <c r="R476" s="272"/>
      <c r="S476" s="272"/>
      <c r="T476" s="272"/>
      <c r="U476" s="272"/>
      <c r="V476" s="272"/>
      <c r="W476" s="272"/>
      <c r="X476" s="272"/>
      <c r="Y476" s="272"/>
      <c r="Z476" s="272"/>
      <c r="AA476" s="272"/>
      <c r="AB476" s="272"/>
      <c r="AC476" s="272"/>
      <c r="AD476" s="272"/>
      <c r="AE476" s="272"/>
    </row>
    <row r="477" spans="15:31">
      <c r="O477" s="272"/>
      <c r="P477" s="272"/>
      <c r="Q477" s="272"/>
      <c r="R477" s="272"/>
      <c r="S477" s="272"/>
      <c r="T477" s="272"/>
      <c r="U477" s="272"/>
      <c r="V477" s="272"/>
      <c r="W477" s="272"/>
      <c r="X477" s="272"/>
      <c r="Y477" s="272"/>
      <c r="Z477" s="272"/>
      <c r="AA477" s="272"/>
      <c r="AB477" s="272"/>
      <c r="AC477" s="272"/>
      <c r="AD477" s="272"/>
      <c r="AE477" s="272"/>
    </row>
    <row r="478" spans="15:31">
      <c r="O478" s="272"/>
      <c r="P478" s="272"/>
      <c r="Q478" s="272"/>
      <c r="R478" s="272"/>
      <c r="S478" s="272"/>
      <c r="T478" s="272"/>
      <c r="U478" s="272"/>
      <c r="V478" s="272"/>
      <c r="W478" s="272"/>
      <c r="X478" s="272"/>
      <c r="Y478" s="272"/>
      <c r="Z478" s="272"/>
      <c r="AA478" s="272"/>
      <c r="AB478" s="272"/>
      <c r="AC478" s="272"/>
      <c r="AD478" s="272"/>
      <c r="AE478" s="272"/>
    </row>
    <row r="479" spans="15:31">
      <c r="O479" s="272"/>
      <c r="P479" s="272"/>
      <c r="Q479" s="272"/>
      <c r="R479" s="272"/>
      <c r="S479" s="272"/>
      <c r="T479" s="272"/>
      <c r="U479" s="272"/>
      <c r="V479" s="272"/>
      <c r="W479" s="272"/>
      <c r="X479" s="272"/>
      <c r="Y479" s="272"/>
      <c r="Z479" s="272"/>
      <c r="AA479" s="272"/>
      <c r="AB479" s="272"/>
      <c r="AC479" s="272"/>
      <c r="AD479" s="272"/>
      <c r="AE479" s="272"/>
    </row>
    <row r="480" spans="15:31">
      <c r="O480" s="272"/>
      <c r="P480" s="272"/>
      <c r="Q480" s="272"/>
      <c r="R480" s="272"/>
      <c r="S480" s="272"/>
      <c r="T480" s="272"/>
      <c r="U480" s="272"/>
      <c r="V480" s="272"/>
      <c r="W480" s="272"/>
      <c r="X480" s="272"/>
      <c r="Y480" s="272"/>
      <c r="Z480" s="272"/>
      <c r="AA480" s="272"/>
      <c r="AB480" s="272"/>
      <c r="AC480" s="272"/>
      <c r="AD480" s="272"/>
      <c r="AE480" s="272"/>
    </row>
    <row r="481" spans="15:31">
      <c r="O481" s="272"/>
      <c r="P481" s="272"/>
      <c r="Q481" s="272"/>
      <c r="R481" s="272"/>
      <c r="S481" s="272"/>
      <c r="T481" s="272"/>
      <c r="U481" s="272"/>
      <c r="V481" s="272"/>
      <c r="W481" s="272"/>
      <c r="X481" s="272"/>
      <c r="Y481" s="272"/>
      <c r="Z481" s="272"/>
      <c r="AA481" s="272"/>
      <c r="AB481" s="272"/>
      <c r="AC481" s="272"/>
      <c r="AD481" s="272"/>
      <c r="AE481" s="272"/>
    </row>
    <row r="482" spans="15:31">
      <c r="O482" s="272"/>
      <c r="P482" s="272"/>
      <c r="Q482" s="272"/>
      <c r="R482" s="272"/>
      <c r="S482" s="272"/>
      <c r="T482" s="272"/>
      <c r="U482" s="272"/>
      <c r="V482" s="272"/>
      <c r="W482" s="272"/>
      <c r="X482" s="272"/>
      <c r="Y482" s="272"/>
      <c r="Z482" s="272"/>
      <c r="AA482" s="272"/>
      <c r="AB482" s="272"/>
      <c r="AC482" s="272"/>
      <c r="AD482" s="272"/>
      <c r="AE482" s="272"/>
    </row>
    <row r="483" spans="15:31">
      <c r="O483" s="272"/>
      <c r="P483" s="272"/>
      <c r="Q483" s="272"/>
      <c r="R483" s="272"/>
      <c r="S483" s="272"/>
      <c r="T483" s="272"/>
      <c r="U483" s="272"/>
      <c r="V483" s="272"/>
      <c r="W483" s="272"/>
      <c r="X483" s="272"/>
      <c r="Y483" s="272"/>
      <c r="Z483" s="272"/>
      <c r="AA483" s="272"/>
      <c r="AB483" s="272"/>
      <c r="AC483" s="272"/>
      <c r="AD483" s="272"/>
      <c r="AE483" s="272"/>
    </row>
    <row r="484" spans="15:31">
      <c r="O484" s="272"/>
      <c r="P484" s="272"/>
      <c r="Q484" s="272"/>
      <c r="R484" s="272"/>
      <c r="S484" s="272"/>
      <c r="T484" s="272"/>
      <c r="U484" s="272"/>
      <c r="V484" s="272"/>
      <c r="W484" s="272"/>
      <c r="X484" s="272"/>
      <c r="Y484" s="272"/>
      <c r="Z484" s="272"/>
      <c r="AA484" s="272"/>
      <c r="AB484" s="272"/>
      <c r="AC484" s="272"/>
      <c r="AD484" s="272"/>
      <c r="AE484" s="272"/>
    </row>
    <row r="485" spans="15:31">
      <c r="O485" s="272"/>
      <c r="P485" s="272"/>
      <c r="Q485" s="272"/>
      <c r="R485" s="272"/>
      <c r="S485" s="272"/>
      <c r="T485" s="272"/>
      <c r="U485" s="272"/>
      <c r="V485" s="272"/>
      <c r="W485" s="272"/>
      <c r="X485" s="272"/>
      <c r="Y485" s="272"/>
      <c r="Z485" s="272"/>
      <c r="AA485" s="272"/>
      <c r="AB485" s="272"/>
      <c r="AC485" s="272"/>
      <c r="AD485" s="272"/>
      <c r="AE485" s="272"/>
    </row>
    <row r="486" spans="15:31">
      <c r="O486" s="272"/>
      <c r="P486" s="272"/>
      <c r="Q486" s="272"/>
      <c r="R486" s="272"/>
      <c r="S486" s="272"/>
      <c r="T486" s="272"/>
      <c r="U486" s="272"/>
      <c r="V486" s="272"/>
      <c r="W486" s="272"/>
      <c r="X486" s="272"/>
      <c r="Y486" s="272"/>
      <c r="Z486" s="272"/>
      <c r="AA486" s="272"/>
      <c r="AB486" s="272"/>
      <c r="AC486" s="272"/>
      <c r="AD486" s="272"/>
      <c r="AE486" s="272"/>
    </row>
    <row r="487" spans="15:31">
      <c r="O487" s="272"/>
      <c r="P487" s="272"/>
      <c r="Q487" s="272"/>
      <c r="R487" s="272"/>
      <c r="S487" s="272"/>
      <c r="T487" s="272"/>
      <c r="U487" s="272"/>
      <c r="V487" s="272"/>
      <c r="W487" s="272"/>
      <c r="X487" s="272"/>
      <c r="Y487" s="272"/>
      <c r="Z487" s="272"/>
      <c r="AA487" s="272"/>
      <c r="AB487" s="272"/>
      <c r="AC487" s="272"/>
      <c r="AD487" s="272"/>
      <c r="AE487" s="272"/>
    </row>
    <row r="488" spans="15:31">
      <c r="O488" s="272"/>
      <c r="P488" s="272"/>
      <c r="Q488" s="272"/>
      <c r="R488" s="272"/>
      <c r="S488" s="272"/>
      <c r="T488" s="272"/>
      <c r="U488" s="272"/>
      <c r="V488" s="272"/>
      <c r="W488" s="272"/>
      <c r="X488" s="272"/>
      <c r="Y488" s="272"/>
      <c r="Z488" s="272"/>
      <c r="AA488" s="272"/>
      <c r="AB488" s="272"/>
      <c r="AC488" s="272"/>
      <c r="AD488" s="272"/>
      <c r="AE488" s="272"/>
    </row>
    <row r="489" spans="15:31">
      <c r="O489" s="272"/>
      <c r="P489" s="272"/>
      <c r="Q489" s="272"/>
      <c r="R489" s="272"/>
      <c r="S489" s="272"/>
      <c r="T489" s="272"/>
      <c r="U489" s="272"/>
      <c r="V489" s="272"/>
      <c r="W489" s="272"/>
      <c r="X489" s="272"/>
      <c r="Y489" s="272"/>
      <c r="Z489" s="272"/>
      <c r="AA489" s="272"/>
      <c r="AB489" s="272"/>
      <c r="AC489" s="272"/>
      <c r="AD489" s="272"/>
      <c r="AE489" s="272"/>
    </row>
    <row r="490" spans="15:31">
      <c r="O490" s="272"/>
      <c r="P490" s="272"/>
      <c r="Q490" s="272"/>
      <c r="R490" s="272"/>
      <c r="S490" s="272"/>
      <c r="T490" s="272"/>
      <c r="U490" s="272"/>
      <c r="V490" s="272"/>
      <c r="W490" s="272"/>
      <c r="X490" s="272"/>
      <c r="Y490" s="272"/>
      <c r="Z490" s="272"/>
      <c r="AA490" s="272"/>
      <c r="AB490" s="272"/>
      <c r="AC490" s="272"/>
      <c r="AD490" s="272"/>
      <c r="AE490" s="272"/>
    </row>
    <row r="491" spans="15:31">
      <c r="O491" s="272"/>
      <c r="P491" s="272"/>
      <c r="Q491" s="272"/>
      <c r="R491" s="272"/>
      <c r="S491" s="272"/>
      <c r="T491" s="272"/>
      <c r="U491" s="272"/>
      <c r="V491" s="272"/>
      <c r="W491" s="272"/>
      <c r="X491" s="272"/>
      <c r="Y491" s="272"/>
      <c r="Z491" s="272"/>
      <c r="AA491" s="272"/>
      <c r="AB491" s="272"/>
      <c r="AC491" s="272"/>
      <c r="AD491" s="272"/>
      <c r="AE491" s="272"/>
    </row>
    <row r="492" spans="15:31">
      <c r="O492" s="272"/>
      <c r="P492" s="272"/>
      <c r="Q492" s="272"/>
      <c r="R492" s="272"/>
      <c r="S492" s="272"/>
      <c r="T492" s="272"/>
      <c r="U492" s="272"/>
      <c r="V492" s="272"/>
      <c r="W492" s="272"/>
      <c r="X492" s="272"/>
      <c r="Y492" s="272"/>
      <c r="Z492" s="272"/>
      <c r="AA492" s="272"/>
      <c r="AB492" s="272"/>
      <c r="AC492" s="272"/>
      <c r="AD492" s="272"/>
      <c r="AE492" s="272"/>
    </row>
    <row r="493" spans="15:31">
      <c r="O493" s="272"/>
      <c r="P493" s="272"/>
      <c r="Q493" s="272"/>
      <c r="R493" s="272"/>
      <c r="S493" s="272"/>
      <c r="T493" s="272"/>
      <c r="U493" s="272"/>
      <c r="V493" s="272"/>
      <c r="W493" s="272"/>
      <c r="X493" s="272"/>
      <c r="Y493" s="272"/>
      <c r="Z493" s="272"/>
      <c r="AA493" s="272"/>
      <c r="AB493" s="272"/>
      <c r="AC493" s="272"/>
      <c r="AD493" s="272"/>
      <c r="AE493" s="272"/>
    </row>
    <row r="494" spans="15:31">
      <c r="O494" s="272"/>
      <c r="P494" s="272"/>
      <c r="Q494" s="272"/>
      <c r="R494" s="272"/>
      <c r="S494" s="272"/>
      <c r="T494" s="272"/>
      <c r="U494" s="272"/>
      <c r="V494" s="272"/>
      <c r="W494" s="272"/>
      <c r="X494" s="272"/>
      <c r="Y494" s="272"/>
      <c r="Z494" s="272"/>
      <c r="AA494" s="272"/>
      <c r="AB494" s="272"/>
      <c r="AC494" s="272"/>
      <c r="AD494" s="272"/>
      <c r="AE494" s="272"/>
    </row>
    <row r="495" spans="15:31">
      <c r="O495" s="272"/>
      <c r="P495" s="272"/>
      <c r="Q495" s="272"/>
      <c r="R495" s="272"/>
      <c r="S495" s="272"/>
      <c r="T495" s="272"/>
      <c r="U495" s="272"/>
      <c r="V495" s="272"/>
      <c r="W495" s="272"/>
      <c r="X495" s="272"/>
      <c r="Y495" s="272"/>
      <c r="Z495" s="272"/>
      <c r="AA495" s="272"/>
      <c r="AB495" s="272"/>
      <c r="AC495" s="272"/>
      <c r="AD495" s="272"/>
      <c r="AE495" s="272"/>
    </row>
    <row r="496" spans="15:31">
      <c r="O496" s="272"/>
      <c r="P496" s="272"/>
      <c r="Q496" s="272"/>
      <c r="R496" s="272"/>
      <c r="S496" s="272"/>
      <c r="T496" s="272"/>
      <c r="U496" s="272"/>
      <c r="V496" s="272"/>
      <c r="W496" s="272"/>
      <c r="X496" s="272"/>
      <c r="Y496" s="272"/>
      <c r="Z496" s="272"/>
      <c r="AA496" s="272"/>
      <c r="AB496" s="272"/>
      <c r="AC496" s="272"/>
      <c r="AD496" s="272"/>
      <c r="AE496" s="272"/>
    </row>
    <row r="497" spans="15:31">
      <c r="O497" s="272"/>
      <c r="P497" s="272"/>
      <c r="Q497" s="272"/>
      <c r="R497" s="272"/>
      <c r="S497" s="272"/>
      <c r="T497" s="272"/>
      <c r="U497" s="272"/>
      <c r="V497" s="272"/>
      <c r="W497" s="272"/>
      <c r="X497" s="272"/>
      <c r="Y497" s="272"/>
      <c r="Z497" s="272"/>
      <c r="AA497" s="272"/>
      <c r="AB497" s="272"/>
      <c r="AC497" s="272"/>
      <c r="AD497" s="272"/>
      <c r="AE497" s="272"/>
    </row>
    <row r="498" spans="15:31">
      <c r="O498" s="272"/>
      <c r="P498" s="272"/>
      <c r="Q498" s="272"/>
      <c r="R498" s="272"/>
      <c r="S498" s="272"/>
      <c r="T498" s="272"/>
      <c r="U498" s="272"/>
      <c r="V498" s="272"/>
      <c r="W498" s="272"/>
      <c r="X498" s="272"/>
      <c r="Y498" s="272"/>
      <c r="Z498" s="272"/>
      <c r="AA498" s="272"/>
      <c r="AB498" s="272"/>
      <c r="AC498" s="272"/>
      <c r="AD498" s="272"/>
      <c r="AE498" s="272"/>
    </row>
    <row r="499" spans="15:31">
      <c r="O499" s="272"/>
      <c r="P499" s="272"/>
      <c r="Q499" s="272"/>
      <c r="R499" s="272"/>
      <c r="S499" s="272"/>
      <c r="T499" s="272"/>
      <c r="U499" s="272"/>
      <c r="V499" s="272"/>
      <c r="W499" s="272"/>
      <c r="X499" s="272"/>
      <c r="Y499" s="272"/>
      <c r="Z499" s="272"/>
      <c r="AA499" s="272"/>
      <c r="AB499" s="272"/>
      <c r="AC499" s="272"/>
      <c r="AD499" s="272"/>
      <c r="AE499" s="272"/>
    </row>
    <row r="500" spans="15:31">
      <c r="O500" s="272"/>
      <c r="P500" s="272"/>
      <c r="Q500" s="272"/>
      <c r="R500" s="272"/>
      <c r="S500" s="272"/>
      <c r="T500" s="272"/>
      <c r="U500" s="272"/>
      <c r="V500" s="272"/>
      <c r="W500" s="272"/>
      <c r="X500" s="272"/>
      <c r="Y500" s="272"/>
      <c r="Z500" s="272"/>
      <c r="AA500" s="272"/>
      <c r="AB500" s="272"/>
      <c r="AC500" s="272"/>
      <c r="AD500" s="272"/>
      <c r="AE500" s="272"/>
    </row>
    <row r="501" spans="15:31">
      <c r="O501" s="272"/>
      <c r="P501" s="272"/>
      <c r="Q501" s="272"/>
      <c r="R501" s="272"/>
      <c r="S501" s="272"/>
      <c r="T501" s="272"/>
      <c r="U501" s="272"/>
      <c r="V501" s="272"/>
      <c r="W501" s="272"/>
      <c r="X501" s="272"/>
      <c r="Y501" s="272"/>
      <c r="Z501" s="272"/>
      <c r="AA501" s="272"/>
      <c r="AB501" s="272"/>
      <c r="AC501" s="272"/>
      <c r="AD501" s="272"/>
      <c r="AE501" s="272"/>
    </row>
    <row r="502" spans="15:31">
      <c r="O502" s="272"/>
      <c r="P502" s="272"/>
      <c r="Q502" s="272"/>
      <c r="R502" s="272"/>
      <c r="S502" s="272"/>
      <c r="T502" s="272"/>
      <c r="U502" s="272"/>
      <c r="V502" s="272"/>
      <c r="W502" s="272"/>
      <c r="X502" s="272"/>
      <c r="Y502" s="272"/>
      <c r="Z502" s="272"/>
      <c r="AA502" s="272"/>
      <c r="AB502" s="272"/>
      <c r="AC502" s="272"/>
      <c r="AD502" s="272"/>
      <c r="AE502" s="272"/>
    </row>
    <row r="503" spans="15:31">
      <c r="O503" s="272"/>
      <c r="P503" s="272"/>
      <c r="Q503" s="272"/>
      <c r="R503" s="272"/>
      <c r="S503" s="272"/>
      <c r="T503" s="272"/>
      <c r="U503" s="272"/>
      <c r="V503" s="272"/>
      <c r="W503" s="272"/>
      <c r="X503" s="272"/>
      <c r="Y503" s="272"/>
      <c r="Z503" s="272"/>
      <c r="AA503" s="272"/>
      <c r="AB503" s="272"/>
      <c r="AC503" s="272"/>
      <c r="AD503" s="272"/>
      <c r="AE503" s="272"/>
    </row>
    <row r="504" spans="15:31">
      <c r="O504" s="272"/>
      <c r="P504" s="272"/>
      <c r="Q504" s="272"/>
      <c r="R504" s="272"/>
      <c r="S504" s="272"/>
      <c r="T504" s="272"/>
      <c r="U504" s="272"/>
      <c r="V504" s="272"/>
      <c r="W504" s="272"/>
      <c r="X504" s="272"/>
      <c r="Y504" s="272"/>
      <c r="Z504" s="272"/>
      <c r="AA504" s="272"/>
      <c r="AB504" s="272"/>
      <c r="AC504" s="272"/>
      <c r="AD504" s="272"/>
      <c r="AE504" s="272"/>
    </row>
    <row r="505" spans="15:31">
      <c r="O505" s="272"/>
      <c r="P505" s="272"/>
      <c r="Q505" s="272"/>
      <c r="R505" s="272"/>
      <c r="S505" s="272"/>
      <c r="T505" s="272"/>
      <c r="U505" s="272"/>
      <c r="V505" s="272"/>
      <c r="W505" s="272"/>
      <c r="X505" s="272"/>
      <c r="Y505" s="272"/>
      <c r="Z505" s="272"/>
      <c r="AA505" s="272"/>
      <c r="AB505" s="272"/>
      <c r="AC505" s="272"/>
      <c r="AD505" s="272"/>
      <c r="AE505" s="272"/>
    </row>
    <row r="506" spans="15:31">
      <c r="O506" s="272"/>
      <c r="P506" s="272"/>
      <c r="Q506" s="272"/>
      <c r="R506" s="272"/>
      <c r="S506" s="272"/>
      <c r="T506" s="272"/>
      <c r="U506" s="272"/>
      <c r="V506" s="272"/>
      <c r="W506" s="272"/>
      <c r="X506" s="272"/>
      <c r="Y506" s="272"/>
      <c r="Z506" s="272"/>
      <c r="AA506" s="272"/>
      <c r="AB506" s="272"/>
      <c r="AC506" s="272"/>
      <c r="AD506" s="272"/>
      <c r="AE506" s="272"/>
    </row>
    <row r="507" spans="15:31">
      <c r="O507" s="272"/>
      <c r="P507" s="272"/>
      <c r="Q507" s="272"/>
      <c r="R507" s="272"/>
      <c r="S507" s="272"/>
      <c r="T507" s="272"/>
      <c r="U507" s="272"/>
      <c r="V507" s="272"/>
      <c r="W507" s="272"/>
      <c r="X507" s="272"/>
      <c r="Y507" s="272"/>
      <c r="Z507" s="272"/>
      <c r="AA507" s="272"/>
      <c r="AB507" s="272"/>
      <c r="AC507" s="272"/>
      <c r="AD507" s="272"/>
      <c r="AE507" s="272"/>
    </row>
    <row r="508" spans="15:31">
      <c r="O508" s="272"/>
      <c r="P508" s="272"/>
      <c r="Q508" s="272"/>
      <c r="R508" s="272"/>
      <c r="S508" s="272"/>
      <c r="T508" s="272"/>
      <c r="U508" s="272"/>
      <c r="V508" s="272"/>
      <c r="W508" s="272"/>
      <c r="X508" s="272"/>
      <c r="Y508" s="272"/>
      <c r="Z508" s="272"/>
      <c r="AA508" s="272"/>
      <c r="AB508" s="272"/>
      <c r="AC508" s="272"/>
      <c r="AD508" s="272"/>
      <c r="AE508" s="272"/>
    </row>
    <row r="509" spans="15:31">
      <c r="O509" s="272"/>
      <c r="P509" s="272"/>
      <c r="Q509" s="272"/>
      <c r="R509" s="272"/>
      <c r="S509" s="272"/>
      <c r="T509" s="272"/>
      <c r="U509" s="272"/>
      <c r="V509" s="272"/>
      <c r="W509" s="272"/>
      <c r="X509" s="272"/>
      <c r="Y509" s="272"/>
      <c r="Z509" s="272"/>
      <c r="AA509" s="272"/>
      <c r="AB509" s="272"/>
      <c r="AC509" s="272"/>
      <c r="AD509" s="272"/>
      <c r="AE509" s="272"/>
    </row>
    <row r="510" spans="15:31">
      <c r="O510" s="272"/>
      <c r="P510" s="272"/>
      <c r="Q510" s="272"/>
      <c r="R510" s="272"/>
      <c r="S510" s="272"/>
      <c r="T510" s="272"/>
      <c r="U510" s="272"/>
      <c r="V510" s="272"/>
      <c r="W510" s="272"/>
      <c r="X510" s="272"/>
      <c r="Y510" s="272"/>
      <c r="Z510" s="272"/>
      <c r="AA510" s="272"/>
      <c r="AB510" s="272"/>
      <c r="AC510" s="272"/>
      <c r="AD510" s="272"/>
      <c r="AE510" s="272"/>
    </row>
    <row r="511" spans="15:31">
      <c r="O511" s="272"/>
      <c r="P511" s="272"/>
      <c r="Q511" s="272"/>
      <c r="R511" s="272"/>
      <c r="S511" s="272"/>
      <c r="T511" s="272"/>
      <c r="U511" s="272"/>
      <c r="V511" s="272"/>
      <c r="W511" s="272"/>
      <c r="X511" s="272"/>
      <c r="Y511" s="272"/>
      <c r="Z511" s="272"/>
      <c r="AA511" s="272"/>
      <c r="AB511" s="272"/>
      <c r="AC511" s="272"/>
      <c r="AD511" s="272"/>
      <c r="AE511" s="272"/>
    </row>
    <row r="512" spans="15:31">
      <c r="O512" s="272"/>
      <c r="P512" s="272"/>
      <c r="Q512" s="272"/>
      <c r="R512" s="272"/>
      <c r="S512" s="272"/>
      <c r="T512" s="272"/>
      <c r="U512" s="272"/>
      <c r="V512" s="272"/>
      <c r="W512" s="272"/>
      <c r="X512" s="272"/>
      <c r="Y512" s="272"/>
      <c r="Z512" s="272"/>
      <c r="AA512" s="272"/>
      <c r="AB512" s="272"/>
      <c r="AC512" s="272"/>
      <c r="AD512" s="272"/>
      <c r="AE512" s="272"/>
    </row>
    <row r="513" spans="15:31">
      <c r="O513" s="272"/>
      <c r="P513" s="272"/>
      <c r="Q513" s="272"/>
      <c r="R513" s="272"/>
      <c r="S513" s="272"/>
      <c r="T513" s="272"/>
      <c r="U513" s="272"/>
      <c r="V513" s="272"/>
      <c r="W513" s="272"/>
      <c r="X513" s="272"/>
      <c r="Y513" s="272"/>
      <c r="Z513" s="272"/>
      <c r="AA513" s="272"/>
      <c r="AB513" s="272"/>
      <c r="AC513" s="272"/>
      <c r="AD513" s="272"/>
      <c r="AE513" s="272"/>
    </row>
    <row r="514" spans="15:31">
      <c r="O514" s="272"/>
      <c r="P514" s="272"/>
      <c r="Q514" s="272"/>
      <c r="R514" s="272"/>
      <c r="S514" s="272"/>
      <c r="T514" s="272"/>
      <c r="U514" s="272"/>
      <c r="V514" s="272"/>
      <c r="W514" s="272"/>
      <c r="X514" s="272"/>
      <c r="Y514" s="272"/>
      <c r="Z514" s="272"/>
      <c r="AA514" s="272"/>
      <c r="AB514" s="272"/>
      <c r="AC514" s="272"/>
      <c r="AD514" s="272"/>
      <c r="AE514" s="272"/>
    </row>
    <row r="515" spans="15:31">
      <c r="O515" s="272"/>
      <c r="P515" s="272"/>
      <c r="Q515" s="272"/>
      <c r="R515" s="272"/>
      <c r="S515" s="272"/>
      <c r="T515" s="272"/>
      <c r="U515" s="272"/>
      <c r="V515" s="272"/>
      <c r="W515" s="272"/>
      <c r="X515" s="272"/>
      <c r="Y515" s="272"/>
      <c r="Z515" s="272"/>
      <c r="AA515" s="272"/>
      <c r="AB515" s="272"/>
      <c r="AC515" s="272"/>
      <c r="AD515" s="272"/>
      <c r="AE515" s="272"/>
    </row>
    <row r="516" spans="15:31">
      <c r="O516" s="272"/>
      <c r="P516" s="272"/>
      <c r="Q516" s="272"/>
      <c r="R516" s="272"/>
      <c r="S516" s="272"/>
      <c r="T516" s="272"/>
      <c r="U516" s="272"/>
      <c r="V516" s="272"/>
      <c r="W516" s="272"/>
      <c r="X516" s="272"/>
      <c r="Y516" s="272"/>
      <c r="Z516" s="272"/>
      <c r="AA516" s="272"/>
      <c r="AB516" s="272"/>
      <c r="AC516" s="272"/>
      <c r="AD516" s="272"/>
      <c r="AE516" s="272"/>
    </row>
    <row r="517" spans="15:31">
      <c r="O517" s="272"/>
      <c r="P517" s="272"/>
      <c r="Q517" s="272"/>
      <c r="R517" s="272"/>
      <c r="S517" s="272"/>
      <c r="T517" s="272"/>
      <c r="U517" s="272"/>
      <c r="V517" s="272"/>
      <c r="W517" s="272"/>
      <c r="X517" s="272"/>
      <c r="Y517" s="272"/>
      <c r="Z517" s="272"/>
      <c r="AA517" s="272"/>
      <c r="AB517" s="272"/>
      <c r="AC517" s="272"/>
      <c r="AD517" s="272"/>
      <c r="AE517" s="272"/>
    </row>
    <row r="518" spans="15:31">
      <c r="O518" s="272"/>
      <c r="P518" s="272"/>
      <c r="Q518" s="272"/>
      <c r="R518" s="272"/>
      <c r="S518" s="272"/>
      <c r="T518" s="272"/>
      <c r="U518" s="272"/>
      <c r="V518" s="272"/>
      <c r="W518" s="272"/>
      <c r="X518" s="272"/>
      <c r="Y518" s="272"/>
      <c r="Z518" s="272"/>
      <c r="AA518" s="272"/>
      <c r="AB518" s="272"/>
      <c r="AC518" s="272"/>
      <c r="AD518" s="272"/>
      <c r="AE518" s="272"/>
    </row>
    <row r="519" spans="15:31">
      <c r="O519" s="272"/>
      <c r="P519" s="272"/>
      <c r="Q519" s="272"/>
      <c r="R519" s="272"/>
      <c r="S519" s="272"/>
      <c r="T519" s="272"/>
      <c r="U519" s="272"/>
      <c r="V519" s="272"/>
      <c r="W519" s="272"/>
      <c r="X519" s="272"/>
      <c r="Y519" s="272"/>
      <c r="Z519" s="272"/>
      <c r="AA519" s="272"/>
      <c r="AB519" s="272"/>
      <c r="AC519" s="272"/>
      <c r="AD519" s="272"/>
      <c r="AE519" s="272"/>
    </row>
    <row r="520" spans="15:31">
      <c r="O520" s="272"/>
      <c r="P520" s="272"/>
      <c r="Q520" s="272"/>
      <c r="R520" s="272"/>
      <c r="S520" s="272"/>
      <c r="T520" s="272"/>
      <c r="U520" s="272"/>
      <c r="V520" s="272"/>
      <c r="W520" s="272"/>
      <c r="X520" s="272"/>
      <c r="Y520" s="272"/>
      <c r="Z520" s="272"/>
      <c r="AA520" s="272"/>
      <c r="AB520" s="272"/>
      <c r="AC520" s="272"/>
      <c r="AD520" s="272"/>
      <c r="AE520" s="272"/>
    </row>
    <row r="521" spans="15:31">
      <c r="O521" s="272"/>
      <c r="P521" s="272"/>
      <c r="Q521" s="272"/>
      <c r="R521" s="272"/>
      <c r="S521" s="272"/>
      <c r="T521" s="272"/>
      <c r="U521" s="272"/>
      <c r="V521" s="272"/>
      <c r="W521" s="272"/>
      <c r="X521" s="272"/>
      <c r="Y521" s="272"/>
      <c r="Z521" s="272"/>
      <c r="AA521" s="272"/>
      <c r="AB521" s="272"/>
      <c r="AC521" s="272"/>
      <c r="AD521" s="272"/>
      <c r="AE521" s="272"/>
    </row>
    <row r="522" spans="15:31">
      <c r="O522" s="272"/>
      <c r="P522" s="272"/>
      <c r="Q522" s="272"/>
      <c r="R522" s="272"/>
      <c r="S522" s="272"/>
      <c r="T522" s="272"/>
      <c r="U522" s="272"/>
      <c r="V522" s="272"/>
      <c r="W522" s="272"/>
      <c r="X522" s="272"/>
      <c r="Y522" s="272"/>
      <c r="Z522" s="272"/>
      <c r="AA522" s="272"/>
      <c r="AB522" s="272"/>
      <c r="AC522" s="272"/>
      <c r="AD522" s="272"/>
      <c r="AE522" s="272"/>
    </row>
    <row r="523" spans="15:31">
      <c r="O523" s="272"/>
      <c r="P523" s="272"/>
      <c r="Q523" s="272"/>
      <c r="R523" s="272"/>
      <c r="S523" s="272"/>
      <c r="T523" s="272"/>
      <c r="U523" s="272"/>
      <c r="V523" s="272"/>
      <c r="W523" s="272"/>
      <c r="X523" s="272"/>
      <c r="Y523" s="272"/>
      <c r="Z523" s="272"/>
      <c r="AA523" s="272"/>
      <c r="AB523" s="272"/>
      <c r="AC523" s="272"/>
      <c r="AD523" s="272"/>
      <c r="AE523" s="272"/>
    </row>
    <row r="524" spans="15:31">
      <c r="O524" s="272"/>
      <c r="P524" s="272"/>
      <c r="Q524" s="272"/>
      <c r="R524" s="272"/>
      <c r="S524" s="272"/>
      <c r="T524" s="272"/>
      <c r="U524" s="272"/>
      <c r="V524" s="272"/>
      <c r="W524" s="272"/>
      <c r="X524" s="272"/>
      <c r="Y524" s="272"/>
      <c r="Z524" s="272"/>
      <c r="AA524" s="272"/>
      <c r="AB524" s="272"/>
      <c r="AC524" s="272"/>
      <c r="AD524" s="272"/>
      <c r="AE524" s="272"/>
    </row>
    <row r="525" spans="15:31">
      <c r="O525" s="272"/>
      <c r="P525" s="272"/>
      <c r="Q525" s="272"/>
      <c r="R525" s="272"/>
      <c r="S525" s="272"/>
      <c r="T525" s="272"/>
      <c r="U525" s="272"/>
      <c r="V525" s="272"/>
      <c r="W525" s="272"/>
      <c r="X525" s="272"/>
      <c r="Y525" s="272"/>
      <c r="Z525" s="272"/>
      <c r="AA525" s="272"/>
      <c r="AB525" s="272"/>
      <c r="AC525" s="272"/>
      <c r="AD525" s="272"/>
      <c r="AE525" s="272"/>
    </row>
    <row r="526" spans="15:31">
      <c r="O526" s="272"/>
      <c r="P526" s="272"/>
      <c r="Q526" s="272"/>
      <c r="R526" s="272"/>
      <c r="S526" s="272"/>
      <c r="T526" s="272"/>
      <c r="U526" s="272"/>
      <c r="V526" s="272"/>
      <c r="W526" s="272"/>
      <c r="X526" s="272"/>
      <c r="Y526" s="272"/>
      <c r="Z526" s="272"/>
      <c r="AA526" s="272"/>
      <c r="AB526" s="272"/>
      <c r="AC526" s="272"/>
      <c r="AD526" s="272"/>
      <c r="AE526" s="272"/>
    </row>
    <row r="527" spans="15:31">
      <c r="O527" s="272"/>
      <c r="P527" s="272"/>
      <c r="Q527" s="272"/>
      <c r="R527" s="272"/>
      <c r="S527" s="272"/>
      <c r="T527" s="272"/>
      <c r="U527" s="272"/>
      <c r="V527" s="272"/>
      <c r="W527" s="272"/>
      <c r="X527" s="272"/>
      <c r="Y527" s="272"/>
      <c r="Z527" s="272"/>
      <c r="AA527" s="272"/>
      <c r="AB527" s="272"/>
      <c r="AC527" s="272"/>
      <c r="AD527" s="272"/>
      <c r="AE527" s="272"/>
    </row>
    <row r="528" spans="15:31">
      <c r="O528" s="272"/>
      <c r="P528" s="272"/>
      <c r="Q528" s="272"/>
      <c r="R528" s="272"/>
      <c r="S528" s="272"/>
      <c r="T528" s="272"/>
      <c r="U528" s="272"/>
      <c r="V528" s="272"/>
      <c r="W528" s="272"/>
      <c r="X528" s="272"/>
      <c r="Y528" s="272"/>
      <c r="Z528" s="272"/>
      <c r="AA528" s="272"/>
      <c r="AB528" s="272"/>
      <c r="AC528" s="272"/>
      <c r="AD528" s="272"/>
      <c r="AE528" s="272"/>
    </row>
    <row r="529" spans="15:31">
      <c r="O529" s="272"/>
      <c r="P529" s="272"/>
      <c r="Q529" s="272"/>
      <c r="R529" s="272"/>
      <c r="S529" s="272"/>
      <c r="T529" s="272"/>
      <c r="U529" s="272"/>
      <c r="V529" s="272"/>
      <c r="W529" s="272"/>
      <c r="X529" s="272"/>
      <c r="Y529" s="272"/>
      <c r="Z529" s="272"/>
      <c r="AA529" s="272"/>
      <c r="AB529" s="272"/>
      <c r="AC529" s="272"/>
      <c r="AD529" s="272"/>
      <c r="AE529" s="272"/>
    </row>
    <row r="530" spans="15:31">
      <c r="O530" s="272"/>
      <c r="P530" s="272"/>
      <c r="Q530" s="272"/>
      <c r="R530" s="272"/>
      <c r="S530" s="272"/>
      <c r="T530" s="272"/>
      <c r="U530" s="272"/>
      <c r="V530" s="272"/>
      <c r="W530" s="272"/>
      <c r="X530" s="272"/>
      <c r="Y530" s="272"/>
      <c r="Z530" s="272"/>
      <c r="AA530" s="272"/>
      <c r="AB530" s="272"/>
      <c r="AC530" s="272"/>
      <c r="AD530" s="272"/>
      <c r="AE530" s="272"/>
    </row>
    <row r="531" spans="15:31">
      <c r="O531" s="272"/>
      <c r="P531" s="272"/>
      <c r="Q531" s="272"/>
      <c r="R531" s="272"/>
      <c r="S531" s="272"/>
      <c r="T531" s="272"/>
      <c r="U531" s="272"/>
      <c r="V531" s="272"/>
      <c r="W531" s="272"/>
      <c r="X531" s="272"/>
      <c r="Y531" s="272"/>
      <c r="Z531" s="272"/>
      <c r="AA531" s="272"/>
      <c r="AB531" s="272"/>
      <c r="AC531" s="272"/>
      <c r="AD531" s="272"/>
      <c r="AE531" s="272"/>
    </row>
    <row r="532" spans="15:31">
      <c r="O532" s="272"/>
      <c r="P532" s="272"/>
      <c r="Q532" s="272"/>
      <c r="R532" s="272"/>
      <c r="S532" s="272"/>
      <c r="T532" s="272"/>
      <c r="U532" s="272"/>
      <c r="V532" s="272"/>
      <c r="W532" s="272"/>
      <c r="X532" s="272"/>
      <c r="Y532" s="272"/>
      <c r="Z532" s="272"/>
      <c r="AA532" s="272"/>
      <c r="AB532" s="272"/>
      <c r="AC532" s="272"/>
      <c r="AD532" s="272"/>
      <c r="AE532" s="272"/>
    </row>
    <row r="533" spans="15:31">
      <c r="O533" s="272"/>
      <c r="P533" s="272"/>
      <c r="Q533" s="272"/>
      <c r="R533" s="272"/>
      <c r="S533" s="272"/>
      <c r="T533" s="272"/>
      <c r="U533" s="272"/>
      <c r="V533" s="272"/>
      <c r="W533" s="272"/>
      <c r="X533" s="272"/>
      <c r="Y533" s="272"/>
      <c r="Z533" s="272"/>
      <c r="AA533" s="272"/>
      <c r="AB533" s="272"/>
      <c r="AC533" s="272"/>
      <c r="AD533" s="272"/>
      <c r="AE533" s="272"/>
    </row>
    <row r="534" spans="15:31">
      <c r="O534" s="272"/>
      <c r="P534" s="272"/>
      <c r="Q534" s="272"/>
      <c r="R534" s="272"/>
      <c r="S534" s="272"/>
      <c r="T534" s="272"/>
      <c r="U534" s="272"/>
      <c r="V534" s="272"/>
      <c r="W534" s="272"/>
      <c r="X534" s="272"/>
      <c r="Y534" s="272"/>
      <c r="Z534" s="272"/>
      <c r="AA534" s="272"/>
      <c r="AB534" s="272"/>
      <c r="AC534" s="272"/>
      <c r="AD534" s="272"/>
      <c r="AE534" s="272"/>
    </row>
    <row r="535" spans="15:31">
      <c r="O535" s="272"/>
      <c r="P535" s="272"/>
      <c r="Q535" s="272"/>
      <c r="R535" s="272"/>
      <c r="S535" s="272"/>
      <c r="T535" s="272"/>
      <c r="U535" s="272"/>
      <c r="V535" s="272"/>
      <c r="W535" s="272"/>
      <c r="X535" s="272"/>
      <c r="Y535" s="272"/>
      <c r="Z535" s="272"/>
      <c r="AA535" s="272"/>
      <c r="AB535" s="272"/>
      <c r="AC535" s="272"/>
      <c r="AD535" s="272"/>
      <c r="AE535" s="272"/>
    </row>
    <row r="536" spans="15:31">
      <c r="O536" s="272"/>
      <c r="P536" s="272"/>
      <c r="Q536" s="272"/>
      <c r="R536" s="272"/>
      <c r="S536" s="272"/>
      <c r="T536" s="272"/>
      <c r="U536" s="272"/>
      <c r="V536" s="272"/>
      <c r="W536" s="272"/>
      <c r="X536" s="272"/>
      <c r="Y536" s="272"/>
      <c r="Z536" s="272"/>
      <c r="AA536" s="272"/>
      <c r="AB536" s="272"/>
      <c r="AC536" s="272"/>
      <c r="AD536" s="272"/>
      <c r="AE536" s="272"/>
    </row>
    <row r="537" spans="15:31">
      <c r="O537" s="272"/>
      <c r="P537" s="272"/>
      <c r="Q537" s="272"/>
      <c r="R537" s="272"/>
      <c r="S537" s="272"/>
      <c r="T537" s="272"/>
      <c r="U537" s="272"/>
      <c r="V537" s="272"/>
      <c r="W537" s="272"/>
      <c r="X537" s="272"/>
      <c r="Y537" s="272"/>
      <c r="Z537" s="272"/>
      <c r="AA537" s="272"/>
      <c r="AB537" s="272"/>
      <c r="AC537" s="272"/>
      <c r="AD537" s="272"/>
      <c r="AE537" s="272"/>
    </row>
    <row r="538" spans="15:31">
      <c r="O538" s="272"/>
      <c r="P538" s="272"/>
      <c r="Q538" s="272"/>
      <c r="R538" s="272"/>
      <c r="S538" s="272"/>
      <c r="T538" s="272"/>
      <c r="U538" s="272"/>
      <c r="V538" s="272"/>
      <c r="W538" s="272"/>
      <c r="X538" s="272"/>
      <c r="Y538" s="272"/>
      <c r="Z538" s="272"/>
      <c r="AA538" s="272"/>
      <c r="AB538" s="272"/>
      <c r="AC538" s="272"/>
      <c r="AD538" s="272"/>
      <c r="AE538" s="272"/>
    </row>
    <row r="539" spans="15:31">
      <c r="O539" s="272"/>
      <c r="P539" s="272"/>
      <c r="Q539" s="272"/>
      <c r="R539" s="272"/>
      <c r="S539" s="272"/>
      <c r="T539" s="272"/>
      <c r="U539" s="272"/>
      <c r="V539" s="272"/>
      <c r="W539" s="272"/>
      <c r="X539" s="272"/>
      <c r="Y539" s="272"/>
      <c r="Z539" s="272"/>
      <c r="AA539" s="272"/>
      <c r="AB539" s="272"/>
      <c r="AC539" s="272"/>
      <c r="AD539" s="272"/>
      <c r="AE539" s="272"/>
    </row>
    <row r="540" spans="15:31">
      <c r="O540" s="272"/>
      <c r="P540" s="272"/>
      <c r="Q540" s="272"/>
      <c r="R540" s="272"/>
      <c r="S540" s="272"/>
      <c r="T540" s="272"/>
      <c r="U540" s="272"/>
      <c r="V540" s="272"/>
      <c r="W540" s="272"/>
      <c r="X540" s="272"/>
      <c r="Y540" s="272"/>
      <c r="Z540" s="272"/>
      <c r="AA540" s="272"/>
      <c r="AB540" s="272"/>
      <c r="AC540" s="272"/>
      <c r="AD540" s="272"/>
      <c r="AE540" s="272"/>
    </row>
    <row r="541" spans="15:31">
      <c r="O541" s="272"/>
      <c r="P541" s="272"/>
      <c r="Q541" s="272"/>
      <c r="R541" s="272"/>
      <c r="S541" s="272"/>
      <c r="T541" s="272"/>
      <c r="U541" s="272"/>
      <c r="V541" s="272"/>
      <c r="W541" s="272"/>
      <c r="X541" s="272"/>
      <c r="Y541" s="272"/>
      <c r="Z541" s="272"/>
      <c r="AA541" s="272"/>
      <c r="AB541" s="272"/>
      <c r="AC541" s="272"/>
      <c r="AD541" s="272"/>
      <c r="AE541" s="272"/>
    </row>
    <row r="542" spans="15:31">
      <c r="O542" s="272"/>
      <c r="P542" s="272"/>
      <c r="Q542" s="272"/>
      <c r="R542" s="272"/>
      <c r="S542" s="272"/>
      <c r="T542" s="272"/>
      <c r="U542" s="272"/>
      <c r="V542" s="272"/>
      <c r="W542" s="272"/>
      <c r="X542" s="272"/>
      <c r="Y542" s="272"/>
      <c r="Z542" s="272"/>
      <c r="AA542" s="272"/>
      <c r="AB542" s="272"/>
      <c r="AC542" s="272"/>
      <c r="AD542" s="272"/>
      <c r="AE542" s="272"/>
    </row>
    <row r="543" spans="15:31">
      <c r="O543" s="272"/>
      <c r="P543" s="272"/>
      <c r="Q543" s="272"/>
      <c r="R543" s="272"/>
      <c r="S543" s="272"/>
      <c r="T543" s="272"/>
      <c r="U543" s="272"/>
      <c r="V543" s="272"/>
      <c r="W543" s="272"/>
      <c r="X543" s="272"/>
      <c r="Y543" s="272"/>
      <c r="Z543" s="272"/>
      <c r="AA543" s="272"/>
      <c r="AB543" s="272"/>
      <c r="AC543" s="272"/>
      <c r="AD543" s="272"/>
      <c r="AE543" s="272"/>
    </row>
    <row r="544" spans="15:31">
      <c r="O544" s="272"/>
      <c r="P544" s="272"/>
      <c r="Q544" s="272"/>
      <c r="R544" s="272"/>
      <c r="S544" s="272"/>
      <c r="T544" s="272"/>
      <c r="U544" s="272"/>
      <c r="V544" s="272"/>
      <c r="W544" s="272"/>
      <c r="X544" s="272"/>
      <c r="Y544" s="272"/>
      <c r="Z544" s="272"/>
      <c r="AA544" s="272"/>
      <c r="AB544" s="272"/>
      <c r="AC544" s="272"/>
      <c r="AD544" s="272"/>
      <c r="AE544" s="272"/>
    </row>
    <row r="545" spans="15:31">
      <c r="O545" s="272"/>
      <c r="P545" s="272"/>
      <c r="Q545" s="272"/>
      <c r="R545" s="272"/>
      <c r="S545" s="272"/>
      <c r="T545" s="272"/>
      <c r="U545" s="272"/>
      <c r="V545" s="272"/>
      <c r="W545" s="272"/>
      <c r="X545" s="272"/>
      <c r="Y545" s="272"/>
      <c r="Z545" s="272"/>
      <c r="AA545" s="272"/>
      <c r="AB545" s="272"/>
      <c r="AC545" s="272"/>
      <c r="AD545" s="272"/>
      <c r="AE545" s="272"/>
    </row>
    <row r="546" spans="15:31">
      <c r="O546" s="272"/>
      <c r="P546" s="272"/>
      <c r="Q546" s="272"/>
      <c r="R546" s="272"/>
      <c r="S546" s="272"/>
      <c r="T546" s="272"/>
      <c r="U546" s="272"/>
      <c r="V546" s="272"/>
      <c r="W546" s="272"/>
      <c r="X546" s="272"/>
      <c r="Y546" s="272"/>
      <c r="Z546" s="272"/>
      <c r="AA546" s="272"/>
      <c r="AB546" s="272"/>
      <c r="AC546" s="272"/>
      <c r="AD546" s="272"/>
      <c r="AE546" s="272"/>
    </row>
    <row r="547" spans="15:31">
      <c r="O547" s="272"/>
      <c r="P547" s="272"/>
      <c r="Q547" s="272"/>
      <c r="R547" s="272"/>
      <c r="S547" s="272"/>
      <c r="T547" s="272"/>
      <c r="U547" s="272"/>
      <c r="V547" s="272"/>
      <c r="W547" s="272"/>
      <c r="X547" s="272"/>
      <c r="Y547" s="272"/>
      <c r="Z547" s="272"/>
      <c r="AA547" s="272"/>
      <c r="AB547" s="272"/>
      <c r="AC547" s="272"/>
      <c r="AD547" s="272"/>
      <c r="AE547" s="272"/>
    </row>
    <row r="548" spans="15:31">
      <c r="O548" s="272"/>
      <c r="P548" s="272"/>
      <c r="Q548" s="272"/>
      <c r="R548" s="272"/>
      <c r="S548" s="272"/>
      <c r="T548" s="272"/>
      <c r="U548" s="272"/>
      <c r="V548" s="272"/>
      <c r="W548" s="272"/>
      <c r="X548" s="272"/>
      <c r="Y548" s="272"/>
      <c r="Z548" s="272"/>
      <c r="AA548" s="272"/>
      <c r="AB548" s="272"/>
      <c r="AC548" s="272"/>
      <c r="AD548" s="272"/>
      <c r="AE548" s="272"/>
    </row>
    <row r="549" spans="15:31">
      <c r="O549" s="272"/>
      <c r="P549" s="272"/>
      <c r="Q549" s="272"/>
      <c r="R549" s="272"/>
      <c r="S549" s="272"/>
      <c r="T549" s="272"/>
      <c r="U549" s="272"/>
      <c r="V549" s="272"/>
      <c r="W549" s="272"/>
      <c r="X549" s="272"/>
      <c r="Y549" s="272"/>
      <c r="Z549" s="272"/>
      <c r="AA549" s="272"/>
      <c r="AB549" s="272"/>
      <c r="AC549" s="272"/>
      <c r="AD549" s="272"/>
      <c r="AE549" s="272"/>
    </row>
    <row r="550" spans="15:31">
      <c r="O550" s="272"/>
      <c r="P550" s="272"/>
      <c r="Q550" s="272"/>
      <c r="R550" s="272"/>
      <c r="S550" s="272"/>
      <c r="T550" s="272"/>
      <c r="U550" s="272"/>
      <c r="V550" s="272"/>
      <c r="W550" s="272"/>
      <c r="X550" s="272"/>
      <c r="Y550" s="272"/>
      <c r="Z550" s="272"/>
      <c r="AA550" s="272"/>
      <c r="AB550" s="272"/>
      <c r="AC550" s="272"/>
      <c r="AD550" s="272"/>
      <c r="AE550" s="272"/>
    </row>
    <row r="551" spans="15:31">
      <c r="O551" s="272"/>
      <c r="P551" s="272"/>
      <c r="Q551" s="272"/>
      <c r="R551" s="272"/>
      <c r="S551" s="272"/>
      <c r="T551" s="272"/>
      <c r="U551" s="272"/>
      <c r="V551" s="272"/>
      <c r="W551" s="272"/>
      <c r="X551" s="272"/>
      <c r="Y551" s="272"/>
      <c r="Z551" s="272"/>
      <c r="AA551" s="272"/>
      <c r="AB551" s="272"/>
      <c r="AC551" s="272"/>
      <c r="AD551" s="272"/>
      <c r="AE551" s="272"/>
    </row>
    <row r="552" spans="15:31">
      <c r="O552" s="272"/>
      <c r="P552" s="272"/>
      <c r="Q552" s="272"/>
      <c r="R552" s="272"/>
      <c r="S552" s="272"/>
      <c r="T552" s="272"/>
      <c r="U552" s="272"/>
      <c r="V552" s="272"/>
      <c r="W552" s="272"/>
      <c r="X552" s="272"/>
      <c r="Y552" s="272"/>
      <c r="Z552" s="272"/>
      <c r="AA552" s="272"/>
      <c r="AB552" s="272"/>
      <c r="AC552" s="272"/>
      <c r="AD552" s="272"/>
      <c r="AE552" s="272"/>
    </row>
    <row r="553" spans="15:31">
      <c r="O553" s="272"/>
      <c r="P553" s="272"/>
      <c r="Q553" s="272"/>
      <c r="R553" s="272"/>
      <c r="S553" s="272"/>
      <c r="T553" s="272"/>
      <c r="U553" s="272"/>
      <c r="V553" s="272"/>
      <c r="W553" s="272"/>
      <c r="X553" s="272"/>
      <c r="Y553" s="272"/>
      <c r="Z553" s="272"/>
      <c r="AA553" s="272"/>
      <c r="AB553" s="272"/>
      <c r="AC553" s="272"/>
      <c r="AD553" s="272"/>
      <c r="AE553" s="272"/>
    </row>
    <row r="554" spans="15:31">
      <c r="O554" s="272"/>
      <c r="P554" s="272"/>
      <c r="Q554" s="272"/>
      <c r="R554" s="272"/>
      <c r="S554" s="272"/>
      <c r="T554" s="272"/>
      <c r="U554" s="272"/>
      <c r="V554" s="272"/>
      <c r="W554" s="272"/>
      <c r="X554" s="272"/>
      <c r="Y554" s="272"/>
      <c r="Z554" s="272"/>
      <c r="AA554" s="272"/>
      <c r="AB554" s="272"/>
      <c r="AC554" s="272"/>
      <c r="AD554" s="272"/>
      <c r="AE554" s="272"/>
    </row>
    <row r="555" spans="15:31">
      <c r="O555" s="272"/>
      <c r="P555" s="272"/>
      <c r="Q555" s="272"/>
      <c r="R555" s="272"/>
      <c r="S555" s="272"/>
      <c r="T555" s="272"/>
      <c r="U555" s="272"/>
      <c r="V555" s="272"/>
      <c r="W555" s="272"/>
      <c r="X555" s="272"/>
      <c r="Y555" s="272"/>
      <c r="Z555" s="272"/>
      <c r="AA555" s="272"/>
      <c r="AB555" s="272"/>
      <c r="AC555" s="272"/>
      <c r="AD555" s="272"/>
      <c r="AE555" s="272"/>
    </row>
    <row r="556" spans="15:31">
      <c r="O556" s="272"/>
      <c r="P556" s="272"/>
      <c r="Q556" s="272"/>
      <c r="R556" s="272"/>
      <c r="S556" s="272"/>
      <c r="T556" s="272"/>
      <c r="U556" s="272"/>
      <c r="V556" s="272"/>
      <c r="W556" s="272"/>
      <c r="X556" s="272"/>
      <c r="Y556" s="272"/>
      <c r="Z556" s="272"/>
      <c r="AA556" s="272"/>
      <c r="AB556" s="272"/>
      <c r="AC556" s="272"/>
      <c r="AD556" s="272"/>
      <c r="AE556" s="272"/>
    </row>
    <row r="557" spans="15:31">
      <c r="O557" s="272"/>
      <c r="P557" s="272"/>
      <c r="Q557" s="272"/>
      <c r="R557" s="272"/>
      <c r="S557" s="272"/>
      <c r="T557" s="272"/>
      <c r="U557" s="272"/>
      <c r="V557" s="272"/>
      <c r="W557" s="272"/>
      <c r="X557" s="272"/>
      <c r="Y557" s="272"/>
      <c r="Z557" s="272"/>
      <c r="AA557" s="272"/>
      <c r="AB557" s="272"/>
      <c r="AC557" s="272"/>
      <c r="AD557" s="272"/>
      <c r="AE557" s="272"/>
    </row>
    <row r="558" spans="15:31">
      <c r="O558" s="272"/>
      <c r="P558" s="272"/>
      <c r="Q558" s="272"/>
      <c r="R558" s="272"/>
      <c r="S558" s="272"/>
      <c r="T558" s="272"/>
      <c r="U558" s="272"/>
      <c r="V558" s="272"/>
      <c r="W558" s="272"/>
      <c r="X558" s="272"/>
      <c r="Y558" s="272"/>
      <c r="Z558" s="272"/>
      <c r="AA558" s="272"/>
      <c r="AB558" s="272"/>
      <c r="AC558" s="272"/>
      <c r="AD558" s="272"/>
      <c r="AE558" s="272"/>
    </row>
    <row r="559" spans="15:31">
      <c r="O559" s="272"/>
      <c r="P559" s="272"/>
      <c r="Q559" s="272"/>
      <c r="R559" s="272"/>
      <c r="S559" s="272"/>
      <c r="T559" s="272"/>
      <c r="U559" s="272"/>
      <c r="V559" s="272"/>
      <c r="W559" s="272"/>
      <c r="X559" s="272"/>
      <c r="Y559" s="272"/>
      <c r="Z559" s="272"/>
      <c r="AA559" s="272"/>
      <c r="AB559" s="272"/>
      <c r="AC559" s="272"/>
      <c r="AD559" s="272"/>
      <c r="AE559" s="272"/>
    </row>
    <row r="560" spans="15:31">
      <c r="O560" s="272"/>
      <c r="P560" s="272"/>
      <c r="Q560" s="272"/>
      <c r="R560" s="272"/>
      <c r="S560" s="272"/>
      <c r="T560" s="272"/>
      <c r="U560" s="272"/>
      <c r="V560" s="272"/>
      <c r="W560" s="272"/>
      <c r="X560" s="272"/>
      <c r="Y560" s="272"/>
      <c r="Z560" s="272"/>
      <c r="AA560" s="272"/>
      <c r="AB560" s="272"/>
      <c r="AC560" s="272"/>
      <c r="AD560" s="272"/>
      <c r="AE560" s="272"/>
    </row>
    <row r="561" spans="15:31">
      <c r="O561" s="272"/>
      <c r="P561" s="272"/>
      <c r="Q561" s="272"/>
      <c r="R561" s="272"/>
      <c r="S561" s="272"/>
      <c r="T561" s="272"/>
      <c r="U561" s="272"/>
      <c r="V561" s="272"/>
      <c r="W561" s="272"/>
      <c r="X561" s="272"/>
      <c r="Y561" s="272"/>
      <c r="Z561" s="272"/>
      <c r="AA561" s="272"/>
      <c r="AB561" s="272"/>
      <c r="AC561" s="272"/>
      <c r="AD561" s="272"/>
      <c r="AE561" s="272"/>
    </row>
    <row r="562" spans="15:31">
      <c r="O562" s="272"/>
      <c r="P562" s="272"/>
      <c r="Q562" s="272"/>
      <c r="R562" s="272"/>
      <c r="S562" s="272"/>
      <c r="T562" s="272"/>
      <c r="U562" s="272"/>
      <c r="V562" s="272"/>
      <c r="W562" s="272"/>
      <c r="X562" s="272"/>
      <c r="Y562" s="272"/>
      <c r="Z562" s="272"/>
      <c r="AA562" s="272"/>
      <c r="AB562" s="272"/>
      <c r="AC562" s="272"/>
      <c r="AD562" s="272"/>
      <c r="AE562" s="272"/>
    </row>
    <row r="563" spans="15:31">
      <c r="O563" s="272"/>
      <c r="P563" s="272"/>
      <c r="Q563" s="272"/>
      <c r="R563" s="272"/>
      <c r="S563" s="272"/>
      <c r="T563" s="272"/>
      <c r="U563" s="272"/>
      <c r="V563" s="272"/>
      <c r="W563" s="272"/>
      <c r="X563" s="272"/>
      <c r="Y563" s="272"/>
      <c r="Z563" s="272"/>
      <c r="AA563" s="272"/>
      <c r="AB563" s="272"/>
      <c r="AC563" s="272"/>
      <c r="AD563" s="272"/>
      <c r="AE563" s="272"/>
    </row>
    <row r="564" spans="15:31">
      <c r="O564" s="272"/>
      <c r="P564" s="272"/>
      <c r="Q564" s="272"/>
      <c r="R564" s="272"/>
      <c r="S564" s="272"/>
      <c r="T564" s="272"/>
      <c r="U564" s="272"/>
      <c r="V564" s="272"/>
      <c r="W564" s="272"/>
      <c r="X564" s="272"/>
      <c r="Y564" s="272"/>
      <c r="Z564" s="272"/>
      <c r="AA564" s="272"/>
      <c r="AB564" s="272"/>
      <c r="AC564" s="272"/>
      <c r="AD564" s="272"/>
      <c r="AE564" s="272"/>
    </row>
    <row r="565" spans="15:31">
      <c r="O565" s="272"/>
      <c r="P565" s="272"/>
      <c r="Q565" s="272"/>
      <c r="R565" s="272"/>
      <c r="S565" s="272"/>
      <c r="T565" s="272"/>
      <c r="U565" s="272"/>
      <c r="V565" s="272"/>
      <c r="W565" s="272"/>
      <c r="X565" s="272"/>
      <c r="Y565" s="272"/>
      <c r="Z565" s="272"/>
      <c r="AA565" s="272"/>
      <c r="AB565" s="272"/>
      <c r="AC565" s="272"/>
      <c r="AD565" s="272"/>
      <c r="AE565" s="272"/>
    </row>
    <row r="566" spans="15:31">
      <c r="O566" s="272"/>
      <c r="P566" s="272"/>
      <c r="Q566" s="272"/>
      <c r="R566" s="272"/>
      <c r="S566" s="272"/>
      <c r="T566" s="272"/>
      <c r="U566" s="272"/>
      <c r="V566" s="272"/>
      <c r="W566" s="272"/>
      <c r="X566" s="272"/>
      <c r="Y566" s="272"/>
      <c r="Z566" s="272"/>
      <c r="AA566" s="272"/>
      <c r="AB566" s="272"/>
      <c r="AC566" s="272"/>
      <c r="AD566" s="272"/>
      <c r="AE566" s="272"/>
    </row>
    <row r="567" spans="15:31">
      <c r="O567" s="272"/>
      <c r="P567" s="272"/>
      <c r="Q567" s="272"/>
      <c r="R567" s="272"/>
      <c r="S567" s="272"/>
      <c r="T567" s="272"/>
      <c r="U567" s="272"/>
      <c r="V567" s="272"/>
      <c r="W567" s="272"/>
      <c r="X567" s="272"/>
      <c r="Y567" s="272"/>
      <c r="Z567" s="272"/>
      <c r="AA567" s="272"/>
      <c r="AB567" s="272"/>
      <c r="AC567" s="272"/>
      <c r="AD567" s="272"/>
      <c r="AE567" s="272"/>
    </row>
    <row r="568" spans="15:31">
      <c r="O568" s="272"/>
      <c r="P568" s="272"/>
      <c r="Q568" s="272"/>
      <c r="R568" s="272"/>
      <c r="S568" s="272"/>
      <c r="T568" s="272"/>
      <c r="U568" s="272"/>
      <c r="V568" s="272"/>
      <c r="W568" s="272"/>
      <c r="X568" s="272"/>
      <c r="Y568" s="272"/>
      <c r="Z568" s="272"/>
      <c r="AA568" s="272"/>
      <c r="AB568" s="272"/>
      <c r="AC568" s="272"/>
      <c r="AD568" s="272"/>
      <c r="AE568" s="272"/>
    </row>
    <row r="569" spans="15:31">
      <c r="O569" s="272"/>
      <c r="P569" s="272"/>
      <c r="Q569" s="272"/>
      <c r="R569" s="272"/>
      <c r="S569" s="272"/>
      <c r="T569" s="272"/>
      <c r="U569" s="272"/>
      <c r="V569" s="272"/>
      <c r="W569" s="272"/>
      <c r="X569" s="272"/>
      <c r="Y569" s="272"/>
      <c r="Z569" s="272"/>
      <c r="AA569" s="272"/>
      <c r="AB569" s="272"/>
      <c r="AC569" s="272"/>
      <c r="AD569" s="272"/>
      <c r="AE569" s="272"/>
    </row>
    <row r="570" spans="15:31">
      <c r="O570" s="272"/>
      <c r="P570" s="272"/>
      <c r="Q570" s="272"/>
      <c r="R570" s="272"/>
      <c r="S570" s="272"/>
      <c r="T570" s="272"/>
      <c r="U570" s="272"/>
      <c r="V570" s="272"/>
      <c r="W570" s="272"/>
      <c r="X570" s="272"/>
      <c r="Y570" s="272"/>
      <c r="Z570" s="272"/>
      <c r="AA570" s="272"/>
      <c r="AB570" s="272"/>
      <c r="AC570" s="272"/>
      <c r="AD570" s="272"/>
      <c r="AE570" s="272"/>
    </row>
    <row r="571" spans="15:31">
      <c r="O571" s="272"/>
      <c r="P571" s="272"/>
      <c r="Q571" s="272"/>
      <c r="R571" s="272"/>
      <c r="S571" s="272"/>
      <c r="T571" s="272"/>
      <c r="U571" s="272"/>
      <c r="V571" s="272"/>
      <c r="W571" s="272"/>
      <c r="X571" s="272"/>
      <c r="Y571" s="272"/>
      <c r="Z571" s="272"/>
      <c r="AA571" s="272"/>
      <c r="AB571" s="272"/>
      <c r="AC571" s="272"/>
      <c r="AD571" s="272"/>
      <c r="AE571" s="272"/>
    </row>
    <row r="572" spans="15:31">
      <c r="O572" s="272"/>
      <c r="P572" s="272"/>
      <c r="Q572" s="272"/>
      <c r="R572" s="272"/>
      <c r="S572" s="272"/>
      <c r="T572" s="272"/>
      <c r="U572" s="272"/>
      <c r="V572" s="272"/>
      <c r="W572" s="272"/>
      <c r="X572" s="272"/>
      <c r="Y572" s="272"/>
      <c r="Z572" s="272"/>
      <c r="AA572" s="272"/>
      <c r="AB572" s="272"/>
      <c r="AC572" s="272"/>
      <c r="AD572" s="272"/>
      <c r="AE572" s="272"/>
    </row>
    <row r="573" spans="15:31">
      <c r="O573" s="272"/>
      <c r="P573" s="272"/>
      <c r="Q573" s="272"/>
      <c r="R573" s="272"/>
      <c r="S573" s="272"/>
      <c r="T573" s="272"/>
      <c r="U573" s="272"/>
      <c r="V573" s="272"/>
      <c r="W573" s="272"/>
      <c r="X573" s="272"/>
      <c r="Y573" s="272"/>
      <c r="Z573" s="272"/>
      <c r="AA573" s="272"/>
      <c r="AB573" s="272"/>
      <c r="AC573" s="272"/>
      <c r="AD573" s="272"/>
      <c r="AE573" s="272"/>
    </row>
    <row r="574" spans="15:31">
      <c r="O574" s="272"/>
      <c r="P574" s="272"/>
      <c r="Q574" s="272"/>
      <c r="R574" s="272"/>
      <c r="S574" s="272"/>
      <c r="T574" s="272"/>
      <c r="U574" s="272"/>
      <c r="V574" s="272"/>
      <c r="W574" s="272"/>
      <c r="X574" s="272"/>
      <c r="Y574" s="272"/>
      <c r="Z574" s="272"/>
      <c r="AA574" s="272"/>
      <c r="AB574" s="272"/>
      <c r="AC574" s="272"/>
      <c r="AD574" s="272"/>
      <c r="AE574" s="272"/>
    </row>
    <row r="575" spans="15:31">
      <c r="O575" s="272"/>
      <c r="P575" s="272"/>
      <c r="Q575" s="272"/>
      <c r="R575" s="272"/>
      <c r="S575" s="272"/>
      <c r="T575" s="272"/>
      <c r="U575" s="272"/>
      <c r="V575" s="272"/>
      <c r="W575" s="272"/>
      <c r="X575" s="272"/>
      <c r="Y575" s="272"/>
      <c r="Z575" s="272"/>
      <c r="AA575" s="272"/>
      <c r="AB575" s="272"/>
      <c r="AC575" s="272"/>
      <c r="AD575" s="272"/>
      <c r="AE575" s="272"/>
    </row>
    <row r="576" spans="15:31">
      <c r="O576" s="272"/>
      <c r="P576" s="272"/>
      <c r="Q576" s="272"/>
      <c r="R576" s="272"/>
      <c r="S576" s="272"/>
      <c r="T576" s="272"/>
      <c r="U576" s="272"/>
      <c r="V576" s="272"/>
      <c r="W576" s="272"/>
      <c r="X576" s="272"/>
      <c r="Y576" s="272"/>
      <c r="Z576" s="272"/>
      <c r="AA576" s="272"/>
      <c r="AB576" s="272"/>
      <c r="AC576" s="272"/>
      <c r="AD576" s="272"/>
      <c r="AE576" s="272"/>
    </row>
    <row r="577" spans="15:31">
      <c r="O577" s="272"/>
      <c r="P577" s="272"/>
      <c r="Q577" s="272"/>
      <c r="R577" s="272"/>
      <c r="S577" s="272"/>
      <c r="T577" s="272"/>
      <c r="U577" s="272"/>
      <c r="V577" s="272"/>
      <c r="W577" s="272"/>
      <c r="X577" s="272"/>
      <c r="Y577" s="272"/>
      <c r="Z577" s="272"/>
      <c r="AA577" s="272"/>
      <c r="AB577" s="272"/>
      <c r="AC577" s="272"/>
      <c r="AD577" s="272"/>
      <c r="AE577" s="272"/>
    </row>
    <row r="578" spans="15:31">
      <c r="O578" s="272"/>
      <c r="P578" s="272"/>
      <c r="Q578" s="272"/>
      <c r="R578" s="272"/>
      <c r="S578" s="272"/>
      <c r="T578" s="272"/>
      <c r="U578" s="272"/>
      <c r="V578" s="272"/>
      <c r="W578" s="272"/>
      <c r="X578" s="272"/>
      <c r="Y578" s="272"/>
      <c r="Z578" s="272"/>
      <c r="AA578" s="272"/>
      <c r="AB578" s="272"/>
      <c r="AC578" s="272"/>
      <c r="AD578" s="272"/>
      <c r="AE578" s="272"/>
    </row>
    <row r="579" spans="15:31">
      <c r="O579" s="272"/>
      <c r="P579" s="272"/>
      <c r="Q579" s="272"/>
      <c r="R579" s="272"/>
      <c r="S579" s="272"/>
      <c r="T579" s="272"/>
      <c r="U579" s="272"/>
      <c r="V579" s="272"/>
      <c r="W579" s="272"/>
      <c r="X579" s="272"/>
      <c r="Y579" s="272"/>
      <c r="Z579" s="272"/>
      <c r="AA579" s="272"/>
      <c r="AB579" s="272"/>
      <c r="AC579" s="272"/>
      <c r="AD579" s="272"/>
      <c r="AE579" s="272"/>
    </row>
    <row r="580" spans="15:31">
      <c r="O580" s="272"/>
      <c r="P580" s="272"/>
      <c r="Q580" s="272"/>
      <c r="R580" s="272"/>
      <c r="S580" s="272"/>
      <c r="T580" s="272"/>
      <c r="U580" s="272"/>
      <c r="V580" s="272"/>
      <c r="W580" s="272"/>
      <c r="X580" s="272"/>
      <c r="Y580" s="272"/>
      <c r="Z580" s="272"/>
      <c r="AA580" s="272"/>
      <c r="AB580" s="272"/>
      <c r="AC580" s="272"/>
      <c r="AD580" s="272"/>
      <c r="AE580" s="272"/>
    </row>
    <row r="581" spans="15:31">
      <c r="O581" s="272"/>
      <c r="P581" s="272"/>
      <c r="Q581" s="272"/>
      <c r="R581" s="272"/>
      <c r="S581" s="272"/>
      <c r="T581" s="272"/>
      <c r="U581" s="272"/>
      <c r="V581" s="272"/>
      <c r="W581" s="272"/>
      <c r="X581" s="272"/>
      <c r="Y581" s="272"/>
      <c r="Z581" s="272"/>
      <c r="AA581" s="272"/>
      <c r="AB581" s="272"/>
      <c r="AC581" s="272"/>
      <c r="AD581" s="272"/>
      <c r="AE581" s="272"/>
    </row>
    <row r="582" spans="15:31">
      <c r="O582" s="272"/>
      <c r="P582" s="272"/>
      <c r="Q582" s="272"/>
      <c r="R582" s="272"/>
      <c r="S582" s="272"/>
      <c r="T582" s="272"/>
      <c r="U582" s="272"/>
      <c r="V582" s="272"/>
      <c r="W582" s="272"/>
      <c r="X582" s="272"/>
      <c r="Y582" s="272"/>
      <c r="Z582" s="272"/>
      <c r="AA582" s="272"/>
      <c r="AB582" s="272"/>
      <c r="AC582" s="272"/>
      <c r="AD582" s="272"/>
      <c r="AE582" s="272"/>
    </row>
    <row r="583" spans="15:31">
      <c r="O583" s="272"/>
      <c r="P583" s="272"/>
      <c r="Q583" s="272"/>
      <c r="R583" s="272"/>
      <c r="S583" s="272"/>
      <c r="T583" s="272"/>
      <c r="U583" s="272"/>
      <c r="V583" s="272"/>
      <c r="W583" s="272"/>
      <c r="X583" s="272"/>
      <c r="Y583" s="272"/>
      <c r="Z583" s="272"/>
      <c r="AA583" s="272"/>
      <c r="AB583" s="272"/>
      <c r="AC583" s="272"/>
      <c r="AD583" s="272"/>
      <c r="AE583" s="272"/>
    </row>
    <row r="584" spans="15:31">
      <c r="O584" s="272"/>
      <c r="P584" s="272"/>
      <c r="Q584" s="272"/>
      <c r="R584" s="272"/>
      <c r="S584" s="272"/>
      <c r="T584" s="272"/>
      <c r="U584" s="272"/>
      <c r="V584" s="272"/>
      <c r="W584" s="272"/>
      <c r="X584" s="272"/>
      <c r="Y584" s="272"/>
      <c r="Z584" s="272"/>
      <c r="AA584" s="272"/>
      <c r="AB584" s="272"/>
      <c r="AC584" s="272"/>
      <c r="AD584" s="272"/>
      <c r="AE584" s="272"/>
    </row>
    <row r="585" spans="15:31">
      <c r="O585" s="272"/>
      <c r="P585" s="272"/>
      <c r="Q585" s="272"/>
      <c r="R585" s="272"/>
      <c r="S585" s="272"/>
      <c r="T585" s="272"/>
      <c r="U585" s="272"/>
      <c r="V585" s="272"/>
      <c r="W585" s="272"/>
      <c r="X585" s="272"/>
      <c r="Y585" s="272"/>
      <c r="Z585" s="272"/>
      <c r="AA585" s="272"/>
      <c r="AB585" s="272"/>
      <c r="AC585" s="272"/>
      <c r="AD585" s="272"/>
      <c r="AE585" s="272"/>
    </row>
    <row r="586" spans="15:31">
      <c r="O586" s="272"/>
      <c r="P586" s="272"/>
      <c r="Q586" s="272"/>
      <c r="R586" s="272"/>
      <c r="S586" s="272"/>
      <c r="T586" s="272"/>
      <c r="U586" s="272"/>
      <c r="V586" s="272"/>
      <c r="W586" s="272"/>
      <c r="X586" s="272"/>
      <c r="Y586" s="272"/>
      <c r="Z586" s="272"/>
      <c r="AA586" s="272"/>
      <c r="AB586" s="272"/>
      <c r="AC586" s="272"/>
      <c r="AD586" s="272"/>
      <c r="AE586" s="272"/>
    </row>
    <row r="587" spans="15:31">
      <c r="O587" s="272"/>
      <c r="P587" s="272"/>
      <c r="Q587" s="272"/>
      <c r="R587" s="272"/>
      <c r="S587" s="272"/>
      <c r="T587" s="272"/>
      <c r="U587" s="272"/>
      <c r="V587" s="272"/>
      <c r="W587" s="272"/>
      <c r="X587" s="272"/>
      <c r="Y587" s="272"/>
      <c r="Z587" s="272"/>
      <c r="AA587" s="272"/>
      <c r="AB587" s="272"/>
      <c r="AC587" s="272"/>
      <c r="AD587" s="272"/>
      <c r="AE587" s="272"/>
    </row>
    <row r="588" spans="15:31">
      <c r="O588" s="272"/>
      <c r="P588" s="272"/>
      <c r="Q588" s="272"/>
      <c r="R588" s="272"/>
      <c r="S588" s="272"/>
      <c r="T588" s="272"/>
      <c r="U588" s="272"/>
      <c r="V588" s="272"/>
      <c r="W588" s="272"/>
      <c r="X588" s="272"/>
      <c r="Y588" s="272"/>
      <c r="Z588" s="272"/>
      <c r="AA588" s="272"/>
      <c r="AB588" s="272"/>
      <c r="AC588" s="272"/>
      <c r="AD588" s="272"/>
      <c r="AE588" s="272"/>
    </row>
    <row r="589" spans="15:31">
      <c r="O589" s="272"/>
      <c r="P589" s="272"/>
      <c r="Q589" s="272"/>
      <c r="R589" s="272"/>
      <c r="S589" s="272"/>
      <c r="T589" s="272"/>
      <c r="U589" s="272"/>
      <c r="V589" s="272"/>
      <c r="W589" s="272"/>
      <c r="X589" s="272"/>
      <c r="Y589" s="272"/>
      <c r="Z589" s="272"/>
      <c r="AA589" s="272"/>
      <c r="AB589" s="272"/>
      <c r="AC589" s="272"/>
      <c r="AD589" s="272"/>
      <c r="AE589" s="272"/>
    </row>
    <row r="590" spans="15:31">
      <c r="O590" s="272"/>
      <c r="P590" s="272"/>
      <c r="Q590" s="272"/>
      <c r="R590" s="272"/>
      <c r="S590" s="272"/>
      <c r="T590" s="272"/>
      <c r="U590" s="272"/>
      <c r="V590" s="272"/>
      <c r="W590" s="272"/>
      <c r="X590" s="272"/>
      <c r="Y590" s="272"/>
      <c r="Z590" s="272"/>
      <c r="AA590" s="272"/>
      <c r="AB590" s="272"/>
      <c r="AC590" s="272"/>
      <c r="AD590" s="272"/>
      <c r="AE590" s="272"/>
    </row>
    <row r="591" spans="15:31">
      <c r="O591" s="272"/>
      <c r="P591" s="272"/>
      <c r="Q591" s="272"/>
      <c r="R591" s="272"/>
      <c r="S591" s="272"/>
      <c r="T591" s="272"/>
      <c r="U591" s="272"/>
      <c r="V591" s="272"/>
      <c r="W591" s="272"/>
      <c r="X591" s="272"/>
      <c r="Y591" s="272"/>
      <c r="Z591" s="272"/>
      <c r="AA591" s="272"/>
      <c r="AB591" s="272"/>
      <c r="AC591" s="272"/>
      <c r="AD591" s="272"/>
      <c r="AE591" s="272"/>
    </row>
    <row r="592" spans="15:31">
      <c r="O592" s="272"/>
      <c r="P592" s="272"/>
      <c r="Q592" s="272"/>
      <c r="R592" s="272"/>
      <c r="S592" s="272"/>
      <c r="T592" s="272"/>
      <c r="U592" s="272"/>
      <c r="V592" s="272"/>
      <c r="W592" s="272"/>
      <c r="X592" s="272"/>
      <c r="Y592" s="272"/>
      <c r="Z592" s="272"/>
      <c r="AA592" s="272"/>
      <c r="AB592" s="272"/>
      <c r="AC592" s="272"/>
      <c r="AD592" s="272"/>
      <c r="AE592" s="272"/>
    </row>
    <row r="593" spans="15:31">
      <c r="O593" s="272"/>
      <c r="P593" s="272"/>
      <c r="Q593" s="272"/>
      <c r="R593" s="272"/>
      <c r="S593" s="272"/>
      <c r="T593" s="272"/>
      <c r="U593" s="272"/>
      <c r="V593" s="272"/>
      <c r="W593" s="272"/>
      <c r="X593" s="272"/>
      <c r="Y593" s="272"/>
      <c r="Z593" s="272"/>
      <c r="AA593" s="272"/>
      <c r="AB593" s="272"/>
      <c r="AC593" s="272"/>
      <c r="AD593" s="272"/>
      <c r="AE593" s="272"/>
    </row>
    <row r="594" spans="15:31">
      <c r="O594" s="272"/>
      <c r="P594" s="272"/>
      <c r="Q594" s="272"/>
      <c r="R594" s="272"/>
      <c r="S594" s="272"/>
      <c r="T594" s="272"/>
      <c r="U594" s="272"/>
      <c r="V594" s="272"/>
      <c r="W594" s="272"/>
      <c r="X594" s="272"/>
      <c r="Y594" s="272"/>
      <c r="Z594" s="272"/>
      <c r="AA594" s="272"/>
      <c r="AB594" s="272"/>
      <c r="AC594" s="272"/>
      <c r="AD594" s="272"/>
      <c r="AE594" s="272"/>
    </row>
    <row r="595" spans="15:31">
      <c r="O595" s="272"/>
      <c r="P595" s="272"/>
      <c r="Q595" s="272"/>
      <c r="R595" s="272"/>
      <c r="S595" s="272"/>
      <c r="T595" s="272"/>
      <c r="U595" s="272"/>
      <c r="V595" s="272"/>
      <c r="W595" s="272"/>
      <c r="X595" s="272"/>
      <c r="Y595" s="272"/>
      <c r="Z595" s="272"/>
      <c r="AA595" s="272"/>
      <c r="AB595" s="272"/>
      <c r="AC595" s="272"/>
      <c r="AD595" s="272"/>
      <c r="AE595" s="272"/>
    </row>
    <row r="596" spans="15:31">
      <c r="O596" s="272"/>
      <c r="P596" s="272"/>
      <c r="Q596" s="272"/>
      <c r="R596" s="272"/>
      <c r="S596" s="272"/>
      <c r="T596" s="272"/>
      <c r="U596" s="272"/>
      <c r="V596" s="272"/>
      <c r="W596" s="272"/>
      <c r="X596" s="272"/>
      <c r="Y596" s="272"/>
      <c r="Z596" s="272"/>
      <c r="AA596" s="272"/>
      <c r="AB596" s="272"/>
      <c r="AC596" s="272"/>
      <c r="AD596" s="272"/>
      <c r="AE596" s="272"/>
    </row>
    <row r="597" spans="15:31">
      <c r="O597" s="272"/>
      <c r="P597" s="272"/>
      <c r="Q597" s="272"/>
      <c r="R597" s="272"/>
      <c r="S597" s="272"/>
      <c r="T597" s="272"/>
      <c r="U597" s="272"/>
      <c r="V597" s="272"/>
      <c r="W597" s="272"/>
      <c r="X597" s="272"/>
      <c r="Y597" s="272"/>
      <c r="Z597" s="272"/>
      <c r="AA597" s="272"/>
      <c r="AB597" s="272"/>
      <c r="AC597" s="272"/>
      <c r="AD597" s="272"/>
      <c r="AE597" s="272"/>
    </row>
    <row r="598" spans="15:31">
      <c r="O598" s="272"/>
      <c r="P598" s="272"/>
      <c r="Q598" s="272"/>
      <c r="R598" s="272"/>
      <c r="S598" s="272"/>
      <c r="T598" s="272"/>
      <c r="U598" s="272"/>
      <c r="V598" s="272"/>
      <c r="W598" s="272"/>
      <c r="X598" s="272"/>
      <c r="Y598" s="272"/>
      <c r="Z598" s="272"/>
      <c r="AA598" s="272"/>
      <c r="AB598" s="272"/>
      <c r="AC598" s="272"/>
      <c r="AD598" s="272"/>
      <c r="AE598" s="272"/>
    </row>
    <row r="599" spans="15:31">
      <c r="O599" s="272"/>
      <c r="P599" s="272"/>
      <c r="Q599" s="272"/>
      <c r="R599" s="272"/>
      <c r="S599" s="272"/>
      <c r="T599" s="272"/>
      <c r="U599" s="272"/>
      <c r="V599" s="272"/>
      <c r="W599" s="272"/>
      <c r="X599" s="272"/>
      <c r="Y599" s="272"/>
      <c r="Z599" s="272"/>
      <c r="AA599" s="272"/>
      <c r="AB599" s="272"/>
      <c r="AC599" s="272"/>
      <c r="AD599" s="272"/>
      <c r="AE599" s="272"/>
    </row>
    <row r="600" spans="15:31">
      <c r="O600" s="272"/>
      <c r="P600" s="272"/>
      <c r="Q600" s="272"/>
      <c r="R600" s="272"/>
      <c r="S600" s="272"/>
      <c r="T600" s="272"/>
      <c r="U600" s="272"/>
      <c r="V600" s="272"/>
      <c r="W600" s="272"/>
      <c r="X600" s="272"/>
      <c r="Y600" s="272"/>
      <c r="Z600" s="272"/>
      <c r="AA600" s="272"/>
      <c r="AB600" s="272"/>
      <c r="AC600" s="272"/>
      <c r="AD600" s="272"/>
      <c r="AE600" s="272"/>
    </row>
    <row r="601" spans="15:31">
      <c r="O601" s="272"/>
      <c r="P601" s="272"/>
      <c r="Q601" s="272"/>
      <c r="R601" s="272"/>
      <c r="S601" s="272"/>
      <c r="T601" s="272"/>
      <c r="U601" s="272"/>
      <c r="V601" s="272"/>
      <c r="W601" s="272"/>
      <c r="X601" s="272"/>
      <c r="Y601" s="272"/>
      <c r="Z601" s="272"/>
      <c r="AA601" s="272"/>
      <c r="AB601" s="272"/>
      <c r="AC601" s="272"/>
      <c r="AD601" s="272"/>
      <c r="AE601" s="272"/>
    </row>
    <row r="602" spans="15:31">
      <c r="O602" s="272"/>
      <c r="P602" s="272"/>
      <c r="Q602" s="272"/>
      <c r="R602" s="272"/>
      <c r="S602" s="272"/>
      <c r="T602" s="272"/>
      <c r="U602" s="272"/>
      <c r="V602" s="272"/>
      <c r="W602" s="272"/>
      <c r="X602" s="272"/>
      <c r="Y602" s="272"/>
      <c r="Z602" s="272"/>
      <c r="AA602" s="272"/>
      <c r="AB602" s="272"/>
      <c r="AC602" s="272"/>
      <c r="AD602" s="272"/>
      <c r="AE602" s="272"/>
    </row>
    <row r="603" spans="15:31">
      <c r="O603" s="272"/>
      <c r="P603" s="272"/>
      <c r="Q603" s="272"/>
      <c r="R603" s="272"/>
      <c r="S603" s="272"/>
      <c r="T603" s="272"/>
      <c r="U603" s="272"/>
      <c r="V603" s="272"/>
      <c r="W603" s="272"/>
      <c r="X603" s="272"/>
      <c r="Y603" s="272"/>
      <c r="Z603" s="272"/>
      <c r="AA603" s="272"/>
      <c r="AB603" s="272"/>
      <c r="AC603" s="272"/>
      <c r="AD603" s="272"/>
      <c r="AE603" s="272"/>
    </row>
    <row r="604" spans="15:31">
      <c r="O604" s="272"/>
      <c r="P604" s="272"/>
      <c r="Q604" s="272"/>
      <c r="R604" s="272"/>
      <c r="S604" s="272"/>
      <c r="T604" s="272"/>
      <c r="U604" s="272"/>
      <c r="V604" s="272"/>
      <c r="W604" s="272"/>
      <c r="X604" s="272"/>
      <c r="Y604" s="272"/>
      <c r="Z604" s="272"/>
      <c r="AA604" s="272"/>
      <c r="AB604" s="272"/>
      <c r="AC604" s="272"/>
      <c r="AD604" s="272"/>
      <c r="AE604" s="272"/>
    </row>
    <row r="605" spans="15:31">
      <c r="O605" s="272"/>
      <c r="P605" s="272"/>
      <c r="Q605" s="272"/>
      <c r="R605" s="272"/>
      <c r="S605" s="272"/>
      <c r="T605" s="272"/>
      <c r="U605" s="272"/>
      <c r="V605" s="272"/>
      <c r="W605" s="272"/>
      <c r="X605" s="272"/>
      <c r="Y605" s="272"/>
      <c r="Z605" s="272"/>
      <c r="AA605" s="272"/>
      <c r="AB605" s="272"/>
      <c r="AC605" s="272"/>
      <c r="AD605" s="272"/>
      <c r="AE605" s="272"/>
    </row>
    <row r="606" spans="15:31">
      <c r="O606" s="272"/>
      <c r="P606" s="272"/>
      <c r="Q606" s="272"/>
      <c r="R606" s="272"/>
      <c r="S606" s="272"/>
      <c r="T606" s="272"/>
      <c r="U606" s="272"/>
      <c r="V606" s="272"/>
      <c r="W606" s="272"/>
      <c r="X606" s="272"/>
      <c r="Y606" s="272"/>
      <c r="Z606" s="272"/>
      <c r="AA606" s="272"/>
      <c r="AB606" s="272"/>
      <c r="AC606" s="272"/>
      <c r="AD606" s="272"/>
      <c r="AE606" s="272"/>
    </row>
    <row r="607" spans="15:31">
      <c r="O607" s="272"/>
      <c r="P607" s="272"/>
      <c r="Q607" s="272"/>
      <c r="R607" s="272"/>
      <c r="S607" s="272"/>
      <c r="T607" s="272"/>
      <c r="U607" s="272"/>
      <c r="V607" s="272"/>
      <c r="W607" s="272"/>
      <c r="X607" s="272"/>
      <c r="Y607" s="272"/>
      <c r="Z607" s="272"/>
      <c r="AA607" s="272"/>
      <c r="AB607" s="272"/>
      <c r="AC607" s="272"/>
      <c r="AD607" s="272"/>
      <c r="AE607" s="272"/>
    </row>
    <row r="608" spans="15:31">
      <c r="O608" s="272"/>
      <c r="P608" s="272"/>
      <c r="Q608" s="272"/>
      <c r="R608" s="272"/>
      <c r="S608" s="272"/>
      <c r="T608" s="272"/>
      <c r="U608" s="272"/>
      <c r="V608" s="272"/>
      <c r="W608" s="272"/>
      <c r="X608" s="272"/>
      <c r="Y608" s="272"/>
      <c r="Z608" s="272"/>
      <c r="AA608" s="272"/>
      <c r="AB608" s="272"/>
      <c r="AC608" s="272"/>
      <c r="AD608" s="272"/>
      <c r="AE608" s="272"/>
    </row>
    <row r="609" spans="15:31">
      <c r="O609" s="272"/>
      <c r="P609" s="272"/>
      <c r="Q609" s="272"/>
      <c r="R609" s="272"/>
      <c r="S609" s="272"/>
      <c r="T609" s="272"/>
      <c r="U609" s="272"/>
      <c r="V609" s="272"/>
      <c r="W609" s="272"/>
      <c r="X609" s="272"/>
      <c r="Y609" s="272"/>
      <c r="Z609" s="272"/>
      <c r="AA609" s="272"/>
      <c r="AB609" s="272"/>
      <c r="AC609" s="272"/>
      <c r="AD609" s="272"/>
      <c r="AE609" s="272"/>
    </row>
    <row r="610" spans="15:31">
      <c r="O610" s="272"/>
      <c r="P610" s="272"/>
      <c r="Q610" s="272"/>
      <c r="R610" s="272"/>
      <c r="S610" s="272"/>
      <c r="T610" s="272"/>
      <c r="U610" s="272"/>
      <c r="V610" s="272"/>
      <c r="W610" s="272"/>
      <c r="X610" s="272"/>
      <c r="Y610" s="272"/>
      <c r="Z610" s="272"/>
      <c r="AA610" s="272"/>
      <c r="AB610" s="272"/>
      <c r="AC610" s="272"/>
      <c r="AD610" s="272"/>
      <c r="AE610" s="272"/>
    </row>
    <row r="611" spans="15:31">
      <c r="O611" s="272"/>
      <c r="P611" s="272"/>
      <c r="Q611" s="272"/>
      <c r="R611" s="272"/>
      <c r="S611" s="272"/>
      <c r="T611" s="272"/>
      <c r="U611" s="272"/>
      <c r="V611" s="272"/>
      <c r="W611" s="272"/>
      <c r="X611" s="272"/>
      <c r="Y611" s="272"/>
      <c r="Z611" s="272"/>
      <c r="AA611" s="272"/>
      <c r="AB611" s="272"/>
      <c r="AC611" s="272"/>
      <c r="AD611" s="272"/>
      <c r="AE611" s="272"/>
    </row>
    <row r="612" spans="15:31">
      <c r="O612" s="272"/>
      <c r="P612" s="272"/>
      <c r="Q612" s="272"/>
      <c r="R612" s="272"/>
      <c r="S612" s="272"/>
      <c r="T612" s="272"/>
      <c r="U612" s="272"/>
      <c r="V612" s="272"/>
      <c r="W612" s="272"/>
      <c r="X612" s="272"/>
      <c r="Y612" s="272"/>
      <c r="Z612" s="272"/>
      <c r="AA612" s="272"/>
      <c r="AB612" s="272"/>
      <c r="AC612" s="272"/>
      <c r="AD612" s="272"/>
      <c r="AE612" s="272"/>
    </row>
    <row r="613" spans="15:31">
      <c r="O613" s="272"/>
      <c r="P613" s="272"/>
      <c r="Q613" s="272"/>
      <c r="R613" s="272"/>
      <c r="S613" s="272"/>
      <c r="T613" s="272"/>
      <c r="U613" s="272"/>
      <c r="V613" s="272"/>
      <c r="W613" s="272"/>
      <c r="X613" s="272"/>
      <c r="Y613" s="272"/>
      <c r="Z613" s="272"/>
      <c r="AA613" s="272"/>
      <c r="AB613" s="272"/>
      <c r="AC613" s="272"/>
      <c r="AD613" s="272"/>
      <c r="AE613" s="272"/>
    </row>
    <row r="614" spans="15:31">
      <c r="O614" s="272"/>
      <c r="P614" s="272"/>
      <c r="Q614" s="272"/>
      <c r="R614" s="272"/>
      <c r="S614" s="272"/>
      <c r="T614" s="272"/>
      <c r="U614" s="272"/>
      <c r="V614" s="272"/>
      <c r="W614" s="272"/>
      <c r="X614" s="272"/>
      <c r="Y614" s="272"/>
      <c r="Z614" s="272"/>
      <c r="AA614" s="272"/>
      <c r="AB614" s="272"/>
      <c r="AC614" s="272"/>
      <c r="AD614" s="272"/>
      <c r="AE614" s="272"/>
    </row>
    <row r="615" spans="15:31">
      <c r="O615" s="272"/>
      <c r="P615" s="272"/>
      <c r="Q615" s="272"/>
      <c r="R615" s="272"/>
      <c r="S615" s="272"/>
      <c r="T615" s="272"/>
      <c r="U615" s="272"/>
      <c r="V615" s="272"/>
      <c r="W615" s="272"/>
      <c r="X615" s="272"/>
      <c r="Y615" s="272"/>
      <c r="Z615" s="272"/>
      <c r="AA615" s="272"/>
      <c r="AB615" s="272"/>
      <c r="AC615" s="272"/>
      <c r="AD615" s="272"/>
      <c r="AE615" s="272"/>
    </row>
    <row r="616" spans="15:31">
      <c r="O616" s="272"/>
      <c r="P616" s="272"/>
      <c r="Q616" s="272"/>
      <c r="R616" s="272"/>
      <c r="S616" s="272"/>
      <c r="T616" s="272"/>
      <c r="U616" s="272"/>
      <c r="V616" s="272"/>
      <c r="W616" s="272"/>
      <c r="X616" s="272"/>
      <c r="Y616" s="272"/>
      <c r="Z616" s="272"/>
      <c r="AA616" s="272"/>
      <c r="AB616" s="272"/>
      <c r="AC616" s="272"/>
      <c r="AD616" s="272"/>
      <c r="AE616" s="272"/>
    </row>
    <row r="617" spans="15:31">
      <c r="O617" s="272"/>
      <c r="P617" s="272"/>
      <c r="Q617" s="272"/>
      <c r="R617" s="272"/>
      <c r="S617" s="272"/>
      <c r="T617" s="272"/>
      <c r="U617" s="272"/>
      <c r="V617" s="272"/>
      <c r="W617" s="272"/>
      <c r="X617" s="272"/>
      <c r="Y617" s="272"/>
      <c r="Z617" s="272"/>
      <c r="AA617" s="272"/>
      <c r="AB617" s="272"/>
      <c r="AC617" s="272"/>
      <c r="AD617" s="272"/>
      <c r="AE617" s="272"/>
    </row>
    <row r="618" spans="15:31">
      <c r="O618" s="272"/>
      <c r="P618" s="272"/>
      <c r="Q618" s="272"/>
      <c r="R618" s="272"/>
      <c r="S618" s="272"/>
      <c r="T618" s="272"/>
      <c r="U618" s="272"/>
      <c r="V618" s="272"/>
      <c r="W618" s="272"/>
      <c r="X618" s="272"/>
      <c r="Y618" s="272"/>
      <c r="Z618" s="272"/>
      <c r="AA618" s="272"/>
      <c r="AB618" s="272"/>
      <c r="AC618" s="272"/>
      <c r="AD618" s="272"/>
      <c r="AE618" s="272"/>
    </row>
    <row r="619" spans="15:31">
      <c r="O619" s="272"/>
      <c r="P619" s="272"/>
      <c r="Q619" s="272"/>
      <c r="R619" s="272"/>
      <c r="S619" s="272"/>
      <c r="T619" s="272"/>
      <c r="U619" s="272"/>
      <c r="V619" s="272"/>
      <c r="W619" s="272"/>
      <c r="X619" s="272"/>
      <c r="Y619" s="272"/>
      <c r="Z619" s="272"/>
      <c r="AA619" s="272"/>
      <c r="AB619" s="272"/>
      <c r="AC619" s="272"/>
      <c r="AD619" s="272"/>
      <c r="AE619" s="272"/>
    </row>
    <row r="620" spans="15:31">
      <c r="O620" s="272"/>
      <c r="P620" s="272"/>
      <c r="Q620" s="272"/>
      <c r="R620" s="272"/>
      <c r="S620" s="272"/>
      <c r="T620" s="272"/>
      <c r="U620" s="272"/>
      <c r="V620" s="272"/>
      <c r="W620" s="272"/>
      <c r="X620" s="272"/>
      <c r="Y620" s="272"/>
      <c r="Z620" s="272"/>
      <c r="AA620" s="272"/>
      <c r="AB620" s="272"/>
      <c r="AC620" s="272"/>
      <c r="AD620" s="272"/>
      <c r="AE620" s="272"/>
    </row>
    <row r="621" spans="15:31">
      <c r="O621" s="272"/>
      <c r="P621" s="272"/>
      <c r="Q621" s="272"/>
      <c r="R621" s="272"/>
      <c r="S621" s="272"/>
      <c r="T621" s="272"/>
      <c r="U621" s="272"/>
      <c r="V621" s="272"/>
      <c r="W621" s="272"/>
      <c r="X621" s="272"/>
      <c r="Y621" s="272"/>
      <c r="Z621" s="272"/>
      <c r="AA621" s="272"/>
      <c r="AB621" s="272"/>
      <c r="AC621" s="272"/>
      <c r="AD621" s="272"/>
      <c r="AE621" s="272"/>
    </row>
    <row r="622" spans="15:31">
      <c r="O622" s="272"/>
      <c r="P622" s="272"/>
      <c r="Q622" s="272"/>
      <c r="R622" s="272"/>
      <c r="S622" s="272"/>
      <c r="T622" s="272"/>
      <c r="U622" s="272"/>
      <c r="V622" s="272"/>
      <c r="W622" s="272"/>
      <c r="X622" s="272"/>
      <c r="Y622" s="272"/>
      <c r="Z622" s="272"/>
      <c r="AA622" s="272"/>
      <c r="AB622" s="272"/>
      <c r="AC622" s="272"/>
      <c r="AD622" s="272"/>
      <c r="AE622" s="272"/>
    </row>
    <row r="623" spans="15:31">
      <c r="O623" s="272"/>
      <c r="P623" s="272"/>
      <c r="Q623" s="272"/>
      <c r="R623" s="272"/>
      <c r="S623" s="272"/>
      <c r="T623" s="272"/>
      <c r="U623" s="272"/>
      <c r="V623" s="272"/>
      <c r="W623" s="272"/>
      <c r="X623" s="272"/>
      <c r="Y623" s="272"/>
      <c r="Z623" s="272"/>
      <c r="AA623" s="272"/>
      <c r="AB623" s="272"/>
      <c r="AC623" s="272"/>
      <c r="AD623" s="272"/>
      <c r="AE623" s="272"/>
    </row>
    <row r="624" spans="15:31">
      <c r="O624" s="272"/>
      <c r="P624" s="272"/>
      <c r="Q624" s="272"/>
      <c r="R624" s="272"/>
      <c r="S624" s="272"/>
      <c r="T624" s="272"/>
      <c r="U624" s="272"/>
      <c r="V624" s="272"/>
      <c r="W624" s="272"/>
      <c r="X624" s="272"/>
      <c r="Y624" s="272"/>
      <c r="Z624" s="272"/>
      <c r="AA624" s="272"/>
      <c r="AB624" s="272"/>
      <c r="AC624" s="272"/>
      <c r="AD624" s="272"/>
      <c r="AE624" s="272"/>
    </row>
    <row r="625" spans="15:31">
      <c r="O625" s="272"/>
      <c r="P625" s="272"/>
      <c r="Q625" s="272"/>
      <c r="R625" s="272"/>
      <c r="S625" s="272"/>
      <c r="T625" s="272"/>
      <c r="U625" s="272"/>
      <c r="V625" s="272"/>
      <c r="W625" s="272"/>
      <c r="X625" s="272"/>
      <c r="Y625" s="272"/>
      <c r="Z625" s="272"/>
      <c r="AA625" s="272"/>
      <c r="AB625" s="272"/>
      <c r="AC625" s="272"/>
      <c r="AD625" s="272"/>
      <c r="AE625" s="272"/>
    </row>
    <row r="626" spans="15:31">
      <c r="O626" s="272"/>
      <c r="P626" s="272"/>
      <c r="Q626" s="272"/>
      <c r="R626" s="272"/>
      <c r="S626" s="272"/>
      <c r="T626" s="272"/>
      <c r="U626" s="272"/>
      <c r="V626" s="272"/>
      <c r="W626" s="272"/>
      <c r="X626" s="272"/>
      <c r="Y626" s="272"/>
      <c r="Z626" s="272"/>
      <c r="AA626" s="272"/>
      <c r="AB626" s="272"/>
      <c r="AC626" s="272"/>
      <c r="AD626" s="272"/>
      <c r="AE626" s="272"/>
    </row>
    <row r="627" spans="15:31">
      <c r="O627" s="272"/>
      <c r="P627" s="272"/>
      <c r="Q627" s="272"/>
      <c r="R627" s="272"/>
      <c r="S627" s="272"/>
      <c r="T627" s="272"/>
      <c r="U627" s="272"/>
      <c r="V627" s="272"/>
      <c r="W627" s="272"/>
      <c r="X627" s="272"/>
      <c r="Y627" s="272"/>
      <c r="Z627" s="272"/>
      <c r="AA627" s="272"/>
      <c r="AB627" s="272"/>
      <c r="AC627" s="272"/>
      <c r="AD627" s="272"/>
      <c r="AE627" s="272"/>
    </row>
    <row r="628" spans="15:31">
      <c r="O628" s="272"/>
      <c r="P628" s="272"/>
      <c r="Q628" s="272"/>
      <c r="R628" s="272"/>
      <c r="S628" s="272"/>
      <c r="T628" s="272"/>
      <c r="U628" s="272"/>
      <c r="V628" s="272"/>
      <c r="W628" s="272"/>
      <c r="X628" s="272"/>
      <c r="Y628" s="272"/>
      <c r="Z628" s="272"/>
      <c r="AA628" s="272"/>
      <c r="AB628" s="272"/>
      <c r="AC628" s="272"/>
      <c r="AD628" s="272"/>
      <c r="AE628" s="272"/>
    </row>
    <row r="629" spans="15:31">
      <c r="O629" s="272"/>
      <c r="P629" s="272"/>
      <c r="Q629" s="272"/>
      <c r="R629" s="272"/>
      <c r="S629" s="272"/>
      <c r="T629" s="272"/>
      <c r="U629" s="272"/>
      <c r="V629" s="272"/>
      <c r="W629" s="272"/>
      <c r="X629" s="272"/>
      <c r="Y629" s="272"/>
      <c r="Z629" s="272"/>
      <c r="AA629" s="272"/>
      <c r="AB629" s="272"/>
      <c r="AC629" s="272"/>
      <c r="AD629" s="272"/>
      <c r="AE629" s="272"/>
    </row>
    <row r="630" spans="15:31">
      <c r="O630" s="272"/>
      <c r="P630" s="272"/>
      <c r="Q630" s="272"/>
      <c r="R630" s="272"/>
      <c r="S630" s="272"/>
      <c r="T630" s="272"/>
      <c r="U630" s="272"/>
      <c r="V630" s="272"/>
      <c r="W630" s="272"/>
      <c r="X630" s="272"/>
      <c r="Y630" s="272"/>
      <c r="Z630" s="272"/>
      <c r="AA630" s="272"/>
      <c r="AB630" s="272"/>
      <c r="AC630" s="272"/>
      <c r="AD630" s="272"/>
      <c r="AE630" s="272"/>
    </row>
    <row r="631" spans="15:31">
      <c r="O631" s="272"/>
      <c r="P631" s="272"/>
      <c r="Q631" s="272"/>
      <c r="R631" s="272"/>
      <c r="S631" s="272"/>
      <c r="T631" s="272"/>
      <c r="U631" s="272"/>
      <c r="V631" s="272"/>
      <c r="W631" s="272"/>
      <c r="X631" s="272"/>
      <c r="Y631" s="272"/>
      <c r="Z631" s="272"/>
      <c r="AA631" s="272"/>
      <c r="AB631" s="272"/>
      <c r="AC631" s="272"/>
      <c r="AD631" s="272"/>
      <c r="AE631" s="272"/>
    </row>
    <row r="632" spans="15:31">
      <c r="O632" s="272"/>
      <c r="P632" s="272"/>
      <c r="Q632" s="272"/>
      <c r="R632" s="272"/>
      <c r="S632" s="272"/>
      <c r="T632" s="272"/>
      <c r="U632" s="272"/>
      <c r="V632" s="272"/>
      <c r="W632" s="272"/>
      <c r="X632" s="272"/>
      <c r="Y632" s="272"/>
      <c r="Z632" s="272"/>
      <c r="AA632" s="272"/>
      <c r="AB632" s="272"/>
      <c r="AC632" s="272"/>
      <c r="AD632" s="272"/>
      <c r="AE632" s="272"/>
    </row>
    <row r="633" spans="15:31">
      <c r="O633" s="272"/>
      <c r="P633" s="272"/>
      <c r="Q633" s="272"/>
      <c r="R633" s="272"/>
      <c r="S633" s="272"/>
      <c r="T633" s="272"/>
      <c r="U633" s="272"/>
      <c r="V633" s="272"/>
      <c r="W633" s="272"/>
      <c r="X633" s="272"/>
      <c r="Y633" s="272"/>
      <c r="Z633" s="272"/>
      <c r="AA633" s="272"/>
      <c r="AB633" s="272"/>
      <c r="AC633" s="272"/>
      <c r="AD633" s="272"/>
      <c r="AE633" s="272"/>
    </row>
    <row r="634" spans="15:31">
      <c r="O634" s="272"/>
      <c r="P634" s="272"/>
      <c r="Q634" s="272"/>
      <c r="R634" s="272"/>
      <c r="S634" s="272"/>
      <c r="T634" s="272"/>
      <c r="U634" s="272"/>
      <c r="V634" s="272"/>
      <c r="W634" s="272"/>
      <c r="X634" s="272"/>
      <c r="Y634" s="272"/>
      <c r="Z634" s="272"/>
      <c r="AA634" s="272"/>
      <c r="AB634" s="272"/>
      <c r="AC634" s="272"/>
      <c r="AD634" s="272"/>
      <c r="AE634" s="272"/>
    </row>
    <row r="635" spans="15:31">
      <c r="O635" s="272"/>
      <c r="P635" s="272"/>
      <c r="Q635" s="272"/>
      <c r="R635" s="272"/>
      <c r="S635" s="272"/>
      <c r="T635" s="272"/>
      <c r="U635" s="272"/>
      <c r="V635" s="272"/>
      <c r="W635" s="272"/>
      <c r="X635" s="272"/>
      <c r="Y635" s="272"/>
      <c r="Z635" s="272"/>
      <c r="AA635" s="272"/>
      <c r="AB635" s="272"/>
      <c r="AC635" s="272"/>
      <c r="AD635" s="272"/>
      <c r="AE635" s="272"/>
    </row>
    <row r="636" spans="15:31">
      <c r="O636" s="272"/>
      <c r="P636" s="272"/>
      <c r="Q636" s="272"/>
      <c r="R636" s="272"/>
      <c r="S636" s="272"/>
      <c r="T636" s="272"/>
      <c r="U636" s="272"/>
      <c r="V636" s="272"/>
      <c r="W636" s="272"/>
      <c r="X636" s="272"/>
      <c r="Y636" s="272"/>
      <c r="Z636" s="272"/>
      <c r="AA636" s="272"/>
      <c r="AB636" s="272"/>
      <c r="AC636" s="272"/>
      <c r="AD636" s="272"/>
      <c r="AE636" s="272"/>
    </row>
    <row r="637" spans="15:31">
      <c r="O637" s="272"/>
      <c r="P637" s="272"/>
      <c r="Q637" s="272"/>
      <c r="R637" s="272"/>
      <c r="S637" s="272"/>
      <c r="T637" s="272"/>
      <c r="U637" s="272"/>
      <c r="V637" s="272"/>
      <c r="W637" s="272"/>
      <c r="X637" s="272"/>
      <c r="Y637" s="272"/>
      <c r="Z637" s="272"/>
      <c r="AA637" s="272"/>
      <c r="AB637" s="272"/>
      <c r="AC637" s="272"/>
      <c r="AD637" s="272"/>
      <c r="AE637" s="272"/>
    </row>
    <row r="638" spans="15:31">
      <c r="O638" s="272"/>
      <c r="P638" s="272"/>
      <c r="Q638" s="272"/>
      <c r="R638" s="272"/>
      <c r="S638" s="272"/>
      <c r="T638" s="272"/>
      <c r="U638" s="272"/>
      <c r="V638" s="272"/>
      <c r="W638" s="272"/>
      <c r="X638" s="272"/>
      <c r="Y638" s="272"/>
      <c r="Z638" s="272"/>
      <c r="AA638" s="272"/>
      <c r="AB638" s="272"/>
      <c r="AC638" s="272"/>
      <c r="AD638" s="272"/>
      <c r="AE638" s="272"/>
    </row>
    <row r="639" spans="15:31">
      <c r="O639" s="272"/>
      <c r="P639" s="272"/>
      <c r="Q639" s="272"/>
      <c r="R639" s="272"/>
      <c r="S639" s="272"/>
      <c r="T639" s="272"/>
      <c r="U639" s="272"/>
      <c r="V639" s="272"/>
      <c r="W639" s="272"/>
      <c r="X639" s="272"/>
      <c r="Y639" s="272"/>
      <c r="Z639" s="272"/>
      <c r="AA639" s="272"/>
      <c r="AB639" s="272"/>
      <c r="AC639" s="272"/>
      <c r="AD639" s="272"/>
      <c r="AE639" s="272"/>
    </row>
    <row r="640" spans="15:31">
      <c r="O640" s="272"/>
      <c r="P640" s="272"/>
      <c r="Q640" s="272"/>
      <c r="R640" s="272"/>
      <c r="S640" s="272"/>
      <c r="T640" s="272"/>
      <c r="U640" s="272"/>
      <c r="V640" s="272"/>
      <c r="W640" s="272"/>
      <c r="X640" s="272"/>
      <c r="Y640" s="272"/>
      <c r="Z640" s="272"/>
      <c r="AA640" s="272"/>
      <c r="AB640" s="272"/>
      <c r="AC640" s="272"/>
      <c r="AD640" s="272"/>
      <c r="AE640" s="272"/>
    </row>
    <row r="641" spans="15:31">
      <c r="O641" s="272"/>
      <c r="P641" s="272"/>
      <c r="Q641" s="272"/>
      <c r="R641" s="272"/>
      <c r="S641" s="272"/>
      <c r="T641" s="272"/>
      <c r="U641" s="272"/>
      <c r="V641" s="272"/>
      <c r="W641" s="272"/>
      <c r="X641" s="272"/>
      <c r="Y641" s="272"/>
      <c r="Z641" s="272"/>
      <c r="AA641" s="272"/>
      <c r="AB641" s="272"/>
      <c r="AC641" s="272"/>
      <c r="AD641" s="272"/>
      <c r="AE641" s="272"/>
    </row>
    <row r="642" spans="15:31">
      <c r="O642" s="272"/>
      <c r="P642" s="272"/>
      <c r="Q642" s="272"/>
      <c r="R642" s="272"/>
      <c r="S642" s="272"/>
      <c r="T642" s="272"/>
      <c r="U642" s="272"/>
      <c r="V642" s="272"/>
      <c r="W642" s="272"/>
      <c r="X642" s="272"/>
      <c r="Y642" s="272"/>
      <c r="Z642" s="272"/>
      <c r="AA642" s="272"/>
      <c r="AB642" s="272"/>
      <c r="AC642" s="272"/>
      <c r="AD642" s="272"/>
      <c r="AE642" s="272"/>
    </row>
    <row r="643" spans="15:31">
      <c r="O643" s="272"/>
      <c r="P643" s="272"/>
      <c r="Q643" s="272"/>
      <c r="R643" s="272"/>
      <c r="S643" s="272"/>
      <c r="T643" s="272"/>
      <c r="U643" s="272"/>
      <c r="V643" s="272"/>
      <c r="W643" s="272"/>
      <c r="X643" s="272"/>
      <c r="Y643" s="272"/>
      <c r="Z643" s="272"/>
      <c r="AA643" s="272"/>
      <c r="AB643" s="272"/>
      <c r="AC643" s="272"/>
      <c r="AD643" s="272"/>
      <c r="AE643" s="272"/>
    </row>
    <row r="644" spans="15:31">
      <c r="O644" s="272"/>
      <c r="P644" s="272"/>
      <c r="Q644" s="272"/>
      <c r="R644" s="272"/>
      <c r="S644" s="272"/>
      <c r="T644" s="272"/>
      <c r="U644" s="272"/>
      <c r="V644" s="272"/>
      <c r="W644" s="272"/>
      <c r="X644" s="272"/>
      <c r="Y644" s="272"/>
      <c r="Z644" s="272"/>
      <c r="AA644" s="272"/>
      <c r="AB644" s="272"/>
      <c r="AC644" s="272"/>
      <c r="AD644" s="272"/>
      <c r="AE644" s="272"/>
    </row>
    <row r="645" spans="15:31">
      <c r="O645" s="272"/>
      <c r="P645" s="272"/>
      <c r="Q645" s="272"/>
      <c r="R645" s="272"/>
      <c r="S645" s="272"/>
      <c r="T645" s="272"/>
      <c r="U645" s="272"/>
      <c r="V645" s="272"/>
      <c r="W645" s="272"/>
      <c r="X645" s="272"/>
      <c r="Y645" s="272"/>
      <c r="Z645" s="272"/>
      <c r="AA645" s="272"/>
      <c r="AB645" s="272"/>
      <c r="AC645" s="272"/>
      <c r="AD645" s="272"/>
      <c r="AE645" s="272"/>
    </row>
    <row r="646" spans="15:31">
      <c r="O646" s="272"/>
      <c r="P646" s="272"/>
      <c r="Q646" s="272"/>
      <c r="R646" s="272"/>
      <c r="S646" s="272"/>
      <c r="T646" s="272"/>
      <c r="U646" s="272"/>
      <c r="V646" s="272"/>
      <c r="W646" s="272"/>
      <c r="X646" s="272"/>
      <c r="Y646" s="272"/>
      <c r="Z646" s="272"/>
      <c r="AA646" s="272"/>
      <c r="AB646" s="272"/>
      <c r="AC646" s="272"/>
      <c r="AD646" s="272"/>
      <c r="AE646" s="272"/>
    </row>
    <row r="647" spans="15:31">
      <c r="O647" s="272"/>
      <c r="P647" s="272"/>
      <c r="Q647" s="272"/>
      <c r="R647" s="272"/>
      <c r="S647" s="272"/>
      <c r="T647" s="272"/>
      <c r="U647" s="272"/>
      <c r="V647" s="272"/>
      <c r="W647" s="272"/>
      <c r="X647" s="272"/>
      <c r="Y647" s="272"/>
      <c r="Z647" s="272"/>
      <c r="AA647" s="272"/>
      <c r="AB647" s="272"/>
      <c r="AC647" s="272"/>
      <c r="AD647" s="272"/>
      <c r="AE647" s="272"/>
    </row>
    <row r="648" spans="15:31">
      <c r="O648" s="272"/>
      <c r="P648" s="272"/>
      <c r="Q648" s="272"/>
      <c r="R648" s="272"/>
      <c r="S648" s="272"/>
      <c r="T648" s="272"/>
      <c r="U648" s="272"/>
      <c r="V648" s="272"/>
      <c r="W648" s="272"/>
      <c r="X648" s="272"/>
      <c r="Y648" s="272"/>
      <c r="Z648" s="272"/>
      <c r="AA648" s="272"/>
      <c r="AB648" s="272"/>
      <c r="AC648" s="272"/>
      <c r="AD648" s="272"/>
      <c r="AE648" s="272"/>
    </row>
    <row r="649" spans="15:31">
      <c r="O649" s="272"/>
      <c r="P649" s="272"/>
      <c r="Q649" s="272"/>
      <c r="R649" s="272"/>
      <c r="S649" s="272"/>
      <c r="T649" s="272"/>
      <c r="U649" s="272"/>
      <c r="V649" s="272"/>
      <c r="W649" s="272"/>
      <c r="X649" s="272"/>
      <c r="Y649" s="272"/>
      <c r="Z649" s="272"/>
      <c r="AA649" s="272"/>
      <c r="AB649" s="272"/>
      <c r="AC649" s="272"/>
      <c r="AD649" s="272"/>
      <c r="AE649" s="272"/>
    </row>
    <row r="650" spans="15:31">
      <c r="O650" s="272"/>
      <c r="P650" s="272"/>
      <c r="Q650" s="272"/>
      <c r="R650" s="272"/>
      <c r="S650" s="272"/>
      <c r="T650" s="272"/>
      <c r="U650" s="272"/>
      <c r="V650" s="272"/>
      <c r="W650" s="272"/>
      <c r="X650" s="272"/>
      <c r="Y650" s="272"/>
      <c r="Z650" s="272"/>
      <c r="AA650" s="272"/>
      <c r="AB650" s="272"/>
      <c r="AC650" s="272"/>
      <c r="AD650" s="272"/>
      <c r="AE650" s="272"/>
    </row>
    <row r="651" spans="15:31">
      <c r="O651" s="272"/>
      <c r="P651" s="272"/>
      <c r="Q651" s="272"/>
      <c r="R651" s="272"/>
      <c r="S651" s="272"/>
      <c r="T651" s="272"/>
      <c r="U651" s="272"/>
      <c r="V651" s="272"/>
      <c r="W651" s="272"/>
      <c r="X651" s="272"/>
      <c r="Y651" s="272"/>
      <c r="Z651" s="272"/>
      <c r="AA651" s="272"/>
      <c r="AB651" s="272"/>
      <c r="AC651" s="272"/>
      <c r="AD651" s="272"/>
      <c r="AE651" s="272"/>
    </row>
    <row r="652" spans="15:31">
      <c r="O652" s="272"/>
      <c r="P652" s="272"/>
      <c r="Q652" s="272"/>
      <c r="R652" s="272"/>
      <c r="S652" s="272"/>
      <c r="T652" s="272"/>
      <c r="U652" s="272"/>
      <c r="V652" s="272"/>
      <c r="W652" s="272"/>
      <c r="X652" s="272"/>
      <c r="Y652" s="272"/>
      <c r="Z652" s="272"/>
      <c r="AA652" s="272"/>
      <c r="AB652" s="272"/>
      <c r="AC652" s="272"/>
      <c r="AD652" s="272"/>
      <c r="AE652" s="272"/>
    </row>
    <row r="653" spans="15:31">
      <c r="O653" s="272"/>
      <c r="P653" s="272"/>
      <c r="Q653" s="272"/>
      <c r="R653" s="272"/>
      <c r="S653" s="272"/>
      <c r="T653" s="272"/>
      <c r="U653" s="272"/>
      <c r="V653" s="272"/>
      <c r="W653" s="272"/>
      <c r="X653" s="272"/>
      <c r="Y653" s="272"/>
      <c r="Z653" s="272"/>
      <c r="AA653" s="272"/>
      <c r="AB653" s="272"/>
      <c r="AC653" s="272"/>
      <c r="AD653" s="272"/>
      <c r="AE653" s="272"/>
    </row>
    <row r="654" spans="15:31">
      <c r="O654" s="272"/>
      <c r="P654" s="272"/>
      <c r="Q654" s="272"/>
      <c r="R654" s="272"/>
      <c r="S654" s="272"/>
      <c r="T654" s="272"/>
      <c r="U654" s="272"/>
      <c r="V654" s="272"/>
      <c r="W654" s="272"/>
      <c r="X654" s="272"/>
      <c r="Y654" s="272"/>
      <c r="Z654" s="272"/>
      <c r="AA654" s="272"/>
      <c r="AB654" s="272"/>
      <c r="AC654" s="272"/>
      <c r="AD654" s="272"/>
      <c r="AE654" s="272"/>
    </row>
    <row r="655" spans="15:31">
      <c r="O655" s="272"/>
      <c r="P655" s="272"/>
      <c r="Q655" s="272"/>
      <c r="R655" s="272"/>
      <c r="S655" s="272"/>
      <c r="T655" s="272"/>
      <c r="U655" s="272"/>
      <c r="V655" s="272"/>
      <c r="W655" s="272"/>
      <c r="X655" s="272"/>
      <c r="Y655" s="272"/>
      <c r="Z655" s="272"/>
      <c r="AA655" s="272"/>
      <c r="AB655" s="272"/>
      <c r="AC655" s="272"/>
      <c r="AD655" s="272"/>
      <c r="AE655" s="272"/>
    </row>
    <row r="656" spans="15:31">
      <c r="O656" s="272"/>
      <c r="P656" s="272"/>
      <c r="Q656" s="272"/>
      <c r="R656" s="272"/>
      <c r="S656" s="272"/>
      <c r="T656" s="272"/>
      <c r="U656" s="272"/>
      <c r="V656" s="272"/>
      <c r="W656" s="272"/>
      <c r="X656" s="272"/>
      <c r="Y656" s="272"/>
      <c r="Z656" s="272"/>
      <c r="AA656" s="272"/>
      <c r="AB656" s="272"/>
      <c r="AC656" s="272"/>
      <c r="AD656" s="272"/>
      <c r="AE656" s="272"/>
    </row>
    <row r="657" spans="15:31">
      <c r="O657" s="272"/>
      <c r="P657" s="272"/>
      <c r="Q657" s="272"/>
      <c r="R657" s="272"/>
      <c r="S657" s="272"/>
      <c r="T657" s="272"/>
      <c r="U657" s="272"/>
      <c r="V657" s="272"/>
      <c r="W657" s="272"/>
      <c r="X657" s="272"/>
      <c r="Y657" s="272"/>
      <c r="Z657" s="272"/>
      <c r="AA657" s="272"/>
      <c r="AB657" s="272"/>
      <c r="AC657" s="272"/>
      <c r="AD657" s="272"/>
      <c r="AE657" s="272"/>
    </row>
    <row r="658" spans="15:31">
      <c r="O658" s="272"/>
      <c r="P658" s="272"/>
      <c r="Q658" s="272"/>
      <c r="R658" s="272"/>
      <c r="S658" s="272"/>
      <c r="T658" s="272"/>
      <c r="U658" s="272"/>
      <c r="V658" s="272"/>
      <c r="W658" s="272"/>
      <c r="X658" s="272"/>
      <c r="Y658" s="272"/>
      <c r="Z658" s="272"/>
      <c r="AA658" s="272"/>
      <c r="AB658" s="272"/>
      <c r="AC658" s="272"/>
      <c r="AD658" s="272"/>
      <c r="AE658" s="272"/>
    </row>
    <row r="659" spans="15:31">
      <c r="O659" s="272"/>
      <c r="P659" s="272"/>
      <c r="Q659" s="272"/>
      <c r="R659" s="272"/>
      <c r="S659" s="272"/>
      <c r="T659" s="272"/>
      <c r="U659" s="272"/>
      <c r="V659" s="272"/>
      <c r="W659" s="272"/>
      <c r="X659" s="272"/>
      <c r="Y659" s="272"/>
      <c r="Z659" s="272"/>
      <c r="AA659" s="272"/>
      <c r="AB659" s="272"/>
      <c r="AC659" s="272"/>
      <c r="AD659" s="272"/>
      <c r="AE659" s="272"/>
    </row>
    <row r="660" spans="15:31">
      <c r="O660" s="272"/>
      <c r="P660" s="272"/>
      <c r="Q660" s="272"/>
      <c r="R660" s="272"/>
      <c r="S660" s="272"/>
      <c r="T660" s="272"/>
      <c r="U660" s="272"/>
      <c r="V660" s="272"/>
      <c r="W660" s="272"/>
      <c r="X660" s="272"/>
      <c r="Y660" s="272"/>
      <c r="Z660" s="272"/>
      <c r="AA660" s="272"/>
      <c r="AB660" s="272"/>
      <c r="AC660" s="272"/>
      <c r="AD660" s="272"/>
      <c r="AE660" s="272"/>
    </row>
    <row r="661" spans="15:31">
      <c r="O661" s="272"/>
      <c r="P661" s="272"/>
      <c r="Q661" s="272"/>
      <c r="R661" s="272"/>
      <c r="S661" s="272"/>
      <c r="T661" s="272"/>
      <c r="U661" s="272"/>
      <c r="V661" s="272"/>
      <c r="W661" s="272"/>
      <c r="X661" s="272"/>
      <c r="Y661" s="272"/>
      <c r="Z661" s="272"/>
      <c r="AA661" s="272"/>
      <c r="AB661" s="272"/>
      <c r="AC661" s="272"/>
      <c r="AD661" s="272"/>
      <c r="AE661" s="272"/>
    </row>
    <row r="662" spans="15:31">
      <c r="O662" s="272"/>
      <c r="P662" s="272"/>
      <c r="Q662" s="272"/>
      <c r="R662" s="272"/>
      <c r="S662" s="272"/>
      <c r="T662" s="272"/>
      <c r="U662" s="272"/>
      <c r="V662" s="272"/>
      <c r="W662" s="272"/>
      <c r="X662" s="272"/>
      <c r="Y662" s="272"/>
      <c r="Z662" s="272"/>
      <c r="AA662" s="272"/>
      <c r="AB662" s="272"/>
      <c r="AC662" s="272"/>
      <c r="AD662" s="272"/>
      <c r="AE662" s="272"/>
    </row>
    <row r="663" spans="15:31">
      <c r="O663" s="272"/>
      <c r="P663" s="272"/>
      <c r="Q663" s="272"/>
      <c r="R663" s="272"/>
      <c r="S663" s="272"/>
      <c r="T663" s="272"/>
      <c r="U663" s="272"/>
      <c r="V663" s="272"/>
      <c r="W663" s="272"/>
      <c r="X663" s="272"/>
      <c r="Y663" s="272"/>
      <c r="Z663" s="272"/>
      <c r="AA663" s="272"/>
      <c r="AB663" s="272"/>
      <c r="AC663" s="272"/>
      <c r="AD663" s="272"/>
      <c r="AE663" s="272"/>
    </row>
    <row r="664" spans="15:31">
      <c r="O664" s="272"/>
      <c r="P664" s="272"/>
      <c r="Q664" s="272"/>
      <c r="R664" s="272"/>
      <c r="S664" s="272"/>
      <c r="T664" s="272"/>
      <c r="U664" s="272"/>
      <c r="V664" s="272"/>
      <c r="W664" s="272"/>
      <c r="X664" s="272"/>
      <c r="Y664" s="272"/>
      <c r="Z664" s="272"/>
      <c r="AA664" s="272"/>
      <c r="AB664" s="272"/>
      <c r="AC664" s="272"/>
      <c r="AD664" s="272"/>
      <c r="AE664" s="272"/>
    </row>
    <row r="665" spans="15:31">
      <c r="O665" s="272"/>
      <c r="P665" s="272"/>
      <c r="Q665" s="272"/>
      <c r="R665" s="272"/>
      <c r="S665" s="272"/>
      <c r="T665" s="272"/>
      <c r="U665" s="272"/>
      <c r="V665" s="272"/>
      <c r="W665" s="272"/>
      <c r="X665" s="272"/>
      <c r="Y665" s="272"/>
      <c r="Z665" s="272"/>
      <c r="AA665" s="272"/>
      <c r="AB665" s="272"/>
      <c r="AC665" s="272"/>
      <c r="AD665" s="272"/>
      <c r="AE665" s="272"/>
    </row>
    <row r="666" spans="15:31">
      <c r="O666" s="272"/>
      <c r="P666" s="272"/>
      <c r="Q666" s="272"/>
      <c r="R666" s="272"/>
      <c r="S666" s="272"/>
      <c r="T666" s="272"/>
      <c r="U666" s="272"/>
      <c r="V666" s="272"/>
      <c r="W666" s="272"/>
      <c r="X666" s="272"/>
      <c r="Y666" s="272"/>
      <c r="Z666" s="272"/>
      <c r="AA666" s="272"/>
      <c r="AB666" s="272"/>
      <c r="AC666" s="272"/>
      <c r="AD666" s="272"/>
      <c r="AE666" s="272"/>
    </row>
    <row r="667" spans="15:31">
      <c r="O667" s="272"/>
      <c r="P667" s="272"/>
      <c r="Q667" s="272"/>
      <c r="R667" s="272"/>
      <c r="S667" s="272"/>
      <c r="T667" s="272"/>
      <c r="U667" s="272"/>
      <c r="V667" s="272"/>
      <c r="W667" s="272"/>
      <c r="X667" s="272"/>
      <c r="Y667" s="272"/>
      <c r="Z667" s="272"/>
      <c r="AA667" s="272"/>
      <c r="AB667" s="272"/>
      <c r="AC667" s="272"/>
      <c r="AD667" s="272"/>
      <c r="AE667" s="272"/>
    </row>
    <row r="668" spans="15:31">
      <c r="O668" s="272"/>
      <c r="P668" s="272"/>
      <c r="Q668" s="272"/>
      <c r="R668" s="272"/>
      <c r="S668" s="272"/>
      <c r="T668" s="272"/>
      <c r="U668" s="272"/>
      <c r="V668" s="272"/>
      <c r="W668" s="272"/>
      <c r="X668" s="272"/>
      <c r="Y668" s="272"/>
      <c r="Z668" s="272"/>
      <c r="AA668" s="272"/>
      <c r="AB668" s="272"/>
      <c r="AC668" s="272"/>
      <c r="AD668" s="272"/>
      <c r="AE668" s="272"/>
    </row>
    <row r="669" spans="15:31">
      <c r="O669" s="272"/>
      <c r="P669" s="272"/>
      <c r="Q669" s="272"/>
      <c r="R669" s="272"/>
      <c r="S669" s="272"/>
      <c r="T669" s="272"/>
      <c r="U669" s="272"/>
      <c r="V669" s="272"/>
      <c r="W669" s="272"/>
      <c r="X669" s="272"/>
      <c r="Y669" s="272"/>
      <c r="Z669" s="272"/>
      <c r="AA669" s="272"/>
      <c r="AB669" s="272"/>
      <c r="AC669" s="272"/>
      <c r="AD669" s="272"/>
      <c r="AE669" s="272"/>
    </row>
    <row r="670" spans="15:31">
      <c r="O670" s="272"/>
      <c r="P670" s="272"/>
      <c r="Q670" s="272"/>
      <c r="R670" s="272"/>
      <c r="S670" s="272"/>
      <c r="T670" s="272"/>
      <c r="U670" s="272"/>
      <c r="V670" s="272"/>
      <c r="W670" s="272"/>
      <c r="X670" s="272"/>
      <c r="Y670" s="272"/>
      <c r="Z670" s="272"/>
      <c r="AA670" s="272"/>
      <c r="AB670" s="272"/>
      <c r="AC670" s="272"/>
      <c r="AD670" s="272"/>
      <c r="AE670" s="272"/>
    </row>
    <row r="671" spans="15:31">
      <c r="O671" s="272"/>
      <c r="P671" s="272"/>
      <c r="Q671" s="272"/>
      <c r="R671" s="272"/>
      <c r="S671" s="272"/>
      <c r="T671" s="272"/>
      <c r="U671" s="272"/>
      <c r="V671" s="272"/>
      <c r="W671" s="272"/>
      <c r="X671" s="272"/>
      <c r="Y671" s="272"/>
      <c r="Z671" s="272"/>
      <c r="AA671" s="272"/>
      <c r="AB671" s="272"/>
      <c r="AC671" s="272"/>
      <c r="AD671" s="272"/>
      <c r="AE671" s="272"/>
    </row>
    <row r="672" spans="15:31">
      <c r="O672" s="272"/>
      <c r="P672" s="272"/>
      <c r="Q672" s="272"/>
      <c r="R672" s="272"/>
      <c r="S672" s="272"/>
      <c r="T672" s="272"/>
      <c r="U672" s="272"/>
      <c r="V672" s="272"/>
      <c r="W672" s="272"/>
      <c r="X672" s="272"/>
      <c r="Y672" s="272"/>
      <c r="Z672" s="272"/>
      <c r="AA672" s="272"/>
      <c r="AB672" s="272"/>
      <c r="AC672" s="272"/>
      <c r="AD672" s="272"/>
      <c r="AE672" s="272"/>
    </row>
    <row r="673" spans="15:31">
      <c r="O673" s="272"/>
      <c r="P673" s="272"/>
      <c r="Q673" s="272"/>
      <c r="R673" s="272"/>
      <c r="S673" s="272"/>
      <c r="T673" s="272"/>
      <c r="U673" s="272"/>
      <c r="V673" s="272"/>
      <c r="W673" s="272"/>
      <c r="X673" s="272"/>
      <c r="Y673" s="272"/>
      <c r="Z673" s="272"/>
      <c r="AA673" s="272"/>
      <c r="AB673" s="272"/>
      <c r="AC673" s="272"/>
      <c r="AD673" s="272"/>
      <c r="AE673" s="272"/>
    </row>
    <row r="674" spans="15:31">
      <c r="O674" s="272"/>
      <c r="P674" s="272"/>
      <c r="Q674" s="272"/>
      <c r="R674" s="272"/>
      <c r="S674" s="272"/>
      <c r="T674" s="272"/>
      <c r="U674" s="272"/>
      <c r="V674" s="272"/>
      <c r="W674" s="272"/>
      <c r="X674" s="272"/>
      <c r="Y674" s="272"/>
      <c r="Z674" s="272"/>
      <c r="AA674" s="272"/>
      <c r="AB674" s="272"/>
      <c r="AC674" s="272"/>
      <c r="AD674" s="272"/>
      <c r="AE674" s="272"/>
    </row>
    <row r="675" spans="15:31">
      <c r="O675" s="272"/>
      <c r="P675" s="272"/>
      <c r="Q675" s="272"/>
      <c r="R675" s="272"/>
      <c r="S675" s="272"/>
      <c r="T675" s="272"/>
      <c r="U675" s="272"/>
      <c r="V675" s="272"/>
      <c r="W675" s="272"/>
      <c r="X675" s="272"/>
      <c r="Y675" s="272"/>
      <c r="Z675" s="272"/>
      <c r="AA675" s="272"/>
      <c r="AB675" s="272"/>
      <c r="AC675" s="272"/>
      <c r="AD675" s="272"/>
      <c r="AE675" s="272"/>
    </row>
    <row r="676" spans="15:31">
      <c r="O676" s="272"/>
      <c r="P676" s="272"/>
      <c r="Q676" s="272"/>
      <c r="R676" s="272"/>
      <c r="S676" s="272"/>
      <c r="T676" s="272"/>
      <c r="U676" s="272"/>
      <c r="V676" s="272"/>
      <c r="W676" s="272"/>
      <c r="X676" s="272"/>
      <c r="Y676" s="272"/>
      <c r="Z676" s="272"/>
      <c r="AA676" s="272"/>
      <c r="AB676" s="272"/>
      <c r="AC676" s="272"/>
      <c r="AD676" s="272"/>
      <c r="AE676" s="272"/>
    </row>
    <row r="677" spans="15:31">
      <c r="O677" s="272"/>
      <c r="P677" s="272"/>
      <c r="Q677" s="272"/>
      <c r="R677" s="272"/>
      <c r="S677" s="272"/>
      <c r="T677" s="272"/>
      <c r="U677" s="272"/>
      <c r="V677" s="272"/>
      <c r="W677" s="272"/>
      <c r="X677" s="272"/>
      <c r="Y677" s="272"/>
      <c r="Z677" s="272"/>
      <c r="AA677" s="272"/>
      <c r="AB677" s="272"/>
      <c r="AC677" s="272"/>
      <c r="AD677" s="272"/>
      <c r="AE677" s="272"/>
    </row>
    <row r="678" spans="15:31">
      <c r="O678" s="272"/>
      <c r="P678" s="272"/>
      <c r="Q678" s="272"/>
      <c r="R678" s="272"/>
      <c r="S678" s="272"/>
      <c r="T678" s="272"/>
      <c r="U678" s="272"/>
      <c r="V678" s="272"/>
      <c r="W678" s="272"/>
      <c r="X678" s="272"/>
      <c r="Y678" s="272"/>
      <c r="Z678" s="272"/>
      <c r="AA678" s="272"/>
      <c r="AB678" s="272"/>
      <c r="AC678" s="272"/>
      <c r="AD678" s="272"/>
      <c r="AE678" s="272"/>
    </row>
    <row r="679" spans="15:31">
      <c r="O679" s="272"/>
      <c r="P679" s="272"/>
      <c r="Q679" s="272"/>
      <c r="R679" s="272"/>
      <c r="S679" s="272"/>
      <c r="T679" s="272"/>
      <c r="U679" s="272"/>
      <c r="V679" s="272"/>
      <c r="W679" s="272"/>
      <c r="X679" s="272"/>
      <c r="Y679" s="272"/>
      <c r="Z679" s="272"/>
      <c r="AA679" s="272"/>
      <c r="AB679" s="272"/>
      <c r="AC679" s="272"/>
      <c r="AD679" s="272"/>
      <c r="AE679" s="272"/>
    </row>
    <row r="680" spans="15:31">
      <c r="O680" s="272"/>
      <c r="P680" s="272"/>
      <c r="Q680" s="272"/>
      <c r="R680" s="272"/>
      <c r="S680" s="272"/>
      <c r="T680" s="272"/>
      <c r="U680" s="272"/>
      <c r="V680" s="272"/>
      <c r="W680" s="272"/>
      <c r="X680" s="272"/>
      <c r="Y680" s="272"/>
      <c r="Z680" s="272"/>
      <c r="AA680" s="272"/>
      <c r="AB680" s="272"/>
      <c r="AC680" s="272"/>
      <c r="AD680" s="272"/>
      <c r="AE680" s="272"/>
    </row>
    <row r="681" spans="15:31">
      <c r="O681" s="272"/>
      <c r="P681" s="272"/>
      <c r="Q681" s="272"/>
      <c r="R681" s="272"/>
      <c r="S681" s="272"/>
      <c r="T681" s="272"/>
      <c r="U681" s="272"/>
      <c r="V681" s="272"/>
      <c r="W681" s="272"/>
      <c r="X681" s="272"/>
      <c r="Y681" s="272"/>
      <c r="Z681" s="272"/>
      <c r="AA681" s="272"/>
      <c r="AB681" s="272"/>
      <c r="AC681" s="272"/>
      <c r="AD681" s="272"/>
      <c r="AE681" s="272"/>
    </row>
    <row r="682" spans="15:31">
      <c r="O682" s="272"/>
      <c r="P682" s="272"/>
      <c r="Q682" s="272"/>
      <c r="R682" s="272"/>
      <c r="S682" s="272"/>
      <c r="T682" s="272"/>
      <c r="U682" s="272"/>
      <c r="V682" s="272"/>
      <c r="W682" s="272"/>
      <c r="X682" s="272"/>
      <c r="Y682" s="272"/>
      <c r="Z682" s="272"/>
      <c r="AA682" s="272"/>
      <c r="AB682" s="272"/>
      <c r="AC682" s="272"/>
      <c r="AD682" s="272"/>
      <c r="AE682" s="272"/>
    </row>
    <row r="683" spans="15:31">
      <c r="O683" s="272"/>
      <c r="P683" s="272"/>
      <c r="Q683" s="272"/>
      <c r="R683" s="272"/>
      <c r="S683" s="272"/>
      <c r="T683" s="272"/>
      <c r="U683" s="272"/>
      <c r="V683" s="272"/>
      <c r="W683" s="272"/>
      <c r="X683" s="272"/>
      <c r="Y683" s="272"/>
      <c r="Z683" s="272"/>
      <c r="AA683" s="272"/>
      <c r="AB683" s="272"/>
      <c r="AC683" s="272"/>
      <c r="AD683" s="272"/>
      <c r="AE683" s="272"/>
    </row>
    <row r="684" spans="15:31">
      <c r="O684" s="272"/>
      <c r="P684" s="272"/>
      <c r="Q684" s="272"/>
      <c r="R684" s="272"/>
      <c r="S684" s="272"/>
      <c r="T684" s="272"/>
      <c r="U684" s="272"/>
      <c r="V684" s="272"/>
      <c r="W684" s="272"/>
      <c r="X684" s="272"/>
      <c r="Y684" s="272"/>
      <c r="Z684" s="272"/>
      <c r="AA684" s="272"/>
      <c r="AB684" s="272"/>
      <c r="AC684" s="272"/>
      <c r="AD684" s="272"/>
      <c r="AE684" s="272"/>
    </row>
    <row r="685" spans="15:31">
      <c r="O685" s="272"/>
      <c r="P685" s="272"/>
      <c r="Q685" s="272"/>
      <c r="R685" s="272"/>
      <c r="S685" s="272"/>
      <c r="T685" s="272"/>
      <c r="U685" s="272"/>
      <c r="V685" s="272"/>
      <c r="W685" s="272"/>
      <c r="X685" s="272"/>
      <c r="Y685" s="272"/>
      <c r="Z685" s="272"/>
      <c r="AA685" s="272"/>
      <c r="AB685" s="272"/>
      <c r="AC685" s="272"/>
      <c r="AD685" s="272"/>
      <c r="AE685" s="272"/>
    </row>
    <row r="686" spans="15:31">
      <c r="O686" s="272"/>
      <c r="P686" s="272"/>
      <c r="Q686" s="272"/>
      <c r="R686" s="272"/>
      <c r="S686" s="272"/>
      <c r="T686" s="272"/>
      <c r="U686" s="272"/>
      <c r="V686" s="272"/>
      <c r="W686" s="272"/>
      <c r="X686" s="272"/>
      <c r="Y686" s="272"/>
      <c r="Z686" s="272"/>
      <c r="AA686" s="272"/>
      <c r="AB686" s="272"/>
      <c r="AC686" s="272"/>
      <c r="AD686" s="272"/>
      <c r="AE686" s="272"/>
    </row>
    <row r="687" spans="15:31">
      <c r="O687" s="272"/>
      <c r="P687" s="272"/>
      <c r="Q687" s="272"/>
      <c r="R687" s="272"/>
      <c r="S687" s="272"/>
      <c r="T687" s="272"/>
      <c r="U687" s="272"/>
      <c r="V687" s="272"/>
      <c r="W687" s="272"/>
      <c r="X687" s="272"/>
      <c r="Y687" s="272"/>
      <c r="Z687" s="272"/>
      <c r="AA687" s="272"/>
      <c r="AB687" s="272"/>
      <c r="AC687" s="272"/>
      <c r="AD687" s="272"/>
      <c r="AE687" s="272"/>
    </row>
    <row r="688" spans="15:31">
      <c r="O688" s="272"/>
      <c r="P688" s="272"/>
      <c r="Q688" s="272"/>
      <c r="R688" s="272"/>
      <c r="S688" s="272"/>
      <c r="T688" s="272"/>
      <c r="U688" s="272"/>
      <c r="V688" s="272"/>
      <c r="W688" s="272"/>
      <c r="X688" s="272"/>
      <c r="Y688" s="272"/>
      <c r="Z688" s="272"/>
      <c r="AA688" s="272"/>
      <c r="AB688" s="272"/>
      <c r="AC688" s="272"/>
      <c r="AD688" s="272"/>
      <c r="AE688" s="272"/>
    </row>
    <row r="689" spans="15:31">
      <c r="O689" s="272"/>
      <c r="P689" s="272"/>
      <c r="Q689" s="272"/>
      <c r="R689" s="272"/>
      <c r="S689" s="272"/>
      <c r="T689" s="272"/>
      <c r="U689" s="272"/>
      <c r="V689" s="272"/>
      <c r="W689" s="272"/>
      <c r="X689" s="272"/>
      <c r="Y689" s="272"/>
      <c r="Z689" s="272"/>
      <c r="AA689" s="272"/>
      <c r="AB689" s="272"/>
      <c r="AC689" s="272"/>
      <c r="AD689" s="272"/>
      <c r="AE689" s="272"/>
    </row>
    <row r="690" spans="15:31">
      <c r="O690" s="272"/>
      <c r="P690" s="272"/>
      <c r="Q690" s="272"/>
      <c r="R690" s="272"/>
      <c r="S690" s="272"/>
      <c r="T690" s="272"/>
      <c r="U690" s="272"/>
      <c r="V690" s="272"/>
      <c r="W690" s="272"/>
      <c r="X690" s="272"/>
      <c r="Y690" s="272"/>
      <c r="Z690" s="272"/>
      <c r="AA690" s="272"/>
      <c r="AB690" s="272"/>
      <c r="AC690" s="272"/>
      <c r="AD690" s="272"/>
      <c r="AE690" s="272"/>
    </row>
    <row r="691" spans="15:31">
      <c r="O691" s="272"/>
      <c r="P691" s="272"/>
      <c r="Q691" s="272"/>
      <c r="R691" s="272"/>
      <c r="S691" s="272"/>
      <c r="T691" s="272"/>
      <c r="U691" s="272"/>
      <c r="V691" s="272"/>
      <c r="W691" s="272"/>
      <c r="X691" s="272"/>
      <c r="Y691" s="272"/>
      <c r="Z691" s="272"/>
      <c r="AA691" s="272"/>
      <c r="AB691" s="272"/>
      <c r="AC691" s="272"/>
      <c r="AD691" s="272"/>
      <c r="AE691" s="272"/>
    </row>
    <row r="692" spans="15:31">
      <c r="O692" s="272"/>
      <c r="P692" s="272"/>
      <c r="Q692" s="272"/>
      <c r="R692" s="272"/>
      <c r="S692" s="272"/>
      <c r="T692" s="272"/>
      <c r="U692" s="272"/>
      <c r="V692" s="272"/>
      <c r="W692" s="272"/>
      <c r="X692" s="272"/>
      <c r="Y692" s="272"/>
      <c r="Z692" s="272"/>
      <c r="AA692" s="272"/>
      <c r="AB692" s="272"/>
      <c r="AC692" s="272"/>
      <c r="AD692" s="272"/>
      <c r="AE692" s="272"/>
    </row>
    <row r="693" spans="15:31">
      <c r="O693" s="272"/>
      <c r="P693" s="272"/>
      <c r="Q693" s="272"/>
      <c r="R693" s="272"/>
      <c r="S693" s="272"/>
      <c r="T693" s="272"/>
      <c r="U693" s="272"/>
      <c r="V693" s="272"/>
      <c r="W693" s="272"/>
      <c r="X693" s="272"/>
      <c r="Y693" s="272"/>
      <c r="Z693" s="272"/>
      <c r="AA693" s="272"/>
      <c r="AB693" s="272"/>
      <c r="AC693" s="272"/>
      <c r="AD693" s="272"/>
      <c r="AE693" s="272"/>
    </row>
    <row r="694" spans="15:31">
      <c r="O694" s="272"/>
      <c r="P694" s="272"/>
      <c r="Q694" s="272"/>
      <c r="R694" s="272"/>
      <c r="S694" s="272"/>
      <c r="T694" s="272"/>
      <c r="U694" s="272"/>
      <c r="V694" s="272"/>
      <c r="W694" s="272"/>
      <c r="X694" s="272"/>
      <c r="Y694" s="272"/>
      <c r="Z694" s="272"/>
      <c r="AA694" s="272"/>
      <c r="AB694" s="272"/>
      <c r="AC694" s="272"/>
      <c r="AD694" s="272"/>
      <c r="AE694" s="272"/>
    </row>
    <row r="695" spans="15:31">
      <c r="O695" s="272"/>
      <c r="P695" s="272"/>
      <c r="Q695" s="272"/>
      <c r="R695" s="272"/>
      <c r="S695" s="272"/>
      <c r="T695" s="272"/>
      <c r="U695" s="272"/>
      <c r="V695" s="272"/>
      <c r="W695" s="272"/>
      <c r="X695" s="272"/>
      <c r="Y695" s="272"/>
      <c r="Z695" s="272"/>
      <c r="AA695" s="272"/>
      <c r="AB695" s="272"/>
      <c r="AC695" s="272"/>
      <c r="AD695" s="272"/>
      <c r="AE695" s="272"/>
    </row>
    <row r="696" spans="15:31">
      <c r="O696" s="272"/>
      <c r="P696" s="272"/>
      <c r="Q696" s="272"/>
      <c r="R696" s="272"/>
      <c r="S696" s="272"/>
      <c r="T696" s="272"/>
      <c r="U696" s="272"/>
      <c r="V696" s="272"/>
      <c r="W696" s="272"/>
      <c r="X696" s="272"/>
      <c r="Y696" s="272"/>
      <c r="Z696" s="272"/>
      <c r="AA696" s="272"/>
      <c r="AB696" s="272"/>
      <c r="AC696" s="272"/>
      <c r="AD696" s="272"/>
      <c r="AE696" s="272"/>
    </row>
    <row r="697" spans="15:31">
      <c r="O697" s="272"/>
      <c r="P697" s="272"/>
      <c r="Q697" s="272"/>
      <c r="R697" s="272"/>
      <c r="S697" s="272"/>
      <c r="T697" s="272"/>
      <c r="U697" s="272"/>
      <c r="V697" s="272"/>
      <c r="W697" s="272"/>
      <c r="X697" s="272"/>
      <c r="Y697" s="272"/>
      <c r="Z697" s="272"/>
      <c r="AA697" s="272"/>
      <c r="AB697" s="272"/>
      <c r="AC697" s="272"/>
      <c r="AD697" s="272"/>
      <c r="AE697" s="272"/>
    </row>
    <row r="698" spans="15:31">
      <c r="O698" s="272"/>
      <c r="P698" s="272"/>
      <c r="Q698" s="272"/>
      <c r="R698" s="272"/>
      <c r="S698" s="272"/>
      <c r="T698" s="272"/>
      <c r="U698" s="272"/>
      <c r="V698" s="272"/>
      <c r="W698" s="272"/>
      <c r="X698" s="272"/>
      <c r="Y698" s="272"/>
      <c r="Z698" s="272"/>
      <c r="AA698" s="272"/>
      <c r="AB698" s="272"/>
      <c r="AC698" s="272"/>
      <c r="AD698" s="272"/>
      <c r="AE698" s="272"/>
    </row>
    <row r="699" spans="15:31">
      <c r="O699" s="272"/>
      <c r="P699" s="272"/>
      <c r="Q699" s="272"/>
      <c r="R699" s="272"/>
      <c r="S699" s="272"/>
      <c r="T699" s="272"/>
      <c r="U699" s="272"/>
      <c r="V699" s="272"/>
      <c r="W699" s="272"/>
      <c r="X699" s="272"/>
      <c r="Y699" s="272"/>
      <c r="Z699" s="272"/>
      <c r="AA699" s="272"/>
      <c r="AB699" s="272"/>
      <c r="AC699" s="272"/>
      <c r="AD699" s="272"/>
      <c r="AE699" s="272"/>
    </row>
    <row r="700" spans="15:31">
      <c r="O700" s="272"/>
      <c r="P700" s="272"/>
      <c r="Q700" s="272"/>
      <c r="R700" s="272"/>
      <c r="S700" s="272"/>
      <c r="T700" s="272"/>
      <c r="U700" s="272"/>
      <c r="V700" s="272"/>
      <c r="W700" s="272"/>
      <c r="X700" s="272"/>
      <c r="Y700" s="272"/>
      <c r="Z700" s="272"/>
      <c r="AA700" s="272"/>
      <c r="AB700" s="272"/>
      <c r="AC700" s="272"/>
      <c r="AD700" s="272"/>
      <c r="AE700" s="272"/>
    </row>
    <row r="701" spans="15:31">
      <c r="O701" s="272"/>
      <c r="P701" s="272"/>
      <c r="Q701" s="272"/>
      <c r="R701" s="272"/>
      <c r="S701" s="272"/>
      <c r="T701" s="272"/>
      <c r="U701" s="272"/>
      <c r="V701" s="272"/>
      <c r="W701" s="272"/>
      <c r="X701" s="272"/>
      <c r="Y701" s="272"/>
      <c r="Z701" s="272"/>
      <c r="AA701" s="272"/>
      <c r="AB701" s="272"/>
      <c r="AC701" s="272"/>
      <c r="AD701" s="272"/>
      <c r="AE701" s="272"/>
    </row>
    <row r="702" spans="15:31">
      <c r="O702" s="272"/>
      <c r="P702" s="272"/>
      <c r="Q702" s="272"/>
      <c r="R702" s="272"/>
      <c r="S702" s="272"/>
      <c r="T702" s="272"/>
      <c r="U702" s="272"/>
      <c r="V702" s="272"/>
      <c r="W702" s="272"/>
      <c r="X702" s="272"/>
      <c r="Y702" s="272"/>
      <c r="Z702" s="272"/>
      <c r="AA702" s="272"/>
      <c r="AB702" s="272"/>
      <c r="AC702" s="272"/>
      <c r="AD702" s="272"/>
      <c r="AE702" s="272"/>
    </row>
    <row r="703" spans="15:31">
      <c r="O703" s="272"/>
      <c r="P703" s="272"/>
      <c r="Q703" s="272"/>
      <c r="R703" s="272"/>
      <c r="S703" s="272"/>
      <c r="T703" s="272"/>
      <c r="U703" s="272"/>
      <c r="V703" s="272"/>
      <c r="W703" s="272"/>
      <c r="X703" s="272"/>
      <c r="Y703" s="272"/>
      <c r="Z703" s="272"/>
      <c r="AA703" s="272"/>
      <c r="AB703" s="272"/>
      <c r="AC703" s="272"/>
      <c r="AD703" s="272"/>
      <c r="AE703" s="272"/>
    </row>
    <row r="704" spans="15:31">
      <c r="O704" s="272"/>
      <c r="P704" s="272"/>
      <c r="Q704" s="272"/>
      <c r="R704" s="272"/>
      <c r="S704" s="272"/>
      <c r="T704" s="272"/>
      <c r="U704" s="272"/>
      <c r="V704" s="272"/>
      <c r="W704" s="272"/>
      <c r="X704" s="272"/>
      <c r="Y704" s="272"/>
      <c r="Z704" s="272"/>
      <c r="AA704" s="272"/>
      <c r="AB704" s="272"/>
      <c r="AC704" s="272"/>
      <c r="AD704" s="272"/>
      <c r="AE704" s="272"/>
    </row>
    <row r="705" spans="15:31">
      <c r="O705" s="272"/>
      <c r="P705" s="272"/>
      <c r="Q705" s="272"/>
      <c r="R705" s="272"/>
      <c r="S705" s="272"/>
      <c r="T705" s="272"/>
      <c r="U705" s="272"/>
      <c r="V705" s="272"/>
      <c r="W705" s="272"/>
      <c r="X705" s="272"/>
      <c r="Y705" s="272"/>
      <c r="Z705" s="272"/>
      <c r="AA705" s="272"/>
      <c r="AB705" s="272"/>
      <c r="AC705" s="272"/>
      <c r="AD705" s="272"/>
      <c r="AE705" s="272"/>
    </row>
    <row r="706" spans="15:31">
      <c r="O706" s="272"/>
      <c r="P706" s="272"/>
      <c r="Q706" s="272"/>
      <c r="R706" s="272"/>
      <c r="S706" s="272"/>
      <c r="T706" s="272"/>
      <c r="U706" s="272"/>
      <c r="V706" s="272"/>
      <c r="W706" s="272"/>
      <c r="X706" s="272"/>
      <c r="Y706" s="272"/>
      <c r="Z706" s="272"/>
      <c r="AA706" s="272"/>
      <c r="AB706" s="272"/>
      <c r="AC706" s="272"/>
      <c r="AD706" s="272"/>
      <c r="AE706" s="272"/>
    </row>
    <row r="707" spans="15:31">
      <c r="O707" s="272"/>
      <c r="P707" s="272"/>
      <c r="Q707" s="272"/>
      <c r="R707" s="272"/>
      <c r="S707" s="272"/>
      <c r="T707" s="272"/>
      <c r="U707" s="272"/>
      <c r="V707" s="272"/>
      <c r="W707" s="272"/>
      <c r="X707" s="272"/>
      <c r="Y707" s="272"/>
      <c r="Z707" s="272"/>
      <c r="AA707" s="272"/>
      <c r="AB707" s="272"/>
      <c r="AC707" s="272"/>
      <c r="AD707" s="272"/>
      <c r="AE707" s="272"/>
    </row>
    <row r="708" spans="15:31">
      <c r="O708" s="272"/>
      <c r="P708" s="272"/>
      <c r="Q708" s="272"/>
      <c r="R708" s="272"/>
      <c r="S708" s="272"/>
      <c r="T708" s="272"/>
      <c r="U708" s="272"/>
      <c r="V708" s="272"/>
      <c r="W708" s="272"/>
      <c r="X708" s="272"/>
      <c r="Y708" s="272"/>
      <c r="Z708" s="272"/>
      <c r="AA708" s="272"/>
      <c r="AB708" s="272"/>
      <c r="AC708" s="272"/>
      <c r="AD708" s="272"/>
      <c r="AE708" s="272"/>
    </row>
    <row r="709" spans="15:31">
      <c r="O709" s="272"/>
      <c r="P709" s="272"/>
      <c r="Q709" s="272"/>
      <c r="R709" s="272"/>
      <c r="S709" s="272"/>
      <c r="T709" s="272"/>
      <c r="U709" s="272"/>
      <c r="V709" s="272"/>
      <c r="W709" s="272"/>
      <c r="X709" s="272"/>
      <c r="Y709" s="272"/>
      <c r="Z709" s="272"/>
      <c r="AA709" s="272"/>
      <c r="AB709" s="272"/>
      <c r="AC709" s="272"/>
      <c r="AD709" s="272"/>
      <c r="AE709" s="272"/>
    </row>
    <row r="710" spans="15:31">
      <c r="O710" s="272"/>
      <c r="P710" s="272"/>
      <c r="Q710" s="272"/>
      <c r="R710" s="272"/>
      <c r="S710" s="272"/>
      <c r="T710" s="272"/>
      <c r="U710" s="272"/>
      <c r="V710" s="272"/>
      <c r="W710" s="272"/>
      <c r="X710" s="272"/>
      <c r="Y710" s="272"/>
      <c r="Z710" s="272"/>
      <c r="AA710" s="272"/>
      <c r="AB710" s="272"/>
      <c r="AC710" s="272"/>
      <c r="AD710" s="272"/>
      <c r="AE710" s="272"/>
    </row>
    <row r="711" spans="15:31">
      <c r="O711" s="272"/>
      <c r="P711" s="272"/>
      <c r="Q711" s="272"/>
      <c r="R711" s="272"/>
      <c r="S711" s="272"/>
      <c r="T711" s="272"/>
      <c r="U711" s="272"/>
      <c r="V711" s="272"/>
      <c r="W711" s="272"/>
      <c r="X711" s="272"/>
      <c r="Y711" s="272"/>
      <c r="Z711" s="272"/>
      <c r="AA711" s="272"/>
      <c r="AB711" s="272"/>
      <c r="AC711" s="272"/>
      <c r="AD711" s="272"/>
      <c r="AE711" s="272"/>
    </row>
    <row r="712" spans="15:31">
      <c r="O712" s="272"/>
      <c r="P712" s="272"/>
      <c r="Q712" s="272"/>
      <c r="R712" s="272"/>
      <c r="S712" s="272"/>
      <c r="T712" s="272"/>
      <c r="U712" s="272"/>
      <c r="V712" s="272"/>
      <c r="W712" s="272"/>
      <c r="X712" s="272"/>
      <c r="Y712" s="272"/>
      <c r="Z712" s="272"/>
      <c r="AA712" s="272"/>
      <c r="AB712" s="272"/>
      <c r="AC712" s="272"/>
      <c r="AD712" s="272"/>
      <c r="AE712" s="272"/>
    </row>
    <row r="713" spans="15:31">
      <c r="O713" s="272"/>
      <c r="P713" s="272"/>
      <c r="Q713" s="272"/>
      <c r="R713" s="272"/>
      <c r="S713" s="272"/>
      <c r="T713" s="272"/>
      <c r="U713" s="272"/>
      <c r="V713" s="272"/>
      <c r="W713" s="272"/>
      <c r="X713" s="272"/>
      <c r="Y713" s="272"/>
      <c r="Z713" s="272"/>
      <c r="AA713" s="272"/>
      <c r="AB713" s="272"/>
      <c r="AC713" s="272"/>
      <c r="AD713" s="272"/>
      <c r="AE713" s="272"/>
    </row>
    <row r="714" spans="15:31">
      <c r="O714" s="272"/>
      <c r="P714" s="272"/>
      <c r="Q714" s="272"/>
      <c r="R714" s="272"/>
      <c r="S714" s="272"/>
      <c r="T714" s="272"/>
      <c r="U714" s="272"/>
      <c r="V714" s="272"/>
      <c r="W714" s="272"/>
      <c r="X714" s="272"/>
      <c r="Y714" s="272"/>
      <c r="Z714" s="272"/>
      <c r="AA714" s="272"/>
      <c r="AB714" s="272"/>
      <c r="AC714" s="272"/>
      <c r="AD714" s="272"/>
      <c r="AE714" s="272"/>
    </row>
    <row r="715" spans="15:31">
      <c r="O715" s="272"/>
      <c r="P715" s="272"/>
      <c r="Q715" s="272"/>
      <c r="R715" s="272"/>
      <c r="S715" s="272"/>
      <c r="T715" s="272"/>
      <c r="U715" s="272"/>
      <c r="V715" s="272"/>
      <c r="W715" s="272"/>
      <c r="X715" s="272"/>
      <c r="Y715" s="272"/>
      <c r="Z715" s="272"/>
      <c r="AA715" s="272"/>
      <c r="AB715" s="272"/>
      <c r="AC715" s="272"/>
      <c r="AD715" s="272"/>
      <c r="AE715" s="272"/>
    </row>
    <row r="716" spans="15:31">
      <c r="O716" s="272"/>
      <c r="P716" s="272"/>
      <c r="Q716" s="272"/>
      <c r="R716" s="272"/>
      <c r="S716" s="272"/>
      <c r="T716" s="272"/>
      <c r="U716" s="272"/>
      <c r="V716" s="272"/>
      <c r="W716" s="272"/>
      <c r="X716" s="272"/>
      <c r="Y716" s="272"/>
      <c r="Z716" s="272"/>
      <c r="AA716" s="272"/>
      <c r="AB716" s="272"/>
      <c r="AC716" s="272"/>
      <c r="AD716" s="272"/>
      <c r="AE716" s="272"/>
    </row>
    <row r="717" spans="15:31">
      <c r="O717" s="272"/>
      <c r="P717" s="272"/>
      <c r="Q717" s="272"/>
      <c r="R717" s="272"/>
      <c r="S717" s="272"/>
      <c r="T717" s="272"/>
      <c r="U717" s="272"/>
      <c r="V717" s="272"/>
      <c r="W717" s="272"/>
      <c r="X717" s="272"/>
      <c r="Y717" s="272"/>
      <c r="Z717" s="272"/>
      <c r="AA717" s="272"/>
      <c r="AB717" s="272"/>
      <c r="AC717" s="272"/>
      <c r="AD717" s="272"/>
      <c r="AE717" s="272"/>
    </row>
    <row r="718" spans="15:31">
      <c r="O718" s="272"/>
      <c r="P718" s="272"/>
      <c r="Q718" s="272"/>
      <c r="R718" s="272"/>
      <c r="S718" s="272"/>
      <c r="T718" s="272"/>
      <c r="U718" s="272"/>
      <c r="V718" s="272"/>
      <c r="W718" s="272"/>
      <c r="X718" s="272"/>
      <c r="Y718" s="272"/>
      <c r="Z718" s="272"/>
      <c r="AA718" s="272"/>
      <c r="AB718" s="272"/>
      <c r="AC718" s="272"/>
      <c r="AD718" s="272"/>
      <c r="AE718" s="272"/>
    </row>
    <row r="719" spans="15:31">
      <c r="O719" s="272"/>
      <c r="P719" s="272"/>
      <c r="Q719" s="272"/>
      <c r="R719" s="272"/>
      <c r="S719" s="272"/>
      <c r="T719" s="272"/>
      <c r="U719" s="272"/>
      <c r="V719" s="272"/>
      <c r="W719" s="272"/>
      <c r="X719" s="272"/>
      <c r="Y719" s="272"/>
      <c r="Z719" s="272"/>
      <c r="AA719" s="272"/>
      <c r="AB719" s="272"/>
      <c r="AC719" s="272"/>
      <c r="AD719" s="272"/>
      <c r="AE719" s="272"/>
    </row>
    <row r="720" spans="15:31">
      <c r="O720" s="272"/>
      <c r="P720" s="272"/>
      <c r="Q720" s="272"/>
      <c r="R720" s="272"/>
      <c r="S720" s="272"/>
      <c r="T720" s="272"/>
      <c r="U720" s="272"/>
      <c r="V720" s="272"/>
      <c r="W720" s="272"/>
      <c r="X720" s="272"/>
      <c r="Y720" s="272"/>
      <c r="Z720" s="272"/>
      <c r="AA720" s="272"/>
      <c r="AB720" s="272"/>
      <c r="AC720" s="272"/>
      <c r="AD720" s="272"/>
      <c r="AE720" s="272"/>
    </row>
    <row r="721" spans="15:31">
      <c r="O721" s="272"/>
      <c r="P721" s="272"/>
      <c r="Q721" s="272"/>
      <c r="R721" s="272"/>
      <c r="S721" s="272"/>
      <c r="T721" s="272"/>
      <c r="U721" s="272"/>
      <c r="V721" s="272"/>
      <c r="W721" s="272"/>
      <c r="X721" s="272"/>
      <c r="Y721" s="272"/>
      <c r="Z721" s="272"/>
      <c r="AA721" s="272"/>
      <c r="AB721" s="272"/>
      <c r="AC721" s="272"/>
      <c r="AD721" s="272"/>
      <c r="AE721" s="272"/>
    </row>
    <row r="722" spans="15:31">
      <c r="O722" s="272"/>
      <c r="P722" s="272"/>
      <c r="Q722" s="272"/>
      <c r="R722" s="272"/>
      <c r="S722" s="272"/>
      <c r="T722" s="272"/>
      <c r="U722" s="272"/>
      <c r="V722" s="272"/>
      <c r="W722" s="272"/>
      <c r="X722" s="272"/>
      <c r="Y722" s="272"/>
      <c r="Z722" s="272"/>
      <c r="AA722" s="272"/>
      <c r="AB722" s="272"/>
      <c r="AC722" s="272"/>
      <c r="AD722" s="272"/>
      <c r="AE722" s="272"/>
    </row>
    <row r="723" spans="15:31">
      <c r="O723" s="272"/>
      <c r="P723" s="272"/>
      <c r="Q723" s="272"/>
      <c r="R723" s="272"/>
      <c r="S723" s="272"/>
      <c r="T723" s="272"/>
      <c r="U723" s="272"/>
      <c r="V723" s="272"/>
      <c r="W723" s="272"/>
      <c r="X723" s="272"/>
      <c r="Y723" s="272"/>
      <c r="Z723" s="272"/>
      <c r="AA723" s="272"/>
      <c r="AB723" s="272"/>
      <c r="AC723" s="272"/>
      <c r="AD723" s="272"/>
      <c r="AE723" s="272"/>
    </row>
    <row r="724" spans="15:31">
      <c r="O724" s="272"/>
      <c r="P724" s="272"/>
      <c r="Q724" s="272"/>
      <c r="R724" s="272"/>
      <c r="S724" s="272"/>
      <c r="T724" s="272"/>
      <c r="U724" s="272"/>
      <c r="V724" s="272"/>
      <c r="W724" s="272"/>
      <c r="X724" s="272"/>
      <c r="Y724" s="272"/>
      <c r="Z724" s="272"/>
      <c r="AA724" s="272"/>
      <c r="AB724" s="272"/>
      <c r="AC724" s="272"/>
      <c r="AD724" s="272"/>
      <c r="AE724" s="272"/>
    </row>
    <row r="725" spans="15:31">
      <c r="O725" s="272"/>
      <c r="P725" s="272"/>
      <c r="Q725" s="272"/>
      <c r="R725" s="272"/>
      <c r="S725" s="272"/>
      <c r="T725" s="272"/>
      <c r="U725" s="272"/>
      <c r="V725" s="272"/>
      <c r="W725" s="272"/>
      <c r="X725" s="272"/>
      <c r="Y725" s="272"/>
      <c r="Z725" s="272"/>
      <c r="AA725" s="272"/>
      <c r="AB725" s="272"/>
      <c r="AC725" s="272"/>
      <c r="AD725" s="272"/>
      <c r="AE725" s="272"/>
    </row>
    <row r="726" spans="15:31">
      <c r="O726" s="272"/>
      <c r="P726" s="272"/>
      <c r="Q726" s="272"/>
      <c r="R726" s="272"/>
      <c r="S726" s="272"/>
      <c r="T726" s="272"/>
      <c r="U726" s="272"/>
      <c r="V726" s="272"/>
      <c r="W726" s="272"/>
      <c r="X726" s="272"/>
      <c r="Y726" s="272"/>
      <c r="Z726" s="272"/>
      <c r="AA726" s="272"/>
      <c r="AB726" s="272"/>
      <c r="AC726" s="272"/>
      <c r="AD726" s="272"/>
      <c r="AE726" s="272"/>
    </row>
    <row r="727" spans="15:31">
      <c r="O727" s="272"/>
      <c r="P727" s="272"/>
      <c r="Q727" s="272"/>
      <c r="R727" s="272"/>
      <c r="S727" s="272"/>
      <c r="T727" s="272"/>
      <c r="U727" s="272"/>
      <c r="V727" s="272"/>
      <c r="W727" s="272"/>
      <c r="X727" s="272"/>
      <c r="Y727" s="272"/>
      <c r="Z727" s="272"/>
      <c r="AA727" s="272"/>
      <c r="AB727" s="272"/>
      <c r="AC727" s="272"/>
      <c r="AD727" s="272"/>
      <c r="AE727" s="272"/>
    </row>
    <row r="728" spans="15:31">
      <c r="O728" s="272"/>
      <c r="P728" s="272"/>
      <c r="Q728" s="272"/>
      <c r="R728" s="272"/>
      <c r="S728" s="272"/>
      <c r="T728" s="272"/>
      <c r="U728" s="272"/>
      <c r="V728" s="272"/>
      <c r="W728" s="272"/>
      <c r="X728" s="272"/>
      <c r="Y728" s="272"/>
      <c r="Z728" s="272"/>
      <c r="AA728" s="272"/>
      <c r="AB728" s="272"/>
      <c r="AC728" s="272"/>
      <c r="AD728" s="272"/>
      <c r="AE728" s="272"/>
    </row>
    <row r="729" spans="15:31">
      <c r="O729" s="272"/>
      <c r="P729" s="272"/>
      <c r="Q729" s="272"/>
      <c r="R729" s="272"/>
      <c r="S729" s="272"/>
      <c r="T729" s="272"/>
      <c r="U729" s="272"/>
      <c r="V729" s="272"/>
      <c r="W729" s="272"/>
      <c r="X729" s="272"/>
      <c r="Y729" s="272"/>
      <c r="Z729" s="272"/>
      <c r="AA729" s="272"/>
      <c r="AB729" s="272"/>
      <c r="AC729" s="272"/>
      <c r="AD729" s="272"/>
      <c r="AE729" s="272"/>
    </row>
    <row r="730" spans="15:31">
      <c r="O730" s="272"/>
      <c r="P730" s="272"/>
      <c r="Q730" s="272"/>
      <c r="R730" s="272"/>
      <c r="S730" s="272"/>
      <c r="T730" s="272"/>
      <c r="U730" s="272"/>
      <c r="V730" s="272"/>
      <c r="W730" s="272"/>
      <c r="X730" s="272"/>
      <c r="Y730" s="272"/>
      <c r="Z730" s="272"/>
      <c r="AA730" s="272"/>
      <c r="AB730" s="272"/>
      <c r="AC730" s="272"/>
      <c r="AD730" s="272"/>
      <c r="AE730" s="272"/>
    </row>
    <row r="731" spans="15:31">
      <c r="O731" s="272"/>
      <c r="P731" s="272"/>
      <c r="Q731" s="272"/>
      <c r="R731" s="272"/>
      <c r="S731" s="272"/>
      <c r="T731" s="272"/>
      <c r="U731" s="272"/>
      <c r="V731" s="272"/>
      <c r="W731" s="272"/>
      <c r="X731" s="272"/>
      <c r="Y731" s="272"/>
      <c r="Z731" s="272"/>
      <c r="AA731" s="272"/>
      <c r="AB731" s="272"/>
      <c r="AC731" s="272"/>
      <c r="AD731" s="272"/>
      <c r="AE731" s="272"/>
    </row>
    <row r="732" spans="15:31">
      <c r="O732" s="272"/>
      <c r="P732" s="272"/>
      <c r="Q732" s="272"/>
      <c r="R732" s="272"/>
      <c r="S732" s="272"/>
      <c r="T732" s="272"/>
      <c r="U732" s="272"/>
      <c r="V732" s="272"/>
      <c r="W732" s="272"/>
      <c r="X732" s="272"/>
      <c r="Y732" s="272"/>
      <c r="Z732" s="272"/>
      <c r="AA732" s="272"/>
      <c r="AB732" s="272"/>
      <c r="AC732" s="272"/>
      <c r="AD732" s="272"/>
      <c r="AE732" s="272"/>
    </row>
    <row r="733" spans="15:31">
      <c r="O733" s="272"/>
      <c r="P733" s="272"/>
      <c r="Q733" s="272"/>
      <c r="R733" s="272"/>
      <c r="S733" s="272"/>
      <c r="T733" s="272"/>
      <c r="U733" s="272"/>
      <c r="V733" s="272"/>
      <c r="W733" s="272"/>
      <c r="X733" s="272"/>
      <c r="Y733" s="272"/>
      <c r="Z733" s="272"/>
      <c r="AA733" s="272"/>
      <c r="AB733" s="272"/>
      <c r="AC733" s="272"/>
      <c r="AD733" s="272"/>
      <c r="AE733" s="272"/>
    </row>
    <row r="734" spans="15:31">
      <c r="O734" s="272"/>
      <c r="P734" s="272"/>
      <c r="Q734" s="272"/>
      <c r="R734" s="272"/>
      <c r="S734" s="272"/>
      <c r="T734" s="272"/>
      <c r="U734" s="272"/>
      <c r="V734" s="272"/>
      <c r="W734" s="272"/>
      <c r="X734" s="272"/>
      <c r="Y734" s="272"/>
      <c r="Z734" s="272"/>
      <c r="AA734" s="272"/>
      <c r="AB734" s="272"/>
      <c r="AC734" s="272"/>
      <c r="AD734" s="272"/>
      <c r="AE734" s="272"/>
    </row>
    <row r="735" spans="15:31">
      <c r="O735" s="272"/>
      <c r="P735" s="272"/>
      <c r="Q735" s="272"/>
      <c r="R735" s="272"/>
      <c r="S735" s="272"/>
      <c r="T735" s="272"/>
      <c r="U735" s="272"/>
      <c r="V735" s="272"/>
      <c r="W735" s="272"/>
      <c r="X735" s="272"/>
      <c r="Y735" s="272"/>
      <c r="Z735" s="272"/>
      <c r="AA735" s="272"/>
      <c r="AB735" s="272"/>
      <c r="AC735" s="272"/>
      <c r="AD735" s="272"/>
      <c r="AE735" s="272"/>
    </row>
    <row r="736" spans="15:31">
      <c r="O736" s="272"/>
      <c r="P736" s="272"/>
      <c r="Q736" s="272"/>
      <c r="R736" s="272"/>
      <c r="S736" s="272"/>
      <c r="T736" s="272"/>
      <c r="U736" s="272"/>
      <c r="V736" s="272"/>
      <c r="W736" s="272"/>
      <c r="X736" s="272"/>
      <c r="Y736" s="272"/>
      <c r="Z736" s="272"/>
      <c r="AA736" s="272"/>
      <c r="AB736" s="272"/>
      <c r="AC736" s="272"/>
      <c r="AD736" s="272"/>
      <c r="AE736" s="272"/>
    </row>
    <row r="737" spans="15:31">
      <c r="O737" s="272"/>
      <c r="P737" s="272"/>
      <c r="Q737" s="272"/>
      <c r="R737" s="272"/>
      <c r="S737" s="272"/>
      <c r="T737" s="272"/>
      <c r="U737" s="272"/>
      <c r="V737" s="272"/>
      <c r="W737" s="272"/>
      <c r="X737" s="272"/>
      <c r="Y737" s="272"/>
      <c r="Z737" s="272"/>
      <c r="AA737" s="272"/>
      <c r="AB737" s="272"/>
      <c r="AC737" s="272"/>
      <c r="AD737" s="272"/>
      <c r="AE737" s="272"/>
    </row>
    <row r="738" spans="15:31">
      <c r="O738" s="272"/>
      <c r="P738" s="272"/>
      <c r="Q738" s="272"/>
      <c r="R738" s="272"/>
      <c r="S738" s="272"/>
      <c r="T738" s="272"/>
      <c r="U738" s="272"/>
      <c r="V738" s="272"/>
      <c r="W738" s="272"/>
      <c r="X738" s="272"/>
      <c r="Y738" s="272"/>
      <c r="Z738" s="272"/>
      <c r="AA738" s="272"/>
      <c r="AB738" s="272"/>
      <c r="AC738" s="272"/>
      <c r="AD738" s="272"/>
      <c r="AE738" s="272"/>
    </row>
    <row r="739" spans="15:31">
      <c r="O739" s="272"/>
      <c r="P739" s="272"/>
      <c r="Q739" s="272"/>
      <c r="R739" s="272"/>
      <c r="S739" s="272"/>
      <c r="T739" s="272"/>
      <c r="U739" s="272"/>
      <c r="V739" s="272"/>
      <c r="W739" s="272"/>
      <c r="X739" s="272"/>
      <c r="Y739" s="272"/>
      <c r="Z739" s="272"/>
      <c r="AA739" s="272"/>
      <c r="AB739" s="272"/>
      <c r="AC739" s="272"/>
      <c r="AD739" s="272"/>
      <c r="AE739" s="272"/>
    </row>
    <row r="740" spans="15:31">
      <c r="O740" s="272"/>
      <c r="P740" s="272"/>
      <c r="Q740" s="272"/>
      <c r="R740" s="272"/>
      <c r="S740" s="272"/>
      <c r="T740" s="272"/>
      <c r="U740" s="272"/>
      <c r="V740" s="272"/>
      <c r="W740" s="272"/>
      <c r="X740" s="272"/>
      <c r="Y740" s="272"/>
      <c r="Z740" s="272"/>
      <c r="AA740" s="272"/>
      <c r="AB740" s="272"/>
      <c r="AC740" s="272"/>
      <c r="AD740" s="272"/>
      <c r="AE740" s="272"/>
    </row>
    <row r="741" spans="15:31">
      <c r="O741" s="272"/>
      <c r="P741" s="272"/>
      <c r="Q741" s="272"/>
      <c r="R741" s="272"/>
      <c r="S741" s="272"/>
      <c r="T741" s="272"/>
      <c r="U741" s="272"/>
      <c r="V741" s="272"/>
      <c r="W741" s="272"/>
      <c r="X741" s="272"/>
      <c r="Y741" s="272"/>
      <c r="Z741" s="272"/>
      <c r="AA741" s="272"/>
      <c r="AB741" s="272"/>
      <c r="AC741" s="272"/>
      <c r="AD741" s="272"/>
      <c r="AE741" s="272"/>
    </row>
    <row r="742" spans="15:31">
      <c r="O742" s="272"/>
      <c r="P742" s="272"/>
      <c r="Q742" s="272"/>
      <c r="R742" s="272"/>
      <c r="S742" s="272"/>
      <c r="T742" s="272"/>
      <c r="U742" s="272"/>
      <c r="V742" s="272"/>
      <c r="W742" s="272"/>
      <c r="X742" s="272"/>
      <c r="Y742" s="272"/>
      <c r="Z742" s="272"/>
      <c r="AA742" s="272"/>
      <c r="AB742" s="272"/>
      <c r="AC742" s="272"/>
      <c r="AD742" s="272"/>
      <c r="AE742" s="272"/>
    </row>
    <row r="743" spans="15:31">
      <c r="O743" s="272"/>
      <c r="P743" s="272"/>
      <c r="Q743" s="272"/>
      <c r="R743" s="272"/>
      <c r="S743" s="272"/>
      <c r="T743" s="272"/>
      <c r="U743" s="272"/>
      <c r="V743" s="272"/>
      <c r="W743" s="272"/>
      <c r="X743" s="272"/>
      <c r="Y743" s="272"/>
      <c r="Z743" s="272"/>
      <c r="AA743" s="272"/>
      <c r="AB743" s="272"/>
      <c r="AC743" s="272"/>
      <c r="AD743" s="272"/>
      <c r="AE743" s="272"/>
    </row>
    <row r="744" spans="15:31">
      <c r="O744" s="272"/>
      <c r="P744" s="272"/>
      <c r="Q744" s="272"/>
      <c r="R744" s="272"/>
      <c r="S744" s="272"/>
      <c r="T744" s="272"/>
      <c r="U744" s="272"/>
      <c r="V744" s="272"/>
      <c r="W744" s="272"/>
      <c r="X744" s="272"/>
      <c r="Y744" s="272"/>
      <c r="Z744" s="272"/>
      <c r="AA744" s="272"/>
      <c r="AB744" s="272"/>
      <c r="AC744" s="272"/>
      <c r="AD744" s="272"/>
      <c r="AE744" s="272"/>
    </row>
    <row r="745" spans="15:31">
      <c r="O745" s="272"/>
      <c r="P745" s="272"/>
      <c r="Q745" s="272"/>
      <c r="R745" s="272"/>
      <c r="S745" s="272"/>
      <c r="T745" s="272"/>
      <c r="U745" s="272"/>
      <c r="V745" s="272"/>
      <c r="W745" s="272"/>
      <c r="X745" s="272"/>
      <c r="Y745" s="272"/>
      <c r="Z745" s="272"/>
      <c r="AA745" s="272"/>
      <c r="AB745" s="272"/>
      <c r="AC745" s="272"/>
      <c r="AD745" s="272"/>
      <c r="AE745" s="272"/>
    </row>
    <row r="746" spans="15:31">
      <c r="O746" s="272"/>
      <c r="P746" s="272"/>
      <c r="Q746" s="272"/>
      <c r="R746" s="272"/>
      <c r="S746" s="272"/>
      <c r="T746" s="272"/>
      <c r="U746" s="272"/>
      <c r="V746" s="272"/>
      <c r="W746" s="272"/>
      <c r="X746" s="272"/>
      <c r="Y746" s="272"/>
      <c r="Z746" s="272"/>
      <c r="AA746" s="272"/>
      <c r="AB746" s="272"/>
      <c r="AC746" s="272"/>
      <c r="AD746" s="272"/>
      <c r="AE746" s="272"/>
    </row>
    <row r="747" spans="15:31">
      <c r="O747" s="272"/>
      <c r="P747" s="272"/>
      <c r="Q747" s="272"/>
      <c r="R747" s="272"/>
      <c r="S747" s="272"/>
      <c r="T747" s="272"/>
      <c r="U747" s="272"/>
      <c r="V747" s="272"/>
      <c r="W747" s="272"/>
      <c r="X747" s="272"/>
      <c r="Y747" s="272"/>
      <c r="Z747" s="272"/>
      <c r="AA747" s="272"/>
      <c r="AB747" s="272"/>
      <c r="AC747" s="272"/>
      <c r="AD747" s="272"/>
      <c r="AE747" s="272"/>
    </row>
    <row r="748" spans="15:31">
      <c r="O748" s="272"/>
      <c r="P748" s="272"/>
      <c r="Q748" s="272"/>
      <c r="R748" s="272"/>
      <c r="S748" s="272"/>
      <c r="T748" s="272"/>
      <c r="U748" s="272"/>
      <c r="V748" s="272"/>
      <c r="W748" s="272"/>
      <c r="X748" s="272"/>
      <c r="Y748" s="272"/>
      <c r="Z748" s="272"/>
      <c r="AA748" s="272"/>
      <c r="AB748" s="272"/>
      <c r="AC748" s="272"/>
      <c r="AD748" s="272"/>
      <c r="AE748" s="272"/>
    </row>
    <row r="749" spans="15:31">
      <c r="O749" s="272"/>
      <c r="P749" s="272"/>
      <c r="Q749" s="272"/>
      <c r="R749" s="272"/>
      <c r="S749" s="272"/>
      <c r="T749" s="272"/>
      <c r="U749" s="272"/>
      <c r="V749" s="272"/>
      <c r="W749" s="272"/>
      <c r="X749" s="272"/>
      <c r="Y749" s="272"/>
      <c r="Z749" s="272"/>
      <c r="AA749" s="272"/>
      <c r="AB749" s="272"/>
      <c r="AC749" s="272"/>
      <c r="AD749" s="272"/>
      <c r="AE749" s="272"/>
    </row>
    <row r="750" spans="15:31">
      <c r="O750" s="272"/>
      <c r="P750" s="272"/>
      <c r="Q750" s="272"/>
      <c r="R750" s="272"/>
      <c r="S750" s="272"/>
      <c r="T750" s="272"/>
      <c r="U750" s="272"/>
      <c r="V750" s="272"/>
      <c r="W750" s="272"/>
      <c r="X750" s="272"/>
      <c r="Y750" s="272"/>
      <c r="Z750" s="272"/>
      <c r="AA750" s="272"/>
      <c r="AB750" s="272"/>
      <c r="AC750" s="272"/>
      <c r="AD750" s="272"/>
      <c r="AE750" s="272"/>
    </row>
    <row r="751" spans="15:31">
      <c r="O751" s="272"/>
      <c r="P751" s="272"/>
      <c r="Q751" s="272"/>
      <c r="R751" s="272"/>
      <c r="S751" s="272"/>
      <c r="T751" s="272"/>
      <c r="U751" s="272"/>
      <c r="V751" s="272"/>
      <c r="W751" s="272"/>
      <c r="X751" s="272"/>
      <c r="Y751" s="272"/>
      <c r="Z751" s="272"/>
      <c r="AA751" s="272"/>
      <c r="AB751" s="272"/>
      <c r="AC751" s="272"/>
      <c r="AD751" s="272"/>
      <c r="AE751" s="272"/>
    </row>
    <row r="752" spans="15:31">
      <c r="O752" s="272"/>
      <c r="P752" s="272"/>
      <c r="Q752" s="272"/>
      <c r="R752" s="272"/>
      <c r="S752" s="272"/>
      <c r="T752" s="272"/>
      <c r="U752" s="272"/>
      <c r="V752" s="272"/>
      <c r="W752" s="272"/>
      <c r="X752" s="272"/>
      <c r="Y752" s="272"/>
      <c r="Z752" s="272"/>
      <c r="AA752" s="272"/>
      <c r="AB752" s="272"/>
      <c r="AC752" s="272"/>
      <c r="AD752" s="272"/>
      <c r="AE752" s="272"/>
    </row>
    <row r="753" spans="15:31">
      <c r="O753" s="272"/>
      <c r="P753" s="272"/>
      <c r="Q753" s="272"/>
      <c r="R753" s="272"/>
      <c r="S753" s="272"/>
      <c r="T753" s="272"/>
      <c r="U753" s="272"/>
      <c r="V753" s="272"/>
      <c r="W753" s="272"/>
      <c r="X753" s="272"/>
      <c r="Y753" s="272"/>
      <c r="Z753" s="272"/>
      <c r="AA753" s="272"/>
      <c r="AB753" s="272"/>
      <c r="AC753" s="272"/>
      <c r="AD753" s="272"/>
      <c r="AE753" s="272"/>
    </row>
    <row r="754" spans="15:31">
      <c r="O754" s="272"/>
      <c r="P754" s="272"/>
      <c r="Q754" s="272"/>
      <c r="R754" s="272"/>
      <c r="S754" s="272"/>
      <c r="T754" s="272"/>
      <c r="U754" s="272"/>
      <c r="V754" s="272"/>
      <c r="W754" s="272"/>
      <c r="X754" s="272"/>
      <c r="Y754" s="272"/>
      <c r="Z754" s="272"/>
      <c r="AA754" s="272"/>
      <c r="AB754" s="272"/>
      <c r="AC754" s="272"/>
      <c r="AD754" s="272"/>
      <c r="AE754" s="272"/>
    </row>
    <row r="755" spans="15:31">
      <c r="O755" s="272"/>
      <c r="P755" s="272"/>
      <c r="Q755" s="272"/>
      <c r="R755" s="272"/>
      <c r="S755" s="272"/>
      <c r="T755" s="272"/>
      <c r="U755" s="272"/>
      <c r="V755" s="272"/>
      <c r="W755" s="272"/>
      <c r="X755" s="272"/>
      <c r="Y755" s="272"/>
      <c r="Z755" s="272"/>
      <c r="AA755" s="272"/>
      <c r="AB755" s="272"/>
      <c r="AC755" s="272"/>
      <c r="AD755" s="272"/>
      <c r="AE755" s="272"/>
    </row>
    <row r="756" spans="15:31">
      <c r="O756" s="272"/>
      <c r="P756" s="272"/>
      <c r="Q756" s="272"/>
      <c r="R756" s="272"/>
      <c r="S756" s="272"/>
      <c r="T756" s="272"/>
      <c r="U756" s="272"/>
      <c r="V756" s="272"/>
      <c r="W756" s="272"/>
      <c r="X756" s="272"/>
      <c r="Y756" s="272"/>
      <c r="Z756" s="272"/>
      <c r="AA756" s="272"/>
      <c r="AB756" s="272"/>
      <c r="AC756" s="272"/>
      <c r="AD756" s="272"/>
      <c r="AE756" s="272"/>
    </row>
    <row r="757" spans="15:31">
      <c r="O757" s="272"/>
      <c r="P757" s="272"/>
      <c r="Q757" s="272"/>
      <c r="R757" s="272"/>
      <c r="S757" s="272"/>
      <c r="T757" s="272"/>
      <c r="U757" s="272"/>
      <c r="V757" s="272"/>
      <c r="W757" s="272"/>
      <c r="X757" s="272"/>
      <c r="Y757" s="272"/>
      <c r="Z757" s="272"/>
      <c r="AA757" s="272"/>
      <c r="AB757" s="272"/>
      <c r="AC757" s="272"/>
      <c r="AD757" s="272"/>
      <c r="AE757" s="272"/>
    </row>
    <row r="758" spans="15:31">
      <c r="O758" s="272"/>
      <c r="P758" s="272"/>
      <c r="Q758" s="272"/>
      <c r="R758" s="272"/>
      <c r="S758" s="272"/>
      <c r="T758" s="272"/>
      <c r="U758" s="272"/>
      <c r="V758" s="272"/>
      <c r="W758" s="272"/>
      <c r="X758" s="272"/>
      <c r="Y758" s="272"/>
      <c r="Z758" s="272"/>
      <c r="AA758" s="272"/>
      <c r="AB758" s="272"/>
      <c r="AC758" s="272"/>
      <c r="AD758" s="272"/>
      <c r="AE758" s="272"/>
    </row>
    <row r="759" spans="15:31">
      <c r="O759" s="272"/>
      <c r="P759" s="272"/>
      <c r="Q759" s="272"/>
      <c r="R759" s="272"/>
      <c r="S759" s="272"/>
      <c r="T759" s="272"/>
      <c r="U759" s="272"/>
      <c r="V759" s="272"/>
      <c r="W759" s="272"/>
      <c r="X759" s="272"/>
      <c r="Y759" s="272"/>
      <c r="Z759" s="272"/>
      <c r="AA759" s="272"/>
      <c r="AB759" s="272"/>
      <c r="AC759" s="272"/>
      <c r="AD759" s="272"/>
      <c r="AE759" s="272"/>
    </row>
    <row r="760" spans="15:31">
      <c r="O760" s="272"/>
      <c r="P760" s="272"/>
      <c r="Q760" s="272"/>
      <c r="R760" s="272"/>
      <c r="S760" s="272"/>
      <c r="T760" s="272"/>
      <c r="U760" s="272"/>
      <c r="V760" s="272"/>
      <c r="W760" s="272"/>
      <c r="X760" s="272"/>
      <c r="Y760" s="272"/>
      <c r="Z760" s="272"/>
      <c r="AA760" s="272"/>
      <c r="AB760" s="272"/>
      <c r="AC760" s="272"/>
      <c r="AD760" s="272"/>
      <c r="AE760" s="272"/>
    </row>
    <row r="761" spans="15:31">
      <c r="O761" s="272"/>
      <c r="P761" s="272"/>
      <c r="Q761" s="272"/>
      <c r="R761" s="272"/>
      <c r="S761" s="272"/>
      <c r="T761" s="272"/>
      <c r="U761" s="272"/>
      <c r="V761" s="272"/>
      <c r="W761" s="272"/>
      <c r="X761" s="272"/>
      <c r="Y761" s="272"/>
      <c r="Z761" s="272"/>
      <c r="AA761" s="272"/>
      <c r="AB761" s="272"/>
      <c r="AC761" s="272"/>
      <c r="AD761" s="272"/>
      <c r="AE761" s="272"/>
    </row>
    <row r="762" spans="15:31">
      <c r="O762" s="272"/>
      <c r="P762" s="272"/>
      <c r="Q762" s="272"/>
      <c r="R762" s="272"/>
      <c r="S762" s="272"/>
      <c r="T762" s="272"/>
      <c r="U762" s="272"/>
      <c r="V762" s="272"/>
      <c r="W762" s="272"/>
      <c r="X762" s="272"/>
      <c r="Y762" s="272"/>
      <c r="Z762" s="272"/>
      <c r="AA762" s="272"/>
      <c r="AB762" s="272"/>
      <c r="AC762" s="272"/>
      <c r="AD762" s="272"/>
      <c r="AE762" s="272"/>
    </row>
    <row r="763" spans="15:31">
      <c r="O763" s="272"/>
      <c r="P763" s="272"/>
      <c r="Q763" s="272"/>
      <c r="R763" s="272"/>
      <c r="S763" s="272"/>
      <c r="T763" s="272"/>
      <c r="U763" s="272"/>
      <c r="V763" s="272"/>
      <c r="W763" s="272"/>
      <c r="X763" s="272"/>
      <c r="Y763" s="272"/>
      <c r="Z763" s="272"/>
      <c r="AA763" s="272"/>
      <c r="AB763" s="272"/>
      <c r="AC763" s="272"/>
      <c r="AD763" s="272"/>
      <c r="AE763" s="272"/>
    </row>
    <row r="764" spans="15:31">
      <c r="O764" s="272"/>
      <c r="P764" s="272"/>
      <c r="Q764" s="272"/>
      <c r="R764" s="272"/>
      <c r="S764" s="272"/>
      <c r="T764" s="272"/>
      <c r="U764" s="272"/>
      <c r="V764" s="272"/>
      <c r="W764" s="272"/>
      <c r="X764" s="272"/>
      <c r="Y764" s="272"/>
      <c r="Z764" s="272"/>
      <c r="AA764" s="272"/>
      <c r="AB764" s="272"/>
      <c r="AC764" s="272"/>
      <c r="AD764" s="272"/>
      <c r="AE764" s="272"/>
    </row>
    <row r="765" spans="15:31">
      <c r="O765" s="272"/>
      <c r="P765" s="272"/>
      <c r="Q765" s="272"/>
      <c r="R765" s="272"/>
      <c r="S765" s="272"/>
      <c r="T765" s="272"/>
      <c r="U765" s="272"/>
      <c r="V765" s="272"/>
      <c r="W765" s="272"/>
      <c r="X765" s="272"/>
      <c r="Y765" s="272"/>
      <c r="Z765" s="272"/>
      <c r="AA765" s="272"/>
      <c r="AB765" s="272"/>
      <c r="AC765" s="272"/>
      <c r="AD765" s="272"/>
      <c r="AE765" s="272"/>
    </row>
    <row r="766" spans="15:31">
      <c r="O766" s="272"/>
      <c r="P766" s="272"/>
      <c r="Q766" s="272"/>
      <c r="R766" s="272"/>
      <c r="S766" s="272"/>
      <c r="T766" s="272"/>
      <c r="U766" s="272"/>
      <c r="V766" s="272"/>
      <c r="W766" s="272"/>
      <c r="X766" s="272"/>
      <c r="Y766" s="272"/>
      <c r="Z766" s="272"/>
      <c r="AA766" s="272"/>
      <c r="AB766" s="272"/>
      <c r="AC766" s="272"/>
      <c r="AD766" s="272"/>
      <c r="AE766" s="272"/>
    </row>
    <row r="767" spans="15:31">
      <c r="O767" s="272"/>
      <c r="P767" s="272"/>
      <c r="Q767" s="272"/>
      <c r="R767" s="272"/>
      <c r="S767" s="272"/>
      <c r="T767" s="272"/>
      <c r="U767" s="272"/>
      <c r="V767" s="272"/>
      <c r="W767" s="272"/>
      <c r="X767" s="272"/>
      <c r="Y767" s="272"/>
      <c r="Z767" s="272"/>
      <c r="AA767" s="272"/>
      <c r="AB767" s="272"/>
      <c r="AC767" s="272"/>
      <c r="AD767" s="272"/>
      <c r="AE767" s="272"/>
    </row>
    <row r="768" spans="15:31">
      <c r="O768" s="272"/>
      <c r="P768" s="272"/>
      <c r="Q768" s="272"/>
      <c r="R768" s="272"/>
      <c r="S768" s="272"/>
      <c r="T768" s="272"/>
      <c r="U768" s="272"/>
      <c r="V768" s="272"/>
      <c r="W768" s="272"/>
      <c r="X768" s="272"/>
      <c r="Y768" s="272"/>
      <c r="Z768" s="272"/>
      <c r="AA768" s="272"/>
      <c r="AB768" s="272"/>
      <c r="AC768" s="272"/>
      <c r="AD768" s="272"/>
      <c r="AE768" s="272"/>
    </row>
    <row r="769" spans="15:31">
      <c r="O769" s="272"/>
      <c r="P769" s="272"/>
      <c r="Q769" s="272"/>
      <c r="R769" s="272"/>
      <c r="S769" s="272"/>
      <c r="T769" s="272"/>
      <c r="U769" s="272"/>
      <c r="V769" s="272"/>
      <c r="W769" s="272"/>
      <c r="X769" s="272"/>
      <c r="Y769" s="272"/>
      <c r="Z769" s="272"/>
      <c r="AA769" s="272"/>
      <c r="AB769" s="272"/>
      <c r="AC769" s="272"/>
      <c r="AD769" s="272"/>
      <c r="AE769" s="272"/>
    </row>
    <row r="770" spans="15:31">
      <c r="O770" s="272"/>
      <c r="P770" s="272"/>
      <c r="Q770" s="272"/>
      <c r="R770" s="272"/>
      <c r="S770" s="272"/>
      <c r="T770" s="272"/>
      <c r="U770" s="272"/>
      <c r="V770" s="272"/>
      <c r="W770" s="272"/>
      <c r="X770" s="272"/>
      <c r="Y770" s="272"/>
      <c r="Z770" s="272"/>
      <c r="AA770" s="272"/>
      <c r="AB770" s="272"/>
      <c r="AC770" s="272"/>
      <c r="AD770" s="272"/>
      <c r="AE770" s="272"/>
    </row>
    <row r="771" spans="15:31">
      <c r="O771" s="272"/>
      <c r="P771" s="272"/>
      <c r="Q771" s="272"/>
      <c r="R771" s="272"/>
      <c r="S771" s="272"/>
      <c r="T771" s="272"/>
      <c r="U771" s="272"/>
      <c r="V771" s="272"/>
      <c r="W771" s="272"/>
      <c r="X771" s="272"/>
      <c r="Y771" s="272"/>
      <c r="Z771" s="272"/>
      <c r="AA771" s="272"/>
      <c r="AB771" s="272"/>
      <c r="AC771" s="272"/>
      <c r="AD771" s="272"/>
      <c r="AE771" s="272"/>
    </row>
    <row r="772" spans="15:31">
      <c r="O772" s="272"/>
      <c r="P772" s="272"/>
      <c r="Q772" s="272"/>
      <c r="R772" s="272"/>
      <c r="S772" s="272"/>
      <c r="T772" s="272"/>
      <c r="U772" s="272"/>
      <c r="V772" s="272"/>
      <c r="W772" s="272"/>
      <c r="X772" s="272"/>
      <c r="Y772" s="272"/>
      <c r="Z772" s="272"/>
      <c r="AA772" s="272"/>
      <c r="AB772" s="272"/>
      <c r="AC772" s="272"/>
      <c r="AD772" s="272"/>
      <c r="AE772" s="272"/>
    </row>
    <row r="773" spans="15:31">
      <c r="O773" s="272"/>
      <c r="P773" s="272"/>
      <c r="Q773" s="272"/>
      <c r="R773" s="272"/>
      <c r="S773" s="272"/>
      <c r="T773" s="272"/>
      <c r="U773" s="272"/>
      <c r="V773" s="272"/>
      <c r="W773" s="272"/>
      <c r="X773" s="272"/>
      <c r="Y773" s="272"/>
      <c r="Z773" s="272"/>
      <c r="AA773" s="272"/>
      <c r="AB773" s="272"/>
      <c r="AC773" s="272"/>
      <c r="AD773" s="272"/>
      <c r="AE773" s="272"/>
    </row>
    <row r="774" spans="15:31">
      <c r="O774" s="272"/>
      <c r="P774" s="272"/>
      <c r="Q774" s="272"/>
      <c r="R774" s="272"/>
      <c r="S774" s="272"/>
      <c r="T774" s="272"/>
      <c r="U774" s="272"/>
      <c r="V774" s="272"/>
      <c r="W774" s="272"/>
      <c r="X774" s="272"/>
      <c r="Y774" s="272"/>
      <c r="Z774" s="272"/>
      <c r="AA774" s="272"/>
      <c r="AB774" s="272"/>
      <c r="AC774" s="272"/>
      <c r="AD774" s="272"/>
      <c r="AE774" s="272"/>
    </row>
    <row r="775" spans="15:31">
      <c r="O775" s="272"/>
      <c r="P775" s="272"/>
      <c r="Q775" s="272"/>
      <c r="R775" s="272"/>
      <c r="S775" s="272"/>
      <c r="T775" s="272"/>
      <c r="U775" s="272"/>
      <c r="V775" s="272"/>
      <c r="W775" s="272"/>
      <c r="X775" s="272"/>
      <c r="Y775" s="272"/>
      <c r="Z775" s="272"/>
      <c r="AA775" s="272"/>
      <c r="AB775" s="272"/>
      <c r="AC775" s="272"/>
      <c r="AD775" s="272"/>
      <c r="AE775" s="272"/>
    </row>
    <row r="776" spans="15:31">
      <c r="O776" s="272"/>
      <c r="P776" s="272"/>
      <c r="Q776" s="272"/>
      <c r="R776" s="272"/>
      <c r="S776" s="272"/>
      <c r="T776" s="272"/>
      <c r="U776" s="272"/>
      <c r="V776" s="272"/>
      <c r="W776" s="272"/>
      <c r="X776" s="272"/>
      <c r="Y776" s="272"/>
      <c r="Z776" s="272"/>
      <c r="AA776" s="272"/>
      <c r="AB776" s="272"/>
      <c r="AC776" s="272"/>
      <c r="AD776" s="272"/>
      <c r="AE776" s="272"/>
    </row>
    <row r="777" spans="15:31">
      <c r="O777" s="272"/>
      <c r="P777" s="272"/>
      <c r="Q777" s="272"/>
      <c r="R777" s="272"/>
      <c r="S777" s="272"/>
      <c r="T777" s="272"/>
      <c r="U777" s="272"/>
      <c r="V777" s="272"/>
      <c r="W777" s="272"/>
      <c r="X777" s="272"/>
      <c r="Y777" s="272"/>
      <c r="Z777" s="272"/>
      <c r="AA777" s="272"/>
      <c r="AB777" s="272"/>
      <c r="AC777" s="272"/>
      <c r="AD777" s="272"/>
      <c r="AE777" s="272"/>
    </row>
    <row r="778" spans="15:31">
      <c r="O778" s="272"/>
      <c r="P778" s="272"/>
      <c r="Q778" s="272"/>
      <c r="R778" s="272"/>
      <c r="S778" s="272"/>
      <c r="T778" s="272"/>
      <c r="U778" s="272"/>
      <c r="V778" s="272"/>
      <c r="W778" s="272"/>
      <c r="X778" s="272"/>
      <c r="Y778" s="272"/>
      <c r="Z778" s="272"/>
      <c r="AA778" s="272"/>
      <c r="AB778" s="272"/>
      <c r="AC778" s="272"/>
      <c r="AD778" s="272"/>
      <c r="AE778" s="272"/>
    </row>
    <row r="779" spans="15:31">
      <c r="O779" s="272"/>
      <c r="P779" s="272"/>
      <c r="Q779" s="272"/>
      <c r="R779" s="272"/>
      <c r="S779" s="272"/>
      <c r="T779" s="272"/>
      <c r="U779" s="272"/>
      <c r="V779" s="272"/>
      <c r="W779" s="272"/>
      <c r="X779" s="272"/>
      <c r="Y779" s="272"/>
      <c r="Z779" s="272"/>
      <c r="AA779" s="272"/>
      <c r="AB779" s="272"/>
      <c r="AC779" s="272"/>
      <c r="AD779" s="272"/>
      <c r="AE779" s="272"/>
    </row>
    <row r="780" spans="15:31">
      <c r="O780" s="272"/>
      <c r="P780" s="272"/>
      <c r="Q780" s="272"/>
      <c r="R780" s="272"/>
      <c r="S780" s="272"/>
      <c r="T780" s="272"/>
      <c r="U780" s="272"/>
      <c r="V780" s="272"/>
      <c r="W780" s="272"/>
      <c r="X780" s="272"/>
      <c r="Y780" s="272"/>
      <c r="Z780" s="272"/>
      <c r="AA780" s="272"/>
      <c r="AB780" s="272"/>
      <c r="AC780" s="272"/>
      <c r="AD780" s="272"/>
      <c r="AE780" s="272"/>
    </row>
    <row r="781" spans="15:31">
      <c r="O781" s="272"/>
      <c r="P781" s="272"/>
      <c r="Q781" s="272"/>
      <c r="R781" s="272"/>
      <c r="S781" s="272"/>
      <c r="T781" s="272"/>
      <c r="U781" s="272"/>
      <c r="V781" s="272"/>
      <c r="W781" s="272"/>
      <c r="X781" s="272"/>
      <c r="Y781" s="272"/>
      <c r="Z781" s="272"/>
      <c r="AA781" s="272"/>
      <c r="AB781" s="272"/>
      <c r="AC781" s="272"/>
      <c r="AD781" s="272"/>
      <c r="AE781" s="272"/>
    </row>
    <row r="782" spans="15:31">
      <c r="O782" s="272"/>
      <c r="P782" s="272"/>
      <c r="Q782" s="272"/>
      <c r="R782" s="272"/>
      <c r="S782" s="272"/>
      <c r="T782" s="272"/>
      <c r="U782" s="272"/>
      <c r="V782" s="272"/>
      <c r="W782" s="272"/>
      <c r="X782" s="272"/>
      <c r="Y782" s="272"/>
      <c r="Z782" s="272"/>
      <c r="AA782" s="272"/>
      <c r="AB782" s="272"/>
      <c r="AC782" s="272"/>
      <c r="AD782" s="272"/>
      <c r="AE782" s="272"/>
    </row>
    <row r="783" spans="15:31">
      <c r="O783" s="272"/>
      <c r="P783" s="272"/>
      <c r="Q783" s="272"/>
      <c r="R783" s="272"/>
      <c r="S783" s="272"/>
      <c r="T783" s="272"/>
      <c r="U783" s="272"/>
      <c r="V783" s="272"/>
      <c r="W783" s="272"/>
      <c r="X783" s="272"/>
      <c r="Y783" s="272"/>
      <c r="Z783" s="272"/>
      <c r="AA783" s="272"/>
      <c r="AB783" s="272"/>
      <c r="AC783" s="272"/>
      <c r="AD783" s="272"/>
      <c r="AE783" s="272"/>
    </row>
    <row r="784" spans="15:31">
      <c r="O784" s="272"/>
      <c r="P784" s="272"/>
      <c r="Q784" s="272"/>
      <c r="R784" s="272"/>
      <c r="S784" s="272"/>
      <c r="T784" s="272"/>
      <c r="U784" s="272"/>
      <c r="V784" s="272"/>
      <c r="W784" s="272"/>
      <c r="X784" s="272"/>
      <c r="Y784" s="272"/>
      <c r="Z784" s="272"/>
      <c r="AA784" s="272"/>
      <c r="AB784" s="272"/>
      <c r="AC784" s="272"/>
      <c r="AD784" s="272"/>
      <c r="AE784" s="272"/>
    </row>
    <row r="785" spans="15:31">
      <c r="O785" s="272"/>
      <c r="P785" s="272"/>
      <c r="Q785" s="272"/>
      <c r="R785" s="272"/>
      <c r="S785" s="272"/>
      <c r="T785" s="272"/>
      <c r="U785" s="272"/>
      <c r="V785" s="272"/>
      <c r="W785" s="272"/>
      <c r="X785" s="272"/>
      <c r="Y785" s="272"/>
      <c r="Z785" s="272"/>
      <c r="AA785" s="272"/>
      <c r="AB785" s="272"/>
      <c r="AC785" s="272"/>
      <c r="AD785" s="272"/>
      <c r="AE785" s="272"/>
    </row>
    <row r="786" spans="15:31">
      <c r="O786" s="272"/>
      <c r="P786" s="272"/>
      <c r="Q786" s="272"/>
      <c r="R786" s="272"/>
      <c r="S786" s="272"/>
      <c r="T786" s="272"/>
      <c r="U786" s="272"/>
      <c r="V786" s="272"/>
      <c r="W786" s="272"/>
      <c r="X786" s="272"/>
      <c r="Y786" s="272"/>
      <c r="Z786" s="272"/>
      <c r="AA786" s="272"/>
      <c r="AB786" s="272"/>
      <c r="AC786" s="272"/>
      <c r="AD786" s="272"/>
      <c r="AE786" s="272"/>
    </row>
    <row r="787" spans="15:31">
      <c r="O787" s="272"/>
      <c r="P787" s="272"/>
      <c r="Q787" s="272"/>
      <c r="R787" s="272"/>
      <c r="S787" s="272"/>
      <c r="T787" s="272"/>
      <c r="U787" s="272"/>
      <c r="V787" s="272"/>
      <c r="W787" s="272"/>
      <c r="X787" s="272"/>
      <c r="Y787" s="272"/>
      <c r="Z787" s="272"/>
      <c r="AA787" s="272"/>
      <c r="AB787" s="272"/>
      <c r="AC787" s="272"/>
      <c r="AD787" s="272"/>
      <c r="AE787" s="272"/>
    </row>
    <row r="788" spans="15:31">
      <c r="O788" s="272"/>
      <c r="P788" s="272"/>
      <c r="Q788" s="272"/>
      <c r="R788" s="272"/>
      <c r="S788" s="272"/>
      <c r="T788" s="272"/>
      <c r="U788" s="272"/>
      <c r="V788" s="272"/>
      <c r="W788" s="272"/>
      <c r="X788" s="272"/>
      <c r="Y788" s="272"/>
      <c r="Z788" s="272"/>
      <c r="AA788" s="272"/>
      <c r="AB788" s="272"/>
      <c r="AC788" s="272"/>
      <c r="AD788" s="272"/>
      <c r="AE788" s="272"/>
    </row>
    <row r="789" spans="15:31">
      <c r="O789" s="272"/>
      <c r="P789" s="272"/>
      <c r="Q789" s="272"/>
      <c r="R789" s="272"/>
      <c r="S789" s="272"/>
      <c r="T789" s="272"/>
      <c r="U789" s="272"/>
      <c r="V789" s="272"/>
      <c r="W789" s="272"/>
      <c r="X789" s="272"/>
      <c r="Y789" s="272"/>
      <c r="Z789" s="272"/>
      <c r="AA789" s="272"/>
      <c r="AB789" s="272"/>
      <c r="AC789" s="272"/>
      <c r="AD789" s="272"/>
      <c r="AE789" s="272"/>
    </row>
    <row r="790" spans="15:31">
      <c r="O790" s="272"/>
      <c r="P790" s="272"/>
      <c r="Q790" s="272"/>
      <c r="R790" s="272"/>
      <c r="S790" s="272"/>
      <c r="T790" s="272"/>
      <c r="U790" s="272"/>
      <c r="V790" s="272"/>
      <c r="W790" s="272"/>
      <c r="X790" s="272"/>
      <c r="Y790" s="272"/>
      <c r="Z790" s="272"/>
      <c r="AA790" s="272"/>
      <c r="AB790" s="272"/>
      <c r="AC790" s="272"/>
      <c r="AD790" s="272"/>
      <c r="AE790" s="272"/>
    </row>
    <row r="791" spans="15:31">
      <c r="O791" s="272"/>
      <c r="P791" s="272"/>
      <c r="Q791" s="272"/>
      <c r="R791" s="272"/>
      <c r="S791" s="272"/>
      <c r="T791" s="272"/>
      <c r="U791" s="272"/>
      <c r="V791" s="272"/>
      <c r="W791" s="272"/>
      <c r="X791" s="272"/>
      <c r="Y791" s="272"/>
      <c r="Z791" s="272"/>
      <c r="AA791" s="272"/>
      <c r="AB791" s="272"/>
      <c r="AC791" s="272"/>
      <c r="AD791" s="272"/>
      <c r="AE791" s="272"/>
    </row>
    <row r="792" spans="15:31">
      <c r="O792" s="272"/>
      <c r="P792" s="272"/>
      <c r="Q792" s="272"/>
      <c r="R792" s="272"/>
      <c r="S792" s="272"/>
      <c r="T792" s="272"/>
      <c r="U792" s="272"/>
      <c r="V792" s="272"/>
      <c r="W792" s="272"/>
      <c r="X792" s="272"/>
      <c r="Y792" s="272"/>
      <c r="Z792" s="272"/>
      <c r="AA792" s="272"/>
      <c r="AB792" s="272"/>
      <c r="AC792" s="272"/>
      <c r="AD792" s="272"/>
      <c r="AE792" s="272"/>
    </row>
    <row r="793" spans="15:31">
      <c r="O793" s="272"/>
      <c r="P793" s="272"/>
      <c r="Q793" s="272"/>
      <c r="R793" s="272"/>
      <c r="S793" s="272"/>
      <c r="T793" s="272"/>
      <c r="U793" s="272"/>
      <c r="V793" s="272"/>
      <c r="W793" s="272"/>
      <c r="X793" s="272"/>
      <c r="Y793" s="272"/>
      <c r="Z793" s="272"/>
      <c r="AA793" s="272"/>
      <c r="AB793" s="272"/>
      <c r="AC793" s="272"/>
      <c r="AD793" s="272"/>
      <c r="AE793" s="272"/>
    </row>
    <row r="794" spans="15:31">
      <c r="O794" s="272"/>
      <c r="P794" s="272"/>
      <c r="Q794" s="272"/>
      <c r="R794" s="272"/>
      <c r="S794" s="272"/>
      <c r="T794" s="272"/>
      <c r="U794" s="272"/>
      <c r="V794" s="272"/>
      <c r="W794" s="272"/>
      <c r="X794" s="272"/>
      <c r="Y794" s="272"/>
      <c r="Z794" s="272"/>
      <c r="AA794" s="272"/>
      <c r="AB794" s="272"/>
      <c r="AC794" s="272"/>
      <c r="AD794" s="272"/>
      <c r="AE794" s="272"/>
    </row>
    <row r="795" spans="15:31">
      <c r="O795" s="272"/>
      <c r="P795" s="272"/>
      <c r="Q795" s="272"/>
      <c r="R795" s="272"/>
      <c r="S795" s="272"/>
      <c r="T795" s="272"/>
      <c r="U795" s="272"/>
      <c r="V795" s="272"/>
      <c r="W795" s="272"/>
      <c r="X795" s="272"/>
      <c r="Y795" s="272"/>
      <c r="Z795" s="272"/>
      <c r="AA795" s="272"/>
      <c r="AB795" s="272"/>
      <c r="AC795" s="272"/>
      <c r="AD795" s="272"/>
      <c r="AE795" s="272"/>
    </row>
    <row r="796" spans="15:31">
      <c r="O796" s="272"/>
      <c r="P796" s="272"/>
      <c r="Q796" s="272"/>
      <c r="R796" s="272"/>
      <c r="S796" s="272"/>
      <c r="T796" s="272"/>
      <c r="U796" s="272"/>
      <c r="V796" s="272"/>
      <c r="W796" s="272"/>
      <c r="X796" s="272"/>
      <c r="Y796" s="272"/>
      <c r="Z796" s="272"/>
      <c r="AA796" s="272"/>
      <c r="AB796" s="272"/>
      <c r="AC796" s="272"/>
      <c r="AD796" s="272"/>
      <c r="AE796" s="272"/>
    </row>
    <row r="797" spans="15:31">
      <c r="O797" s="272"/>
      <c r="P797" s="272"/>
      <c r="Q797" s="272"/>
      <c r="R797" s="272"/>
      <c r="S797" s="272"/>
      <c r="T797" s="272"/>
      <c r="U797" s="272"/>
      <c r="V797" s="272"/>
      <c r="W797" s="272"/>
      <c r="X797" s="272"/>
      <c r="Y797" s="272"/>
      <c r="Z797" s="272"/>
      <c r="AA797" s="272"/>
      <c r="AB797" s="272"/>
      <c r="AC797" s="272"/>
      <c r="AD797" s="272"/>
      <c r="AE797" s="272"/>
    </row>
    <row r="798" spans="15:31">
      <c r="O798" s="272"/>
      <c r="P798" s="272"/>
      <c r="Q798" s="272"/>
      <c r="R798" s="272"/>
      <c r="S798" s="272"/>
      <c r="T798" s="272"/>
      <c r="U798" s="272"/>
      <c r="V798" s="272"/>
      <c r="W798" s="272"/>
      <c r="X798" s="272"/>
      <c r="Y798" s="272"/>
      <c r="Z798" s="272"/>
      <c r="AA798" s="272"/>
      <c r="AB798" s="272"/>
      <c r="AC798" s="272"/>
      <c r="AD798" s="272"/>
      <c r="AE798" s="272"/>
    </row>
    <row r="799" spans="15:31">
      <c r="O799" s="272"/>
      <c r="P799" s="272"/>
      <c r="Q799" s="272"/>
      <c r="R799" s="272"/>
      <c r="S799" s="272"/>
      <c r="T799" s="272"/>
      <c r="U799" s="272"/>
      <c r="V799" s="272"/>
      <c r="W799" s="272"/>
      <c r="X799" s="272"/>
      <c r="Y799" s="272"/>
      <c r="Z799" s="272"/>
      <c r="AA799" s="272"/>
      <c r="AB799" s="272"/>
      <c r="AC799" s="272"/>
      <c r="AD799" s="272"/>
      <c r="AE799" s="272"/>
    </row>
    <row r="800" spans="15:31">
      <c r="O800" s="272"/>
      <c r="P800" s="272"/>
      <c r="Q800" s="272"/>
      <c r="R800" s="272"/>
      <c r="S800" s="272"/>
      <c r="T800" s="272"/>
      <c r="U800" s="272"/>
      <c r="V800" s="272"/>
      <c r="W800" s="272"/>
      <c r="X800" s="272"/>
      <c r="Y800" s="272"/>
      <c r="Z800" s="272"/>
      <c r="AA800" s="272"/>
      <c r="AB800" s="272"/>
      <c r="AC800" s="272"/>
      <c r="AD800" s="272"/>
      <c r="AE800" s="272"/>
    </row>
    <row r="801" spans="15:31">
      <c r="O801" s="272"/>
      <c r="P801" s="272"/>
      <c r="Q801" s="272"/>
      <c r="R801" s="272"/>
      <c r="S801" s="272"/>
      <c r="T801" s="272"/>
      <c r="U801" s="272"/>
      <c r="V801" s="272"/>
      <c r="W801" s="272"/>
      <c r="X801" s="272"/>
      <c r="Y801" s="272"/>
      <c r="Z801" s="272"/>
      <c r="AA801" s="272"/>
      <c r="AB801" s="272"/>
      <c r="AC801" s="272"/>
      <c r="AD801" s="272"/>
      <c r="AE801" s="272"/>
    </row>
    <row r="802" spans="15:31">
      <c r="O802" s="272"/>
      <c r="P802" s="272"/>
      <c r="Q802" s="272"/>
      <c r="R802" s="272"/>
      <c r="S802" s="272"/>
      <c r="T802" s="272"/>
      <c r="U802" s="272"/>
      <c r="V802" s="272"/>
      <c r="W802" s="272"/>
      <c r="X802" s="272"/>
      <c r="Y802" s="272"/>
      <c r="Z802" s="272"/>
      <c r="AA802" s="272"/>
      <c r="AB802" s="272"/>
      <c r="AC802" s="272"/>
      <c r="AD802" s="272"/>
      <c r="AE802" s="272"/>
    </row>
    <row r="803" spans="15:31">
      <c r="O803" s="272"/>
      <c r="P803" s="272"/>
      <c r="Q803" s="272"/>
      <c r="R803" s="272"/>
      <c r="S803" s="272"/>
      <c r="T803" s="272"/>
      <c r="U803" s="272"/>
      <c r="V803" s="272"/>
      <c r="W803" s="272"/>
      <c r="X803" s="272"/>
      <c r="Y803" s="272"/>
      <c r="Z803" s="272"/>
      <c r="AA803" s="272"/>
      <c r="AB803" s="272"/>
      <c r="AC803" s="272"/>
      <c r="AD803" s="272"/>
      <c r="AE803" s="272"/>
    </row>
    <row r="804" spans="15:31">
      <c r="O804" s="272"/>
      <c r="P804" s="272"/>
      <c r="Q804" s="272"/>
      <c r="R804" s="272"/>
      <c r="S804" s="272"/>
      <c r="T804" s="272"/>
      <c r="U804" s="272"/>
      <c r="V804" s="272"/>
      <c r="W804" s="272"/>
      <c r="X804" s="272"/>
      <c r="Y804" s="272"/>
      <c r="Z804" s="272"/>
      <c r="AA804" s="272"/>
      <c r="AB804" s="272"/>
      <c r="AC804" s="272"/>
      <c r="AD804" s="272"/>
      <c r="AE804" s="272"/>
    </row>
    <row r="805" spans="15:31">
      <c r="O805" s="272"/>
      <c r="P805" s="272"/>
      <c r="Q805" s="272"/>
      <c r="R805" s="272"/>
      <c r="S805" s="272"/>
      <c r="T805" s="272"/>
      <c r="U805" s="272"/>
      <c r="V805" s="272"/>
      <c r="W805" s="272"/>
      <c r="X805" s="272"/>
      <c r="Y805" s="272"/>
      <c r="Z805" s="272"/>
      <c r="AA805" s="272"/>
      <c r="AB805" s="272"/>
      <c r="AC805" s="272"/>
      <c r="AD805" s="272"/>
      <c r="AE805" s="272"/>
    </row>
    <row r="806" spans="15:31">
      <c r="O806" s="272"/>
      <c r="P806" s="272"/>
      <c r="Q806" s="272"/>
      <c r="R806" s="272"/>
      <c r="S806" s="272"/>
      <c r="T806" s="272"/>
      <c r="U806" s="272"/>
      <c r="V806" s="272"/>
      <c r="W806" s="272"/>
      <c r="X806" s="272"/>
      <c r="Y806" s="272"/>
      <c r="Z806" s="272"/>
      <c r="AA806" s="272"/>
      <c r="AB806" s="272"/>
      <c r="AC806" s="272"/>
      <c r="AD806" s="272"/>
      <c r="AE806" s="272"/>
    </row>
    <row r="807" spans="15:31">
      <c r="O807" s="272"/>
      <c r="P807" s="272"/>
      <c r="Q807" s="272"/>
      <c r="R807" s="272"/>
      <c r="S807" s="272"/>
      <c r="T807" s="272"/>
      <c r="U807" s="272"/>
      <c r="V807" s="272"/>
      <c r="W807" s="272"/>
      <c r="X807" s="272"/>
      <c r="Y807" s="272"/>
      <c r="Z807" s="272"/>
      <c r="AA807" s="272"/>
      <c r="AB807" s="272"/>
      <c r="AC807" s="272"/>
      <c r="AD807" s="272"/>
      <c r="AE807" s="272"/>
    </row>
    <row r="808" spans="15:31">
      <c r="O808" s="272"/>
      <c r="P808" s="272"/>
      <c r="Q808" s="272"/>
      <c r="R808" s="272"/>
      <c r="S808" s="272"/>
      <c r="T808" s="272"/>
      <c r="U808" s="272"/>
      <c r="V808" s="272"/>
      <c r="W808" s="272"/>
      <c r="X808" s="272"/>
      <c r="Y808" s="272"/>
      <c r="Z808" s="272"/>
      <c r="AA808" s="272"/>
      <c r="AB808" s="272"/>
      <c r="AC808" s="272"/>
      <c r="AD808" s="272"/>
      <c r="AE808" s="272"/>
    </row>
  </sheetData>
  <mergeCells count="8">
    <mergeCell ref="C37:D37"/>
    <mergeCell ref="E37:N37"/>
    <mergeCell ref="P41:R41"/>
    <mergeCell ref="E44:N44"/>
    <mergeCell ref="E6:N6"/>
    <mergeCell ref="O7:X7"/>
    <mergeCell ref="E19:N19"/>
    <mergeCell ref="E25:N25"/>
  </mergeCells>
  <dataValidations disablePrompts="1" count="2">
    <dataValidation type="list" allowBlank="1" showInputMessage="1" showErrorMessage="1" sqref="C11" xr:uid="{17BD7091-8B8E-4657-865C-DFA4CDEA558E}">
      <formula1>"EUR,JPY,USD"</formula1>
    </dataValidation>
    <dataValidation type="list" allowBlank="1" showInputMessage="1" showErrorMessage="1" sqref="C26 C7 E35" xr:uid="{6A0CDF95-5153-4361-90E6-05E0812C3286}">
      <formula1>TrueFalseList</formula1>
    </dataValidation>
  </dataValidations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2A4A135D144C4CB6846B8B8F0ACDAC" ma:contentTypeVersion="15" ma:contentTypeDescription="Create a new document." ma:contentTypeScope="" ma:versionID="a27c2cf683a8f6ac87d2c356ec21bb2d">
  <xsd:schema xmlns:xsd="http://www.w3.org/2001/XMLSchema" xmlns:xs="http://www.w3.org/2001/XMLSchema" xmlns:p="http://schemas.microsoft.com/office/2006/metadata/properties" xmlns:ns3="ae5a8089-fc57-4f9e-873e-1fba7c9cd486" xmlns:ns4="04178dd5-0677-4696-9ffd-1152be57b2bb" targetNamespace="http://schemas.microsoft.com/office/2006/metadata/properties" ma:root="true" ma:fieldsID="8aa3c14213f7925e3c17b8d5bd534352" ns3:_="" ns4:_="">
    <xsd:import namespace="ae5a8089-fc57-4f9e-873e-1fba7c9cd486"/>
    <xsd:import namespace="04178dd5-0677-4696-9ffd-1152be57b2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a8089-fc57-4f9e-873e-1fba7c9cd4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178dd5-0677-4696-9ffd-1152be57b2b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5a8089-fc57-4f9e-873e-1fba7c9cd486" xsi:nil="true"/>
  </documentManagement>
</p:properties>
</file>

<file path=customXml/itemProps1.xml><?xml version="1.0" encoding="utf-8"?>
<ds:datastoreItem xmlns:ds="http://schemas.openxmlformats.org/officeDocument/2006/customXml" ds:itemID="{342DC395-A533-43B5-AA17-BFF4B1B79B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5a8089-fc57-4f9e-873e-1fba7c9cd486"/>
    <ds:schemaRef ds:uri="04178dd5-0677-4696-9ffd-1152be57b2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417CFB3-7716-4E6B-9F65-C45D761C03B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32F0CB3-3D5B-442C-9EF6-549003265724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11A021B5-8D89-4903-A106-ACE658E9A877}">
  <ds:schemaRefs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04178dd5-0677-4696-9ffd-1152be57b2bb"/>
    <ds:schemaRef ds:uri="http://www.w3.org/XML/1998/namespace"/>
    <ds:schemaRef ds:uri="http://schemas.openxmlformats.org/package/2006/metadata/core-properties"/>
    <ds:schemaRef ds:uri="ae5a8089-fc57-4f9e-873e-1fba7c9cd486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9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17</vt:i4>
      </vt:variant>
    </vt:vector>
  </HeadingPairs>
  <TitlesOfParts>
    <vt:vector size="27" baseType="lpstr">
      <vt:lpstr>Parametres</vt:lpstr>
      <vt:lpstr>Option</vt:lpstr>
      <vt:lpstr>IRS Strip</vt:lpstr>
      <vt:lpstr>CDS Strip</vt:lpstr>
      <vt:lpstr>Fwd Intensity</vt:lpstr>
      <vt:lpstr>CDS</vt:lpstr>
      <vt:lpstr>CDO Bespoke</vt:lpstr>
      <vt:lpstr>FRTB</vt:lpstr>
      <vt:lpstr>CDO2</vt:lpstr>
      <vt:lpstr>Chart1</vt:lpstr>
      <vt:lpstr>CDSRollDate</vt:lpstr>
      <vt:lpstr>'CDO Bespoke'!Currency2</vt:lpstr>
      <vt:lpstr>CurvePointsList</vt:lpstr>
      <vt:lpstr>optionFlag</vt:lpstr>
      <vt:lpstr>optionPosition</vt:lpstr>
      <vt:lpstr>Parameter_Date</vt:lpstr>
      <vt:lpstr>'CDO Bespoke'!poids</vt:lpstr>
      <vt:lpstr>'CDO Bespoke'!Print_Area</vt:lpstr>
      <vt:lpstr>SpreadCurveMaturities</vt:lpstr>
      <vt:lpstr>'CDO Bespoke'!sumpoi</vt:lpstr>
      <vt:lpstr>'CDO Bespoke'!sumpoids</vt:lpstr>
      <vt:lpstr>'CDO Bespoke'!SumWeights</vt:lpstr>
      <vt:lpstr>Swap_Convention</vt:lpstr>
      <vt:lpstr>TrueFalse</vt:lpstr>
      <vt:lpstr>TrueFalseList</vt:lpstr>
      <vt:lpstr>TrueFalseTab</vt:lpstr>
      <vt:lpstr>Underlying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JORDAN François</cp:lastModifiedBy>
  <cp:lastPrinted>2024-02-23T20:28:43Z</cp:lastPrinted>
  <dcterms:created xsi:type="dcterms:W3CDTF">2024-01-30T12:40:02Z</dcterms:created>
  <dcterms:modified xsi:type="dcterms:W3CDTF">2024-09-03T15:05:09Z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0x010100DD2A4A135D144C4CB6846B8B8F0ACDAC</vt:lpwstr>
  </property>
</Properties>
</file>