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378" documentId="13_ncr:1_{A745491F-4342-4B80-82D8-705DA5817603}" xr6:coauthVersionLast="47" xr6:coauthVersionMax="47" xr10:uidLastSave="{0D171E31-D7DA-4C2E-9522-C2EFDD9E47C3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FRTB!$B$24:$J$399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16" l="1" a="1"/>
  <c r="AN14" i="16"/>
  <c r="AM14" i="16" a="1"/>
  <c r="AM14" i="16"/>
  <c r="AC14" i="16" a="1"/>
  <c r="AC14" i="16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C7" i="11" a="1"/>
  <c r="C7" i="11"/>
  <c r="C17" i="11"/>
  <c r="I8" i="11" a="1"/>
  <c r="I8" i="11"/>
  <c r="C18" i="11"/>
  <c r="F15" i="8" a="1"/>
  <c r="F15" i="8"/>
  <c r="M14" i="16"/>
  <c r="N14" i="16"/>
  <c r="O14" i="16"/>
  <c r="M15" i="16"/>
  <c r="N15" i="16"/>
  <c r="O15" i="16"/>
  <c r="M16" i="16"/>
  <c r="N16" i="16"/>
  <c r="O16" i="16"/>
  <c r="M17" i="16"/>
  <c r="N17" i="16"/>
  <c r="O17" i="16"/>
  <c r="M18" i="16"/>
  <c r="N18" i="16"/>
  <c r="O18" i="16"/>
  <c r="M19" i="16"/>
  <c r="N19" i="16"/>
  <c r="O19" i="16"/>
  <c r="M20" i="16"/>
  <c r="N20" i="16"/>
  <c r="O20" i="16"/>
  <c r="M21" i="16"/>
  <c r="N21" i="16"/>
  <c r="O21" i="16"/>
  <c r="M22" i="16"/>
  <c r="N22" i="16"/>
  <c r="O22" i="16"/>
  <c r="M23" i="16"/>
  <c r="N23" i="16"/>
  <c r="O23" i="16"/>
  <c r="M24" i="16"/>
  <c r="N24" i="16"/>
  <c r="O24" i="16"/>
  <c r="M25" i="16"/>
  <c r="N25" i="16"/>
  <c r="O25" i="16"/>
  <c r="M26" i="16"/>
  <c r="N26" i="16"/>
  <c r="O26" i="16"/>
  <c r="M27" i="16"/>
  <c r="N27" i="16"/>
  <c r="O27" i="16"/>
  <c r="M28" i="16"/>
  <c r="N28" i="16"/>
  <c r="O28" i="16"/>
  <c r="M29" i="16"/>
  <c r="N29" i="16"/>
  <c r="O29" i="16"/>
  <c r="M30" i="16"/>
  <c r="N30" i="16"/>
  <c r="O30" i="16"/>
  <c r="M31" i="16"/>
  <c r="N31" i="16"/>
  <c r="O31" i="16"/>
  <c r="M32" i="16"/>
  <c r="N32" i="16"/>
  <c r="O32" i="16"/>
  <c r="M33" i="16"/>
  <c r="N33" i="16"/>
  <c r="O33" i="16"/>
  <c r="M34" i="16"/>
  <c r="N34" i="16"/>
  <c r="O34" i="16"/>
  <c r="M35" i="16"/>
  <c r="N35" i="16"/>
  <c r="O35" i="16"/>
  <c r="M36" i="16"/>
  <c r="N36" i="16"/>
  <c r="O36" i="16"/>
  <c r="M37" i="16"/>
  <c r="N37" i="16"/>
  <c r="O37" i="16"/>
  <c r="M38" i="16"/>
  <c r="N38" i="16"/>
  <c r="O38" i="16"/>
  <c r="M39" i="16"/>
  <c r="N39" i="16"/>
  <c r="O39" i="16"/>
  <c r="M40" i="16"/>
  <c r="N40" i="16"/>
  <c r="O40" i="16"/>
  <c r="M41" i="16"/>
  <c r="N41" i="16"/>
  <c r="O41" i="16"/>
  <c r="M42" i="16"/>
  <c r="N42" i="16"/>
  <c r="O42" i="16"/>
  <c r="M43" i="16"/>
  <c r="N43" i="16"/>
  <c r="O43" i="16"/>
  <c r="M44" i="16"/>
  <c r="N44" i="16"/>
  <c r="O44" i="16"/>
  <c r="M45" i="16"/>
  <c r="N45" i="16"/>
  <c r="O45" i="16"/>
  <c r="M46" i="16"/>
  <c r="N46" i="16"/>
  <c r="O46" i="16"/>
  <c r="M47" i="16"/>
  <c r="N47" i="16"/>
  <c r="O47" i="16"/>
  <c r="M48" i="16"/>
  <c r="N48" i="16"/>
  <c r="O48" i="16"/>
  <c r="M49" i="16"/>
  <c r="N49" i="16"/>
  <c r="O49" i="16"/>
  <c r="M50" i="16"/>
  <c r="N50" i="16"/>
  <c r="O50" i="16"/>
  <c r="M51" i="16"/>
  <c r="N51" i="16"/>
  <c r="O51" i="16"/>
  <c r="M52" i="16"/>
  <c r="N52" i="16"/>
  <c r="O52" i="16"/>
  <c r="M53" i="16"/>
  <c r="N53" i="16"/>
  <c r="O53" i="16"/>
  <c r="M54" i="16"/>
  <c r="N54" i="16"/>
  <c r="O54" i="16"/>
  <c r="M55" i="16"/>
  <c r="N55" i="16"/>
  <c r="O55" i="16"/>
  <c r="M56" i="16"/>
  <c r="N56" i="16"/>
  <c r="O56" i="16"/>
  <c r="M57" i="16"/>
  <c r="N57" i="16"/>
  <c r="O57" i="16"/>
  <c r="M58" i="16"/>
  <c r="N58" i="16"/>
  <c r="O58" i="16"/>
  <c r="M59" i="16"/>
  <c r="N59" i="16"/>
  <c r="O59" i="16"/>
  <c r="M60" i="16"/>
  <c r="N60" i="16"/>
  <c r="O60" i="16"/>
  <c r="M61" i="16"/>
  <c r="N61" i="16"/>
  <c r="O61" i="16"/>
  <c r="M62" i="16"/>
  <c r="N62" i="16"/>
  <c r="O62" i="16"/>
  <c r="M63" i="16"/>
  <c r="N63" i="16"/>
  <c r="O63" i="16"/>
  <c r="M64" i="16"/>
  <c r="N64" i="16"/>
  <c r="O64" i="16"/>
  <c r="M65" i="16"/>
  <c r="N65" i="16"/>
  <c r="O65" i="16"/>
  <c r="M66" i="16"/>
  <c r="N66" i="16"/>
  <c r="O66" i="16"/>
  <c r="M67" i="16"/>
  <c r="N67" i="16"/>
  <c r="O67" i="16"/>
  <c r="M68" i="16"/>
  <c r="N68" i="16"/>
  <c r="O68" i="16"/>
  <c r="M69" i="16"/>
  <c r="N69" i="16"/>
  <c r="O69" i="16"/>
  <c r="M70" i="16"/>
  <c r="N70" i="16"/>
  <c r="O70" i="16"/>
  <c r="M71" i="16"/>
  <c r="N71" i="16"/>
  <c r="O71" i="16"/>
  <c r="M72" i="16"/>
  <c r="N72" i="16"/>
  <c r="O72" i="16"/>
  <c r="M73" i="16"/>
  <c r="N73" i="16"/>
  <c r="O73" i="16"/>
  <c r="M74" i="16"/>
  <c r="N74" i="16"/>
  <c r="O74" i="16"/>
  <c r="M75" i="16"/>
  <c r="N75" i="16"/>
  <c r="O75" i="16"/>
  <c r="M76" i="16"/>
  <c r="N76" i="16"/>
  <c r="O76" i="16"/>
  <c r="M77" i="16"/>
  <c r="N77" i="16"/>
  <c r="O77" i="16"/>
  <c r="M78" i="16"/>
  <c r="N78" i="16"/>
  <c r="O78" i="16"/>
  <c r="M79" i="16"/>
  <c r="N79" i="16"/>
  <c r="O79" i="16"/>
  <c r="M80" i="16"/>
  <c r="N80" i="16"/>
  <c r="O80" i="16"/>
  <c r="M81" i="16"/>
  <c r="N81" i="16"/>
  <c r="O81" i="16"/>
  <c r="M82" i="16"/>
  <c r="N82" i="16"/>
  <c r="O82" i="16"/>
  <c r="M83" i="16"/>
  <c r="N83" i="16"/>
  <c r="O83" i="16"/>
  <c r="M84" i="16"/>
  <c r="N84" i="16"/>
  <c r="O84" i="16"/>
  <c r="M85" i="16"/>
  <c r="N85" i="16"/>
  <c r="O85" i="16"/>
  <c r="M86" i="16"/>
  <c r="N86" i="16"/>
  <c r="O86" i="16"/>
  <c r="M87" i="16"/>
  <c r="N87" i="16"/>
  <c r="O87" i="16"/>
  <c r="M88" i="16"/>
  <c r="N88" i="16"/>
  <c r="O88" i="16"/>
  <c r="M89" i="16"/>
  <c r="N89" i="16"/>
  <c r="O89" i="16"/>
  <c r="M90" i="16"/>
  <c r="N90" i="16"/>
  <c r="O90" i="16"/>
  <c r="M91" i="16"/>
  <c r="N91" i="16"/>
  <c r="O91" i="16"/>
  <c r="M92" i="16"/>
  <c r="N92" i="16"/>
  <c r="O92" i="16"/>
  <c r="M93" i="16"/>
  <c r="N93" i="16"/>
  <c r="O93" i="16"/>
  <c r="M94" i="16"/>
  <c r="N94" i="16"/>
  <c r="O94" i="16"/>
  <c r="M95" i="16"/>
  <c r="N95" i="16"/>
  <c r="O95" i="16"/>
  <c r="M96" i="16"/>
  <c r="N96" i="16"/>
  <c r="O96" i="16"/>
  <c r="M97" i="16"/>
  <c r="N97" i="16"/>
  <c r="O97" i="16"/>
  <c r="M98" i="16"/>
  <c r="N98" i="16"/>
  <c r="O98" i="16"/>
  <c r="M99" i="16"/>
  <c r="N99" i="16"/>
  <c r="O99" i="16"/>
  <c r="M100" i="16"/>
  <c r="N100" i="16"/>
  <c r="O100" i="16"/>
  <c r="M101" i="16"/>
  <c r="N101" i="16"/>
  <c r="O101" i="16"/>
  <c r="M102" i="16"/>
  <c r="N102" i="16"/>
  <c r="O102" i="16"/>
  <c r="M103" i="16"/>
  <c r="N103" i="16"/>
  <c r="O103" i="16"/>
  <c r="M104" i="16"/>
  <c r="N104" i="16"/>
  <c r="O104" i="16"/>
  <c r="M105" i="16"/>
  <c r="N105" i="16"/>
  <c r="O105" i="16"/>
  <c r="M106" i="16"/>
  <c r="N106" i="16"/>
  <c r="O106" i="16"/>
  <c r="M107" i="16"/>
  <c r="N107" i="16"/>
  <c r="O107" i="16"/>
  <c r="M108" i="16"/>
  <c r="N108" i="16"/>
  <c r="O108" i="16"/>
  <c r="M109" i="16"/>
  <c r="O109" i="16"/>
  <c r="M110" i="16"/>
  <c r="O110" i="16"/>
  <c r="M111" i="16"/>
  <c r="O111" i="16"/>
  <c r="M112" i="16"/>
  <c r="O112" i="16"/>
  <c r="M113" i="16"/>
  <c r="O113" i="16"/>
  <c r="M114" i="16"/>
  <c r="O114" i="16"/>
  <c r="M115" i="16"/>
  <c r="O115" i="16"/>
  <c r="M116" i="16"/>
  <c r="O116" i="16"/>
  <c r="M117" i="16"/>
  <c r="O117" i="16"/>
  <c r="M118" i="16"/>
  <c r="O118" i="16"/>
  <c r="M119" i="16"/>
  <c r="O119" i="16"/>
  <c r="M120" i="16"/>
  <c r="O120" i="16"/>
  <c r="M121" i="16"/>
  <c r="O121" i="16"/>
  <c r="M122" i="16"/>
  <c r="O122" i="16"/>
  <c r="M123" i="16"/>
  <c r="O123" i="16"/>
  <c r="M124" i="16"/>
  <c r="O124" i="16"/>
  <c r="M125" i="16"/>
  <c r="O125" i="16"/>
  <c r="M126" i="16"/>
  <c r="O126" i="16"/>
  <c r="M127" i="16"/>
  <c r="O127" i="16"/>
  <c r="M128" i="16"/>
  <c r="O128" i="16"/>
  <c r="M129" i="16"/>
  <c r="O129" i="16"/>
  <c r="M130" i="16"/>
  <c r="O130" i="16"/>
  <c r="M131" i="16"/>
  <c r="O131" i="16"/>
  <c r="M132" i="16"/>
  <c r="O132" i="16"/>
  <c r="M133" i="16"/>
  <c r="O133" i="16"/>
  <c r="M134" i="16"/>
  <c r="O134" i="16"/>
  <c r="M135" i="16"/>
  <c r="O135" i="16"/>
  <c r="M136" i="16"/>
  <c r="O136" i="16"/>
  <c r="M137" i="16"/>
  <c r="O137" i="16"/>
  <c r="M138" i="16"/>
  <c r="O138" i="16"/>
  <c r="M139" i="16"/>
  <c r="O139" i="16"/>
  <c r="M140" i="16"/>
  <c r="O140" i="16"/>
  <c r="M141" i="16"/>
  <c r="O141" i="16"/>
  <c r="M142" i="16"/>
  <c r="O142" i="16"/>
  <c r="M143" i="16"/>
  <c r="O143" i="16"/>
  <c r="M144" i="16"/>
  <c r="O144" i="16"/>
  <c r="M145" i="16"/>
  <c r="O145" i="16"/>
  <c r="M146" i="16"/>
  <c r="O146" i="16"/>
  <c r="M147" i="16"/>
  <c r="O147" i="16"/>
  <c r="M148" i="16"/>
  <c r="O148" i="16"/>
  <c r="M149" i="16"/>
  <c r="O149" i="16"/>
  <c r="M150" i="16"/>
  <c r="O150" i="16"/>
  <c r="M151" i="16"/>
  <c r="O151" i="16"/>
  <c r="M152" i="16"/>
  <c r="O152" i="16"/>
  <c r="M153" i="16"/>
  <c r="O153" i="16"/>
  <c r="M154" i="16"/>
  <c r="O154" i="16"/>
  <c r="M155" i="16"/>
  <c r="O155" i="16"/>
  <c r="M156" i="16"/>
  <c r="O156" i="16"/>
  <c r="M157" i="16"/>
  <c r="O157" i="16"/>
  <c r="M158" i="16"/>
  <c r="O158" i="16"/>
  <c r="M159" i="16"/>
  <c r="O159" i="16"/>
  <c r="M160" i="16"/>
  <c r="O160" i="16"/>
  <c r="M161" i="16"/>
  <c r="O161" i="16"/>
  <c r="M162" i="16"/>
  <c r="O162" i="16"/>
  <c r="M163" i="16"/>
  <c r="O163" i="16"/>
  <c r="M164" i="16"/>
  <c r="O164" i="16"/>
  <c r="M165" i="16"/>
  <c r="O165" i="16"/>
  <c r="M166" i="16"/>
  <c r="O166" i="16"/>
  <c r="M167" i="16"/>
  <c r="O167" i="16"/>
  <c r="M168" i="16"/>
  <c r="O168" i="16"/>
  <c r="M169" i="16"/>
  <c r="O169" i="16"/>
  <c r="M170" i="16"/>
  <c r="O170" i="16"/>
  <c r="M171" i="16"/>
  <c r="O171" i="16"/>
  <c r="M172" i="16"/>
  <c r="O172" i="16"/>
  <c r="M173" i="16"/>
  <c r="O173" i="16"/>
  <c r="M174" i="16"/>
  <c r="O174" i="16"/>
  <c r="M175" i="16"/>
  <c r="O175" i="16"/>
  <c r="M176" i="16"/>
  <c r="O176" i="16"/>
  <c r="M177" i="16"/>
  <c r="O177" i="16"/>
  <c r="M178" i="16"/>
  <c r="O178" i="16"/>
  <c r="M179" i="16"/>
  <c r="O179" i="16"/>
  <c r="M180" i="16"/>
  <c r="O180" i="16"/>
  <c r="M181" i="16"/>
  <c r="O181" i="16"/>
  <c r="M182" i="16"/>
  <c r="O182" i="16"/>
  <c r="M183" i="16"/>
  <c r="O183" i="16"/>
  <c r="M184" i="16"/>
  <c r="O184" i="16"/>
  <c r="M185" i="16"/>
  <c r="O185" i="16"/>
  <c r="M186" i="16"/>
  <c r="O186" i="16"/>
  <c r="M187" i="16"/>
  <c r="O187" i="16"/>
  <c r="M188" i="16"/>
  <c r="O188" i="16"/>
  <c r="M189" i="16"/>
  <c r="O189" i="16"/>
  <c r="M190" i="16"/>
  <c r="O190" i="16"/>
  <c r="M191" i="16"/>
  <c r="O191" i="16"/>
  <c r="M192" i="16"/>
  <c r="O192" i="16"/>
  <c r="M193" i="16"/>
  <c r="O193" i="16"/>
  <c r="M194" i="16"/>
  <c r="O194" i="16"/>
  <c r="M195" i="16"/>
  <c r="O195" i="16"/>
  <c r="M196" i="16"/>
  <c r="O196" i="16"/>
  <c r="M197" i="16"/>
  <c r="O197" i="16"/>
  <c r="M198" i="16"/>
  <c r="O198" i="16"/>
  <c r="M199" i="16"/>
  <c r="O199" i="16"/>
  <c r="M200" i="16"/>
  <c r="O200" i="16"/>
  <c r="M201" i="16"/>
  <c r="O201" i="16"/>
  <c r="M202" i="16"/>
  <c r="O202" i="16"/>
  <c r="M203" i="16"/>
  <c r="O203" i="16"/>
  <c r="M204" i="16"/>
  <c r="O204" i="16"/>
  <c r="M205" i="16"/>
  <c r="O205" i="16"/>
  <c r="M206" i="16"/>
  <c r="O206" i="16"/>
  <c r="M207" i="16"/>
  <c r="O207" i="16"/>
  <c r="M208" i="16"/>
  <c r="O208" i="16"/>
  <c r="M209" i="16"/>
  <c r="O209" i="16"/>
  <c r="M210" i="16"/>
  <c r="O210" i="16"/>
  <c r="M211" i="16"/>
  <c r="O211" i="16"/>
  <c r="M212" i="16"/>
  <c r="O212" i="16"/>
  <c r="M213" i="16"/>
  <c r="O213" i="16"/>
  <c r="M214" i="16"/>
  <c r="O214" i="16"/>
  <c r="M215" i="16"/>
  <c r="O215" i="16"/>
  <c r="M216" i="16"/>
  <c r="O216" i="16"/>
  <c r="M217" i="16"/>
  <c r="O217" i="16"/>
  <c r="M218" i="16"/>
  <c r="O218" i="16"/>
  <c r="M219" i="16"/>
  <c r="O219" i="16"/>
  <c r="M220" i="16"/>
  <c r="O220" i="16"/>
  <c r="M221" i="16"/>
  <c r="O221" i="16"/>
  <c r="M222" i="16"/>
  <c r="O222" i="16"/>
  <c r="M223" i="16"/>
  <c r="O223" i="16"/>
  <c r="M224" i="16"/>
  <c r="O224" i="16"/>
  <c r="M225" i="16"/>
  <c r="O225" i="16"/>
  <c r="M226" i="16"/>
  <c r="O226" i="16"/>
  <c r="M227" i="16"/>
  <c r="O227" i="16"/>
  <c r="M228" i="16"/>
  <c r="O228" i="16"/>
  <c r="M229" i="16"/>
  <c r="O229" i="16"/>
  <c r="M230" i="16"/>
  <c r="O230" i="16"/>
  <c r="M231" i="16"/>
  <c r="O231" i="16"/>
  <c r="M232" i="16"/>
  <c r="O232" i="16"/>
  <c r="M233" i="16"/>
  <c r="O233" i="16"/>
  <c r="M234" i="16"/>
  <c r="O234" i="16"/>
  <c r="M235" i="16"/>
  <c r="O235" i="16"/>
  <c r="M236" i="16"/>
  <c r="O236" i="16"/>
  <c r="M237" i="16"/>
  <c r="O237" i="16"/>
  <c r="M238" i="16"/>
  <c r="O238" i="16"/>
  <c r="M239" i="16"/>
  <c r="O239" i="16"/>
  <c r="M240" i="16"/>
  <c r="O240" i="16"/>
  <c r="M241" i="16"/>
  <c r="O241" i="16"/>
  <c r="M242" i="16"/>
  <c r="O242" i="16"/>
  <c r="M243" i="16"/>
  <c r="O243" i="16"/>
  <c r="M244" i="16"/>
  <c r="O244" i="16"/>
  <c r="M245" i="16"/>
  <c r="O245" i="16"/>
  <c r="M246" i="16"/>
  <c r="O246" i="16"/>
  <c r="M247" i="16"/>
  <c r="O247" i="16"/>
  <c r="M248" i="16"/>
  <c r="O248" i="16"/>
  <c r="M249" i="16"/>
  <c r="O249" i="16"/>
  <c r="M250" i="16"/>
  <c r="O250" i="16"/>
  <c r="M251" i="16"/>
  <c r="O251" i="16"/>
  <c r="M252" i="16"/>
  <c r="O252" i="16"/>
  <c r="M253" i="16"/>
  <c r="O253" i="16"/>
  <c r="M254" i="16"/>
  <c r="O254" i="16"/>
  <c r="M255" i="16"/>
  <c r="O255" i="16"/>
  <c r="M256" i="16"/>
  <c r="O256" i="16"/>
  <c r="M257" i="16"/>
  <c r="O257" i="16"/>
  <c r="M258" i="16"/>
  <c r="O258" i="16"/>
  <c r="M259" i="16"/>
  <c r="O259" i="16"/>
  <c r="M260" i="16"/>
  <c r="O260" i="16"/>
  <c r="M261" i="16"/>
  <c r="O261" i="16"/>
  <c r="M262" i="16"/>
  <c r="O262" i="16"/>
  <c r="M263" i="16"/>
  <c r="O263" i="16"/>
  <c r="M264" i="16"/>
  <c r="O264" i="16"/>
  <c r="M265" i="16"/>
  <c r="O265" i="16"/>
  <c r="M266" i="16"/>
  <c r="O266" i="16"/>
  <c r="M267" i="16"/>
  <c r="O267" i="16"/>
  <c r="M268" i="16"/>
  <c r="O268" i="16"/>
  <c r="M269" i="16"/>
  <c r="O269" i="16"/>
  <c r="M270" i="16"/>
  <c r="O270" i="16"/>
  <c r="M271" i="16"/>
  <c r="O271" i="16"/>
  <c r="M272" i="16"/>
  <c r="O272" i="16"/>
  <c r="M273" i="16"/>
  <c r="O273" i="16"/>
  <c r="M274" i="16"/>
  <c r="O274" i="16"/>
  <c r="M275" i="16"/>
  <c r="O275" i="16"/>
  <c r="M276" i="16"/>
  <c r="O276" i="16"/>
  <c r="M277" i="16"/>
  <c r="O277" i="16"/>
  <c r="M278" i="16"/>
  <c r="O278" i="16"/>
  <c r="M279" i="16"/>
  <c r="O279" i="16"/>
  <c r="M280" i="16"/>
  <c r="O280" i="16"/>
  <c r="M281" i="16"/>
  <c r="O281" i="16"/>
  <c r="M282" i="16"/>
  <c r="O282" i="16"/>
  <c r="M283" i="16"/>
  <c r="O283" i="16"/>
  <c r="M284" i="16"/>
  <c r="O284" i="16"/>
  <c r="M285" i="16"/>
  <c r="O285" i="16"/>
  <c r="M286" i="16"/>
  <c r="O286" i="16"/>
  <c r="M287" i="16"/>
  <c r="O287" i="16"/>
  <c r="M288" i="16"/>
  <c r="O288" i="16"/>
  <c r="M289" i="16"/>
  <c r="O289" i="16"/>
  <c r="M290" i="16"/>
  <c r="O290" i="16"/>
  <c r="M291" i="16"/>
  <c r="O291" i="16"/>
  <c r="M292" i="16"/>
  <c r="O292" i="16"/>
  <c r="M293" i="16"/>
  <c r="O293" i="16"/>
  <c r="M294" i="16"/>
  <c r="O294" i="16"/>
  <c r="M295" i="16"/>
  <c r="O295" i="16"/>
  <c r="M296" i="16"/>
  <c r="O296" i="16"/>
  <c r="M297" i="16"/>
  <c r="O297" i="16"/>
  <c r="M298" i="16"/>
  <c r="O298" i="16"/>
  <c r="M299" i="16"/>
  <c r="O299" i="16"/>
  <c r="M300" i="16"/>
  <c r="O300" i="16"/>
  <c r="M301" i="16"/>
  <c r="O301" i="16"/>
  <c r="M302" i="16"/>
  <c r="O302" i="16"/>
  <c r="M303" i="16"/>
  <c r="O303" i="16"/>
  <c r="M304" i="16"/>
  <c r="O304" i="16"/>
  <c r="M305" i="16"/>
  <c r="O305" i="16"/>
  <c r="M306" i="16"/>
  <c r="O306" i="16"/>
  <c r="M307" i="16"/>
  <c r="O307" i="16"/>
  <c r="M308" i="16"/>
  <c r="O308" i="16"/>
  <c r="M309" i="16"/>
  <c r="O309" i="16"/>
  <c r="M310" i="16"/>
  <c r="O310" i="16"/>
  <c r="M311" i="16"/>
  <c r="O311" i="16"/>
  <c r="M312" i="16"/>
  <c r="O312" i="16"/>
  <c r="M313" i="16"/>
  <c r="O3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N12" i="16"/>
  <c r="N11" i="16"/>
  <c r="N10" i="16"/>
  <c r="Q14" i="16"/>
  <c r="R14" i="16"/>
  <c r="S14" i="16"/>
  <c r="Q15" i="16"/>
  <c r="R15" i="16"/>
  <c r="S15" i="16"/>
  <c r="Q16" i="16"/>
  <c r="R16" i="16"/>
  <c r="S16" i="16"/>
  <c r="Q17" i="16"/>
  <c r="R17" i="16"/>
  <c r="S17" i="16"/>
  <c r="Q18" i="16"/>
  <c r="R18" i="16"/>
  <c r="S18" i="16"/>
  <c r="Q19" i="16"/>
  <c r="R19" i="16"/>
  <c r="S19" i="16"/>
  <c r="Q20" i="16"/>
  <c r="R20" i="16"/>
  <c r="S20" i="16"/>
  <c r="Q21" i="16"/>
  <c r="R21" i="16"/>
  <c r="S21" i="16"/>
  <c r="Q22" i="16"/>
  <c r="R22" i="16"/>
  <c r="S22" i="16"/>
  <c r="Q23" i="16"/>
  <c r="R23" i="16"/>
  <c r="S23" i="16"/>
  <c r="Q24" i="16"/>
  <c r="R24" i="16"/>
  <c r="S24" i="16"/>
  <c r="Q25" i="16"/>
  <c r="R25" i="16"/>
  <c r="S25" i="16"/>
  <c r="Q26" i="16"/>
  <c r="R26" i="16"/>
  <c r="S26" i="16"/>
  <c r="Q27" i="16"/>
  <c r="R27" i="16"/>
  <c r="S27" i="16"/>
  <c r="Q28" i="16"/>
  <c r="R28" i="16"/>
  <c r="S28" i="16"/>
  <c r="Q29" i="16"/>
  <c r="R29" i="16"/>
  <c r="S29" i="16"/>
  <c r="Q30" i="16"/>
  <c r="R30" i="16"/>
  <c r="S30" i="16"/>
  <c r="Q31" i="16"/>
  <c r="R31" i="16"/>
  <c r="S31" i="16"/>
  <c r="Q32" i="16"/>
  <c r="R32" i="16"/>
  <c r="S32" i="16"/>
  <c r="Q33" i="16"/>
  <c r="R33" i="16"/>
  <c r="S33" i="16"/>
  <c r="Q34" i="16"/>
  <c r="R34" i="16"/>
  <c r="S34" i="16"/>
  <c r="Q35" i="16"/>
  <c r="R35" i="16"/>
  <c r="S35" i="16"/>
  <c r="Q36" i="16"/>
  <c r="R36" i="16"/>
  <c r="S36" i="16"/>
  <c r="Q37" i="16"/>
  <c r="R37" i="16"/>
  <c r="S37" i="16"/>
  <c r="Q38" i="16"/>
  <c r="R38" i="16"/>
  <c r="S38" i="16"/>
  <c r="Q39" i="16"/>
  <c r="R39" i="16"/>
  <c r="S39" i="16"/>
  <c r="Q40" i="16"/>
  <c r="R40" i="16"/>
  <c r="S40" i="16"/>
  <c r="Q41" i="16"/>
  <c r="R41" i="16"/>
  <c r="S41" i="16"/>
  <c r="Q42" i="16"/>
  <c r="R42" i="16"/>
  <c r="S42" i="16"/>
  <c r="Q43" i="16"/>
  <c r="R43" i="16"/>
  <c r="S43" i="16"/>
  <c r="Q44" i="16"/>
  <c r="R44" i="16"/>
  <c r="S44" i="16"/>
  <c r="Q45" i="16"/>
  <c r="R45" i="16"/>
  <c r="S45" i="16"/>
  <c r="Q46" i="16"/>
  <c r="R46" i="16"/>
  <c r="S46" i="16"/>
  <c r="Q47" i="16"/>
  <c r="R47" i="16"/>
  <c r="S47" i="16"/>
  <c r="Q48" i="16"/>
  <c r="R48" i="16"/>
  <c r="S48" i="16"/>
  <c r="Q49" i="16"/>
  <c r="R49" i="16"/>
  <c r="S49" i="16"/>
  <c r="Q50" i="16"/>
  <c r="R50" i="16"/>
  <c r="S50" i="16"/>
  <c r="Q51" i="16"/>
  <c r="R51" i="16"/>
  <c r="S51" i="16"/>
  <c r="Q52" i="16"/>
  <c r="R52" i="16"/>
  <c r="S52" i="16"/>
  <c r="Q53" i="16"/>
  <c r="R53" i="16"/>
  <c r="S53" i="16"/>
  <c r="Q54" i="16"/>
  <c r="R54" i="16"/>
  <c r="S54" i="16"/>
  <c r="Q55" i="16"/>
  <c r="R55" i="16"/>
  <c r="S55" i="16"/>
  <c r="Q56" i="16"/>
  <c r="R56" i="16"/>
  <c r="S56" i="16"/>
  <c r="Q57" i="16"/>
  <c r="R57" i="16"/>
  <c r="S57" i="16"/>
  <c r="Q58" i="16"/>
  <c r="R58" i="16"/>
  <c r="S58" i="16"/>
  <c r="Q59" i="16"/>
  <c r="R59" i="16"/>
  <c r="S59" i="16"/>
  <c r="Q60" i="16"/>
  <c r="R60" i="16"/>
  <c r="S60" i="16"/>
  <c r="Q61" i="16"/>
  <c r="R61" i="16"/>
  <c r="S61" i="16"/>
  <c r="Q62" i="16"/>
  <c r="R62" i="16"/>
  <c r="S62" i="16"/>
  <c r="Q63" i="16"/>
  <c r="R63" i="16"/>
  <c r="S63" i="16"/>
  <c r="Q64" i="16"/>
  <c r="R64" i="16"/>
  <c r="S64" i="16"/>
  <c r="Q65" i="16"/>
  <c r="R65" i="16"/>
  <c r="S65" i="16"/>
  <c r="Q66" i="16"/>
  <c r="R66" i="16"/>
  <c r="S66" i="16"/>
  <c r="Q67" i="16"/>
  <c r="R67" i="16"/>
  <c r="S67" i="16"/>
  <c r="Q68" i="16"/>
  <c r="R68" i="16"/>
  <c r="S68" i="16"/>
  <c r="Q69" i="16"/>
  <c r="R69" i="16"/>
  <c r="S69" i="16"/>
  <c r="Q70" i="16"/>
  <c r="R70" i="16"/>
  <c r="S70" i="16"/>
  <c r="Q71" i="16"/>
  <c r="R71" i="16"/>
  <c r="S71" i="16"/>
  <c r="Q72" i="16"/>
  <c r="R72" i="16"/>
  <c r="S72" i="16"/>
  <c r="Q73" i="16"/>
  <c r="R73" i="16"/>
  <c r="S73" i="16"/>
  <c r="Q74" i="16"/>
  <c r="R74" i="16"/>
  <c r="S74" i="16"/>
  <c r="Q75" i="16"/>
  <c r="R75" i="16"/>
  <c r="S75" i="16"/>
  <c r="Q76" i="16"/>
  <c r="R76" i="16"/>
  <c r="S76" i="16"/>
  <c r="Q77" i="16"/>
  <c r="R77" i="16"/>
  <c r="S77" i="16"/>
  <c r="Q78" i="16"/>
  <c r="R78" i="16"/>
  <c r="S78" i="16"/>
  <c r="Q79" i="16"/>
  <c r="R79" i="16"/>
  <c r="S79" i="16"/>
  <c r="Q80" i="16"/>
  <c r="R80" i="16"/>
  <c r="S80" i="16"/>
  <c r="Q81" i="16"/>
  <c r="R81" i="16"/>
  <c r="S81" i="16"/>
  <c r="Q82" i="16"/>
  <c r="R82" i="16"/>
  <c r="S82" i="16"/>
  <c r="Q83" i="16"/>
  <c r="R83" i="16"/>
  <c r="S83" i="16"/>
  <c r="Q84" i="16"/>
  <c r="R84" i="16"/>
  <c r="S84" i="16"/>
  <c r="Q85" i="16"/>
  <c r="R85" i="16"/>
  <c r="S85" i="16"/>
  <c r="Q86" i="16"/>
  <c r="R86" i="16"/>
  <c r="S86" i="16"/>
  <c r="Q87" i="16"/>
  <c r="R87" i="16"/>
  <c r="S87" i="16"/>
  <c r="Q88" i="16"/>
  <c r="R88" i="16"/>
  <c r="S88" i="16"/>
  <c r="Q89" i="16"/>
  <c r="R89" i="16"/>
  <c r="S89" i="16"/>
  <c r="Q90" i="16"/>
  <c r="R90" i="16"/>
  <c r="S90" i="16"/>
  <c r="Q91" i="16"/>
  <c r="R91" i="16"/>
  <c r="S91" i="16"/>
  <c r="Q92" i="16"/>
  <c r="R92" i="16"/>
  <c r="S92" i="16"/>
  <c r="Q93" i="16"/>
  <c r="R93" i="16"/>
  <c r="S93" i="16"/>
  <c r="Q94" i="16"/>
  <c r="R94" i="16"/>
  <c r="S94" i="16"/>
  <c r="Q95" i="16"/>
  <c r="R95" i="16"/>
  <c r="S95" i="16"/>
  <c r="Q96" i="16"/>
  <c r="R96" i="16"/>
  <c r="S96" i="16"/>
  <c r="Q97" i="16"/>
  <c r="R97" i="16"/>
  <c r="S97" i="16"/>
  <c r="Q98" i="16"/>
  <c r="R98" i="16"/>
  <c r="S98" i="16"/>
  <c r="Q99" i="16"/>
  <c r="R99" i="16"/>
  <c r="S99" i="16"/>
  <c r="Q100" i="16"/>
  <c r="R100" i="16"/>
  <c r="S100" i="16"/>
  <c r="Q101" i="16"/>
  <c r="R101" i="16"/>
  <c r="S101" i="16"/>
  <c r="Q102" i="16"/>
  <c r="R102" i="16"/>
  <c r="S102" i="16"/>
  <c r="Q103" i="16"/>
  <c r="R103" i="16"/>
  <c r="S103" i="16"/>
  <c r="Q104" i="16"/>
  <c r="R104" i="16"/>
  <c r="S104" i="16"/>
  <c r="Q105" i="16"/>
  <c r="R105" i="16"/>
  <c r="S105" i="16"/>
  <c r="Q106" i="16"/>
  <c r="R106" i="16"/>
  <c r="S106" i="16"/>
  <c r="Q107" i="16"/>
  <c r="R107" i="16"/>
  <c r="S107" i="16"/>
  <c r="Q108" i="16"/>
  <c r="R108" i="16"/>
  <c r="S108" i="16"/>
  <c r="Q109" i="16"/>
  <c r="S109" i="16"/>
  <c r="Q110" i="16"/>
  <c r="S110" i="16"/>
  <c r="Q111" i="16"/>
  <c r="S111" i="16"/>
  <c r="Q112" i="16"/>
  <c r="S112" i="16"/>
  <c r="Q113" i="16"/>
  <c r="S113" i="16"/>
  <c r="Q114" i="16"/>
  <c r="S114" i="16"/>
  <c r="Q115" i="16"/>
  <c r="S115" i="16"/>
  <c r="Q116" i="16"/>
  <c r="S116" i="16"/>
  <c r="Q117" i="16"/>
  <c r="S117" i="16"/>
  <c r="Q118" i="16"/>
  <c r="S118" i="16"/>
  <c r="Q119" i="16"/>
  <c r="S119" i="16"/>
  <c r="Q120" i="16"/>
  <c r="S120" i="16"/>
  <c r="Q121" i="16"/>
  <c r="S121" i="16"/>
  <c r="Q122" i="16"/>
  <c r="S122" i="16"/>
  <c r="Q123" i="16"/>
  <c r="S123" i="16"/>
  <c r="Q124" i="16"/>
  <c r="S124" i="16"/>
  <c r="Q125" i="16"/>
  <c r="S125" i="16"/>
  <c r="Q126" i="16"/>
  <c r="S126" i="16"/>
  <c r="Q127" i="16"/>
  <c r="S127" i="16"/>
  <c r="Q128" i="16"/>
  <c r="S128" i="16"/>
  <c r="Q129" i="16"/>
  <c r="S129" i="16"/>
  <c r="Q130" i="16"/>
  <c r="S130" i="16"/>
  <c r="Q131" i="16"/>
  <c r="S131" i="16"/>
  <c r="Q132" i="16"/>
  <c r="S132" i="16"/>
  <c r="Q133" i="16"/>
  <c r="S133" i="16"/>
  <c r="Q134" i="16"/>
  <c r="S134" i="16"/>
  <c r="Q135" i="16"/>
  <c r="S135" i="16"/>
  <c r="Q136" i="16"/>
  <c r="S136" i="16"/>
  <c r="Q137" i="16"/>
  <c r="S137" i="16"/>
  <c r="Q138" i="16"/>
  <c r="S138" i="16"/>
  <c r="Q139" i="16"/>
  <c r="S139" i="16"/>
  <c r="Q140" i="16"/>
  <c r="S140" i="16"/>
  <c r="Q141" i="16"/>
  <c r="S141" i="16"/>
  <c r="Q142" i="16"/>
  <c r="S142" i="16"/>
  <c r="Q143" i="16"/>
  <c r="S143" i="16"/>
  <c r="Q144" i="16"/>
  <c r="S144" i="16"/>
  <c r="Q145" i="16"/>
  <c r="S145" i="16"/>
  <c r="Q146" i="16"/>
  <c r="S146" i="16"/>
  <c r="Q147" i="16"/>
  <c r="S147" i="16"/>
  <c r="Q148" i="16"/>
  <c r="S148" i="16"/>
  <c r="Q149" i="16"/>
  <c r="S149" i="16"/>
  <c r="Q150" i="16"/>
  <c r="S150" i="16"/>
  <c r="Q151" i="16"/>
  <c r="S151" i="16"/>
  <c r="Q152" i="16"/>
  <c r="S152" i="16"/>
  <c r="Q153" i="16"/>
  <c r="S153" i="16"/>
  <c r="Q154" i="16"/>
  <c r="S154" i="16"/>
  <c r="Q155" i="16"/>
  <c r="S155" i="16"/>
  <c r="Q156" i="16"/>
  <c r="S156" i="16"/>
  <c r="Q157" i="16"/>
  <c r="S157" i="16"/>
  <c r="Q158" i="16"/>
  <c r="S158" i="16"/>
  <c r="Q159" i="16"/>
  <c r="S159" i="16"/>
  <c r="Q160" i="16"/>
  <c r="S160" i="16"/>
  <c r="Q161" i="16"/>
  <c r="S161" i="16"/>
  <c r="Q162" i="16"/>
  <c r="S162" i="16"/>
  <c r="Q163" i="16"/>
  <c r="S163" i="16"/>
  <c r="Q164" i="16"/>
  <c r="S164" i="16"/>
  <c r="Q165" i="16"/>
  <c r="S165" i="16"/>
  <c r="Q166" i="16"/>
  <c r="S166" i="16"/>
  <c r="Q167" i="16"/>
  <c r="S167" i="16"/>
  <c r="Q168" i="16"/>
  <c r="S168" i="16"/>
  <c r="Q169" i="16"/>
  <c r="S169" i="16"/>
  <c r="Q170" i="16"/>
  <c r="S170" i="16"/>
  <c r="Q171" i="16"/>
  <c r="S171" i="16"/>
  <c r="Q172" i="16"/>
  <c r="S172" i="16"/>
  <c r="Q173" i="16"/>
  <c r="S173" i="16"/>
  <c r="Q174" i="16"/>
  <c r="S174" i="16"/>
  <c r="Q175" i="16"/>
  <c r="S175" i="16"/>
  <c r="Q176" i="16"/>
  <c r="S176" i="16"/>
  <c r="Q177" i="16"/>
  <c r="S177" i="16"/>
  <c r="Q178" i="16"/>
  <c r="S178" i="16"/>
  <c r="Q179" i="16"/>
  <c r="S179" i="16"/>
  <c r="Q180" i="16"/>
  <c r="S180" i="16"/>
  <c r="Q181" i="16"/>
  <c r="S181" i="16"/>
  <c r="Q182" i="16"/>
  <c r="S182" i="16"/>
  <c r="Q183" i="16"/>
  <c r="S183" i="16"/>
  <c r="Q184" i="16"/>
  <c r="S184" i="16"/>
  <c r="Q185" i="16"/>
  <c r="S185" i="16"/>
  <c r="Q186" i="16"/>
  <c r="S186" i="16"/>
  <c r="Q187" i="16"/>
  <c r="S187" i="16"/>
  <c r="Q188" i="16"/>
  <c r="S188" i="16"/>
  <c r="Q189" i="16"/>
  <c r="S189" i="16"/>
  <c r="Q190" i="16"/>
  <c r="S190" i="16"/>
  <c r="Q191" i="16"/>
  <c r="S191" i="16"/>
  <c r="Q192" i="16"/>
  <c r="S192" i="16"/>
  <c r="Q193" i="16"/>
  <c r="S193" i="16"/>
  <c r="Q194" i="16"/>
  <c r="S194" i="16"/>
  <c r="Q195" i="16"/>
  <c r="S195" i="16"/>
  <c r="Q196" i="16"/>
  <c r="S196" i="16"/>
  <c r="Q197" i="16"/>
  <c r="S197" i="16"/>
  <c r="Q198" i="16"/>
  <c r="S198" i="16"/>
  <c r="Q199" i="16"/>
  <c r="S199" i="16"/>
  <c r="Q200" i="16"/>
  <c r="S200" i="16"/>
  <c r="Q201" i="16"/>
  <c r="S201" i="16"/>
  <c r="Q202" i="16"/>
  <c r="S202" i="16"/>
  <c r="Q203" i="16"/>
  <c r="S203" i="16"/>
  <c r="Q204" i="16"/>
  <c r="S204" i="16"/>
  <c r="Q205" i="16"/>
  <c r="S205" i="16"/>
  <c r="Q206" i="16"/>
  <c r="S206" i="16"/>
  <c r="Q207" i="16"/>
  <c r="S207" i="16"/>
  <c r="Q208" i="16"/>
  <c r="S208" i="16"/>
  <c r="Q209" i="16"/>
  <c r="S209" i="16"/>
  <c r="Q210" i="16"/>
  <c r="S210" i="16"/>
  <c r="Q211" i="16"/>
  <c r="S211" i="16"/>
  <c r="Q212" i="16"/>
  <c r="S212" i="16"/>
  <c r="Q213" i="16"/>
  <c r="S213" i="16"/>
  <c r="Q214" i="16"/>
  <c r="S214" i="16"/>
  <c r="Q215" i="16"/>
  <c r="S215" i="16"/>
  <c r="Q216" i="16"/>
  <c r="S216" i="16"/>
  <c r="Q217" i="16"/>
  <c r="S217" i="16"/>
  <c r="Q218" i="16"/>
  <c r="S218" i="16"/>
  <c r="Q219" i="16"/>
  <c r="S219" i="16"/>
  <c r="Q220" i="16"/>
  <c r="S220" i="16"/>
  <c r="Q221" i="16"/>
  <c r="S221" i="16"/>
  <c r="Q222" i="16"/>
  <c r="S222" i="16"/>
  <c r="Q223" i="16"/>
  <c r="S223" i="16"/>
  <c r="Q224" i="16"/>
  <c r="S224" i="16"/>
  <c r="Q225" i="16"/>
  <c r="S225" i="16"/>
  <c r="Q226" i="16"/>
  <c r="S226" i="16"/>
  <c r="Q227" i="16"/>
  <c r="S227" i="16"/>
  <c r="Q228" i="16"/>
  <c r="S228" i="16"/>
  <c r="Q229" i="16"/>
  <c r="S229" i="16"/>
  <c r="Q230" i="16"/>
  <c r="S230" i="16"/>
  <c r="Q231" i="16"/>
  <c r="S231" i="16"/>
  <c r="Q232" i="16"/>
  <c r="S232" i="16"/>
  <c r="Q233" i="16"/>
  <c r="S233" i="16"/>
  <c r="Q234" i="16"/>
  <c r="S234" i="16"/>
  <c r="Q235" i="16"/>
  <c r="S235" i="16"/>
  <c r="Q236" i="16"/>
  <c r="S236" i="16"/>
  <c r="Q237" i="16"/>
  <c r="S237" i="16"/>
  <c r="Q238" i="16"/>
  <c r="S238" i="16"/>
  <c r="Q239" i="16"/>
  <c r="S239" i="16"/>
  <c r="Q240" i="16"/>
  <c r="S240" i="16"/>
  <c r="Q241" i="16"/>
  <c r="S241" i="16"/>
  <c r="Q242" i="16"/>
  <c r="S242" i="16"/>
  <c r="Q243" i="16"/>
  <c r="S243" i="16"/>
  <c r="Q244" i="16"/>
  <c r="S244" i="16"/>
  <c r="Q245" i="16"/>
  <c r="S245" i="16"/>
  <c r="Q246" i="16"/>
  <c r="S246" i="16"/>
  <c r="Q247" i="16"/>
  <c r="S247" i="16"/>
  <c r="Q248" i="16"/>
  <c r="S248" i="16"/>
  <c r="Q249" i="16"/>
  <c r="S249" i="16"/>
  <c r="Q250" i="16"/>
  <c r="S250" i="16"/>
  <c r="Q251" i="16"/>
  <c r="S251" i="16"/>
  <c r="Q252" i="16"/>
  <c r="S252" i="16"/>
  <c r="Q253" i="16"/>
  <c r="S253" i="16"/>
  <c r="Q254" i="16"/>
  <c r="S254" i="16"/>
  <c r="Q255" i="16"/>
  <c r="S255" i="16"/>
  <c r="Q256" i="16"/>
  <c r="S256" i="16"/>
  <c r="Q257" i="16"/>
  <c r="S257" i="16"/>
  <c r="Q258" i="16"/>
  <c r="S258" i="16"/>
  <c r="Q259" i="16"/>
  <c r="S259" i="16"/>
  <c r="Q260" i="16"/>
  <c r="S260" i="16"/>
  <c r="Q261" i="16"/>
  <c r="S261" i="16"/>
  <c r="Q262" i="16"/>
  <c r="S262" i="16"/>
  <c r="Q263" i="16"/>
  <c r="S263" i="16"/>
  <c r="Q264" i="16"/>
  <c r="S264" i="16"/>
  <c r="Q265" i="16"/>
  <c r="S265" i="16"/>
  <c r="Q266" i="16"/>
  <c r="S266" i="16"/>
  <c r="Q267" i="16"/>
  <c r="S267" i="16"/>
  <c r="Q268" i="16"/>
  <c r="S268" i="16"/>
  <c r="Q269" i="16"/>
  <c r="S269" i="16"/>
  <c r="Q270" i="16"/>
  <c r="S270" i="16"/>
  <c r="Q271" i="16"/>
  <c r="S271" i="16"/>
  <c r="Q272" i="16"/>
  <c r="S272" i="16"/>
  <c r="Q273" i="16"/>
  <c r="S273" i="16"/>
  <c r="Q274" i="16"/>
  <c r="S274" i="16"/>
  <c r="Q275" i="16"/>
  <c r="S275" i="16"/>
  <c r="Q276" i="16"/>
  <c r="S276" i="16"/>
  <c r="Q277" i="16"/>
  <c r="S277" i="16"/>
  <c r="Q278" i="16"/>
  <c r="S278" i="16"/>
  <c r="Q279" i="16"/>
  <c r="S279" i="16"/>
  <c r="Q280" i="16"/>
  <c r="S280" i="16"/>
  <c r="Q281" i="16"/>
  <c r="S281" i="16"/>
  <c r="Q282" i="16"/>
  <c r="S282" i="16"/>
  <c r="Q283" i="16"/>
  <c r="S283" i="16"/>
  <c r="Q284" i="16"/>
  <c r="S284" i="16"/>
  <c r="Q285" i="16"/>
  <c r="S285" i="16"/>
  <c r="Q286" i="16"/>
  <c r="S286" i="16"/>
  <c r="Q287" i="16"/>
  <c r="S287" i="16"/>
  <c r="Q288" i="16"/>
  <c r="S288" i="16"/>
  <c r="Q289" i="16"/>
  <c r="S289" i="16"/>
  <c r="Q290" i="16"/>
  <c r="S290" i="16"/>
  <c r="Q291" i="16"/>
  <c r="S291" i="16"/>
  <c r="Q292" i="16"/>
  <c r="S292" i="16"/>
  <c r="Q293" i="16"/>
  <c r="S293" i="16"/>
  <c r="Q294" i="16"/>
  <c r="S294" i="16"/>
  <c r="Q295" i="16"/>
  <c r="S295" i="16"/>
  <c r="Q296" i="16"/>
  <c r="S296" i="16"/>
  <c r="Q297" i="16"/>
  <c r="S297" i="16"/>
  <c r="Q298" i="16"/>
  <c r="S298" i="16"/>
  <c r="Q299" i="16"/>
  <c r="S299" i="16"/>
  <c r="Q300" i="16"/>
  <c r="S300" i="16"/>
  <c r="Q301" i="16"/>
  <c r="S301" i="16"/>
  <c r="Q302" i="16"/>
  <c r="S302" i="16"/>
  <c r="Q303" i="16"/>
  <c r="S303" i="16"/>
  <c r="Q304" i="16"/>
  <c r="S304" i="16"/>
  <c r="Q305" i="16"/>
  <c r="S305" i="16"/>
  <c r="Q306" i="16"/>
  <c r="S306" i="16"/>
  <c r="Q307" i="16"/>
  <c r="S307" i="16"/>
  <c r="Q308" i="16"/>
  <c r="S308" i="16"/>
  <c r="Q309" i="16"/>
  <c r="S309" i="16"/>
  <c r="Q310" i="16"/>
  <c r="S310" i="16"/>
  <c r="Q311" i="16"/>
  <c r="S311" i="16"/>
  <c r="Q312" i="16"/>
  <c r="S312" i="16"/>
  <c r="Q313" i="16"/>
  <c r="S3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R12" i="16"/>
  <c r="R11" i="16"/>
  <c r="R10" i="16"/>
  <c r="N109" i="16"/>
  <c r="R109" i="16"/>
  <c r="N110" i="16"/>
  <c r="R110" i="16"/>
  <c r="N111" i="16"/>
  <c r="R111" i="16"/>
  <c r="N112" i="16"/>
  <c r="R112" i="16"/>
  <c r="N113" i="16"/>
  <c r="R113" i="16"/>
  <c r="N114" i="16"/>
  <c r="R114" i="16"/>
  <c r="N115" i="16"/>
  <c r="R115" i="16"/>
  <c r="N116" i="16"/>
  <c r="R116" i="16"/>
  <c r="N117" i="16"/>
  <c r="R117" i="16"/>
  <c r="N118" i="16"/>
  <c r="R118" i="16"/>
  <c r="N119" i="16"/>
  <c r="R119" i="16"/>
  <c r="N120" i="16"/>
  <c r="R120" i="16"/>
  <c r="N121" i="16"/>
  <c r="R121" i="16"/>
  <c r="N122" i="16"/>
  <c r="R122" i="16"/>
  <c r="N123" i="16"/>
  <c r="R123" i="16"/>
  <c r="N124" i="16"/>
  <c r="R124" i="16"/>
  <c r="N125" i="16"/>
  <c r="R125" i="16"/>
  <c r="N126" i="16"/>
  <c r="R126" i="16"/>
  <c r="N127" i="16"/>
  <c r="R127" i="16"/>
  <c r="N128" i="16"/>
  <c r="R128" i="16"/>
  <c r="N129" i="16"/>
  <c r="R129" i="16"/>
  <c r="N130" i="16"/>
  <c r="R130" i="16"/>
  <c r="N131" i="16"/>
  <c r="R131" i="16"/>
  <c r="N132" i="16"/>
  <c r="R132" i="16"/>
  <c r="N133" i="16"/>
  <c r="R133" i="16"/>
  <c r="N134" i="16"/>
  <c r="R134" i="16"/>
  <c r="N135" i="16"/>
  <c r="R135" i="16"/>
  <c r="N136" i="16"/>
  <c r="R136" i="16"/>
  <c r="N137" i="16"/>
  <c r="R137" i="16"/>
  <c r="N138" i="16"/>
  <c r="R138" i="16"/>
  <c r="N139" i="16"/>
  <c r="R139" i="16"/>
  <c r="N140" i="16"/>
  <c r="R140" i="16"/>
  <c r="N141" i="16"/>
  <c r="R141" i="16"/>
  <c r="N142" i="16"/>
  <c r="R142" i="16"/>
  <c r="N143" i="16"/>
  <c r="R143" i="16"/>
  <c r="N144" i="16"/>
  <c r="R144" i="16"/>
  <c r="N145" i="16"/>
  <c r="R145" i="16"/>
  <c r="N146" i="16"/>
  <c r="R146" i="16"/>
  <c r="N147" i="16"/>
  <c r="R147" i="16"/>
  <c r="N148" i="16"/>
  <c r="R148" i="16"/>
  <c r="N149" i="16"/>
  <c r="R149" i="16"/>
  <c r="N150" i="16"/>
  <c r="R150" i="16"/>
  <c r="N151" i="16"/>
  <c r="R151" i="16"/>
  <c r="N152" i="16"/>
  <c r="R152" i="16"/>
  <c r="N153" i="16"/>
  <c r="R153" i="16"/>
  <c r="N154" i="16"/>
  <c r="R154" i="16"/>
  <c r="N155" i="16"/>
  <c r="R155" i="16"/>
  <c r="N156" i="16"/>
  <c r="R156" i="16"/>
  <c r="N157" i="16"/>
  <c r="R157" i="16"/>
  <c r="N158" i="16"/>
  <c r="R158" i="16"/>
  <c r="N159" i="16"/>
  <c r="R159" i="16"/>
  <c r="N160" i="16"/>
  <c r="R160" i="16"/>
  <c r="N161" i="16"/>
  <c r="R161" i="16"/>
  <c r="N162" i="16"/>
  <c r="R162" i="16"/>
  <c r="N163" i="16"/>
  <c r="R163" i="16"/>
  <c r="N164" i="16"/>
  <c r="R164" i="16"/>
  <c r="N165" i="16"/>
  <c r="R165" i="16"/>
  <c r="N166" i="16"/>
  <c r="R166" i="16"/>
  <c r="N167" i="16"/>
  <c r="R167" i="16"/>
  <c r="N168" i="16"/>
  <c r="R168" i="16"/>
  <c r="N169" i="16"/>
  <c r="R169" i="16"/>
  <c r="N170" i="16"/>
  <c r="R170" i="16"/>
  <c r="N171" i="16"/>
  <c r="R171" i="16"/>
  <c r="N172" i="16"/>
  <c r="R172" i="16"/>
  <c r="N173" i="16"/>
  <c r="R173" i="16"/>
  <c r="N174" i="16"/>
  <c r="R174" i="16"/>
  <c r="N175" i="16"/>
  <c r="R175" i="16"/>
  <c r="N176" i="16"/>
  <c r="R176" i="16"/>
  <c r="N177" i="16"/>
  <c r="R177" i="16"/>
  <c r="N178" i="16"/>
  <c r="R178" i="16"/>
  <c r="N179" i="16"/>
  <c r="R179" i="16"/>
  <c r="N180" i="16"/>
  <c r="R180" i="16"/>
  <c r="N181" i="16"/>
  <c r="R181" i="16"/>
  <c r="N182" i="16"/>
  <c r="R182" i="16"/>
  <c r="N183" i="16"/>
  <c r="R183" i="16"/>
  <c r="N184" i="16"/>
  <c r="R184" i="16"/>
  <c r="N185" i="16"/>
  <c r="R185" i="16"/>
  <c r="N186" i="16"/>
  <c r="R186" i="16"/>
  <c r="N187" i="16"/>
  <c r="R187" i="16"/>
  <c r="N188" i="16"/>
  <c r="R188" i="16"/>
  <c r="N189" i="16"/>
  <c r="R189" i="16"/>
  <c r="N190" i="16"/>
  <c r="R190" i="16"/>
  <c r="N191" i="16"/>
  <c r="R191" i="16"/>
  <c r="N192" i="16"/>
  <c r="R192" i="16"/>
  <c r="N193" i="16"/>
  <c r="R193" i="16"/>
  <c r="N194" i="16"/>
  <c r="R194" i="16"/>
  <c r="N195" i="16"/>
  <c r="R195" i="16"/>
  <c r="N196" i="16"/>
  <c r="R196" i="16"/>
  <c r="N197" i="16"/>
  <c r="R197" i="16"/>
  <c r="N198" i="16"/>
  <c r="R198" i="16"/>
  <c r="N199" i="16"/>
  <c r="R199" i="16"/>
  <c r="N200" i="16"/>
  <c r="R200" i="16"/>
  <c r="N201" i="16"/>
  <c r="R201" i="16"/>
  <c r="N202" i="16"/>
  <c r="R202" i="16"/>
  <c r="N203" i="16"/>
  <c r="R203" i="16"/>
  <c r="N204" i="16"/>
  <c r="R204" i="16"/>
  <c r="N205" i="16"/>
  <c r="R205" i="16"/>
  <c r="N206" i="16"/>
  <c r="R206" i="16"/>
  <c r="N207" i="16"/>
  <c r="R207" i="16"/>
  <c r="N208" i="16"/>
  <c r="R208" i="16"/>
  <c r="N209" i="16"/>
  <c r="R209" i="16"/>
  <c r="N210" i="16"/>
  <c r="R210" i="16"/>
  <c r="N211" i="16"/>
  <c r="R211" i="16"/>
  <c r="N212" i="16"/>
  <c r="R212" i="16"/>
  <c r="N213" i="16"/>
  <c r="R213" i="16"/>
  <c r="N214" i="16"/>
  <c r="R214" i="16"/>
  <c r="N215" i="16"/>
  <c r="R215" i="16"/>
  <c r="N216" i="16"/>
  <c r="R216" i="16"/>
  <c r="N217" i="16"/>
  <c r="R217" i="16"/>
  <c r="N218" i="16"/>
  <c r="R218" i="16"/>
  <c r="N219" i="16"/>
  <c r="R219" i="16"/>
  <c r="N220" i="16"/>
  <c r="R220" i="16"/>
  <c r="N221" i="16"/>
  <c r="R221" i="16"/>
  <c r="N222" i="16"/>
  <c r="R222" i="16"/>
  <c r="N223" i="16"/>
  <c r="R223" i="16"/>
  <c r="N224" i="16"/>
  <c r="R224" i="16"/>
  <c r="N225" i="16"/>
  <c r="R225" i="16"/>
  <c r="N226" i="16"/>
  <c r="R226" i="16"/>
  <c r="N227" i="16"/>
  <c r="R227" i="16"/>
  <c r="N228" i="16"/>
  <c r="R228" i="16"/>
  <c r="N229" i="16"/>
  <c r="R229" i="16"/>
  <c r="N230" i="16"/>
  <c r="R230" i="16"/>
  <c r="N231" i="16"/>
  <c r="R231" i="16"/>
  <c r="N232" i="16"/>
  <c r="R232" i="16"/>
  <c r="N233" i="16"/>
  <c r="R233" i="16"/>
  <c r="N234" i="16"/>
  <c r="R234" i="16"/>
  <c r="N235" i="16"/>
  <c r="R235" i="16"/>
  <c r="N236" i="16"/>
  <c r="R236" i="16"/>
  <c r="N237" i="16"/>
  <c r="R237" i="16"/>
  <c r="N238" i="16"/>
  <c r="R238" i="16"/>
  <c r="N239" i="16"/>
  <c r="R239" i="16"/>
  <c r="N240" i="16"/>
  <c r="R240" i="16"/>
  <c r="N241" i="16"/>
  <c r="R241" i="16"/>
  <c r="N242" i="16"/>
  <c r="R242" i="16"/>
  <c r="N243" i="16"/>
  <c r="R243" i="16"/>
  <c r="N244" i="16"/>
  <c r="R244" i="16"/>
  <c r="N245" i="16"/>
  <c r="R245" i="16"/>
  <c r="N246" i="16"/>
  <c r="R246" i="16"/>
  <c r="N247" i="16"/>
  <c r="R247" i="16"/>
  <c r="N248" i="16"/>
  <c r="R248" i="16"/>
  <c r="N249" i="16"/>
  <c r="R249" i="16"/>
  <c r="N250" i="16"/>
  <c r="R250" i="16"/>
  <c r="N251" i="16"/>
  <c r="R251" i="16"/>
  <c r="N252" i="16"/>
  <c r="R252" i="16"/>
  <c r="N253" i="16"/>
  <c r="R253" i="16"/>
  <c r="N254" i="16"/>
  <c r="R254" i="16"/>
  <c r="N255" i="16"/>
  <c r="R255" i="16"/>
  <c r="N256" i="16"/>
  <c r="R256" i="16"/>
  <c r="N257" i="16"/>
  <c r="R257" i="16"/>
  <c r="N258" i="16"/>
  <c r="R258" i="16"/>
  <c r="N259" i="16"/>
  <c r="R259" i="16"/>
  <c r="N260" i="16"/>
  <c r="R260" i="16"/>
  <c r="N261" i="16"/>
  <c r="R261" i="16"/>
  <c r="N262" i="16"/>
  <c r="R262" i="16"/>
  <c r="N263" i="16"/>
  <c r="R263" i="16"/>
  <c r="N264" i="16"/>
  <c r="R264" i="16"/>
  <c r="N265" i="16"/>
  <c r="R265" i="16"/>
  <c r="N266" i="16"/>
  <c r="R266" i="16"/>
  <c r="N267" i="16"/>
  <c r="R267" i="16"/>
  <c r="N268" i="16"/>
  <c r="R268" i="16"/>
  <c r="N269" i="16"/>
  <c r="R269" i="16"/>
  <c r="N270" i="16"/>
  <c r="R270" i="16"/>
  <c r="N271" i="16"/>
  <c r="R271" i="16"/>
  <c r="N272" i="16"/>
  <c r="R272" i="16"/>
  <c r="N273" i="16"/>
  <c r="R273" i="16"/>
  <c r="N274" i="16"/>
  <c r="R274" i="16"/>
  <c r="N275" i="16"/>
  <c r="R275" i="16"/>
  <c r="N276" i="16"/>
  <c r="R276" i="16"/>
  <c r="N277" i="16"/>
  <c r="R277" i="16"/>
  <c r="N278" i="16"/>
  <c r="R278" i="16"/>
  <c r="N279" i="16"/>
  <c r="R279" i="16"/>
  <c r="N280" i="16"/>
  <c r="R280" i="16"/>
  <c r="N281" i="16"/>
  <c r="R281" i="16"/>
  <c r="N282" i="16"/>
  <c r="R282" i="16"/>
  <c r="N283" i="16"/>
  <c r="R283" i="16"/>
  <c r="N284" i="16"/>
  <c r="R284" i="16"/>
  <c r="N285" i="16"/>
  <c r="R285" i="16"/>
  <c r="N286" i="16"/>
  <c r="R286" i="16"/>
  <c r="N287" i="16"/>
  <c r="R287" i="16"/>
  <c r="N288" i="16"/>
  <c r="R288" i="16"/>
  <c r="N289" i="16"/>
  <c r="R289" i="16"/>
  <c r="N290" i="16"/>
  <c r="R290" i="16"/>
  <c r="N291" i="16"/>
  <c r="R291" i="16"/>
  <c r="N292" i="16"/>
  <c r="R292" i="16"/>
  <c r="N293" i="16"/>
  <c r="R293" i="16"/>
  <c r="N294" i="16"/>
  <c r="R294" i="16"/>
  <c r="N295" i="16"/>
  <c r="R295" i="16"/>
  <c r="N296" i="16"/>
  <c r="R296" i="16"/>
  <c r="N297" i="16"/>
  <c r="R297" i="16"/>
  <c r="N298" i="16"/>
  <c r="R298" i="16"/>
  <c r="N299" i="16"/>
  <c r="R299" i="16"/>
  <c r="N300" i="16"/>
  <c r="R300" i="16"/>
  <c r="N301" i="16"/>
  <c r="R301" i="16"/>
  <c r="N302" i="16"/>
  <c r="R302" i="16"/>
  <c r="N303" i="16"/>
  <c r="R303" i="16"/>
  <c r="N304" i="16"/>
  <c r="R304" i="16"/>
  <c r="N305" i="16"/>
  <c r="R305" i="16"/>
  <c r="N306" i="16"/>
  <c r="R306" i="16"/>
  <c r="N307" i="16"/>
  <c r="R307" i="16"/>
  <c r="N308" i="16"/>
  <c r="R308" i="16"/>
  <c r="N309" i="16"/>
  <c r="R309" i="16"/>
  <c r="N310" i="16"/>
  <c r="R310" i="16"/>
  <c r="N311" i="16"/>
  <c r="R311" i="16"/>
  <c r="N312" i="16"/>
  <c r="R312" i="16"/>
  <c r="N313" i="16"/>
  <c r="R313" i="16"/>
  <c r="B403" i="16" a="1"/>
  <c r="B403" i="16"/>
  <c r="D403" i="16"/>
  <c r="E403" i="16"/>
  <c r="D404" i="16"/>
  <c r="E404" i="16"/>
  <c r="D405" i="16"/>
  <c r="E405" i="16"/>
  <c r="D406" i="16"/>
  <c r="E406" i="16"/>
  <c r="D407" i="16"/>
  <c r="E407" i="16"/>
  <c r="D408" i="16"/>
  <c r="E408" i="16"/>
  <c r="D409" i="16"/>
  <c r="E409" i="16"/>
  <c r="D410" i="16"/>
  <c r="E410" i="16"/>
  <c r="D411" i="16"/>
  <c r="E411" i="16"/>
  <c r="D412" i="16"/>
  <c r="E412" i="16"/>
  <c r="D413" i="16"/>
  <c r="E413" i="16"/>
  <c r="D414" i="16"/>
  <c r="E414" i="16"/>
  <c r="D415" i="16"/>
  <c r="E415" i="16"/>
  <c r="D416" i="16"/>
  <c r="E416" i="16"/>
  <c r="D417" i="16"/>
  <c r="E417" i="16"/>
  <c r="D418" i="16"/>
  <c r="E418" i="16"/>
  <c r="D419" i="16"/>
  <c r="E419" i="16"/>
  <c r="D420" i="16"/>
  <c r="E420" i="16"/>
  <c r="D421" i="16"/>
  <c r="E421" i="16"/>
  <c r="D422" i="16"/>
  <c r="E422" i="16"/>
  <c r="D423" i="16"/>
  <c r="E423" i="16"/>
  <c r="D424" i="16"/>
  <c r="E424" i="16"/>
  <c r="D425" i="16"/>
  <c r="E425" i="16"/>
  <c r="D426" i="16"/>
  <c r="E426" i="16"/>
  <c r="D427" i="16"/>
  <c r="E427" i="16"/>
  <c r="D428" i="16"/>
  <c r="E428" i="16"/>
  <c r="D429" i="16"/>
  <c r="E429" i="16"/>
  <c r="D430" i="16"/>
  <c r="E430" i="16"/>
  <c r="D431" i="16"/>
  <c r="E431" i="16"/>
  <c r="D432" i="16"/>
  <c r="E432" i="16"/>
  <c r="D433" i="16"/>
  <c r="E433" i="16"/>
  <c r="D434" i="16"/>
  <c r="E434" i="16"/>
  <c r="D435" i="16"/>
  <c r="E435" i="16"/>
  <c r="D436" i="16"/>
  <c r="E436" i="16"/>
  <c r="D437" i="16"/>
  <c r="E437" i="16"/>
  <c r="D438" i="16"/>
  <c r="E438" i="16"/>
  <c r="D439" i="16"/>
  <c r="E439" i="16"/>
  <c r="D440" i="16"/>
  <c r="E440" i="16"/>
  <c r="D441" i="16"/>
  <c r="E441" i="16"/>
  <c r="D442" i="16"/>
  <c r="E442" i="16"/>
  <c r="D443" i="16"/>
  <c r="E443" i="16"/>
  <c r="D444" i="16"/>
  <c r="E444" i="16"/>
  <c r="D445" i="16"/>
  <c r="E445" i="16"/>
  <c r="D446" i="16"/>
  <c r="E446" i="16"/>
  <c r="D447" i="16"/>
  <c r="E447" i="16"/>
  <c r="D448" i="16"/>
  <c r="E448" i="16"/>
  <c r="D449" i="16"/>
  <c r="E449" i="16"/>
  <c r="D450" i="16"/>
  <c r="E450" i="16"/>
  <c r="D451" i="16"/>
  <c r="E451" i="16"/>
  <c r="D452" i="16"/>
  <c r="E452" i="16"/>
  <c r="D453" i="16"/>
  <c r="E453" i="16"/>
  <c r="D454" i="16"/>
  <c r="E454" i="16"/>
  <c r="D455" i="16"/>
  <c r="E455" i="16"/>
  <c r="D456" i="16"/>
  <c r="E456" i="16"/>
  <c r="D457" i="16"/>
  <c r="E457" i="16"/>
  <c r="D458" i="16"/>
  <c r="E458" i="16"/>
  <c r="D459" i="16"/>
  <c r="E459" i="16"/>
  <c r="D460" i="16"/>
  <c r="E460" i="16"/>
  <c r="D461" i="16"/>
  <c r="E461" i="16"/>
  <c r="D462" i="16"/>
  <c r="E462" i="16"/>
  <c r="D463" i="16"/>
  <c r="E463" i="16"/>
  <c r="D464" i="16"/>
  <c r="E464" i="16"/>
  <c r="D465" i="16"/>
  <c r="E465" i="16"/>
  <c r="D466" i="16"/>
  <c r="E466" i="16"/>
  <c r="D467" i="16"/>
  <c r="E467" i="16"/>
  <c r="D468" i="16"/>
  <c r="E468" i="16"/>
  <c r="D469" i="16"/>
  <c r="E469" i="16"/>
  <c r="D470" i="16"/>
  <c r="E470" i="16"/>
  <c r="D471" i="16"/>
  <c r="E471" i="16"/>
  <c r="D472" i="16"/>
  <c r="E472" i="16"/>
  <c r="D473" i="16"/>
  <c r="E473" i="16"/>
  <c r="D474" i="16"/>
  <c r="E474" i="16"/>
  <c r="D475" i="16"/>
  <c r="E475" i="16"/>
  <c r="D476" i="16"/>
  <c r="E476" i="16"/>
  <c r="D477" i="16"/>
  <c r="E477" i="16"/>
  <c r="D478" i="16"/>
  <c r="E478" i="16"/>
  <c r="D479" i="16"/>
  <c r="E479" i="16"/>
  <c r="D480" i="16"/>
  <c r="E480" i="16"/>
  <c r="D481" i="16"/>
  <c r="E481" i="16"/>
  <c r="D482" i="16"/>
  <c r="E482" i="16"/>
  <c r="D483" i="16"/>
  <c r="E483" i="16"/>
  <c r="D484" i="16"/>
  <c r="E484" i="16"/>
  <c r="D485" i="16"/>
  <c r="E485" i="16"/>
  <c r="D486" i="16"/>
  <c r="E486" i="16"/>
  <c r="D487" i="16"/>
  <c r="E487" i="16"/>
  <c r="D488" i="16"/>
  <c r="E488" i="16"/>
  <c r="D489" i="16"/>
  <c r="E489" i="16"/>
  <c r="D490" i="16"/>
  <c r="E490" i="16"/>
  <c r="D491" i="16"/>
  <c r="E491" i="16"/>
  <c r="D492" i="16"/>
  <c r="E492" i="16"/>
  <c r="D493" i="16"/>
  <c r="E493" i="16"/>
  <c r="D494" i="16"/>
  <c r="E494" i="16"/>
  <c r="D495" i="16"/>
  <c r="E495" i="16"/>
  <c r="D496" i="16"/>
  <c r="E496" i="16"/>
  <c r="D497" i="16"/>
  <c r="E497" i="16"/>
  <c r="D498" i="16"/>
  <c r="E498" i="16"/>
  <c r="D499" i="16"/>
  <c r="E499" i="16"/>
  <c r="D500" i="16"/>
  <c r="E500" i="16"/>
  <c r="D501" i="16"/>
  <c r="E501" i="16"/>
  <c r="D502" i="16"/>
  <c r="E502" i="16"/>
  <c r="D503" i="16"/>
  <c r="E503" i="16"/>
  <c r="D504" i="16"/>
  <c r="E504" i="16"/>
  <c r="D505" i="16"/>
  <c r="E505" i="16"/>
  <c r="D506" i="16"/>
  <c r="E506" i="16"/>
  <c r="D507" i="16"/>
  <c r="E507" i="16"/>
  <c r="D508" i="16"/>
  <c r="E508" i="16"/>
  <c r="D509" i="16"/>
  <c r="E509" i="16"/>
  <c r="D510" i="16"/>
  <c r="E510" i="16"/>
  <c r="D511" i="16"/>
  <c r="E511" i="16"/>
  <c r="D512" i="16"/>
  <c r="E512" i="16"/>
  <c r="D513" i="16"/>
  <c r="E513" i="16"/>
  <c r="D514" i="16"/>
  <c r="E514" i="16"/>
  <c r="D515" i="16"/>
  <c r="E515" i="16"/>
  <c r="D516" i="16"/>
  <c r="E516" i="16"/>
  <c r="D517" i="16"/>
  <c r="E517" i="16"/>
  <c r="D518" i="16"/>
  <c r="E518" i="16"/>
  <c r="D519" i="16"/>
  <c r="E519" i="16"/>
  <c r="D520" i="16"/>
  <c r="E520" i="16"/>
  <c r="D521" i="16"/>
  <c r="E521" i="16"/>
  <c r="D522" i="16"/>
  <c r="E522" i="16"/>
  <c r="D523" i="16"/>
  <c r="E523" i="16"/>
  <c r="D524" i="16"/>
  <c r="E524" i="16"/>
  <c r="D525" i="16"/>
  <c r="E525" i="16"/>
  <c r="D526" i="16"/>
  <c r="E526" i="16"/>
  <c r="D527" i="16"/>
  <c r="E527" i="1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W12" i="16"/>
  <c r="X12" i="16"/>
  <c r="Y12" i="16"/>
  <c r="Z12" i="16"/>
  <c r="AA12" i="16"/>
  <c r="V14" i="16"/>
  <c r="W14" i="16" a="1"/>
  <c r="W14" i="16"/>
  <c r="X14" i="16" a="1"/>
  <c r="X14" i="16"/>
  <c r="Y14" i="16" a="1"/>
  <c r="Y14" i="16"/>
  <c r="Z14" i="16" a="1"/>
  <c r="Z14" i="16"/>
  <c r="AA14" i="16" a="1"/>
  <c r="AA14" i="16"/>
  <c r="V15" i="16"/>
  <c r="W15" i="16" a="1"/>
  <c r="W15" i="16"/>
  <c r="X15" i="16" a="1"/>
  <c r="X15" i="16"/>
  <c r="Y15" i="16" a="1"/>
  <c r="Y15" i="16"/>
  <c r="Z15" i="16" a="1"/>
  <c r="Z15" i="16"/>
  <c r="AA15" i="16" a="1"/>
  <c r="AA15" i="16"/>
  <c r="V16" i="16"/>
  <c r="W16" i="16" a="1"/>
  <c r="W16" i="16"/>
  <c r="X16" i="16" a="1"/>
  <c r="X16" i="16"/>
  <c r="Y16" i="16" a="1"/>
  <c r="Y16" i="16"/>
  <c r="Z16" i="16" a="1"/>
  <c r="Z16" i="16"/>
  <c r="AA16" i="16" a="1"/>
  <c r="AA16" i="16"/>
  <c r="AB16" i="16"/>
  <c r="V17" i="16"/>
  <c r="W17" i="16" a="1"/>
  <c r="W17" i="16"/>
  <c r="X17" i="16" a="1"/>
  <c r="X17" i="16"/>
  <c r="Y17" i="16" a="1"/>
  <c r="Y17" i="16"/>
  <c r="Z17" i="16" a="1"/>
  <c r="Z17" i="16"/>
  <c r="AA17" i="16" a="1"/>
  <c r="AA17" i="16"/>
  <c r="V18" i="16"/>
  <c r="W18" i="16" a="1"/>
  <c r="W18" i="16"/>
  <c r="X18" i="16" a="1"/>
  <c r="X18" i="16"/>
  <c r="Y18" i="16" a="1"/>
  <c r="Y18" i="16"/>
  <c r="Z18" i="16" a="1"/>
  <c r="Z18" i="16"/>
  <c r="AA18" i="16" a="1"/>
  <c r="AA18" i="16"/>
  <c r="V19" i="16"/>
  <c r="W19" i="16" a="1"/>
  <c r="W19" i="16"/>
  <c r="X19" i="16" a="1"/>
  <c r="X19" i="16"/>
  <c r="Y19" i="16" a="1"/>
  <c r="Y19" i="16"/>
  <c r="Z19" i="16" a="1"/>
  <c r="Z19" i="16"/>
  <c r="AA19" i="16" a="1"/>
  <c r="AA19" i="16"/>
  <c r="V20" i="16"/>
  <c r="W20" i="16" a="1"/>
  <c r="W20" i="16"/>
  <c r="X20" i="16" a="1"/>
  <c r="X20" i="16"/>
  <c r="Y20" i="16" a="1"/>
  <c r="Y20" i="16"/>
  <c r="Z20" i="16" a="1"/>
  <c r="Z20" i="16"/>
  <c r="AA20" i="16" a="1"/>
  <c r="AA20" i="16"/>
  <c r="V21" i="16"/>
  <c r="W21" i="16" a="1"/>
  <c r="W21" i="16"/>
  <c r="X21" i="16" a="1"/>
  <c r="X21" i="16"/>
  <c r="Y21" i="16" a="1"/>
  <c r="Y21" i="16"/>
  <c r="Z21" i="16" a="1"/>
  <c r="Z21" i="16"/>
  <c r="AA21" i="16" a="1"/>
  <c r="AA21" i="16"/>
  <c r="V22" i="16"/>
  <c r="W22" i="16" a="1"/>
  <c r="W22" i="16"/>
  <c r="X22" i="16" a="1"/>
  <c r="X22" i="16"/>
  <c r="Y22" i="16" a="1"/>
  <c r="Y22" i="16"/>
  <c r="Z22" i="16" a="1"/>
  <c r="Z22" i="16"/>
  <c r="AA22" i="16" a="1"/>
  <c r="AA22" i="16"/>
  <c r="V23" i="16"/>
  <c r="W23" i="16" a="1"/>
  <c r="W23" i="16"/>
  <c r="X23" i="16" a="1"/>
  <c r="X23" i="16"/>
  <c r="Y23" i="16" a="1"/>
  <c r="Y23" i="16"/>
  <c r="Z23" i="16" a="1"/>
  <c r="Z23" i="16"/>
  <c r="AA23" i="16" a="1"/>
  <c r="AA23" i="16"/>
  <c r="V24" i="16"/>
  <c r="W24" i="16" a="1"/>
  <c r="W24" i="16"/>
  <c r="X24" i="16" a="1"/>
  <c r="X24" i="16"/>
  <c r="Y24" i="16" a="1"/>
  <c r="Y24" i="16"/>
  <c r="Z24" i="16" a="1"/>
  <c r="Z24" i="16"/>
  <c r="AA24" i="16" a="1"/>
  <c r="AA24" i="16"/>
  <c r="V25" i="16"/>
  <c r="W25" i="16" a="1"/>
  <c r="W25" i="16"/>
  <c r="X25" i="16" a="1"/>
  <c r="X25" i="16"/>
  <c r="Y25" i="16" a="1"/>
  <c r="Y25" i="16"/>
  <c r="Z25" i="16" a="1"/>
  <c r="Z25" i="16"/>
  <c r="AA25" i="16" a="1"/>
  <c r="AA25" i="16"/>
  <c r="V26" i="16"/>
  <c r="W26" i="16" a="1"/>
  <c r="W26" i="16"/>
  <c r="X26" i="16" a="1"/>
  <c r="X26" i="16"/>
  <c r="Y26" i="16" a="1"/>
  <c r="Y26" i="16"/>
  <c r="Z26" i="16" a="1"/>
  <c r="Z26" i="16"/>
  <c r="AA26" i="16" a="1"/>
  <c r="AA26" i="16"/>
  <c r="V27" i="16"/>
  <c r="W27" i="16" a="1"/>
  <c r="W27" i="16"/>
  <c r="X27" i="16" a="1"/>
  <c r="X27" i="16"/>
  <c r="Y27" i="16" a="1"/>
  <c r="Y27" i="16"/>
  <c r="Z27" i="16" a="1"/>
  <c r="Z27" i="16"/>
  <c r="AA27" i="16" a="1"/>
  <c r="AA27" i="16"/>
  <c r="V28" i="16"/>
  <c r="W28" i="16" a="1"/>
  <c r="W28" i="16"/>
  <c r="X28" i="16" a="1"/>
  <c r="X28" i="16"/>
  <c r="Y28" i="16" a="1"/>
  <c r="Y28" i="16"/>
  <c r="Z28" i="16" a="1"/>
  <c r="Z28" i="16"/>
  <c r="AA28" i="16" a="1"/>
  <c r="AA28" i="16"/>
  <c r="V29" i="16"/>
  <c r="W29" i="16" a="1"/>
  <c r="W29" i="16"/>
  <c r="X29" i="16" a="1"/>
  <c r="X29" i="16"/>
  <c r="Y29" i="16" a="1"/>
  <c r="Y29" i="16"/>
  <c r="Z29" i="16" a="1"/>
  <c r="Z29" i="16"/>
  <c r="AA29" i="16" a="1"/>
  <c r="AA29" i="16"/>
  <c r="V30" i="16"/>
  <c r="W30" i="16" a="1"/>
  <c r="W30" i="16"/>
  <c r="X30" i="16" a="1"/>
  <c r="X30" i="16"/>
  <c r="Y30" i="16" a="1"/>
  <c r="Y30" i="16"/>
  <c r="Z30" i="16" a="1"/>
  <c r="Z30" i="16"/>
  <c r="AA30" i="16" a="1"/>
  <c r="AA30" i="16"/>
  <c r="V31" i="16"/>
  <c r="W31" i="16" a="1"/>
  <c r="W31" i="16"/>
  <c r="X31" i="16" a="1"/>
  <c r="X31" i="16"/>
  <c r="Y31" i="16" a="1"/>
  <c r="Y31" i="16"/>
  <c r="Z31" i="16" a="1"/>
  <c r="Z31" i="16"/>
  <c r="AA31" i="16" a="1"/>
  <c r="AA31" i="16"/>
  <c r="V32" i="16"/>
  <c r="W32" i="16" a="1"/>
  <c r="W32" i="16"/>
  <c r="X32" i="16" a="1"/>
  <c r="X32" i="16"/>
  <c r="Y32" i="16" a="1"/>
  <c r="Y32" i="16"/>
  <c r="Z32" i="16" a="1"/>
  <c r="Z32" i="16"/>
  <c r="AA32" i="16" a="1"/>
  <c r="AA32" i="16"/>
  <c r="V33" i="16"/>
  <c r="W33" i="16" a="1"/>
  <c r="W33" i="16"/>
  <c r="X33" i="16" a="1"/>
  <c r="X33" i="16"/>
  <c r="Y33" i="16" a="1"/>
  <c r="Y33" i="16"/>
  <c r="Z33" i="16" a="1"/>
  <c r="Z33" i="16"/>
  <c r="AA33" i="16" a="1"/>
  <c r="AA33" i="16"/>
  <c r="V34" i="16"/>
  <c r="W34" i="16" a="1"/>
  <c r="W34" i="16"/>
  <c r="X34" i="16" a="1"/>
  <c r="X34" i="16"/>
  <c r="Y34" i="16" a="1"/>
  <c r="Y34" i="16"/>
  <c r="Z34" i="16" a="1"/>
  <c r="Z34" i="16"/>
  <c r="AA34" i="16" a="1"/>
  <c r="AA34" i="16"/>
  <c r="V35" i="16"/>
  <c r="W35" i="16" a="1"/>
  <c r="W35" i="16"/>
  <c r="X35" i="16" a="1"/>
  <c r="X35" i="16"/>
  <c r="Y35" i="16" a="1"/>
  <c r="Y35" i="16"/>
  <c r="Z35" i="16" a="1"/>
  <c r="Z35" i="16"/>
  <c r="AA35" i="16" a="1"/>
  <c r="AA35" i="16"/>
  <c r="V36" i="16"/>
  <c r="W36" i="16" a="1"/>
  <c r="W36" i="16"/>
  <c r="X36" i="16" a="1"/>
  <c r="X36" i="16"/>
  <c r="Y36" i="16" a="1"/>
  <c r="Y36" i="16"/>
  <c r="Z36" i="16" a="1"/>
  <c r="Z36" i="16"/>
  <c r="AA36" i="16" a="1"/>
  <c r="AA36" i="16"/>
  <c r="V37" i="16"/>
  <c r="W37" i="16" a="1"/>
  <c r="W37" i="16"/>
  <c r="X37" i="16" a="1"/>
  <c r="X37" i="16"/>
  <c r="Y37" i="16" a="1"/>
  <c r="Y37" i="16"/>
  <c r="Z37" i="16" a="1"/>
  <c r="Z37" i="16"/>
  <c r="AA37" i="16" a="1"/>
  <c r="AA37" i="16"/>
  <c r="V38" i="16"/>
  <c r="W38" i="16" a="1"/>
  <c r="W38" i="16"/>
  <c r="X38" i="16" a="1"/>
  <c r="X38" i="16"/>
  <c r="Y38" i="16" a="1"/>
  <c r="Y38" i="16"/>
  <c r="Z38" i="16" a="1"/>
  <c r="Z38" i="16"/>
  <c r="AA38" i="16" a="1"/>
  <c r="AA38" i="16"/>
  <c r="V39" i="16"/>
  <c r="W39" i="16" a="1"/>
  <c r="W39" i="16"/>
  <c r="X39" i="16" a="1"/>
  <c r="X39" i="16"/>
  <c r="Y39" i="16" a="1"/>
  <c r="Y39" i="16"/>
  <c r="Z39" i="16" a="1"/>
  <c r="Z39" i="16"/>
  <c r="AA39" i="16" a="1"/>
  <c r="AA39" i="16"/>
  <c r="V40" i="16"/>
  <c r="W40" i="16" a="1"/>
  <c r="W40" i="16"/>
  <c r="X40" i="16" a="1"/>
  <c r="X40" i="16"/>
  <c r="Y40" i="16" a="1"/>
  <c r="Y40" i="16"/>
  <c r="Z40" i="16" a="1"/>
  <c r="Z40" i="16"/>
  <c r="AA40" i="16" a="1"/>
  <c r="AA40" i="16"/>
  <c r="V41" i="16"/>
  <c r="W41" i="16" a="1"/>
  <c r="W41" i="16"/>
  <c r="X41" i="16" a="1"/>
  <c r="X41" i="16"/>
  <c r="Y41" i="16" a="1"/>
  <c r="Y41" i="16"/>
  <c r="Z41" i="16" a="1"/>
  <c r="Z41" i="16"/>
  <c r="AA41" i="16" a="1"/>
  <c r="AA41" i="16"/>
  <c r="V42" i="16"/>
  <c r="W42" i="16" a="1"/>
  <c r="W42" i="16"/>
  <c r="X42" i="16" a="1"/>
  <c r="X42" i="16"/>
  <c r="Y42" i="16" a="1"/>
  <c r="Y42" i="16"/>
  <c r="Z42" i="16" a="1"/>
  <c r="Z42" i="16"/>
  <c r="AA42" i="16" a="1"/>
  <c r="AA42" i="16"/>
  <c r="V43" i="16"/>
  <c r="W43" i="16" a="1"/>
  <c r="W43" i="16"/>
  <c r="X43" i="16" a="1"/>
  <c r="X43" i="16"/>
  <c r="Y43" i="16" a="1"/>
  <c r="Y43" i="16"/>
  <c r="Z43" i="16" a="1"/>
  <c r="Z43" i="16"/>
  <c r="AA43" i="16" a="1"/>
  <c r="AA43" i="16"/>
  <c r="V44" i="16"/>
  <c r="W44" i="16" a="1"/>
  <c r="W44" i="16"/>
  <c r="X44" i="16" a="1"/>
  <c r="X44" i="16"/>
  <c r="Y44" i="16" a="1"/>
  <c r="Y44" i="16"/>
  <c r="Z44" i="16" a="1"/>
  <c r="Z44" i="16"/>
  <c r="AA44" i="16" a="1"/>
  <c r="AA44" i="16"/>
  <c r="V45" i="16"/>
  <c r="W45" i="16" a="1"/>
  <c r="W45" i="16"/>
  <c r="X45" i="16" a="1"/>
  <c r="X45" i="16"/>
  <c r="Y45" i="16" a="1"/>
  <c r="Y45" i="16"/>
  <c r="Z45" i="16" a="1"/>
  <c r="Z45" i="16"/>
  <c r="AA45" i="16" a="1"/>
  <c r="AA45" i="16"/>
  <c r="V46" i="16"/>
  <c r="W46" i="16" a="1"/>
  <c r="W46" i="16"/>
  <c r="X46" i="16" a="1"/>
  <c r="X46" i="16"/>
  <c r="Y46" i="16" a="1"/>
  <c r="Y46" i="16"/>
  <c r="Z46" i="16" a="1"/>
  <c r="Z46" i="16"/>
  <c r="AA46" i="16" a="1"/>
  <c r="AA46" i="16"/>
  <c r="V47" i="16"/>
  <c r="W47" i="16" a="1"/>
  <c r="W47" i="16"/>
  <c r="X47" i="16" a="1"/>
  <c r="X47" i="16"/>
  <c r="Y47" i="16" a="1"/>
  <c r="Y47" i="16"/>
  <c r="Z47" i="16" a="1"/>
  <c r="Z47" i="16"/>
  <c r="AA47" i="16" a="1"/>
  <c r="AA47" i="16"/>
  <c r="V48" i="16"/>
  <c r="W48" i="16" a="1"/>
  <c r="W48" i="16"/>
  <c r="X48" i="16" a="1"/>
  <c r="X48" i="16"/>
  <c r="Y48" i="16" a="1"/>
  <c r="Y48" i="16"/>
  <c r="Z48" i="16" a="1"/>
  <c r="Z48" i="16"/>
  <c r="AA48" i="16" a="1"/>
  <c r="AA48" i="16"/>
  <c r="V49" i="16"/>
  <c r="W49" i="16" a="1"/>
  <c r="W49" i="16"/>
  <c r="X49" i="16" a="1"/>
  <c r="X49" i="16"/>
  <c r="Y49" i="16" a="1"/>
  <c r="Y49" i="16"/>
  <c r="Z49" i="16" a="1"/>
  <c r="Z49" i="16"/>
  <c r="AA49" i="16" a="1"/>
  <c r="AA49" i="16"/>
  <c r="V50" i="16"/>
  <c r="W50" i="16" a="1"/>
  <c r="W50" i="16"/>
  <c r="X50" i="16" a="1"/>
  <c r="X50" i="16"/>
  <c r="Y50" i="16" a="1"/>
  <c r="Y50" i="16"/>
  <c r="Z50" i="16" a="1"/>
  <c r="Z50" i="16"/>
  <c r="AA50" i="16" a="1"/>
  <c r="AA50" i="16"/>
  <c r="V51" i="16"/>
  <c r="W51" i="16" a="1"/>
  <c r="W51" i="16"/>
  <c r="X51" i="16" a="1"/>
  <c r="X51" i="16"/>
  <c r="Y51" i="16" a="1"/>
  <c r="Y51" i="16"/>
  <c r="Z51" i="16" a="1"/>
  <c r="Z51" i="16"/>
  <c r="AA51" i="16" a="1"/>
  <c r="AA51" i="16"/>
  <c r="V52" i="16"/>
  <c r="W52" i="16" a="1"/>
  <c r="W52" i="16"/>
  <c r="X52" i="16" a="1"/>
  <c r="X52" i="16"/>
  <c r="Y52" i="16" a="1"/>
  <c r="Y52" i="16"/>
  <c r="Z52" i="16" a="1"/>
  <c r="Z52" i="16"/>
  <c r="AA52" i="16" a="1"/>
  <c r="AA52" i="16"/>
  <c r="V53" i="16"/>
  <c r="W53" i="16" a="1"/>
  <c r="W53" i="16"/>
  <c r="X53" i="16" a="1"/>
  <c r="X53" i="16"/>
  <c r="Y53" i="16" a="1"/>
  <c r="Y53" i="16"/>
  <c r="Z53" i="16" a="1"/>
  <c r="Z53" i="16"/>
  <c r="AA53" i="16" a="1"/>
  <c r="AA53" i="16"/>
  <c r="V54" i="16"/>
  <c r="W54" i="16" a="1"/>
  <c r="W54" i="16"/>
  <c r="X54" i="16" a="1"/>
  <c r="X54" i="16"/>
  <c r="Y54" i="16" a="1"/>
  <c r="Y54" i="16"/>
  <c r="Z54" i="16" a="1"/>
  <c r="Z54" i="16"/>
  <c r="AA54" i="16" a="1"/>
  <c r="AA54" i="16"/>
  <c r="V55" i="16"/>
  <c r="W55" i="16" a="1"/>
  <c r="W55" i="16"/>
  <c r="X55" i="16" a="1"/>
  <c r="X55" i="16"/>
  <c r="Y55" i="16" a="1"/>
  <c r="Y55" i="16"/>
  <c r="Z55" i="16" a="1"/>
  <c r="Z55" i="16"/>
  <c r="AA55" i="16" a="1"/>
  <c r="AA55" i="16"/>
  <c r="V56" i="16"/>
  <c r="W56" i="16" a="1"/>
  <c r="W56" i="16"/>
  <c r="X56" i="16" a="1"/>
  <c r="X56" i="16"/>
  <c r="Y56" i="16" a="1"/>
  <c r="Y56" i="16"/>
  <c r="Z56" i="16" a="1"/>
  <c r="Z56" i="16"/>
  <c r="AA56" i="16" a="1"/>
  <c r="AA56" i="16"/>
  <c r="V57" i="16"/>
  <c r="W57" i="16" a="1"/>
  <c r="W57" i="16"/>
  <c r="X57" i="16" a="1"/>
  <c r="X57" i="16"/>
  <c r="Y57" i="16" a="1"/>
  <c r="Y57" i="16"/>
  <c r="Z57" i="16" a="1"/>
  <c r="Z57" i="16"/>
  <c r="AA57" i="16" a="1"/>
  <c r="AA57" i="16"/>
  <c r="V58" i="16"/>
  <c r="W58" i="16" a="1"/>
  <c r="W58" i="16"/>
  <c r="X58" i="16" a="1"/>
  <c r="X58" i="16"/>
  <c r="Y58" i="16" a="1"/>
  <c r="Y58" i="16"/>
  <c r="Z58" i="16" a="1"/>
  <c r="Z58" i="16"/>
  <c r="AA58" i="16" a="1"/>
  <c r="AA58" i="16"/>
  <c r="V59" i="16"/>
  <c r="W59" i="16" a="1"/>
  <c r="W59" i="16"/>
  <c r="X59" i="16" a="1"/>
  <c r="X59" i="16"/>
  <c r="Y59" i="16" a="1"/>
  <c r="Y59" i="16"/>
  <c r="Z59" i="16" a="1"/>
  <c r="Z59" i="16"/>
  <c r="AA59" i="16" a="1"/>
  <c r="AA59" i="16"/>
  <c r="V60" i="16"/>
  <c r="W60" i="16" a="1"/>
  <c r="W60" i="16"/>
  <c r="X60" i="16" a="1"/>
  <c r="X60" i="16"/>
  <c r="Y60" i="16" a="1"/>
  <c r="Y60" i="16"/>
  <c r="Z60" i="16" a="1"/>
  <c r="Z60" i="16"/>
  <c r="AA60" i="16" a="1"/>
  <c r="AA60" i="16"/>
  <c r="V61" i="16"/>
  <c r="W61" i="16" a="1"/>
  <c r="W61" i="16"/>
  <c r="X61" i="16" a="1"/>
  <c r="X61" i="16"/>
  <c r="Y61" i="16" a="1"/>
  <c r="Y61" i="16"/>
  <c r="Z61" i="16" a="1"/>
  <c r="Z61" i="16"/>
  <c r="AA61" i="16" a="1"/>
  <c r="AA61" i="16"/>
  <c r="V62" i="16"/>
  <c r="W62" i="16" a="1"/>
  <c r="W62" i="16"/>
  <c r="X62" i="16" a="1"/>
  <c r="X62" i="16"/>
  <c r="Y62" i="16" a="1"/>
  <c r="Y62" i="16"/>
  <c r="Z62" i="16" a="1"/>
  <c r="Z62" i="16"/>
  <c r="AA62" i="16" a="1"/>
  <c r="AA62" i="16"/>
  <c r="V63" i="16"/>
  <c r="W63" i="16" a="1"/>
  <c r="W63" i="16"/>
  <c r="X63" i="16" a="1"/>
  <c r="X63" i="16"/>
  <c r="Y63" i="16" a="1"/>
  <c r="Y63" i="16"/>
  <c r="Z63" i="16" a="1"/>
  <c r="Z63" i="16"/>
  <c r="AA63" i="16" a="1"/>
  <c r="AA63" i="16"/>
  <c r="V64" i="16"/>
  <c r="W64" i="16" a="1"/>
  <c r="W64" i="16"/>
  <c r="X64" i="16" a="1"/>
  <c r="X64" i="16"/>
  <c r="Y64" i="16" a="1"/>
  <c r="Y64" i="16"/>
  <c r="Z64" i="16" a="1"/>
  <c r="Z64" i="16"/>
  <c r="AA64" i="16" a="1"/>
  <c r="AA64" i="16"/>
  <c r="V65" i="16"/>
  <c r="W65" i="16" a="1"/>
  <c r="W65" i="16"/>
  <c r="X65" i="16" a="1"/>
  <c r="X65" i="16"/>
  <c r="Y65" i="16" a="1"/>
  <c r="Y65" i="16"/>
  <c r="Z65" i="16" a="1"/>
  <c r="Z65" i="16"/>
  <c r="AA65" i="16" a="1"/>
  <c r="AA65" i="16"/>
  <c r="V66" i="16"/>
  <c r="W66" i="16" a="1"/>
  <c r="W66" i="16"/>
  <c r="X66" i="16" a="1"/>
  <c r="X66" i="16"/>
  <c r="Y66" i="16" a="1"/>
  <c r="Y66" i="16"/>
  <c r="Z66" i="16" a="1"/>
  <c r="Z66" i="16"/>
  <c r="AA66" i="16" a="1"/>
  <c r="AA66" i="16"/>
  <c r="V67" i="16"/>
  <c r="W67" i="16" a="1"/>
  <c r="W67" i="16"/>
  <c r="X67" i="16" a="1"/>
  <c r="X67" i="16"/>
  <c r="Y67" i="16" a="1"/>
  <c r="Y67" i="16"/>
  <c r="Z67" i="16" a="1"/>
  <c r="Z67" i="16"/>
  <c r="AA67" i="16" a="1"/>
  <c r="AA67" i="16"/>
  <c r="V68" i="16"/>
  <c r="W68" i="16" a="1"/>
  <c r="W68" i="16"/>
  <c r="X68" i="16" a="1"/>
  <c r="X68" i="16"/>
  <c r="Y68" i="16" a="1"/>
  <c r="Y68" i="16"/>
  <c r="Z68" i="16" a="1"/>
  <c r="Z68" i="16"/>
  <c r="AA68" i="16" a="1"/>
  <c r="AA68" i="16"/>
  <c r="V69" i="16"/>
  <c r="W69" i="16" a="1"/>
  <c r="W69" i="16"/>
  <c r="X69" i="16" a="1"/>
  <c r="X69" i="16"/>
  <c r="Y69" i="16" a="1"/>
  <c r="Y69" i="16"/>
  <c r="Z69" i="16" a="1"/>
  <c r="Z69" i="16"/>
  <c r="AA69" i="16" a="1"/>
  <c r="AA69" i="16"/>
  <c r="V70" i="16"/>
  <c r="W70" i="16" a="1"/>
  <c r="W70" i="16"/>
  <c r="X70" i="16" a="1"/>
  <c r="X70" i="16"/>
  <c r="Y70" i="16" a="1"/>
  <c r="Y70" i="16"/>
  <c r="Z70" i="16" a="1"/>
  <c r="Z70" i="16"/>
  <c r="AA70" i="16" a="1"/>
  <c r="AA70" i="16"/>
  <c r="V71" i="16"/>
  <c r="W71" i="16" a="1"/>
  <c r="W71" i="16"/>
  <c r="X71" i="16" a="1"/>
  <c r="X71" i="16"/>
  <c r="Y71" i="16" a="1"/>
  <c r="Y71" i="16"/>
  <c r="Z71" i="16" a="1"/>
  <c r="Z71" i="16"/>
  <c r="AA71" i="16" a="1"/>
  <c r="AA71" i="16"/>
  <c r="V72" i="16"/>
  <c r="W72" i="16" a="1"/>
  <c r="W72" i="16"/>
  <c r="X72" i="16" a="1"/>
  <c r="X72" i="16"/>
  <c r="Y72" i="16" a="1"/>
  <c r="Y72" i="16"/>
  <c r="Z72" i="16" a="1"/>
  <c r="Z72" i="16"/>
  <c r="AA72" i="16" a="1"/>
  <c r="AA72" i="16"/>
  <c r="V73" i="16"/>
  <c r="W73" i="16" a="1"/>
  <c r="W73" i="16"/>
  <c r="X73" i="16" a="1"/>
  <c r="X73" i="16"/>
  <c r="Y73" i="16" a="1"/>
  <c r="Y73" i="16"/>
  <c r="Z73" i="16" a="1"/>
  <c r="Z73" i="16"/>
  <c r="AA73" i="16" a="1"/>
  <c r="AA73" i="16"/>
  <c r="V74" i="16"/>
  <c r="W74" i="16" a="1"/>
  <c r="W74" i="16"/>
  <c r="X74" i="16" a="1"/>
  <c r="X74" i="16"/>
  <c r="Y74" i="16" a="1"/>
  <c r="Y74" i="16"/>
  <c r="Z74" i="16" a="1"/>
  <c r="Z74" i="16"/>
  <c r="AA74" i="16" a="1"/>
  <c r="AA74" i="16"/>
  <c r="V75" i="16"/>
  <c r="W75" i="16" a="1"/>
  <c r="W75" i="16"/>
  <c r="X75" i="16" a="1"/>
  <c r="X75" i="16"/>
  <c r="Y75" i="16" a="1"/>
  <c r="Y75" i="16"/>
  <c r="Z75" i="16" a="1"/>
  <c r="Z75" i="16"/>
  <c r="AA75" i="16" a="1"/>
  <c r="AA75" i="16"/>
  <c r="V76" i="16"/>
  <c r="W76" i="16" a="1"/>
  <c r="W76" i="16"/>
  <c r="X76" i="16" a="1"/>
  <c r="X76" i="16"/>
  <c r="Y76" i="16" a="1"/>
  <c r="Y76" i="16"/>
  <c r="Z76" i="16" a="1"/>
  <c r="Z76" i="16"/>
  <c r="AA76" i="16" a="1"/>
  <c r="AA76" i="16"/>
  <c r="V77" i="16"/>
  <c r="W77" i="16" a="1"/>
  <c r="W77" i="16"/>
  <c r="X77" i="16" a="1"/>
  <c r="X77" i="16"/>
  <c r="Y77" i="16" a="1"/>
  <c r="Y77" i="16"/>
  <c r="Z77" i="16" a="1"/>
  <c r="Z77" i="16"/>
  <c r="AA77" i="16" a="1"/>
  <c r="AA77" i="16"/>
  <c r="V78" i="16"/>
  <c r="W78" i="16" a="1"/>
  <c r="W78" i="16"/>
  <c r="X78" i="16" a="1"/>
  <c r="X78" i="16"/>
  <c r="Y78" i="16" a="1"/>
  <c r="Y78" i="16"/>
  <c r="Z78" i="16" a="1"/>
  <c r="Z78" i="16"/>
  <c r="AA78" i="16" a="1"/>
  <c r="AA78" i="16"/>
  <c r="V79" i="16"/>
  <c r="W79" i="16" a="1"/>
  <c r="W79" i="16"/>
  <c r="X79" i="16" a="1"/>
  <c r="X79" i="16"/>
  <c r="Y79" i="16" a="1"/>
  <c r="Y79" i="16"/>
  <c r="Z79" i="16" a="1"/>
  <c r="Z79" i="16"/>
  <c r="AA79" i="16" a="1"/>
  <c r="AA79" i="16"/>
  <c r="V80" i="16"/>
  <c r="W80" i="16" a="1"/>
  <c r="W80" i="16"/>
  <c r="X80" i="16" a="1"/>
  <c r="X80" i="16"/>
  <c r="Y80" i="16" a="1"/>
  <c r="Y80" i="16"/>
  <c r="Z80" i="16" a="1"/>
  <c r="Z80" i="16"/>
  <c r="AA80" i="16" a="1"/>
  <c r="AA80" i="16"/>
  <c r="V81" i="16"/>
  <c r="W81" i="16" a="1"/>
  <c r="W81" i="16"/>
  <c r="X81" i="16" a="1"/>
  <c r="X81" i="16"/>
  <c r="Y81" i="16" a="1"/>
  <c r="Y81" i="16"/>
  <c r="Z81" i="16" a="1"/>
  <c r="Z81" i="16"/>
  <c r="AA81" i="16" a="1"/>
  <c r="AA81" i="16"/>
  <c r="V82" i="16"/>
  <c r="W82" i="16" a="1"/>
  <c r="W82" i="16"/>
  <c r="X82" i="16" a="1"/>
  <c r="X82" i="16"/>
  <c r="Y82" i="16" a="1"/>
  <c r="Y82" i="16"/>
  <c r="Z82" i="16" a="1"/>
  <c r="Z82" i="16"/>
  <c r="AA82" i="16" a="1"/>
  <c r="AA82" i="16"/>
  <c r="V83" i="16"/>
  <c r="W83" i="16" a="1"/>
  <c r="W83" i="16"/>
  <c r="X83" i="16" a="1"/>
  <c r="X83" i="16"/>
  <c r="Y83" i="16" a="1"/>
  <c r="Y83" i="16"/>
  <c r="Z83" i="16" a="1"/>
  <c r="Z83" i="16"/>
  <c r="AA83" i="16" a="1"/>
  <c r="AA83" i="16"/>
  <c r="V84" i="16"/>
  <c r="W84" i="16" a="1"/>
  <c r="W84" i="16"/>
  <c r="X84" i="16" a="1"/>
  <c r="X84" i="16"/>
  <c r="Y84" i="16" a="1"/>
  <c r="Y84" i="16"/>
  <c r="Z84" i="16" a="1"/>
  <c r="Z84" i="16"/>
  <c r="AA84" i="16" a="1"/>
  <c r="AA84" i="16"/>
  <c r="V85" i="16"/>
  <c r="W85" i="16" a="1"/>
  <c r="W85" i="16"/>
  <c r="X85" i="16" a="1"/>
  <c r="X85" i="16"/>
  <c r="Y85" i="16" a="1"/>
  <c r="Y85" i="16"/>
  <c r="Z85" i="16" a="1"/>
  <c r="Z85" i="16"/>
  <c r="AA85" i="16" a="1"/>
  <c r="AA85" i="16"/>
  <c r="V86" i="16"/>
  <c r="W86" i="16" a="1"/>
  <c r="W86" i="16"/>
  <c r="X86" i="16" a="1"/>
  <c r="X86" i="16"/>
  <c r="Y86" i="16" a="1"/>
  <c r="Y86" i="16"/>
  <c r="Z86" i="16" a="1"/>
  <c r="Z86" i="16"/>
  <c r="AA86" i="16" a="1"/>
  <c r="AA86" i="16"/>
  <c r="V87" i="16"/>
  <c r="W87" i="16" a="1"/>
  <c r="W87" i="16"/>
  <c r="X87" i="16" a="1"/>
  <c r="X87" i="16"/>
  <c r="Y87" i="16" a="1"/>
  <c r="Y87" i="16"/>
  <c r="Z87" i="16" a="1"/>
  <c r="Z87" i="16"/>
  <c r="AA87" i="16" a="1"/>
  <c r="AA87" i="16"/>
  <c r="V88" i="16"/>
  <c r="W88" i="16" a="1"/>
  <c r="W88" i="16"/>
  <c r="X88" i="16" a="1"/>
  <c r="X88" i="16"/>
  <c r="Y88" i="16" a="1"/>
  <c r="Y88" i="16"/>
  <c r="Z88" i="16" a="1"/>
  <c r="Z88" i="16"/>
  <c r="AA88" i="16" a="1"/>
  <c r="AA88" i="16"/>
  <c r="V89" i="16"/>
  <c r="W89" i="16" a="1"/>
  <c r="W89" i="16"/>
  <c r="X89" i="16" a="1"/>
  <c r="X89" i="16"/>
  <c r="Y89" i="16" a="1"/>
  <c r="Y89" i="16"/>
  <c r="Z89" i="16" a="1"/>
  <c r="Z89" i="16"/>
  <c r="AA89" i="16" a="1"/>
  <c r="AA89" i="16"/>
  <c r="V90" i="16"/>
  <c r="W90" i="16" a="1"/>
  <c r="W90" i="16"/>
  <c r="X90" i="16" a="1"/>
  <c r="X90" i="16"/>
  <c r="Y90" i="16" a="1"/>
  <c r="Y90" i="16"/>
  <c r="Z90" i="16" a="1"/>
  <c r="Z90" i="16"/>
  <c r="AA90" i="16" a="1"/>
  <c r="AA90" i="16"/>
  <c r="V91" i="16"/>
  <c r="W91" i="16" a="1"/>
  <c r="W91" i="16"/>
  <c r="X91" i="16" a="1"/>
  <c r="X91" i="16"/>
  <c r="Y91" i="16" a="1"/>
  <c r="Y91" i="16"/>
  <c r="Z91" i="16" a="1"/>
  <c r="Z91" i="16"/>
  <c r="AA91" i="16" a="1"/>
  <c r="AA91" i="16"/>
  <c r="V92" i="16"/>
  <c r="W92" i="16" a="1"/>
  <c r="W92" i="16"/>
  <c r="X92" i="16" a="1"/>
  <c r="X92" i="16"/>
  <c r="Y92" i="16" a="1"/>
  <c r="Y92" i="16"/>
  <c r="Z92" i="16" a="1"/>
  <c r="Z92" i="16"/>
  <c r="AA92" i="16" a="1"/>
  <c r="AA92" i="16"/>
  <c r="V93" i="16"/>
  <c r="W93" i="16" a="1"/>
  <c r="W93" i="16"/>
  <c r="X93" i="16" a="1"/>
  <c r="X93" i="16"/>
  <c r="Y93" i="16" a="1"/>
  <c r="Y93" i="16"/>
  <c r="Z93" i="16" a="1"/>
  <c r="Z93" i="16"/>
  <c r="AA93" i="16" a="1"/>
  <c r="AA93" i="16"/>
  <c r="V94" i="16"/>
  <c r="W94" i="16" a="1"/>
  <c r="W94" i="16"/>
  <c r="X94" i="16" a="1"/>
  <c r="X94" i="16"/>
  <c r="Y94" i="16" a="1"/>
  <c r="Y94" i="16"/>
  <c r="Z94" i="16" a="1"/>
  <c r="Z94" i="16"/>
  <c r="AA94" i="16" a="1"/>
  <c r="AA94" i="16"/>
  <c r="V95" i="16"/>
  <c r="W95" i="16" a="1"/>
  <c r="W95" i="16"/>
  <c r="X95" i="16" a="1"/>
  <c r="X95" i="16"/>
  <c r="Y95" i="16" a="1"/>
  <c r="Y95" i="16"/>
  <c r="Z95" i="16" a="1"/>
  <c r="Z95" i="16"/>
  <c r="AA95" i="16" a="1"/>
  <c r="AA95" i="16"/>
  <c r="V96" i="16"/>
  <c r="W96" i="16" a="1"/>
  <c r="W96" i="16"/>
  <c r="X96" i="16" a="1"/>
  <c r="X96" i="16"/>
  <c r="Y96" i="16" a="1"/>
  <c r="Y96" i="16"/>
  <c r="Z96" i="16" a="1"/>
  <c r="Z96" i="16"/>
  <c r="AA96" i="16" a="1"/>
  <c r="AA96" i="16"/>
  <c r="V97" i="16"/>
  <c r="W97" i="16" a="1"/>
  <c r="W97" i="16"/>
  <c r="X97" i="16" a="1"/>
  <c r="X97" i="16"/>
  <c r="Y97" i="16" a="1"/>
  <c r="Y97" i="16"/>
  <c r="Z97" i="16" a="1"/>
  <c r="Z97" i="16"/>
  <c r="AA97" i="16" a="1"/>
  <c r="AA97" i="16"/>
  <c r="V98" i="16"/>
  <c r="W98" i="16" a="1"/>
  <c r="W98" i="16"/>
  <c r="X98" i="16" a="1"/>
  <c r="X98" i="16"/>
  <c r="Y98" i="16" a="1"/>
  <c r="Y98" i="16"/>
  <c r="Z98" i="16" a="1"/>
  <c r="Z98" i="16"/>
  <c r="AA98" i="16" a="1"/>
  <c r="AA98" i="16"/>
  <c r="V99" i="16"/>
  <c r="W99" i="16" a="1"/>
  <c r="W99" i="16"/>
  <c r="X99" i="16" a="1"/>
  <c r="X99" i="16"/>
  <c r="Y99" i="16" a="1"/>
  <c r="Y99" i="16"/>
  <c r="Z99" i="16" a="1"/>
  <c r="Z99" i="16"/>
  <c r="AA99" i="16" a="1"/>
  <c r="AA99" i="16"/>
  <c r="V100" i="16"/>
  <c r="W100" i="16" a="1"/>
  <c r="W100" i="16"/>
  <c r="X100" i="16" a="1"/>
  <c r="X100" i="16"/>
  <c r="Y100" i="16" a="1"/>
  <c r="Y100" i="16"/>
  <c r="Z100" i="16" a="1"/>
  <c r="Z100" i="16"/>
  <c r="AA100" i="16" a="1"/>
  <c r="AA100" i="16"/>
  <c r="V101" i="16"/>
  <c r="W101" i="16" a="1"/>
  <c r="W101" i="16"/>
  <c r="X101" i="16" a="1"/>
  <c r="X101" i="16"/>
  <c r="Y101" i="16" a="1"/>
  <c r="Y101" i="16"/>
  <c r="Z101" i="16" a="1"/>
  <c r="Z101" i="16"/>
  <c r="AA101" i="16" a="1"/>
  <c r="AA101" i="16"/>
  <c r="V102" i="16"/>
  <c r="W102" i="16" a="1"/>
  <c r="W102" i="16"/>
  <c r="X102" i="16" a="1"/>
  <c r="X102" i="16"/>
  <c r="Y102" i="16" a="1"/>
  <c r="Y102" i="16"/>
  <c r="Z102" i="16" a="1"/>
  <c r="Z102" i="16"/>
  <c r="AA102" i="16" a="1"/>
  <c r="AA102" i="16"/>
  <c r="V103" i="16"/>
  <c r="W103" i="16" a="1"/>
  <c r="W103" i="16"/>
  <c r="X103" i="16" a="1"/>
  <c r="X103" i="16"/>
  <c r="Y103" i="16" a="1"/>
  <c r="Y103" i="16"/>
  <c r="Z103" i="16" a="1"/>
  <c r="Z103" i="16"/>
  <c r="AA103" i="16" a="1"/>
  <c r="AA103" i="16"/>
  <c r="V104" i="16"/>
  <c r="W104" i="16" a="1"/>
  <c r="W104" i="16"/>
  <c r="X104" i="16" a="1"/>
  <c r="X104" i="16"/>
  <c r="Y104" i="16" a="1"/>
  <c r="Y104" i="16"/>
  <c r="Z104" i="16" a="1"/>
  <c r="Z104" i="16"/>
  <c r="AA104" i="16" a="1"/>
  <c r="AA104" i="16"/>
  <c r="V105" i="16"/>
  <c r="W105" i="16" a="1"/>
  <c r="W105" i="16"/>
  <c r="X105" i="16" a="1"/>
  <c r="X105" i="16"/>
  <c r="Y105" i="16" a="1"/>
  <c r="Y105" i="16"/>
  <c r="Z105" i="16" a="1"/>
  <c r="Z105" i="16"/>
  <c r="AA105" i="16" a="1"/>
  <c r="AA105" i="16"/>
  <c r="V106" i="16"/>
  <c r="W106" i="16" a="1"/>
  <c r="W106" i="16"/>
  <c r="X106" i="16" a="1"/>
  <c r="X106" i="16"/>
  <c r="Y106" i="16" a="1"/>
  <c r="Y106" i="16"/>
  <c r="Z106" i="16" a="1"/>
  <c r="Z106" i="16"/>
  <c r="AA106" i="16" a="1"/>
  <c r="AA106" i="16"/>
  <c r="V107" i="16"/>
  <c r="W107" i="16" a="1"/>
  <c r="W107" i="16"/>
  <c r="X107" i="16" a="1"/>
  <c r="X107" i="16"/>
  <c r="Y107" i="16" a="1"/>
  <c r="Y107" i="16"/>
  <c r="Z107" i="16" a="1"/>
  <c r="Z107" i="16"/>
  <c r="AA107" i="16" a="1"/>
  <c r="AA107" i="16"/>
  <c r="V108" i="16"/>
  <c r="W108" i="16" a="1"/>
  <c r="W108" i="16"/>
  <c r="X108" i="16" a="1"/>
  <c r="X108" i="16"/>
  <c r="Y108" i="16" a="1"/>
  <c r="Y108" i="16"/>
  <c r="Z108" i="16" a="1"/>
  <c r="Z108" i="16"/>
  <c r="AA108" i="16" a="1"/>
  <c r="AA108" i="16"/>
  <c r="V109" i="16"/>
  <c r="W109" i="16" a="1"/>
  <c r="W109" i="16"/>
  <c r="X109" i="16" a="1"/>
  <c r="X109" i="16"/>
  <c r="Y109" i="16" a="1"/>
  <c r="Y109" i="16"/>
  <c r="Z109" i="16" a="1"/>
  <c r="Z109" i="16"/>
  <c r="AA109" i="16" a="1"/>
  <c r="AA109" i="16"/>
  <c r="V110" i="16"/>
  <c r="W110" i="16" a="1"/>
  <c r="W110" i="16"/>
  <c r="X110" i="16" a="1"/>
  <c r="X110" i="16"/>
  <c r="Y110" i="16" a="1"/>
  <c r="Y110" i="16"/>
  <c r="Z110" i="16" a="1"/>
  <c r="Z110" i="16"/>
  <c r="AA110" i="16" a="1"/>
  <c r="AA110" i="16"/>
  <c r="V111" i="16"/>
  <c r="W111" i="16" a="1"/>
  <c r="W111" i="16"/>
  <c r="X111" i="16" a="1"/>
  <c r="X111" i="16"/>
  <c r="Y111" i="16" a="1"/>
  <c r="Y111" i="16"/>
  <c r="Z111" i="16" a="1"/>
  <c r="Z111" i="16"/>
  <c r="AA111" i="16" a="1"/>
  <c r="AA111" i="16"/>
  <c r="V112" i="16"/>
  <c r="W112" i="16" a="1"/>
  <c r="W112" i="16"/>
  <c r="X112" i="16" a="1"/>
  <c r="X112" i="16"/>
  <c r="Y112" i="16" a="1"/>
  <c r="Y112" i="16"/>
  <c r="Z112" i="16" a="1"/>
  <c r="Z112" i="16"/>
  <c r="AA112" i="16" a="1"/>
  <c r="AA112" i="16"/>
  <c r="V113" i="16"/>
  <c r="W113" i="16" a="1"/>
  <c r="W113" i="16"/>
  <c r="X113" i="16" a="1"/>
  <c r="X113" i="16"/>
  <c r="Y113" i="16" a="1"/>
  <c r="Y113" i="16"/>
  <c r="Z113" i="16" a="1"/>
  <c r="Z113" i="16"/>
  <c r="AA113" i="16" a="1"/>
  <c r="AA113" i="16"/>
  <c r="V114" i="16"/>
  <c r="W114" i="16" a="1"/>
  <c r="W114" i="16"/>
  <c r="X114" i="16" a="1"/>
  <c r="X114" i="16"/>
  <c r="Y114" i="16" a="1"/>
  <c r="Y114" i="16"/>
  <c r="Z114" i="16" a="1"/>
  <c r="Z114" i="16"/>
  <c r="AA114" i="16" a="1"/>
  <c r="AA114" i="16"/>
  <c r="V115" i="16"/>
  <c r="W115" i="16" a="1"/>
  <c r="W115" i="16"/>
  <c r="X115" i="16" a="1"/>
  <c r="X115" i="16"/>
  <c r="Y115" i="16" a="1"/>
  <c r="Y115" i="16"/>
  <c r="Z115" i="16" a="1"/>
  <c r="Z115" i="16"/>
  <c r="AA115" i="16" a="1"/>
  <c r="AA115" i="16"/>
  <c r="V116" i="16"/>
  <c r="W116" i="16" a="1"/>
  <c r="W116" i="16"/>
  <c r="X116" i="16" a="1"/>
  <c r="X116" i="16"/>
  <c r="Y116" i="16" a="1"/>
  <c r="Y116" i="16"/>
  <c r="Z116" i="16" a="1"/>
  <c r="Z116" i="16"/>
  <c r="AA116" i="16" a="1"/>
  <c r="AA116" i="16"/>
  <c r="V117" i="16"/>
  <c r="W117" i="16" a="1"/>
  <c r="W117" i="16"/>
  <c r="X117" i="16" a="1"/>
  <c r="X117" i="16"/>
  <c r="Y117" i="16" a="1"/>
  <c r="Y117" i="16"/>
  <c r="Z117" i="16" a="1"/>
  <c r="Z117" i="16"/>
  <c r="AA117" i="16" a="1"/>
  <c r="AA117" i="16"/>
  <c r="V118" i="16"/>
  <c r="W118" i="16" a="1"/>
  <c r="W118" i="16"/>
  <c r="X118" i="16" a="1"/>
  <c r="X118" i="16"/>
  <c r="Y118" i="16" a="1"/>
  <c r="Y118" i="16"/>
  <c r="Z118" i="16" a="1"/>
  <c r="Z118" i="16"/>
  <c r="AA118" i="16" a="1"/>
  <c r="AA118" i="16"/>
  <c r="V119" i="16"/>
  <c r="W119" i="16" a="1"/>
  <c r="W119" i="16"/>
  <c r="X119" i="16" a="1"/>
  <c r="X119" i="16"/>
  <c r="Y119" i="16" a="1"/>
  <c r="Y119" i="16"/>
  <c r="Z119" i="16" a="1"/>
  <c r="Z119" i="16"/>
  <c r="AA119" i="16" a="1"/>
  <c r="AA119" i="16"/>
  <c r="V120" i="16"/>
  <c r="W120" i="16" a="1"/>
  <c r="W120" i="16"/>
  <c r="X120" i="16" a="1"/>
  <c r="X120" i="16"/>
  <c r="Y120" i="16" a="1"/>
  <c r="Y120" i="16"/>
  <c r="Z120" i="16" a="1"/>
  <c r="Z120" i="16"/>
  <c r="AA120" i="16" a="1"/>
  <c r="AA120" i="16"/>
  <c r="V121" i="16"/>
  <c r="W121" i="16" a="1"/>
  <c r="W121" i="16"/>
  <c r="X121" i="16" a="1"/>
  <c r="X121" i="16"/>
  <c r="Y121" i="16" a="1"/>
  <c r="Y121" i="16"/>
  <c r="Z121" i="16" a="1"/>
  <c r="Z121" i="16"/>
  <c r="AA121" i="16" a="1"/>
  <c r="AA121" i="16"/>
  <c r="V122" i="16"/>
  <c r="W122" i="16" a="1"/>
  <c r="W122" i="16"/>
  <c r="X122" i="16" a="1"/>
  <c r="X122" i="16"/>
  <c r="Y122" i="16" a="1"/>
  <c r="Y122" i="16"/>
  <c r="Z122" i="16" a="1"/>
  <c r="Z122" i="16"/>
  <c r="AA122" i="16" a="1"/>
  <c r="AA122" i="16"/>
  <c r="V123" i="16"/>
  <c r="W123" i="16" a="1"/>
  <c r="W123" i="16"/>
  <c r="X123" i="16" a="1"/>
  <c r="X123" i="16"/>
  <c r="Y123" i="16" a="1"/>
  <c r="Y123" i="16"/>
  <c r="Z123" i="16" a="1"/>
  <c r="Z123" i="16"/>
  <c r="AA123" i="16" a="1"/>
  <c r="AA123" i="16"/>
  <c r="V124" i="16"/>
  <c r="W124" i="16" a="1"/>
  <c r="W124" i="16"/>
  <c r="X124" i="16" a="1"/>
  <c r="X124" i="16"/>
  <c r="Y124" i="16" a="1"/>
  <c r="Y124" i="16"/>
  <c r="Z124" i="16" a="1"/>
  <c r="Z124" i="16"/>
  <c r="AA124" i="16" a="1"/>
  <c r="AA124" i="16"/>
  <c r="V125" i="16"/>
  <c r="W125" i="16" a="1"/>
  <c r="W125" i="16"/>
  <c r="X125" i="16" a="1"/>
  <c r="X125" i="16"/>
  <c r="Y125" i="16" a="1"/>
  <c r="Y125" i="16"/>
  <c r="Z125" i="16" a="1"/>
  <c r="Z125" i="16"/>
  <c r="AA125" i="16" a="1"/>
  <c r="AA125" i="16"/>
  <c r="V126" i="16"/>
  <c r="W126" i="16" a="1"/>
  <c r="W126" i="16"/>
  <c r="X126" i="16" a="1"/>
  <c r="X126" i="16"/>
  <c r="Y126" i="16" a="1"/>
  <c r="Y126" i="16"/>
  <c r="Z126" i="16" a="1"/>
  <c r="Z126" i="16"/>
  <c r="AA126" i="16" a="1"/>
  <c r="AA126" i="16"/>
  <c r="V127" i="16"/>
  <c r="W127" i="16" a="1"/>
  <c r="W127" i="16"/>
  <c r="X127" i="16" a="1"/>
  <c r="X127" i="16"/>
  <c r="Y127" i="16" a="1"/>
  <c r="Y127" i="16"/>
  <c r="Z127" i="16" a="1"/>
  <c r="Z127" i="16"/>
  <c r="AA127" i="16" a="1"/>
  <c r="AA127" i="16"/>
  <c r="V128" i="16"/>
  <c r="W128" i="16" a="1"/>
  <c r="W128" i="16"/>
  <c r="X128" i="16" a="1"/>
  <c r="X128" i="16"/>
  <c r="Y128" i="16" a="1"/>
  <c r="Y128" i="16"/>
  <c r="Z128" i="16" a="1"/>
  <c r="Z128" i="16"/>
  <c r="AA128" i="16" a="1"/>
  <c r="AA128" i="16"/>
  <c r="V129" i="16"/>
  <c r="W129" i="16" a="1"/>
  <c r="W129" i="16"/>
  <c r="X129" i="16" a="1"/>
  <c r="X129" i="16"/>
  <c r="Y129" i="16" a="1"/>
  <c r="Y129" i="16"/>
  <c r="Z129" i="16" a="1"/>
  <c r="Z129" i="16"/>
  <c r="AA129" i="16" a="1"/>
  <c r="AA129" i="16"/>
  <c r="V130" i="16"/>
  <c r="W130" i="16" a="1"/>
  <c r="W130" i="16"/>
  <c r="X130" i="16" a="1"/>
  <c r="X130" i="16"/>
  <c r="Y130" i="16" a="1"/>
  <c r="Y130" i="16"/>
  <c r="Z130" i="16" a="1"/>
  <c r="Z130" i="16"/>
  <c r="AA130" i="16" a="1"/>
  <c r="AA130" i="16"/>
  <c r="V131" i="16"/>
  <c r="W131" i="16" a="1"/>
  <c r="W131" i="16"/>
  <c r="X131" i="16" a="1"/>
  <c r="X131" i="16"/>
  <c r="Y131" i="16" a="1"/>
  <c r="Y131" i="16"/>
  <c r="Z131" i="16" a="1"/>
  <c r="Z131" i="16"/>
  <c r="AA131" i="16" a="1"/>
  <c r="AA131" i="16"/>
  <c r="V132" i="16"/>
  <c r="W132" i="16" a="1"/>
  <c r="W132" i="16"/>
  <c r="X132" i="16" a="1"/>
  <c r="X132" i="16"/>
  <c r="Y132" i="16" a="1"/>
  <c r="Y132" i="16"/>
  <c r="Z132" i="16" a="1"/>
  <c r="Z132" i="16"/>
  <c r="AA132" i="16" a="1"/>
  <c r="AA132" i="16"/>
  <c r="V133" i="16"/>
  <c r="W133" i="16" a="1"/>
  <c r="W133" i="16"/>
  <c r="X133" i="16" a="1"/>
  <c r="X133" i="16"/>
  <c r="Y133" i="16" a="1"/>
  <c r="Y133" i="16"/>
  <c r="Z133" i="16" a="1"/>
  <c r="Z133" i="16"/>
  <c r="AA133" i="16" a="1"/>
  <c r="AA133" i="16"/>
  <c r="V134" i="16"/>
  <c r="W134" i="16" a="1"/>
  <c r="W134" i="16"/>
  <c r="X134" i="16" a="1"/>
  <c r="X134" i="16"/>
  <c r="Y134" i="16" a="1"/>
  <c r="Y134" i="16"/>
  <c r="Z134" i="16" a="1"/>
  <c r="Z134" i="16"/>
  <c r="AA134" i="16" a="1"/>
  <c r="AA134" i="16"/>
  <c r="V135" i="16"/>
  <c r="W135" i="16" a="1"/>
  <c r="W135" i="16"/>
  <c r="X135" i="16" a="1"/>
  <c r="X135" i="16"/>
  <c r="Y135" i="16" a="1"/>
  <c r="Y135" i="16"/>
  <c r="Z135" i="16" a="1"/>
  <c r="Z135" i="16"/>
  <c r="AA135" i="16" a="1"/>
  <c r="AA135" i="16"/>
  <c r="V136" i="16"/>
  <c r="W136" i="16" a="1"/>
  <c r="W136" i="16"/>
  <c r="X136" i="16" a="1"/>
  <c r="X136" i="16"/>
  <c r="Y136" i="16" a="1"/>
  <c r="Y136" i="16"/>
  <c r="Z136" i="16" a="1"/>
  <c r="Z136" i="16"/>
  <c r="AA136" i="16" a="1"/>
  <c r="AA136" i="16"/>
  <c r="V137" i="16"/>
  <c r="W137" i="16" a="1"/>
  <c r="W137" i="16"/>
  <c r="X137" i="16" a="1"/>
  <c r="X137" i="16"/>
  <c r="Y137" i="16" a="1"/>
  <c r="Y137" i="16"/>
  <c r="Z137" i="16" a="1"/>
  <c r="Z137" i="16"/>
  <c r="AA137" i="16" a="1"/>
  <c r="AA137" i="16"/>
  <c r="V138" i="16"/>
  <c r="W138" i="16" a="1"/>
  <c r="W138" i="16"/>
  <c r="X138" i="16" a="1"/>
  <c r="X138" i="16"/>
  <c r="Y138" i="16" a="1"/>
  <c r="Y138" i="16"/>
  <c r="Z138" i="16" a="1"/>
  <c r="Z138" i="16"/>
  <c r="AA138" i="16" a="1"/>
  <c r="AA138" i="16"/>
  <c r="V139" i="16"/>
  <c r="W139" i="16" a="1"/>
  <c r="W139" i="16"/>
  <c r="X139" i="16" a="1"/>
  <c r="X139" i="16"/>
  <c r="Y139" i="16" a="1"/>
  <c r="Y139" i="16"/>
  <c r="Z139" i="16" a="1"/>
  <c r="Z139" i="16"/>
  <c r="AA139" i="16" a="1"/>
  <c r="AA139" i="16"/>
  <c r="V140" i="16"/>
  <c r="W140" i="16" a="1"/>
  <c r="W140" i="16"/>
  <c r="X140" i="16" a="1"/>
  <c r="X140" i="16"/>
  <c r="Y140" i="16" a="1"/>
  <c r="Y140" i="16"/>
  <c r="Z140" i="16" a="1"/>
  <c r="Z140" i="16"/>
  <c r="AA140" i="16" a="1"/>
  <c r="AA140" i="16"/>
  <c r="V141" i="16"/>
  <c r="W141" i="16" a="1"/>
  <c r="W141" i="16"/>
  <c r="X141" i="16" a="1"/>
  <c r="X141" i="16"/>
  <c r="Y141" i="16" a="1"/>
  <c r="Y141" i="16"/>
  <c r="Z141" i="16" a="1"/>
  <c r="Z141" i="16"/>
  <c r="AA141" i="16" a="1"/>
  <c r="AA141" i="16"/>
  <c r="V142" i="16"/>
  <c r="W142" i="16" a="1"/>
  <c r="W142" i="16"/>
  <c r="X142" i="16" a="1"/>
  <c r="X142" i="16"/>
  <c r="Y142" i="16" a="1"/>
  <c r="Y142" i="16"/>
  <c r="Z142" i="16" a="1"/>
  <c r="Z142" i="16"/>
  <c r="AA142" i="16" a="1"/>
  <c r="AA142" i="16"/>
  <c r="V143" i="16"/>
  <c r="W143" i="16" a="1"/>
  <c r="W143" i="16"/>
  <c r="X143" i="16" a="1"/>
  <c r="X143" i="16"/>
  <c r="Y143" i="16" a="1"/>
  <c r="Y143" i="16"/>
  <c r="Z143" i="16" a="1"/>
  <c r="Z143" i="16"/>
  <c r="AA143" i="16" a="1"/>
  <c r="AA143" i="16"/>
  <c r="V144" i="16"/>
  <c r="W144" i="16" a="1"/>
  <c r="W144" i="16"/>
  <c r="X144" i="16" a="1"/>
  <c r="X144" i="16"/>
  <c r="Y144" i="16" a="1"/>
  <c r="Y144" i="16"/>
  <c r="Z144" i="16" a="1"/>
  <c r="Z144" i="16"/>
  <c r="AA144" i="16" a="1"/>
  <c r="AA144" i="16"/>
  <c r="V145" i="16"/>
  <c r="W145" i="16" a="1"/>
  <c r="W145" i="16"/>
  <c r="X145" i="16" a="1"/>
  <c r="X145" i="16"/>
  <c r="Y145" i="16" a="1"/>
  <c r="Y145" i="16"/>
  <c r="Z145" i="16" a="1"/>
  <c r="Z145" i="16"/>
  <c r="AA145" i="16" a="1"/>
  <c r="AA145" i="16"/>
  <c r="V146" i="16"/>
  <c r="W146" i="16" a="1"/>
  <c r="W146" i="16"/>
  <c r="X146" i="16" a="1"/>
  <c r="X146" i="16"/>
  <c r="Y146" i="16" a="1"/>
  <c r="Y146" i="16"/>
  <c r="Z146" i="16" a="1"/>
  <c r="Z146" i="16"/>
  <c r="AA146" i="16" a="1"/>
  <c r="AA146" i="16"/>
  <c r="V147" i="16"/>
  <c r="W147" i="16" a="1"/>
  <c r="W147" i="16"/>
  <c r="X147" i="16" a="1"/>
  <c r="X147" i="16"/>
  <c r="Y147" i="16" a="1"/>
  <c r="Y147" i="16"/>
  <c r="Z147" i="16" a="1"/>
  <c r="Z147" i="16"/>
  <c r="AA147" i="16" a="1"/>
  <c r="AA147" i="16"/>
  <c r="V148" i="16"/>
  <c r="W148" i="16" a="1"/>
  <c r="W148" i="16"/>
  <c r="X148" i="16" a="1"/>
  <c r="X148" i="16"/>
  <c r="Y148" i="16" a="1"/>
  <c r="Y148" i="16"/>
  <c r="Z148" i="16" a="1"/>
  <c r="Z148" i="16"/>
  <c r="AA148" i="16" a="1"/>
  <c r="AA148" i="16"/>
  <c r="V149" i="16"/>
  <c r="W149" i="16" a="1"/>
  <c r="W149" i="16"/>
  <c r="X149" i="16" a="1"/>
  <c r="X149" i="16"/>
  <c r="Y149" i="16" a="1"/>
  <c r="Y149" i="16"/>
  <c r="Z149" i="16" a="1"/>
  <c r="Z149" i="16"/>
  <c r="AA149" i="16" a="1"/>
  <c r="AA149" i="16"/>
  <c r="V150" i="16"/>
  <c r="W150" i="16" a="1"/>
  <c r="W150" i="16"/>
  <c r="X150" i="16" a="1"/>
  <c r="X150" i="16"/>
  <c r="Y150" i="16" a="1"/>
  <c r="Y150" i="16"/>
  <c r="Z150" i="16" a="1"/>
  <c r="Z150" i="16"/>
  <c r="AA150" i="16" a="1"/>
  <c r="AA150" i="16"/>
  <c r="V151" i="16"/>
  <c r="W151" i="16" a="1"/>
  <c r="W151" i="16"/>
  <c r="X151" i="16" a="1"/>
  <c r="X151" i="16"/>
  <c r="Y151" i="16" a="1"/>
  <c r="Y151" i="16"/>
  <c r="Z151" i="16" a="1"/>
  <c r="Z151" i="16"/>
  <c r="AA151" i="16" a="1"/>
  <c r="AA151" i="16"/>
  <c r="V152" i="16"/>
  <c r="W152" i="16" a="1"/>
  <c r="W152" i="16"/>
  <c r="X152" i="16" a="1"/>
  <c r="X152" i="16"/>
  <c r="Y152" i="16" a="1"/>
  <c r="Y152" i="16"/>
  <c r="Z152" i="16" a="1"/>
  <c r="Z152" i="16"/>
  <c r="AA152" i="16" a="1"/>
  <c r="AA152" i="16"/>
  <c r="V153" i="16"/>
  <c r="W153" i="16" a="1"/>
  <c r="W153" i="16"/>
  <c r="X153" i="16" a="1"/>
  <c r="X153" i="16"/>
  <c r="Y153" i="16" a="1"/>
  <c r="Y153" i="16"/>
  <c r="Z153" i="16" a="1"/>
  <c r="Z153" i="16"/>
  <c r="AA153" i="16" a="1"/>
  <c r="AA153" i="16"/>
  <c r="V154" i="16"/>
  <c r="W154" i="16" a="1"/>
  <c r="W154" i="16"/>
  <c r="X154" i="16" a="1"/>
  <c r="X154" i="16"/>
  <c r="Y154" i="16" a="1"/>
  <c r="Y154" i="16"/>
  <c r="Z154" i="16" a="1"/>
  <c r="Z154" i="16"/>
  <c r="AA154" i="16" a="1"/>
  <c r="AA154" i="16"/>
  <c r="V155" i="16"/>
  <c r="W155" i="16" a="1"/>
  <c r="W155" i="16"/>
  <c r="X155" i="16" a="1"/>
  <c r="X155" i="16"/>
  <c r="Y155" i="16" a="1"/>
  <c r="Y155" i="16"/>
  <c r="Z155" i="16" a="1"/>
  <c r="Z155" i="16"/>
  <c r="AA155" i="16" a="1"/>
  <c r="AA155" i="16"/>
  <c r="V156" i="16"/>
  <c r="W156" i="16" a="1"/>
  <c r="W156" i="16"/>
  <c r="X156" i="16" a="1"/>
  <c r="X156" i="16"/>
  <c r="Y156" i="16" a="1"/>
  <c r="Y156" i="16"/>
  <c r="Z156" i="16" a="1"/>
  <c r="Z156" i="16"/>
  <c r="AA156" i="16" a="1"/>
  <c r="AA156" i="16"/>
  <c r="V157" i="16"/>
  <c r="W157" i="16" a="1"/>
  <c r="W157" i="16"/>
  <c r="X157" i="16" a="1"/>
  <c r="X157" i="16"/>
  <c r="Y157" i="16" a="1"/>
  <c r="Y157" i="16"/>
  <c r="Z157" i="16" a="1"/>
  <c r="Z157" i="16"/>
  <c r="AA157" i="16" a="1"/>
  <c r="AA157" i="16"/>
  <c r="V158" i="16"/>
  <c r="W158" i="16" a="1"/>
  <c r="W158" i="16"/>
  <c r="X158" i="16" a="1"/>
  <c r="X158" i="16"/>
  <c r="Y158" i="16" a="1"/>
  <c r="Y158" i="16"/>
  <c r="Z158" i="16" a="1"/>
  <c r="Z158" i="16"/>
  <c r="AA158" i="16" a="1"/>
  <c r="AA158" i="16"/>
  <c r="V159" i="16"/>
  <c r="W159" i="16" a="1"/>
  <c r="W159" i="16"/>
  <c r="X159" i="16" a="1"/>
  <c r="X159" i="16"/>
  <c r="Y159" i="16" a="1"/>
  <c r="Y159" i="16"/>
  <c r="Z159" i="16" a="1"/>
  <c r="Z159" i="16"/>
  <c r="AA159" i="16" a="1"/>
  <c r="AA159" i="16"/>
  <c r="V160" i="16"/>
  <c r="W160" i="16" a="1"/>
  <c r="W160" i="16"/>
  <c r="X160" i="16" a="1"/>
  <c r="X160" i="16"/>
  <c r="Y160" i="16" a="1"/>
  <c r="Y160" i="16"/>
  <c r="Z160" i="16" a="1"/>
  <c r="Z160" i="16"/>
  <c r="AA160" i="16" a="1"/>
  <c r="AA160" i="16"/>
  <c r="V161" i="16"/>
  <c r="W161" i="16" a="1"/>
  <c r="W161" i="16"/>
  <c r="X161" i="16" a="1"/>
  <c r="X161" i="16"/>
  <c r="Y161" i="16" a="1"/>
  <c r="Y161" i="16"/>
  <c r="Z161" i="16" a="1"/>
  <c r="Z161" i="16"/>
  <c r="AA161" i="16" a="1"/>
  <c r="AA161" i="16"/>
  <c r="V162" i="16"/>
  <c r="W162" i="16" a="1"/>
  <c r="W162" i="16"/>
  <c r="X162" i="16" a="1"/>
  <c r="X162" i="16"/>
  <c r="Y162" i="16" a="1"/>
  <c r="Y162" i="16"/>
  <c r="Z162" i="16" a="1"/>
  <c r="Z162" i="16"/>
  <c r="AA162" i="16" a="1"/>
  <c r="AA162" i="16"/>
  <c r="V163" i="16"/>
  <c r="W163" i="16" a="1"/>
  <c r="W163" i="16"/>
  <c r="X163" i="16" a="1"/>
  <c r="X163" i="16"/>
  <c r="Y163" i="16" a="1"/>
  <c r="Y163" i="16"/>
  <c r="Z163" i="16" a="1"/>
  <c r="Z163" i="16"/>
  <c r="AA163" i="16" a="1"/>
  <c r="AA163" i="16"/>
  <c r="V164" i="16"/>
  <c r="W164" i="16" a="1"/>
  <c r="W164" i="16"/>
  <c r="X164" i="16" a="1"/>
  <c r="X164" i="16"/>
  <c r="Y164" i="16" a="1"/>
  <c r="Y164" i="16"/>
  <c r="Z164" i="16" a="1"/>
  <c r="Z164" i="16"/>
  <c r="AA164" i="16" a="1"/>
  <c r="AA164" i="16"/>
  <c r="V165" i="16"/>
  <c r="W165" i="16" a="1"/>
  <c r="W165" i="16"/>
  <c r="X165" i="16" a="1"/>
  <c r="X165" i="16"/>
  <c r="Y165" i="16" a="1"/>
  <c r="Y165" i="16"/>
  <c r="Z165" i="16" a="1"/>
  <c r="Z165" i="16"/>
  <c r="AA165" i="16" a="1"/>
  <c r="AA165" i="16"/>
  <c r="V166" i="16"/>
  <c r="W166" i="16" a="1"/>
  <c r="W166" i="16"/>
  <c r="X166" i="16" a="1"/>
  <c r="X166" i="16"/>
  <c r="Y166" i="16" a="1"/>
  <c r="Y166" i="16"/>
  <c r="Z166" i="16" a="1"/>
  <c r="Z166" i="16"/>
  <c r="AA166" i="16" a="1"/>
  <c r="AA166" i="16"/>
  <c r="V167" i="16"/>
  <c r="W167" i="16" a="1"/>
  <c r="W167" i="16"/>
  <c r="X167" i="16" a="1"/>
  <c r="X167" i="16"/>
  <c r="Y167" i="16" a="1"/>
  <c r="Y167" i="16"/>
  <c r="Z167" i="16" a="1"/>
  <c r="Z167" i="16"/>
  <c r="AA167" i="16" a="1"/>
  <c r="AA167" i="16"/>
  <c r="V168" i="16"/>
  <c r="W168" i="16" a="1"/>
  <c r="W168" i="16"/>
  <c r="X168" i="16" a="1"/>
  <c r="X168" i="16"/>
  <c r="Y168" i="16" a="1"/>
  <c r="Y168" i="16"/>
  <c r="Z168" i="16" a="1"/>
  <c r="Z168" i="16"/>
  <c r="AA168" i="16" a="1"/>
  <c r="AA168" i="16"/>
  <c r="V169" i="16"/>
  <c r="W169" i="16" a="1"/>
  <c r="W169" i="16"/>
  <c r="X169" i="16" a="1"/>
  <c r="X169" i="16"/>
  <c r="Y169" i="16" a="1"/>
  <c r="Y169" i="16"/>
  <c r="Z169" i="16" a="1"/>
  <c r="Z169" i="16"/>
  <c r="AA169" i="16" a="1"/>
  <c r="AA169" i="16"/>
  <c r="V170" i="16"/>
  <c r="W170" i="16" a="1"/>
  <c r="W170" i="16"/>
  <c r="X170" i="16" a="1"/>
  <c r="X170" i="16"/>
  <c r="Y170" i="16" a="1"/>
  <c r="Y170" i="16"/>
  <c r="Z170" i="16" a="1"/>
  <c r="Z170" i="16"/>
  <c r="AA170" i="16" a="1"/>
  <c r="AA170" i="16"/>
  <c r="V171" i="16"/>
  <c r="W171" i="16" a="1"/>
  <c r="W171" i="16"/>
  <c r="X171" i="16" a="1"/>
  <c r="X171" i="16"/>
  <c r="Y171" i="16" a="1"/>
  <c r="Y171" i="16"/>
  <c r="Z171" i="16" a="1"/>
  <c r="Z171" i="16"/>
  <c r="AA171" i="16" a="1"/>
  <c r="AA171" i="16"/>
  <c r="V172" i="16"/>
  <c r="W172" i="16" a="1"/>
  <c r="W172" i="16"/>
  <c r="X172" i="16" a="1"/>
  <c r="X172" i="16"/>
  <c r="Y172" i="16" a="1"/>
  <c r="Y172" i="16"/>
  <c r="Z172" i="16" a="1"/>
  <c r="Z172" i="16"/>
  <c r="AA172" i="16" a="1"/>
  <c r="AA172" i="16"/>
  <c r="V173" i="16"/>
  <c r="W173" i="16" a="1"/>
  <c r="W173" i="16"/>
  <c r="X173" i="16" a="1"/>
  <c r="X173" i="16"/>
  <c r="Y173" i="16" a="1"/>
  <c r="Y173" i="16"/>
  <c r="Z173" i="16" a="1"/>
  <c r="Z173" i="16"/>
  <c r="AA173" i="16" a="1"/>
  <c r="AA173" i="16"/>
  <c r="V174" i="16"/>
  <c r="W174" i="16" a="1"/>
  <c r="W174" i="16"/>
  <c r="X174" i="16" a="1"/>
  <c r="X174" i="16"/>
  <c r="Y174" i="16" a="1"/>
  <c r="Y174" i="16"/>
  <c r="Z174" i="16" a="1"/>
  <c r="Z174" i="16"/>
  <c r="AA174" i="16" a="1"/>
  <c r="AA174" i="16"/>
  <c r="V175" i="16"/>
  <c r="W175" i="16" a="1"/>
  <c r="W175" i="16"/>
  <c r="X175" i="16" a="1"/>
  <c r="X175" i="16"/>
  <c r="Y175" i="16" a="1"/>
  <c r="Y175" i="16"/>
  <c r="Z175" i="16" a="1"/>
  <c r="Z175" i="16"/>
  <c r="AA175" i="16" a="1"/>
  <c r="AA175" i="16"/>
  <c r="V176" i="16"/>
  <c r="W176" i="16" a="1"/>
  <c r="W176" i="16"/>
  <c r="X176" i="16" a="1"/>
  <c r="X176" i="16"/>
  <c r="Y176" i="16" a="1"/>
  <c r="Y176" i="16"/>
  <c r="Z176" i="16" a="1"/>
  <c r="Z176" i="16"/>
  <c r="AA176" i="16" a="1"/>
  <c r="AA176" i="16"/>
  <c r="V177" i="16"/>
  <c r="W177" i="16" a="1"/>
  <c r="W177" i="16"/>
  <c r="X177" i="16" a="1"/>
  <c r="X177" i="16"/>
  <c r="Y177" i="16" a="1"/>
  <c r="Y177" i="16"/>
  <c r="Z177" i="16" a="1"/>
  <c r="Z177" i="16"/>
  <c r="AA177" i="16" a="1"/>
  <c r="AA177" i="16"/>
  <c r="V178" i="16"/>
  <c r="W178" i="16" a="1"/>
  <c r="W178" i="16"/>
  <c r="X178" i="16" a="1"/>
  <c r="X178" i="16"/>
  <c r="Y178" i="16" a="1"/>
  <c r="Y178" i="16"/>
  <c r="Z178" i="16" a="1"/>
  <c r="Z178" i="16"/>
  <c r="AA178" i="16" a="1"/>
  <c r="AA178" i="16"/>
  <c r="V179" i="16"/>
  <c r="W179" i="16" a="1"/>
  <c r="W179" i="16"/>
  <c r="X179" i="16" a="1"/>
  <c r="X179" i="16"/>
  <c r="Y179" i="16" a="1"/>
  <c r="Y179" i="16"/>
  <c r="Z179" i="16" a="1"/>
  <c r="Z179" i="16"/>
  <c r="AA179" i="16" a="1"/>
  <c r="AA179" i="16"/>
  <c r="V180" i="16"/>
  <c r="W180" i="16" a="1"/>
  <c r="W180" i="16"/>
  <c r="X180" i="16" a="1"/>
  <c r="X180" i="16"/>
  <c r="Y180" i="16" a="1"/>
  <c r="Y180" i="16"/>
  <c r="Z180" i="16" a="1"/>
  <c r="Z180" i="16"/>
  <c r="AA180" i="16" a="1"/>
  <c r="AA180" i="16"/>
  <c r="V181" i="16"/>
  <c r="W181" i="16" a="1"/>
  <c r="W181" i="16"/>
  <c r="X181" i="16" a="1"/>
  <c r="X181" i="16"/>
  <c r="Y181" i="16" a="1"/>
  <c r="Y181" i="16"/>
  <c r="Z181" i="16" a="1"/>
  <c r="Z181" i="16"/>
  <c r="AA181" i="16" a="1"/>
  <c r="AA181" i="16"/>
  <c r="V182" i="16"/>
  <c r="W182" i="16" a="1"/>
  <c r="W182" i="16"/>
  <c r="X182" i="16" a="1"/>
  <c r="X182" i="16"/>
  <c r="Y182" i="16" a="1"/>
  <c r="Y182" i="16"/>
  <c r="Z182" i="16" a="1"/>
  <c r="Z182" i="16"/>
  <c r="AA182" i="16" a="1"/>
  <c r="AA182" i="16"/>
  <c r="V183" i="16"/>
  <c r="W183" i="16" a="1"/>
  <c r="W183" i="16"/>
  <c r="X183" i="16" a="1"/>
  <c r="X183" i="16"/>
  <c r="Y183" i="16" a="1"/>
  <c r="Y183" i="16"/>
  <c r="Z183" i="16" a="1"/>
  <c r="Z183" i="16"/>
  <c r="AA183" i="16" a="1"/>
  <c r="AA183" i="16"/>
  <c r="V184" i="16"/>
  <c r="W184" i="16" a="1"/>
  <c r="W184" i="16"/>
  <c r="X184" i="16" a="1"/>
  <c r="X184" i="16"/>
  <c r="Y184" i="16" a="1"/>
  <c r="Y184" i="16"/>
  <c r="Z184" i="16" a="1"/>
  <c r="Z184" i="16"/>
  <c r="AA184" i="16" a="1"/>
  <c r="AA184" i="16"/>
  <c r="V185" i="16"/>
  <c r="W185" i="16" a="1"/>
  <c r="W185" i="16"/>
  <c r="X185" i="16" a="1"/>
  <c r="X185" i="16"/>
  <c r="Y185" i="16" a="1"/>
  <c r="Y185" i="16"/>
  <c r="Z185" i="16" a="1"/>
  <c r="Z185" i="16"/>
  <c r="AA185" i="16" a="1"/>
  <c r="AA185" i="16"/>
  <c r="V186" i="16"/>
  <c r="W186" i="16" a="1"/>
  <c r="W186" i="16"/>
  <c r="X186" i="16" a="1"/>
  <c r="X186" i="16"/>
  <c r="Y186" i="16" a="1"/>
  <c r="Y186" i="16"/>
  <c r="Z186" i="16" a="1"/>
  <c r="Z186" i="16"/>
  <c r="AA186" i="16" a="1"/>
  <c r="AA186" i="16"/>
  <c r="V187" i="16"/>
  <c r="W187" i="16" a="1"/>
  <c r="W187" i="16"/>
  <c r="X187" i="16" a="1"/>
  <c r="X187" i="16"/>
  <c r="Y187" i="16" a="1"/>
  <c r="Y187" i="16"/>
  <c r="Z187" i="16" a="1"/>
  <c r="Z187" i="16"/>
  <c r="AA187" i="16" a="1"/>
  <c r="AA187" i="16"/>
  <c r="V188" i="16"/>
  <c r="W188" i="16" a="1"/>
  <c r="W188" i="16"/>
  <c r="X188" i="16" a="1"/>
  <c r="X188" i="16"/>
  <c r="Y188" i="16" a="1"/>
  <c r="Y188" i="16"/>
  <c r="Z188" i="16" a="1"/>
  <c r="Z188" i="16"/>
  <c r="AA188" i="16" a="1"/>
  <c r="AA188" i="16"/>
  <c r="V189" i="16"/>
  <c r="W189" i="16" a="1"/>
  <c r="W189" i="16"/>
  <c r="X189" i="16" a="1"/>
  <c r="X189" i="16"/>
  <c r="Y189" i="16" a="1"/>
  <c r="Y189" i="16"/>
  <c r="Z189" i="16" a="1"/>
  <c r="Z189" i="16"/>
  <c r="AA189" i="16" a="1"/>
  <c r="AA189" i="16"/>
  <c r="V190" i="16"/>
  <c r="W190" i="16" a="1"/>
  <c r="W190" i="16"/>
  <c r="X190" i="16" a="1"/>
  <c r="X190" i="16"/>
  <c r="Y190" i="16" a="1"/>
  <c r="Y190" i="16"/>
  <c r="Z190" i="16" a="1"/>
  <c r="Z190" i="16"/>
  <c r="AA190" i="16" a="1"/>
  <c r="AA190" i="16"/>
  <c r="V191" i="16"/>
  <c r="W191" i="16" a="1"/>
  <c r="W191" i="16"/>
  <c r="X191" i="16" a="1"/>
  <c r="X191" i="16"/>
  <c r="Y191" i="16" a="1"/>
  <c r="Y191" i="16"/>
  <c r="Z191" i="16" a="1"/>
  <c r="Z191" i="16"/>
  <c r="AA191" i="16" a="1"/>
  <c r="AA191" i="16"/>
  <c r="V192" i="16"/>
  <c r="W192" i="16" a="1"/>
  <c r="W192" i="16"/>
  <c r="X192" i="16" a="1"/>
  <c r="X192" i="16"/>
  <c r="Y192" i="16" a="1"/>
  <c r="Y192" i="16"/>
  <c r="Z192" i="16" a="1"/>
  <c r="Z192" i="16"/>
  <c r="AA192" i="16" a="1"/>
  <c r="AA192" i="16"/>
  <c r="V193" i="16"/>
  <c r="W193" i="16" a="1"/>
  <c r="W193" i="16"/>
  <c r="X193" i="16" a="1"/>
  <c r="X193" i="16"/>
  <c r="Y193" i="16" a="1"/>
  <c r="Y193" i="16"/>
  <c r="Z193" i="16" a="1"/>
  <c r="Z193" i="16"/>
  <c r="AA193" i="16" a="1"/>
  <c r="AA193" i="16"/>
  <c r="V194" i="16"/>
  <c r="W194" i="16" a="1"/>
  <c r="W194" i="16"/>
  <c r="X194" i="16" a="1"/>
  <c r="X194" i="16"/>
  <c r="Y194" i="16" a="1"/>
  <c r="Y194" i="16"/>
  <c r="Z194" i="16" a="1"/>
  <c r="Z194" i="16"/>
  <c r="AA194" i="16" a="1"/>
  <c r="AA194" i="16"/>
  <c r="V195" i="16"/>
  <c r="W195" i="16" a="1"/>
  <c r="W195" i="16"/>
  <c r="X195" i="16" a="1"/>
  <c r="X195" i="16"/>
  <c r="Y195" i="16" a="1"/>
  <c r="Y195" i="16"/>
  <c r="Z195" i="16" a="1"/>
  <c r="Z195" i="16"/>
  <c r="AA195" i="16" a="1"/>
  <c r="AA195" i="16"/>
  <c r="V196" i="16"/>
  <c r="W196" i="16" a="1"/>
  <c r="W196" i="16"/>
  <c r="X196" i="16" a="1"/>
  <c r="X196" i="16"/>
  <c r="Y196" i="16" a="1"/>
  <c r="Y196" i="16"/>
  <c r="Z196" i="16" a="1"/>
  <c r="Z196" i="16"/>
  <c r="AA196" i="16" a="1"/>
  <c r="AA196" i="16"/>
  <c r="V197" i="16"/>
  <c r="W197" i="16" a="1"/>
  <c r="W197" i="16"/>
  <c r="X197" i="16" a="1"/>
  <c r="X197" i="16"/>
  <c r="Y197" i="16" a="1"/>
  <c r="Y197" i="16"/>
  <c r="Z197" i="16" a="1"/>
  <c r="Z197" i="16"/>
  <c r="AA197" i="16" a="1"/>
  <c r="AA197" i="16"/>
  <c r="V198" i="16"/>
  <c r="W198" i="16" a="1"/>
  <c r="W198" i="16"/>
  <c r="X198" i="16" a="1"/>
  <c r="X198" i="16"/>
  <c r="Y198" i="16" a="1"/>
  <c r="Y198" i="16"/>
  <c r="Z198" i="16" a="1"/>
  <c r="Z198" i="16"/>
  <c r="AA198" i="16" a="1"/>
  <c r="AA198" i="16"/>
  <c r="V199" i="16"/>
  <c r="W199" i="16" a="1"/>
  <c r="W199" i="16"/>
  <c r="X199" i="16" a="1"/>
  <c r="X199" i="16"/>
  <c r="Y199" i="16" a="1"/>
  <c r="Y199" i="16"/>
  <c r="Z199" i="16" a="1"/>
  <c r="Z199" i="16"/>
  <c r="AA199" i="16" a="1"/>
  <c r="AA199" i="16"/>
  <c r="V200" i="16"/>
  <c r="W200" i="16" a="1"/>
  <c r="W200" i="16"/>
  <c r="X200" i="16" a="1"/>
  <c r="X200" i="16"/>
  <c r="Y200" i="16" a="1"/>
  <c r="Y200" i="16"/>
  <c r="Z200" i="16" a="1"/>
  <c r="Z200" i="16"/>
  <c r="AA200" i="16" a="1"/>
  <c r="AA200" i="16"/>
  <c r="V201" i="16"/>
  <c r="W201" i="16" a="1"/>
  <c r="W201" i="16"/>
  <c r="X201" i="16" a="1"/>
  <c r="X201" i="16"/>
  <c r="Y201" i="16" a="1"/>
  <c r="Y201" i="16"/>
  <c r="Z201" i="16" a="1"/>
  <c r="Z201" i="16"/>
  <c r="AA201" i="16" a="1"/>
  <c r="AA201" i="16"/>
  <c r="V202" i="16"/>
  <c r="W202" i="16" a="1"/>
  <c r="W202" i="16"/>
  <c r="X202" i="16" a="1"/>
  <c r="X202" i="16"/>
  <c r="Y202" i="16" a="1"/>
  <c r="Y202" i="16"/>
  <c r="Z202" i="16" a="1"/>
  <c r="Z202" i="16"/>
  <c r="AA202" i="16" a="1"/>
  <c r="AA202" i="16"/>
  <c r="V203" i="16"/>
  <c r="W203" i="16" a="1"/>
  <c r="W203" i="16"/>
  <c r="X203" i="16" a="1"/>
  <c r="X203" i="16"/>
  <c r="Y203" i="16" a="1"/>
  <c r="Y203" i="16"/>
  <c r="Z203" i="16" a="1"/>
  <c r="Z203" i="16"/>
  <c r="AA203" i="16" a="1"/>
  <c r="AA203" i="16"/>
  <c r="V204" i="16"/>
  <c r="W204" i="16" a="1"/>
  <c r="W204" i="16"/>
  <c r="X204" i="16" a="1"/>
  <c r="X204" i="16"/>
  <c r="Y204" i="16" a="1"/>
  <c r="Y204" i="16"/>
  <c r="Z204" i="16" a="1"/>
  <c r="Z204" i="16"/>
  <c r="AA204" i="16" a="1"/>
  <c r="AA204" i="16"/>
  <c r="V205" i="16"/>
  <c r="W205" i="16" a="1"/>
  <c r="W205" i="16"/>
  <c r="X205" i="16" a="1"/>
  <c r="X205" i="16"/>
  <c r="Y205" i="16" a="1"/>
  <c r="Y205" i="16"/>
  <c r="Z205" i="16" a="1"/>
  <c r="Z205" i="16"/>
  <c r="AA205" i="16" a="1"/>
  <c r="AA205" i="16"/>
  <c r="V206" i="16"/>
  <c r="W206" i="16" a="1"/>
  <c r="W206" i="16"/>
  <c r="X206" i="16" a="1"/>
  <c r="X206" i="16"/>
  <c r="Y206" i="16" a="1"/>
  <c r="Y206" i="16"/>
  <c r="Z206" i="16" a="1"/>
  <c r="Z206" i="16"/>
  <c r="AA206" i="16" a="1"/>
  <c r="AA206" i="16"/>
  <c r="V207" i="16"/>
  <c r="W207" i="16" a="1"/>
  <c r="W207" i="16"/>
  <c r="X207" i="16" a="1"/>
  <c r="X207" i="16"/>
  <c r="Y207" i="16" a="1"/>
  <c r="Y207" i="16"/>
  <c r="Z207" i="16" a="1"/>
  <c r="Z207" i="16"/>
  <c r="AA207" i="16" a="1"/>
  <c r="AA207" i="16"/>
  <c r="V208" i="16"/>
  <c r="W208" i="16" a="1"/>
  <c r="W208" i="16"/>
  <c r="X208" i="16" a="1"/>
  <c r="X208" i="16"/>
  <c r="Y208" i="16" a="1"/>
  <c r="Y208" i="16"/>
  <c r="Z208" i="16" a="1"/>
  <c r="Z208" i="16"/>
  <c r="AA208" i="16" a="1"/>
  <c r="AA208" i="16"/>
  <c r="V209" i="16"/>
  <c r="W209" i="16" a="1"/>
  <c r="W209" i="16"/>
  <c r="X209" i="16" a="1"/>
  <c r="X209" i="16"/>
  <c r="Y209" i="16" a="1"/>
  <c r="Y209" i="16"/>
  <c r="Z209" i="16" a="1"/>
  <c r="Z209" i="16"/>
  <c r="AA209" i="16" a="1"/>
  <c r="AA209" i="16"/>
  <c r="V210" i="16"/>
  <c r="W210" i="16" a="1"/>
  <c r="W210" i="16"/>
  <c r="X210" i="16" a="1"/>
  <c r="X210" i="16"/>
  <c r="Y210" i="16" a="1"/>
  <c r="Y210" i="16"/>
  <c r="Z210" i="16" a="1"/>
  <c r="Z210" i="16"/>
  <c r="AA210" i="16" a="1"/>
  <c r="AA210" i="16"/>
  <c r="V211" i="16"/>
  <c r="W211" i="16" a="1"/>
  <c r="W211" i="16"/>
  <c r="X211" i="16" a="1"/>
  <c r="X211" i="16"/>
  <c r="Y211" i="16" a="1"/>
  <c r="Y211" i="16"/>
  <c r="Z211" i="16" a="1"/>
  <c r="Z211" i="16"/>
  <c r="AA211" i="16" a="1"/>
  <c r="AA211" i="16"/>
  <c r="V212" i="16"/>
  <c r="W212" i="16" a="1"/>
  <c r="W212" i="16"/>
  <c r="X212" i="16" a="1"/>
  <c r="X212" i="16"/>
  <c r="Y212" i="16" a="1"/>
  <c r="Y212" i="16"/>
  <c r="Z212" i="16" a="1"/>
  <c r="Z212" i="16"/>
  <c r="AA212" i="16" a="1"/>
  <c r="AA212" i="16"/>
  <c r="V213" i="16"/>
  <c r="W213" i="16" a="1"/>
  <c r="W213" i="16"/>
  <c r="X213" i="16" a="1"/>
  <c r="X213" i="16"/>
  <c r="Y213" i="16" a="1"/>
  <c r="Y213" i="16"/>
  <c r="Z213" i="16" a="1"/>
  <c r="Z213" i="16"/>
  <c r="AA213" i="16" a="1"/>
  <c r="AA213" i="16"/>
  <c r="V214" i="16"/>
  <c r="W214" i="16" a="1"/>
  <c r="W214" i="16"/>
  <c r="X214" i="16" a="1"/>
  <c r="X214" i="16"/>
  <c r="Y214" i="16" a="1"/>
  <c r="Y214" i="16"/>
  <c r="Z214" i="16" a="1"/>
  <c r="Z214" i="16"/>
  <c r="AA214" i="16" a="1"/>
  <c r="AA214" i="16"/>
  <c r="V215" i="16"/>
  <c r="W215" i="16" a="1"/>
  <c r="W215" i="16"/>
  <c r="X215" i="16" a="1"/>
  <c r="X215" i="16"/>
  <c r="Y215" i="16" a="1"/>
  <c r="Y215" i="16"/>
  <c r="Z215" i="16" a="1"/>
  <c r="Z215" i="16"/>
  <c r="AA215" i="16" a="1"/>
  <c r="AA215" i="16"/>
  <c r="V216" i="16"/>
  <c r="W216" i="16" a="1"/>
  <c r="W216" i="16"/>
  <c r="X216" i="16" a="1"/>
  <c r="X216" i="16"/>
  <c r="Y216" i="16" a="1"/>
  <c r="Y216" i="16"/>
  <c r="Z216" i="16" a="1"/>
  <c r="Z216" i="16"/>
  <c r="AA216" i="16" a="1"/>
  <c r="AA216" i="16"/>
  <c r="V217" i="16"/>
  <c r="W217" i="16" a="1"/>
  <c r="W217" i="16"/>
  <c r="X217" i="16" a="1"/>
  <c r="X217" i="16"/>
  <c r="Y217" i="16" a="1"/>
  <c r="Y217" i="16"/>
  <c r="Z217" i="16" a="1"/>
  <c r="Z217" i="16"/>
  <c r="AA217" i="16" a="1"/>
  <c r="AA217" i="16"/>
  <c r="V218" i="16"/>
  <c r="W218" i="16" a="1"/>
  <c r="W218" i="16"/>
  <c r="X218" i="16" a="1"/>
  <c r="X218" i="16"/>
  <c r="Y218" i="16" a="1"/>
  <c r="Y218" i="16"/>
  <c r="Z218" i="16" a="1"/>
  <c r="Z218" i="16"/>
  <c r="AA218" i="16" a="1"/>
  <c r="AA218" i="16"/>
  <c r="V219" i="16"/>
  <c r="W219" i="16" a="1"/>
  <c r="W219" i="16"/>
  <c r="X219" i="16" a="1"/>
  <c r="X219" i="16"/>
  <c r="Y219" i="16" a="1"/>
  <c r="Y219" i="16"/>
  <c r="Z219" i="16" a="1"/>
  <c r="Z219" i="16"/>
  <c r="AA219" i="16" a="1"/>
  <c r="AA219" i="16"/>
  <c r="V220" i="16"/>
  <c r="W220" i="16" a="1"/>
  <c r="W220" i="16"/>
  <c r="X220" i="16" a="1"/>
  <c r="X220" i="16"/>
  <c r="Y220" i="16" a="1"/>
  <c r="Y220" i="16"/>
  <c r="Z220" i="16" a="1"/>
  <c r="Z220" i="16"/>
  <c r="AA220" i="16" a="1"/>
  <c r="AA220" i="16"/>
  <c r="V221" i="16"/>
  <c r="W221" i="16" a="1"/>
  <c r="W221" i="16"/>
  <c r="X221" i="16" a="1"/>
  <c r="X221" i="16"/>
  <c r="Y221" i="16" a="1"/>
  <c r="Y221" i="16"/>
  <c r="Z221" i="16" a="1"/>
  <c r="Z221" i="16"/>
  <c r="AA221" i="16" a="1"/>
  <c r="AA221" i="16"/>
  <c r="V222" i="16"/>
  <c r="W222" i="16" a="1"/>
  <c r="W222" i="16"/>
  <c r="X222" i="16" a="1"/>
  <c r="X222" i="16"/>
  <c r="Y222" i="16" a="1"/>
  <c r="Y222" i="16"/>
  <c r="Z222" i="16" a="1"/>
  <c r="Z222" i="16"/>
  <c r="AA222" i="16" a="1"/>
  <c r="AA222" i="16"/>
  <c r="V223" i="16"/>
  <c r="W223" i="16" a="1"/>
  <c r="W223" i="16"/>
  <c r="X223" i="16" a="1"/>
  <c r="X223" i="16"/>
  <c r="Y223" i="16" a="1"/>
  <c r="Y223" i="16"/>
  <c r="Z223" i="16" a="1"/>
  <c r="Z223" i="16"/>
  <c r="AA223" i="16" a="1"/>
  <c r="AA223" i="16"/>
  <c r="V224" i="16"/>
  <c r="W224" i="16" a="1"/>
  <c r="W224" i="16"/>
  <c r="X224" i="16" a="1"/>
  <c r="X224" i="16"/>
  <c r="Y224" i="16" a="1"/>
  <c r="Y224" i="16"/>
  <c r="Z224" i="16" a="1"/>
  <c r="Z224" i="16"/>
  <c r="AA224" i="16" a="1"/>
  <c r="AA224" i="16"/>
  <c r="V225" i="16"/>
  <c r="W225" i="16" a="1"/>
  <c r="W225" i="16"/>
  <c r="X225" i="16" a="1"/>
  <c r="X225" i="16"/>
  <c r="Y225" i="16" a="1"/>
  <c r="Y225" i="16"/>
  <c r="Z225" i="16" a="1"/>
  <c r="Z225" i="16"/>
  <c r="AA225" i="16" a="1"/>
  <c r="AA225" i="16"/>
  <c r="V226" i="16"/>
  <c r="W226" i="16" a="1"/>
  <c r="W226" i="16"/>
  <c r="X226" i="16" a="1"/>
  <c r="X226" i="16"/>
  <c r="Y226" i="16" a="1"/>
  <c r="Y226" i="16"/>
  <c r="Z226" i="16" a="1"/>
  <c r="Z226" i="16"/>
  <c r="AA226" i="16" a="1"/>
  <c r="AA226" i="16"/>
  <c r="V227" i="16"/>
  <c r="W227" i="16" a="1"/>
  <c r="W227" i="16"/>
  <c r="X227" i="16" a="1"/>
  <c r="X227" i="16"/>
  <c r="Y227" i="16" a="1"/>
  <c r="Y227" i="16"/>
  <c r="Z227" i="16" a="1"/>
  <c r="Z227" i="16"/>
  <c r="AA227" i="16" a="1"/>
  <c r="AA227" i="16"/>
  <c r="V228" i="16"/>
  <c r="W228" i="16" a="1"/>
  <c r="W228" i="16"/>
  <c r="X228" i="16" a="1"/>
  <c r="X228" i="16"/>
  <c r="Y228" i="16" a="1"/>
  <c r="Y228" i="16"/>
  <c r="Z228" i="16" a="1"/>
  <c r="Z228" i="16"/>
  <c r="AA228" i="16" a="1"/>
  <c r="AA228" i="16"/>
  <c r="V229" i="16"/>
  <c r="W229" i="16" a="1"/>
  <c r="W229" i="16"/>
  <c r="X229" i="16" a="1"/>
  <c r="X229" i="16"/>
  <c r="Y229" i="16" a="1"/>
  <c r="Y229" i="16"/>
  <c r="Z229" i="16" a="1"/>
  <c r="Z229" i="16"/>
  <c r="AA229" i="16" a="1"/>
  <c r="AA229" i="16"/>
  <c r="V230" i="16"/>
  <c r="W230" i="16" a="1"/>
  <c r="W230" i="16"/>
  <c r="X230" i="16" a="1"/>
  <c r="X230" i="16"/>
  <c r="Y230" i="16" a="1"/>
  <c r="Y230" i="16"/>
  <c r="Z230" i="16" a="1"/>
  <c r="Z230" i="16"/>
  <c r="AA230" i="16" a="1"/>
  <c r="AA230" i="16"/>
  <c r="V231" i="16"/>
  <c r="W231" i="16" a="1"/>
  <c r="W231" i="16"/>
  <c r="X231" i="16" a="1"/>
  <c r="X231" i="16"/>
  <c r="Y231" i="16" a="1"/>
  <c r="Y231" i="16"/>
  <c r="Z231" i="16" a="1"/>
  <c r="Z231" i="16"/>
  <c r="AA231" i="16" a="1"/>
  <c r="AA231" i="16"/>
  <c r="V232" i="16"/>
  <c r="W232" i="16" a="1"/>
  <c r="W232" i="16"/>
  <c r="X232" i="16" a="1"/>
  <c r="X232" i="16"/>
  <c r="Y232" i="16" a="1"/>
  <c r="Y232" i="16"/>
  <c r="Z232" i="16" a="1"/>
  <c r="Z232" i="16"/>
  <c r="AA232" i="16" a="1"/>
  <c r="AA232" i="16"/>
  <c r="V233" i="16"/>
  <c r="W233" i="16" a="1"/>
  <c r="W233" i="16"/>
  <c r="X233" i="16" a="1"/>
  <c r="X233" i="16"/>
  <c r="Y233" i="16" a="1"/>
  <c r="Y233" i="16"/>
  <c r="Z233" i="16" a="1"/>
  <c r="Z233" i="16"/>
  <c r="AA233" i="16" a="1"/>
  <c r="AA233" i="16"/>
  <c r="V234" i="16"/>
  <c r="W234" i="16" a="1"/>
  <c r="W234" i="16"/>
  <c r="X234" i="16" a="1"/>
  <c r="X234" i="16"/>
  <c r="Y234" i="16" a="1"/>
  <c r="Y234" i="16"/>
  <c r="Z234" i="16" a="1"/>
  <c r="Z234" i="16"/>
  <c r="AA234" i="16" a="1"/>
  <c r="AA234" i="16"/>
  <c r="V235" i="16"/>
  <c r="W235" i="16" a="1"/>
  <c r="W235" i="16"/>
  <c r="X235" i="16" a="1"/>
  <c r="X235" i="16"/>
  <c r="Y235" i="16" a="1"/>
  <c r="Y235" i="16"/>
  <c r="Z235" i="16" a="1"/>
  <c r="Z235" i="16"/>
  <c r="AA235" i="16" a="1"/>
  <c r="AA235" i="16"/>
  <c r="V236" i="16"/>
  <c r="W236" i="16" a="1"/>
  <c r="W236" i="16"/>
  <c r="X236" i="16" a="1"/>
  <c r="X236" i="16"/>
  <c r="Y236" i="16" a="1"/>
  <c r="Y236" i="16"/>
  <c r="Z236" i="16" a="1"/>
  <c r="Z236" i="16"/>
  <c r="AA236" i="16" a="1"/>
  <c r="AA236" i="16"/>
  <c r="V237" i="16"/>
  <c r="W237" i="16" a="1"/>
  <c r="W237" i="16"/>
  <c r="X237" i="16" a="1"/>
  <c r="X237" i="16"/>
  <c r="Y237" i="16" a="1"/>
  <c r="Y237" i="16"/>
  <c r="Z237" i="16" a="1"/>
  <c r="Z237" i="16"/>
  <c r="AA237" i="16" a="1"/>
  <c r="AA237" i="16"/>
  <c r="V238" i="16"/>
  <c r="W238" i="16" a="1"/>
  <c r="W238" i="16"/>
  <c r="X238" i="16" a="1"/>
  <c r="X238" i="16"/>
  <c r="Y238" i="16" a="1"/>
  <c r="Y238" i="16"/>
  <c r="Z238" i="16" a="1"/>
  <c r="Z238" i="16"/>
  <c r="AA238" i="16" a="1"/>
  <c r="AA238" i="16"/>
  <c r="V239" i="16"/>
  <c r="W239" i="16" a="1"/>
  <c r="W239" i="16"/>
  <c r="X239" i="16" a="1"/>
  <c r="X239" i="16"/>
  <c r="Y239" i="16" a="1"/>
  <c r="Y239" i="16"/>
  <c r="Z239" i="16" a="1"/>
  <c r="Z239" i="16"/>
  <c r="AA239" i="16" a="1"/>
  <c r="AA239" i="16"/>
  <c r="V240" i="16"/>
  <c r="W240" i="16" a="1"/>
  <c r="W240" i="16"/>
  <c r="X240" i="16" a="1"/>
  <c r="X240" i="16"/>
  <c r="Y240" i="16" a="1"/>
  <c r="Y240" i="16"/>
  <c r="Z240" i="16" a="1"/>
  <c r="Z240" i="16"/>
  <c r="AA240" i="16" a="1"/>
  <c r="AA240" i="16"/>
  <c r="V241" i="16"/>
  <c r="W241" i="16" a="1"/>
  <c r="W241" i="16"/>
  <c r="X241" i="16" a="1"/>
  <c r="X241" i="16"/>
  <c r="Y241" i="16" a="1"/>
  <c r="Y241" i="16"/>
  <c r="Z241" i="16" a="1"/>
  <c r="Z241" i="16"/>
  <c r="AA241" i="16" a="1"/>
  <c r="AA241" i="16"/>
  <c r="V242" i="16"/>
  <c r="W242" i="16" a="1"/>
  <c r="W242" i="16"/>
  <c r="X242" i="16" a="1"/>
  <c r="X242" i="16"/>
  <c r="Y242" i="16" a="1"/>
  <c r="Y242" i="16"/>
  <c r="Z242" i="16" a="1"/>
  <c r="Z242" i="16"/>
  <c r="AA242" i="16" a="1"/>
  <c r="AA242" i="16"/>
  <c r="V243" i="16"/>
  <c r="W243" i="16" a="1"/>
  <c r="W243" i="16"/>
  <c r="X243" i="16" a="1"/>
  <c r="X243" i="16"/>
  <c r="Y243" i="16" a="1"/>
  <c r="Y243" i="16"/>
  <c r="Z243" i="16" a="1"/>
  <c r="Z243" i="16"/>
  <c r="AA243" i="16" a="1"/>
  <c r="AA243" i="16"/>
  <c r="V244" i="16"/>
  <c r="W244" i="16" a="1"/>
  <c r="W244" i="16"/>
  <c r="X244" i="16" a="1"/>
  <c r="X244" i="16"/>
  <c r="Y244" i="16" a="1"/>
  <c r="Y244" i="16"/>
  <c r="Z244" i="16" a="1"/>
  <c r="Z244" i="16"/>
  <c r="AA244" i="16" a="1"/>
  <c r="AA244" i="16"/>
  <c r="V245" i="16"/>
  <c r="W245" i="16" a="1"/>
  <c r="W245" i="16"/>
  <c r="X245" i="16" a="1"/>
  <c r="X245" i="16"/>
  <c r="Y245" i="16" a="1"/>
  <c r="Y245" i="16"/>
  <c r="Z245" i="16" a="1"/>
  <c r="Z245" i="16"/>
  <c r="AA245" i="16" a="1"/>
  <c r="AA245" i="16"/>
  <c r="V246" i="16"/>
  <c r="W246" i="16" a="1"/>
  <c r="W246" i="16"/>
  <c r="X246" i="16" a="1"/>
  <c r="X246" i="16"/>
  <c r="Y246" i="16" a="1"/>
  <c r="Y246" i="16"/>
  <c r="Z246" i="16" a="1"/>
  <c r="Z246" i="16"/>
  <c r="AA246" i="16" a="1"/>
  <c r="AA246" i="16"/>
  <c r="V247" i="16"/>
  <c r="W247" i="16" a="1"/>
  <c r="W247" i="16"/>
  <c r="X247" i="16" a="1"/>
  <c r="X247" i="16"/>
  <c r="Y247" i="16" a="1"/>
  <c r="Y247" i="16"/>
  <c r="Z247" i="16" a="1"/>
  <c r="Z247" i="16"/>
  <c r="AA247" i="16" a="1"/>
  <c r="AA247" i="16"/>
  <c r="V248" i="16"/>
  <c r="W248" i="16" a="1"/>
  <c r="W248" i="16"/>
  <c r="X248" i="16" a="1"/>
  <c r="X248" i="16"/>
  <c r="Y248" i="16" a="1"/>
  <c r="Y248" i="16"/>
  <c r="Z248" i="16" a="1"/>
  <c r="Z248" i="16"/>
  <c r="AA248" i="16" a="1"/>
  <c r="AA248" i="16"/>
  <c r="V249" i="16"/>
  <c r="W249" i="16" a="1"/>
  <c r="W249" i="16"/>
  <c r="X249" i="16" a="1"/>
  <c r="X249" i="16"/>
  <c r="Y249" i="16" a="1"/>
  <c r="Y249" i="16"/>
  <c r="Z249" i="16" a="1"/>
  <c r="Z249" i="16"/>
  <c r="AA249" i="16" a="1"/>
  <c r="AA249" i="16"/>
  <c r="V250" i="16"/>
  <c r="W250" i="16" a="1"/>
  <c r="W250" i="16"/>
  <c r="X250" i="16" a="1"/>
  <c r="X250" i="16"/>
  <c r="Y250" i="16" a="1"/>
  <c r="Y250" i="16"/>
  <c r="Z250" i="16" a="1"/>
  <c r="Z250" i="16"/>
  <c r="AA250" i="16" a="1"/>
  <c r="AA250" i="16"/>
  <c r="V251" i="16"/>
  <c r="W251" i="16" a="1"/>
  <c r="W251" i="16"/>
  <c r="X251" i="16" a="1"/>
  <c r="X251" i="16"/>
  <c r="Y251" i="16" a="1"/>
  <c r="Y251" i="16"/>
  <c r="Z251" i="16" a="1"/>
  <c r="Z251" i="16"/>
  <c r="AA251" i="16" a="1"/>
  <c r="AA251" i="16"/>
  <c r="V252" i="16"/>
  <c r="W252" i="16" a="1"/>
  <c r="W252" i="16"/>
  <c r="X252" i="16" a="1"/>
  <c r="X252" i="16"/>
  <c r="Y252" i="16" a="1"/>
  <c r="Y252" i="16"/>
  <c r="Z252" i="16" a="1"/>
  <c r="Z252" i="16"/>
  <c r="AA252" i="16" a="1"/>
  <c r="AA252" i="16"/>
  <c r="V253" i="16"/>
  <c r="W253" i="16" a="1"/>
  <c r="W253" i="16"/>
  <c r="X253" i="16" a="1"/>
  <c r="X253" i="16"/>
  <c r="Y253" i="16" a="1"/>
  <c r="Y253" i="16"/>
  <c r="Z253" i="16" a="1"/>
  <c r="Z253" i="16"/>
  <c r="AA253" i="16" a="1"/>
  <c r="AA253" i="16"/>
  <c r="V254" i="16"/>
  <c r="W254" i="16" a="1"/>
  <c r="W254" i="16"/>
  <c r="X254" i="16" a="1"/>
  <c r="X254" i="16"/>
  <c r="Y254" i="16" a="1"/>
  <c r="Y254" i="16"/>
  <c r="Z254" i="16" a="1"/>
  <c r="Z254" i="16"/>
  <c r="AA254" i="16" a="1"/>
  <c r="AA254" i="16"/>
  <c r="V255" i="16"/>
  <c r="W255" i="16" a="1"/>
  <c r="W255" i="16"/>
  <c r="X255" i="16" a="1"/>
  <c r="X255" i="16"/>
  <c r="Y255" i="16" a="1"/>
  <c r="Y255" i="16"/>
  <c r="Z255" i="16" a="1"/>
  <c r="Z255" i="16"/>
  <c r="AA255" i="16" a="1"/>
  <c r="AA255" i="16"/>
  <c r="V256" i="16"/>
  <c r="W256" i="16" a="1"/>
  <c r="W256" i="16"/>
  <c r="X256" i="16" a="1"/>
  <c r="X256" i="16"/>
  <c r="Y256" i="16" a="1"/>
  <c r="Y256" i="16"/>
  <c r="Z256" i="16" a="1"/>
  <c r="Z256" i="16"/>
  <c r="AA256" i="16" a="1"/>
  <c r="AA256" i="16"/>
  <c r="V257" i="16"/>
  <c r="W257" i="16" a="1"/>
  <c r="W257" i="16"/>
  <c r="X257" i="16" a="1"/>
  <c r="X257" i="16"/>
  <c r="Y257" i="16" a="1"/>
  <c r="Y257" i="16"/>
  <c r="Z257" i="16" a="1"/>
  <c r="Z257" i="16"/>
  <c r="AA257" i="16" a="1"/>
  <c r="AA257" i="16"/>
  <c r="V258" i="16"/>
  <c r="W258" i="16" a="1"/>
  <c r="W258" i="16"/>
  <c r="X258" i="16" a="1"/>
  <c r="X258" i="16"/>
  <c r="Y258" i="16" a="1"/>
  <c r="Y258" i="16"/>
  <c r="Z258" i="16" a="1"/>
  <c r="Z258" i="16"/>
  <c r="AA258" i="16" a="1"/>
  <c r="AA258" i="16"/>
  <c r="V259" i="16"/>
  <c r="W259" i="16" a="1"/>
  <c r="W259" i="16"/>
  <c r="X259" i="16" a="1"/>
  <c r="X259" i="16"/>
  <c r="Y259" i="16" a="1"/>
  <c r="Y259" i="16"/>
  <c r="Z259" i="16" a="1"/>
  <c r="Z259" i="16"/>
  <c r="AA259" i="16" a="1"/>
  <c r="AA259" i="16"/>
  <c r="V260" i="16"/>
  <c r="W260" i="16" a="1"/>
  <c r="W260" i="16"/>
  <c r="X260" i="16" a="1"/>
  <c r="X260" i="16"/>
  <c r="Y260" i="16" a="1"/>
  <c r="Y260" i="16"/>
  <c r="Z260" i="16" a="1"/>
  <c r="Z260" i="16"/>
  <c r="AA260" i="16" a="1"/>
  <c r="AA260" i="16"/>
  <c r="V261" i="16"/>
  <c r="W261" i="16" a="1"/>
  <c r="W261" i="16"/>
  <c r="X261" i="16" a="1"/>
  <c r="X261" i="16"/>
  <c r="Y261" i="16" a="1"/>
  <c r="Y261" i="16"/>
  <c r="Z261" i="16" a="1"/>
  <c r="Z261" i="16"/>
  <c r="AA261" i="16" a="1"/>
  <c r="AA261" i="16"/>
  <c r="V262" i="16"/>
  <c r="W262" i="16" a="1"/>
  <c r="W262" i="16"/>
  <c r="X262" i="16" a="1"/>
  <c r="X262" i="16"/>
  <c r="Y262" i="16" a="1"/>
  <c r="Y262" i="16"/>
  <c r="Z262" i="16" a="1"/>
  <c r="Z262" i="16"/>
  <c r="AA262" i="16" a="1"/>
  <c r="AA262" i="16"/>
  <c r="V263" i="16"/>
  <c r="W263" i="16" a="1"/>
  <c r="W263" i="16"/>
  <c r="X263" i="16" a="1"/>
  <c r="X263" i="16"/>
  <c r="Y263" i="16" a="1"/>
  <c r="Y263" i="16"/>
  <c r="Z263" i="16" a="1"/>
  <c r="Z263" i="16"/>
  <c r="AA263" i="16" a="1"/>
  <c r="AA263" i="16"/>
  <c r="V264" i="16"/>
  <c r="W264" i="16" a="1"/>
  <c r="W264" i="16"/>
  <c r="X264" i="16" a="1"/>
  <c r="X264" i="16"/>
  <c r="Y264" i="16" a="1"/>
  <c r="Y264" i="16"/>
  <c r="Z264" i="16" a="1"/>
  <c r="Z264" i="16"/>
  <c r="AA264" i="16" a="1"/>
  <c r="AA264" i="16"/>
  <c r="V265" i="16"/>
  <c r="W265" i="16" a="1"/>
  <c r="W265" i="16"/>
  <c r="X265" i="16" a="1"/>
  <c r="X265" i="16"/>
  <c r="Y265" i="16" a="1"/>
  <c r="Y265" i="16"/>
  <c r="Z265" i="16" a="1"/>
  <c r="Z265" i="16"/>
  <c r="AA265" i="16" a="1"/>
  <c r="AA265" i="16"/>
  <c r="V266" i="16"/>
  <c r="W266" i="16" a="1"/>
  <c r="W266" i="16"/>
  <c r="X266" i="16" a="1"/>
  <c r="X266" i="16"/>
  <c r="Y266" i="16" a="1"/>
  <c r="Y266" i="16"/>
  <c r="Z266" i="16" a="1"/>
  <c r="Z266" i="16"/>
  <c r="AA266" i="16" a="1"/>
  <c r="AA266" i="16"/>
  <c r="V267" i="16"/>
  <c r="W267" i="16" a="1"/>
  <c r="W267" i="16"/>
  <c r="X267" i="16" a="1"/>
  <c r="X267" i="16"/>
  <c r="Y267" i="16" a="1"/>
  <c r="Y267" i="16"/>
  <c r="Z267" i="16" a="1"/>
  <c r="Z267" i="16"/>
  <c r="AA267" i="16" a="1"/>
  <c r="AA267" i="16"/>
  <c r="V268" i="16"/>
  <c r="W268" i="16" a="1"/>
  <c r="W268" i="16"/>
  <c r="X268" i="16" a="1"/>
  <c r="X268" i="16"/>
  <c r="Y268" i="16" a="1"/>
  <c r="Y268" i="16"/>
  <c r="Z268" i="16" a="1"/>
  <c r="Z268" i="16"/>
  <c r="AA268" i="16" a="1"/>
  <c r="AA268" i="16"/>
  <c r="V269" i="16"/>
  <c r="W269" i="16" a="1"/>
  <c r="W269" i="16"/>
  <c r="X269" i="16" a="1"/>
  <c r="X269" i="16"/>
  <c r="Y269" i="16" a="1"/>
  <c r="Y269" i="16"/>
  <c r="Z269" i="16" a="1"/>
  <c r="Z269" i="16"/>
  <c r="AA269" i="16" a="1"/>
  <c r="AA269" i="16"/>
  <c r="V270" i="16"/>
  <c r="W270" i="16" a="1"/>
  <c r="W270" i="16"/>
  <c r="X270" i="16" a="1"/>
  <c r="X270" i="16"/>
  <c r="Y270" i="16" a="1"/>
  <c r="Y270" i="16"/>
  <c r="Z270" i="16" a="1"/>
  <c r="Z270" i="16"/>
  <c r="AA270" i="16" a="1"/>
  <c r="AA270" i="16"/>
  <c r="V271" i="16"/>
  <c r="W271" i="16" a="1"/>
  <c r="W271" i="16"/>
  <c r="X271" i="16" a="1"/>
  <c r="X271" i="16"/>
  <c r="Y271" i="16" a="1"/>
  <c r="Y271" i="16"/>
  <c r="Z271" i="16" a="1"/>
  <c r="Z271" i="16"/>
  <c r="AA271" i="16" a="1"/>
  <c r="AA271" i="16"/>
  <c r="V272" i="16"/>
  <c r="W272" i="16" a="1"/>
  <c r="W272" i="16"/>
  <c r="X272" i="16" a="1"/>
  <c r="X272" i="16"/>
  <c r="Y272" i="16" a="1"/>
  <c r="Y272" i="16"/>
  <c r="Z272" i="16" a="1"/>
  <c r="Z272" i="16"/>
  <c r="AA272" i="16" a="1"/>
  <c r="AA272" i="16"/>
  <c r="V273" i="16"/>
  <c r="W273" i="16" a="1"/>
  <c r="W273" i="16"/>
  <c r="X273" i="16" a="1"/>
  <c r="X273" i="16"/>
  <c r="Y273" i="16" a="1"/>
  <c r="Y273" i="16"/>
  <c r="Z273" i="16" a="1"/>
  <c r="Z273" i="16"/>
  <c r="AA273" i="16" a="1"/>
  <c r="AA273" i="16"/>
  <c r="V274" i="16"/>
  <c r="W274" i="16" a="1"/>
  <c r="W274" i="16"/>
  <c r="X274" i="16" a="1"/>
  <c r="X274" i="16"/>
  <c r="Y274" i="16" a="1"/>
  <c r="Y274" i="16"/>
  <c r="Z274" i="16" a="1"/>
  <c r="Z274" i="16"/>
  <c r="AA274" i="16" a="1"/>
  <c r="AA274" i="16"/>
  <c r="V275" i="16"/>
  <c r="W275" i="16" a="1"/>
  <c r="W275" i="16"/>
  <c r="X275" i="16" a="1"/>
  <c r="X275" i="16"/>
  <c r="Y275" i="16" a="1"/>
  <c r="Y275" i="16"/>
  <c r="Z275" i="16" a="1"/>
  <c r="Z275" i="16"/>
  <c r="AA275" i="16" a="1"/>
  <c r="AA275" i="16"/>
  <c r="V276" i="16"/>
  <c r="W276" i="16" a="1"/>
  <c r="W276" i="16"/>
  <c r="X276" i="16" a="1"/>
  <c r="X276" i="16"/>
  <c r="Y276" i="16" a="1"/>
  <c r="Y276" i="16"/>
  <c r="Z276" i="16" a="1"/>
  <c r="Z276" i="16"/>
  <c r="AA276" i="16" a="1"/>
  <c r="AA276" i="16"/>
  <c r="V277" i="16"/>
  <c r="W277" i="16" a="1"/>
  <c r="W277" i="16"/>
  <c r="X277" i="16" a="1"/>
  <c r="X277" i="16"/>
  <c r="Y277" i="16" a="1"/>
  <c r="Y277" i="16"/>
  <c r="Z277" i="16" a="1"/>
  <c r="Z277" i="16"/>
  <c r="AA277" i="16" a="1"/>
  <c r="AA277" i="16"/>
  <c r="V278" i="16"/>
  <c r="W278" i="16" a="1"/>
  <c r="W278" i="16"/>
  <c r="X278" i="16" a="1"/>
  <c r="X278" i="16"/>
  <c r="Y278" i="16" a="1"/>
  <c r="Y278" i="16"/>
  <c r="Z278" i="16" a="1"/>
  <c r="Z278" i="16"/>
  <c r="AA278" i="16" a="1"/>
  <c r="AA278" i="16"/>
  <c r="V279" i="16"/>
  <c r="W279" i="16" a="1"/>
  <c r="W279" i="16"/>
  <c r="X279" i="16" a="1"/>
  <c r="X279" i="16"/>
  <c r="Y279" i="16" a="1"/>
  <c r="Y279" i="16"/>
  <c r="Z279" i="16" a="1"/>
  <c r="Z279" i="16"/>
  <c r="AA279" i="16" a="1"/>
  <c r="AA279" i="16"/>
  <c r="V280" i="16"/>
  <c r="W280" i="16" a="1"/>
  <c r="W280" i="16"/>
  <c r="X280" i="16" a="1"/>
  <c r="X280" i="16"/>
  <c r="Y280" i="16" a="1"/>
  <c r="Y280" i="16"/>
  <c r="Z280" i="16" a="1"/>
  <c r="Z280" i="16"/>
  <c r="AA280" i="16" a="1"/>
  <c r="AA280" i="16"/>
  <c r="V281" i="16"/>
  <c r="W281" i="16" a="1"/>
  <c r="W281" i="16"/>
  <c r="X281" i="16" a="1"/>
  <c r="X281" i="16"/>
  <c r="Y281" i="16" a="1"/>
  <c r="Y281" i="16"/>
  <c r="Z281" i="16" a="1"/>
  <c r="Z281" i="16"/>
  <c r="AA281" i="16" a="1"/>
  <c r="AA281" i="16"/>
  <c r="V282" i="16"/>
  <c r="W282" i="16" a="1"/>
  <c r="W282" i="16"/>
  <c r="X282" i="16" a="1"/>
  <c r="X282" i="16"/>
  <c r="Y282" i="16" a="1"/>
  <c r="Y282" i="16"/>
  <c r="Z282" i="16" a="1"/>
  <c r="Z282" i="16"/>
  <c r="AA282" i="16" a="1"/>
  <c r="AA282" i="16"/>
  <c r="V283" i="16"/>
  <c r="W283" i="16" a="1"/>
  <c r="W283" i="16"/>
  <c r="X283" i="16" a="1"/>
  <c r="X283" i="16"/>
  <c r="Y283" i="16" a="1"/>
  <c r="Y283" i="16"/>
  <c r="Z283" i="16" a="1"/>
  <c r="Z283" i="16"/>
  <c r="AA283" i="16" a="1"/>
  <c r="AA283" i="16"/>
  <c r="V284" i="16"/>
  <c r="W284" i="16" a="1"/>
  <c r="W284" i="16"/>
  <c r="X284" i="16" a="1"/>
  <c r="X284" i="16"/>
  <c r="Y284" i="16" a="1"/>
  <c r="Y284" i="16"/>
  <c r="Z284" i="16" a="1"/>
  <c r="Z284" i="16"/>
  <c r="AA284" i="16" a="1"/>
  <c r="AA284" i="16"/>
  <c r="V285" i="16"/>
  <c r="W285" i="16" a="1"/>
  <c r="W285" i="16"/>
  <c r="X285" i="16" a="1"/>
  <c r="X285" i="16"/>
  <c r="Y285" i="16" a="1"/>
  <c r="Y285" i="16"/>
  <c r="Z285" i="16" a="1"/>
  <c r="Z285" i="16"/>
  <c r="AA285" i="16" a="1"/>
  <c r="AA285" i="16"/>
  <c r="V286" i="16"/>
  <c r="W286" i="16" a="1"/>
  <c r="W286" i="16"/>
  <c r="X286" i="16" a="1"/>
  <c r="X286" i="16"/>
  <c r="Y286" i="16" a="1"/>
  <c r="Y286" i="16"/>
  <c r="Z286" i="16" a="1"/>
  <c r="Z286" i="16"/>
  <c r="AA286" i="16" a="1"/>
  <c r="AA286" i="16"/>
  <c r="V287" i="16"/>
  <c r="W287" i="16" a="1"/>
  <c r="W287" i="16"/>
  <c r="X287" i="16" a="1"/>
  <c r="X287" i="16"/>
  <c r="Y287" i="16" a="1"/>
  <c r="Y287" i="16"/>
  <c r="Z287" i="16" a="1"/>
  <c r="Z287" i="16"/>
  <c r="AA287" i="16" a="1"/>
  <c r="AA287" i="16"/>
  <c r="V288" i="16"/>
  <c r="W288" i="16" a="1"/>
  <c r="W288" i="16"/>
  <c r="X288" i="16" a="1"/>
  <c r="X288" i="16"/>
  <c r="Y288" i="16" a="1"/>
  <c r="Y288" i="16"/>
  <c r="Z288" i="16" a="1"/>
  <c r="Z288" i="16"/>
  <c r="AA288" i="16" a="1"/>
  <c r="AA288" i="16"/>
  <c r="V289" i="16"/>
  <c r="W289" i="16" a="1"/>
  <c r="W289" i="16"/>
  <c r="X289" i="16" a="1"/>
  <c r="X289" i="16"/>
  <c r="Y289" i="16" a="1"/>
  <c r="Y289" i="16"/>
  <c r="Z289" i="16" a="1"/>
  <c r="Z289" i="16"/>
  <c r="AA289" i="16" a="1"/>
  <c r="AA289" i="16"/>
  <c r="V290" i="16"/>
  <c r="W290" i="16" a="1"/>
  <c r="W290" i="16"/>
  <c r="X290" i="16" a="1"/>
  <c r="X290" i="16"/>
  <c r="Y290" i="16" a="1"/>
  <c r="Y290" i="16"/>
  <c r="Z290" i="16" a="1"/>
  <c r="Z290" i="16"/>
  <c r="AA290" i="16" a="1"/>
  <c r="AA290" i="16"/>
  <c r="V291" i="16"/>
  <c r="W291" i="16" a="1"/>
  <c r="W291" i="16"/>
  <c r="X291" i="16" a="1"/>
  <c r="X291" i="16"/>
  <c r="Y291" i="16" a="1"/>
  <c r="Y291" i="16"/>
  <c r="Z291" i="16" a="1"/>
  <c r="Z291" i="16"/>
  <c r="AA291" i="16" a="1"/>
  <c r="AA291" i="16"/>
  <c r="V292" i="16"/>
  <c r="W292" i="16" a="1"/>
  <c r="W292" i="16"/>
  <c r="X292" i="16" a="1"/>
  <c r="X292" i="16"/>
  <c r="Y292" i="16" a="1"/>
  <c r="Y292" i="16"/>
  <c r="Z292" i="16" a="1"/>
  <c r="Z292" i="16"/>
  <c r="AA292" i="16" a="1"/>
  <c r="AA292" i="16"/>
  <c r="V293" i="16"/>
  <c r="W293" i="16" a="1"/>
  <c r="W293" i="16"/>
  <c r="X293" i="16" a="1"/>
  <c r="X293" i="16"/>
  <c r="Y293" i="16" a="1"/>
  <c r="Y293" i="16"/>
  <c r="Z293" i="16" a="1"/>
  <c r="Z293" i="16"/>
  <c r="AA293" i="16" a="1"/>
  <c r="AA293" i="16"/>
  <c r="V294" i="16"/>
  <c r="W294" i="16" a="1"/>
  <c r="W294" i="16"/>
  <c r="X294" i="16" a="1"/>
  <c r="X294" i="16"/>
  <c r="Y294" i="16" a="1"/>
  <c r="Y294" i="16"/>
  <c r="Z294" i="16" a="1"/>
  <c r="Z294" i="16"/>
  <c r="AA294" i="16" a="1"/>
  <c r="AA294" i="16"/>
  <c r="V295" i="16"/>
  <c r="W295" i="16" a="1"/>
  <c r="W295" i="16"/>
  <c r="X295" i="16" a="1"/>
  <c r="X295" i="16"/>
  <c r="Y295" i="16" a="1"/>
  <c r="Y295" i="16"/>
  <c r="Z295" i="16" a="1"/>
  <c r="Z295" i="16"/>
  <c r="AA295" i="16" a="1"/>
  <c r="AA295" i="16"/>
  <c r="V296" i="16"/>
  <c r="W296" i="16" a="1"/>
  <c r="W296" i="16"/>
  <c r="X296" i="16" a="1"/>
  <c r="X296" i="16"/>
  <c r="Y296" i="16" a="1"/>
  <c r="Y296" i="16"/>
  <c r="Z296" i="16" a="1"/>
  <c r="Z296" i="16"/>
  <c r="AA296" i="16" a="1"/>
  <c r="AA296" i="16"/>
  <c r="V297" i="16"/>
  <c r="W297" i="16" a="1"/>
  <c r="W297" i="16"/>
  <c r="X297" i="16" a="1"/>
  <c r="X297" i="16"/>
  <c r="Y297" i="16" a="1"/>
  <c r="Y297" i="16"/>
  <c r="Z297" i="16" a="1"/>
  <c r="Z297" i="16"/>
  <c r="AA297" i="16" a="1"/>
  <c r="AA297" i="16"/>
  <c r="V298" i="16"/>
  <c r="W298" i="16" a="1"/>
  <c r="W298" i="16"/>
  <c r="X298" i="16" a="1"/>
  <c r="X298" i="16"/>
  <c r="Y298" i="16" a="1"/>
  <c r="Y298" i="16"/>
  <c r="Z298" i="16" a="1"/>
  <c r="Z298" i="16"/>
  <c r="AA298" i="16" a="1"/>
  <c r="AA298" i="16"/>
  <c r="V299" i="16"/>
  <c r="W299" i="16" a="1"/>
  <c r="W299" i="16"/>
  <c r="X299" i="16" a="1"/>
  <c r="X299" i="16"/>
  <c r="Y299" i="16" a="1"/>
  <c r="Y299" i="16"/>
  <c r="Z299" i="16" a="1"/>
  <c r="Z299" i="16"/>
  <c r="AA299" i="16" a="1"/>
  <c r="AA299" i="16"/>
  <c r="V300" i="16"/>
  <c r="W300" i="16" a="1"/>
  <c r="W300" i="16"/>
  <c r="X300" i="16" a="1"/>
  <c r="X300" i="16"/>
  <c r="Y300" i="16" a="1"/>
  <c r="Y300" i="16"/>
  <c r="Z300" i="16" a="1"/>
  <c r="Z300" i="16"/>
  <c r="AA300" i="16" a="1"/>
  <c r="AA300" i="16"/>
  <c r="V301" i="16"/>
  <c r="W301" i="16" a="1"/>
  <c r="W301" i="16"/>
  <c r="X301" i="16" a="1"/>
  <c r="X301" i="16"/>
  <c r="Y301" i="16" a="1"/>
  <c r="Y301" i="16"/>
  <c r="Z301" i="16" a="1"/>
  <c r="Z301" i="16"/>
  <c r="AA301" i="16" a="1"/>
  <c r="AA301" i="16"/>
  <c r="V302" i="16"/>
  <c r="W302" i="16" a="1"/>
  <c r="W302" i="16"/>
  <c r="X302" i="16" a="1"/>
  <c r="X302" i="16"/>
  <c r="Y302" i="16" a="1"/>
  <c r="Y302" i="16"/>
  <c r="Z302" i="16" a="1"/>
  <c r="Z302" i="16"/>
  <c r="AA302" i="16" a="1"/>
  <c r="AA302" i="16"/>
  <c r="V303" i="16"/>
  <c r="W303" i="16" a="1"/>
  <c r="W303" i="16"/>
  <c r="X303" i="16" a="1"/>
  <c r="X303" i="16"/>
  <c r="Y303" i="16" a="1"/>
  <c r="Y303" i="16"/>
  <c r="Z303" i="16" a="1"/>
  <c r="Z303" i="16"/>
  <c r="AA303" i="16" a="1"/>
  <c r="AA303" i="16"/>
  <c r="V304" i="16"/>
  <c r="W304" i="16" a="1"/>
  <c r="W304" i="16"/>
  <c r="X304" i="16" a="1"/>
  <c r="X304" i="16"/>
  <c r="Y304" i="16" a="1"/>
  <c r="Y304" i="16"/>
  <c r="Z304" i="16" a="1"/>
  <c r="Z304" i="16"/>
  <c r="AA304" i="16" a="1"/>
  <c r="AA304" i="16"/>
  <c r="V305" i="16"/>
  <c r="W305" i="16" a="1"/>
  <c r="W305" i="16"/>
  <c r="X305" i="16" a="1"/>
  <c r="X305" i="16"/>
  <c r="Y305" i="16" a="1"/>
  <c r="Y305" i="16"/>
  <c r="Z305" i="16" a="1"/>
  <c r="Z305" i="16"/>
  <c r="AA305" i="16" a="1"/>
  <c r="AA305" i="16"/>
  <c r="V306" i="16"/>
  <c r="W306" i="16" a="1"/>
  <c r="W306" i="16"/>
  <c r="X306" i="16" a="1"/>
  <c r="X306" i="16"/>
  <c r="Y306" i="16" a="1"/>
  <c r="Y306" i="16"/>
  <c r="Z306" i="16" a="1"/>
  <c r="Z306" i="16"/>
  <c r="AA306" i="16" a="1"/>
  <c r="AA306" i="16"/>
  <c r="V307" i="16"/>
  <c r="W307" i="16" a="1"/>
  <c r="W307" i="16"/>
  <c r="X307" i="16" a="1"/>
  <c r="X307" i="16"/>
  <c r="Y307" i="16" a="1"/>
  <c r="Y307" i="16"/>
  <c r="Z307" i="16" a="1"/>
  <c r="Z307" i="16"/>
  <c r="AA307" i="16" a="1"/>
  <c r="AA307" i="16"/>
  <c r="V308" i="16"/>
  <c r="W308" i="16" a="1"/>
  <c r="W308" i="16"/>
  <c r="X308" i="16" a="1"/>
  <c r="X308" i="16"/>
  <c r="Y308" i="16" a="1"/>
  <c r="Y308" i="16"/>
  <c r="Z308" i="16" a="1"/>
  <c r="Z308" i="16"/>
  <c r="AA308" i="16" a="1"/>
  <c r="AA308" i="16"/>
  <c r="V309" i="16"/>
  <c r="W309" i="16" a="1"/>
  <c r="W309" i="16"/>
  <c r="X309" i="16" a="1"/>
  <c r="X309" i="16"/>
  <c r="Y309" i="16" a="1"/>
  <c r="Y309" i="16"/>
  <c r="Z309" i="16" a="1"/>
  <c r="Z309" i="16"/>
  <c r="AA309" i="16" a="1"/>
  <c r="AA309" i="16"/>
  <c r="V310" i="16"/>
  <c r="W310" i="16" a="1"/>
  <c r="W310" i="16"/>
  <c r="X310" i="16" a="1"/>
  <c r="X310" i="16"/>
  <c r="Y310" i="16" a="1"/>
  <c r="Y310" i="16"/>
  <c r="Z310" i="16" a="1"/>
  <c r="Z310" i="16"/>
  <c r="AA310" i="16" a="1"/>
  <c r="AA310" i="16"/>
  <c r="V311" i="16"/>
  <c r="W311" i="16" a="1"/>
  <c r="W311" i="16"/>
  <c r="X311" i="16" a="1"/>
  <c r="X311" i="16"/>
  <c r="Y311" i="16" a="1"/>
  <c r="Y311" i="16"/>
  <c r="Z311" i="16" a="1"/>
  <c r="Z311" i="16"/>
  <c r="AA311" i="16" a="1"/>
  <c r="AA311" i="16"/>
  <c r="V312" i="16"/>
  <c r="W312" i="16" a="1"/>
  <c r="W312" i="16"/>
  <c r="X312" i="16" a="1"/>
  <c r="X312" i="16"/>
  <c r="Y312" i="16" a="1"/>
  <c r="Y312" i="16"/>
  <c r="Z312" i="16" a="1"/>
  <c r="Z312" i="16"/>
  <c r="AA312" i="16" a="1"/>
  <c r="AA312" i="16"/>
  <c r="V313" i="16"/>
  <c r="W313" i="16" a="1"/>
  <c r="W313" i="16"/>
  <c r="X313" i="16" a="1"/>
  <c r="X313" i="16"/>
  <c r="Y313" i="16" a="1"/>
  <c r="Y313" i="16"/>
  <c r="Z313" i="16" a="1"/>
  <c r="Z313" i="16"/>
  <c r="AA313" i="16" a="1"/>
  <c r="AA313" i="16"/>
  <c r="C9" i="8" l="1"/>
  <c r="F11" i="8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M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M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M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M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N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<sst xmlns="http://schemas.openxmlformats.org/spreadsheetml/2006/main" count="4209" uniqueCount="686">
  <si>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</si>
  <si>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</si>
  <si>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</si>
  <si>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</si>
  <si>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</si>
  <si>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</si>
  <si>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</si>
  <si>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</si>
  <si>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</si>
  <si>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</si>
  <si>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</si>
  <si>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</si>
  <si>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</si>
  <si>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</si>
  <si>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</si>
  <si>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</si>
  <si>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</si>
  <si>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</si>
  <si>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</si>
  <si>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</si>
  <si>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</si>
  <si>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</si>
  <si>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</si>
  <si>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</si>
  <si>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</si>
  <si>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</si>
  <si>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</si>
  <si>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</si>
  <si>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</si>
  <si>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</si>
  <si>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</si>
  <si>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</si>
  <si>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</si>
  <si>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</si>
  <si>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</si>
  <si>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</si>
  <si>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</si>
  <si>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</si>
  <si>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</si>
  <si>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</si>
  <si>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</si>
  <si>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</si>
  <si>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</si>
  <si>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</si>
  <si>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</si>
  <si>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</si>
  <si>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</si>
  <si>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</si>
  <si>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</si>
  <si>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</si>
  <si>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</si>
  <si>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</si>
  <si>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</si>
  <si>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</si>
  <si>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</si>
  <si>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</si>
  <si>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</si>
  <si>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</si>
  <si>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</si>
  <si>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</si>
  <si>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</si>
  <si>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</si>
  <si>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</si>
  <si>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</si>
  <si>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</si>
  <si>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</si>
  <si>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</si>
  <si>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</si>
  <si>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</si>
  <si>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</si>
  <si>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</si>
  <si>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</si>
  <si>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</si>
  <si>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</si>
  <si>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</si>
  <si>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</si>
  <si>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</si>
  <si>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</si>
  <si>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</si>
  <si>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</si>
  <si>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</si>
  <si>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</si>
  <si>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</si>
  <si>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</si>
  <si>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</si>
  <si>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</si>
  <si>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</si>
  <si>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</si>
  <si>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</si>
  <si>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</si>
  <si>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</si>
  <si>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</si>
  <si>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</si>
  <si>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</si>
  <si>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</si>
  <si>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</si>
  <si>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</si>
  <si>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</si>
  <si>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</si>
  <si>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</si>
  <si>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</si>
  <si>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</si>
  <si>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</si>
  <si>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</si>
  <si>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</si>
  <si>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</si>
  <si>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</si>
  <si>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</si>
  <si>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</si>
  <si>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</si>
  <si>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</si>
  <si>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</si>
  <si>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</si>
  <si>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</si>
  <si>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</si>
  <si>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</si>
  <si>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</si>
  <si>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</si>
  <si>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</si>
  <si>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</si>
  <si>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</si>
  <si>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</si>
  <si>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</si>
  <si>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</si>
  <si>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</si>
  <si>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</si>
  <si>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</si>
  <si>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</si>
  <si>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</si>
  <si>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</si>
  <si>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</si>
  <si>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</si>
  <si>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</si>
  <si>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</si>
  <si>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</si>
  <si>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</si>
  <si>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</si>
  <si>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</si>
  <si>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</si>
  <si>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</si>
  <si>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</si>
  <si>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</si>
  <si>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</si>
  <si>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</si>
  <si>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</si>
  <si>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</si>
  <si>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</si>
  <si>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</si>
  <si>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</si>
  <si>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</si>
  <si>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</si>
  <si>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</si>
  <si>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</si>
  <si>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</si>
  <si>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</si>
  <si>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</si>
  <si>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</si>
  <si>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</si>
  <si>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</si>
  <si>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</si>
  <si>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</si>
  <si>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</si>
  <si>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</si>
  <si>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</si>
  <si>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</si>
  <si>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</si>
  <si>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</si>
  <si>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</si>
  <si>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</si>
  <si>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</si>
  <si>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</si>
  <si>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</si>
  <si>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</si>
  <si>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</si>
  <si>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</si>
  <si>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</si>
  <si>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</si>
  <si>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</si>
  <si>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</si>
  <si>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</si>
  <si>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</si>
  <si>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</si>
  <si>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</si>
  <si>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</si>
  <si>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</si>
  <si>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</si>
  <si>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</si>
  <si>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</si>
  <si>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</si>
  <si>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</si>
  <si>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</si>
  <si>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</si>
  <si>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</si>
  <si>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</si>
  <si>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</si>
  <si>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</si>
  <si>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</si>
  <si>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</si>
  <si>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</si>
  <si>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</si>
  <si>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</si>
  <si>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</si>
  <si>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</si>
  <si>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</si>
  <si>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</si>
  <si>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</si>
  <si>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</si>
  <si>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</si>
  <si>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</si>
  <si>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</si>
  <si>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</si>
  <si>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</si>
  <si>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</si>
  <si>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</si>
  <si>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</si>
  <si>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</si>
  <si>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</si>
  <si>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</si>
  <si>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</si>
  <si>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</si>
  <si>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</si>
  <si>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</si>
  <si>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</si>
  <si>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</si>
  <si>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</si>
  <si>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</si>
  <si>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</si>
  <si>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</si>
  <si>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</si>
  <si>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</si>
  <si>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</si>
  <si>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</si>
  <si>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</si>
  <si>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</si>
  <si>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</si>
  <si>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</si>
  <si>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</si>
  <si>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</si>
  <si>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</si>
  <si>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</si>
  <si>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</si>
  <si>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</si>
  <si>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</si>
  <si>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</si>
  <si>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</si>
  <si>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</si>
  <si>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</si>
  <si>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</si>
  <si>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</si>
  <si>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</si>
  <si>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</si>
  <si>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</si>
  <si>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</si>
  <si>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</si>
  <si>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</si>
  <si>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</si>
  <si>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</si>
  <si>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</si>
  <si>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</si>
  <si>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</si>
  <si>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</si>
  <si>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</si>
  <si>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</si>
  <si>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</si>
  <si>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</si>
  <si>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</si>
  <si>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</si>
  <si>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</si>
  <si>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</si>
  <si>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</si>
  <si>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</si>
  <si>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</si>
  <si>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</si>
  <si>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</si>
  <si>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</si>
  <si>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</si>
  <si>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</si>
  <si>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</si>
  <si>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</si>
  <si>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</si>
  <si>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</si>
  <si>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</si>
  <si>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</si>
  <si>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</si>
  <si>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</si>
  <si>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</si>
  <si>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</si>
  <si>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</si>
  <si>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</si>
  <si>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</si>
  <si>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</si>
  <si>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</si>
  <si>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</si>
  <si>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</si>
  <si>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</si>
  <si>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</si>
  <si>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</si>
  <si>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</si>
  <si>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</si>
  <si>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</si>
  <si>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</si>
  <si>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</si>
  <si>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</si>
  <si>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</si>
  <si>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</si>
  <si>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</si>
  <si>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</si>
  <si>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</si>
  <si>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</si>
  <si>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</si>
  <si>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</si>
  <si>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</si>
  <si>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</si>
  <si>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</si>
  <si>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</si>
  <si>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</si>
  <si>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</si>
  <si>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</si>
  <si>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</si>
  <si>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</si>
  <si>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</si>
  <si>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</si>
  <si>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</si>
  <si>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</si>
  <si>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</si>
  <si>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</si>
  <si>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</si>
  <si>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</si>
  <si>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</si>
  <si>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</si>
  <si>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</si>
  <si>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</si>
  <si>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</si>
  <si>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</si>
  <si>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</si>
  <si>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</si>
  <si>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</si>
  <si>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</si>
  <si>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</si>
  <si>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</si>
  <si>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</si>
  <si>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</si>
  <si>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</si>
  <si>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</si>
  <si>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</si>
  <si>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</si>
  <si>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</si>
  <si>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</si>
  <si>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</si>
  <si>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</si>
  <si>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</si>
  <si>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</si>
  <si>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</si>
  <si>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</si>
  <si>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</si>
  <si>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</si>
  <si>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</si>
  <si>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</si>
  <si>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</si>
  <si>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</si>
  <si>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</si>
  <si>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</si>
  <si>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</si>
  <si>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</si>
  <si>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</si>
  <si>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</si>
  <si>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</si>
  <si>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</si>
  <si>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</si>
  <si>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</si>
  <si>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</si>
  <si>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</si>
  <si>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</si>
  <si>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</si>
  <si>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</si>
  <si>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</si>
  <si>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</si>
  <si>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</si>
  <si>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</si>
  <si>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</si>
  <si>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</si>
  <si>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</si>
  <si>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</si>
  <si>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</si>
  <si>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</si>
  <si>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</si>
  <si>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</si>
  <si>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</si>
  <si>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</si>
  <si>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</si>
  <si>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</si>
  <si>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</si>
  <si>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</si>
  <si>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</si>
  <si>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</si>
  <si>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</si>
  <si>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</si>
  <si>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</si>
  <si>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</si>
  <si>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</si>
  <si>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</si>
  <si>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</si>
  <si>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</si>
  <si>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</si>
  <si>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</si>
  <si>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</si>
  <si>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</si>
  <si>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</si>
  <si>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</si>
  <si>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</si>
  <si>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</si>
  <si>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</si>
  <si>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</si>
  <si>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</si>
  <si>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</si>
  <si>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</si>
  <si>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</si>
  <si>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</si>
  <si>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</si>
  <si>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</si>
  <si>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</si>
  <si>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</si>
  <si>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</si>
  <si>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</si>
  <si>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</si>
  <si>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</si>
  <si>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</si>
  <si>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</si>
  <si>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</si>
  <si>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</si>
  <si>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</si>
  <si>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</si>
  <si>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</si>
  <si>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</si>
  <si>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</si>
  <si>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</si>
  <si>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</si>
  <si>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</si>
  <si>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</si>
  <si>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</si>
  <si>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</si>
  <si>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</si>
  <si>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</si>
  <si>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</si>
  <si>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</si>
  <si>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</si>
  <si>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</si>
  <si>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</si>
  <si>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</si>
  <si>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</si>
  <si>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</si>
  <si>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</si>
  <si>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</si>
  <si>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</si>
  <si>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</si>
  <si>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</si>
  <si>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</si>
  <si>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</si>
  <si>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</si>
  <si>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</si>
  <si>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</si>
  <si>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</si>
  <si>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</si>
  <si>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</si>
  <si>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</si>
  <si>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</si>
  <si>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</si>
  <si>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</si>
  <si>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</si>
  <si>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</si>
  <si>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</si>
  <si>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</si>
  <si>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</si>
  <si>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</si>
  <si>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</si>
  <si>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</si>
  <si>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</si>
  <si>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</si>
  <si>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</si>
  <si>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</si>
  <si>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</si>
  <si>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</si>
  <si>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</si>
  <si>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</si>
  <si>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</si>
  <si>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</si>
  <si>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</si>
  <si>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</si>
  <si>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</si>
  <si>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</si>
  <si>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</si>
  <si>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</si>
  <si>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</si>
  <si>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</si>
  <si>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</si>
  <si>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</si>
  <si>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</si>
  <si>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</si>
  <si>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</si>
  <si>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</si>
  <si>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</si>
  <si>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</si>
  <si>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</si>
  <si>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</si>
  <si>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</si>
  <si>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</si>
  <si>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</si>
  <si>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</si>
  <si>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</si>
  <si>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</si>
  <si>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</si>
  <si>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</si>
  <si>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</si>
  <si>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</si>
  <si>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</si>
  <si>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</si>
  <si>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</si>
  <si>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</si>
  <si>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</si>
  <si>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</si>
  <si>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</si>
  <si>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</si>
  <si>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</si>
  <si>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</si>
  <si>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</si>
  <si>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</si>
  <si>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</si>
  <si>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</si>
  <si>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</si>
  <si>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</si>
  <si>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</si>
  <si>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</si>
  <si>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</si>
  <si>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</si>
  <si>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</si>
  <si>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</si>
  <si>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</si>
  <si>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</si>
  <si>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</si>
  <si>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</si>
  <si>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</si>
  <si>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</si>
  <si>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</si>
  <si>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</si>
  <si>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</si>
  <si>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</si>
  <si>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</si>
  <si>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</si>
  <si>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</si>
  <si>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</si>
  <si>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</si>
  <si>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</si>
  <si>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</si>
  <si>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</si>
  <si>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</si>
  <si>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</si>
  <si>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</si>
  <si>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</si>
  <si>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</si>
  <si>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</si>
  <si>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</si>
  <si>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</si>
  <si>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</si>
  <si>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</si>
  <si>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</si>
  <si>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</si>
  <si>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</si>
  <si>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</si>
  <si>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</si>
  <si>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</si>
  <si>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</si>
  <si>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</si>
  <si>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</si>
  <si>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</si>
  <si>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</si>
  <si>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</si>
  <si>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</si>
  <si>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</si>
  <si>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</si>
  <si>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</si>
  <si>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</si>
  <si>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</si>
  <si>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</si>
  <si>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</si>
  <si>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</si>
  <si>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</si>
  <si>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</si>
  <si>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</si>
  <si>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</si>
  <si>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</si>
  <si>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</si>
  <si>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</si>
  <si>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</si>
  <si>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</si>
  <si>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</si>
  <si>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</si>
  <si>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</si>
  <si>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</si>
  <si>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</si>
  <si>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</si>
  <si>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</si>
  <si>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</si>
  <si>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</si>
  <si>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</si>
  <si>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</si>
  <si>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</si>
  <si>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</si>
  <si>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</si>
  <si>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</si>
  <si>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</si>
  <si>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</si>
  <si>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</si>
  <si>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</si>
  <si>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</si>
  <si>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</si>
  <si>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</si>
  <si>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</si>
  <si>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</si>
  <si>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</si>
  <si>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</si>
  <si>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</si>
  <si>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</si>
  <si>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</si>
  <si>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</si>
  <si>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</si>
  <si>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</si>
  <si>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</si>
  <si>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</si>
  <si>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</si>
  <si>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</si>
  <si>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</si>
  <si>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</si>
  <si>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</si>
  <si>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</si>
  <si>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</si>
  <si>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</si>
  <si>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</si>
  <si>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</si>
  <si>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</si>
  <si>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</si>
  <si>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</si>
  <si>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</si>
  <si>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</si>
  <si>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</si>
  <si>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</si>
  <si>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</si>
  <si>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</si>
  <si>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</si>
  <si>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</si>
  <si>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</si>
  <si>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</si>
  <si>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</si>
  <si>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</si>
  <si>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</si>
  <si>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</si>
  <si>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</si>
  <si>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</si>
  <si>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</si>
  <si>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</si>
  <si>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</si>
  <si>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</si>
  <si>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Basic Materials</t>
  </si>
  <si>
    <t>Healthcare</t>
  </si>
  <si>
    <t>Consumer Goods</t>
  </si>
  <si>
    <t>AAA</t>
  </si>
  <si>
    <t>AA</t>
  </si>
  <si>
    <t>Financials</t>
  </si>
  <si>
    <t>Energy</t>
  </si>
  <si>
    <t>Utilities</t>
  </si>
  <si>
    <t>Telecommunications Services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</si>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</sst>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42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0" fontId="21" fillId="0" borderId="0" xfId="0" applyNumberFormat="1" applyFont="1" applyAlignment="1">
      <alignment horizontal="right"/>
    </xf>
    <xf numFmtId="167" fontId="45" fillId="4" borderId="1" xfId="0" applyNumberFormat="1" applyFont="1" applyFill="1" applyBorder="1"/>
    <xf numFmtId="0" fontId="34" fillId="4" borderId="1" xfId="0" applyFont="1" applyFill="1" applyBorder="1"/>
    <xf numFmtId="0" fontId="34" fillId="4" borderId="0" xfId="0" applyFont="1" applyFill="1"/>
    <xf numFmtId="0" fontId="34" fillId="4" borderId="2" xfId="0" applyFont="1" applyFill="1" applyBorder="1"/>
    <xf numFmtId="0" fontId="34" fillId="4" borderId="3" xfId="0" applyFont="1" applyFill="1" applyBorder="1"/>
    <xf numFmtId="0" fontId="34" fillId="4" borderId="28" xfId="0" applyFont="1" applyFill="1" applyBorder="1"/>
    <xf numFmtId="0" fontId="34" fillId="4" borderId="4" xfId="0" applyFont="1" applyFill="1" applyBorder="1"/>
    <xf numFmtId="14" fontId="34" fillId="4" borderId="2" xfId="0" applyNumberFormat="1" applyFont="1" applyFill="1" applyBorder="1"/>
    <xf numFmtId="14" fontId="34" fillId="4" borderId="4" xfId="0" applyNumberFormat="1" applyFont="1" applyFill="1" applyBorder="1"/>
    <xf numFmtId="10" fontId="34" fillId="4" borderId="0" xfId="0" applyNumberFormat="1" applyFont="1" applyFill="1"/>
    <xf numFmtId="10" fontId="34" fillId="4" borderId="28" xfId="0" applyNumberFormat="1" applyFont="1" applyFill="1" applyBorder="1"/>
    <xf numFmtId="9" fontId="34" fillId="4" borderId="0" xfId="0" applyNumberFormat="1" applyFont="1" applyFill="1"/>
    <xf numFmtId="9" fontId="34" fillId="4" borderId="28" xfId="0" applyNumberFormat="1" applyFont="1" applyFill="1" applyBorder="1"/>
    <xf numFmtId="0" fontId="34" fillId="4" borderId="7" xfId="0" applyFont="1" applyFill="1" applyBorder="1"/>
    <xf numFmtId="0" fontId="34" fillId="4" borderId="23" xfId="0" applyFont="1" applyFill="1" applyBorder="1"/>
    <xf numFmtId="10" fontId="34" fillId="4" borderId="23" xfId="0" applyNumberFormat="1" applyFont="1" applyFill="1" applyBorder="1"/>
    <xf numFmtId="9" fontId="34" fillId="4" borderId="23" xfId="0" applyNumberFormat="1" applyFont="1" applyFill="1" applyBorder="1"/>
    <xf numFmtId="0" fontId="34" fillId="4" borderId="8" xfId="0" applyFont="1" applyFill="1" applyBorder="1"/>
    <xf numFmtId="0" fontId="34" fillId="4" borderId="47" xfId="0" applyFont="1" applyFill="1" applyBorder="1"/>
    <xf numFmtId="0" fontId="34" fillId="4" borderId="13" xfId="0" applyFont="1" applyFill="1" applyBorder="1"/>
    <xf numFmtId="10" fontId="34" fillId="4" borderId="13" xfId="0" applyNumberFormat="1" applyFont="1" applyFill="1" applyBorder="1"/>
    <xf numFmtId="9" fontId="34" fillId="4" borderId="13" xfId="0" applyNumberFormat="1" applyFont="1" applyFill="1" applyBorder="1"/>
    <xf numFmtId="0" fontId="34" fillId="4" borderId="48" xfId="0" applyFont="1" applyFill="1" applyBorder="1"/>
    <xf numFmtId="0" fontId="34" fillId="4" borderId="49" xfId="0" applyFont="1" applyFill="1" applyBorder="1"/>
    <xf numFmtId="0" fontId="34" fillId="4" borderId="50" xfId="0" applyFont="1" applyFill="1" applyBorder="1"/>
    <xf numFmtId="10" fontId="34" fillId="4" borderId="50" xfId="0" applyNumberFormat="1" applyFont="1" applyFill="1" applyBorder="1"/>
    <xf numFmtId="9" fontId="34" fillId="4" borderId="50" xfId="0" applyNumberFormat="1" applyFont="1" applyFill="1" applyBorder="1"/>
    <xf numFmtId="0" fontId="34" fillId="4" borderId="51" xfId="0" applyFont="1" applyFill="1" applyBorder="1"/>
    <xf numFmtId="14" fontId="34" fillId="4" borderId="8" xfId="0" applyNumberFormat="1" applyFont="1" applyFill="1" applyBorder="1"/>
    <xf numFmtId="14" fontId="34" fillId="4" borderId="48" xfId="0" applyNumberFormat="1" applyFont="1" applyFill="1" applyBorder="1"/>
    <xf numFmtId="14" fontId="34" fillId="4" borderId="51" xfId="0" applyNumberFormat="1" applyFont="1" applyFill="1" applyBorder="1"/>
    <xf numFmtId="167" fontId="21" fillId="4" borderId="0" xfId="0" applyNumberFormat="1" applyFont="1" applyFill="1"/>
    <xf numFmtId="10" fontId="0" fillId="0" borderId="0" xfId="0" applyNumberFormat="1"/>
    <xf numFmtId="0" fontId="23" fillId="0" borderId="23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1" fillId="0" borderId="5" xfId="0" applyFont="1" applyBorder="1"/>
    <xf numFmtId="0" fontId="27" fillId="3" borderId="11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3" fillId="0" borderId="28" xfId="0" applyFont="1" applyBorder="1" applyAlignment="1">
      <alignment horizontal="center"/>
    </xf>
    <xf numFmtId="165" fontId="25" fillId="0" borderId="24" xfId="3" applyNumberFormat="1" applyFont="1" applyBorder="1" applyAlignment="1">
      <alignment horizontal="center"/>
    </xf>
    <xf numFmtId="165" fontId="25" fillId="0" borderId="31" xfId="3" applyNumberFormat="1" applyFont="1" applyBorder="1" applyAlignment="1">
      <alignment horizontal="center"/>
    </xf>
    <xf numFmtId="165" fontId="25" fillId="0" borderId="29" xfId="3" applyNumberFormat="1" applyFont="1" applyBorder="1" applyAlignment="1">
      <alignment horizontal="center"/>
    </xf>
    <xf numFmtId="165" fontId="25" fillId="0" borderId="26" xfId="3" applyNumberFormat="1" applyFont="1" applyBorder="1" applyAlignment="1">
      <alignment horizontal="center"/>
    </xf>
    <xf numFmtId="165" fontId="25" fillId="0" borderId="32" xfId="3" applyNumberFormat="1" applyFont="1" applyBorder="1" applyAlignment="1">
      <alignment horizontal="center"/>
    </xf>
    <xf numFmtId="165" fontId="25" fillId="0" borderId="30" xfId="3" applyNumberFormat="1" applyFont="1" applyBorder="1" applyAlignment="1">
      <alignment horizontal="center"/>
    </xf>
    <xf numFmtId="165" fontId="25" fillId="0" borderId="18" xfId="3" applyNumberFormat="1" applyFont="1" applyBorder="1" applyAlignment="1">
      <alignment horizontal="center"/>
    </xf>
    <xf numFmtId="165" fontId="25" fillId="0" borderId="33" xfId="3" applyNumberFormat="1" applyFont="1" applyBorder="1" applyAlignment="1">
      <alignment horizontal="center"/>
    </xf>
    <xf numFmtId="165" fontId="25" fillId="0" borderId="20" xfId="3" applyNumberFormat="1" applyFont="1" applyBorder="1" applyAlignment="1">
      <alignment horizontal="center"/>
    </xf>
    <xf numFmtId="14" fontId="23" fillId="4" borderId="4" xfId="2" applyNumberFormat="1" applyFont="1" applyFill="1" applyBorder="1" applyAlignment="1">
      <alignment horizontal="center"/>
    </xf>
    <xf numFmtId="177" fontId="21" fillId="4" borderId="0" xfId="0" applyNumberFormat="1" applyFont="1" applyFill="1"/>
    <xf numFmtId="0" fontId="21" fillId="4" borderId="0" xfId="0" applyFont="1" applyFill="1" applyAlignment="1">
      <alignment horizontal="right"/>
    </xf>
    <xf numFmtId="9" fontId="21" fillId="4" borderId="0" xfId="1" applyFont="1" applyFill="1"/>
    <xf numFmtId="183" fontId="0" fillId="0" borderId="0" xfId="7" applyNumberFormat="1" applyFont="1"/>
    <xf numFmtId="164" fontId="21" fillId="0" borderId="0" xfId="2" applyNumberFormat="1" applyFont="1" applyAlignment="1">
      <alignment horizontal="center"/>
    </xf>
    <xf numFmtId="183" fontId="21" fillId="0" borderId="0" xfId="2" applyNumberFormat="1" applyFont="1" applyAlignment="1">
      <alignment horizontal="center"/>
    </xf>
    <xf numFmtId="167" fontId="21" fillId="0" borderId="0" xfId="2" applyNumberFormat="1" applyFont="1" applyAlignment="1">
      <alignment horizontal="center"/>
    </xf>
    <xf numFmtId="167" fontId="21" fillId="0" borderId="0" xfId="1" applyNumberFormat="1" applyFont="1" applyAlignment="1">
      <alignment horizontal="center"/>
    </xf>
    <xf numFmtId="2" fontId="34" fillId="4" borderId="8" xfId="0" applyNumberFormat="1" applyFont="1" applyFill="1" applyBorder="1"/>
    <xf numFmtId="2" fontId="34" fillId="4" borderId="2" xfId="0" applyNumberFormat="1" applyFont="1" applyFill="1" applyBorder="1"/>
    <xf numFmtId="2" fontId="34" fillId="4" borderId="4" xfId="0" applyNumberFormat="1" applyFont="1" applyFill="1" applyBorder="1"/>
    <xf numFmtId="10" fontId="34" fillId="4" borderId="9" xfId="0" applyNumberFormat="1" applyFont="1" applyFill="1" applyBorder="1"/>
    <xf numFmtId="10" fontId="34" fillId="4" borderId="10" xfId="0" applyNumberFormat="1" applyFont="1" applyFill="1" applyBorder="1"/>
    <xf numFmtId="10" fontId="34" fillId="4" borderId="11" xfId="0" applyNumberFormat="1" applyFont="1" applyFill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2" fontId="21" fillId="4" borderId="0" xfId="0" applyNumberFormat="1" applyFont="1" applyFill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E0A"/>
      <color rgb="FFE664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8071</xdr:colOff>
      <xdr:row>0</xdr:row>
      <xdr:rowOff>46935</xdr:rowOff>
    </xdr:from>
    <xdr:to>
      <xdr:col>15</xdr:col>
      <xdr:colOff>401769</xdr:colOff>
      <xdr:row>6</xdr:row>
      <xdr:rowOff>74664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7571" y="46935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666750</xdr:colOff>
          <xdr:row>5</xdr:row>
          <xdr:rowOff>123825</xdr:rowOff>
        </xdr:from>
        <xdr:to>
          <xdr:col>16</xdr:col>
          <xdr:colOff>1465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F15" sqref="F15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v>45261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99" t="s">
        <v>21</v>
      </c>
      <c r="D5" s="600"/>
      <c r="F5" s="597" t="s">
        <v>23</v>
      </c>
      <c r="G5" s="598"/>
      <c r="I5" s="597" t="s">
        <v>22</v>
      </c>
      <c r="J5" s="598"/>
      <c r="R5" s="599" t="s">
        <v>39</v>
      </c>
      <c r="S5" s="600"/>
      <c r="U5" s="597" t="s">
        <v>40</v>
      </c>
      <c r="V5" s="598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99" t="s">
        <v>21</v>
      </c>
      <c r="C20" s="601"/>
      <c r="D20" s="601"/>
      <c r="E20" s="601"/>
      <c r="F20" s="601"/>
      <c r="G20" s="601"/>
      <c r="H20" s="601"/>
      <c r="I20" s="601"/>
      <c r="J20" s="600"/>
      <c r="L20" s="599" t="s">
        <v>23</v>
      </c>
      <c r="M20" s="600"/>
      <c r="O20" s="599" t="s">
        <v>22</v>
      </c>
      <c r="P20" s="600"/>
      <c r="R20" s="602" t="s">
        <v>39</v>
      </c>
      <c r="S20" s="603"/>
      <c r="T20" s="603"/>
      <c r="U20" s="603"/>
      <c r="V20" s="603"/>
      <c r="W20" s="603"/>
      <c r="X20" s="604"/>
      <c r="Z20" s="597" t="s">
        <v>40</v>
      </c>
      <c r="AA20" s="598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opLeftCell="A11" zoomScale="145" zoomScaleNormal="145" workbookViewId="0">
      <selection activeCell="B24" sqref="B2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v>45261</v>
      </c>
      <c r="D7" s="110"/>
      <c r="E7" s="111"/>
      <c r="F7" s="605" t="s">
        <v>48</v>
      </c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607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08" t="s">
        <v>68</v>
      </c>
      <c r="G13" s="609"/>
      <c r="H13" s="609"/>
      <c r="I13" s="609"/>
      <c r="J13" s="609"/>
      <c r="K13" s="609"/>
      <c r="L13" s="609"/>
      <c r="M13" s="609"/>
      <c r="N13" s="609"/>
      <c r="O13" s="609"/>
      <c r="P13" s="609"/>
      <c r="Q13" s="61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0.9155825796416085</v>
      </c>
      <c r="H15" s="86">
        <f ca="1"/>
        <v>0.87708899030862186</v>
      </c>
      <c r="I15" s="86">
        <f ca="1"/>
        <v>0.83997393552608068</v>
      </c>
      <c r="J15" s="86">
        <f ca="1"/>
        <v>0.80393405662915285</v>
      </c>
      <c r="K15" s="86">
        <f ca="1"/>
        <v>0.76883008012981868</v>
      </c>
      <c r="L15" s="86">
        <f ca="1"/>
        <v>0.73448792798184603</v>
      </c>
      <c r="M15" s="86">
        <f ca="1"/>
        <v>0.70122600828286485</v>
      </c>
      <c r="N15" s="86">
        <f ca="1"/>
        <v>0.66875755868880871</v>
      </c>
      <c r="O15" s="86">
        <f ca="1"/>
        <v>0.63736470028390679</v>
      </c>
      <c r="P15" s="86">
        <f ca="1"/>
        <v>0.49787574247884325</v>
      </c>
      <c r="Q15" s="87">
        <f ca="1"/>
        <v>0.3903164110506826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8" spans="2:17" ht="15.75" thickBot="1"/>
    <row r="19" spans="2:17" ht="15.75" thickBot="1">
      <c r="B19" s="128" t="s">
        <v>672</v>
      </c>
      <c r="C19" s="569"/>
      <c r="D19" s="101"/>
      <c r="E19" s="101"/>
      <c r="F19" s="101"/>
      <c r="G19" s="102"/>
      <c r="H19" s="605" t="s">
        <v>48</v>
      </c>
      <c r="I19" s="606"/>
      <c r="J19" s="606"/>
      <c r="K19" s="606"/>
      <c r="L19" s="606"/>
      <c r="M19" s="606"/>
      <c r="N19" s="606"/>
      <c r="O19" s="607"/>
    </row>
    <row r="20" spans="2:17" ht="23.25" thickBot="1">
      <c r="B20" s="128" t="s">
        <v>49</v>
      </c>
      <c r="C20" s="570" t="s">
        <v>50</v>
      </c>
      <c r="D20" s="570" t="s">
        <v>51</v>
      </c>
      <c r="E20" s="570" t="s">
        <v>52</v>
      </c>
      <c r="F20" s="128" t="s">
        <v>673</v>
      </c>
      <c r="G20" s="571" t="s">
        <v>674</v>
      </c>
      <c r="H20" s="58" t="s">
        <v>619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7" t="s">
        <v>617</v>
      </c>
    </row>
    <row r="21" spans="2:17">
      <c r="B21" s="61" t="s">
        <v>66</v>
      </c>
      <c r="C21" s="567" t="s">
        <v>42</v>
      </c>
      <c r="D21" s="567">
        <v>1</v>
      </c>
      <c r="E21" s="567">
        <v>6</v>
      </c>
      <c r="F21" s="567" t="s">
        <v>678</v>
      </c>
      <c r="G21" s="63" t="s">
        <v>675</v>
      </c>
      <c r="H21" s="573">
        <v>3.4180000000000002E-2</v>
      </c>
      <c r="I21" s="574">
        <v>3.039E-2</v>
      </c>
      <c r="J21" s="574">
        <v>2.8570000000000002E-2</v>
      </c>
      <c r="K21" s="574">
        <v>2.708E-2</v>
      </c>
      <c r="L21" s="574">
        <v>2.665E-2</v>
      </c>
      <c r="M21" s="574">
        <v>2.6720000000000001E-2</v>
      </c>
      <c r="N21" s="574">
        <v>2.7040000000000002E-2</v>
      </c>
      <c r="O21" s="575">
        <v>2.436E-2</v>
      </c>
      <c r="P21" s="566"/>
      <c r="Q21" s="566"/>
    </row>
    <row r="22" spans="2:17">
      <c r="B22" s="67" t="s">
        <v>66</v>
      </c>
      <c r="C22" s="568" t="s">
        <v>42</v>
      </c>
      <c r="D22" s="568">
        <v>1</v>
      </c>
      <c r="E22" s="568">
        <v>3</v>
      </c>
      <c r="F22" s="568" t="s">
        <v>679</v>
      </c>
      <c r="G22" s="69" t="s">
        <v>675</v>
      </c>
      <c r="H22" s="576">
        <v>3.3070000000000002E-2</v>
      </c>
      <c r="I22" s="577">
        <v>2.955E-2</v>
      </c>
      <c r="J22" s="577">
        <v>2.784E-2</v>
      </c>
      <c r="K22" s="577">
        <v>2.6499999999999999E-2</v>
      </c>
      <c r="L22" s="577">
        <v>2.6169999999999999E-2</v>
      </c>
      <c r="M22" s="577">
        <v>2.6409999999999999E-2</v>
      </c>
      <c r="N22" s="577">
        <v>2.6950000000000002E-2</v>
      </c>
      <c r="O22" s="578">
        <v>2.4729999999999999E-2</v>
      </c>
      <c r="P22" s="566"/>
      <c r="Q22" s="566"/>
    </row>
    <row r="23" spans="2:17" ht="15.75" thickBot="1">
      <c r="B23" s="73" t="s">
        <v>67</v>
      </c>
      <c r="C23" s="572" t="s">
        <v>43</v>
      </c>
      <c r="D23" s="572">
        <v>1.0865</v>
      </c>
      <c r="E23" s="572">
        <v>1</v>
      </c>
      <c r="F23" s="572" t="s">
        <v>677</v>
      </c>
      <c r="G23" s="75" t="s">
        <v>676</v>
      </c>
      <c r="H23" s="579">
        <v>4.7559999999999998E-2</v>
      </c>
      <c r="I23" s="580">
        <v>4.2529999999999998E-2</v>
      </c>
      <c r="J23" s="580">
        <v>3.9980000000000002E-2</v>
      </c>
      <c r="K23" s="580">
        <v>3.7789999999999997E-2</v>
      </c>
      <c r="L23" s="580">
        <v>3.7139999999999999E-2</v>
      </c>
      <c r="M23" s="580">
        <v>3.6999999999999998E-2</v>
      </c>
      <c r="N23" s="580">
        <v>3.7330000000000002E-2</v>
      </c>
      <c r="O23" s="581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05" t="s">
        <v>72</v>
      </c>
      <c r="H2" s="606"/>
      <c r="I2" s="606"/>
      <c r="J2" s="145" t="b">
        <v>1</v>
      </c>
    </row>
    <row r="3" spans="1:50" ht="15.75" thickBot="1">
      <c r="J3" s="99"/>
    </row>
    <row r="4" spans="1:50" ht="15.75" thickBot="1">
      <c r="G4" s="605" t="s">
        <v>73</v>
      </c>
      <c r="H4" s="606"/>
      <c r="I4" s="607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614" t="b">
        <v>1</v>
      </c>
      <c r="D6" s="615"/>
      <c r="E6" s="85"/>
      <c r="F6" s="85"/>
      <c r="G6" s="605" t="s">
        <v>74</v>
      </c>
      <c r="H6" s="606"/>
      <c r="I6" s="607"/>
      <c r="J6" s="140" t="s">
        <v>422</v>
      </c>
      <c r="K6" s="85"/>
      <c r="L6" s="93"/>
      <c r="M6" s="440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</row>
    <row r="7" spans="1:50" s="79" customFormat="1" ht="13.5" customHeight="1" thickBot="1">
      <c r="B7" s="147" t="s">
        <v>71</v>
      </c>
      <c r="C7" s="616">
        <f ca="1">GetCDSRefDate(Parameter_Date,C6)</f>
        <v>45280</v>
      </c>
      <c r="D7" s="617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605" t="s">
        <v>76</v>
      </c>
      <c r="F9" s="606"/>
      <c r="G9" s="606"/>
      <c r="H9" s="606"/>
      <c r="I9" s="606"/>
      <c r="J9" s="606"/>
      <c r="K9" s="606"/>
      <c r="L9" s="606"/>
      <c r="M9" s="607"/>
      <c r="N9" s="611" t="s">
        <v>77</v>
      </c>
      <c r="O9" s="612"/>
      <c r="P9" s="612"/>
      <c r="Q9" s="612"/>
      <c r="R9" s="612"/>
      <c r="S9" s="612"/>
      <c r="T9" s="612"/>
      <c r="U9" s="612"/>
      <c r="V9" s="613"/>
      <c r="W9" s="611" t="s">
        <v>78</v>
      </c>
      <c r="X9" s="612"/>
      <c r="Y9" s="612"/>
      <c r="Z9" s="612"/>
      <c r="AA9" s="612"/>
      <c r="AB9" s="612"/>
      <c r="AC9" s="612"/>
      <c r="AD9" s="612"/>
      <c r="AE9" s="613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45371</v>
      </c>
      <c r="F11" s="152" cm="1">
        <f t="array" aca="1" ref="F11" ca="1">IF(F10="","",GetConvertDate(CDSRollDate,F10))</f>
        <v>45463</v>
      </c>
      <c r="G11" s="152" cm="1">
        <f t="array" aca="1" ref="G11" ca="1">IF(G10="","",GetConvertDate(CDSRollDate,G10))</f>
        <v>45646</v>
      </c>
      <c r="H11" s="152" cm="1">
        <f t="array" aca="1" ref="H11" ca="1">IF(H10="","",GetConvertDate(CDSRollDate,H10))</f>
        <v>46011</v>
      </c>
      <c r="I11" s="152" cm="1">
        <f t="array" aca="1" ref="I11" ca="1">IF(I10="","",GetConvertDate(CDSRollDate,I10))</f>
        <v>46376</v>
      </c>
      <c r="J11" s="152" cm="1">
        <f t="array" aca="1" ref="J11" ca="1">IF(J10="","",GetConvertDate(CDSRollDate,J10))</f>
        <v>46741</v>
      </c>
      <c r="K11" s="152" cm="1">
        <f t="array" aca="1" ref="K11" ca="1">IF(K10="","",GetConvertDate(CDSRollDate,K10))</f>
        <v>47107</v>
      </c>
      <c r="L11" s="152" cm="1">
        <f t="array" aca="1" ref="L11" ca="1">IF(L10="","",GetConvertDate(CDSRollDate,L10))</f>
        <v>47837</v>
      </c>
      <c r="M11" s="462" cm="1">
        <f t="array" aca="1" ref="M11" ca="1">IF(M10="","",GetConvertDate(CDSRollDate,M10))</f>
        <v>48933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1.2343650287596208E-3</v>
      </c>
      <c r="P12" s="133">
        <f ca="1"/>
        <v>3.5490799001379747E-3</v>
      </c>
      <c r="Q12" s="133">
        <f ca="1"/>
        <v>8.9941497119730984E-3</v>
      </c>
      <c r="R12" s="133">
        <f ca="1"/>
        <v>1.6286165005140907E-2</v>
      </c>
      <c r="S12" s="133">
        <f ca="1"/>
        <v>0</v>
      </c>
      <c r="T12" s="133">
        <f ca="1"/>
        <v>3.4169059559788328E-2</v>
      </c>
      <c r="U12" s="133">
        <f ca="1"/>
        <v>5.2218994680478192E-2</v>
      </c>
      <c r="V12" s="134">
        <f ca="1"/>
        <v>8.0653786877004419E-2</v>
      </c>
      <c r="W12" s="132">
        <f ca="1"/>
        <v>0</v>
      </c>
      <c r="X12" s="133">
        <f ca="1"/>
        <v>1.3271094915096038E-3</v>
      </c>
      <c r="Y12" s="133">
        <f ca="1"/>
        <v>3.7151412146604335E-3</v>
      </c>
      <c r="Z12" s="133">
        <f ca="1"/>
        <v>9.3244299456296531E-3</v>
      </c>
      <c r="AA12" s="133">
        <f ca="1"/>
        <v>1.6777898978890038E-2</v>
      </c>
      <c r="AB12" s="133">
        <f ca="1"/>
        <v>0</v>
      </c>
      <c r="AC12" s="133">
        <f ca="1"/>
        <v>3.497358341201473E-2</v>
      </c>
      <c r="AD12" s="133">
        <f ca="1"/>
        <v>5.3347446212873573E-2</v>
      </c>
      <c r="AE12" s="134">
        <f ca="1"/>
        <v>8.2184754404823424E-2</v>
      </c>
      <c r="AG12" s="455" t="s">
        <v>510</v>
      </c>
      <c r="AH12" s="459">
        <v>8.7500000000000008E-3</v>
      </c>
      <c r="AI12" s="458">
        <v>2026</v>
      </c>
      <c r="AJ12" s="460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7.4265764477476903E-4</v>
      </c>
      <c r="P13" s="156">
        <f ca="1"/>
        <v>1.9516918622675128E-3</v>
      </c>
      <c r="Q13" s="156">
        <f ca="1"/>
        <v>5.5515727667541093E-3</v>
      </c>
      <c r="R13" s="156">
        <f ca="1"/>
        <v>1.1951165198420322E-2</v>
      </c>
      <c r="S13" s="156">
        <f ca="1"/>
        <v>0</v>
      </c>
      <c r="T13" s="156">
        <f ca="1"/>
        <v>3.1197973873840601E-2</v>
      </c>
      <c r="U13" s="156">
        <f ca="1"/>
        <v>5.1905537921349443E-2</v>
      </c>
      <c r="V13" s="138">
        <f ca="1"/>
        <v>9.1346444154210116E-2</v>
      </c>
      <c r="W13" s="137">
        <f ca="1"/>
        <v>0</v>
      </c>
      <c r="X13" s="156">
        <f ca="1"/>
        <v>8.354498500481311E-4</v>
      </c>
      <c r="Y13" s="156">
        <f ca="1"/>
        <v>2.1180193859522412E-3</v>
      </c>
      <c r="Z13" s="156">
        <f ca="1"/>
        <v>5.8830003348254722E-3</v>
      </c>
      <c r="AA13" s="156">
        <f ca="1"/>
        <v>1.2445066130281845E-2</v>
      </c>
      <c r="AB13" s="156">
        <f ca="1"/>
        <v>0</v>
      </c>
      <c r="AC13" s="156">
        <f ca="1"/>
        <v>3.2004972599458226E-2</v>
      </c>
      <c r="AD13" s="156">
        <f ca="1"/>
        <v>5.3036524350605574E-2</v>
      </c>
      <c r="AE13" s="138">
        <f ca="1"/>
        <v>9.2859605429312597E-2</v>
      </c>
      <c r="AG13" s="456" t="s">
        <v>511</v>
      </c>
      <c r="AH13" s="459">
        <v>1.6250000000000001E-2</v>
      </c>
      <c r="AI13" s="458">
        <v>2025</v>
      </c>
      <c r="AJ13" s="460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5.5704488486529868E-4</v>
      </c>
      <c r="P14" s="156">
        <f ca="1"/>
        <v>1.7773298177193864E-3</v>
      </c>
      <c r="Q14" s="156">
        <f ca="1"/>
        <v>6.2659034530365698E-3</v>
      </c>
      <c r="R14" s="156">
        <f ca="1"/>
        <v>1.4059549896124901E-2</v>
      </c>
      <c r="S14" s="156">
        <f ca="1"/>
        <v>0</v>
      </c>
      <c r="T14" s="156">
        <f ca="1"/>
        <v>3.4581871070142101E-2</v>
      </c>
      <c r="U14" s="156">
        <f ca="1"/>
        <v>6.1663572665231925E-2</v>
      </c>
      <c r="V14" s="138">
        <f ca="1"/>
        <v>0.10632017826391815</v>
      </c>
      <c r="W14" s="137">
        <f ca="1"/>
        <v>0</v>
      </c>
      <c r="X14" s="156">
        <f ca="1"/>
        <v>6.4985483622026496E-4</v>
      </c>
      <c r="Y14" s="156">
        <f ca="1"/>
        <v>1.9436863993174125E-3</v>
      </c>
      <c r="Z14" s="156">
        <f ca="1"/>
        <v>6.5970929505672071E-3</v>
      </c>
      <c r="AA14" s="156">
        <f ca="1"/>
        <v>1.4552396899161435E-2</v>
      </c>
      <c r="AB14" s="156">
        <f ca="1"/>
        <v>0</v>
      </c>
      <c r="AC14" s="156">
        <f ca="1"/>
        <v>3.5386051056086387E-2</v>
      </c>
      <c r="AD14" s="156">
        <f ca="1"/>
        <v>6.2782841644723031E-2</v>
      </c>
      <c r="AE14" s="138">
        <f ca="1"/>
        <v>0.10785777735704383</v>
      </c>
      <c r="AG14" s="457" t="s">
        <v>512</v>
      </c>
      <c r="AH14" s="459">
        <v>1.6250000000000001E-2</v>
      </c>
      <c r="AI14" s="458">
        <v>2026</v>
      </c>
      <c r="AJ14" s="460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1.1694363910798034E-3</v>
      </c>
      <c r="P15" s="156">
        <f ca="1"/>
        <v>3.1395007513983497E-3</v>
      </c>
      <c r="Q15" s="156">
        <f ca="1"/>
        <v>8.3088503115924528E-3</v>
      </c>
      <c r="R15" s="156">
        <f ca="1"/>
        <v>1.500846311464954E-2</v>
      </c>
      <c r="S15" s="156">
        <f ca="1"/>
        <v>0</v>
      </c>
      <c r="T15" s="156">
        <f ca="1"/>
        <v>3.254121362683815E-2</v>
      </c>
      <c r="U15" s="156">
        <f ca="1"/>
        <v>5.0754741970578388E-2</v>
      </c>
      <c r="V15" s="138">
        <f ca="1"/>
        <v>7.7431828915441869E-2</v>
      </c>
      <c r="W15" s="137">
        <f ca="1"/>
        <v>0</v>
      </c>
      <c r="X15" s="156">
        <f ca="1"/>
        <v>1.2621872203275597E-3</v>
      </c>
      <c r="Y15" s="156">
        <f ca="1"/>
        <v>3.3056303234197948E-3</v>
      </c>
      <c r="Z15" s="156">
        <f ca="1"/>
        <v>8.6393589403216398E-3</v>
      </c>
      <c r="AA15" s="156">
        <f ca="1"/>
        <v>1.5500835779679978E-2</v>
      </c>
      <c r="AB15" s="156">
        <f ca="1"/>
        <v>0</v>
      </c>
      <c r="AC15" s="156">
        <f ca="1"/>
        <v>3.3347093452235521E-2</v>
      </c>
      <c r="AD15" s="156">
        <f ca="1"/>
        <v>5.1885308145563025E-2</v>
      </c>
      <c r="AE15" s="138">
        <f ca="1"/>
        <v>7.8992625438806585E-2</v>
      </c>
      <c r="AG15" s="457" t="s">
        <v>513</v>
      </c>
      <c r="AH15" s="459">
        <v>1.7500000000000002E-2</v>
      </c>
      <c r="AI15" s="458">
        <v>2025</v>
      </c>
      <c r="AJ15" s="460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4.6422559508285666E-4</v>
      </c>
      <c r="P16" s="156">
        <f ca="1"/>
        <v>1.0635183000881065E-3</v>
      </c>
      <c r="Q16" s="156">
        <f ca="1"/>
        <v>3.8301864132997965E-3</v>
      </c>
      <c r="R16" s="156">
        <f ca="1"/>
        <v>7.8046302314337401E-3</v>
      </c>
      <c r="S16" s="156">
        <f ca="1"/>
        <v>0</v>
      </c>
      <c r="T16" s="156">
        <f ca="1"/>
        <v>2.178922418248519E-2</v>
      </c>
      <c r="U16" s="156">
        <f ca="1"/>
        <v>3.9100510054008164E-2</v>
      </c>
      <c r="V16" s="138">
        <f ca="1"/>
        <v>6.8007942294936896E-2</v>
      </c>
      <c r="W16" s="137">
        <f ca="1"/>
        <v>0</v>
      </c>
      <c r="X16" s="156">
        <f ca="1"/>
        <v>5.5704436557602044E-4</v>
      </c>
      <c r="Y16" s="156">
        <f ca="1"/>
        <v>1.2299938403631527E-3</v>
      </c>
      <c r="Z16" s="156">
        <f ca="1"/>
        <v>4.1621876811988034E-3</v>
      </c>
      <c r="AA16" s="156">
        <f ca="1"/>
        <v>8.3006039125734787E-3</v>
      </c>
      <c r="AB16" s="156">
        <f ca="1"/>
        <v>0</v>
      </c>
      <c r="AC16" s="156">
        <f ca="1"/>
        <v>2.2604060266803949E-2</v>
      </c>
      <c r="AD16" s="156">
        <f ca="1"/>
        <v>4.0246705207518163E-2</v>
      </c>
      <c r="AE16" s="138">
        <f ca="1"/>
        <v>6.9589221235019427E-2</v>
      </c>
      <c r="AG16" s="457" t="s">
        <v>514</v>
      </c>
      <c r="AH16" s="459">
        <v>1.2500000000000001E-2</v>
      </c>
      <c r="AI16" s="458">
        <v>2028</v>
      </c>
      <c r="AJ16" s="460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1.1416085422316646E-3</v>
      </c>
      <c r="P17" s="156">
        <f ca="1"/>
        <v>2.8183045265971485E-3</v>
      </c>
      <c r="Q17" s="156">
        <f ca="1"/>
        <v>7.6540459588838594E-3</v>
      </c>
      <c r="R17" s="156">
        <f ca="1"/>
        <v>1.2978425451725895E-2</v>
      </c>
      <c r="S17" s="156">
        <f ca="1"/>
        <v>0</v>
      </c>
      <c r="T17" s="156">
        <f ca="1"/>
        <v>2.73886801150518E-2</v>
      </c>
      <c r="U17" s="156">
        <f ca="1"/>
        <v>4.3365153874983631E-2</v>
      </c>
      <c r="V17" s="138">
        <f ca="1"/>
        <v>6.9755922522450997E-2</v>
      </c>
      <c r="W17" s="137">
        <f ca="1"/>
        <v>0</v>
      </c>
      <c r="X17" s="156">
        <f ca="1"/>
        <v>1.234362094227115E-3</v>
      </c>
      <c r="Y17" s="156">
        <f ca="1"/>
        <v>2.9844876268602105E-3</v>
      </c>
      <c r="Z17" s="156">
        <f ca="1"/>
        <v>7.9847728193690459E-3</v>
      </c>
      <c r="AA17" s="156">
        <f ca="1"/>
        <v>1.3471812881873491E-2</v>
      </c>
      <c r="AB17" s="156">
        <f ca="1"/>
        <v>0</v>
      </c>
      <c r="AC17" s="156">
        <f ca="1"/>
        <v>2.8198851929847168E-2</v>
      </c>
      <c r="AD17" s="156">
        <f ca="1"/>
        <v>4.4504185474859015E-2</v>
      </c>
      <c r="AE17" s="138">
        <f ca="1"/>
        <v>7.1330686803198096E-2</v>
      </c>
      <c r="AG17" s="457" t="s">
        <v>515</v>
      </c>
      <c r="AH17" s="459">
        <v>3.4000000000000002E-2</v>
      </c>
      <c r="AI17" s="458">
        <v>2030</v>
      </c>
      <c r="AJ17" s="460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4.6422559508285666E-4</v>
      </c>
      <c r="P18" s="156">
        <f ca="1"/>
        <v>2.4955058195195168E-3</v>
      </c>
      <c r="Q18" s="156">
        <f ca="1"/>
        <v>8.351080731789029E-3</v>
      </c>
      <c r="R18" s="156">
        <f ca="1"/>
        <v>1.8187725422203149E-2</v>
      </c>
      <c r="S18" s="156">
        <f ca="1"/>
        <v>0</v>
      </c>
      <c r="T18" s="156">
        <f ca="1"/>
        <v>4.9213214208704059E-2</v>
      </c>
      <c r="U18" s="156">
        <f ca="1"/>
        <v>8.3836218014380237E-2</v>
      </c>
      <c r="V18" s="138">
        <f ca="1"/>
        <v>0.14347976601504675</v>
      </c>
      <c r="W18" s="137">
        <f ca="1"/>
        <v>0</v>
      </c>
      <c r="X18" s="156">
        <f ca="1"/>
        <v>5.5704436557602044E-4</v>
      </c>
      <c r="Y18" s="156">
        <f ca="1"/>
        <v>2.6617427150859019E-3</v>
      </c>
      <c r="Z18" s="156">
        <f ca="1"/>
        <v>8.6815752860525119E-3</v>
      </c>
      <c r="AA18" s="156">
        <f ca="1"/>
        <v>1.8678508853393505E-2</v>
      </c>
      <c r="AB18" s="156">
        <f ca="1"/>
        <v>0</v>
      </c>
      <c r="AC18" s="156">
        <f ca="1"/>
        <v>5.0005206487602538E-2</v>
      </c>
      <c r="AD18" s="156">
        <f ca="1"/>
        <v>8.4928089307036325E-2</v>
      </c>
      <c r="AE18" s="138">
        <f ca="1"/>
        <v>0.14496401433098749</v>
      </c>
      <c r="AG18" s="457" t="s">
        <v>516</v>
      </c>
      <c r="AH18" s="459">
        <v>1.375E-2</v>
      </c>
      <c r="AI18" s="458">
        <v>2027</v>
      </c>
      <c r="AJ18" s="460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1.2065389856753539E-3</v>
      </c>
      <c r="P19" s="156">
        <f ca="1"/>
        <v>2.4768288397061244E-3</v>
      </c>
      <c r="Q19" s="156">
        <f ca="1"/>
        <v>9.0339231916326534E-3</v>
      </c>
      <c r="R19" s="156">
        <f ca="1"/>
        <v>1.7070442211493231E-2</v>
      </c>
      <c r="S19" s="156">
        <f ca="1"/>
        <v>0</v>
      </c>
      <c r="T19" s="156">
        <f ca="1"/>
        <v>4.4812146079400206E-2</v>
      </c>
      <c r="U19" s="156">
        <f ca="1"/>
        <v>7.9270637592748883E-2</v>
      </c>
      <c r="V19" s="138">
        <f ca="1"/>
        <v>0.13366826818371469</v>
      </c>
      <c r="W19" s="137">
        <f ca="1"/>
        <v>0</v>
      </c>
      <c r="X19" s="156">
        <f ca="1"/>
        <v>1.2992861792292532E-3</v>
      </c>
      <c r="Y19" s="156">
        <f ca="1"/>
        <v>2.6430688478564779E-3</v>
      </c>
      <c r="Z19" s="156">
        <f ca="1"/>
        <v>9.3641901696750462E-3</v>
      </c>
      <c r="AA19" s="156">
        <f ca="1"/>
        <v>1.7561784144653148E-2</v>
      </c>
      <c r="AB19" s="156">
        <f ca="1"/>
        <v>0</v>
      </c>
      <c r="AC19" s="156">
        <f ca="1"/>
        <v>4.5607804387352235E-2</v>
      </c>
      <c r="AD19" s="156">
        <f ca="1"/>
        <v>8.0367542973359019E-2</v>
      </c>
      <c r="AE19" s="138">
        <f ca="1"/>
        <v>0.13516596463663155</v>
      </c>
      <c r="AG19" s="457" t="s">
        <v>517</v>
      </c>
      <c r="AH19" s="459">
        <v>3.85E-2</v>
      </c>
      <c r="AI19" s="458">
        <v>2027</v>
      </c>
      <c r="AJ19" s="460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2.7856118988234257E-4</v>
      </c>
      <c r="P20" s="156">
        <f ca="1"/>
        <v>1.068057816943524E-3</v>
      </c>
      <c r="Q20" s="156">
        <f ca="1"/>
        <v>3.834802686009442E-3</v>
      </c>
      <c r="R20" s="156">
        <f ca="1"/>
        <v>8.3433389245168854E-3</v>
      </c>
      <c r="S20" s="156">
        <f ca="1"/>
        <v>0</v>
      </c>
      <c r="T20" s="156">
        <f ca="1"/>
        <v>1.995906782617185E-2</v>
      </c>
      <c r="U20" s="156">
        <f ca="1"/>
        <v>3.4032021102117227E-2</v>
      </c>
      <c r="V20" s="138">
        <f ca="1"/>
        <v>6.5014697438426694E-2</v>
      </c>
      <c r="W20" s="137">
        <f ca="1"/>
        <v>0</v>
      </c>
      <c r="X20" s="156">
        <f ca="1"/>
        <v>3.7139749276848821E-4</v>
      </c>
      <c r="Y20" s="156">
        <f ca="1"/>
        <v>1.2345326006799606E-3</v>
      </c>
      <c r="Z20" s="156">
        <f ca="1"/>
        <v>4.1668024154327687E-3</v>
      </c>
      <c r="AA20" s="156">
        <f ca="1"/>
        <v>8.8390433186377182E-3</v>
      </c>
      <c r="AB20" s="156">
        <f ca="1"/>
        <v>0</v>
      </c>
      <c r="AC20" s="156">
        <f ca="1"/>
        <v>2.0775428405532814E-2</v>
      </c>
      <c r="AD20" s="156">
        <f ca="1"/>
        <v>3.5183222195563246E-2</v>
      </c>
      <c r="AE20" s="138">
        <f ca="1"/>
        <v>6.6600025425432752E-2</v>
      </c>
      <c r="AG20" s="457" t="s">
        <v>518</v>
      </c>
      <c r="AH20" s="459">
        <v>1.6250000000000001E-2</v>
      </c>
      <c r="AI20" s="458">
        <v>2025</v>
      </c>
      <c r="AJ20" s="460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1.1045035398281611E-3</v>
      </c>
      <c r="P21" s="156">
        <f ca="1"/>
        <v>2.5330600788711077E-3</v>
      </c>
      <c r="Q21" s="156">
        <f ca="1"/>
        <v>6.6113198627973935E-3</v>
      </c>
      <c r="R21" s="156">
        <f ca="1"/>
        <v>1.1975257829312191E-2</v>
      </c>
      <c r="S21" s="156">
        <f ca="1"/>
        <v>0</v>
      </c>
      <c r="T21" s="156">
        <f ca="1"/>
        <v>2.663662308405168E-2</v>
      </c>
      <c r="U21" s="156">
        <f ca="1"/>
        <v>4.2043040934403919E-2</v>
      </c>
      <c r="V21" s="138">
        <f ca="1"/>
        <v>6.6361284367140949E-2</v>
      </c>
      <c r="W21" s="137">
        <f ca="1"/>
        <v>0</v>
      </c>
      <c r="X21" s="156">
        <f ca="1"/>
        <v>1.1972607168343474E-3</v>
      </c>
      <c r="Y21" s="156">
        <f ca="1"/>
        <v>2.6992907159224533E-3</v>
      </c>
      <c r="Z21" s="156">
        <f ca="1"/>
        <v>6.9423942407298433E-3</v>
      </c>
      <c r="AA21" s="156">
        <f ca="1"/>
        <v>1.2469146717874136E-2</v>
      </c>
      <c r="AB21" s="156">
        <f ca="1"/>
        <v>0</v>
      </c>
      <c r="AC21" s="156">
        <f ca="1"/>
        <v>2.7447421351942669E-2</v>
      </c>
      <c r="AD21" s="156">
        <f ca="1"/>
        <v>4.3183984697328315E-2</v>
      </c>
      <c r="AE21" s="138">
        <f ca="1"/>
        <v>6.7942470509798514E-2</v>
      </c>
      <c r="AG21" s="457" t="s">
        <v>519</v>
      </c>
      <c r="AH21" s="459">
        <v>3.7499999999999999E-3</v>
      </c>
      <c r="AI21" s="458">
        <v>2025</v>
      </c>
      <c r="AJ21" s="460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1.1601605274561555E-3</v>
      </c>
      <c r="P22" s="156">
        <f ca="1"/>
        <v>2.8893727111671819E-3</v>
      </c>
      <c r="Q22" s="156">
        <f ca="1"/>
        <v>7.8265826514296588E-3</v>
      </c>
      <c r="R22" s="156">
        <f ca="1"/>
        <v>1.3605491261480585E-2</v>
      </c>
      <c r="S22" s="156">
        <f ca="1"/>
        <v>0</v>
      </c>
      <c r="T22" s="156">
        <f ca="1"/>
        <v>2.9115580122326401E-2</v>
      </c>
      <c r="U22" s="156">
        <f ca="1"/>
        <v>4.597034174994985E-2</v>
      </c>
      <c r="V22" s="138">
        <f ca="1"/>
        <v>7.2950729304184114E-2</v>
      </c>
      <c r="W22" s="137">
        <f ca="1"/>
        <v>0</v>
      </c>
      <c r="X22" s="156">
        <f ca="1"/>
        <v>1.2529122646809387E-3</v>
      </c>
      <c r="Y22" s="156">
        <f ca="1"/>
        <v>3.0555439677231178E-3</v>
      </c>
      <c r="Z22" s="156">
        <f ca="1"/>
        <v>8.1572520092404455E-3</v>
      </c>
      <c r="AA22" s="156">
        <f ca="1"/>
        <v>1.4098565237091187E-2</v>
      </c>
      <c r="AB22" s="156">
        <f ca="1"/>
        <v>0</v>
      </c>
      <c r="AC22" s="156">
        <f ca="1"/>
        <v>2.9924313453240425E-2</v>
      </c>
      <c r="AD22" s="156">
        <f ca="1"/>
        <v>4.7106447383978844E-2</v>
      </c>
      <c r="AE22" s="138">
        <f ca="1"/>
        <v>7.4519763712928677E-2</v>
      </c>
      <c r="AG22" s="457" t="s">
        <v>520</v>
      </c>
      <c r="AH22" s="459">
        <v>0.01</v>
      </c>
      <c r="AI22" s="458">
        <v>2025</v>
      </c>
      <c r="AJ22" s="460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9.7462519511426482E-4</v>
      </c>
      <c r="P23" s="156">
        <f ca="1"/>
        <v>3.6451530452490388E-3</v>
      </c>
      <c r="Q23" s="156">
        <f ca="1"/>
        <v>1.0786395719527331E-2</v>
      </c>
      <c r="R23" s="156">
        <f ca="1"/>
        <v>1.90152499726155E-2</v>
      </c>
      <c r="S23" s="156">
        <f ca="1"/>
        <v>0</v>
      </c>
      <c r="T23" s="156">
        <f ca="1"/>
        <v>3.8310080395819845E-2</v>
      </c>
      <c r="U23" s="156">
        <f ca="1"/>
        <v>5.9806789798852567E-2</v>
      </c>
      <c r="V23" s="138">
        <f ca="1"/>
        <v>9.2932725579393582E-2</v>
      </c>
      <c r="W23" s="137">
        <f ca="1"/>
        <v>0</v>
      </c>
      <c r="X23" s="156">
        <f ca="1"/>
        <v>1.0673950117857656E-3</v>
      </c>
      <c r="Y23" s="156">
        <f ca="1"/>
        <v>3.8111983489123036E-3</v>
      </c>
      <c r="Z23" s="156">
        <f ca="1"/>
        <v>1.1116078637412596E-2</v>
      </c>
      <c r="AA23" s="156">
        <f ca="1"/>
        <v>1.950561974496734E-2</v>
      </c>
      <c r="AB23" s="156">
        <f ca="1"/>
        <v>0</v>
      </c>
      <c r="AC23" s="156">
        <f ca="1"/>
        <v>3.9111154834764128E-2</v>
      </c>
      <c r="AD23" s="156">
        <f ca="1"/>
        <v>6.0926014961473651E-2</v>
      </c>
      <c r="AE23" s="138">
        <f ca="1"/>
        <v>9.4443245254033803E-2</v>
      </c>
      <c r="AG23" s="457" t="s">
        <v>521</v>
      </c>
      <c r="AH23" s="459">
        <v>3.3750000000000002E-2</v>
      </c>
      <c r="AI23" s="458">
        <v>2027</v>
      </c>
      <c r="AJ23" s="460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1.4291256647325223E-3</v>
      </c>
      <c r="P24" s="156">
        <f ca="1"/>
        <v>4.1875253800822687E-3</v>
      </c>
      <c r="Q24" s="156">
        <f ca="1"/>
        <v>1.0648661664851677E-2</v>
      </c>
      <c r="R24" s="156">
        <f ca="1"/>
        <v>1.7342552117040277E-2</v>
      </c>
      <c r="S24" s="156">
        <f ca="1"/>
        <v>0</v>
      </c>
      <c r="T24" s="156">
        <f ca="1"/>
        <v>3.3966412136105073E-2</v>
      </c>
      <c r="U24" s="156">
        <f ca="1"/>
        <v>5.2016816794548171E-2</v>
      </c>
      <c r="V24" s="138">
        <f ca="1"/>
        <v>8.4263869360083121E-2</v>
      </c>
      <c r="W24" s="137">
        <f ca="1"/>
        <v>0</v>
      </c>
      <c r="X24" s="156">
        <f ca="1"/>
        <v>1.5218509139774961E-3</v>
      </c>
      <c r="Y24" s="156">
        <f ca="1"/>
        <v>4.353480295895662E-3</v>
      </c>
      <c r="Z24" s="156">
        <f ca="1"/>
        <v>1.0978390486434564E-2</v>
      </c>
      <c r="AA24" s="156">
        <f ca="1"/>
        <v>1.7833758029264013E-2</v>
      </c>
      <c r="AB24" s="156">
        <f ca="1"/>
        <v>0</v>
      </c>
      <c r="AC24" s="156">
        <f ca="1"/>
        <v>3.4771104790798035E-2</v>
      </c>
      <c r="AD24" s="156">
        <f ca="1"/>
        <v>5.3144700096431907E-2</v>
      </c>
      <c r="AE24" s="138">
        <f ca="1"/>
        <v>8.578882509499075E-2</v>
      </c>
      <c r="AG24" s="457" t="s">
        <v>522</v>
      </c>
      <c r="AH24" s="459">
        <v>1.2500000000000001E-2</v>
      </c>
      <c r="AI24" s="458">
        <v>2025</v>
      </c>
      <c r="AJ24" s="460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4.6422559508285666E-4</v>
      </c>
      <c r="P25" s="156">
        <f ca="1"/>
        <v>1.0635183000881065E-3</v>
      </c>
      <c r="Q25" s="156">
        <f ca="1"/>
        <v>2.7735532819737063E-3</v>
      </c>
      <c r="R25" s="156">
        <f ca="1"/>
        <v>6.2504038707316134E-3</v>
      </c>
      <c r="S25" s="156">
        <f ca="1"/>
        <v>0</v>
      </c>
      <c r="T25" s="156">
        <f ca="1"/>
        <v>1.6560310730566852E-2</v>
      </c>
      <c r="U25" s="156">
        <f ca="1"/>
        <v>2.9365934285491835E-2</v>
      </c>
      <c r="V25" s="138">
        <f ca="1"/>
        <v>5.4666903459537397E-2</v>
      </c>
      <c r="W25" s="137">
        <f ca="1"/>
        <v>0</v>
      </c>
      <c r="X25" s="156">
        <f ca="1"/>
        <v>5.5704436557602044E-4</v>
      </c>
      <c r="Y25" s="156">
        <f ca="1"/>
        <v>1.2299938403631527E-3</v>
      </c>
      <c r="Z25" s="156">
        <f ca="1"/>
        <v>3.1059067022344289E-3</v>
      </c>
      <c r="AA25" s="156">
        <f ca="1"/>
        <v>6.7471544708027631E-3</v>
      </c>
      <c r="AB25" s="156">
        <f ca="1"/>
        <v>0</v>
      </c>
      <c r="AC25" s="156">
        <f ca="1"/>
        <v>1.7379502427657956E-2</v>
      </c>
      <c r="AD25" s="156">
        <f ca="1"/>
        <v>3.0522688293274314E-2</v>
      </c>
      <c r="AE25" s="138">
        <f ca="1"/>
        <v>5.6271500364068694E-2</v>
      </c>
      <c r="AG25" s="457" t="s">
        <v>523</v>
      </c>
      <c r="AH25" s="459">
        <v>0.01</v>
      </c>
      <c r="AI25" s="458">
        <v>2027</v>
      </c>
      <c r="AJ25" s="460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2.7856118988234257E-4</v>
      </c>
      <c r="P26" s="156">
        <f ca="1"/>
        <v>1.6052151010047533E-3</v>
      </c>
      <c r="Q26" s="156">
        <f ca="1"/>
        <v>5.2240803250656054E-3</v>
      </c>
      <c r="R26" s="156">
        <f ca="1"/>
        <v>1.039315686683373E-2</v>
      </c>
      <c r="S26" s="156">
        <f ca="1"/>
        <v>0</v>
      </c>
      <c r="T26" s="156">
        <f ca="1"/>
        <v>2.8679436768009769E-2</v>
      </c>
      <c r="U26" s="156">
        <f ca="1"/>
        <v>4.9765662692503154E-2</v>
      </c>
      <c r="V26" s="138">
        <f ca="1"/>
        <v>9.0241417915751021E-2</v>
      </c>
      <c r="W26" s="137">
        <f ca="1"/>
        <v>0</v>
      </c>
      <c r="X26" s="156">
        <f ca="1"/>
        <v>3.7139749276848821E-4</v>
      </c>
      <c r="Y26" s="156">
        <f ca="1"/>
        <v>1.7716003659955515E-3</v>
      </c>
      <c r="Z26" s="156">
        <f ca="1"/>
        <v>5.5556170391188875E-3</v>
      </c>
      <c r="AA26" s="156">
        <f ca="1"/>
        <v>1.0887836608177603E-2</v>
      </c>
      <c r="AB26" s="156">
        <f ca="1"/>
        <v>0</v>
      </c>
      <c r="AC26" s="156">
        <f ca="1"/>
        <v>2.9488533400288452E-2</v>
      </c>
      <c r="AD26" s="156">
        <f ca="1"/>
        <v>5.089950558826728E-2</v>
      </c>
      <c r="AE26" s="138">
        <f ca="1"/>
        <v>9.1803588153503868E-2</v>
      </c>
      <c r="AG26" s="457" t="s">
        <v>524</v>
      </c>
      <c r="AH26" s="459">
        <v>8.7500000000000008E-3</v>
      </c>
      <c r="AI26" s="458">
        <v>2026</v>
      </c>
      <c r="AJ26" s="460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5.5704488486529868E-4</v>
      </c>
      <c r="P27" s="156">
        <f ca="1"/>
        <v>1.0612488032009093E-3</v>
      </c>
      <c r="Q27" s="156">
        <f ca="1"/>
        <v>3.8278784894353324E-3</v>
      </c>
      <c r="R27" s="156">
        <f ca="1"/>
        <v>7.8022939217065046E-3</v>
      </c>
      <c r="S27" s="156">
        <f ca="1"/>
        <v>0</v>
      </c>
      <c r="T27" s="156">
        <f ca="1"/>
        <v>2.1786820846376731E-2</v>
      </c>
      <c r="U27" s="156">
        <f ca="1"/>
        <v>4.0401359053466535E-2</v>
      </c>
      <c r="V27" s="138">
        <f ca="1"/>
        <v>7.5531665144961901E-2</v>
      </c>
      <c r="W27" s="137">
        <f ca="1"/>
        <v>0</v>
      </c>
      <c r="X27" s="156">
        <f ca="1"/>
        <v>6.4985483622026496E-4</v>
      </c>
      <c r="Y27" s="156">
        <f ca="1"/>
        <v>1.2277247216911924E-3</v>
      </c>
      <c r="Z27" s="156">
        <f ca="1"/>
        <v>4.1598805265316008E-3</v>
      </c>
      <c r="AA27" s="156">
        <f ca="1"/>
        <v>8.2982687707094938E-3</v>
      </c>
      <c r="AB27" s="156">
        <f ca="1"/>
        <v>0</v>
      </c>
      <c r="AC27" s="156">
        <f ca="1"/>
        <v>2.2601658932675406E-2</v>
      </c>
      <c r="AD27" s="156">
        <f ca="1"/>
        <v>4.1546195017280407E-2</v>
      </c>
      <c r="AE27" s="138">
        <f ca="1"/>
        <v>7.7098847534314952E-2</v>
      </c>
      <c r="AG27" s="457" t="s">
        <v>525</v>
      </c>
      <c r="AH27" s="459">
        <v>5.0000000000000001E-3</v>
      </c>
      <c r="AI27" s="458">
        <v>2027</v>
      </c>
      <c r="AJ27" s="460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1.0488434562637705E-3</v>
      </c>
      <c r="P28" s="156">
        <f ca="1"/>
        <v>3.2498705418229079E-3</v>
      </c>
      <c r="Q28" s="156">
        <f ca="1"/>
        <v>9.1153320969504792E-3</v>
      </c>
      <c r="R28" s="156">
        <f ca="1"/>
        <v>1.4915268132706494E-2</v>
      </c>
      <c r="S28" s="156">
        <f ca="1"/>
        <v>0</v>
      </c>
      <c r="T28" s="156">
        <f ca="1"/>
        <v>2.8045696028089484E-2</v>
      </c>
      <c r="U28" s="156">
        <f ca="1"/>
        <v>4.329502097496396E-2</v>
      </c>
      <c r="V28" s="138">
        <f ca="1"/>
        <v>6.9391793338761665E-2</v>
      </c>
      <c r="W28" s="137">
        <f ca="1"/>
        <v>0</v>
      </c>
      <c r="X28" s="156">
        <f ca="1"/>
        <v>1.1416060593463229E-3</v>
      </c>
      <c r="Y28" s="156">
        <f ca="1"/>
        <v>3.4159817204182374E-3</v>
      </c>
      <c r="Z28" s="156">
        <f ca="1"/>
        <v>9.4455719432098295E-3</v>
      </c>
      <c r="AA28" s="156">
        <f ca="1"/>
        <v>1.5407687383559687E-2</v>
      </c>
      <c r="AB28" s="156">
        <f ca="1"/>
        <v>0</v>
      </c>
      <c r="AC28" s="156">
        <f ca="1"/>
        <v>2.8855320557635178E-2</v>
      </c>
      <c r="AD28" s="156">
        <f ca="1"/>
        <v>4.4433176321251544E-2</v>
      </c>
      <c r="AE28" s="138">
        <f ca="1"/>
        <v>7.0965973725217624E-2</v>
      </c>
      <c r="AG28" s="457" t="s">
        <v>526</v>
      </c>
      <c r="AH28" s="459">
        <v>3.4000000000000002E-2</v>
      </c>
      <c r="AI28" s="458">
        <v>2027</v>
      </c>
      <c r="AJ28" s="460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6.4985556770325026E-4</v>
      </c>
      <c r="P29" s="156">
        <f ca="1"/>
        <v>1.4170335872464301E-3</v>
      </c>
      <c r="Q29" s="156">
        <f ca="1"/>
        <v>4.8691342506955726E-3</v>
      </c>
      <c r="R29" s="156">
        <f ca="1"/>
        <v>9.8731740173833016E-3</v>
      </c>
      <c r="S29" s="156">
        <f ca="1"/>
        <v>0</v>
      </c>
      <c r="T29" s="156">
        <f ca="1"/>
        <v>2.6943190785999827E-2</v>
      </c>
      <c r="U29" s="156">
        <f ca="1"/>
        <v>4.7415334055555758E-2</v>
      </c>
      <c r="V29" s="138">
        <f ca="1"/>
        <v>9.2764740321023331E-2</v>
      </c>
      <c r="W29" s="137">
        <f ca="1"/>
        <v>0</v>
      </c>
      <c r="X29" s="156">
        <f ca="1"/>
        <v>7.4265666409367714E-4</v>
      </c>
      <c r="Y29" s="156">
        <f ca="1"/>
        <v>1.5834502132131556E-3</v>
      </c>
      <c r="Z29" s="156">
        <f ca="1"/>
        <v>5.2007892603862516E-3</v>
      </c>
      <c r="AA29" s="156">
        <f ca="1"/>
        <v>1.0368113685148228E-2</v>
      </c>
      <c r="AB29" s="156">
        <f ca="1"/>
        <v>0</v>
      </c>
      <c r="AC29" s="156">
        <f ca="1"/>
        <v>2.7753733687235993E-2</v>
      </c>
      <c r="AD29" s="156">
        <f ca="1"/>
        <v>4.8551884566531922E-2</v>
      </c>
      <c r="AE29" s="138">
        <f ca="1"/>
        <v>9.4326097027223943E-2</v>
      </c>
      <c r="AG29" s="457" t="s">
        <v>527</v>
      </c>
      <c r="AH29" s="459">
        <v>2.5000000000000001E-2</v>
      </c>
      <c r="AI29" s="458">
        <v>2027</v>
      </c>
      <c r="AJ29" s="460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4.6422559508285666E-4</v>
      </c>
      <c r="P30" s="156">
        <f ca="1"/>
        <v>1.4216052903200938E-3</v>
      </c>
      <c r="Q30" s="156">
        <f ca="1"/>
        <v>4.1698750968857112E-3</v>
      </c>
      <c r="R30" s="156">
        <f ca="1"/>
        <v>8.3097435647113693E-3</v>
      </c>
      <c r="S30" s="156">
        <f ca="1"/>
        <v>0</v>
      </c>
      <c r="T30" s="156">
        <f ca="1"/>
        <v>2.261819186603764E-2</v>
      </c>
      <c r="U30" s="156">
        <f ca="1"/>
        <v>3.8938418556627497E-2</v>
      </c>
      <c r="V30" s="138">
        <f ca="1"/>
        <v>6.2055557378828174E-2</v>
      </c>
      <c r="W30" s="137">
        <f ca="1"/>
        <v>0</v>
      </c>
      <c r="X30" s="156">
        <f ca="1"/>
        <v>5.5704436557602044E-4</v>
      </c>
      <c r="Y30" s="156">
        <f ca="1"/>
        <v>1.5880211543956024E-3</v>
      </c>
      <c r="Z30" s="156">
        <f ca="1"/>
        <v>4.5017631540871239E-3</v>
      </c>
      <c r="AA30" s="156">
        <f ca="1"/>
        <v>8.805464752301817E-3</v>
      </c>
      <c r="AB30" s="156">
        <f ca="1"/>
        <v>0</v>
      </c>
      <c r="AC30" s="156">
        <f ca="1"/>
        <v>2.3432337431722794E-2</v>
      </c>
      <c r="AD30" s="156">
        <f ca="1"/>
        <v>4.00844755432328E-2</v>
      </c>
      <c r="AE30" s="138">
        <f ca="1"/>
        <v>6.3646706715448809E-2</v>
      </c>
      <c r="AG30" s="457" t="s">
        <v>528</v>
      </c>
      <c r="AH30" s="459">
        <v>1.375E-2</v>
      </c>
      <c r="AI30" s="458">
        <v>2026</v>
      </c>
      <c r="AJ30" s="460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5.9417019075691524E-4</v>
      </c>
      <c r="P31" s="156">
        <f ca="1"/>
        <v>2.0985610621968576E-3</v>
      </c>
      <c r="Q31" s="156">
        <f ca="1"/>
        <v>5.761298255463787E-3</v>
      </c>
      <c r="R31" s="156">
        <f ca="1"/>
        <v>1.092717326164705E-2</v>
      </c>
      <c r="S31" s="156">
        <f ca="1"/>
        <v>0</v>
      </c>
      <c r="T31" s="156">
        <f ca="1"/>
        <v>2.5897181757175924E-2</v>
      </c>
      <c r="U31" s="156">
        <f ca="1"/>
        <v>4.3461453660738614E-2</v>
      </c>
      <c r="V31" s="138">
        <f ca="1"/>
        <v>6.4522755168534007E-2</v>
      </c>
      <c r="W31" s="137">
        <f ca="1"/>
        <v>0</v>
      </c>
      <c r="X31" s="156">
        <f ca="1"/>
        <v>6.8697660446681574E-4</v>
      </c>
      <c r="Y31" s="156">
        <f ca="1"/>
        <v>2.2648641097201549E-3</v>
      </c>
      <c r="Z31" s="156">
        <f ca="1"/>
        <v>6.0926559267021618E-3</v>
      </c>
      <c r="AA31" s="156">
        <f ca="1"/>
        <v>1.1421586061534206E-2</v>
      </c>
      <c r="AB31" s="156">
        <f ca="1"/>
        <v>0</v>
      </c>
      <c r="AC31" s="156">
        <f ca="1"/>
        <v>2.670859596946551E-2</v>
      </c>
      <c r="AD31" s="156">
        <f ca="1"/>
        <v>4.4601598805122933E-2</v>
      </c>
      <c r="AE31" s="138">
        <f ca="1"/>
        <v>6.6108268676622672E-2</v>
      </c>
      <c r="AG31" s="457" t="s">
        <v>529</v>
      </c>
      <c r="AH31" s="459">
        <v>0.01</v>
      </c>
      <c r="AI31" s="458">
        <v>2025</v>
      </c>
      <c r="AJ31" s="460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1.0210122534125565E-3</v>
      </c>
      <c r="P32" s="156">
        <f ca="1"/>
        <v>2.8392451850541844E-3</v>
      </c>
      <c r="Q32" s="156">
        <f ca="1"/>
        <v>7.2701582984785462E-3</v>
      </c>
      <c r="R32" s="156">
        <f ca="1"/>
        <v>1.5553475837292385E-2</v>
      </c>
      <c r="S32" s="156">
        <f ca="1"/>
        <v>0</v>
      </c>
      <c r="T32" s="156">
        <f ca="1"/>
        <v>3.3463458299987203E-2</v>
      </c>
      <c r="U32" s="156">
        <f ca="1"/>
        <v>5.5081501705208757E-2</v>
      </c>
      <c r="V32" s="138">
        <f ca="1"/>
        <v>9.7659262746140008E-2</v>
      </c>
      <c r="W32" s="137">
        <f ca="1"/>
        <v>0</v>
      </c>
      <c r="X32" s="156">
        <f ca="1"/>
        <v>1.1137775643985659E-3</v>
      </c>
      <c r="Y32" s="156">
        <f ca="1"/>
        <v>3.0054247954978131E-3</v>
      </c>
      <c r="Z32" s="156">
        <f ca="1"/>
        <v>7.6010131002002268E-3</v>
      </c>
      <c r="AA32" s="156">
        <f ca="1"/>
        <v>1.6045576064066425E-2</v>
      </c>
      <c r="AB32" s="156">
        <f ca="1"/>
        <v>0</v>
      </c>
      <c r="AC32" s="156">
        <f ca="1"/>
        <v>3.4268569908345481E-2</v>
      </c>
      <c r="AD32" s="156">
        <f ca="1"/>
        <v>5.6207531306411429E-2</v>
      </c>
      <c r="AE32" s="138">
        <f ca="1"/>
        <v>9.9207681808008763E-2</v>
      </c>
      <c r="AG32" s="457" t="s">
        <v>530</v>
      </c>
      <c r="AH32" s="459">
        <v>1.375E-2</v>
      </c>
      <c r="AI32" s="458">
        <v>2026</v>
      </c>
      <c r="AJ32" s="460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7.2409791776117949E-4</v>
      </c>
      <c r="P33" s="156">
        <f ca="1"/>
        <v>2.4352922823102086E-3</v>
      </c>
      <c r="Q33" s="156">
        <f ca="1"/>
        <v>7.9950758524612864E-3</v>
      </c>
      <c r="R33" s="156">
        <f ca="1"/>
        <v>1.3946232365528166E-2</v>
      </c>
      <c r="S33" s="156">
        <f ca="1"/>
        <v>0</v>
      </c>
      <c r="T33" s="156">
        <f ca="1"/>
        <v>2.822053324172602E-2</v>
      </c>
      <c r="U33" s="156">
        <f ca="1"/>
        <v>4.4118034802362205E-2</v>
      </c>
      <c r="V33" s="138">
        <f ca="1"/>
        <v>6.7555547473892474E-2</v>
      </c>
      <c r="W33" s="137">
        <f ca="1"/>
        <v>0</v>
      </c>
      <c r="X33" s="156">
        <f ca="1"/>
        <v>8.1689190417466584E-4</v>
      </c>
      <c r="Y33" s="156">
        <f ca="1"/>
        <v>2.6015392126281789E-3</v>
      </c>
      <c r="Z33" s="156">
        <f ca="1"/>
        <v>8.3256890552665386E-3</v>
      </c>
      <c r="AA33" s="156">
        <f ca="1"/>
        <v>1.4439136013182474E-2</v>
      </c>
      <c r="AB33" s="156">
        <f ca="1"/>
        <v>0</v>
      </c>
      <c r="AC33" s="156">
        <f ca="1"/>
        <v>2.9030012134316774E-2</v>
      </c>
      <c r="AD33" s="156">
        <f ca="1"/>
        <v>4.5256049841821189E-2</v>
      </c>
      <c r="AE33" s="138">
        <f ca="1"/>
        <v>6.9133819947687858E-2</v>
      </c>
      <c r="AG33" s="457" t="s">
        <v>531</v>
      </c>
      <c r="AH33" s="459">
        <v>1.125E-2</v>
      </c>
      <c r="AI33" s="458">
        <v>2026</v>
      </c>
      <c r="AJ33" s="460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4.6422559508285666E-4</v>
      </c>
      <c r="P34" s="156">
        <f ca="1"/>
        <v>1.6006262531162996E-3</v>
      </c>
      <c r="Q34" s="156">
        <f ca="1"/>
        <v>5.5711935191748996E-3</v>
      </c>
      <c r="R34" s="156">
        <f ca="1"/>
        <v>1.2504153181971511E-2</v>
      </c>
      <c r="S34" s="156">
        <f ca="1"/>
        <v>0</v>
      </c>
      <c r="T34" s="156">
        <f ca="1"/>
        <v>3.1178482997685997E-2</v>
      </c>
      <c r="U34" s="156">
        <f ca="1"/>
        <v>5.5766194661726498E-2</v>
      </c>
      <c r="V34" s="138">
        <f ca="1"/>
        <v>0.10024683284761937</v>
      </c>
      <c r="W34" s="137">
        <f ca="1"/>
        <v>0</v>
      </c>
      <c r="X34" s="156">
        <f ca="1"/>
        <v>5.5704436557602044E-4</v>
      </c>
      <c r="Y34" s="156">
        <f ca="1"/>
        <v>1.7670122828469248E-3</v>
      </c>
      <c r="Z34" s="156">
        <f ca="1"/>
        <v>5.9026145480794989E-3</v>
      </c>
      <c r="AA34" s="156">
        <f ca="1"/>
        <v>1.299777768898136E-2</v>
      </c>
      <c r="AB34" s="156">
        <f ca="1"/>
        <v>0</v>
      </c>
      <c r="AC34" s="156">
        <f ca="1"/>
        <v>3.1985497958925024E-2</v>
      </c>
      <c r="AD34" s="156">
        <f ca="1"/>
        <v>5.6892709736939939E-2</v>
      </c>
      <c r="AE34" s="138">
        <f ca="1"/>
        <v>0.10179480216182013</v>
      </c>
      <c r="AG34" s="457" t="s">
        <v>532</v>
      </c>
      <c r="AH34" s="459">
        <v>7.4999999999999997E-3</v>
      </c>
      <c r="AI34" s="458">
        <v>2026</v>
      </c>
      <c r="AJ34" s="460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1.0673971614578726E-3</v>
      </c>
      <c r="P35" s="156">
        <f ca="1"/>
        <v>3.2136322455901256E-3</v>
      </c>
      <c r="Q35" s="156">
        <f ca="1"/>
        <v>9.7126039117522156E-3</v>
      </c>
      <c r="R35" s="156">
        <f ca="1"/>
        <v>1.8074490973155943E-2</v>
      </c>
      <c r="S35" s="156">
        <f ca="1"/>
        <v>0</v>
      </c>
      <c r="T35" s="156">
        <f ca="1"/>
        <v>3.9345230099660067E-2</v>
      </c>
      <c r="U35" s="156">
        <f ca="1"/>
        <v>6.1784590914189641E-2</v>
      </c>
      <c r="V35" s="138">
        <f ca="1"/>
        <v>9.5542603353518163E-2</v>
      </c>
      <c r="W35" s="137">
        <f ca="1"/>
        <v>0</v>
      </c>
      <c r="X35" s="156">
        <f ca="1"/>
        <v>1.1601579573663479E-3</v>
      </c>
      <c r="Y35" s="156">
        <f ca="1"/>
        <v>3.3797494633945879E-3</v>
      </c>
      <c r="Z35" s="156">
        <f ca="1"/>
        <v>1.0042644700607006E-2</v>
      </c>
      <c r="AA35" s="156">
        <f ca="1"/>
        <v>1.8565331007447616E-2</v>
      </c>
      <c r="AB35" s="156">
        <f ca="1"/>
        <v>0</v>
      </c>
      <c r="AC35" s="156">
        <f ca="1"/>
        <v>4.0145442273231025E-2</v>
      </c>
      <c r="AD35" s="156">
        <f ca="1"/>
        <v>6.290220772036148E-2</v>
      </c>
      <c r="AE35" s="138">
        <f ca="1"/>
        <v>9.7048776854683383E-2</v>
      </c>
      <c r="AG35" s="457" t="s">
        <v>533</v>
      </c>
      <c r="AH35" s="459">
        <v>0.04</v>
      </c>
      <c r="AI35" s="458">
        <v>2026</v>
      </c>
      <c r="AJ35" s="460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4.6422559508285666E-4</v>
      </c>
      <c r="P36" s="156">
        <f ca="1"/>
        <v>1.2425693066163701E-3</v>
      </c>
      <c r="Q36" s="156">
        <f ca="1"/>
        <v>3.8240060591129277E-3</v>
      </c>
      <c r="R36" s="156">
        <f ca="1"/>
        <v>8.3323722564101477E-3</v>
      </c>
      <c r="S36" s="156">
        <f ca="1"/>
        <v>0</v>
      </c>
      <c r="T36" s="156">
        <f ca="1"/>
        <v>1.9947896135811272E-2</v>
      </c>
      <c r="U36" s="156">
        <f ca="1"/>
        <v>3.53262054884107E-2</v>
      </c>
      <c r="V36" s="138">
        <f ca="1"/>
        <v>6.4824143268306766E-2</v>
      </c>
      <c r="W36" s="137">
        <f ca="1"/>
        <v>0</v>
      </c>
      <c r="X36" s="156">
        <f ca="1"/>
        <v>5.5704436557602044E-4</v>
      </c>
      <c r="Y36" s="156">
        <f ca="1"/>
        <v>1.4090150075465324E-3</v>
      </c>
      <c r="Z36" s="156">
        <f ca="1"/>
        <v>4.1560093867978321E-3</v>
      </c>
      <c r="AA36" s="156">
        <f ca="1"/>
        <v>8.8280821325006364E-3</v>
      </c>
      <c r="AB36" s="156">
        <f ca="1"/>
        <v>0</v>
      </c>
      <c r="AC36" s="156">
        <f ca="1"/>
        <v>2.0764266020970035E-2</v>
      </c>
      <c r="AD36" s="156">
        <f ca="1"/>
        <v>3.6476098143403912E-2</v>
      </c>
      <c r="AE36" s="138">
        <f ca="1"/>
        <v>6.6410334835719897E-2</v>
      </c>
      <c r="AG36" s="457" t="s">
        <v>534</v>
      </c>
      <c r="AH36" s="459">
        <v>7.4999999999999997E-3</v>
      </c>
      <c r="AI36" s="458">
        <v>2026</v>
      </c>
      <c r="AJ36" s="460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8.3545111727989507E-4</v>
      </c>
      <c r="P37" s="156">
        <f ca="1"/>
        <v>3.9169299942101166E-3</v>
      </c>
      <c r="Q37" s="156">
        <f ca="1"/>
        <v>1.1446116551495744E-2</v>
      </c>
      <c r="R37" s="156">
        <f ca="1"/>
        <v>2.3269372098955521E-2</v>
      </c>
      <c r="S37" s="156">
        <f ca="1"/>
        <v>0</v>
      </c>
      <c r="T37" s="156">
        <f ca="1"/>
        <v>5.8247715287757962E-2</v>
      </c>
      <c r="U37" s="156">
        <f ca="1"/>
        <v>9.9770393941572721E-2</v>
      </c>
      <c r="V37" s="138">
        <f ca="1"/>
        <v>0.1682460619995706</v>
      </c>
      <c r="W37" s="137">
        <f ca="1"/>
        <v>0</v>
      </c>
      <c r="X37" s="156">
        <f ca="1"/>
        <v>9.2823439486788839E-4</v>
      </c>
      <c r="Y37" s="156">
        <f ca="1"/>
        <v>4.0829300054981976E-3</v>
      </c>
      <c r="Z37" s="156">
        <f ca="1"/>
        <v>1.1775579599103136E-2</v>
      </c>
      <c r="AA37" s="156">
        <f ca="1"/>
        <v>2.3757615341938987E-2</v>
      </c>
      <c r="AB37" s="156">
        <f ca="1"/>
        <v>0</v>
      </c>
      <c r="AC37" s="156">
        <f ca="1"/>
        <v>5.9032181951814922E-2</v>
      </c>
      <c r="AD37" s="156">
        <f ca="1"/>
        <v>0.10082004939722611</v>
      </c>
      <c r="AE37" s="138">
        <f ca="1"/>
        <v>0.16969701443830509</v>
      </c>
      <c r="AG37" s="457" t="s">
        <v>535</v>
      </c>
      <c r="AH37" s="459">
        <v>3.7499999999999999E-2</v>
      </c>
      <c r="AI37" s="458">
        <v>2026</v>
      </c>
      <c r="AJ37" s="460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4.6422559508285666E-4</v>
      </c>
      <c r="P38" s="156">
        <f ca="1"/>
        <v>1.0635183000881065E-3</v>
      </c>
      <c r="Q38" s="156">
        <f ca="1"/>
        <v>4.1822800913825509E-3</v>
      </c>
      <c r="R38" s="156">
        <f ca="1"/>
        <v>8.3222952888234447E-3</v>
      </c>
      <c r="S38" s="156">
        <f ca="1"/>
        <v>0</v>
      </c>
      <c r="T38" s="156">
        <f ca="1"/>
        <v>1.9937633159288204E-2</v>
      </c>
      <c r="U38" s="156">
        <f ca="1"/>
        <v>3.2704530148225275E-2</v>
      </c>
      <c r="V38" s="138">
        <f ca="1"/>
        <v>5.7428800019142745E-2</v>
      </c>
      <c r="W38" s="137">
        <f ca="1"/>
        <v>0</v>
      </c>
      <c r="X38" s="156">
        <f ca="1"/>
        <v>5.5704436557602044E-4</v>
      </c>
      <c r="Y38" s="156">
        <f ca="1"/>
        <v>1.2299938403631527E-3</v>
      </c>
      <c r="Z38" s="156">
        <f ca="1"/>
        <v>4.5141640142958295E-3</v>
      </c>
      <c r="AA38" s="156">
        <f ca="1"/>
        <v>8.8180102021115925E-3</v>
      </c>
      <c r="AB38" s="156">
        <f ca="1"/>
        <v>0</v>
      </c>
      <c r="AC38" s="156">
        <f ca="1"/>
        <v>2.0754011593358879E-2</v>
      </c>
      <c r="AD38" s="156">
        <f ca="1"/>
        <v>3.3856904747403549E-2</v>
      </c>
      <c r="AE38" s="138">
        <f ca="1"/>
        <v>5.9027335694872507E-2</v>
      </c>
      <c r="AG38" s="457" t="s">
        <v>536</v>
      </c>
      <c r="AH38" s="459">
        <v>3.7499999999999999E-2</v>
      </c>
      <c r="AI38" s="458">
        <v>2032</v>
      </c>
      <c r="AJ38" s="460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9.282359864184464E-4</v>
      </c>
      <c r="P39" s="156">
        <f ca="1"/>
        <v>2.3049265531046581E-3</v>
      </c>
      <c r="Q39" s="156">
        <f ca="1"/>
        <v>7.9943024283565256E-3</v>
      </c>
      <c r="R39" s="156">
        <f ca="1"/>
        <v>1.7667959477604134E-2</v>
      </c>
      <c r="S39" s="156">
        <f ca="1"/>
        <v>0</v>
      </c>
      <c r="T39" s="156">
        <f ca="1"/>
        <v>4.3952448331593286E-2</v>
      </c>
      <c r="U39" s="156">
        <f ca="1"/>
        <v>7.8122098365654868E-2</v>
      </c>
      <c r="V39" s="138">
        <f ca="1"/>
        <v>0.1284051820454003</v>
      </c>
      <c r="W39" s="137">
        <f ca="1"/>
        <v>0</v>
      </c>
      <c r="X39" s="156">
        <f ca="1"/>
        <v>1.0210102993825076E-3</v>
      </c>
      <c r="Y39" s="156">
        <f ca="1"/>
        <v>2.4711952092453249E-3</v>
      </c>
      <c r="Z39" s="156">
        <f ca="1"/>
        <v>8.324915888924922E-3</v>
      </c>
      <c r="AA39" s="156">
        <f ca="1"/>
        <v>1.8159002726816587E-2</v>
      </c>
      <c r="AB39" s="156">
        <f ca="1"/>
        <v>0</v>
      </c>
      <c r="AC39" s="156">
        <f ca="1"/>
        <v>4.4748822755922069E-2</v>
      </c>
      <c r="AD39" s="156">
        <f ca="1"/>
        <v>7.9220455997538575E-2</v>
      </c>
      <c r="AE39" s="138">
        <f ca="1"/>
        <v>0.12990911568081231</v>
      </c>
      <c r="AG39" s="457" t="s">
        <v>537</v>
      </c>
      <c r="AH39" s="459">
        <v>2.375E-2</v>
      </c>
      <c r="AI39" s="458">
        <v>2025</v>
      </c>
      <c r="AJ39" s="460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1.7721831315653525E-3</v>
      </c>
      <c r="P40" s="156">
        <f ca="1"/>
        <v>3.8569553915207555E-3</v>
      </c>
      <c r="Q40" s="156">
        <f ca="1"/>
        <v>1.0055525922743835E-2</v>
      </c>
      <c r="R40" s="156">
        <f ca="1"/>
        <v>1.7905645589101793E-2</v>
      </c>
      <c r="S40" s="156">
        <f ca="1"/>
        <v>0</v>
      </c>
      <c r="T40" s="156">
        <f ca="1"/>
        <v>3.6625168599005331E-2</v>
      </c>
      <c r="U40" s="156">
        <f ca="1"/>
        <v>5.623182881114519E-2</v>
      </c>
      <c r="V40" s="138">
        <f ca="1"/>
        <v>8.5230337336312356E-2</v>
      </c>
      <c r="W40" s="137">
        <f ca="1"/>
        <v>0</v>
      </c>
      <c r="X40" s="156">
        <f ca="1"/>
        <v>1.864874103630676E-3</v>
      </c>
      <c r="Y40" s="156">
        <f ca="1"/>
        <v>4.0229653977428281E-3</v>
      </c>
      <c r="Z40" s="156">
        <f ca="1"/>
        <v>1.0385452423316233E-2</v>
      </c>
      <c r="AA40" s="156">
        <f ca="1"/>
        <v>1.8396570024989845E-2</v>
      </c>
      <c r="AB40" s="156">
        <f ca="1"/>
        <v>0</v>
      </c>
      <c r="AC40" s="156">
        <f ca="1"/>
        <v>3.7427646546287829E-2</v>
      </c>
      <c r="AD40" s="156">
        <f ca="1"/>
        <v>5.7355242007477436E-2</v>
      </c>
      <c r="AE40" s="138">
        <f ca="1"/>
        <v>8.6753683632870393E-2</v>
      </c>
      <c r="AG40" s="457" t="s">
        <v>538</v>
      </c>
      <c r="AH40" s="459">
        <v>2.375E-2</v>
      </c>
      <c r="AI40" s="458">
        <v>2026</v>
      </c>
      <c r="AJ40" s="460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3.7139769715544002E-4</v>
      </c>
      <c r="P41" s="156">
        <f ca="1"/>
        <v>1.2448472000856636E-3</v>
      </c>
      <c r="Q41" s="156">
        <f ca="1"/>
        <v>4.1783932157226644E-3</v>
      </c>
      <c r="R41" s="156">
        <f ca="1"/>
        <v>9.9196687710075837E-3</v>
      </c>
      <c r="S41" s="156">
        <f ca="1"/>
        <v>0</v>
      </c>
      <c r="T41" s="156">
        <f ca="1"/>
        <v>2.4303463582967755E-2</v>
      </c>
      <c r="U41" s="156">
        <f ca="1"/>
        <v>4.3849015632676847E-2</v>
      </c>
      <c r="V41" s="138">
        <f ca="1"/>
        <v>7.6446425836558252E-2</v>
      </c>
      <c r="W41" s="137">
        <f ca="1"/>
        <v>0</v>
      </c>
      <c r="X41" s="156">
        <f ca="1"/>
        <v>4.6422525135358939E-4</v>
      </c>
      <c r="Y41" s="156">
        <f ca="1"/>
        <v>1.4112925213842775E-3</v>
      </c>
      <c r="Z41" s="156">
        <f ca="1"/>
        <v>4.5102784340511626E-3</v>
      </c>
      <c r="AA41" s="156">
        <f ca="1"/>
        <v>1.0414585197193627E-2</v>
      </c>
      <c r="AB41" s="156">
        <f ca="1"/>
        <v>0</v>
      </c>
      <c r="AC41" s="156">
        <f ca="1"/>
        <v>2.5116205340518061E-2</v>
      </c>
      <c r="AD41" s="156">
        <f ca="1"/>
        <v>4.498954225851981E-2</v>
      </c>
      <c r="AE41" s="138">
        <f ca="1"/>
        <v>7.8012014310746114E-2</v>
      </c>
      <c r="AG41" s="457" t="s">
        <v>539</v>
      </c>
      <c r="AH41" s="459">
        <v>6.2500000000000003E-3</v>
      </c>
      <c r="AI41" s="458">
        <v>2026</v>
      </c>
      <c r="AJ41" s="460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8.3545111727989507E-4</v>
      </c>
      <c r="P42" s="156">
        <f ca="1"/>
        <v>3.2016679387290026E-3</v>
      </c>
      <c r="Q42" s="156">
        <f ca="1"/>
        <v>1.2173727878693308E-2</v>
      </c>
      <c r="R42" s="156">
        <f ca="1"/>
        <v>2.1141388417921236E-2</v>
      </c>
      <c r="S42" s="156">
        <f ca="1"/>
        <v>0</v>
      </c>
      <c r="T42" s="156">
        <f ca="1"/>
        <v>5.0481358513756125E-2</v>
      </c>
      <c r="U42" s="156">
        <f ca="1"/>
        <v>8.5669142187501657E-2</v>
      </c>
      <c r="V42" s="138">
        <f ca="1"/>
        <v>0.14237170141121358</v>
      </c>
      <c r="W42" s="137">
        <f ca="1"/>
        <v>0</v>
      </c>
      <c r="X42" s="156">
        <f ca="1"/>
        <v>9.2823439486788839E-4</v>
      </c>
      <c r="Y42" s="156">
        <f ca="1"/>
        <v>3.3677871504220747E-3</v>
      </c>
      <c r="Z42" s="156">
        <f ca="1"/>
        <v>1.2502948429602867E-2</v>
      </c>
      <c r="AA42" s="156">
        <f ca="1"/>
        <v>2.1630695386790078E-2</v>
      </c>
      <c r="AB42" s="156">
        <f ca="1"/>
        <v>0</v>
      </c>
      <c r="AC42" s="156">
        <f ca="1"/>
        <v>5.1272294445886102E-2</v>
      </c>
      <c r="AD42" s="156">
        <f ca="1"/>
        <v>8.6757023995675531E-2</v>
      </c>
      <c r="AE42" s="138">
        <f ca="1"/>
        <v>0.1438540991850682</v>
      </c>
      <c r="AG42" s="457" t="s">
        <v>540</v>
      </c>
      <c r="AH42" s="459">
        <v>2.75E-2</v>
      </c>
      <c r="AI42" s="458">
        <v>2025</v>
      </c>
      <c r="AJ42" s="460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3.0641304613077125E-4</v>
      </c>
      <c r="P43" s="156">
        <f ca="1"/>
        <v>1.6224293965315661E-3</v>
      </c>
      <c r="Q43" s="156">
        <f ca="1"/>
        <v>5.7152602812322595E-3</v>
      </c>
      <c r="R43" s="156">
        <f ca="1"/>
        <v>1.1328297999483539E-2</v>
      </c>
      <c r="S43" s="156">
        <f ca="1"/>
        <v>0</v>
      </c>
      <c r="T43" s="156">
        <f ca="1"/>
        <v>2.5898139556492117E-2</v>
      </c>
      <c r="U43" s="156">
        <f ca="1"/>
        <v>4.1513440420047343E-2</v>
      </c>
      <c r="V43" s="138">
        <f ca="1"/>
        <v>6.4792089642589645E-2</v>
      </c>
      <c r="W43" s="137">
        <f ca="1"/>
        <v>0</v>
      </c>
      <c r="X43" s="156">
        <f ca="1"/>
        <v>3.9924672804547701E-4</v>
      </c>
      <c r="Y43" s="156">
        <f ca="1"/>
        <v>1.7888117927158387E-3</v>
      </c>
      <c r="Z43" s="156">
        <f ca="1"/>
        <v>6.0466332959132618E-3</v>
      </c>
      <c r="AA43" s="156">
        <f ca="1"/>
        <v>1.1822510287121668E-2</v>
      </c>
      <c r="AB43" s="156">
        <f ca="1"/>
        <v>0</v>
      </c>
      <c r="AC43" s="156">
        <f ca="1"/>
        <v>2.6709552970969108E-2</v>
      </c>
      <c r="AD43" s="156">
        <f ca="1"/>
        <v>4.2655577814326717E-2</v>
      </c>
      <c r="AE43" s="138">
        <f ca="1"/>
        <v>6.6376753527163324E-2</v>
      </c>
      <c r="AG43" s="457" t="s">
        <v>541</v>
      </c>
      <c r="AH43" s="459"/>
      <c r="AI43" s="458"/>
      <c r="AJ43" s="460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7.7049658995254067E-4</v>
      </c>
      <c r="P44" s="156">
        <f ca="1"/>
        <v>3.1317835123794158E-3</v>
      </c>
      <c r="Q44" s="156">
        <f ca="1"/>
        <v>9.8289401054890702E-3</v>
      </c>
      <c r="R44" s="156">
        <f ca="1"/>
        <v>1.8133650684817093E-2</v>
      </c>
      <c r="S44" s="156">
        <f ca="1"/>
        <v>0</v>
      </c>
      <c r="T44" s="156">
        <f ca="1"/>
        <v>4.1122321632296899E-2</v>
      </c>
      <c r="U44" s="156">
        <f ca="1"/>
        <v>6.2875501401521872E-2</v>
      </c>
      <c r="V44" s="138">
        <f ca="1"/>
        <v>9.5165588772117116E-2</v>
      </c>
      <c r="W44" s="137">
        <f ca="1"/>
        <v>0</v>
      </c>
      <c r="X44" s="156">
        <f ca="1"/>
        <v>8.6328612077846145E-4</v>
      </c>
      <c r="Y44" s="156">
        <f ca="1"/>
        <v>3.2979143704949809E-3</v>
      </c>
      <c r="Z44" s="156">
        <f ca="1"/>
        <v>1.0158942122067804E-2</v>
      </c>
      <c r="AA44" s="156">
        <f ca="1"/>
        <v>1.8624461146643179E-2</v>
      </c>
      <c r="AB44" s="156">
        <f ca="1"/>
        <v>0</v>
      </c>
      <c r="AC44" s="156">
        <f ca="1"/>
        <v>4.1921053513099271E-2</v>
      </c>
      <c r="AD44" s="156">
        <f ca="1"/>
        <v>6.3992045463708735E-2</v>
      </c>
      <c r="AE44" s="138">
        <f ca="1"/>
        <v>9.6672390107541917E-2</v>
      </c>
      <c r="AG44" s="457" t="s">
        <v>542</v>
      </c>
      <c r="AH44" s="459">
        <v>3.875E-2</v>
      </c>
      <c r="AI44" s="458">
        <v>2026</v>
      </c>
      <c r="AJ44" s="460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1.1137799194392839E-3</v>
      </c>
      <c r="P45" s="156">
        <f ca="1"/>
        <v>2.4791628345923744E-3</v>
      </c>
      <c r="Q45" s="156">
        <f ca="1"/>
        <v>6.2263996442820657E-3</v>
      </c>
      <c r="R45" s="156">
        <f ca="1"/>
        <v>1.1888830666442307E-2</v>
      </c>
      <c r="S45" s="156">
        <f ca="1"/>
        <v>0</v>
      </c>
      <c r="T45" s="156">
        <f ca="1"/>
        <v>2.3084980701589264E-2</v>
      </c>
      <c r="U45" s="156">
        <f ca="1"/>
        <v>3.971392967898868E-2</v>
      </c>
      <c r="V45" s="138">
        <f ca="1"/>
        <v>7.0987308285585415E-2</v>
      </c>
      <c r="W45" s="137">
        <f ca="1"/>
        <v>0</v>
      </c>
      <c r="X45" s="156">
        <f ca="1"/>
        <v>1.2065361907452887E-3</v>
      </c>
      <c r="Y45" s="156">
        <f ca="1"/>
        <v>2.6454024537728715E-3</v>
      </c>
      <c r="Z45" s="156">
        <f ca="1"/>
        <v>6.5576023075566425E-3</v>
      </c>
      <c r="AA45" s="156">
        <f ca="1"/>
        <v>1.2382762757795596E-2</v>
      </c>
      <c r="AB45" s="156">
        <f ca="1"/>
        <v>0</v>
      </c>
      <c r="AC45" s="156">
        <f ca="1"/>
        <v>2.3898737438573514E-2</v>
      </c>
      <c r="AD45" s="156">
        <f ca="1"/>
        <v>4.0857481394901418E-2</v>
      </c>
      <c r="AE45" s="138">
        <f ca="1"/>
        <v>7.2560628220214141E-2</v>
      </c>
      <c r="AG45" s="457" t="s">
        <v>543</v>
      </c>
      <c r="AH45" s="459">
        <v>3.875E-2</v>
      </c>
      <c r="AI45" s="458">
        <v>2026</v>
      </c>
      <c r="AJ45" s="460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3.7139769715544002E-4</v>
      </c>
      <c r="P46" s="156">
        <f ca="1"/>
        <v>1.6029205889476206E-3</v>
      </c>
      <c r="Q46" s="156">
        <f ca="1"/>
        <v>4.8698819059787013E-3</v>
      </c>
      <c r="R46" s="156">
        <f ca="1"/>
        <v>9.34041718091283E-3</v>
      </c>
      <c r="S46" s="156">
        <f ca="1"/>
        <v>0</v>
      </c>
      <c r="T46" s="156">
        <f ca="1"/>
        <v>2.3399346612112737E-2</v>
      </c>
      <c r="U46" s="156">
        <f ca="1"/>
        <v>4.1332847974425158E-2</v>
      </c>
      <c r="V46" s="138">
        <f ca="1"/>
        <v>7.1126806586260805E-2</v>
      </c>
      <c r="W46" s="137">
        <f ca="1"/>
        <v>0</v>
      </c>
      <c r="X46" s="156">
        <f ca="1"/>
        <v>4.6422525135358939E-4</v>
      </c>
      <c r="Y46" s="156">
        <f ca="1"/>
        <v>1.7693062363334233E-3</v>
      </c>
      <c r="Z46" s="156">
        <f ca="1"/>
        <v>5.2015366664852625E-3</v>
      </c>
      <c r="AA46" s="156">
        <f ca="1"/>
        <v>9.8356231605132294E-3</v>
      </c>
      <c r="AB46" s="156">
        <f ca="1"/>
        <v>0</v>
      </c>
      <c r="AC46" s="156">
        <f ca="1"/>
        <v>2.4212841486663028E-2</v>
      </c>
      <c r="AD46" s="156">
        <f ca="1"/>
        <v>4.247597933091718E-2</v>
      </c>
      <c r="AE46" s="138">
        <f ca="1"/>
        <v>7.2701792232436557E-2</v>
      </c>
      <c r="AG46" s="457" t="s">
        <v>544</v>
      </c>
      <c r="AH46" s="459">
        <v>0.03</v>
      </c>
      <c r="AI46" s="458">
        <v>2026</v>
      </c>
      <c r="AJ46" s="460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1.7165601824981058E-3</v>
      </c>
      <c r="P47" s="156">
        <f ca="1"/>
        <v>3.6618028207250353E-3</v>
      </c>
      <c r="Q47" s="156">
        <f ca="1"/>
        <v>9.7135675511592634E-3</v>
      </c>
      <c r="R47" s="156">
        <f ca="1"/>
        <v>1.6763729364406843E-2</v>
      </c>
      <c r="S47" s="156">
        <f ca="1"/>
        <v>0</v>
      </c>
      <c r="T47" s="156">
        <f ca="1"/>
        <v>3.4963633671573735E-2</v>
      </c>
      <c r="U47" s="156">
        <f ca="1"/>
        <v>5.4607868054687092E-2</v>
      </c>
      <c r="V47" s="138">
        <f ca="1"/>
        <v>8.3908488527769443E-2</v>
      </c>
      <c r="W47" s="137">
        <f ca="1"/>
        <v>0</v>
      </c>
      <c r="X47" s="156">
        <f ca="1"/>
        <v>1.8092567504361945E-3</v>
      </c>
      <c r="Y47" s="156">
        <f ca="1"/>
        <v>3.8278453496685128E-3</v>
      </c>
      <c r="Z47" s="156">
        <f ca="1"/>
        <v>1.0043608018848182E-2</v>
      </c>
      <c r="AA47" s="156">
        <f ca="1"/>
        <v>1.7255224615664977E-2</v>
      </c>
      <c r="AB47" s="156">
        <f ca="1"/>
        <v>0</v>
      </c>
      <c r="AC47" s="156">
        <f ca="1"/>
        <v>3.5767495654518089E-2</v>
      </c>
      <c r="AD47" s="156">
        <f ca="1"/>
        <v>5.5733415872417646E-2</v>
      </c>
      <c r="AE47" s="138">
        <f ca="1"/>
        <v>8.5434036070814012E-2</v>
      </c>
      <c r="AG47" s="457" t="s">
        <v>545</v>
      </c>
      <c r="AH47" s="459">
        <v>1.7500000000000002E-2</v>
      </c>
      <c r="AI47" s="458">
        <v>2025</v>
      </c>
      <c r="AJ47" s="460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4.6422559508285666E-4</v>
      </c>
      <c r="P48" s="156">
        <f ca="1"/>
        <v>1.2425693066163701E-3</v>
      </c>
      <c r="Q48" s="156">
        <f ca="1"/>
        <v>3.8240060591129277E-3</v>
      </c>
      <c r="R48" s="156">
        <f ca="1"/>
        <v>7.7983750100618643E-3</v>
      </c>
      <c r="S48" s="156">
        <f ca="1"/>
        <v>0</v>
      </c>
      <c r="T48" s="156">
        <f ca="1"/>
        <v>2.0884789256333303E-2</v>
      </c>
      <c r="U48" s="156">
        <f ca="1"/>
        <v>3.7882665878542388E-2</v>
      </c>
      <c r="V48" s="138">
        <f ca="1"/>
        <v>7.0203623461851494E-2</v>
      </c>
      <c r="W48" s="137">
        <f ca="1"/>
        <v>0</v>
      </c>
      <c r="X48" s="156">
        <f ca="1"/>
        <v>5.5704436557602044E-4</v>
      </c>
      <c r="Y48" s="156">
        <f ca="1"/>
        <v>1.4090150075465324E-3</v>
      </c>
      <c r="Z48" s="156">
        <f ca="1"/>
        <v>4.1560093867978321E-3</v>
      </c>
      <c r="AA48" s="156">
        <f ca="1"/>
        <v>8.294351818036394E-3</v>
      </c>
      <c r="AB48" s="156">
        <f ca="1"/>
        <v>0</v>
      </c>
      <c r="AC48" s="156">
        <f ca="1"/>
        <v>2.1700378722477209E-2</v>
      </c>
      <c r="AD48" s="156">
        <f ca="1"/>
        <v>3.9030102960794566E-2</v>
      </c>
      <c r="AE48" s="138">
        <f ca="1"/>
        <v>7.1780472410811202E-2</v>
      </c>
      <c r="AG48" s="457" t="s">
        <v>546</v>
      </c>
      <c r="AH48" s="459">
        <v>2.5000000000000001E-2</v>
      </c>
      <c r="AI48" s="458">
        <v>2030</v>
      </c>
      <c r="AJ48" s="460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1.0210122534125565E-3</v>
      </c>
      <c r="P49" s="156">
        <f ca="1"/>
        <v>2.8392451850541844E-3</v>
      </c>
      <c r="Q49" s="156">
        <f ca="1"/>
        <v>6.9188634908970981E-3</v>
      </c>
      <c r="R49" s="156">
        <f ca="1"/>
        <v>1.4506575893975748E-2</v>
      </c>
      <c r="S49" s="156">
        <f ca="1"/>
        <v>0</v>
      </c>
      <c r="T49" s="156">
        <f ca="1"/>
        <v>3.3562062058157482E-2</v>
      </c>
      <c r="U49" s="156">
        <f ca="1"/>
        <v>5.5180657218111384E-2</v>
      </c>
      <c r="V49" s="138">
        <f ca="1"/>
        <v>9.5862979823795991E-2</v>
      </c>
      <c r="W49" s="137">
        <f ca="1"/>
        <v>0</v>
      </c>
      <c r="X49" s="156">
        <f ca="1"/>
        <v>1.1137775643985659E-3</v>
      </c>
      <c r="Y49" s="156">
        <f ca="1"/>
        <v>3.0054247954978131E-3</v>
      </c>
      <c r="Z49" s="156">
        <f ca="1"/>
        <v>7.2498353713464914E-3</v>
      </c>
      <c r="AA49" s="156">
        <f ca="1"/>
        <v>1.4999199439864164E-2</v>
      </c>
      <c r="AB49" s="156">
        <f ca="1"/>
        <v>0</v>
      </c>
      <c r="AC49" s="156">
        <f ca="1"/>
        <v>3.4367091530929761E-2</v>
      </c>
      <c r="AD49" s="156">
        <f ca="1"/>
        <v>5.6306950374634512E-2</v>
      </c>
      <c r="AE49" s="138">
        <f ca="1"/>
        <v>9.7413548017617035E-2</v>
      </c>
      <c r="AG49" s="457" t="s">
        <v>547</v>
      </c>
      <c r="AH49" s="459">
        <v>1.15E-2</v>
      </c>
      <c r="AI49" s="458">
        <v>2027</v>
      </c>
      <c r="AJ49" s="460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6.4985556770325026E-4</v>
      </c>
      <c r="P50" s="156">
        <f ca="1"/>
        <v>1.5960381102448906E-3</v>
      </c>
      <c r="Q50" s="156">
        <f ca="1"/>
        <v>4.5109952047818203E-3</v>
      </c>
      <c r="R50" s="156">
        <f ca="1"/>
        <v>9.34980565490795E-3</v>
      </c>
      <c r="S50" s="156">
        <f ca="1"/>
        <v>0</v>
      </c>
      <c r="T50" s="156">
        <f ca="1"/>
        <v>2.5201751769713066E-2</v>
      </c>
      <c r="U50" s="156">
        <f ca="1"/>
        <v>4.3757215297448249E-2</v>
      </c>
      <c r="V50" s="138">
        <f ca="1"/>
        <v>7.6354363986293805E-2</v>
      </c>
      <c r="W50" s="137">
        <f ca="1"/>
        <v>0</v>
      </c>
      <c r="X50" s="156">
        <f ca="1"/>
        <v>7.4265666409367714E-4</v>
      </c>
      <c r="Y50" s="156">
        <f ca="1"/>
        <v>1.7624249046001017E-3</v>
      </c>
      <c r="Z50" s="156">
        <f ca="1"/>
        <v>4.8427695742649934E-3</v>
      </c>
      <c r="AA50" s="156">
        <f ca="1"/>
        <v>9.8450069414479646E-3</v>
      </c>
      <c r="AB50" s="156">
        <f ca="1"/>
        <v>0</v>
      </c>
      <c r="AC50" s="156">
        <f ca="1"/>
        <v>2.6013745265620836E-2</v>
      </c>
      <c r="AD50" s="156">
        <f ca="1"/>
        <v>4.4897842733041871E-2</v>
      </c>
      <c r="AE50" s="138">
        <f ca="1"/>
        <v>7.7919735155456804E-2</v>
      </c>
      <c r="AG50" s="457" t="s">
        <v>548</v>
      </c>
      <c r="AH50" s="459">
        <v>2.75E-2</v>
      </c>
      <c r="AI50" s="458">
        <v>2025</v>
      </c>
      <c r="AJ50" s="460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1.1137799194392839E-3</v>
      </c>
      <c r="P51" s="156">
        <f ca="1"/>
        <v>4.2672217089695375E-3</v>
      </c>
      <c r="Q51" s="156">
        <f ca="1"/>
        <v>1.3176523018124664E-2</v>
      </c>
      <c r="R51" s="156">
        <f ca="1"/>
        <v>2.7918813601753523E-2</v>
      </c>
      <c r="S51" s="156">
        <f ca="1"/>
        <v>0</v>
      </c>
      <c r="T51" s="156">
        <f ca="1"/>
        <v>6.8252026555960521E-2</v>
      </c>
      <c r="U51" s="156">
        <f ca="1"/>
        <v>0.11302869425941164</v>
      </c>
      <c r="V51" s="138">
        <f ca="1"/>
        <v>0.18393625000950597</v>
      </c>
      <c r="W51" s="137">
        <f ca="1"/>
        <v>0</v>
      </c>
      <c r="X51" s="156">
        <f ca="1"/>
        <v>1.2065361907452887E-3</v>
      </c>
      <c r="Y51" s="156">
        <f ca="1"/>
        <v>4.4331633431620165E-3</v>
      </c>
      <c r="Z51" s="156">
        <f ca="1"/>
        <v>1.350540935968414E-2</v>
      </c>
      <c r="AA51" s="156">
        <f ca="1"/>
        <v>2.8404732705054836E-2</v>
      </c>
      <c r="AB51" s="156">
        <f ca="1"/>
        <v>0</v>
      </c>
      <c r="AC51" s="156">
        <f ca="1"/>
        <v>6.9028159766717279E-2</v>
      </c>
      <c r="AD51" s="156">
        <f ca="1"/>
        <v>0.11410154452411814</v>
      </c>
      <c r="AE51" s="138">
        <f ca="1"/>
        <v>0.18535449956415861</v>
      </c>
      <c r="AG51" s="457" t="s">
        <v>549</v>
      </c>
      <c r="AH51" s="459">
        <v>1.2500000000000001E-2</v>
      </c>
      <c r="AI51" s="458">
        <v>2025</v>
      </c>
      <c r="AJ51" s="460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5.5704488486529868E-4</v>
      </c>
      <c r="P52" s="156">
        <f ca="1"/>
        <v>1.2402915881148946E-3</v>
      </c>
      <c r="Q52" s="156">
        <f ca="1"/>
        <v>4.1737617200827692E-3</v>
      </c>
      <c r="R52" s="156">
        <f ca="1"/>
        <v>9.3812694259765017E-3</v>
      </c>
      <c r="S52" s="156">
        <f ca="1"/>
        <v>0</v>
      </c>
      <c r="T52" s="156">
        <f ca="1"/>
        <v>2.4337858393239098E-2</v>
      </c>
      <c r="U52" s="156">
        <f ca="1"/>
        <v>4.2583229580871573E-2</v>
      </c>
      <c r="V52" s="138">
        <f ca="1"/>
        <v>7.6663814564431942E-2</v>
      </c>
      <c r="W52" s="137">
        <f ca="1"/>
        <v>0</v>
      </c>
      <c r="X52" s="156">
        <f ca="1"/>
        <v>6.4985483622026496E-4</v>
      </c>
      <c r="Y52" s="156">
        <f ca="1"/>
        <v>1.4067376686272004E-3</v>
      </c>
      <c r="Z52" s="156">
        <f ca="1"/>
        <v>4.5056484819939735E-3</v>
      </c>
      <c r="AA52" s="156">
        <f ca="1"/>
        <v>9.8764549845390404E-3</v>
      </c>
      <c r="AB52" s="156">
        <f ca="1"/>
        <v>0</v>
      </c>
      <c r="AC52" s="156">
        <f ca="1"/>
        <v>2.515057150042499E-2</v>
      </c>
      <c r="AD52" s="156">
        <f ca="1"/>
        <v>4.372522453288219E-2</v>
      </c>
      <c r="AE52" s="138">
        <f ca="1"/>
        <v>7.8228392896320664E-2</v>
      </c>
      <c r="AG52" s="457" t="s">
        <v>550</v>
      </c>
      <c r="AH52" s="459">
        <v>0.02</v>
      </c>
      <c r="AI52" s="458">
        <v>2025</v>
      </c>
      <c r="AJ52" s="460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6.4985556770325026E-4</v>
      </c>
      <c r="P53" s="156">
        <f ca="1"/>
        <v>1.4170335872464301E-3</v>
      </c>
      <c r="Q53" s="156">
        <f ca="1"/>
        <v>3.8132117940630206E-3</v>
      </c>
      <c r="R53" s="156">
        <f ca="1"/>
        <v>8.8552776495629537E-3</v>
      </c>
      <c r="S53" s="156">
        <f ca="1"/>
        <v>0</v>
      </c>
      <c r="T53" s="156">
        <f ca="1"/>
        <v>2.4385115011546055E-2</v>
      </c>
      <c r="U53" s="156">
        <f ca="1"/>
        <v>4.3931805249156186E-2</v>
      </c>
      <c r="V53" s="138">
        <f ca="1"/>
        <v>7.8450387012795719E-2</v>
      </c>
      <c r="W53" s="137">
        <f ca="1"/>
        <v>0</v>
      </c>
      <c r="X53" s="156">
        <f ca="1"/>
        <v>7.4265666409367714E-4</v>
      </c>
      <c r="Y53" s="156">
        <f ca="1"/>
        <v>1.5834502132131556E-3</v>
      </c>
      <c r="Z53" s="156">
        <f ca="1"/>
        <v>4.1452187192470014E-3</v>
      </c>
      <c r="AA53" s="156">
        <f ca="1"/>
        <v>9.350726138290244E-3</v>
      </c>
      <c r="AB53" s="156">
        <f ca="1"/>
        <v>0</v>
      </c>
      <c r="AC53" s="156">
        <f ca="1"/>
        <v>2.5197788754607431E-2</v>
      </c>
      <c r="AD53" s="156">
        <f ca="1"/>
        <v>4.5072556066214409E-2</v>
      </c>
      <c r="AE53" s="138">
        <f ca="1"/>
        <v>8.0012273826799207E-2</v>
      </c>
      <c r="AG53" s="457" t="s">
        <v>551</v>
      </c>
      <c r="AH53" s="459">
        <v>1.375E-2</v>
      </c>
      <c r="AI53" s="458">
        <v>2025</v>
      </c>
      <c r="AJ53" s="460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3.7139769715544002E-4</v>
      </c>
      <c r="P54" s="156">
        <f ca="1"/>
        <v>1.0657879713348306E-3</v>
      </c>
      <c r="Q54" s="156">
        <f ca="1"/>
        <v>3.4803340204766497E-3</v>
      </c>
      <c r="R54" s="156">
        <f ca="1"/>
        <v>7.2890887796697168E-3</v>
      </c>
      <c r="S54" s="156">
        <f ca="1"/>
        <v>0</v>
      </c>
      <c r="T54" s="156">
        <f ca="1"/>
        <v>1.8252662400179198E-2</v>
      </c>
      <c r="U54" s="156">
        <f ca="1"/>
        <v>2.9077379528736014E-2</v>
      </c>
      <c r="V54" s="138">
        <f ca="1"/>
        <v>5.0489435494228352E-2</v>
      </c>
      <c r="W54" s="137">
        <f ca="1"/>
        <v>0</v>
      </c>
      <c r="X54" s="156">
        <f ca="1"/>
        <v>4.6422525135358939E-4</v>
      </c>
      <c r="Y54" s="156">
        <f ca="1"/>
        <v>1.2322631333656631E-3</v>
      </c>
      <c r="Z54" s="156">
        <f ca="1"/>
        <v>3.8124518863995593E-3</v>
      </c>
      <c r="AA54" s="156">
        <f ca="1"/>
        <v>7.7853201671091998E-3</v>
      </c>
      <c r="AB54" s="156">
        <f ca="1"/>
        <v>0</v>
      </c>
      <c r="AC54" s="156">
        <f ca="1"/>
        <v>1.907044439170813E-2</v>
      </c>
      <c r="AD54" s="156">
        <f ca="1"/>
        <v>3.0233754646732391E-2</v>
      </c>
      <c r="AE54" s="138">
        <f ca="1"/>
        <v>5.2099873465192847E-2</v>
      </c>
      <c r="AG54" s="457" t="s">
        <v>552</v>
      </c>
      <c r="AH54" s="459">
        <v>1.2500000000000001E-2</v>
      </c>
      <c r="AI54" s="458">
        <v>2026</v>
      </c>
      <c r="AJ54" s="460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5.5704488486529868E-4</v>
      </c>
      <c r="P55" s="156">
        <f ca="1"/>
        <v>1.9563125255107616E-3</v>
      </c>
      <c r="Q55" s="156">
        <f ca="1"/>
        <v>6.2595687695987667E-3</v>
      </c>
      <c r="R55" s="156">
        <f ca="1"/>
        <v>1.2987928054884468E-2</v>
      </c>
      <c r="S55" s="156">
        <f ca="1"/>
        <v>0</v>
      </c>
      <c r="T55" s="156">
        <f ca="1"/>
        <v>2.9301614946806054E-2</v>
      </c>
      <c r="U55" s="156">
        <f ca="1"/>
        <v>5.0691047770278663E-2</v>
      </c>
      <c r="V55" s="138">
        <f ca="1"/>
        <v>8.5889268471480484E-2</v>
      </c>
      <c r="W55" s="137">
        <f ca="1"/>
        <v>0</v>
      </c>
      <c r="X55" s="156">
        <f ca="1"/>
        <v>6.4985483622026496E-4</v>
      </c>
      <c r="Y55" s="156">
        <f ca="1"/>
        <v>2.1226392791496851E-3</v>
      </c>
      <c r="Z55" s="156">
        <f ca="1"/>
        <v>6.5907603783296187E-3</v>
      </c>
      <c r="AA55" s="156">
        <f ca="1"/>
        <v>1.3481310734915652E-2</v>
      </c>
      <c r="AB55" s="156">
        <f ca="1"/>
        <v>0</v>
      </c>
      <c r="AC55" s="156">
        <f ca="1"/>
        <v>3.0110193313218736E-2</v>
      </c>
      <c r="AD55" s="156">
        <f ca="1"/>
        <v>5.1822856317756738E-2</v>
      </c>
      <c r="AE55" s="138">
        <f ca="1"/>
        <v>8.7436131447537813E-2</v>
      </c>
      <c r="AG55" s="457" t="s">
        <v>553</v>
      </c>
      <c r="AH55" s="459">
        <v>1.2500000000000001E-2</v>
      </c>
      <c r="AI55" s="458">
        <v>2026</v>
      </c>
      <c r="AJ55" s="460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5.5704488486529868E-4</v>
      </c>
      <c r="P56" s="156">
        <f ca="1"/>
        <v>2.4931705690940387E-3</v>
      </c>
      <c r="Q56" s="156">
        <f ca="1"/>
        <v>7.2948820361435907E-3</v>
      </c>
      <c r="R56" s="156">
        <f ca="1"/>
        <v>1.3982587564942306E-2</v>
      </c>
      <c r="S56" s="156">
        <f ca="1"/>
        <v>0</v>
      </c>
      <c r="T56" s="156">
        <f ca="1"/>
        <v>3.0935478200959099E-2</v>
      </c>
      <c r="U56" s="156">
        <f ca="1"/>
        <v>5.2933985521065319E-2</v>
      </c>
      <c r="V56" s="138">
        <f ca="1"/>
        <v>8.8988590051808814E-2</v>
      </c>
      <c r="W56" s="137">
        <f ca="1"/>
        <v>0</v>
      </c>
      <c r="X56" s="156">
        <f ca="1"/>
        <v>6.4985483622026496E-4</v>
      </c>
      <c r="Y56" s="156">
        <f ca="1"/>
        <v>2.6594078538481059E-3</v>
      </c>
      <c r="Z56" s="156">
        <f ca="1"/>
        <v>7.62572859799171E-3</v>
      </c>
      <c r="AA56" s="156">
        <f ca="1"/>
        <v>1.4475473039539333E-2</v>
      </c>
      <c r="AB56" s="156">
        <f ca="1"/>
        <v>0</v>
      </c>
      <c r="AC56" s="156">
        <f ca="1"/>
        <v>3.1742695581830849E-2</v>
      </c>
      <c r="AD56" s="156">
        <f ca="1"/>
        <v>5.4062801464828891E-2</v>
      </c>
      <c r="AE56" s="138">
        <f ca="1"/>
        <v>9.0505677810695517E-2</v>
      </c>
      <c r="AG56" s="457" t="s">
        <v>554</v>
      </c>
      <c r="AH56" s="459">
        <v>6.8750000000000006E-2</v>
      </c>
      <c r="AI56" s="458">
        <v>2029</v>
      </c>
      <c r="AJ56" s="460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4.6422559508285666E-4</v>
      </c>
      <c r="P57" s="156">
        <f ca="1"/>
        <v>1.4216052903200938E-3</v>
      </c>
      <c r="Q57" s="156">
        <f ca="1"/>
        <v>4.8737971589343232E-3</v>
      </c>
      <c r="R57" s="156">
        <f ca="1"/>
        <v>1.1477968987022247E-2</v>
      </c>
      <c r="S57" s="156">
        <f ca="1"/>
        <v>0</v>
      </c>
      <c r="T57" s="156">
        <f ca="1"/>
        <v>3.0406716420945723E-2</v>
      </c>
      <c r="U57" s="156">
        <f ca="1"/>
        <v>5.2104424309518005E-2</v>
      </c>
      <c r="V57" s="138">
        <f ca="1"/>
        <v>9.1546733270194025E-2</v>
      </c>
      <c r="W57" s="137">
        <f ca="1"/>
        <v>0</v>
      </c>
      <c r="X57" s="156">
        <f ca="1"/>
        <v>5.5704436557602044E-4</v>
      </c>
      <c r="Y57" s="156">
        <f ca="1"/>
        <v>1.5880211543956024E-3</v>
      </c>
      <c r="Z57" s="156">
        <f ca="1"/>
        <v>5.2054506145854385E-3</v>
      </c>
      <c r="AA57" s="156">
        <f ca="1"/>
        <v>1.1972106457877163E-2</v>
      </c>
      <c r="AB57" s="156">
        <f ca="1"/>
        <v>0</v>
      </c>
      <c r="AC57" s="156">
        <f ca="1"/>
        <v>3.1214374253071275E-2</v>
      </c>
      <c r="AD57" s="156">
        <f ca="1"/>
        <v>5.3235545443126475E-2</v>
      </c>
      <c r="AE57" s="138">
        <f ca="1"/>
        <v>9.3059561008094871E-2</v>
      </c>
      <c r="AG57" s="457" t="s">
        <v>555</v>
      </c>
      <c r="AH57" s="459">
        <v>5.0000000000000001E-3</v>
      </c>
      <c r="AI57" s="458">
        <v>2026</v>
      </c>
      <c r="AJ57" s="460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1.1137799194392839E-3</v>
      </c>
      <c r="P58" s="156">
        <f ca="1"/>
        <v>3.0157379609644375E-3</v>
      </c>
      <c r="Q58" s="156">
        <f ca="1"/>
        <v>9.718591528252718E-3</v>
      </c>
      <c r="R58" s="156">
        <f ca="1"/>
        <v>1.8080582519130917E-2</v>
      </c>
      <c r="S58" s="156">
        <f ca="1"/>
        <v>0</v>
      </c>
      <c r="T58" s="156">
        <f ca="1"/>
        <v>3.8463499366897747E-2</v>
      </c>
      <c r="U58" s="156">
        <f ca="1"/>
        <v>6.1888539331350745E-2</v>
      </c>
      <c r="V58" s="138">
        <f ca="1"/>
        <v>0.10506691875895191</v>
      </c>
      <c r="W58" s="137">
        <f ca="1"/>
        <v>0</v>
      </c>
      <c r="X58" s="156">
        <f ca="1"/>
        <v>1.2065361907452887E-3</v>
      </c>
      <c r="Y58" s="156">
        <f ca="1"/>
        <v>3.1818881583938197E-3</v>
      </c>
      <c r="Z58" s="156">
        <f ca="1"/>
        <v>1.0048630321559116E-2</v>
      </c>
      <c r="AA58" s="156">
        <f ca="1"/>
        <v>1.8571419508393028E-2</v>
      </c>
      <c r="AB58" s="156">
        <f ca="1"/>
        <v>0</v>
      </c>
      <c r="AC58" s="156">
        <f ca="1"/>
        <v>3.9264446009959264E-2</v>
      </c>
      <c r="AD58" s="156">
        <f ca="1"/>
        <v>6.3005967086252834E-2</v>
      </c>
      <c r="AE58" s="138">
        <f ca="1"/>
        <v>0.10660194404860202</v>
      </c>
      <c r="AG58" s="457" t="s">
        <v>556</v>
      </c>
      <c r="AH58" s="459">
        <v>2.375E-2</v>
      </c>
      <c r="AI58" s="458">
        <v>2025</v>
      </c>
      <c r="AJ58" s="460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7.4265764477476903E-4</v>
      </c>
      <c r="P59" s="156">
        <f ca="1"/>
        <v>2.3095793686794819E-3</v>
      </c>
      <c r="Q59" s="156">
        <f ca="1"/>
        <v>7.9991064636090181E-3</v>
      </c>
      <c r="R59" s="156">
        <f ca="1"/>
        <v>1.5014347210400736E-2</v>
      </c>
      <c r="S59" s="156">
        <f ca="1"/>
        <v>0</v>
      </c>
      <c r="T59" s="156">
        <f ca="1"/>
        <v>3.2605468481048061E-2</v>
      </c>
      <c r="U59" s="156">
        <f ca="1"/>
        <v>5.3919803264998567E-2</v>
      </c>
      <c r="V59" s="138">
        <f ca="1"/>
        <v>9.4180434947571445E-2</v>
      </c>
      <c r="W59" s="137">
        <f ca="1"/>
        <v>0</v>
      </c>
      <c r="X59" s="156">
        <f ca="1"/>
        <v>8.354498500481311E-4</v>
      </c>
      <c r="Y59" s="156">
        <f ca="1"/>
        <v>2.4758472494171846E-3</v>
      </c>
      <c r="Z59" s="156">
        <f ca="1"/>
        <v>8.329718323101587E-3</v>
      </c>
      <c r="AA59" s="156">
        <f ca="1"/>
        <v>1.5506716934105991E-2</v>
      </c>
      <c r="AB59" s="156">
        <f ca="1"/>
        <v>0</v>
      </c>
      <c r="AC59" s="156">
        <f ca="1"/>
        <v>3.3411294783073364E-2</v>
      </c>
      <c r="AD59" s="156">
        <f ca="1"/>
        <v>5.5047198655144403E-2</v>
      </c>
      <c r="AE59" s="138">
        <f ca="1"/>
        <v>9.5733319513964354E-2</v>
      </c>
      <c r="AG59" s="457" t="s">
        <v>557</v>
      </c>
      <c r="AH59" s="459"/>
      <c r="AI59" s="458"/>
      <c r="AJ59" s="460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5.5704488486529868E-4</v>
      </c>
      <c r="P60" s="156">
        <f ca="1"/>
        <v>1.5983320934883638E-3</v>
      </c>
      <c r="Q60" s="156">
        <f ca="1"/>
        <v>4.5133181350786034E-3</v>
      </c>
      <c r="R60" s="156">
        <f ca="1"/>
        <v>8.8185151810228346E-3</v>
      </c>
      <c r="S60" s="156">
        <f ca="1"/>
        <v>0</v>
      </c>
      <c r="T60" s="156">
        <f ca="1"/>
        <v>1.8962666227772651E-2</v>
      </c>
      <c r="U60" s="156">
        <f ca="1"/>
        <v>3.141220665864175E-2</v>
      </c>
      <c r="V60" s="138">
        <f ca="1"/>
        <v>5.5680965616617395E-2</v>
      </c>
      <c r="W60" s="137">
        <f ca="1"/>
        <v>0</v>
      </c>
      <c r="X60" s="156">
        <f ca="1"/>
        <v>6.4985483622026496E-4</v>
      </c>
      <c r="Y60" s="156">
        <f ca="1"/>
        <v>1.7647185055548187E-3</v>
      </c>
      <c r="Z60" s="156">
        <f ca="1"/>
        <v>4.84509173036618E-3</v>
      </c>
      <c r="AA60" s="156">
        <f ca="1"/>
        <v>9.3139820463945533E-3</v>
      </c>
      <c r="AB60" s="156">
        <f ca="1"/>
        <v>0</v>
      </c>
      <c r="AC60" s="156">
        <f ca="1"/>
        <v>1.9779856795882012E-2</v>
      </c>
      <c r="AD60" s="156">
        <f ca="1"/>
        <v>3.2565585695524923E-2</v>
      </c>
      <c r="AE60" s="138">
        <f ca="1"/>
        <v>5.7282196599327762E-2</v>
      </c>
      <c r="AG60" s="457" t="s">
        <v>558</v>
      </c>
      <c r="AH60" s="459">
        <v>8.7500000000000008E-3</v>
      </c>
      <c r="AI60" s="458">
        <v>2025</v>
      </c>
      <c r="AJ60" s="460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7.4265764477476903E-4</v>
      </c>
      <c r="P61" s="156">
        <f ca="1"/>
        <v>1.9516918622675128E-3</v>
      </c>
      <c r="Q61" s="156">
        <f ca="1"/>
        <v>5.5515727667541093E-3</v>
      </c>
      <c r="R61" s="156">
        <f ca="1"/>
        <v>9.2854382739706587E-3</v>
      </c>
      <c r="S61" s="156">
        <f ca="1"/>
        <v>0</v>
      </c>
      <c r="T61" s="156">
        <f ca="1"/>
        <v>2.065228711963063E-2</v>
      </c>
      <c r="U61" s="156">
        <f ca="1"/>
        <v>3.3734600165218342E-2</v>
      </c>
      <c r="V61" s="138">
        <f ca="1"/>
        <v>6.0846111041482964E-2</v>
      </c>
      <c r="W61" s="137">
        <f ca="1"/>
        <v>0</v>
      </c>
      <c r="X61" s="156">
        <f ca="1"/>
        <v>8.354498500481311E-4</v>
      </c>
      <c r="Y61" s="156">
        <f ca="1"/>
        <v>2.1180193859522412E-3</v>
      </c>
      <c r="Z61" s="156">
        <f ca="1"/>
        <v>5.8830003348254722E-3</v>
      </c>
      <c r="AA61" s="156">
        <f ca="1"/>
        <v>9.7806717361427209E-3</v>
      </c>
      <c r="AB61" s="156">
        <f ca="1"/>
        <v>0</v>
      </c>
      <c r="AC61" s="156">
        <f ca="1"/>
        <v>2.1468070256809524E-2</v>
      </c>
      <c r="AD61" s="156">
        <f ca="1"/>
        <v>3.4885182962010153E-2</v>
      </c>
      <c r="AE61" s="138">
        <f ca="1"/>
        <v>6.2437901804243023E-2</v>
      </c>
      <c r="AG61" s="457" t="s">
        <v>559</v>
      </c>
      <c r="AH61" s="459">
        <v>3.6249999999999998E-2</v>
      </c>
      <c r="AI61" s="458">
        <v>2028</v>
      </c>
      <c r="AJ61" s="460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4.6422559508285666E-4</v>
      </c>
      <c r="P62" s="156">
        <f ca="1"/>
        <v>1.0635183000881065E-3</v>
      </c>
      <c r="Q62" s="156">
        <f ca="1"/>
        <v>4.1822800913825509E-3</v>
      </c>
      <c r="R62" s="156">
        <f ca="1"/>
        <v>8.856166905940599E-3</v>
      </c>
      <c r="S62" s="156">
        <f ca="1"/>
        <v>0</v>
      </c>
      <c r="T62" s="156">
        <f ca="1"/>
        <v>2.3489224310802692E-2</v>
      </c>
      <c r="U62" s="156">
        <f ca="1"/>
        <v>4.0121946388657959E-2</v>
      </c>
      <c r="V62" s="138">
        <f ca="1"/>
        <v>6.9473070241104717E-2</v>
      </c>
      <c r="W62" s="137">
        <f ca="1"/>
        <v>0</v>
      </c>
      <c r="X62" s="156">
        <f ca="1"/>
        <v>5.5704436557602044E-4</v>
      </c>
      <c r="Y62" s="156">
        <f ca="1"/>
        <v>1.2299938403631527E-3</v>
      </c>
      <c r="Z62" s="156">
        <f ca="1"/>
        <v>4.5141640142958295E-3</v>
      </c>
      <c r="AA62" s="156">
        <f ca="1"/>
        <v>9.3516149501348123E-3</v>
      </c>
      <c r="AB62" s="156">
        <f ca="1"/>
        <v>0</v>
      </c>
      <c r="AC62" s="156">
        <f ca="1"/>
        <v>2.4302644318437761E-2</v>
      </c>
      <c r="AD62" s="156">
        <f ca="1"/>
        <v>4.1266679317303434E-2</v>
      </c>
      <c r="AE62" s="138">
        <f ca="1"/>
        <v>7.1050998535050591E-2</v>
      </c>
      <c r="AG62" s="457" t="s">
        <v>560</v>
      </c>
      <c r="AH62" s="459">
        <v>1.125E-2</v>
      </c>
      <c r="AI62" s="458">
        <v>2025</v>
      </c>
      <c r="AJ62" s="460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9.282359864184464E-4</v>
      </c>
      <c r="P63" s="156">
        <f ca="1"/>
        <v>2.1260067360213686E-3</v>
      </c>
      <c r="Q63" s="156">
        <f ca="1"/>
        <v>5.1889074912903066E-3</v>
      </c>
      <c r="R63" s="156">
        <f ca="1"/>
        <v>1.1423709190243492E-2</v>
      </c>
      <c r="S63" s="156">
        <f ca="1"/>
        <v>0</v>
      </c>
      <c r="T63" s="156">
        <f ca="1"/>
        <v>2.5878820135334268E-2</v>
      </c>
      <c r="U63" s="156">
        <f ca="1"/>
        <v>4.3443055422407229E-2</v>
      </c>
      <c r="V63" s="138">
        <f ca="1"/>
        <v>7.9875264194818718E-2</v>
      </c>
      <c r="W63" s="137">
        <f ca="1"/>
        <v>0</v>
      </c>
      <c r="X63" s="156">
        <f ca="1"/>
        <v>1.0210102993825076E-3</v>
      </c>
      <c r="Y63" s="156">
        <f ca="1"/>
        <v>2.2923052096391894E-3</v>
      </c>
      <c r="Z63" s="156">
        <f ca="1"/>
        <v>5.5204559276402776E-3</v>
      </c>
      <c r="AA63" s="156">
        <f ca="1"/>
        <v>1.1917873784224375E-2</v>
      </c>
      <c r="AB63" s="156">
        <f ca="1"/>
        <v>0</v>
      </c>
      <c r="AC63" s="156">
        <f ca="1"/>
        <v>2.6690249642662089E-2</v>
      </c>
      <c r="AD63" s="156">
        <f ca="1"/>
        <v>4.4583154039369188E-2</v>
      </c>
      <c r="AE63" s="138">
        <f ca="1"/>
        <v>8.1432078416916798E-2</v>
      </c>
      <c r="AG63" s="457" t="s">
        <v>561</v>
      </c>
      <c r="AH63" s="459">
        <v>5.1249999999999997E-2</v>
      </c>
      <c r="AI63" s="458">
        <v>2027</v>
      </c>
      <c r="AJ63" s="460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2.7856118988234257E-4</v>
      </c>
      <c r="P64" s="156">
        <f ca="1"/>
        <v>8.8897533929943595E-4</v>
      </c>
      <c r="Q64" s="156">
        <f ca="1"/>
        <v>3.4887932217072537E-3</v>
      </c>
      <c r="R64" s="156">
        <f ca="1"/>
        <v>7.8318588667354305E-3</v>
      </c>
      <c r="S64" s="156">
        <f ca="1"/>
        <v>0</v>
      </c>
      <c r="T64" s="156">
        <f ca="1"/>
        <v>2.0020742162318528E-2</v>
      </c>
      <c r="U64" s="156">
        <f ca="1"/>
        <v>3.5399872321176806E-2</v>
      </c>
      <c r="V64" s="138">
        <f ca="1"/>
        <v>5.9095183294807563E-2</v>
      </c>
      <c r="W64" s="137">
        <f ca="1"/>
        <v>0</v>
      </c>
      <c r="X64" s="156">
        <f ca="1"/>
        <v>3.7139749276848821E-4</v>
      </c>
      <c r="Y64" s="156">
        <f ca="1"/>
        <v>1.0554799676462112E-3</v>
      </c>
      <c r="Z64" s="156">
        <f ca="1"/>
        <v>3.8209082684037554E-3</v>
      </c>
      <c r="AA64" s="156">
        <f ca="1"/>
        <v>8.3278189369587752E-3</v>
      </c>
      <c r="AB64" s="156">
        <f ca="1"/>
        <v>0</v>
      </c>
      <c r="AC64" s="156">
        <f ca="1"/>
        <v>2.0837051367791459E-2</v>
      </c>
      <c r="AD64" s="156">
        <f ca="1"/>
        <v>3.6549983401938269E-2</v>
      </c>
      <c r="AE64" s="138">
        <f ca="1"/>
        <v>6.0691875518401828E-2</v>
      </c>
      <c r="AG64" s="457" t="s">
        <v>562</v>
      </c>
      <c r="AH64" s="459">
        <v>0.15</v>
      </c>
      <c r="AI64" s="458">
        <v>2037</v>
      </c>
      <c r="AJ64" s="460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2.7856118988234257E-4</v>
      </c>
      <c r="P65" s="156">
        <f ca="1"/>
        <v>8.8897533929943595E-4</v>
      </c>
      <c r="Q65" s="156">
        <f ca="1"/>
        <v>3.4887932217072537E-3</v>
      </c>
      <c r="R65" s="156">
        <f ca="1"/>
        <v>6.7633581673195442E-3</v>
      </c>
      <c r="S65" s="156">
        <f ca="1"/>
        <v>0</v>
      </c>
      <c r="T65" s="156">
        <f ca="1"/>
        <v>1.7400193979209111E-2</v>
      </c>
      <c r="U65" s="156">
        <f ca="1"/>
        <v>2.9214944085490968E-2</v>
      </c>
      <c r="V65" s="138">
        <f ca="1"/>
        <v>5.0627446011656474E-2</v>
      </c>
      <c r="W65" s="137">
        <f ca="1"/>
        <v>0</v>
      </c>
      <c r="X65" s="156">
        <f ca="1"/>
        <v>3.7139749276848821E-4</v>
      </c>
      <c r="Y65" s="156">
        <f ca="1"/>
        <v>1.0554799676462112E-3</v>
      </c>
      <c r="Z65" s="156">
        <f ca="1"/>
        <v>3.8209082684037554E-3</v>
      </c>
      <c r="AA65" s="156">
        <f ca="1"/>
        <v>7.259852354335794E-3</v>
      </c>
      <c r="AB65" s="156">
        <f ca="1"/>
        <v>0</v>
      </c>
      <c r="AC65" s="156">
        <f ca="1"/>
        <v>1.8218686065164413E-2</v>
      </c>
      <c r="AD65" s="156">
        <f ca="1"/>
        <v>3.0371496800934317E-2</v>
      </c>
      <c r="AE65" s="138">
        <f ca="1"/>
        <v>5.2238193751922402E-2</v>
      </c>
      <c r="AG65" s="457" t="s">
        <v>563</v>
      </c>
      <c r="AH65" s="459">
        <v>1.4999999999999999E-2</v>
      </c>
      <c r="AI65" s="458">
        <v>2026</v>
      </c>
      <c r="AJ65" s="460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1.8571607206241403E-4</v>
      </c>
      <c r="P66" s="156">
        <f ca="1"/>
        <v>8.9123713527383686E-4</v>
      </c>
      <c r="Q66" s="156">
        <f ca="1"/>
        <v>3.843292833639822E-3</v>
      </c>
      <c r="R66" s="156">
        <f ca="1"/>
        <v>7.2837414966849812E-3</v>
      </c>
      <c r="S66" s="156">
        <f ca="1"/>
        <v>0</v>
      </c>
      <c r="T66" s="156">
        <f ca="1"/>
        <v>1.824720853398798E-2</v>
      </c>
      <c r="U66" s="156">
        <f ca="1"/>
        <v>3.0380007480910409E-2</v>
      </c>
      <c r="V66" s="138">
        <f ca="1"/>
        <v>5.2251755422574098E-2</v>
      </c>
      <c r="W66" s="137">
        <f ca="1"/>
        <v>0</v>
      </c>
      <c r="X66" s="156">
        <f ca="1"/>
        <v>2.7856108896862075E-4</v>
      </c>
      <c r="Y66" s="156">
        <f ca="1"/>
        <v>1.0577413866776908E-3</v>
      </c>
      <c r="Z66" s="156">
        <f ca="1"/>
        <v>4.1752897334713657E-3</v>
      </c>
      <c r="AA66" s="156">
        <f ca="1"/>
        <v>7.7799755570926443E-3</v>
      </c>
      <c r="AB66" s="156">
        <f ca="1"/>
        <v>0</v>
      </c>
      <c r="AC66" s="156">
        <f ca="1"/>
        <v>1.9064995068511448E-2</v>
      </c>
      <c r="AD66" s="156">
        <f ca="1"/>
        <v>3.1535170545504809E-2</v>
      </c>
      <c r="AE66" s="138">
        <f ca="1"/>
        <v>5.3859527769543947E-2</v>
      </c>
      <c r="AG66" s="457" t="s">
        <v>564</v>
      </c>
      <c r="AH66" s="459"/>
      <c r="AI66" s="458"/>
      <c r="AJ66" s="460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7.9833476074253618E-4</v>
      </c>
      <c r="P67" s="156">
        <f ca="1"/>
        <v>2.3081834490588093E-3</v>
      </c>
      <c r="Q67" s="156">
        <f ca="1"/>
        <v>6.8734142322423031E-3</v>
      </c>
      <c r="R67" s="156">
        <f ca="1"/>
        <v>1.2459120044053584E-2</v>
      </c>
      <c r="S67" s="156">
        <f ca="1"/>
        <v>0</v>
      </c>
      <c r="T67" s="156">
        <f ca="1"/>
        <v>2.6605634542990586E-2</v>
      </c>
      <c r="U67" s="156">
        <f ca="1"/>
        <v>4.2401613910750147E-2</v>
      </c>
      <c r="V67" s="138">
        <f ca="1"/>
        <v>6.8199853687765488E-2</v>
      </c>
      <c r="W67" s="137">
        <f ca="1"/>
        <v>0</v>
      </c>
      <c r="X67" s="156">
        <f ca="1"/>
        <v>8.9112161381466048E-4</v>
      </c>
      <c r="Y67" s="156">
        <f ca="1"/>
        <v>2.4744515624171015E-3</v>
      </c>
      <c r="Z67" s="156">
        <f ca="1"/>
        <v>7.2044012599115081E-3</v>
      </c>
      <c r="AA67" s="156">
        <f ca="1"/>
        <v>1.2952767061998771E-2</v>
      </c>
      <c r="AB67" s="156">
        <f ca="1"/>
        <v>0</v>
      </c>
      <c r="AC67" s="156">
        <f ca="1"/>
        <v>2.741645862391795E-2</v>
      </c>
      <c r="AD67" s="156">
        <f ca="1"/>
        <v>4.3542088000573353E-2</v>
      </c>
      <c r="AE67" s="138">
        <f ca="1"/>
        <v>6.9777828924214247E-2</v>
      </c>
      <c r="AG67" s="457" t="s">
        <v>565</v>
      </c>
      <c r="AH67" s="459">
        <v>5.7099999999999998E-3</v>
      </c>
      <c r="AI67" s="458">
        <v>2027</v>
      </c>
      <c r="AJ67" s="460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9.282359864184464E-4</v>
      </c>
      <c r="P68" s="156">
        <f ca="1"/>
        <v>3.1993005559234344E-3</v>
      </c>
      <c r="Q68" s="156">
        <f ca="1"/>
        <v>8.6641965037701496E-3</v>
      </c>
      <c r="R68" s="156">
        <f ca="1"/>
        <v>1.9193301540333385E-2</v>
      </c>
      <c r="S68" s="156">
        <f ca="1"/>
        <v>0</v>
      </c>
      <c r="T68" s="156">
        <f ca="1"/>
        <v>4.7298049775446382E-2</v>
      </c>
      <c r="U68" s="156">
        <f ca="1"/>
        <v>8.2619130370174654E-2</v>
      </c>
      <c r="V68" s="138">
        <f ca="1"/>
        <v>0.14002845001263176</v>
      </c>
      <c r="W68" s="137">
        <f ca="1"/>
        <v>0</v>
      </c>
      <c r="X68" s="156">
        <f ca="1"/>
        <v>1.0210102993825076E-3</v>
      </c>
      <c r="Y68" s="156">
        <f ca="1"/>
        <v>3.3654201621495794E-3</v>
      </c>
      <c r="Z68" s="156">
        <f ca="1"/>
        <v>8.9945867034897375E-3</v>
      </c>
      <c r="AA68" s="156">
        <f ca="1"/>
        <v>1.9683582309169667E-2</v>
      </c>
      <c r="AB68" s="156">
        <f ca="1"/>
        <v>0</v>
      </c>
      <c r="AC68" s="156">
        <f ca="1"/>
        <v>4.8091637359917394E-2</v>
      </c>
      <c r="AD68" s="156">
        <f ca="1"/>
        <v>8.3711519149616387E-2</v>
      </c>
      <c r="AE68" s="138">
        <f ca="1"/>
        <v>0.14151689164165826</v>
      </c>
      <c r="AG68" s="457" t="s">
        <v>566</v>
      </c>
      <c r="AH68" s="459">
        <v>0.01</v>
      </c>
      <c r="AI68" s="458">
        <v>2026</v>
      </c>
      <c r="AJ68" s="460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1.5774892768244397E-3</v>
      </c>
      <c r="P69" s="156">
        <f ca="1"/>
        <v>3.7190060097964661E-3</v>
      </c>
      <c r="Q69" s="156">
        <f ca="1"/>
        <v>1.0030859023309024E-2</v>
      </c>
      <c r="R69" s="156">
        <f ca="1"/>
        <v>2.2797759084546954E-2</v>
      </c>
      <c r="S69" s="156">
        <f ca="1"/>
        <v>0</v>
      </c>
      <c r="T69" s="156">
        <f ca="1"/>
        <v>5.1303463064765853E-2</v>
      </c>
      <c r="U69" s="156">
        <f ca="1"/>
        <v>8.9317256240253329E-2</v>
      </c>
      <c r="V69" s="138">
        <f ca="1"/>
        <v>0.15451889735442959</v>
      </c>
      <c r="W69" s="137">
        <f ca="1"/>
        <v>0</v>
      </c>
      <c r="X69" s="156">
        <f ca="1"/>
        <v>1.6701997708021832E-3</v>
      </c>
      <c r="Y69" s="156">
        <f ca="1"/>
        <v>3.8850390056593964E-3</v>
      </c>
      <c r="Z69" s="156">
        <f ca="1"/>
        <v>1.0360793744786045E-2</v>
      </c>
      <c r="AA69" s="156">
        <f ca="1"/>
        <v>2.3286238075096111E-2</v>
      </c>
      <c r="AB69" s="156">
        <f ca="1"/>
        <v>0</v>
      </c>
      <c r="AC69" s="156">
        <f ca="1"/>
        <v>5.2093714195172613E-2</v>
      </c>
      <c r="AD69" s="156">
        <f ca="1"/>
        <v>9.0379099912027194E-2</v>
      </c>
      <c r="AE69" s="138">
        <f ca="1"/>
        <v>0.1559904983957755</v>
      </c>
      <c r="AG69" s="457" t="s">
        <v>567</v>
      </c>
      <c r="AH69" s="459">
        <v>3.3750000000000002E-2</v>
      </c>
      <c r="AI69" s="458">
        <v>2026</v>
      </c>
      <c r="AJ69" s="460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3.7139769715544002E-4</v>
      </c>
      <c r="P70" s="156">
        <f ca="1"/>
        <v>1.6029205889476206E-3</v>
      </c>
      <c r="Q70" s="156">
        <f ca="1"/>
        <v>5.2217407693783136E-3</v>
      </c>
      <c r="R70" s="156">
        <f ca="1"/>
        <v>1.1457255459284998E-2</v>
      </c>
      <c r="S70" s="156">
        <f ca="1"/>
        <v>0</v>
      </c>
      <c r="T70" s="156">
        <f ca="1"/>
        <v>3.0385249997767039E-2</v>
      </c>
      <c r="U70" s="156">
        <f ca="1"/>
        <v>5.4671083039903312E-2</v>
      </c>
      <c r="V70" s="138">
        <f ca="1"/>
        <v>9.6836710561797101E-2</v>
      </c>
      <c r="W70" s="137">
        <f ca="1"/>
        <v>0</v>
      </c>
      <c r="X70" s="156">
        <f ca="1"/>
        <v>4.6422525135358939E-4</v>
      </c>
      <c r="Y70" s="156">
        <f ca="1"/>
        <v>1.7693062363334233E-3</v>
      </c>
      <c r="Z70" s="156">
        <f ca="1"/>
        <v>5.553278263137118E-3</v>
      </c>
      <c r="AA70" s="156">
        <f ca="1"/>
        <v>1.1951403284313877E-2</v>
      </c>
      <c r="AB70" s="156">
        <f ca="1"/>
        <v>0</v>
      </c>
      <c r="AC70" s="156">
        <f ca="1"/>
        <v>3.1192925711152619E-2</v>
      </c>
      <c r="AD70" s="156">
        <f ca="1"/>
        <v>5.5799171022572147E-2</v>
      </c>
      <c r="AE70" s="138">
        <f ca="1"/>
        <v>9.8389289019897186E-2</v>
      </c>
      <c r="AG70" s="457" t="s">
        <v>568</v>
      </c>
      <c r="AH70" s="459">
        <v>2.5000000000000001E-2</v>
      </c>
      <c r="AI70" s="458">
        <v>2026</v>
      </c>
      <c r="AJ70" s="460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1.0673971614578726E-3</v>
      </c>
      <c r="P71" s="156">
        <f ca="1"/>
        <v>2.5518826931980598E-3</v>
      </c>
      <c r="Q71" s="156">
        <f ca="1"/>
        <v>6.9630112252025977E-3</v>
      </c>
      <c r="R71" s="156">
        <f ca="1"/>
        <v>1.2171842913173081E-2</v>
      </c>
      <c r="S71" s="156">
        <f ca="1"/>
        <v>0</v>
      </c>
      <c r="T71" s="156">
        <f ca="1"/>
        <v>2.5709709509209366E-2</v>
      </c>
      <c r="U71" s="156">
        <f ca="1"/>
        <v>4.1064487343608902E-2</v>
      </c>
      <c r="V71" s="138">
        <f ca="1"/>
        <v>6.6564762050640658E-2</v>
      </c>
      <c r="W71" s="137">
        <f ca="1"/>
        <v>0</v>
      </c>
      <c r="X71" s="156">
        <f ca="1"/>
        <v>1.1601579573663479E-3</v>
      </c>
      <c r="Y71" s="156">
        <f ca="1"/>
        <v>2.7181101934140584E-3</v>
      </c>
      <c r="Z71" s="156">
        <f ca="1"/>
        <v>7.2939683921950937E-3</v>
      </c>
      <c r="AA71" s="156">
        <f ca="1"/>
        <v>1.2665633533790466E-2</v>
      </c>
      <c r="AB71" s="156">
        <f ca="1"/>
        <v>0</v>
      </c>
      <c r="AC71" s="156">
        <f ca="1"/>
        <v>2.6521279883358062E-2</v>
      </c>
      <c r="AD71" s="156">
        <f ca="1"/>
        <v>4.2206324600506995E-2</v>
      </c>
      <c r="AE71" s="138">
        <f ca="1"/>
        <v>6.814552466863244E-2</v>
      </c>
      <c r="AG71" s="457" t="s">
        <v>569</v>
      </c>
      <c r="AH71" s="459">
        <v>1.7500000000000002E-2</v>
      </c>
      <c r="AI71" s="458">
        <v>2026</v>
      </c>
      <c r="AJ71" s="460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6.4985556770325026E-4</v>
      </c>
      <c r="P72" s="156">
        <f ca="1"/>
        <v>2.1329615809273506E-3</v>
      </c>
      <c r="Q72" s="156">
        <f ca="1"/>
        <v>8.3591945318625127E-3</v>
      </c>
      <c r="R72" s="156">
        <f ca="1"/>
        <v>1.6601571316210983E-2</v>
      </c>
      <c r="S72" s="156">
        <f ca="1"/>
        <v>0</v>
      </c>
      <c r="T72" s="156">
        <f ca="1"/>
        <v>4.0482408794524027E-2</v>
      </c>
      <c r="U72" s="156">
        <f ca="1"/>
        <v>6.7074000807866185E-2</v>
      </c>
      <c r="V72" s="138">
        <f ca="1"/>
        <v>0.12127562135629733</v>
      </c>
      <c r="W72" s="137">
        <f ca="1"/>
        <v>0</v>
      </c>
      <c r="X72" s="156">
        <f ca="1"/>
        <v>7.4265666409367714E-4</v>
      </c>
      <c r="Y72" s="156">
        <f ca="1"/>
        <v>2.2992588955043081E-3</v>
      </c>
      <c r="Z72" s="156">
        <f ca="1"/>
        <v>8.6896863819746484E-3</v>
      </c>
      <c r="AA72" s="156">
        <f ca="1"/>
        <v>1.7093147626249139E-2</v>
      </c>
      <c r="AB72" s="156">
        <f ca="1"/>
        <v>0</v>
      </c>
      <c r="AC72" s="156">
        <f ca="1"/>
        <v>4.1281673713886691E-2</v>
      </c>
      <c r="AD72" s="156">
        <f ca="1"/>
        <v>6.8186398914846458E-2</v>
      </c>
      <c r="AE72" s="138">
        <f ca="1"/>
        <v>0.12279232646412341</v>
      </c>
      <c r="AG72" s="457" t="s">
        <v>570</v>
      </c>
      <c r="AH72" s="459">
        <v>2.972E-2</v>
      </c>
      <c r="AI72" s="458">
        <v>2026</v>
      </c>
      <c r="AJ72" s="460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3.7139769715544002E-4</v>
      </c>
      <c r="P73" s="156">
        <f ca="1"/>
        <v>1.0657879713348306E-3</v>
      </c>
      <c r="Q73" s="156">
        <f ca="1"/>
        <v>3.8324944784602355E-3</v>
      </c>
      <c r="R73" s="156">
        <f ca="1"/>
        <v>7.2728501519583322E-3</v>
      </c>
      <c r="S73" s="156">
        <f ca="1"/>
        <v>0</v>
      </c>
      <c r="T73" s="156">
        <f ca="1"/>
        <v>2.0932346344506469E-2</v>
      </c>
      <c r="U73" s="156">
        <f ca="1"/>
        <v>3.9235001636504951E-2</v>
      </c>
      <c r="V73" s="138">
        <f ca="1"/>
        <v>7.1999822911803735E-2</v>
      </c>
      <c r="W73" s="137">
        <f ca="1"/>
        <v>0</v>
      </c>
      <c r="X73" s="156">
        <f ca="1"/>
        <v>4.6422525135358939E-4</v>
      </c>
      <c r="Y73" s="156">
        <f ca="1"/>
        <v>1.2322631333656631E-3</v>
      </c>
      <c r="Z73" s="156">
        <f ca="1"/>
        <v>4.1644949771556528E-3</v>
      </c>
      <c r="AA73" s="156">
        <f ca="1"/>
        <v>7.7690896566697809E-3</v>
      </c>
      <c r="AB73" s="156">
        <f ca="1"/>
        <v>0</v>
      </c>
      <c r="AC73" s="156">
        <f ca="1"/>
        <v>2.1747896196241512E-2</v>
      </c>
      <c r="AD73" s="156">
        <f ca="1"/>
        <v>4.0381232716141691E-2</v>
      </c>
      <c r="AE73" s="138">
        <f ca="1"/>
        <v>7.3573999128134226E-2</v>
      </c>
      <c r="AG73" s="457" t="s">
        <v>571</v>
      </c>
      <c r="AH73" s="459">
        <v>4.3749999999999997E-2</v>
      </c>
      <c r="AI73" s="458">
        <v>2029</v>
      </c>
      <c r="AJ73" s="460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5.5704488486529868E-4</v>
      </c>
      <c r="P74" s="156">
        <f ca="1"/>
        <v>1.9563125255107616E-3</v>
      </c>
      <c r="Q74" s="156">
        <f ca="1"/>
        <v>6.9626377012802498E-3</v>
      </c>
      <c r="R74" s="156">
        <f ca="1"/>
        <v>1.3486685321276171E-2</v>
      </c>
      <c r="S74" s="156">
        <f ca="1"/>
        <v>0</v>
      </c>
      <c r="T74" s="156">
        <f ca="1"/>
        <v>2.922723232701685E-2</v>
      </c>
      <c r="U74" s="156">
        <f ca="1"/>
        <v>4.932099221154207E-2</v>
      </c>
      <c r="V74" s="138">
        <f ca="1"/>
        <v>8.4088382173451715E-2</v>
      </c>
      <c r="W74" s="137">
        <f ca="1"/>
        <v>0</v>
      </c>
      <c r="X74" s="156">
        <f ca="1"/>
        <v>6.4985483622026496E-4</v>
      </c>
      <c r="Y74" s="156">
        <f ca="1"/>
        <v>2.1226392791496851E-3</v>
      </c>
      <c r="Z74" s="156">
        <f ca="1"/>
        <v>7.2935949927519506E-3</v>
      </c>
      <c r="AA74" s="156">
        <f ca="1"/>
        <v>1.3979818684984657E-2</v>
      </c>
      <c r="AB74" s="156">
        <f ca="1"/>
        <v>0</v>
      </c>
      <c r="AC74" s="156">
        <f ca="1"/>
        <v>3.0035872653149553E-2</v>
      </c>
      <c r="AD74" s="156">
        <f ca="1"/>
        <v>5.0454015684665343E-2</v>
      </c>
      <c r="AE74" s="138">
        <f ca="1"/>
        <v>8.5637861806131643E-2</v>
      </c>
      <c r="AG74" s="457" t="s">
        <v>572</v>
      </c>
      <c r="AH74" s="459">
        <v>5.6250000000000001E-2</v>
      </c>
      <c r="AI74" s="458">
        <v>2033</v>
      </c>
      <c r="AJ74" s="460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1.8571607206241403E-4</v>
      </c>
      <c r="P75" s="156">
        <f ca="1"/>
        <v>5.3301064376032325E-4</v>
      </c>
      <c r="Q75" s="156">
        <f ca="1"/>
        <v>2.0938518174417053E-3</v>
      </c>
      <c r="R75" s="156">
        <f ca="1"/>
        <v>4.7036388349313007E-3</v>
      </c>
      <c r="S75" s="156">
        <f ca="1"/>
        <v>0</v>
      </c>
      <c r="T75" s="156">
        <f ca="1"/>
        <v>1.1323442411675599E-2</v>
      </c>
      <c r="U75" s="156">
        <f ca="1"/>
        <v>2.2206505968677903E-2</v>
      </c>
      <c r="V75" s="138">
        <f ca="1"/>
        <v>4.4744924432258304E-2</v>
      </c>
      <c r="W75" s="137">
        <f ca="1"/>
        <v>0</v>
      </c>
      <c r="X75" s="156">
        <f ca="1"/>
        <v>2.7856108896862075E-4</v>
      </c>
      <c r="Y75" s="156">
        <f ca="1"/>
        <v>6.9957459461300608E-4</v>
      </c>
      <c r="Z75" s="156">
        <f ca="1"/>
        <v>2.4264317671013336E-3</v>
      </c>
      <c r="AA75" s="156">
        <f ca="1"/>
        <v>5.2011626241909026E-3</v>
      </c>
      <c r="AB75" s="156">
        <f ca="1"/>
        <v>0</v>
      </c>
      <c r="AC75" s="156">
        <f ca="1"/>
        <v>1.2146996347873751E-2</v>
      </c>
      <c r="AD75" s="156">
        <f ca="1"/>
        <v>2.3371214492927339E-2</v>
      </c>
      <c r="AE75" s="138">
        <f ca="1"/>
        <v>4.6367309699209436E-2</v>
      </c>
      <c r="AG75" s="457" t="s">
        <v>573</v>
      </c>
      <c r="AH75" s="459">
        <v>1.4999999999999999E-2</v>
      </c>
      <c r="AI75" s="458">
        <v>2028</v>
      </c>
      <c r="AJ75" s="460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8.5400877933528019E-4</v>
      </c>
      <c r="P76" s="156">
        <f ca="1"/>
        <v>2.4678085111669024E-3</v>
      </c>
      <c r="Q76" s="156">
        <f ca="1"/>
        <v>7.217621148696618E-3</v>
      </c>
      <c r="R76" s="156">
        <f ca="1"/>
        <v>1.2861026956353161E-2</v>
      </c>
      <c r="S76" s="156">
        <f ca="1"/>
        <v>0</v>
      </c>
      <c r="T76" s="156">
        <f ca="1"/>
        <v>2.565542238634988E-2</v>
      </c>
      <c r="U76" s="156">
        <f ca="1"/>
        <v>3.9970794830503698E-2</v>
      </c>
      <c r="V76" s="138">
        <f ca="1"/>
        <v>6.2802552125893363E-2</v>
      </c>
      <c r="W76" s="137">
        <f ca="1"/>
        <v>0</v>
      </c>
      <c r="X76" s="156">
        <f ca="1"/>
        <v>9.4679026695865254E-4</v>
      </c>
      <c r="Y76" s="156">
        <f ca="1"/>
        <v>2.6340500225721097E-3</v>
      </c>
      <c r="Z76" s="156">
        <f ca="1"/>
        <v>7.5484934598578635E-3</v>
      </c>
      <c r="AA76" s="156">
        <f ca="1"/>
        <v>1.3354473071070849E-2</v>
      </c>
      <c r="AB76" s="156">
        <f ca="1"/>
        <v>0</v>
      </c>
      <c r="AC76" s="156">
        <f ca="1"/>
        <v>2.646703798088279E-2</v>
      </c>
      <c r="AD76" s="156">
        <f ca="1"/>
        <v>4.1113503230431281E-2</v>
      </c>
      <c r="AE76" s="138">
        <f ca="1"/>
        <v>6.4389279232373364E-2</v>
      </c>
      <c r="AG76" s="457" t="s">
        <v>574</v>
      </c>
      <c r="AH76" s="459">
        <v>1.2500000000000001E-2</v>
      </c>
      <c r="AI76" s="458">
        <v>2026</v>
      </c>
      <c r="AJ76" s="460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2.2263214711810697E-3</v>
      </c>
      <c r="P77" s="156">
        <f ca="1"/>
        <v>5.6668219087674387E-3</v>
      </c>
      <c r="Q77" s="156">
        <f ca="1"/>
        <v>1.6936624279414891E-2</v>
      </c>
      <c r="R77" s="156">
        <f ca="1"/>
        <v>3.4479897443469132E-2</v>
      </c>
      <c r="S77" s="156">
        <f ca="1"/>
        <v>0</v>
      </c>
      <c r="T77" s="156">
        <f ca="1"/>
        <v>8.7311118231438112E-2</v>
      </c>
      <c r="U77" s="156">
        <f ca="1"/>
        <v>0.14307115979825014</v>
      </c>
      <c r="V77" s="138">
        <f ca="1"/>
        <v>0.22814347632007315</v>
      </c>
      <c r="W77" s="137">
        <f ca="1"/>
        <v>0</v>
      </c>
      <c r="X77" s="156">
        <f ca="1"/>
        <v>2.3189661864259081E-3</v>
      </c>
      <c r="Y77" s="156">
        <f ca="1"/>
        <v>5.8325302957011882E-3</v>
      </c>
      <c r="Z77" s="156">
        <f ca="1"/>
        <v>1.7264257462751509E-2</v>
      </c>
      <c r="AA77" s="156">
        <f ca="1"/>
        <v>3.4962536824834967E-2</v>
      </c>
      <c r="AB77" s="156">
        <f ca="1"/>
        <v>0</v>
      </c>
      <c r="AC77" s="156">
        <f ca="1"/>
        <v>8.8098831408890521E-2</v>
      </c>
      <c r="AD77" s="156">
        <f ca="1"/>
        <v>0.14411006471366006</v>
      </c>
      <c r="AE77" s="138">
        <f ca="1"/>
        <v>0.22949142539338385</v>
      </c>
      <c r="AG77" s="457" t="s">
        <v>575</v>
      </c>
      <c r="AH77" s="459">
        <v>1.6250000000000001E-2</v>
      </c>
      <c r="AI77" s="458">
        <v>2026</v>
      </c>
      <c r="AJ77" s="460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5.5704488486529868E-4</v>
      </c>
      <c r="P78" s="156">
        <f ca="1"/>
        <v>1.9563125255107616E-3</v>
      </c>
      <c r="Q78" s="156">
        <f ca="1"/>
        <v>7.314084377800123E-3</v>
      </c>
      <c r="R78" s="156">
        <f ca="1"/>
        <v>1.4534348653272522E-2</v>
      </c>
      <c r="S78" s="156">
        <f ca="1"/>
        <v>0</v>
      </c>
      <c r="T78" s="156">
        <f ca="1"/>
        <v>3.4481786953805882E-2</v>
      </c>
      <c r="U78" s="156">
        <f ca="1"/>
        <v>5.7693783333136017E-2</v>
      </c>
      <c r="V78" s="138">
        <f ca="1"/>
        <v>0.10489140469478986</v>
      </c>
      <c r="W78" s="137">
        <f ca="1"/>
        <v>0</v>
      </c>
      <c r="X78" s="156">
        <f ca="1"/>
        <v>6.4985483622026496E-4</v>
      </c>
      <c r="Y78" s="156">
        <f ca="1"/>
        <v>2.1226392791496851E-3</v>
      </c>
      <c r="Z78" s="156">
        <f ca="1"/>
        <v>7.6449245399252685E-3</v>
      </c>
      <c r="AA78" s="156">
        <f ca="1"/>
        <v>1.502695831628198E-2</v>
      </c>
      <c r="AB78" s="156">
        <f ca="1"/>
        <v>0</v>
      </c>
      <c r="AC78" s="156">
        <f ca="1"/>
        <v>3.528605030838794E-2</v>
      </c>
      <c r="AD78" s="156">
        <f ca="1"/>
        <v>5.881740981811745E-2</v>
      </c>
      <c r="AE78" s="138">
        <f ca="1"/>
        <v>0.10643154620793982</v>
      </c>
      <c r="AG78" s="457" t="s">
        <v>576</v>
      </c>
      <c r="AH78" s="459">
        <v>1.125E-2</v>
      </c>
      <c r="AI78" s="458">
        <v>2026</v>
      </c>
      <c r="AJ78" s="460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9.282359864184464E-4</v>
      </c>
      <c r="P79" s="156">
        <f ca="1"/>
        <v>2.4838313621484698E-3</v>
      </c>
      <c r="Q79" s="156">
        <f ca="1"/>
        <v>7.6366284424509434E-3</v>
      </c>
      <c r="R79" s="156">
        <f ca="1"/>
        <v>1.7147124414695902E-2</v>
      </c>
      <c r="S79" s="156">
        <f ca="1"/>
        <v>0</v>
      </c>
      <c r="T79" s="156">
        <f ca="1"/>
        <v>4.400572584055229E-2</v>
      </c>
      <c r="U79" s="156">
        <f ca="1"/>
        <v>7.561821227172516E-2</v>
      </c>
      <c r="V79" s="138">
        <f ca="1"/>
        <v>0.12884684592901985</v>
      </c>
      <c r="W79" s="137">
        <f ca="1"/>
        <v>0</v>
      </c>
      <c r="X79" s="156">
        <f ca="1"/>
        <v>1.0210102993825076E-3</v>
      </c>
      <c r="Y79" s="156">
        <f ca="1"/>
        <v>2.6500702032997703E-3</v>
      </c>
      <c r="Z79" s="156">
        <f ca="1"/>
        <v>7.9673611077769602E-3</v>
      </c>
      <c r="AA79" s="156">
        <f ca="1"/>
        <v>1.7638428016362839E-2</v>
      </c>
      <c r="AB79" s="156">
        <f ca="1"/>
        <v>0</v>
      </c>
      <c r="AC79" s="156">
        <f ca="1"/>
        <v>4.4802055885408087E-2</v>
      </c>
      <c r="AD79" s="156">
        <f ca="1"/>
        <v>7.6720252806799283E-2</v>
      </c>
      <c r="AE79" s="138">
        <f ca="1"/>
        <v>0.13035132513346703</v>
      </c>
      <c r="AG79" s="457" t="s">
        <v>577</v>
      </c>
      <c r="AH79" s="459">
        <v>5.5300000000000002E-3</v>
      </c>
      <c r="AI79" s="458">
        <v>2029</v>
      </c>
      <c r="AJ79" s="460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4.6422559508285666E-4</v>
      </c>
      <c r="P80" s="156">
        <f ca="1"/>
        <v>8.8445226887701178E-4</v>
      </c>
      <c r="Q80" s="156">
        <f ca="1"/>
        <v>3.4841924642385891E-3</v>
      </c>
      <c r="R80" s="156">
        <f ca="1"/>
        <v>9.429219715729964E-3</v>
      </c>
      <c r="S80" s="156">
        <f ca="1"/>
        <v>0</v>
      </c>
      <c r="T80" s="156">
        <f ca="1"/>
        <v>2.3490342452262447E-2</v>
      </c>
      <c r="U80" s="156">
        <f ca="1"/>
        <v>4.2726711801842177E-2</v>
      </c>
      <c r="V80" s="138">
        <f ca="1"/>
        <v>7.8729838317248779E-2</v>
      </c>
      <c r="W80" s="137">
        <f ca="1"/>
        <v>0</v>
      </c>
      <c r="X80" s="156">
        <f ca="1"/>
        <v>5.5704436557602044E-4</v>
      </c>
      <c r="Y80" s="156">
        <f ca="1"/>
        <v>1.0509576510076002E-3</v>
      </c>
      <c r="Z80" s="156">
        <f ca="1"/>
        <v>3.8163090442263625E-3</v>
      </c>
      <c r="AA80" s="156">
        <f ca="1"/>
        <v>9.9243813051579366E-3</v>
      </c>
      <c r="AB80" s="156">
        <f ca="1"/>
        <v>0</v>
      </c>
      <c r="AC80" s="156">
        <f ca="1"/>
        <v>2.4303761528519319E-2</v>
      </c>
      <c r="AD80" s="156">
        <f ca="1"/>
        <v>4.3868757518143897E-2</v>
      </c>
      <c r="AE80" s="138">
        <f ca="1"/>
        <v>8.0290780821794749E-2</v>
      </c>
      <c r="AG80" s="457" t="s">
        <v>578</v>
      </c>
      <c r="AH80" s="459">
        <v>8.7500000000000008E-3</v>
      </c>
      <c r="AI80" s="458">
        <v>2025</v>
      </c>
      <c r="AJ80" s="460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9.282359864184464E-4</v>
      </c>
      <c r="P81" s="156">
        <f ca="1"/>
        <v>1.7681220702605582E-3</v>
      </c>
      <c r="Q81" s="156">
        <f ca="1"/>
        <v>6.2564521341071933E-3</v>
      </c>
      <c r="R81" s="156">
        <f ca="1"/>
        <v>1.5114573663229103E-2</v>
      </c>
      <c r="S81" s="156">
        <f ca="1"/>
        <v>0</v>
      </c>
      <c r="T81" s="156">
        <f ca="1"/>
        <v>3.7162322937927872E-2</v>
      </c>
      <c r="U81" s="156">
        <f ca="1"/>
        <v>6.5138841958272575E-2</v>
      </c>
      <c r="V81" s="138">
        <f ca="1"/>
        <v>0.11854781618701837</v>
      </c>
      <c r="W81" s="137">
        <f ca="1"/>
        <v>0</v>
      </c>
      <c r="X81" s="156">
        <f ca="1"/>
        <v>1.0210102993825076E-3</v>
      </c>
      <c r="Y81" s="156">
        <f ca="1"/>
        <v>1.9344801863577787E-3</v>
      </c>
      <c r="Z81" s="156">
        <f ca="1"/>
        <v>6.5876447815456096E-3</v>
      </c>
      <c r="AA81" s="156">
        <f ca="1"/>
        <v>1.5606893286232881E-2</v>
      </c>
      <c r="AB81" s="156">
        <f ca="1"/>
        <v>0</v>
      </c>
      <c r="AC81" s="156">
        <f ca="1"/>
        <v>3.7964353442998644E-2</v>
      </c>
      <c r="AD81" s="156">
        <f ca="1"/>
        <v>6.6253914155387728E-2</v>
      </c>
      <c r="AE81" s="138">
        <f ca="1"/>
        <v>0.12007026149230537</v>
      </c>
      <c r="AG81" s="457" t="s">
        <v>579</v>
      </c>
      <c r="AH81" s="459">
        <v>2.2499999999999999E-2</v>
      </c>
      <c r="AI81" s="458">
        <v>2026</v>
      </c>
      <c r="AJ81" s="460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3.7139769715544002E-4</v>
      </c>
      <c r="P82" s="156">
        <f ca="1"/>
        <v>1.6029205889476206E-3</v>
      </c>
      <c r="Q82" s="156">
        <f ca="1"/>
        <v>4.5179644233264149E-3</v>
      </c>
      <c r="R82" s="156">
        <f ca="1"/>
        <v>9.3568816912088515E-3</v>
      </c>
      <c r="S82" s="156">
        <f ca="1"/>
        <v>0</v>
      </c>
      <c r="T82" s="156">
        <f ca="1"/>
        <v>2.4312778599523299E-2</v>
      </c>
      <c r="U82" s="156">
        <f ca="1"/>
        <v>4.2557788871790292E-2</v>
      </c>
      <c r="V82" s="138">
        <f ca="1"/>
        <v>7.4716330862104163E-2</v>
      </c>
      <c r="W82" s="137">
        <f ca="1"/>
        <v>0</v>
      </c>
      <c r="X82" s="156">
        <f ca="1"/>
        <v>4.6422525135358939E-4</v>
      </c>
      <c r="Y82" s="156">
        <f ca="1"/>
        <v>1.7693062363334233E-3</v>
      </c>
      <c r="Z82" s="156">
        <f ca="1"/>
        <v>4.8497364701065582E-3</v>
      </c>
      <c r="AA82" s="156">
        <f ca="1"/>
        <v>9.8520794406221635E-3</v>
      </c>
      <c r="AB82" s="156">
        <f ca="1"/>
        <v>0</v>
      </c>
      <c r="AC82" s="156">
        <f ca="1"/>
        <v>2.5125512597853894E-2</v>
      </c>
      <c r="AD82" s="156">
        <f ca="1"/>
        <v>4.3699706379624614E-2</v>
      </c>
      <c r="AE82" s="138">
        <f ca="1"/>
        <v>7.628469219292211E-2</v>
      </c>
      <c r="AG82" s="457" t="s">
        <v>580</v>
      </c>
      <c r="AH82" s="459">
        <v>1.7500000000000002E-2</v>
      </c>
      <c r="AI82" s="458">
        <v>2025</v>
      </c>
      <c r="AJ82" s="460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5.5704488486529868E-4</v>
      </c>
      <c r="P83" s="156">
        <f ca="1"/>
        <v>2.3142328993116523E-3</v>
      </c>
      <c r="Q83" s="156">
        <f ca="1"/>
        <v>6.5984197314430393E-3</v>
      </c>
      <c r="R83" s="156">
        <f ca="1"/>
        <v>1.2958136986799373E-2</v>
      </c>
      <c r="S83" s="156">
        <f ca="1"/>
        <v>0</v>
      </c>
      <c r="T83" s="156">
        <f ca="1"/>
        <v>3.4625593362853535E-2</v>
      </c>
      <c r="U83" s="156">
        <f ca="1"/>
        <v>6.1707793937656907E-2</v>
      </c>
      <c r="V83" s="138">
        <f ca="1"/>
        <v>0.10636474337206625</v>
      </c>
      <c r="W83" s="137">
        <f ca="1"/>
        <v>0</v>
      </c>
      <c r="X83" s="156">
        <f ca="1"/>
        <v>6.4985483622026496E-4</v>
      </c>
      <c r="Y83" s="156">
        <f ca="1"/>
        <v>2.4805000045189374E-3</v>
      </c>
      <c r="Z83" s="156">
        <f ca="1"/>
        <v>6.9294984086775147E-3</v>
      </c>
      <c r="AA83" s="156">
        <f ca="1"/>
        <v>1.3451534558644451E-2</v>
      </c>
      <c r="AB83" s="156">
        <f ca="1"/>
        <v>0</v>
      </c>
      <c r="AC83" s="156">
        <f ca="1"/>
        <v>3.5429736928698996E-2</v>
      </c>
      <c r="AD83" s="156">
        <f ca="1"/>
        <v>6.2827162284960325E-2</v>
      </c>
      <c r="AE83" s="138">
        <f ca="1"/>
        <v>0.10790241571386483</v>
      </c>
      <c r="AG83" s="457" t="s">
        <v>581</v>
      </c>
      <c r="AH83" s="459">
        <v>1.25E-3</v>
      </c>
      <c r="AI83" s="458">
        <v>2026</v>
      </c>
      <c r="AJ83" s="460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2.7856118988234257E-4</v>
      </c>
      <c r="P84" s="156">
        <f ca="1"/>
        <v>1.6052151010047533E-3</v>
      </c>
      <c r="Q84" s="156">
        <f ca="1"/>
        <v>5.2240803250656054E-3</v>
      </c>
      <c r="R84" s="156">
        <f ca="1"/>
        <v>1.1459645889487224E-2</v>
      </c>
      <c r="S84" s="156">
        <f ca="1"/>
        <v>0</v>
      </c>
      <c r="T84" s="156">
        <f ca="1"/>
        <v>2.6810497662199562E-2</v>
      </c>
      <c r="U84" s="156">
        <f ca="1"/>
        <v>4.857831295936188E-2</v>
      </c>
      <c r="V84" s="138">
        <f ca="1"/>
        <v>8.8651428995173753E-2</v>
      </c>
      <c r="W84" s="137">
        <f ca="1"/>
        <v>0</v>
      </c>
      <c r="X84" s="156">
        <f ca="1"/>
        <v>3.7139749276848821E-4</v>
      </c>
      <c r="Y84" s="156">
        <f ca="1"/>
        <v>1.7716003659955515E-3</v>
      </c>
      <c r="Z84" s="156">
        <f ca="1"/>
        <v>5.5556170391188875E-3</v>
      </c>
      <c r="AA84" s="156">
        <f ca="1"/>
        <v>1.1953792519605932E-2</v>
      </c>
      <c r="AB84" s="156">
        <f ca="1"/>
        <v>0</v>
      </c>
      <c r="AC84" s="156">
        <f ca="1"/>
        <v>2.7621151094999297E-2</v>
      </c>
      <c r="AD84" s="156">
        <f ca="1"/>
        <v>4.971306679685028E-2</v>
      </c>
      <c r="AE84" s="138">
        <f ca="1"/>
        <v>9.0169078221219556E-2</v>
      </c>
      <c r="AG84" s="457" t="s">
        <v>582</v>
      </c>
      <c r="AH84" s="459">
        <v>5.6250000000000001E-2</v>
      </c>
      <c r="AI84" s="458">
        <v>2027</v>
      </c>
      <c r="AJ84" s="460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9.282359864184464E-4</v>
      </c>
      <c r="P85" s="156">
        <f ca="1"/>
        <v>1.947071909050635E-3</v>
      </c>
      <c r="Q85" s="156">
        <f ca="1"/>
        <v>6.6016502695143142E-3</v>
      </c>
      <c r="R85" s="156">
        <f ca="1"/>
        <v>1.2961417922661811E-2</v>
      </c>
      <c r="S85" s="156">
        <f ca="1"/>
        <v>0</v>
      </c>
      <c r="T85" s="156">
        <f ca="1"/>
        <v>3.462902579154592E-2</v>
      </c>
      <c r="U85" s="156">
        <f ca="1"/>
        <v>6.0422024131402186E-2</v>
      </c>
      <c r="V85" s="138">
        <f ca="1"/>
        <v>9.522011095842442E-2</v>
      </c>
      <c r="W85" s="137">
        <f ca="1"/>
        <v>0</v>
      </c>
      <c r="X85" s="156">
        <f ca="1"/>
        <v>1.0210102993825076E-3</v>
      </c>
      <c r="Y85" s="156">
        <f ca="1"/>
        <v>2.1134002026537146E-3</v>
      </c>
      <c r="Z85" s="156">
        <f ca="1"/>
        <v>6.9327278701051265E-3</v>
      </c>
      <c r="AA85" s="156">
        <f ca="1"/>
        <v>1.3454813854424263E-2</v>
      </c>
      <c r="AB85" s="156">
        <f ca="1"/>
        <v>0</v>
      </c>
      <c r="AC85" s="156">
        <f ca="1"/>
        <v>3.54331664982247E-2</v>
      </c>
      <c r="AD85" s="156">
        <f ca="1"/>
        <v>6.1542982918525668E-2</v>
      </c>
      <c r="AE85" s="138">
        <f ca="1"/>
        <v>9.6751509539094394E-2</v>
      </c>
      <c r="AG85" s="457" t="s">
        <v>583</v>
      </c>
      <c r="AH85" s="459">
        <v>7.4999999999999997E-3</v>
      </c>
      <c r="AI85" s="458">
        <v>2026</v>
      </c>
      <c r="AJ85" s="460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1.6331199592025669E-3</v>
      </c>
      <c r="P86" s="156">
        <f ca="1"/>
        <v>3.6996985921504688E-3</v>
      </c>
      <c r="Q86" s="156">
        <f ca="1"/>
        <v>9.4338829404777558E-3</v>
      </c>
      <c r="R86" s="156">
        <f ca="1"/>
        <v>1.5928546766083684E-2</v>
      </c>
      <c r="S86" s="156">
        <f ca="1"/>
        <v>0</v>
      </c>
      <c r="T86" s="156">
        <f ca="1"/>
        <v>3.1482580220002943E-2</v>
      </c>
      <c r="U86" s="156">
        <f ca="1"/>
        <v>4.7967757732232053E-2</v>
      </c>
      <c r="V86" s="138">
        <f ca="1"/>
        <v>7.3917541470447823E-2</v>
      </c>
      <c r="W86" s="137">
        <f ca="1"/>
        <v>0</v>
      </c>
      <c r="X86" s="156">
        <f ca="1"/>
        <v>1.7258248936152798E-3</v>
      </c>
      <c r="Y86" s="156">
        <f ca="1"/>
        <v>3.8657348056460039E-3</v>
      </c>
      <c r="Z86" s="156">
        <f ca="1"/>
        <v>9.7640166208406987E-3</v>
      </c>
      <c r="AA86" s="156">
        <f ca="1"/>
        <v>1.6420459504257634E-2</v>
      </c>
      <c r="AB86" s="156">
        <f ca="1"/>
        <v>0</v>
      </c>
      <c r="AC86" s="156">
        <f ca="1"/>
        <v>3.2289341872450139E-2</v>
      </c>
      <c r="AD86" s="156">
        <f ca="1"/>
        <v>4.9100572415172405E-2</v>
      </c>
      <c r="AE86" s="138">
        <f ca="1"/>
        <v>7.5459726723317022E-2</v>
      </c>
      <c r="AG86" s="457" t="s">
        <v>584</v>
      </c>
      <c r="AH86" s="459">
        <v>1.8749999999999999E-2</v>
      </c>
      <c r="AI86" s="458">
        <v>2025</v>
      </c>
      <c r="AJ86" s="460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1.0766738850542801E-3</v>
      </c>
      <c r="P87" s="156">
        <f ca="1"/>
        <v>2.67685998618028E-3</v>
      </c>
      <c r="Q87" s="156">
        <f ca="1"/>
        <v>7.0285745260185717E-3</v>
      </c>
      <c r="R87" s="156">
        <f ca="1"/>
        <v>1.2270246969556364E-2</v>
      </c>
      <c r="S87" s="156">
        <f ca="1"/>
        <v>0</v>
      </c>
      <c r="T87" s="156">
        <f ca="1"/>
        <v>2.4799018944968609E-2</v>
      </c>
      <c r="U87" s="156">
        <f ca="1"/>
        <v>3.932177645268109E-2</v>
      </c>
      <c r="V87" s="138">
        <f ca="1"/>
        <v>6.3039512913285134E-2</v>
      </c>
      <c r="W87" s="137">
        <f ca="1"/>
        <v>0</v>
      </c>
      <c r="X87" s="156">
        <f ca="1"/>
        <v>1.1694337767953478E-3</v>
      </c>
      <c r="Y87" s="156">
        <f ca="1"/>
        <v>2.8430666585680386E-3</v>
      </c>
      <c r="Z87" s="156">
        <f ca="1"/>
        <v>7.3595098422458705E-3</v>
      </c>
      <c r="AA87" s="156">
        <f ca="1"/>
        <v>1.2763988400412596E-2</v>
      </c>
      <c r="AB87" s="156">
        <f ca="1"/>
        <v>0</v>
      </c>
      <c r="AC87" s="156">
        <f ca="1"/>
        <v>2.5611347911759563E-2</v>
      </c>
      <c r="AD87" s="156">
        <f ca="1"/>
        <v>4.0465320729431986E-2</v>
      </c>
      <c r="AE87" s="138">
        <f ca="1"/>
        <v>6.4626157157566033E-2</v>
      </c>
      <c r="AG87" s="457" t="s">
        <v>585</v>
      </c>
      <c r="AH87" s="459">
        <v>3.8830000000000003E-2</v>
      </c>
      <c r="AI87" s="458">
        <v>2028</v>
      </c>
      <c r="AJ87" s="460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6.4985556770325026E-4</v>
      </c>
      <c r="P88" s="156">
        <f ca="1"/>
        <v>1.7750276155927835E-3</v>
      </c>
      <c r="Q88" s="156">
        <f ca="1"/>
        <v>5.5602088317014964E-3</v>
      </c>
      <c r="R88" s="156">
        <f ca="1"/>
        <v>1.089390096424947E-2</v>
      </c>
      <c r="S88" s="156">
        <f ca="1"/>
        <v>0</v>
      </c>
      <c r="T88" s="156">
        <f ca="1"/>
        <v>2.860594281618134E-2</v>
      </c>
      <c r="U88" s="156">
        <f ca="1"/>
        <v>4.8394908753408905E-2</v>
      </c>
      <c r="V88" s="138">
        <f ca="1"/>
        <v>8.2731806048344847E-2</v>
      </c>
      <c r="W88" s="137">
        <f ca="1"/>
        <v>0</v>
      </c>
      <c r="X88" s="156">
        <f ca="1"/>
        <v>7.4265666409367714E-4</v>
      </c>
      <c r="Y88" s="156">
        <f ca="1"/>
        <v>1.9413845808663455E-3</v>
      </c>
      <c r="Z88" s="156">
        <f ca="1"/>
        <v>5.8916335215749571E-3</v>
      </c>
      <c r="AA88" s="156">
        <f ca="1"/>
        <v>1.1388330396113533E-2</v>
      </c>
      <c r="AB88" s="156">
        <f ca="1"/>
        <v>0</v>
      </c>
      <c r="AC88" s="156">
        <f ca="1"/>
        <v>2.9415100667909311E-2</v>
      </c>
      <c r="AD88" s="156">
        <f ca="1"/>
        <v>4.9529958876596059E-2</v>
      </c>
      <c r="AE88" s="138">
        <f ca="1"/>
        <v>8.4284864129645309E-2</v>
      </c>
      <c r="AG88" s="457" t="s">
        <v>586</v>
      </c>
      <c r="AH88" s="459">
        <v>1.6250000000000001E-2</v>
      </c>
      <c r="AI88" s="458">
        <v>2027</v>
      </c>
      <c r="AJ88" s="460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1.5774892768244397E-3</v>
      </c>
      <c r="P89" s="156">
        <f ca="1"/>
        <v>3.1827339657645171E-3</v>
      </c>
      <c r="Q89" s="156">
        <f ca="1"/>
        <v>9.3490476759091612E-3</v>
      </c>
      <c r="R89" s="156">
        <f ca="1"/>
        <v>2.0202158102575418E-2</v>
      </c>
      <c r="S89" s="156">
        <f ca="1"/>
        <v>0</v>
      </c>
      <c r="T89" s="156">
        <f ca="1"/>
        <v>5.1577808704661998E-2</v>
      </c>
      <c r="U89" s="156">
        <f ca="1"/>
        <v>8.5782426857156313E-2</v>
      </c>
      <c r="V89" s="138">
        <f ca="1"/>
        <v>0.14618085824488314</v>
      </c>
      <c r="W89" s="137">
        <f ca="1"/>
        <v>0</v>
      </c>
      <c r="X89" s="156">
        <f ca="1"/>
        <v>1.6701997708021832E-3</v>
      </c>
      <c r="Y89" s="156">
        <f ca="1"/>
        <v>3.3488563328510912E-3</v>
      </c>
      <c r="Z89" s="156">
        <f ca="1"/>
        <v>9.6792096299513908E-3</v>
      </c>
      <c r="AA89" s="156">
        <f ca="1"/>
        <v>2.0691934569185055E-2</v>
      </c>
      <c r="AB89" s="156">
        <f ca="1"/>
        <v>0</v>
      </c>
      <c r="AC89" s="156">
        <f ca="1"/>
        <v>5.2367831308949508E-2</v>
      </c>
      <c r="AD89" s="156">
        <f ca="1"/>
        <v>8.6871325983927217E-2</v>
      </c>
      <c r="AE89" s="138">
        <f ca="1"/>
        <v>0.14765964942627918</v>
      </c>
      <c r="AG89" s="457" t="s">
        <v>587</v>
      </c>
      <c r="AH89" s="459"/>
      <c r="AI89" s="458"/>
      <c r="AJ89" s="460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3.7139769715544002E-4</v>
      </c>
      <c r="P90" s="156">
        <f ca="1"/>
        <v>1.2448472000856636E-3</v>
      </c>
      <c r="Q90" s="156">
        <f ca="1"/>
        <v>5.2342796660783675E-3</v>
      </c>
      <c r="R90" s="156">
        <f ca="1"/>
        <v>1.1470064997166185E-2</v>
      </c>
      <c r="S90" s="156">
        <f ca="1"/>
        <v>0</v>
      </c>
      <c r="T90" s="156">
        <f ca="1"/>
        <v>2.9504627629433622E-2</v>
      </c>
      <c r="U90" s="156">
        <f ca="1"/>
        <v>5.0896541297884568E-2</v>
      </c>
      <c r="V90" s="138">
        <f ca="1"/>
        <v>9.56028755330528E-2</v>
      </c>
      <c r="W90" s="137">
        <f ca="1"/>
        <v>0</v>
      </c>
      <c r="X90" s="156">
        <f ca="1"/>
        <v>4.6422525135358939E-4</v>
      </c>
      <c r="Y90" s="156">
        <f ca="1"/>
        <v>1.4112925213842775E-3</v>
      </c>
      <c r="Z90" s="156">
        <f ca="1"/>
        <v>5.5658129809121881E-3</v>
      </c>
      <c r="AA90" s="156">
        <f ca="1"/>
        <v>1.1964206419036727E-2</v>
      </c>
      <c r="AB90" s="156">
        <f ca="1"/>
        <v>0</v>
      </c>
      <c r="AC90" s="156">
        <f ca="1"/>
        <v>3.0313036889088929E-2</v>
      </c>
      <c r="AD90" s="156">
        <f ca="1"/>
        <v>5.2028921793025207E-2</v>
      </c>
      <c r="AE90" s="138">
        <f ca="1"/>
        <v>9.7158528542814815E-2</v>
      </c>
      <c r="AG90" s="457" t="s">
        <v>588</v>
      </c>
      <c r="AH90" s="459">
        <v>1.125E-2</v>
      </c>
      <c r="AI90" s="458">
        <v>2026</v>
      </c>
      <c r="AJ90" s="460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1.0210122534125565E-3</v>
      </c>
      <c r="P91" s="156">
        <f ca="1"/>
        <v>1.9447621984642893E-3</v>
      </c>
      <c r="Q91" s="156">
        <f ca="1"/>
        <v>5.5445345441496041E-3</v>
      </c>
      <c r="R91" s="156">
        <f ca="1"/>
        <v>1.1943975750896785E-2</v>
      </c>
      <c r="S91" s="156">
        <f ca="1"/>
        <v>0</v>
      </c>
      <c r="T91" s="156">
        <f ca="1"/>
        <v>3.2083518963962443E-2</v>
      </c>
      <c r="U91" s="156">
        <f ca="1"/>
        <v>5.1802474181976033E-2</v>
      </c>
      <c r="V91" s="138">
        <f ca="1"/>
        <v>9.3122305813903017E-2</v>
      </c>
      <c r="W91" s="137">
        <f ca="1"/>
        <v>0</v>
      </c>
      <c r="X91" s="156">
        <f ca="1"/>
        <v>1.1137775643985659E-3</v>
      </c>
      <c r="Y91" s="156">
        <f ca="1"/>
        <v>2.1110908769874648E-3</v>
      </c>
      <c r="Z91" s="156">
        <f ca="1"/>
        <v>5.8759644579144954E-3</v>
      </c>
      <c r="AA91" s="156">
        <f ca="1"/>
        <v>1.2437880276584101E-2</v>
      </c>
      <c r="AB91" s="156">
        <f ca="1"/>
        <v>0</v>
      </c>
      <c r="AC91" s="156">
        <f ca="1"/>
        <v>3.288978004272658E-2</v>
      </c>
      <c r="AD91" s="156">
        <f ca="1"/>
        <v>5.2933579115321705E-2</v>
      </c>
      <c r="AE91" s="138">
        <f ca="1"/>
        <v>9.4678746559874294E-2</v>
      </c>
      <c r="AG91" s="457" t="s">
        <v>589</v>
      </c>
      <c r="AH91" s="459">
        <v>5.7500000000000002E-2</v>
      </c>
      <c r="AI91" s="458">
        <v>2028</v>
      </c>
      <c r="AJ91" s="460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5.5704488486529868E-4</v>
      </c>
      <c r="P92" s="156">
        <f ca="1"/>
        <v>1.2402915881148946E-3</v>
      </c>
      <c r="Q92" s="156">
        <f ca="1"/>
        <v>4.1737617200827692E-3</v>
      </c>
      <c r="R92" s="156">
        <f ca="1"/>
        <v>8.8475170213948573E-3</v>
      </c>
      <c r="S92" s="156">
        <f ca="1"/>
        <v>0</v>
      </c>
      <c r="T92" s="156">
        <f ca="1"/>
        <v>2.3480327461436024E-2</v>
      </c>
      <c r="U92" s="156">
        <f ca="1"/>
        <v>4.2716370452553165E-2</v>
      </c>
      <c r="V92" s="138">
        <f ca="1"/>
        <v>8.0639713888311593E-2</v>
      </c>
      <c r="W92" s="137">
        <f ca="1"/>
        <v>0</v>
      </c>
      <c r="X92" s="156">
        <f ca="1"/>
        <v>6.4985483622026496E-4</v>
      </c>
      <c r="Y92" s="156">
        <f ca="1"/>
        <v>1.4067376686272004E-3</v>
      </c>
      <c r="Z92" s="156">
        <f ca="1"/>
        <v>4.5056484819939735E-3</v>
      </c>
      <c r="AA92" s="156">
        <f ca="1"/>
        <v>9.3429693894659938E-3</v>
      </c>
      <c r="AB92" s="156">
        <f ca="1"/>
        <v>0</v>
      </c>
      <c r="AC92" s="156">
        <f ca="1"/>
        <v>2.4293754880027052E-2</v>
      </c>
      <c r="AD92" s="156">
        <f ca="1"/>
        <v>4.3858372078696473E-2</v>
      </c>
      <c r="AE92" s="138">
        <f ca="1"/>
        <v>8.2196533862473165E-2</v>
      </c>
      <c r="AG92" s="457" t="s">
        <v>590</v>
      </c>
      <c r="AH92" s="459">
        <v>5.0000000000000001E-3</v>
      </c>
      <c r="AI92" s="458">
        <v>2027</v>
      </c>
      <c r="AJ92" s="460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8.3545111727989507E-4</v>
      </c>
      <c r="P93" s="156">
        <f ca="1"/>
        <v>4.2744710640684191E-3</v>
      </c>
      <c r="Q93" s="156">
        <f ca="1"/>
        <v>1.2133481224721687E-2</v>
      </c>
      <c r="R93" s="156">
        <f ca="1"/>
        <v>2.3219643857508743E-2</v>
      </c>
      <c r="S93" s="156">
        <f ca="1"/>
        <v>0</v>
      </c>
      <c r="T93" s="156">
        <f ca="1"/>
        <v>5.819525766850786E-2</v>
      </c>
      <c r="U93" s="156">
        <f ca="1"/>
        <v>9.71889837237494E-2</v>
      </c>
      <c r="V93" s="138">
        <f ca="1"/>
        <v>0.16494672385125853</v>
      </c>
      <c r="W93" s="137">
        <f ca="1"/>
        <v>0</v>
      </c>
      <c r="X93" s="156">
        <f ca="1"/>
        <v>9.2823439486788839E-4</v>
      </c>
      <c r="Y93" s="156">
        <f ca="1"/>
        <v>4.4404114901461789E-3</v>
      </c>
      <c r="Z93" s="156">
        <f ca="1"/>
        <v>1.2462715188926832E-2</v>
      </c>
      <c r="AA93" s="156">
        <f ca="1"/>
        <v>2.3707911958365302E-2</v>
      </c>
      <c r="AB93" s="156">
        <f ca="1"/>
        <v>0</v>
      </c>
      <c r="AC93" s="156">
        <f ca="1"/>
        <v>5.8979768029090218E-2</v>
      </c>
      <c r="AD93" s="156">
        <f ca="1"/>
        <v>9.8241649068535608E-2</v>
      </c>
      <c r="AE93" s="138">
        <f ca="1"/>
        <v>0.16640172143575538</v>
      </c>
      <c r="AG93" s="457" t="s">
        <v>591</v>
      </c>
      <c r="AH93" s="459">
        <v>1.375E-2</v>
      </c>
      <c r="AI93" s="458">
        <v>2026</v>
      </c>
      <c r="AJ93" s="460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6.4985556770325026E-4</v>
      </c>
      <c r="P94" s="156">
        <f ca="1"/>
        <v>1.7750276155927835E-3</v>
      </c>
      <c r="Q94" s="156">
        <f ca="1"/>
        <v>6.9666377683981207E-3</v>
      </c>
      <c r="R94" s="156">
        <f ca="1"/>
        <v>1.6151905537440725E-2</v>
      </c>
      <c r="S94" s="156">
        <f ca="1"/>
        <v>0</v>
      </c>
      <c r="T94" s="156">
        <f ca="1"/>
        <v>4.1497927668512569E-2</v>
      </c>
      <c r="U94" s="156">
        <f ca="1"/>
        <v>7.0952891280073538E-2</v>
      </c>
      <c r="V94" s="138">
        <f ca="1"/>
        <v>0.12447548243139872</v>
      </c>
      <c r="W94" s="137">
        <f ca="1"/>
        <v>0</v>
      </c>
      <c r="X94" s="156">
        <f ca="1"/>
        <v>7.4265666409367714E-4</v>
      </c>
      <c r="Y94" s="156">
        <f ca="1"/>
        <v>1.9413845808663455E-3</v>
      </c>
      <c r="Z94" s="156">
        <f ca="1"/>
        <v>7.2975937267339974E-3</v>
      </c>
      <c r="AA94" s="156">
        <f ca="1"/>
        <v>1.6643706624168697E-2</v>
      </c>
      <c r="AB94" s="156">
        <f ca="1"/>
        <v>0</v>
      </c>
      <c r="AC94" s="156">
        <f ca="1"/>
        <v>4.2296346674662311E-2</v>
      </c>
      <c r="AD94" s="156">
        <f ca="1"/>
        <v>7.2061053650780305E-2</v>
      </c>
      <c r="AE94" s="138">
        <f ca="1"/>
        <v>0.12598764859944311</v>
      </c>
      <c r="AG94" s="457" t="s">
        <v>592</v>
      </c>
      <c r="AH94" s="459">
        <v>0.01</v>
      </c>
      <c r="AI94" s="458">
        <v>2025</v>
      </c>
      <c r="AJ94" s="460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4.6422559508285666E-4</v>
      </c>
      <c r="P95" s="156">
        <f ca="1"/>
        <v>1.0635183000881065E-3</v>
      </c>
      <c r="Q95" s="156">
        <f ca="1"/>
        <v>4.8862914870396734E-3</v>
      </c>
      <c r="R95" s="156">
        <f ca="1"/>
        <v>9.8905862178273463E-3</v>
      </c>
      <c r="S95" s="156">
        <f ca="1"/>
        <v>0</v>
      </c>
      <c r="T95" s="156">
        <f ca="1"/>
        <v>2.606565746763656E-2</v>
      </c>
      <c r="U95" s="156">
        <f ca="1"/>
        <v>4.6229660568044117E-2</v>
      </c>
      <c r="V95" s="138">
        <f ca="1"/>
        <v>8.7336261950499705E-2</v>
      </c>
      <c r="W95" s="137">
        <f ca="1"/>
        <v>0</v>
      </c>
      <c r="X95" s="156">
        <f ca="1"/>
        <v>5.5704436557602044E-4</v>
      </c>
      <c r="Y95" s="156">
        <f ca="1"/>
        <v>1.2299938403631527E-3</v>
      </c>
      <c r="Z95" s="156">
        <f ca="1"/>
        <v>5.2179407785937215E-3</v>
      </c>
      <c r="AA95" s="156">
        <f ca="1"/>
        <v>1.0385517181652704E-2</v>
      </c>
      <c r="AB95" s="156">
        <f ca="1"/>
        <v>0</v>
      </c>
      <c r="AC95" s="156">
        <f ca="1"/>
        <v>2.6876931342047494E-2</v>
      </c>
      <c r="AD95" s="156">
        <f ca="1"/>
        <v>4.7367545199955896E-2</v>
      </c>
      <c r="AE95" s="138">
        <f ca="1"/>
        <v>8.8904065211574901E-2</v>
      </c>
      <c r="AG95" s="457" t="s">
        <v>593</v>
      </c>
      <c r="AH95" s="459">
        <v>1.375E-2</v>
      </c>
      <c r="AI95" s="458">
        <v>2025</v>
      </c>
      <c r="AJ95" s="460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8.3545111727989507E-4</v>
      </c>
      <c r="P96" s="156">
        <f ca="1"/>
        <v>1.5914506724118427E-3</v>
      </c>
      <c r="Q96" s="156">
        <f ca="1"/>
        <v>6.265148755624006E-3</v>
      </c>
      <c r="R96" s="156">
        <f ca="1"/>
        <v>1.1928113712413979E-2</v>
      </c>
      <c r="S96" s="156">
        <f ca="1"/>
        <v>0</v>
      </c>
      <c r="T96" s="156">
        <f ca="1"/>
        <v>3.2067035598424831E-2</v>
      </c>
      <c r="U96" s="156">
        <f ca="1"/>
        <v>5.1785860023816022E-2</v>
      </c>
      <c r="V96" s="138">
        <f ca="1"/>
        <v>9.1226087292443192E-2</v>
      </c>
      <c r="W96" s="137">
        <f ca="1"/>
        <v>0</v>
      </c>
      <c r="X96" s="156">
        <f ca="1"/>
        <v>9.2823439486788839E-4</v>
      </c>
      <c r="Y96" s="156">
        <f ca="1"/>
        <v>1.7578382312913865E-3</v>
      </c>
      <c r="Z96" s="156">
        <f ca="1"/>
        <v>6.5963385046622358E-3</v>
      </c>
      <c r="AA96" s="156">
        <f ca="1"/>
        <v>1.2422026167159816E-2</v>
      </c>
      <c r="AB96" s="156">
        <f ca="1"/>
        <v>0</v>
      </c>
      <c r="AC96" s="156">
        <f ca="1"/>
        <v>3.2873310407588674E-2</v>
      </c>
      <c r="AD96" s="156">
        <f ca="1"/>
        <v>5.2916918612793906E-2</v>
      </c>
      <c r="AE96" s="138">
        <f ca="1"/>
        <v>9.2739448995275531E-2</v>
      </c>
      <c r="AG96" s="457" t="s">
        <v>594</v>
      </c>
      <c r="AH96" s="459">
        <v>8.7500000000000008E-3</v>
      </c>
      <c r="AI96" s="458">
        <v>2027</v>
      </c>
      <c r="AJ96" s="460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6.4985556770325026E-4</v>
      </c>
      <c r="P97" s="156">
        <f ca="1"/>
        <v>3.0275338176835032E-3</v>
      </c>
      <c r="Q97" s="156">
        <f ca="1"/>
        <v>9.3798999431037311E-3</v>
      </c>
      <c r="R97" s="156">
        <f ca="1"/>
        <v>1.8110435656792712E-2</v>
      </c>
      <c r="S97" s="156">
        <f ca="1"/>
        <v>0</v>
      </c>
      <c r="T97" s="156">
        <f ca="1"/>
        <v>4.1157244177972729E-2</v>
      </c>
      <c r="U97" s="156">
        <f ca="1"/>
        <v>6.8043218752788959E-2</v>
      </c>
      <c r="V97" s="138">
        <f ca="1"/>
        <v>0.1151427810499247</v>
      </c>
      <c r="W97" s="137">
        <f ca="1"/>
        <v>0</v>
      </c>
      <c r="X97" s="156">
        <f ca="1"/>
        <v>7.4265666409367714E-4</v>
      </c>
      <c r="Y97" s="156">
        <f ca="1"/>
        <v>3.193682049302482E-3</v>
      </c>
      <c r="Z97" s="156">
        <f ca="1"/>
        <v>9.7100516147738958E-3</v>
      </c>
      <c r="AA97" s="156">
        <f ca="1"/>
        <v>1.8601257723228404E-2</v>
      </c>
      <c r="AB97" s="156">
        <f ca="1"/>
        <v>0</v>
      </c>
      <c r="AC97" s="156">
        <f ca="1"/>
        <v>4.1955946968809887E-2</v>
      </c>
      <c r="AD97" s="156">
        <f ca="1"/>
        <v>6.9153744344309542E-2</v>
      </c>
      <c r="AE97" s="138">
        <f ca="1"/>
        <v>0.11666432768713275</v>
      </c>
      <c r="AG97" s="457" t="s">
        <v>595</v>
      </c>
      <c r="AH97" s="459"/>
      <c r="AI97" s="458"/>
      <c r="AJ97" s="460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2.7856118988234257E-4</v>
      </c>
      <c r="P98" s="156">
        <f ca="1"/>
        <v>8.8897533929943595E-4</v>
      </c>
      <c r="Q98" s="156">
        <f ca="1"/>
        <v>3.1365436147927639E-3</v>
      </c>
      <c r="R98" s="156">
        <f ca="1"/>
        <v>6.7795414453423186E-3</v>
      </c>
      <c r="S98" s="156">
        <f ca="1"/>
        <v>0</v>
      </c>
      <c r="T98" s="156">
        <f ca="1"/>
        <v>1.8316320211929193E-2</v>
      </c>
      <c r="U98" s="156">
        <f ca="1"/>
        <v>3.3064888540053183E-2</v>
      </c>
      <c r="V98" s="138">
        <f ca="1"/>
        <v>5.9729278874139258E-2</v>
      </c>
      <c r="W98" s="137">
        <f ca="1"/>
        <v>0</v>
      </c>
      <c r="X98" s="156">
        <f ca="1"/>
        <v>3.7139749276848821E-4</v>
      </c>
      <c r="Y98" s="156">
        <f ca="1"/>
        <v>1.0554799676462112E-3</v>
      </c>
      <c r="Z98" s="156">
        <f ca="1"/>
        <v>3.4687760584427574E-3</v>
      </c>
      <c r="AA98" s="156">
        <f ca="1"/>
        <v>7.276027542765684E-3</v>
      </c>
      <c r="AB98" s="156">
        <f ca="1"/>
        <v>0</v>
      </c>
      <c r="AC98" s="156">
        <f ca="1"/>
        <v>1.9134049177342294E-2</v>
      </c>
      <c r="AD98" s="156">
        <f ca="1"/>
        <v>3.4217774769322862E-2</v>
      </c>
      <c r="AE98" s="138">
        <f ca="1"/>
        <v>6.1325250363356787E-2</v>
      </c>
      <c r="AG98" s="457" t="s">
        <v>596</v>
      </c>
      <c r="AH98" s="459">
        <v>1.4999999999999999E-2</v>
      </c>
      <c r="AI98" s="458">
        <v>2026</v>
      </c>
      <c r="AJ98" s="460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1.5311280115709591E-3</v>
      </c>
      <c r="P99" s="156">
        <f ca="1"/>
        <v>4.4886403582067302E-3</v>
      </c>
      <c r="Q99" s="156">
        <f ca="1"/>
        <v>1.1160315954633182E-2</v>
      </c>
      <c r="R99" s="156">
        <f ca="1"/>
        <v>1.8151453389442573E-2</v>
      </c>
      <c r="S99" s="156">
        <f ca="1"/>
        <v>0</v>
      </c>
      <c r="T99" s="156">
        <f ca="1"/>
        <v>3.5638715992796444E-2</v>
      </c>
      <c r="U99" s="156">
        <f ca="1"/>
        <v>5.429838307753998E-2</v>
      </c>
      <c r="V99" s="138">
        <f ca="1"/>
        <v>8.3602592211662552E-2</v>
      </c>
      <c r="W99" s="137">
        <f ca="1"/>
        <v>0</v>
      </c>
      <c r="X99" s="156">
        <f ca="1"/>
        <v>1.623843127476543E-3</v>
      </c>
      <c r="Y99" s="156">
        <f ca="1"/>
        <v>4.6545450923682896E-3</v>
      </c>
      <c r="Z99" s="156">
        <f ca="1"/>
        <v>1.1489874253209131E-2</v>
      </c>
      <c r="AA99" s="156">
        <f ca="1"/>
        <v>1.864225495214622E-2</v>
      </c>
      <c r="AB99" s="156">
        <f ca="1"/>
        <v>0</v>
      </c>
      <c r="AC99" s="156">
        <f ca="1"/>
        <v>3.6442015641441561E-2</v>
      </c>
      <c r="AD99" s="156">
        <f ca="1"/>
        <v>5.5423469845813145E-2</v>
      </c>
      <c r="AE99" s="138">
        <f ca="1"/>
        <v>8.5128649157249048E-2</v>
      </c>
      <c r="AG99" s="457" t="s">
        <v>597</v>
      </c>
      <c r="AH99" s="459">
        <v>0.03</v>
      </c>
      <c r="AI99" s="458">
        <v>2027</v>
      </c>
      <c r="AJ99" s="460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3.7139769715544002E-4</v>
      </c>
      <c r="P100" s="156">
        <f ca="1"/>
        <v>1.2448472000856636E-3</v>
      </c>
      <c r="Q100" s="156">
        <f ca="1"/>
        <v>4.1783932157226644E-3</v>
      </c>
      <c r="R100" s="156">
        <f ca="1"/>
        <v>7.2503814835180869E-3</v>
      </c>
      <c r="S100" s="156">
        <f ca="1"/>
        <v>0</v>
      </c>
      <c r="T100" s="156">
        <f ca="1"/>
        <v>1.8213190815406843E-2</v>
      </c>
      <c r="U100" s="156">
        <f ca="1"/>
        <v>3.0345755743950709E-2</v>
      </c>
      <c r="V100" s="138">
        <f ca="1"/>
        <v>5.2217353546536671E-2</v>
      </c>
      <c r="W100" s="137">
        <f ca="1"/>
        <v>0</v>
      </c>
      <c r="X100" s="156">
        <f ca="1"/>
        <v>4.6422525135358939E-4</v>
      </c>
      <c r="Y100" s="156">
        <f ca="1"/>
        <v>1.4112925213842775E-3</v>
      </c>
      <c r="Z100" s="156">
        <f ca="1"/>
        <v>4.5102784340511626E-3</v>
      </c>
      <c r="AA100" s="156">
        <f ca="1"/>
        <v>7.7466322197409232E-3</v>
      </c>
      <c r="AB100" s="156">
        <f ca="1"/>
        <v>0</v>
      </c>
      <c r="AC100" s="156">
        <f ca="1"/>
        <v>1.903100568620919E-2</v>
      </c>
      <c r="AD100" s="156">
        <f ca="1"/>
        <v>3.1500809316497347E-2</v>
      </c>
      <c r="AE100" s="138">
        <f ca="1"/>
        <v>5.3825035624972317E-2</v>
      </c>
      <c r="AG100" s="457" t="s">
        <v>598</v>
      </c>
      <c r="AH100" s="459">
        <v>1.8749999999999999E-2</v>
      </c>
      <c r="AI100" s="458">
        <v>2026</v>
      </c>
      <c r="AJ100" s="460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5.5704488486529868E-4</v>
      </c>
      <c r="P101" s="156">
        <f ca="1"/>
        <v>2.6720932300023925E-3</v>
      </c>
      <c r="Q101" s="156">
        <f ca="1"/>
        <v>7.9910215963165943E-3</v>
      </c>
      <c r="R101" s="156">
        <f ca="1"/>
        <v>1.7664573190580901E-2</v>
      </c>
      <c r="S101" s="156">
        <f ca="1"/>
        <v>0</v>
      </c>
      <c r="T101" s="156">
        <f ca="1"/>
        <v>4.5722041982758532E-2</v>
      </c>
      <c r="U101" s="156">
        <f ca="1"/>
        <v>7.9193252856257002E-2</v>
      </c>
      <c r="V101" s="138">
        <f ca="1"/>
        <v>0.13916665075951162</v>
      </c>
      <c r="W101" s="137">
        <f ca="1"/>
        <v>0</v>
      </c>
      <c r="X101" s="156">
        <f ca="1"/>
        <v>6.4985483622026496E-4</v>
      </c>
      <c r="Y101" s="156">
        <f ca="1"/>
        <v>2.8383006967911406E-3</v>
      </c>
      <c r="Z101" s="156">
        <f ca="1"/>
        <v>8.321636150315892E-3</v>
      </c>
      <c r="AA101" s="156">
        <f ca="1"/>
        <v>1.815561813253308E-2</v>
      </c>
      <c r="AB101" s="156">
        <f ca="1"/>
        <v>0</v>
      </c>
      <c r="AC101" s="156">
        <f ca="1"/>
        <v>4.6516942359960844E-2</v>
      </c>
      <c r="AD101" s="156">
        <f ca="1"/>
        <v>8.0290685834904285E-2</v>
      </c>
      <c r="AE101" s="138">
        <f ca="1"/>
        <v>0.14065847236994311</v>
      </c>
      <c r="AG101" s="457" t="s">
        <v>599</v>
      </c>
      <c r="AH101" s="459">
        <v>1.8749999999999999E-2</v>
      </c>
      <c r="AI101" s="458">
        <v>2025</v>
      </c>
      <c r="AJ101" s="460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3.7139769715544002E-4</v>
      </c>
      <c r="P102" s="156">
        <f ca="1"/>
        <v>8.8671371722182091E-4</v>
      </c>
      <c r="Q102" s="156">
        <f ca="1"/>
        <v>3.1342512747341011E-3</v>
      </c>
      <c r="R102" s="156">
        <f ca="1"/>
        <v>6.2427850950322883E-3</v>
      </c>
      <c r="S102" s="156">
        <f ca="1"/>
        <v>0</v>
      </c>
      <c r="T102" s="156">
        <f ca="1"/>
        <v>1.7452572255110987E-2</v>
      </c>
      <c r="U102" s="156">
        <f ca="1"/>
        <v>3.0576370146061849E-2</v>
      </c>
      <c r="V102" s="138">
        <f ca="1"/>
        <v>5.8273855937362562E-2</v>
      </c>
      <c r="W102" s="137">
        <f ca="1"/>
        <v>0</v>
      </c>
      <c r="X102" s="156">
        <f ca="1"/>
        <v>4.6422525135358939E-4</v>
      </c>
      <c r="Y102" s="156">
        <f ca="1"/>
        <v>1.0532187224753242E-3</v>
      </c>
      <c r="Z102" s="156">
        <f ca="1"/>
        <v>3.4664844823549812E-3</v>
      </c>
      <c r="AA102" s="156">
        <f ca="1"/>
        <v>6.7395395035353411E-3</v>
      </c>
      <c r="AB102" s="156">
        <f ca="1"/>
        <v>0</v>
      </c>
      <c r="AC102" s="156">
        <f ca="1"/>
        <v>1.8271020710659558E-2</v>
      </c>
      <c r="AD102" s="156">
        <f ca="1"/>
        <v>3.1731858545964275E-2</v>
      </c>
      <c r="AE102" s="138">
        <f ca="1"/>
        <v>5.9872086290491233E-2</v>
      </c>
      <c r="AG102" s="457" t="s">
        <v>600</v>
      </c>
      <c r="AH102" s="459">
        <v>2.2499999999999999E-2</v>
      </c>
      <c r="AI102" s="458">
        <v>2026</v>
      </c>
      <c r="AJ102" s="460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4.6422559508285666E-4</v>
      </c>
      <c r="P103" s="156">
        <f ca="1"/>
        <v>8.8445226887701178E-4</v>
      </c>
      <c r="Q103" s="156">
        <f ca="1"/>
        <v>3.1319590768296157E-3</v>
      </c>
      <c r="R103" s="156">
        <f ca="1"/>
        <v>6.7748984864373085E-3</v>
      </c>
      <c r="S103" s="156">
        <f ca="1"/>
        <v>0</v>
      </c>
      <c r="T103" s="156">
        <f ca="1"/>
        <v>1.7411969706308095E-2</v>
      </c>
      <c r="U103" s="156">
        <f ca="1"/>
        <v>3.0535438743240939E-2</v>
      </c>
      <c r="V103" s="138">
        <f ca="1"/>
        <v>4.8519739779501636E-2</v>
      </c>
      <c r="W103" s="137">
        <f ca="1"/>
        <v>0</v>
      </c>
      <c r="X103" s="156">
        <f ca="1"/>
        <v>5.5704436557602044E-4</v>
      </c>
      <c r="Y103" s="156">
        <f ca="1"/>
        <v>1.0509576510076002E-3</v>
      </c>
      <c r="Z103" s="156">
        <f ca="1"/>
        <v>3.4641930484134997E-3</v>
      </c>
      <c r="AA103" s="156">
        <f ca="1"/>
        <v>7.2713869047346114E-3</v>
      </c>
      <c r="AB103" s="156">
        <f ca="1"/>
        <v>0</v>
      </c>
      <c r="AC103" s="156">
        <f ca="1"/>
        <v>1.8230451983247797E-2</v>
      </c>
      <c r="AD103" s="156">
        <f ca="1"/>
        <v>3.1690809284872112E-2</v>
      </c>
      <c r="AE103" s="138">
        <f ca="1"/>
        <v>5.0133978169477733E-2</v>
      </c>
      <c r="AG103" s="457" t="s">
        <v>601</v>
      </c>
      <c r="AH103" s="459">
        <v>6.2500000000000003E-3</v>
      </c>
      <c r="AI103" s="458">
        <v>2025</v>
      </c>
      <c r="AJ103" s="460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2.7856118988234257E-4</v>
      </c>
      <c r="P104" s="156">
        <f ca="1"/>
        <v>1.9632448518657197E-3</v>
      </c>
      <c r="Q104" s="156">
        <f ca="1"/>
        <v>5.2115423085294932E-3</v>
      </c>
      <c r="R104" s="156">
        <f ca="1"/>
        <v>1.0380435989657877E-2</v>
      </c>
      <c r="S104" s="156">
        <f ca="1"/>
        <v>0</v>
      </c>
      <c r="T104" s="156">
        <f ca="1"/>
        <v>2.508577510570642E-2</v>
      </c>
      <c r="U104" s="156">
        <f ca="1"/>
        <v>4.3639941187124109E-2</v>
      </c>
      <c r="V104" s="138">
        <f ca="1"/>
        <v>7.815577177872246E-2</v>
      </c>
      <c r="W104" s="137">
        <f ca="1"/>
        <v>0</v>
      </c>
      <c r="X104" s="156">
        <f ca="1"/>
        <v>3.7139749276848821E-4</v>
      </c>
      <c r="Y104" s="156">
        <f ca="1"/>
        <v>2.1295704502093393E-3</v>
      </c>
      <c r="Z104" s="156">
        <f ca="1"/>
        <v>5.5430832012095532E-3</v>
      </c>
      <c r="AA104" s="156">
        <f ca="1"/>
        <v>1.0875122089842204E-2</v>
      </c>
      <c r="AB104" s="156">
        <f ca="1"/>
        <v>0</v>
      </c>
      <c r="AC104" s="156">
        <f ca="1"/>
        <v>2.5897865208597826E-2</v>
      </c>
      <c r="AD104" s="156">
        <f ca="1"/>
        <v>4.4780238898497471E-2</v>
      </c>
      <c r="AE104" s="138">
        <f ca="1"/>
        <v>7.9717009337630818E-2</v>
      </c>
      <c r="AG104" s="457" t="s">
        <v>602</v>
      </c>
      <c r="AH104" s="459">
        <v>1.6250000000000001E-2</v>
      </c>
      <c r="AI104" s="458">
        <v>2024</v>
      </c>
      <c r="AJ104" s="460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2.7856118988234257E-4</v>
      </c>
      <c r="P105" s="156">
        <f ca="1"/>
        <v>8.8897533929943595E-4</v>
      </c>
      <c r="Q105" s="156">
        <f ca="1"/>
        <v>3.1365436147927639E-3</v>
      </c>
      <c r="R105" s="156">
        <f ca="1"/>
        <v>6.7795414453423186E-3</v>
      </c>
      <c r="S105" s="156">
        <f ca="1"/>
        <v>0</v>
      </c>
      <c r="T105" s="156">
        <f ca="1"/>
        <v>1.8316320211929193E-2</v>
      </c>
      <c r="U105" s="156">
        <f ca="1"/>
        <v>3.3064888540053183E-2</v>
      </c>
      <c r="V105" s="138">
        <f ca="1"/>
        <v>5.9729278874139258E-2</v>
      </c>
      <c r="W105" s="137">
        <f ca="1"/>
        <v>0</v>
      </c>
      <c r="X105" s="156">
        <f ca="1"/>
        <v>3.7139749276848821E-4</v>
      </c>
      <c r="Y105" s="156">
        <f ca="1"/>
        <v>1.0554799676462112E-3</v>
      </c>
      <c r="Z105" s="156">
        <f ca="1"/>
        <v>3.4687760584427574E-3</v>
      </c>
      <c r="AA105" s="156">
        <f ca="1"/>
        <v>7.276027542765684E-3</v>
      </c>
      <c r="AB105" s="156">
        <f ca="1"/>
        <v>0</v>
      </c>
      <c r="AC105" s="156">
        <f ca="1"/>
        <v>1.9134049177342294E-2</v>
      </c>
      <c r="AD105" s="156">
        <f ca="1"/>
        <v>3.4217774769322862E-2</v>
      </c>
      <c r="AE105" s="138">
        <f ca="1"/>
        <v>6.1325250363356787E-2</v>
      </c>
      <c r="AG105" s="457" t="s">
        <v>603</v>
      </c>
      <c r="AH105" s="459">
        <v>1.495E-2</v>
      </c>
      <c r="AI105" s="458">
        <v>2025</v>
      </c>
      <c r="AJ105" s="460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8.3545111727989507E-4</v>
      </c>
      <c r="P106" s="156">
        <f ca="1"/>
        <v>1.5914506724118427E-3</v>
      </c>
      <c r="Q106" s="156">
        <f ca="1"/>
        <v>6.265148755624006E-3</v>
      </c>
      <c r="R106" s="156">
        <f ca="1"/>
        <v>1.3526241288902785E-2</v>
      </c>
      <c r="S106" s="156">
        <f ca="1"/>
        <v>0</v>
      </c>
      <c r="T106" s="156">
        <f ca="1"/>
        <v>3.7295020529996892E-2</v>
      </c>
      <c r="U106" s="156">
        <f ca="1"/>
        <v>6.5273485716139779E-2</v>
      </c>
      <c r="V106" s="138">
        <f ca="1"/>
        <v>0.10927458658552791</v>
      </c>
      <c r="W106" s="137">
        <f ca="1"/>
        <v>0</v>
      </c>
      <c r="X106" s="156">
        <f ca="1"/>
        <v>9.2823439486788839E-4</v>
      </c>
      <c r="Y106" s="156">
        <f ca="1"/>
        <v>1.7578382312913865E-3</v>
      </c>
      <c r="Z106" s="156">
        <f ca="1"/>
        <v>6.5963385046622358E-3</v>
      </c>
      <c r="AA106" s="156">
        <f ca="1"/>
        <v>1.4019354879583834E-2</v>
      </c>
      <c r="AB106" s="156">
        <f ca="1"/>
        <v>0</v>
      </c>
      <c r="AC106" s="156">
        <f ca="1"/>
        <v>3.8096940499808274E-2</v>
      </c>
      <c r="AD106" s="156">
        <f ca="1"/>
        <v>6.6388900292593367E-2</v>
      </c>
      <c r="AE106" s="138">
        <f ca="1"/>
        <v>0.11080693035967348</v>
      </c>
      <c r="AG106" s="457" t="s">
        <v>604</v>
      </c>
      <c r="AH106" s="459">
        <v>7.4999999999999997E-3</v>
      </c>
      <c r="AI106" s="458">
        <v>2026</v>
      </c>
      <c r="AJ106" s="460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2.7856118988234257E-4</v>
      </c>
      <c r="P107" s="156">
        <f ca="1"/>
        <v>8.8897533929943595E-4</v>
      </c>
      <c r="Q107" s="156">
        <f ca="1"/>
        <v>4.1931163677889627E-3</v>
      </c>
      <c r="R107" s="156">
        <f ca="1"/>
        <v>8.3332604937490506E-3</v>
      </c>
      <c r="S107" s="156">
        <f ca="1"/>
        <v>0</v>
      </c>
      <c r="T107" s="156">
        <f ca="1"/>
        <v>2.2642393268111793E-2</v>
      </c>
      <c r="U107" s="156">
        <f ca="1"/>
        <v>4.1568157570749498E-2</v>
      </c>
      <c r="V107" s="138">
        <f ca="1"/>
        <v>7.7135580210993204E-2</v>
      </c>
      <c r="W107" s="137">
        <f ca="1"/>
        <v>0</v>
      </c>
      <c r="X107" s="156">
        <f ca="1"/>
        <v>3.7139749276848821E-4</v>
      </c>
      <c r="Y107" s="156">
        <f ca="1"/>
        <v>1.0554799676462112E-3</v>
      </c>
      <c r="Z107" s="156">
        <f ca="1"/>
        <v>4.5249966792263452E-3</v>
      </c>
      <c r="AA107" s="156">
        <f ca="1"/>
        <v>8.8289699258184973E-3</v>
      </c>
      <c r="AB107" s="156">
        <f ca="1"/>
        <v>0</v>
      </c>
      <c r="AC107" s="156">
        <f ca="1"/>
        <v>2.3456518674358051E-2</v>
      </c>
      <c r="AD107" s="156">
        <f ca="1"/>
        <v>4.2711605003508568E-2</v>
      </c>
      <c r="AE107" s="138">
        <f ca="1"/>
        <v>7.8699648360920027E-2</v>
      </c>
      <c r="AH107" s="135"/>
      <c r="AI107" s="458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6.4985556770325026E-4</v>
      </c>
      <c r="P108" s="156">
        <f ca="1"/>
        <v>1.9540021051831502E-3</v>
      </c>
      <c r="Q108" s="156">
        <f ca="1"/>
        <v>6.9602588364758855E-3</v>
      </c>
      <c r="R108" s="156">
        <f ca="1"/>
        <v>1.5081158364255165E-2</v>
      </c>
      <c r="S108" s="156">
        <f ca="1"/>
        <v>0</v>
      </c>
      <c r="T108" s="156">
        <f ca="1"/>
        <v>4.2463028385422485E-2</v>
      </c>
      <c r="U108" s="156">
        <f ca="1"/>
        <v>7.2212696641732799E-2</v>
      </c>
      <c r="V108" s="138">
        <f ca="1"/>
        <v>0.12238985920698009</v>
      </c>
      <c r="W108" s="137">
        <f ca="1"/>
        <v>0</v>
      </c>
      <c r="X108" s="156">
        <f ca="1"/>
        <v>7.4265666409367714E-4</v>
      </c>
      <c r="Y108" s="156">
        <f ca="1"/>
        <v>2.1203292438438659E-3</v>
      </c>
      <c r="Z108" s="156">
        <f ca="1"/>
        <v>7.2912169207981492E-3</v>
      </c>
      <c r="AA108" s="156">
        <f ca="1"/>
        <v>1.5573494690735545E-2</v>
      </c>
      <c r="AB108" s="156">
        <f ca="1"/>
        <v>0</v>
      </c>
      <c r="AC108" s="156">
        <f ca="1"/>
        <v>4.3260643476003446E-2</v>
      </c>
      <c r="AD108" s="156">
        <f ca="1"/>
        <v>7.3319717458943612E-2</v>
      </c>
      <c r="AE108" s="138">
        <f ca="1"/>
        <v>0.1239036085216102</v>
      </c>
      <c r="AH108" s="135"/>
      <c r="AI108" s="458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3.7139769715544002E-4</v>
      </c>
      <c r="P109" s="156">
        <f ca="1"/>
        <v>1.6029205889476206E-3</v>
      </c>
      <c r="Q109" s="156">
        <f ca="1"/>
        <v>4.8698819059787013E-3</v>
      </c>
      <c r="R109" s="156">
        <f ca="1"/>
        <v>8.8068109645643711E-3</v>
      </c>
      <c r="S109" s="156">
        <f ca="1"/>
        <v>0</v>
      </c>
      <c r="T109" s="156">
        <f ca="1"/>
        <v>2.1644288612724161E-2</v>
      </c>
      <c r="U109" s="156">
        <f ca="1"/>
        <v>3.5042597058117519E-2</v>
      </c>
      <c r="V109" s="138">
        <f ca="1"/>
        <v>5.8737726697059678E-2</v>
      </c>
      <c r="W109" s="137">
        <f ca="1"/>
        <v>0</v>
      </c>
      <c r="X109" s="156">
        <f ca="1"/>
        <v>4.6422525135358939E-4</v>
      </c>
      <c r="Y109" s="156">
        <f ca="1"/>
        <v>1.7693062363334233E-3</v>
      </c>
      <c r="Z109" s="156">
        <f ca="1"/>
        <v>5.2015366664852625E-3</v>
      </c>
      <c r="AA109" s="156">
        <f ca="1"/>
        <v>9.3022836805934928E-3</v>
      </c>
      <c r="AB109" s="156">
        <f ca="1"/>
        <v>0</v>
      </c>
      <c r="AC109" s="156">
        <f ca="1"/>
        <v>2.245924542634703E-2</v>
      </c>
      <c r="AD109" s="156">
        <f ca="1"/>
        <v>3.6192227620546968E-2</v>
      </c>
      <c r="AE109" s="138">
        <f ca="1"/>
        <v>6.0333595231762627E-2</v>
      </c>
      <c r="AH109" s="135"/>
      <c r="AI109" s="458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7.4265764477476903E-4</v>
      </c>
      <c r="P110" s="156">
        <f ca="1"/>
        <v>1.4147479991380996E-3</v>
      </c>
      <c r="Q110" s="156">
        <f ca="1"/>
        <v>5.9221736088136412E-3</v>
      </c>
      <c r="R110" s="156">
        <f ca="1"/>
        <v>1.1953682795640908E-2</v>
      </c>
      <c r="S110" s="156">
        <f ca="1"/>
        <v>0</v>
      </c>
      <c r="T110" s="156">
        <f ca="1"/>
        <v>3.6554266572732863E-2</v>
      </c>
      <c r="U110" s="156">
        <f ca="1"/>
        <v>6.4237080179755601E-2</v>
      </c>
      <c r="V110" s="138">
        <f ca="1"/>
        <v>0.11160048133915546</v>
      </c>
      <c r="W110" s="137">
        <f ca="1"/>
        <v>0</v>
      </c>
      <c r="X110" s="156">
        <f ca="1"/>
        <v>8.354498500481311E-4</v>
      </c>
      <c r="Y110" s="156">
        <f ca="1"/>
        <v>1.5811650060093552E-3</v>
      </c>
      <c r="Z110" s="156">
        <f ca="1"/>
        <v>6.2534776638789591E-3</v>
      </c>
      <c r="AA110" s="156">
        <f ca="1"/>
        <v>1.2447582469027774E-2</v>
      </c>
      <c r="AB110" s="156">
        <f ca="1"/>
        <v>0</v>
      </c>
      <c r="AC110" s="156">
        <f ca="1"/>
        <v>3.7356803580364195E-2</v>
      </c>
      <c r="AD110" s="156">
        <f ca="1"/>
        <v>6.535420891815158E-2</v>
      </c>
      <c r="AE110" s="138">
        <f ca="1"/>
        <v>0.11313168648485428</v>
      </c>
      <c r="AH110" s="135"/>
      <c r="AI110" s="458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1.4847645977182911E-3</v>
      </c>
      <c r="P111" s="156">
        <f ca="1"/>
        <v>3.3638806221035766E-3</v>
      </c>
      <c r="Q111" s="156">
        <f ca="1"/>
        <v>8.2922644550883495E-3</v>
      </c>
      <c r="R111" s="156">
        <f ca="1"/>
        <v>1.3874959662451669E-2</v>
      </c>
      <c r="S111" s="156">
        <f ca="1"/>
        <v>0</v>
      </c>
      <c r="T111" s="156">
        <f ca="1"/>
        <v>2.8148499582274944E-2</v>
      </c>
      <c r="U111" s="156">
        <f ca="1"/>
        <v>4.33976248160578E-2</v>
      </c>
      <c r="V111" s="138">
        <f ca="1"/>
        <v>6.9494049381604861E-2</v>
      </c>
      <c r="W111" s="137">
        <f ca="1"/>
        <v>0</v>
      </c>
      <c r="X111" s="156">
        <f ca="1"/>
        <v>1.5774843256372018E-3</v>
      </c>
      <c r="Y111" s="156">
        <f ca="1"/>
        <v>3.5299728005949715E-3</v>
      </c>
      <c r="Z111" s="156">
        <f ca="1"/>
        <v>8.6227786115132821E-3</v>
      </c>
      <c r="AA111" s="156">
        <f ca="1"/>
        <v>1.4367898937543089E-2</v>
      </c>
      <c r="AB111" s="156">
        <f ca="1"/>
        <v>0</v>
      </c>
      <c r="AC111" s="156">
        <f ca="1"/>
        <v>2.8958038477875037E-2</v>
      </c>
      <c r="AD111" s="156">
        <f ca="1"/>
        <v>4.4536063775310386E-2</v>
      </c>
      <c r="AE111" s="138">
        <f ca="1"/>
        <v>7.1068454801479386E-2</v>
      </c>
      <c r="AH111" s="135"/>
      <c r="AI111" s="458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6.4985556770325026E-4</v>
      </c>
      <c r="P112" s="156">
        <f ca="1"/>
        <v>2.49083549834761E-3</v>
      </c>
      <c r="Q112" s="156">
        <f ca="1"/>
        <v>8.6973981986375737E-3</v>
      </c>
      <c r="R112" s="156">
        <f ca="1"/>
        <v>1.8696542692533402E-2</v>
      </c>
      <c r="S112" s="156">
        <f ca="1"/>
        <v>0</v>
      </c>
      <c r="T112" s="156">
        <f ca="1"/>
        <v>4.8261748465876719E-2</v>
      </c>
      <c r="U112" s="156">
        <f ca="1"/>
        <v>8.3871478967066815E-2</v>
      </c>
      <c r="V112" s="138">
        <f ca="1"/>
        <v>0.14536483700571501</v>
      </c>
      <c r="W112" s="137">
        <f ca="1"/>
        <v>0</v>
      </c>
      <c r="X112" s="156">
        <f ca="1"/>
        <v>7.4265666409367714E-4</v>
      </c>
      <c r="Y112" s="156">
        <f ca="1"/>
        <v>2.6570731722421748E-3</v>
      </c>
      <c r="Z112" s="156">
        <f ca="1"/>
        <v>9.0277773329732192E-3</v>
      </c>
      <c r="AA112" s="156">
        <f ca="1"/>
        <v>1.9187071778677733E-2</v>
      </c>
      <c r="AB112" s="156">
        <f ca="1"/>
        <v>0</v>
      </c>
      <c r="AC112" s="156">
        <f ca="1"/>
        <v>4.9054533302606007E-2</v>
      </c>
      <c r="AD112" s="156">
        <f ca="1"/>
        <v>8.4962701280623332E-2</v>
      </c>
      <c r="AE112" s="138">
        <f ca="1"/>
        <v>0.14684731642989834</v>
      </c>
      <c r="AH112" s="135"/>
      <c r="AI112" s="458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1.1137799194392839E-3</v>
      </c>
      <c r="P113" s="156">
        <f ca="1"/>
        <v>3.0157379609644375E-3</v>
      </c>
      <c r="Q113" s="156">
        <f ca="1"/>
        <v>1.0770807597130672E-2</v>
      </c>
      <c r="R113" s="156">
        <f ca="1"/>
        <v>2.1211637199300637E-2</v>
      </c>
      <c r="S113" s="156">
        <f ca="1"/>
        <v>0</v>
      </c>
      <c r="T113" s="156">
        <f ca="1"/>
        <v>4.3480505926091428E-2</v>
      </c>
      <c r="U113" s="156">
        <f ca="1"/>
        <v>7.2528072765291829E-2</v>
      </c>
      <c r="V113" s="138">
        <f ca="1"/>
        <v>0.13056082917698031</v>
      </c>
      <c r="W113" s="137">
        <f ca="1"/>
        <v>0</v>
      </c>
      <c r="X113" s="156">
        <f ca="1"/>
        <v>1.2065361907452887E-3</v>
      </c>
      <c r="Y113" s="156">
        <f ca="1"/>
        <v>3.1818881583938197E-3</v>
      </c>
      <c r="Z113" s="156">
        <f ca="1"/>
        <v>1.1100495710198111E-2</v>
      </c>
      <c r="AA113" s="156">
        <f ca="1"/>
        <v>2.170090905255484E-2</v>
      </c>
      <c r="AB113" s="156">
        <f ca="1"/>
        <v>0</v>
      </c>
      <c r="AC113" s="156">
        <f ca="1"/>
        <v>4.4277273471901579E-2</v>
      </c>
      <c r="AD113" s="156">
        <f ca="1"/>
        <v>7.3632162004259594E-2</v>
      </c>
      <c r="AE113" s="138">
        <f ca="1"/>
        <v>0.13206283729777757</v>
      </c>
      <c r="AH113" s="135"/>
      <c r="AI113" s="458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1.6702053621326929E-3</v>
      </c>
      <c r="P114" s="156">
        <f ca="1"/>
        <v>3.7166154657752859E-3</v>
      </c>
      <c r="Q114" s="156">
        <f ca="1"/>
        <v>7.9235790934784056E-3</v>
      </c>
      <c r="R114" s="156">
        <f ca="1"/>
        <v>1.3874079076088508E-2</v>
      </c>
      <c r="S114" s="156">
        <f ca="1"/>
        <v>0</v>
      </c>
      <c r="T114" s="156">
        <f ca="1"/>
        <v>3.2608053791892022E-2</v>
      </c>
      <c r="U114" s="156">
        <f ca="1"/>
        <v>5.5213310542284955E-2</v>
      </c>
      <c r="V114" s="138">
        <f ca="1"/>
        <v>9.7791991947859369E-2</v>
      </c>
      <c r="W114" s="137">
        <f ca="1"/>
        <v>0</v>
      </c>
      <c r="X114" s="156">
        <f ca="1"/>
        <v>1.7629065821588297E-3</v>
      </c>
      <c r="Y114" s="156">
        <f ca="1"/>
        <v>3.8826488600357534E-3</v>
      </c>
      <c r="Z114" s="156">
        <f ca="1"/>
        <v>8.2542161245525714E-3</v>
      </c>
      <c r="AA114" s="156">
        <f ca="1"/>
        <v>1.436701879134139E-2</v>
      </c>
      <c r="AB114" s="156">
        <f ca="1"/>
        <v>0</v>
      </c>
      <c r="AC114" s="156">
        <f ca="1"/>
        <v>3.3413877940343784E-2</v>
      </c>
      <c r="AD114" s="156">
        <f ca="1"/>
        <v>5.633922148243542E-2</v>
      </c>
      <c r="AE114" s="138">
        <f ca="1"/>
        <v>9.9340664478657081E-2</v>
      </c>
      <c r="AH114" s="135"/>
      <c r="AI114" s="458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5.5704488486529868E-4</v>
      </c>
      <c r="P115" s="156">
        <f ca="1"/>
        <v>1.4193193509048907E-3</v>
      </c>
      <c r="Q115" s="156">
        <f ca="1"/>
        <v>4.871465634139871E-3</v>
      </c>
      <c r="R115" s="156">
        <f ca="1"/>
        <v>9.8755405873667268E-3</v>
      </c>
      <c r="S115" s="156">
        <f ca="1"/>
        <v>0</v>
      </c>
      <c r="T115" s="156">
        <f ca="1"/>
        <v>2.6050143863215025E-2</v>
      </c>
      <c r="U115" s="156">
        <f ca="1"/>
        <v>4.4914971235404777E-2</v>
      </c>
      <c r="V115" s="138">
        <f ca="1"/>
        <v>8.559167160175507E-2</v>
      </c>
      <c r="W115" s="137">
        <f ca="1"/>
        <v>0</v>
      </c>
      <c r="X115" s="156">
        <f ca="1"/>
        <v>6.4985483622026496E-4</v>
      </c>
      <c r="Y115" s="156">
        <f ca="1"/>
        <v>1.5857355959494335E-3</v>
      </c>
      <c r="Z115" s="156">
        <f ca="1"/>
        <v>5.2031198668229806E-3</v>
      </c>
      <c r="AA115" s="156">
        <f ca="1"/>
        <v>1.0370479072154604E-2</v>
      </c>
      <c r="AB115" s="156">
        <f ca="1"/>
        <v>0</v>
      </c>
      <c r="AC115" s="156">
        <f ca="1"/>
        <v>2.6861430660183427E-2</v>
      </c>
      <c r="AD115" s="156">
        <f ca="1"/>
        <v>4.6054199220583625E-2</v>
      </c>
      <c r="AE115" s="138">
        <f ca="1"/>
        <v>8.7161710632174816E-2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8.3545111727989507E-4</v>
      </c>
      <c r="P116" s="156">
        <f ca="1"/>
        <v>1.7704237418953994E-3</v>
      </c>
      <c r="Q116" s="156">
        <f ca="1"/>
        <v>6.2588147465428845E-3</v>
      </c>
      <c r="R116" s="156">
        <f ca="1"/>
        <v>1.0855876064893133E-2</v>
      </c>
      <c r="S116" s="156">
        <f ca="1"/>
        <v>0</v>
      </c>
      <c r="T116" s="156">
        <f ca="1"/>
        <v>2.8566649842739933E-2</v>
      </c>
      <c r="U116" s="156">
        <f ca="1"/>
        <v>4.9651343492487676E-2</v>
      </c>
      <c r="V116" s="138">
        <f ca="1"/>
        <v>9.0125521160166477E-2</v>
      </c>
      <c r="W116" s="137">
        <f ca="1"/>
        <v>0</v>
      </c>
      <c r="X116" s="156">
        <f ca="1"/>
        <v>9.2823439486788839E-4</v>
      </c>
      <c r="Y116" s="156">
        <f ca="1"/>
        <v>1.936781474405902E-3</v>
      </c>
      <c r="Z116" s="156">
        <f ca="1"/>
        <v>6.5900066066006957E-3</v>
      </c>
      <c r="AA116" s="156">
        <f ca="1"/>
        <v>1.1350324504435516E-2</v>
      </c>
      <c r="AB116" s="156">
        <f ca="1"/>
        <v>0</v>
      </c>
      <c r="AC116" s="156">
        <f ca="1"/>
        <v>2.9375840424932576E-2</v>
      </c>
      <c r="AD116" s="156">
        <f ca="1"/>
        <v>5.0784858507021302E-2</v>
      </c>
      <c r="AE116" s="138">
        <f ca="1"/>
        <v>9.1687430197799347E-2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4.6422559508285666E-4</v>
      </c>
      <c r="P117" s="156">
        <f ca="1"/>
        <v>1.2425693066163701E-3</v>
      </c>
      <c r="Q117" s="156">
        <f ca="1"/>
        <v>4.1760773975658694E-3</v>
      </c>
      <c r="R117" s="156">
        <f ca="1"/>
        <v>9.3836291998368182E-3</v>
      </c>
      <c r="S117" s="156">
        <f ca="1"/>
        <v>0</v>
      </c>
      <c r="T117" s="156">
        <f ca="1"/>
        <v>2.5236640412968914E-2</v>
      </c>
      <c r="U117" s="156">
        <f ca="1"/>
        <v>4.249223098173327E-2</v>
      </c>
      <c r="V117" s="138">
        <f ca="1"/>
        <v>8.2331223072000026E-2</v>
      </c>
      <c r="W117" s="137">
        <f ca="1"/>
        <v>0</v>
      </c>
      <c r="X117" s="156">
        <f ca="1"/>
        <v>5.5704436557602044E-4</v>
      </c>
      <c r="Y117" s="156">
        <f ca="1"/>
        <v>1.4090150075465324E-3</v>
      </c>
      <c r="Z117" s="156">
        <f ca="1"/>
        <v>4.5079633876990988E-3</v>
      </c>
      <c r="AA117" s="156">
        <f ca="1"/>
        <v>9.8788135788188125E-3</v>
      </c>
      <c r="AB117" s="156">
        <f ca="1"/>
        <v>0</v>
      </c>
      <c r="AC117" s="156">
        <f ca="1"/>
        <v>2.60486048471259E-2</v>
      </c>
      <c r="AD117" s="156">
        <f ca="1"/>
        <v>4.3634318366941427E-2</v>
      </c>
      <c r="AE117" s="138">
        <f ca="1"/>
        <v>8.385939720130875E-2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1.8571607206241403E-4</v>
      </c>
      <c r="P118" s="156">
        <f ca="1"/>
        <v>8.9123713527383686E-4</v>
      </c>
      <c r="Q118" s="156">
        <f ca="1"/>
        <v>3.4910938118015711E-3</v>
      </c>
      <c r="R118" s="156">
        <f ca="1"/>
        <v>7.8341963387978941E-3</v>
      </c>
      <c r="S118" s="156">
        <f ca="1"/>
        <v>0</v>
      </c>
      <c r="T118" s="156">
        <f ca="1"/>
        <v>2.0023131105939673E-2</v>
      </c>
      <c r="U118" s="156">
        <f ca="1"/>
        <v>3.4096578733891603E-2</v>
      </c>
      <c r="V118" s="138">
        <f ca="1"/>
        <v>6.1211139747053167E-2</v>
      </c>
      <c r="W118" s="137">
        <f ca="1"/>
        <v>0</v>
      </c>
      <c r="X118" s="156">
        <f ca="1"/>
        <v>2.7856108896862075E-4</v>
      </c>
      <c r="Y118" s="156">
        <f ca="1"/>
        <v>1.0577413866776908E-3</v>
      </c>
      <c r="Z118" s="156">
        <f ca="1"/>
        <v>3.8232080917341982E-3</v>
      </c>
      <c r="AA118" s="156">
        <f ca="1"/>
        <v>8.3301552405706802E-3</v>
      </c>
      <c r="AB118" s="156">
        <f ca="1"/>
        <v>0</v>
      </c>
      <c r="AC118" s="156">
        <f ca="1"/>
        <v>2.083943832140589E-2</v>
      </c>
      <c r="AD118" s="156">
        <f ca="1"/>
        <v>3.5247970047508015E-2</v>
      </c>
      <c r="AE118" s="138">
        <f ca="1"/>
        <v>6.2803784505950921E-2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5.5704488486529868E-4</v>
      </c>
      <c r="P119" s="156">
        <f ca="1"/>
        <v>1.5983320934883638E-3</v>
      </c>
      <c r="Q119" s="156">
        <f ca="1"/>
        <v>5.9205716344062909E-3</v>
      </c>
      <c r="R119" s="156">
        <f ca="1"/>
        <v>1.2484935724120017E-2</v>
      </c>
      <c r="S119" s="156">
        <f ca="1"/>
        <v>0</v>
      </c>
      <c r="T119" s="156">
        <f ca="1"/>
        <v>3.2944120272270228E-2</v>
      </c>
      <c r="U119" s="156">
        <f ca="1"/>
        <v>5.9427522364011054E-2</v>
      </c>
      <c r="V119" s="138">
        <f ca="1"/>
        <v>0.11082203869217477</v>
      </c>
      <c r="W119" s="137">
        <f ca="1"/>
        <v>0</v>
      </c>
      <c r="X119" s="156">
        <f ca="1"/>
        <v>6.4985483622026496E-4</v>
      </c>
      <c r="Y119" s="156">
        <f ca="1"/>
        <v>1.7647185055548187E-3</v>
      </c>
      <c r="Z119" s="156">
        <f ca="1"/>
        <v>6.2518762233724212E-3</v>
      </c>
      <c r="AA119" s="156">
        <f ca="1"/>
        <v>1.297856983745016E-2</v>
      </c>
      <c r="AB119" s="156">
        <f ca="1"/>
        <v>0</v>
      </c>
      <c r="AC119" s="156">
        <f ca="1"/>
        <v>3.3749664482021102E-2</v>
      </c>
      <c r="AD119" s="156">
        <f ca="1"/>
        <v>6.0549809588067771E-2</v>
      </c>
      <c r="AE119" s="138">
        <f ca="1"/>
        <v>0.11235704783754896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1.0581203518688076E-3</v>
      </c>
      <c r="P120" s="156">
        <f ca="1"/>
        <v>2.9098460442795737E-3</v>
      </c>
      <c r="Q120" s="156">
        <f ca="1"/>
        <v>8.1797068699075437E-3</v>
      </c>
      <c r="R120" s="156">
        <f ca="1"/>
        <v>1.5079909620993148E-2</v>
      </c>
      <c r="S120" s="156">
        <f ca="1"/>
        <v>0</v>
      </c>
      <c r="T120" s="156">
        <f ca="1"/>
        <v>3.4337571738410344E-2</v>
      </c>
      <c r="U120" s="156">
        <f ca="1"/>
        <v>5.2386974132368258E-2</v>
      </c>
      <c r="V120" s="138">
        <f ca="1"/>
        <v>7.8912502713496147E-2</v>
      </c>
      <c r="W120" s="137">
        <f ca="1"/>
        <v>0</v>
      </c>
      <c r="X120" s="156">
        <f ca="1"/>
        <v>1.1508820515279128E-3</v>
      </c>
      <c r="Y120" s="156">
        <f ca="1"/>
        <v>3.0760138889081023E-3</v>
      </c>
      <c r="Z120" s="156">
        <f ca="1"/>
        <v>8.5102585392612395E-3</v>
      </c>
      <c r="AA120" s="156">
        <f ca="1"/>
        <v>1.5572246571669335E-2</v>
      </c>
      <c r="AB120" s="156">
        <f ca="1"/>
        <v>0</v>
      </c>
      <c r="AC120" s="156">
        <f ca="1"/>
        <v>3.5141955222287136E-2</v>
      </c>
      <c r="AD120" s="156">
        <f ca="1"/>
        <v>5.3515891766639734E-2</v>
      </c>
      <c r="AE120" s="138">
        <f ca="1"/>
        <v>8.0470595984518445E-2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1.0673971614578726E-3</v>
      </c>
      <c r="P121" s="156">
        <f ca="1"/>
        <v>3.2136322455901256E-3</v>
      </c>
      <c r="Q121" s="156">
        <f ca="1"/>
        <v>9.7126039117522156E-3</v>
      </c>
      <c r="R121" s="156">
        <f ca="1"/>
        <v>1.8074490973155943E-2</v>
      </c>
      <c r="S121" s="156">
        <f ca="1"/>
        <v>0</v>
      </c>
      <c r="T121" s="156">
        <f ca="1"/>
        <v>3.9345230099660067E-2</v>
      </c>
      <c r="U121" s="156">
        <f ca="1"/>
        <v>6.1784590914189641E-2</v>
      </c>
      <c r="V121" s="138">
        <f ca="1"/>
        <v>9.5542603353518163E-2</v>
      </c>
      <c r="W121" s="137">
        <f ca="1"/>
        <v>0</v>
      </c>
      <c r="X121" s="156">
        <f ca="1"/>
        <v>1.1601579573663479E-3</v>
      </c>
      <c r="Y121" s="156">
        <f ca="1"/>
        <v>3.3797494633945879E-3</v>
      </c>
      <c r="Z121" s="156">
        <f ca="1"/>
        <v>1.0042644700607006E-2</v>
      </c>
      <c r="AA121" s="156">
        <f ca="1"/>
        <v>1.8565331007447616E-2</v>
      </c>
      <c r="AB121" s="156">
        <f ca="1"/>
        <v>0</v>
      </c>
      <c r="AC121" s="156">
        <f ca="1"/>
        <v>4.0145442273231025E-2</v>
      </c>
      <c r="AD121" s="156">
        <f ca="1"/>
        <v>6.290220772036148E-2</v>
      </c>
      <c r="AE121" s="138">
        <f ca="1"/>
        <v>9.7048776854683383E-2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2.7856118988234257E-4</v>
      </c>
      <c r="P122" s="156">
        <f ca="1"/>
        <v>5.3076529820395013E-4</v>
      </c>
      <c r="Q122" s="156">
        <f ca="1"/>
        <v>2.4440534936602809E-3</v>
      </c>
      <c r="R122" s="156">
        <f ca="1"/>
        <v>5.220265148623171E-3</v>
      </c>
      <c r="S122" s="156">
        <f ca="1"/>
        <v>0</v>
      </c>
      <c r="T122" s="156">
        <f ca="1"/>
        <v>1.4874882661353284E-2</v>
      </c>
      <c r="U122" s="156">
        <f ca="1"/>
        <v>2.7043026316166174E-2</v>
      </c>
      <c r="V122" s="138">
        <f ca="1"/>
        <v>4.9482061054634374E-2</v>
      </c>
      <c r="W122" s="137">
        <f ca="1"/>
        <v>0</v>
      </c>
      <c r="X122" s="156">
        <f ca="1"/>
        <v>3.7139749276848821E-4</v>
      </c>
      <c r="Y122" s="156">
        <f ca="1"/>
        <v>6.973296232443138E-4</v>
      </c>
      <c r="Z122" s="156">
        <f ca="1"/>
        <v>2.7765167288917869E-3</v>
      </c>
      <c r="AA122" s="156">
        <f ca="1"/>
        <v>5.7175306893174627E-3</v>
      </c>
      <c r="AB122" s="156">
        <f ca="1"/>
        <v>0</v>
      </c>
      <c r="AC122" s="156">
        <f ca="1"/>
        <v>1.5695478296816723E-2</v>
      </c>
      <c r="AD122" s="156">
        <f ca="1"/>
        <v>2.8202612680561789E-2</v>
      </c>
      <c r="AE122" s="138">
        <f ca="1"/>
        <v>5.1095992094374543E-2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6.4985556770325026E-4</v>
      </c>
      <c r="P123" s="156">
        <f ca="1"/>
        <v>2.1329615809273506E-3</v>
      </c>
      <c r="Q123" s="156">
        <f ca="1"/>
        <v>6.602405498485342E-3</v>
      </c>
      <c r="R123" s="156">
        <f ca="1"/>
        <v>1.3494700464757314E-2</v>
      </c>
      <c r="S123" s="156">
        <f ca="1"/>
        <v>0</v>
      </c>
      <c r="T123" s="156">
        <f ca="1"/>
        <v>3.28056923392257E-2</v>
      </c>
      <c r="U123" s="156">
        <f ca="1"/>
        <v>5.5413314471597364E-2</v>
      </c>
      <c r="V123" s="138">
        <f ca="1"/>
        <v>9.4221135043008775E-2</v>
      </c>
      <c r="W123" s="137">
        <f ca="1"/>
        <v>0</v>
      </c>
      <c r="X123" s="156">
        <f ca="1"/>
        <v>7.4265666409367714E-4</v>
      </c>
      <c r="Y123" s="156">
        <f ca="1"/>
        <v>2.2992588955043081E-3</v>
      </c>
      <c r="Z123" s="156">
        <f ca="1"/>
        <v>6.9334828473663901E-3</v>
      </c>
      <c r="AA123" s="156">
        <f ca="1"/>
        <v>1.3987829821928588E-2</v>
      </c>
      <c r="AB123" s="156">
        <f ca="1"/>
        <v>0</v>
      </c>
      <c r="AC123" s="156">
        <f ca="1"/>
        <v>3.361135185752806E-2</v>
      </c>
      <c r="AD123" s="156">
        <f ca="1"/>
        <v>5.6539802307065679E-2</v>
      </c>
      <c r="AE123" s="138">
        <f ca="1"/>
        <v>9.5729509157017167E-2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5.5704488486529868E-4</v>
      </c>
      <c r="P124" s="156">
        <f ca="1"/>
        <v>1.4193193509048907E-3</v>
      </c>
      <c r="Q124" s="156">
        <f ca="1"/>
        <v>4.871465634139871E-3</v>
      </c>
      <c r="R124" s="156">
        <f ca="1"/>
        <v>1.0408975229282191E-2</v>
      </c>
      <c r="S124" s="156">
        <f ca="1"/>
        <v>0</v>
      </c>
      <c r="T124" s="156">
        <f ca="1"/>
        <v>2.6906018266553478E-2</v>
      </c>
      <c r="U124" s="156">
        <f ca="1"/>
        <v>4.7377730350479874E-2</v>
      </c>
      <c r="V124" s="138">
        <f ca="1"/>
        <v>8.128206673065419E-2</v>
      </c>
      <c r="W124" s="137">
        <f ca="1"/>
        <v>0</v>
      </c>
      <c r="X124" s="156">
        <f ca="1"/>
        <v>6.4985483622026496E-4</v>
      </c>
      <c r="Y124" s="156">
        <f ca="1"/>
        <v>1.5857355959494335E-3</v>
      </c>
      <c r="Z124" s="156">
        <f ca="1"/>
        <v>5.2031198668229806E-3</v>
      </c>
      <c r="AA124" s="156">
        <f ca="1"/>
        <v>1.0903647063390198E-2</v>
      </c>
      <c r="AB124" s="156">
        <f ca="1"/>
        <v>0</v>
      </c>
      <c r="AC124" s="156">
        <f ca="1"/>
        <v>2.7716592131978968E-2</v>
      </c>
      <c r="AD124" s="156">
        <f ca="1"/>
        <v>4.8514180995058109E-2</v>
      </c>
      <c r="AE124" s="138">
        <f ca="1"/>
        <v>8.2838524934433777E-2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1.9483020672479423E-3</v>
      </c>
      <c r="P125" s="156">
        <f ca="1"/>
        <v>3.7094449343560987E-3</v>
      </c>
      <c r="Q125" s="156">
        <f ca="1"/>
        <v>1.3174171575582649E-2</v>
      </c>
      <c r="R125" s="156">
        <f ca="1"/>
        <v>3.6889454199661165E-2</v>
      </c>
      <c r="S125" s="156">
        <f ca="1"/>
        <v>0</v>
      </c>
      <c r="T125" s="156">
        <f ca="1"/>
        <v>8.1380168394056818E-2</v>
      </c>
      <c r="U125" s="156">
        <f ca="1"/>
        <v>0.13412014320237664</v>
      </c>
      <c r="V125" s="138">
        <f ca="1"/>
        <v>0.21314988300988724</v>
      </c>
      <c r="W125" s="137">
        <f ca="1"/>
        <v>0</v>
      </c>
      <c r="X125" s="156">
        <f ca="1"/>
        <v>2.0409752217086519E-3</v>
      </c>
      <c r="Y125" s="156">
        <f ca="1"/>
        <v>3.8754795235937944E-3</v>
      </c>
      <c r="Z125" s="156">
        <f ca="1"/>
        <v>1.3503058700832571E-2</v>
      </c>
      <c r="AA125" s="156">
        <f ca="1"/>
        <v>3.7370889103801375E-2</v>
      </c>
      <c r="AB125" s="156">
        <f ca="1"/>
        <v>0</v>
      </c>
      <c r="AC125" s="156">
        <f ca="1"/>
        <v>8.2171705235351222E-2</v>
      </c>
      <c r="AD125" s="156">
        <f ca="1"/>
        <v>0.13516797250213053</v>
      </c>
      <c r="AE125" s="138">
        <f ca="1"/>
        <v>0.21451940835431782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1.2992894533422339E-3</v>
      </c>
      <c r="P126" s="156">
        <f ca="1"/>
        <v>3.011020886335869E-3</v>
      </c>
      <c r="Q126" s="156">
        <f ca="1"/>
        <v>1.1116484482870392E-2</v>
      </c>
      <c r="R126" s="156">
        <f ca="1"/>
        <v>2.2779049249506023E-2</v>
      </c>
      <c r="S126" s="156">
        <f ca="1"/>
        <v>0</v>
      </c>
      <c r="T126" s="156">
        <f ca="1"/>
        <v>5.4811240905364489E-2</v>
      </c>
      <c r="U126" s="156">
        <f ca="1"/>
        <v>9.5220348607963579E-2</v>
      </c>
      <c r="V126" s="138">
        <f ca="1"/>
        <v>0.15492140437008028</v>
      </c>
      <c r="W126" s="137">
        <f ca="1"/>
        <v>0</v>
      </c>
      <c r="X126" s="156">
        <f ca="1"/>
        <v>1.3920275306570362E-3</v>
      </c>
      <c r="Y126" s="156">
        <f ca="1"/>
        <v>3.1771718698963003E-3</v>
      </c>
      <c r="Z126" s="156">
        <f ca="1"/>
        <v>1.1446057389506992E-2</v>
      </c>
      <c r="AA126" s="156">
        <f ca="1"/>
        <v>2.3267537592600251E-2</v>
      </c>
      <c r="AB126" s="156">
        <f ca="1"/>
        <v>0</v>
      </c>
      <c r="AC126" s="156">
        <f ca="1"/>
        <v>5.5598570105181877E-2</v>
      </c>
      <c r="AD126" s="156">
        <f ca="1"/>
        <v>9.627530935450046E-2</v>
      </c>
      <c r="AE126" s="138">
        <f ca="1"/>
        <v>0.15638911821134982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2.7856118988234257E-4</v>
      </c>
      <c r="P127" s="156">
        <f ca="1"/>
        <v>1.068057816943524E-3</v>
      </c>
      <c r="Q127" s="156">
        <f ca="1"/>
        <v>3.834802686009442E-3</v>
      </c>
      <c r="R127" s="156">
        <f ca="1"/>
        <v>7.2751786774941651E-3</v>
      </c>
      <c r="S127" s="156">
        <f ca="1"/>
        <v>0</v>
      </c>
      <c r="T127" s="156">
        <f ca="1"/>
        <v>1.9137529108701035E-2</v>
      </c>
      <c r="U127" s="156">
        <f ca="1"/>
        <v>3.1587890740384483E-2</v>
      </c>
      <c r="V127" s="138">
        <f ca="1"/>
        <v>5.3917698797399716E-2</v>
      </c>
      <c r="W127" s="137">
        <f ca="1"/>
        <v>0</v>
      </c>
      <c r="X127" s="156">
        <f ca="1"/>
        <v>3.7139749276848821E-4</v>
      </c>
      <c r="Y127" s="156">
        <f ca="1"/>
        <v>1.2345326006799606E-3</v>
      </c>
      <c r="Z127" s="156">
        <f ca="1"/>
        <v>4.1668024154327687E-3</v>
      </c>
      <c r="AA127" s="156">
        <f ca="1"/>
        <v>7.7714170182489051E-3</v>
      </c>
      <c r="AB127" s="156">
        <f ca="1"/>
        <v>0</v>
      </c>
      <c r="AC127" s="156">
        <f ca="1"/>
        <v>1.9954574018480331E-2</v>
      </c>
      <c r="AD127" s="156">
        <f ca="1"/>
        <v>3.2741789395345111E-2</v>
      </c>
      <c r="AE127" s="138">
        <f ca="1"/>
        <v>5.5522594109374324E-2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4.6422559508285666E-4</v>
      </c>
      <c r="P128" s="156">
        <f ca="1"/>
        <v>1.9586231235175777E-3</v>
      </c>
      <c r="Q128" s="156">
        <f ca="1"/>
        <v>6.6135034255387914E-3</v>
      </c>
      <c r="R128" s="156">
        <f ca="1"/>
        <v>1.2973476416975993E-2</v>
      </c>
      <c r="S128" s="156">
        <f ca="1"/>
        <v>0</v>
      </c>
      <c r="T128" s="156">
        <f ca="1"/>
        <v>3.2857839646196152E-2</v>
      </c>
      <c r="U128" s="156">
        <f ca="1"/>
        <v>5.546593203632677E-2</v>
      </c>
      <c r="V128" s="138">
        <f ca="1"/>
        <v>9.6149912531716009E-2</v>
      </c>
      <c r="W128" s="137">
        <f ca="1"/>
        <v>0</v>
      </c>
      <c r="X128" s="156">
        <f ca="1"/>
        <v>5.5704436557602044E-4</v>
      </c>
      <c r="Y128" s="156">
        <f ca="1"/>
        <v>2.1249494920878575E-3</v>
      </c>
      <c r="Z128" s="156">
        <f ca="1"/>
        <v>6.9445770757061709E-3</v>
      </c>
      <c r="AA128" s="156">
        <f ca="1"/>
        <v>1.3466866321017013E-2</v>
      </c>
      <c r="AB128" s="156">
        <f ca="1"/>
        <v>0</v>
      </c>
      <c r="AC128" s="156">
        <f ca="1"/>
        <v>3.3663455726477332E-2</v>
      </c>
      <c r="AD128" s="156">
        <f ca="1"/>
        <v>5.6592561821182552E-2</v>
      </c>
      <c r="AE128" s="138">
        <f ca="1"/>
        <v>9.7701101317495986E-2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9.282359864184464E-4</v>
      </c>
      <c r="P129" s="156">
        <f ca="1"/>
        <v>2.8415959637621002E-3</v>
      </c>
      <c r="Q129" s="156">
        <f ca="1"/>
        <v>8.326100665567715E-3</v>
      </c>
      <c r="R129" s="156">
        <f ca="1"/>
        <v>1.6036165633914856E-2</v>
      </c>
      <c r="S129" s="156">
        <f ca="1"/>
        <v>0</v>
      </c>
      <c r="T129" s="156">
        <f ca="1"/>
        <v>4.4926793637717788E-2</v>
      </c>
      <c r="U129" s="156">
        <f ca="1"/>
        <v>7.555138051352539E-2</v>
      </c>
      <c r="V129" s="138">
        <f ca="1"/>
        <v>0.12131269566968916</v>
      </c>
      <c r="W129" s="137">
        <f ca="1"/>
        <v>0</v>
      </c>
      <c r="X129" s="156">
        <f ca="1"/>
        <v>1.0210102993825076E-3</v>
      </c>
      <c r="Y129" s="156">
        <f ca="1"/>
        <v>3.0077751824569843E-3</v>
      </c>
      <c r="Z129" s="156">
        <f ca="1"/>
        <v>8.6566035451444145E-3</v>
      </c>
      <c r="AA129" s="156">
        <f ca="1"/>
        <v>1.6528024576120681E-2</v>
      </c>
      <c r="AB129" s="156">
        <f ca="1"/>
        <v>0</v>
      </c>
      <c r="AC129" s="156">
        <f ca="1"/>
        <v>4.5722356445795587E-2</v>
      </c>
      <c r="AD129" s="156">
        <f ca="1"/>
        <v>7.6653873889356072E-2</v>
      </c>
      <c r="AE129" s="138">
        <f ca="1"/>
        <v>0.12282461647271514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6.4985556770325026E-4</v>
      </c>
      <c r="P130" s="156">
        <f ca="1"/>
        <v>1.7750276155927835E-3</v>
      </c>
      <c r="Q130" s="156">
        <f ca="1"/>
        <v>5.9119039026633846E-3</v>
      </c>
      <c r="R130" s="156">
        <f ca="1"/>
        <v>1.2476085715962038E-2</v>
      </c>
      <c r="S130" s="156">
        <f ca="1"/>
        <v>0</v>
      </c>
      <c r="T130" s="156">
        <f ca="1"/>
        <v>3.2934930151411912E-2</v>
      </c>
      <c r="U130" s="156">
        <f ca="1"/>
        <v>5.812712120231156E-2</v>
      </c>
      <c r="V130" s="138">
        <f ca="1"/>
        <v>0.10343772324200928</v>
      </c>
      <c r="W130" s="137">
        <f ca="1"/>
        <v>0</v>
      </c>
      <c r="X130" s="156">
        <f ca="1"/>
        <v>7.4265666409367714E-4</v>
      </c>
      <c r="Y130" s="156">
        <f ca="1"/>
        <v>1.9413845808663455E-3</v>
      </c>
      <c r="Z130" s="156">
        <f ca="1"/>
        <v>6.2432113803736478E-3</v>
      </c>
      <c r="AA130" s="156">
        <f ca="1"/>
        <v>1.2969724253182768E-2</v>
      </c>
      <c r="AB130" s="156">
        <f ca="1"/>
        <v>0</v>
      </c>
      <c r="AC130" s="156">
        <f ca="1"/>
        <v>3.3740482016396012E-2</v>
      </c>
      <c r="AD130" s="156">
        <f ca="1"/>
        <v>5.9250942919898297E-2</v>
      </c>
      <c r="AE130" s="138">
        <f ca="1"/>
        <v>0.10498073788725371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1.0210122534125565E-3</v>
      </c>
      <c r="P131" s="156">
        <f ca="1"/>
        <v>2.6603785986276662E-3</v>
      </c>
      <c r="Q131" s="156">
        <f ca="1"/>
        <v>6.5738633575398442E-3</v>
      </c>
      <c r="R131" s="156">
        <f ca="1"/>
        <v>1.3465572326468722E-2</v>
      </c>
      <c r="S131" s="156">
        <f ca="1"/>
        <v>0</v>
      </c>
      <c r="T131" s="156">
        <f ca="1"/>
        <v>3.2775667226535687E-2</v>
      </c>
      <c r="U131" s="156">
        <f ca="1"/>
        <v>5.6674262656986052E-2</v>
      </c>
      <c r="V131" s="138">
        <f ca="1"/>
        <v>9.7777372320330569E-2</v>
      </c>
      <c r="W131" s="137">
        <f ca="1"/>
        <v>0</v>
      </c>
      <c r="X131" s="156">
        <f ca="1"/>
        <v>1.1137775643985659E-3</v>
      </c>
      <c r="Y131" s="156">
        <f ca="1"/>
        <v>2.8265880177005265E-3</v>
      </c>
      <c r="Z131" s="156">
        <f ca="1"/>
        <v>6.9049502188908152E-3</v>
      </c>
      <c r="AA131" s="156">
        <f ca="1"/>
        <v>1.3958716244038993E-2</v>
      </c>
      <c r="AB131" s="156">
        <f ca="1"/>
        <v>0</v>
      </c>
      <c r="AC131" s="156">
        <f ca="1"/>
        <v>3.358135175535093E-2</v>
      </c>
      <c r="AD131" s="156">
        <f ca="1"/>
        <v>5.7799165983124401E-2</v>
      </c>
      <c r="AE131" s="138">
        <f ca="1"/>
        <v>9.9326143397736488E-2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7.4265764477476903E-4</v>
      </c>
      <c r="P132" s="156">
        <f ca="1"/>
        <v>1.7727255902509897E-3</v>
      </c>
      <c r="Q132" s="156">
        <f ca="1"/>
        <v>6.6127473640757994E-3</v>
      </c>
      <c r="R132" s="156">
        <f ca="1"/>
        <v>1.2440067810354893E-2</v>
      </c>
      <c r="S132" s="156">
        <f ca="1"/>
        <v>0</v>
      </c>
      <c r="T132" s="156">
        <f ca="1"/>
        <v>3.2897528469377546E-2</v>
      </c>
      <c r="U132" s="156">
        <f ca="1"/>
        <v>5.4213774549469185E-2</v>
      </c>
      <c r="V132" s="138">
        <f ca="1"/>
        <v>9.259878523425058E-2</v>
      </c>
      <c r="W132" s="137">
        <f ca="1"/>
        <v>0</v>
      </c>
      <c r="X132" s="156">
        <f ca="1"/>
        <v>8.354498500481311E-4</v>
      </c>
      <c r="Y132" s="156">
        <f ca="1"/>
        <v>1.9390829391621178E-3</v>
      </c>
      <c r="Z132" s="156">
        <f ca="1"/>
        <v>6.9438212662236154E-3</v>
      </c>
      <c r="AA132" s="156">
        <f ca="1"/>
        <v>1.2933724352028109E-2</v>
      </c>
      <c r="AB132" s="156">
        <f ca="1"/>
        <v>0</v>
      </c>
      <c r="AC132" s="156">
        <f ca="1"/>
        <v>3.3703111489418625E-2</v>
      </c>
      <c r="AD132" s="156">
        <f ca="1"/>
        <v>5.534196761810195E-2</v>
      </c>
      <c r="AE132" s="138">
        <f ca="1"/>
        <v>9.4109861012545037E-2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6.4985556770325026E-4</v>
      </c>
      <c r="P133" s="156">
        <f ca="1"/>
        <v>1.4170335872464301E-3</v>
      </c>
      <c r="Q133" s="156">
        <f ca="1"/>
        <v>4.5172187369558747E-3</v>
      </c>
      <c r="R133" s="156">
        <f ca="1"/>
        <v>8.8224603516980915E-3</v>
      </c>
      <c r="S133" s="156">
        <f ca="1"/>
        <v>0</v>
      </c>
      <c r="T133" s="156">
        <f ca="1"/>
        <v>2.3454553823359037E-2</v>
      </c>
      <c r="U133" s="156">
        <f ca="1"/>
        <v>3.7481929573900619E-2</v>
      </c>
      <c r="V133" s="138">
        <f ca="1"/>
        <v>6.7870396396646382E-2</v>
      </c>
      <c r="W133" s="137">
        <f ca="1"/>
        <v>0</v>
      </c>
      <c r="X133" s="156">
        <f ca="1"/>
        <v>7.4265666409367714E-4</v>
      </c>
      <c r="Y133" s="156">
        <f ca="1"/>
        <v>1.5834502132131556E-3</v>
      </c>
      <c r="Z133" s="156">
        <f ca="1"/>
        <v>4.8489910322649932E-3</v>
      </c>
      <c r="AA133" s="156">
        <f ca="1"/>
        <v>9.3179252449709926E-3</v>
      </c>
      <c r="AB133" s="156">
        <f ca="1"/>
        <v>0</v>
      </c>
      <c r="AC133" s="156">
        <f ca="1"/>
        <v>2.4268002711092529E-2</v>
      </c>
      <c r="AD133" s="156">
        <f ca="1"/>
        <v>3.8629129578122812E-2</v>
      </c>
      <c r="AE133" s="138">
        <f ca="1"/>
        <v>6.9450084393945177E-2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2.7856118988234257E-4</v>
      </c>
      <c r="P134" s="156">
        <f ca="1"/>
        <v>1.068057816943524E-3</v>
      </c>
      <c r="Q134" s="156">
        <f ca="1"/>
        <v>4.5389638042747649E-3</v>
      </c>
      <c r="R134" s="156">
        <f ca="1"/>
        <v>9.3781989871384308E-3</v>
      </c>
      <c r="S134" s="156">
        <f ca="1"/>
        <v>0</v>
      </c>
      <c r="T134" s="156">
        <f ca="1"/>
        <v>2.5231036092480452E-2</v>
      </c>
      <c r="U134" s="156">
        <f ca="1"/>
        <v>4.2486559519432698E-2</v>
      </c>
      <c r="V134" s="138">
        <f ca="1"/>
        <v>7.8487029651153284E-2</v>
      </c>
      <c r="W134" s="137">
        <f ca="1"/>
        <v>0</v>
      </c>
      <c r="X134" s="156">
        <f ca="1"/>
        <v>3.7139749276848821E-4</v>
      </c>
      <c r="Y134" s="156">
        <f ca="1"/>
        <v>1.2345326006799606E-3</v>
      </c>
      <c r="Z134" s="156">
        <f ca="1"/>
        <v>4.8707288524364456E-3</v>
      </c>
      <c r="AA134" s="156">
        <f ca="1"/>
        <v>9.8733860805675366E-3</v>
      </c>
      <c r="AB134" s="156">
        <f ca="1"/>
        <v>0</v>
      </c>
      <c r="AC134" s="156">
        <f ca="1"/>
        <v>2.6043005194938518E-2</v>
      </c>
      <c r="AD134" s="156">
        <f ca="1"/>
        <v>4.3628631193601497E-2</v>
      </c>
      <c r="AE134" s="138">
        <f ca="1"/>
        <v>8.0047434929038763E-2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5.5704488486529868E-4</v>
      </c>
      <c r="P135" s="156">
        <f ca="1"/>
        <v>1.5983320934883638E-3</v>
      </c>
      <c r="Q135" s="156">
        <f ca="1"/>
        <v>6.2722385410258763E-3</v>
      </c>
      <c r="R135" s="156">
        <f ca="1"/>
        <v>1.3000859220416272E-2</v>
      </c>
      <c r="S135" s="156">
        <f ca="1"/>
        <v>0</v>
      </c>
      <c r="T135" s="156">
        <f ca="1"/>
        <v>3.3778278709576282E-2</v>
      </c>
      <c r="U135" s="156">
        <f ca="1"/>
        <v>5.7980670603160145E-2</v>
      </c>
      <c r="V135" s="138">
        <f ca="1"/>
        <v>0.10896324590147199</v>
      </c>
      <c r="W135" s="137">
        <f ca="1"/>
        <v>0</v>
      </c>
      <c r="X135" s="156">
        <f ca="1"/>
        <v>6.4985483622026496E-4</v>
      </c>
      <c r="Y135" s="156">
        <f ca="1"/>
        <v>1.7647185055548187E-3</v>
      </c>
      <c r="Z135" s="156">
        <f ca="1"/>
        <v>6.6034259272202966E-3</v>
      </c>
      <c r="AA135" s="156">
        <f ca="1"/>
        <v>1.3494235436456337E-2</v>
      </c>
      <c r="AB135" s="156">
        <f ca="1"/>
        <v>0</v>
      </c>
      <c r="AC135" s="156">
        <f ca="1"/>
        <v>3.4583128076859371E-2</v>
      </c>
      <c r="AD135" s="156">
        <f ca="1"/>
        <v>5.9104594757291351E-2</v>
      </c>
      <c r="AE135" s="138">
        <f ca="1"/>
        <v>0.11050012362479977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1.0952270742498049E-3</v>
      </c>
      <c r="P136" s="156">
        <f ca="1"/>
        <v>2.7121642553423753E-3</v>
      </c>
      <c r="Q136" s="156">
        <f ca="1"/>
        <v>7.1673438981554316E-3</v>
      </c>
      <c r="R136" s="156">
        <f ca="1"/>
        <v>1.2847410202944776E-2</v>
      </c>
      <c r="S136" s="156">
        <f ca="1"/>
        <v>0</v>
      </c>
      <c r="T136" s="156">
        <f ca="1"/>
        <v>2.7429665396884739E-2</v>
      </c>
      <c r="U136" s="156">
        <f ca="1"/>
        <v>4.3276494935419962E-2</v>
      </c>
      <c r="V136" s="138">
        <f ca="1"/>
        <v>6.7893608108648307E-2</v>
      </c>
      <c r="W136" s="137">
        <f ca="1"/>
        <v>0</v>
      </c>
      <c r="X136" s="156">
        <f ca="1"/>
        <v>1.1879851565397281E-3</v>
      </c>
      <c r="Y136" s="156">
        <f ca="1"/>
        <v>2.8783650441820408E-3</v>
      </c>
      <c r="Z136" s="156">
        <f ca="1"/>
        <v>7.4982329655983726E-3</v>
      </c>
      <c r="AA136" s="156">
        <f ca="1"/>
        <v>1.3340863124336355E-2</v>
      </c>
      <c r="AB136" s="156">
        <f ca="1"/>
        <v>0</v>
      </c>
      <c r="AC136" s="156">
        <f ca="1"/>
        <v>2.8239803071461345E-2</v>
      </c>
      <c r="AD136" s="156">
        <f ca="1"/>
        <v>4.4415777414280044E-2</v>
      </c>
      <c r="AE136" s="138">
        <f ca="1"/>
        <v>6.9471781065132965E-2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1.2645288830771539E-3</v>
      </c>
      <c r="Q137" s="156">
        <f ca="1"/>
        <v>0</v>
      </c>
      <c r="R137" s="156">
        <f ca="1"/>
        <v>9.4033901320041968E-3</v>
      </c>
      <c r="S137" s="156">
        <f ca="1"/>
        <v>0</v>
      </c>
      <c r="T137" s="156">
        <f ca="1"/>
        <v>2.3860281763755986E-2</v>
      </c>
      <c r="U137" s="156">
        <f ca="1"/>
        <v>3.7184129065447991E-2</v>
      </c>
      <c r="V137" s="138">
        <f ca="1"/>
        <v>6.2899363170737965E-2</v>
      </c>
      <c r="W137" s="137">
        <f ca="1"/>
        <v>0</v>
      </c>
      <c r="X137" s="156">
        <f ca="1"/>
        <v>0</v>
      </c>
      <c r="Y137" s="156">
        <f ca="1"/>
        <v>1.4309709243925939E-3</v>
      </c>
      <c r="Z137" s="156">
        <f ca="1"/>
        <v>0</v>
      </c>
      <c r="AA137" s="156">
        <f ca="1"/>
        <v>9.8985646330022048E-3</v>
      </c>
      <c r="AB137" s="156">
        <f ca="1"/>
        <v>0</v>
      </c>
      <c r="AC137" s="156">
        <f ca="1"/>
        <v>2.4673392685709228E-2</v>
      </c>
      <c r="AD137" s="156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2.5133485202567529E-3</v>
      </c>
      <c r="Q138" s="156">
        <f ca="1"/>
        <v>0</v>
      </c>
      <c r="R138" s="156">
        <f ca="1"/>
        <v>1.3609018674823781E-2</v>
      </c>
      <c r="S138" s="156">
        <f ca="1"/>
        <v>0</v>
      </c>
      <c r="T138" s="156">
        <f ca="1"/>
        <v>3.3262857910175581E-2</v>
      </c>
      <c r="U138" s="156">
        <f ca="1"/>
        <v>5.7674761795750595E-2</v>
      </c>
      <c r="V138" s="138">
        <f ca="1"/>
        <v>9.7848961769685272E-2</v>
      </c>
      <c r="W138" s="137">
        <f ca="1"/>
        <v>0</v>
      </c>
      <c r="X138" s="156">
        <f ca="1"/>
        <v>0</v>
      </c>
      <c r="Y138" s="156">
        <f ca="1"/>
        <v>2.6795824422980452E-3</v>
      </c>
      <c r="Z138" s="156">
        <f ca="1"/>
        <v>0</v>
      </c>
      <c r="AA138" s="156">
        <f ca="1"/>
        <v>1.4102090887170293E-2</v>
      </c>
      <c r="AB138" s="156">
        <f ca="1"/>
        <v>0</v>
      </c>
      <c r="AC138" s="156">
        <f ca="1"/>
        <v>3.4068136615873157E-2</v>
      </c>
      <c r="AD138" s="156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1.2436358769156719E-3</v>
      </c>
      <c r="P139" s="156">
        <f ca="1"/>
        <v>3.6918531872806026E-3</v>
      </c>
      <c r="Q139" s="156">
        <f ca="1"/>
        <v>1.0566755793972482E-2</v>
      </c>
      <c r="R139" s="156">
        <f ca="1"/>
        <v>1.8220415177120586E-2</v>
      </c>
      <c r="S139" s="156">
        <f ca="1"/>
        <v>0</v>
      </c>
      <c r="T139" s="156">
        <f ca="1"/>
        <v>3.6353114225047167E-2</v>
      </c>
      <c r="U139" s="156">
        <f ca="1"/>
        <v>5.4893207245415909E-2</v>
      </c>
      <c r="V139" s="138">
        <f ca="1"/>
        <v>8.3951839380907667E-2</v>
      </c>
      <c r="W139" s="137">
        <f ca="1"/>
        <v>0</v>
      </c>
      <c r="X139" s="156">
        <f ca="1"/>
        <v>1.3363791047872331E-3</v>
      </c>
      <c r="Y139" s="156">
        <f ca="1"/>
        <v>3.8578907082327252E-3</v>
      </c>
      <c r="Z139" s="156">
        <f ca="1"/>
        <v>1.0896511912972917E-2</v>
      </c>
      <c r="AA139" s="156">
        <f ca="1"/>
        <v>1.8711182267522442E-2</v>
      </c>
      <c r="AB139" s="156">
        <f ca="1"/>
        <v>0</v>
      </c>
      <c r="AC139" s="156">
        <f ca="1"/>
        <v>3.7155818789800232E-2</v>
      </c>
      <c r="AD139" s="156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1.3741055129523616E-3</v>
      </c>
      <c r="Q140" s="156">
        <f ca="1"/>
        <v>0</v>
      </c>
      <c r="R140" s="156">
        <f ca="1"/>
        <v>7.731346813689921E-3</v>
      </c>
      <c r="S140" s="156">
        <f ca="1"/>
        <v>0</v>
      </c>
      <c r="T140" s="156">
        <f ca="1"/>
        <v>1.8807857967923725E-2</v>
      </c>
      <c r="U140" s="156">
        <f ca="1"/>
        <v>3.0410059943794421E-2</v>
      </c>
      <c r="V140" s="138">
        <f ca="1"/>
        <v>6.1775496684611464E-2</v>
      </c>
      <c r="W140" s="137">
        <f ca="1"/>
        <v>0</v>
      </c>
      <c r="X140" s="156">
        <f ca="1"/>
        <v>0</v>
      </c>
      <c r="Y140" s="156">
        <f ca="1"/>
        <v>1.5405292929854264E-3</v>
      </c>
      <c r="Z140" s="156">
        <f ca="1"/>
        <v>0</v>
      </c>
      <c r="AA140" s="156">
        <f ca="1"/>
        <v>8.2273571273520085E-3</v>
      </c>
      <c r="AB140" s="156">
        <f ca="1"/>
        <v>0</v>
      </c>
      <c r="AC140" s="156">
        <f ca="1"/>
        <v>1.9625177489220325E-2</v>
      </c>
      <c r="AD140" s="156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1.6674293642588989E-3</v>
      </c>
      <c r="Q141" s="156">
        <f ca="1"/>
        <v>0</v>
      </c>
      <c r="R141" s="156">
        <f ca="1"/>
        <v>1.3990430918900953E-2</v>
      </c>
      <c r="S141" s="156">
        <f ca="1"/>
        <v>0</v>
      </c>
      <c r="T141" s="156">
        <f ca="1"/>
        <v>3.3723574293051506E-2</v>
      </c>
      <c r="U141" s="156">
        <f ca="1"/>
        <v>5.5794997197432084E-2</v>
      </c>
      <c r="V141" s="138">
        <f ca="1"/>
        <v>9.8247965850615016E-2</v>
      </c>
      <c r="W141" s="137">
        <f ca="1"/>
        <v>0</v>
      </c>
      <c r="X141" s="156">
        <f ca="1"/>
        <v>0</v>
      </c>
      <c r="Y141" s="156">
        <f ca="1"/>
        <v>1.8338042610678285E-3</v>
      </c>
      <c r="Z141" s="156">
        <f ca="1"/>
        <v>0</v>
      </c>
      <c r="AA141" s="156">
        <f ca="1"/>
        <v>1.4483312472769461E-2</v>
      </c>
      <c r="AB141" s="156">
        <f ca="1"/>
        <v>0</v>
      </c>
      <c r="AC141" s="156">
        <f ca="1"/>
        <v>3.4528469228355063E-2</v>
      </c>
      <c r="AD141" s="156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2.1319782706600288E-3</v>
      </c>
      <c r="Q142" s="156">
        <f ca="1"/>
        <v>0</v>
      </c>
      <c r="R142" s="156">
        <f ca="1"/>
        <v>9.8811139812525761E-3</v>
      </c>
      <c r="S142" s="156">
        <f ca="1"/>
        <v>0</v>
      </c>
      <c r="T142" s="156">
        <f ca="1"/>
        <v>2.0699720716882419E-2</v>
      </c>
      <c r="U142" s="156">
        <f ca="1"/>
        <v>3.2142221070117882E-2</v>
      </c>
      <c r="V142" s="138">
        <f ca="1"/>
        <v>5.5774923485873429E-2</v>
      </c>
      <c r="W142" s="137">
        <f ca="1"/>
        <v>0</v>
      </c>
      <c r="X142" s="156">
        <f ca="1"/>
        <v>0</v>
      </c>
      <c r="Y142" s="156">
        <f ca="1"/>
        <v>2.2982757490949135E-3</v>
      </c>
      <c r="Z142" s="156">
        <f ca="1"/>
        <v>0</v>
      </c>
      <c r="AA142" s="156">
        <f ca="1"/>
        <v>1.037604968001582E-2</v>
      </c>
      <c r="AB142" s="156">
        <f ca="1"/>
        <v>0</v>
      </c>
      <c r="AC142" s="156">
        <f ca="1"/>
        <v>2.151546434259799E-2</v>
      </c>
      <c r="AD142" s="156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2.0825307962583084E-3</v>
      </c>
      <c r="Q143" s="156">
        <f ca="1"/>
        <v>0</v>
      </c>
      <c r="R143" s="156">
        <f ca="1"/>
        <v>1.1873674581774019E-2</v>
      </c>
      <c r="S143" s="156">
        <f ca="1"/>
        <v>0</v>
      </c>
      <c r="T143" s="156">
        <f ca="1"/>
        <v>2.9169631798185214E-2</v>
      </c>
      <c r="U143" s="156">
        <f ca="1"/>
        <v>5.2961946537993243E-2</v>
      </c>
      <c r="V143" s="138">
        <f ca="1"/>
        <v>9.2641515704560584E-2</v>
      </c>
      <c r="W143" s="137">
        <f ca="1"/>
        <v>0</v>
      </c>
      <c r="X143" s="156">
        <f ca="1"/>
        <v>0</v>
      </c>
      <c r="Y143" s="156">
        <f ca="1"/>
        <v>2.2488365152585343E-3</v>
      </c>
      <c r="Z143" s="156">
        <f ca="1"/>
        <v>0</v>
      </c>
      <c r="AA143" s="156">
        <f ca="1"/>
        <v>1.2367614249250702E-2</v>
      </c>
      <c r="AB143" s="156">
        <f ca="1"/>
        <v>0</v>
      </c>
      <c r="AC143" s="156">
        <f ca="1"/>
        <v>2.9978320104739442E-2</v>
      </c>
      <c r="AD143" s="156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2.1037228686712206E-3</v>
      </c>
      <c r="Q144" s="156">
        <f ca="1"/>
        <v>0</v>
      </c>
      <c r="R144" s="156">
        <f ca="1"/>
        <v>1.2527546433242942E-2</v>
      </c>
      <c r="S144" s="156">
        <f ca="1"/>
        <v>0</v>
      </c>
      <c r="T144" s="156">
        <f ca="1"/>
        <v>3.0388157904753355E-2</v>
      </c>
      <c r="U144" s="156">
        <f ca="1"/>
        <v>4.3656411689497854E-2</v>
      </c>
      <c r="V144" s="138">
        <f ca="1"/>
        <v>6.4900595110023773E-2</v>
      </c>
      <c r="W144" s="137">
        <f ca="1"/>
        <v>0</v>
      </c>
      <c r="X144" s="156">
        <f ca="1"/>
        <v>0</v>
      </c>
      <c r="Y144" s="156">
        <f ca="1"/>
        <v>2.2700250559570812E-3</v>
      </c>
      <c r="Z144" s="156">
        <f ca="1"/>
        <v>0</v>
      </c>
      <c r="AA144" s="156">
        <f ca="1"/>
        <v>1.3021159246578984E-2</v>
      </c>
      <c r="AB144" s="156">
        <f ca="1"/>
        <v>0</v>
      </c>
      <c r="AC144" s="156">
        <f ca="1"/>
        <v>3.1195831195874768E-2</v>
      </c>
      <c r="AD144" s="156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1.9500702263623992E-3</v>
      </c>
      <c r="Q145" s="156">
        <f ca="1"/>
        <v>0</v>
      </c>
      <c r="R145" s="156">
        <f ca="1"/>
        <v>9.3005536776513686E-3</v>
      </c>
      <c r="S145" s="156">
        <f ca="1"/>
        <v>0</v>
      </c>
      <c r="T145" s="156">
        <f ca="1"/>
        <v>2.207506055987174E-2</v>
      </c>
      <c r="U145" s="156">
        <f ca="1"/>
        <v>4.23591348623783E-2</v>
      </c>
      <c r="V145" s="138">
        <f ca="1"/>
        <v>7.4732658901387028E-2</v>
      </c>
      <c r="W145" s="137">
        <f ca="1"/>
        <v>0</v>
      </c>
      <c r="X145" s="156">
        <f ca="1"/>
        <v>0</v>
      </c>
      <c r="Y145" s="156">
        <f ca="1"/>
        <v>2.1163980202744126E-3</v>
      </c>
      <c r="Z145" s="156">
        <f ca="1"/>
        <v>0</v>
      </c>
      <c r="AA145" s="156">
        <f ca="1"/>
        <v>9.7957795840372119E-3</v>
      </c>
      <c r="AB145" s="156">
        <f ca="1"/>
        <v>0</v>
      </c>
      <c r="AC145" s="156">
        <f ca="1"/>
        <v>2.288965854640479E-2</v>
      </c>
      <c r="AD145" s="156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2.0719345925962473E-3</v>
      </c>
      <c r="Q146" s="156">
        <f ca="1"/>
        <v>0</v>
      </c>
      <c r="R146" s="156">
        <f ca="1"/>
        <v>1.6016038664327104E-2</v>
      </c>
      <c r="S146" s="156">
        <f ca="1"/>
        <v>0</v>
      </c>
      <c r="T146" s="156">
        <f ca="1"/>
        <v>3.346141535184799E-2</v>
      </c>
      <c r="U146" s="156">
        <f ca="1"/>
        <v>5.7911295835664123E-2</v>
      </c>
      <c r="V146" s="138">
        <f ca="1"/>
        <v>0.10638645620861265</v>
      </c>
      <c r="W146" s="137">
        <f ca="1"/>
        <v>0</v>
      </c>
      <c r="X146" s="156">
        <f ca="1"/>
        <v>0</v>
      </c>
      <c r="Y146" s="156">
        <f ca="1"/>
        <v>2.2382420775028944E-3</v>
      </c>
      <c r="Z146" s="156">
        <f ca="1"/>
        <v>0</v>
      </c>
      <c r="AA146" s="156">
        <f ca="1"/>
        <v>1.6507907667484334E-2</v>
      </c>
      <c r="AB146" s="156">
        <f ca="1"/>
        <v>0</v>
      </c>
      <c r="AC146" s="156">
        <f ca="1"/>
        <v>3.4266528661902496E-2</v>
      </c>
      <c r="AD146" s="156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1.8352569539594743E-3</v>
      </c>
      <c r="Q147" s="156">
        <f ca="1"/>
        <v>0</v>
      </c>
      <c r="R147" s="156">
        <f ca="1"/>
        <v>1.473102557401329E-2</v>
      </c>
      <c r="S147" s="156">
        <f ca="1"/>
        <v>0</v>
      </c>
      <c r="T147" s="156">
        <f ca="1"/>
        <v>3.7518715227105259E-2</v>
      </c>
      <c r="U147" s="156">
        <f ca="1"/>
        <v>6.592273532337467E-2</v>
      </c>
      <c r="V147" s="138">
        <f ca="1"/>
        <v>0.12473849653385327</v>
      </c>
      <c r="W147" s="137">
        <f ca="1"/>
        <v>0</v>
      </c>
      <c r="X147" s="156">
        <f ca="1"/>
        <v>0</v>
      </c>
      <c r="Y147" s="156">
        <f ca="1"/>
        <v>2.0016038818216897E-3</v>
      </c>
      <c r="Z147" s="156">
        <f ca="1"/>
        <v>0</v>
      </c>
      <c r="AA147" s="156">
        <f ca="1"/>
        <v>1.5223536923107961E-2</v>
      </c>
      <c r="AB147" s="156">
        <f ca="1"/>
        <v>0</v>
      </c>
      <c r="AC147" s="156">
        <f ca="1"/>
        <v>3.8320448862348866E-2</v>
      </c>
      <c r="AD147" s="156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1.6886301837989448E-3</v>
      </c>
      <c r="Q148" s="156">
        <f ca="1"/>
        <v>0</v>
      </c>
      <c r="R148" s="156">
        <f ca="1"/>
        <v>9.3355271262339778E-3</v>
      </c>
      <c r="S148" s="156">
        <f ca="1"/>
        <v>0</v>
      </c>
      <c r="T148" s="156">
        <f ca="1"/>
        <v>3.0345911650913493E-2</v>
      </c>
      <c r="U148" s="156">
        <f ca="1"/>
        <v>5.7832572996468712E-2</v>
      </c>
      <c r="V148" s="138">
        <f ca="1"/>
        <v>0.11233043886187821</v>
      </c>
      <c r="W148" s="137">
        <f ca="1"/>
        <v>0</v>
      </c>
      <c r="X148" s="156">
        <f ca="1"/>
        <v>0</v>
      </c>
      <c r="Y148" s="156">
        <f ca="1"/>
        <v>1.8550015474357862E-3</v>
      </c>
      <c r="Z148" s="156">
        <f ca="1"/>
        <v>0</v>
      </c>
      <c r="AA148" s="156">
        <f ca="1"/>
        <v>9.830735550244607E-3</v>
      </c>
      <c r="AB148" s="156">
        <f ca="1"/>
        <v>0</v>
      </c>
      <c r="AC148" s="156">
        <f ca="1"/>
        <v>3.115362013260714E-2</v>
      </c>
      <c r="AD148" s="156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1.1160511848837817E-3</v>
      </c>
      <c r="Q149" s="156">
        <f ca="1"/>
        <v>0</v>
      </c>
      <c r="R149" s="156">
        <f ca="1"/>
        <v>9.716757605742643E-3</v>
      </c>
      <c r="S149" s="156">
        <f ca="1"/>
        <v>0</v>
      </c>
      <c r="T149" s="156">
        <f ca="1"/>
        <v>2.9921471205654693E-2</v>
      </c>
      <c r="U149" s="156">
        <f ca="1"/>
        <v>5.3011582401489177E-2</v>
      </c>
      <c r="V149" s="138">
        <f ca="1"/>
        <v>0.10202272666137779</v>
      </c>
      <c r="W149" s="137">
        <f ca="1"/>
        <v>0</v>
      </c>
      <c r="X149" s="156">
        <f ca="1"/>
        <v>0</v>
      </c>
      <c r="Y149" s="156">
        <f ca="1"/>
        <v>1.2825179703969125E-3</v>
      </c>
      <c r="Z149" s="156">
        <f ca="1"/>
        <v>0</v>
      </c>
      <c r="AA149" s="156">
        <f ca="1"/>
        <v>1.0211775462151573E-2</v>
      </c>
      <c r="AB149" s="156">
        <f ca="1"/>
        <v>0</v>
      </c>
      <c r="AC149" s="156">
        <f ca="1"/>
        <v>3.0729533240349105E-2</v>
      </c>
      <c r="AD149" s="156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5.8028881125182785E-4</v>
      </c>
      <c r="Q150" s="156">
        <f ca="1"/>
        <v>0</v>
      </c>
      <c r="R150" s="156">
        <f ca="1"/>
        <v>5.1141010000160803E-3</v>
      </c>
      <c r="S150" s="156">
        <f ca="1"/>
        <v>0</v>
      </c>
      <c r="T150" s="156">
        <f ca="1"/>
        <v>1.435448977549636E-2</v>
      </c>
      <c r="U150" s="156">
        <f ca="1"/>
        <v>2.7243490213553212E-2</v>
      </c>
      <c r="V150" s="138">
        <f ca="1"/>
        <v>5.2954092297753386E-2</v>
      </c>
      <c r="W150" s="137">
        <f ca="1"/>
        <v>0</v>
      </c>
      <c r="X150" s="156">
        <f ca="1"/>
        <v>0</v>
      </c>
      <c r="Y150" s="156">
        <f ca="1"/>
        <v>7.4684488306542285E-4</v>
      </c>
      <c r="Z150" s="156">
        <f ca="1"/>
        <v>0</v>
      </c>
      <c r="AA150" s="156">
        <f ca="1"/>
        <v>5.6114196094879665E-3</v>
      </c>
      <c r="AB150" s="156">
        <f ca="1"/>
        <v>0</v>
      </c>
      <c r="AC150" s="156">
        <f ca="1"/>
        <v>1.517551889105595E-2</v>
      </c>
      <c r="AD150" s="156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5.3302960357051177E-3</v>
      </c>
      <c r="Q151" s="156">
        <f ca="1"/>
        <v>0</v>
      </c>
      <c r="R151" s="156">
        <f ca="1"/>
        <v>4.7866870826256736E-2</v>
      </c>
      <c r="S151" s="156">
        <f ca="1"/>
        <v>0</v>
      </c>
      <c r="T151" s="156">
        <f ca="1"/>
        <v>0.12663471609912547</v>
      </c>
      <c r="U151" s="156">
        <f ca="1"/>
        <v>0.19735579201341125</v>
      </c>
      <c r="V151" s="138">
        <f ca="1"/>
        <v>0.30201569557321484</v>
      </c>
      <c r="W151" s="137">
        <f ca="1"/>
        <v>0</v>
      </c>
      <c r="X151" s="156">
        <f ca="1"/>
        <v>0</v>
      </c>
      <c r="Y151" s="156">
        <f ca="1"/>
        <v>5.4960605056013634E-3</v>
      </c>
      <c r="Z151" s="156">
        <f ca="1"/>
        <v>0</v>
      </c>
      <c r="AA151" s="156">
        <f ca="1"/>
        <v>4.8342818394008669E-2</v>
      </c>
      <c r="AB151" s="156">
        <f ca="1"/>
        <v>0</v>
      </c>
      <c r="AC151" s="156">
        <f ca="1"/>
        <v>0.12739511937733106</v>
      </c>
      <c r="AD151" s="156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9.3926345047601334E-4</v>
      </c>
      <c r="Q152" s="156">
        <f ca="1"/>
        <v>0</v>
      </c>
      <c r="R152" s="156">
        <f ca="1"/>
        <v>3.4770172204563465E-3</v>
      </c>
      <c r="S152" s="156">
        <f ca="1"/>
        <v>0</v>
      </c>
      <c r="T152" s="156">
        <f ca="1"/>
        <v>1.011575318449387E-2</v>
      </c>
      <c r="U152" s="156">
        <f ca="1"/>
        <v>1.8466463027543845E-2</v>
      </c>
      <c r="V152" s="138">
        <f ca="1"/>
        <v>3.5526665199733798E-2</v>
      </c>
      <c r="W152" s="137">
        <f ca="1"/>
        <v>0</v>
      </c>
      <c r="X152" s="156">
        <f ca="1"/>
        <v>0</v>
      </c>
      <c r="Y152" s="156">
        <f ca="1"/>
        <v>1.1057596981427498E-3</v>
      </c>
      <c r="Z152" s="156">
        <f ca="1"/>
        <v>0</v>
      </c>
      <c r="AA152" s="156">
        <f ca="1"/>
        <v>3.9751541672536916E-3</v>
      </c>
      <c r="AB152" s="156">
        <f ca="1"/>
        <v>0</v>
      </c>
      <c r="AC152" s="156">
        <f ca="1"/>
        <v>1.0940313109125799E-2</v>
      </c>
      <c r="AD152" s="156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8.4732155338929083E-4</v>
      </c>
      <c r="Q153" s="156">
        <f ca="1"/>
        <v>0</v>
      </c>
      <c r="R153" s="156">
        <f ca="1"/>
        <v>6.4590875949296356E-3</v>
      </c>
      <c r="S153" s="156">
        <f ca="1"/>
        <v>0</v>
      </c>
      <c r="T153" s="156">
        <f ca="1"/>
        <v>1.8118553865066445E-2</v>
      </c>
      <c r="U153" s="156">
        <f ca="1"/>
        <v>3.1644031643958459E-2</v>
      </c>
      <c r="V153" s="138">
        <f ca="1"/>
        <v>5.4226638003350813E-2</v>
      </c>
      <c r="W153" s="137">
        <f ca="1"/>
        <v>0</v>
      </c>
      <c r="X153" s="156">
        <f ca="1"/>
        <v>0</v>
      </c>
      <c r="Y153" s="156">
        <f ca="1"/>
        <v>1.0138331234285092E-3</v>
      </c>
      <c r="Z153" s="156">
        <f ca="1"/>
        <v>0</v>
      </c>
      <c r="AA153" s="156">
        <f ca="1"/>
        <v>6.95573387919457E-3</v>
      </c>
      <c r="AB153" s="156">
        <f ca="1"/>
        <v>0</v>
      </c>
      <c r="AC153" s="156">
        <f ca="1"/>
        <v>1.8936447567142078E-2</v>
      </c>
      <c r="AD153" s="156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1.6214927223938691E-3</v>
      </c>
      <c r="Q154" s="156">
        <f ca="1"/>
        <v>0</v>
      </c>
      <c r="R154" s="156">
        <f ca="1"/>
        <v>8.7200408059758816E-3</v>
      </c>
      <c r="S154" s="156">
        <f ca="1"/>
        <v>0</v>
      </c>
      <c r="T154" s="156">
        <f ca="1"/>
        <v>2.1299162388640269E-2</v>
      </c>
      <c r="U154" s="156">
        <f ca="1"/>
        <v>4.2355560241472578E-2</v>
      </c>
      <c r="V154" s="138">
        <f ca="1"/>
        <v>8.3057859385968991E-2</v>
      </c>
      <c r="W154" s="137">
        <f ca="1"/>
        <v>0</v>
      </c>
      <c r="X154" s="156">
        <f ca="1"/>
        <v>0</v>
      </c>
      <c r="Y154" s="156">
        <f ca="1"/>
        <v>1.7878752746717241E-3</v>
      </c>
      <c r="Z154" s="156">
        <f ca="1"/>
        <v>0</v>
      </c>
      <c r="AA154" s="156">
        <f ca="1"/>
        <v>9.2155568961904688E-3</v>
      </c>
      <c r="AB154" s="156">
        <f ca="1"/>
        <v>0</v>
      </c>
      <c r="AC154" s="156">
        <f ca="1"/>
        <v>2.2114406687691601E-2</v>
      </c>
      <c r="AD154" s="156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7.2354034946919832E-4</v>
      </c>
      <c r="Q155" s="156">
        <f ca="1"/>
        <v>0</v>
      </c>
      <c r="R155" s="156">
        <f ca="1"/>
        <v>6.603905833010737E-3</v>
      </c>
      <c r="S155" s="156">
        <f ca="1"/>
        <v>0</v>
      </c>
      <c r="T155" s="156">
        <f ca="1"/>
        <v>1.636819029790082E-2</v>
      </c>
      <c r="U155" s="156">
        <f ca="1"/>
        <v>3.3353183866676739E-2</v>
      </c>
      <c r="V155" s="138">
        <f ca="1"/>
        <v>5.854007454807808E-2</v>
      </c>
      <c r="W155" s="137">
        <f ca="1"/>
        <v>0</v>
      </c>
      <c r="X155" s="156">
        <f ca="1"/>
        <v>0</v>
      </c>
      <c r="Y155" s="156">
        <f ca="1"/>
        <v>8.9007254800632651E-4</v>
      </c>
      <c r="Z155" s="156">
        <f ca="1"/>
        <v>0</v>
      </c>
      <c r="AA155" s="156">
        <f ca="1"/>
        <v>7.1004797262890218E-3</v>
      </c>
      <c r="AB155" s="156">
        <f ca="1"/>
        <v>0</v>
      </c>
      <c r="AC155" s="156">
        <f ca="1"/>
        <v>1.7187542028706537E-2</v>
      </c>
      <c r="AD155" s="156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7.9602959657174566E-3</v>
      </c>
      <c r="Q156" s="156">
        <f ca="1"/>
        <v>0</v>
      </c>
      <c r="R156" s="156">
        <f ca="1"/>
        <v>2.8240223692155175E-2</v>
      </c>
      <c r="S156" s="156">
        <f ca="1"/>
        <v>0</v>
      </c>
      <c r="T156" s="156">
        <f ca="1"/>
        <v>5.8481246500821205E-2</v>
      </c>
      <c r="U156" s="156">
        <f ca="1"/>
        <v>8.0170220023773719E-2</v>
      </c>
      <c r="V156" s="138">
        <f ca="1"/>
        <v>0.11183237519296818</v>
      </c>
      <c r="W156" s="137">
        <f ca="1"/>
        <v>0</v>
      </c>
      <c r="X156" s="156">
        <f ca="1"/>
        <v>0</v>
      </c>
      <c r="Y156" s="156">
        <f ca="1"/>
        <v>8.1256221388164018E-3</v>
      </c>
      <c r="Z156" s="156">
        <f ca="1"/>
        <v>0</v>
      </c>
      <c r="AA156" s="156">
        <f ca="1"/>
        <v>2.8725982130598737E-2</v>
      </c>
      <c r="AB156" s="156">
        <f ca="1"/>
        <v>0</v>
      </c>
      <c r="AC156" s="156">
        <f ca="1"/>
        <v>5.9265518636659853E-2</v>
      </c>
      <c r="AD156" s="156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1.2115036487779784E-3</v>
      </c>
      <c r="Q157" s="156">
        <f ca="1"/>
        <v>0</v>
      </c>
      <c r="R157" s="156">
        <f ca="1"/>
        <v>9.7930846479036271E-3</v>
      </c>
      <c r="S157" s="156">
        <f ca="1"/>
        <v>0</v>
      </c>
      <c r="T157" s="156">
        <f ca="1"/>
        <v>2.2957727911276149E-2</v>
      </c>
      <c r="U157" s="156">
        <f ca="1"/>
        <v>4.4084008843508271E-2</v>
      </c>
      <c r="V157" s="138">
        <f ca="1"/>
        <v>8.0757700259576737E-2</v>
      </c>
      <c r="W157" s="137">
        <f ca="1"/>
        <v>0</v>
      </c>
      <c r="X157" s="156">
        <f ca="1"/>
        <v>0</v>
      </c>
      <c r="Y157" s="156">
        <f ca="1"/>
        <v>1.3779545268663984E-3</v>
      </c>
      <c r="Z157" s="156">
        <f ca="1"/>
        <v>0</v>
      </c>
      <c r="AA157" s="156">
        <f ca="1"/>
        <v>1.0288064350312931E-2</v>
      </c>
      <c r="AB157" s="156">
        <f ca="1"/>
        <v>0</v>
      </c>
      <c r="AC157" s="156">
        <f ca="1"/>
        <v>2.3771590648078211E-2</v>
      </c>
      <c r="AD157" s="156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1.5949898594456169E-3</v>
      </c>
      <c r="Q158" s="156">
        <f ca="1"/>
        <v>0</v>
      </c>
      <c r="R158" s="156">
        <f ca="1"/>
        <v>1.1306505646697107E-2</v>
      </c>
      <c r="S158" s="156">
        <f ca="1"/>
        <v>0</v>
      </c>
      <c r="T158" s="156">
        <f ca="1"/>
        <v>2.9704966474848549E-2</v>
      </c>
      <c r="U158" s="156">
        <f ca="1"/>
        <v>5.2529683417666506E-2</v>
      </c>
      <c r="V158" s="138">
        <f ca="1"/>
        <v>8.9444357311002087E-2</v>
      </c>
      <c r="W158" s="137">
        <f ca="1"/>
        <v>0</v>
      </c>
      <c r="X158" s="156">
        <f ca="1"/>
        <v>0</v>
      </c>
      <c r="Y158" s="156">
        <f ca="1"/>
        <v>1.7613768285056342E-3</v>
      </c>
      <c r="Z158" s="156">
        <f ca="1"/>
        <v>0</v>
      </c>
      <c r="AA158" s="156">
        <f ca="1"/>
        <v>1.1800728827762175E-2</v>
      </c>
      <c r="AB158" s="156">
        <f ca="1"/>
        <v>0</v>
      </c>
      <c r="AC158" s="156">
        <f ca="1"/>
        <v>3.0513208855009299E-2</v>
      </c>
      <c r="AD158" s="156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1.1125157345645009E-3</v>
      </c>
      <c r="Q159" s="156">
        <f ca="1"/>
        <v>0</v>
      </c>
      <c r="R159" s="156">
        <f ca="1"/>
        <v>9.3364233133257368E-3</v>
      </c>
      <c r="S159" s="156">
        <f ca="1"/>
        <v>0</v>
      </c>
      <c r="T159" s="156">
        <f ca="1"/>
        <v>2.2582612003647751E-2</v>
      </c>
      <c r="U159" s="156">
        <f ca="1"/>
        <v>3.9852973094020028E-2</v>
      </c>
      <c r="V159" s="138">
        <f ca="1"/>
        <v>6.771629129095047E-2</v>
      </c>
      <c r="W159" s="137">
        <f ca="1"/>
        <v>0</v>
      </c>
      <c r="X159" s="156">
        <f ca="1"/>
        <v>0</v>
      </c>
      <c r="Y159" s="156">
        <f ca="1"/>
        <v>1.2789831092767656E-3</v>
      </c>
      <c r="Z159" s="156">
        <f ca="1"/>
        <v>0</v>
      </c>
      <c r="AA159" s="156">
        <f ca="1"/>
        <v>9.8316312893956814E-3</v>
      </c>
      <c r="AB159" s="156">
        <f ca="1"/>
        <v>0</v>
      </c>
      <c r="AC159" s="156">
        <f ca="1"/>
        <v>2.3396787206879766E-2</v>
      </c>
      <c r="AD159" s="156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2.1884866933236102E-3</v>
      </c>
      <c r="Q160" s="156">
        <f ca="1"/>
        <v>0</v>
      </c>
      <c r="R160" s="156">
        <f ca="1"/>
        <v>2.095508872279872E-2</v>
      </c>
      <c r="S160" s="156">
        <f ca="1"/>
        <v>0</v>
      </c>
      <c r="T160" s="156">
        <f ca="1"/>
        <v>4.8806019032593961E-2</v>
      </c>
      <c r="U160" s="156">
        <f ca="1"/>
        <v>8.9258320448838746E-2</v>
      </c>
      <c r="V160" s="138">
        <f ca="1"/>
        <v>0.15925306261321914</v>
      </c>
      <c r="W160" s="137">
        <f ca="1"/>
        <v>0</v>
      </c>
      <c r="X160" s="156">
        <f ca="1"/>
        <v>0</v>
      </c>
      <c r="Y160" s="156">
        <f ca="1"/>
        <v>2.3547747544959696E-3</v>
      </c>
      <c r="Z160" s="156">
        <f ca="1"/>
        <v>0</v>
      </c>
      <c r="AA160" s="156">
        <f ca="1"/>
        <v>2.1444488818237017E-2</v>
      </c>
      <c r="AB160" s="156">
        <f ca="1"/>
        <v>0</v>
      </c>
      <c r="AC160" s="156">
        <f ca="1"/>
        <v>4.9598350499465593E-2</v>
      </c>
      <c r="AD160" s="156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5.9112735974764852E-2</v>
      </c>
      <c r="Q161" s="156">
        <f ca="1"/>
        <v>0</v>
      </c>
      <c r="R161" s="156">
        <f ca="1"/>
        <v>0.15953357101311783</v>
      </c>
      <c r="S161" s="156">
        <f ca="1"/>
        <v>0</v>
      </c>
      <c r="T161" s="156">
        <f ca="1"/>
        <v>0.22073067064201712</v>
      </c>
      <c r="U161" s="156">
        <f ca="1"/>
        <v>0.27447165275665064</v>
      </c>
      <c r="V161" s="138">
        <f ca="1"/>
        <v>0.35551259309182059</v>
      </c>
      <c r="W161" s="137">
        <f ca="1"/>
        <v>0</v>
      </c>
      <c r="X161" s="156">
        <f ca="1"/>
        <v>0</v>
      </c>
      <c r="Y161" s="156">
        <f ca="1"/>
        <v>5.9269537451608345E-2</v>
      </c>
      <c r="Z161" s="156">
        <f ca="1"/>
        <v>0</v>
      </c>
      <c r="AA161" s="156">
        <f ca="1"/>
        <v>0.15995369918682389</v>
      </c>
      <c r="AB161" s="156">
        <f ca="1"/>
        <v>0</v>
      </c>
      <c r="AC161" s="156">
        <f ca="1"/>
        <v>0.22137979124531015</v>
      </c>
      <c r="AD161" s="156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1.9147444614078246E-3</v>
      </c>
      <c r="Q162" s="156">
        <f ca="1"/>
        <v>0</v>
      </c>
      <c r="R162" s="156">
        <f ca="1"/>
        <v>1.5758269360997001E-2</v>
      </c>
      <c r="S162" s="156">
        <f ca="1"/>
        <v>0</v>
      </c>
      <c r="T162" s="156">
        <f ca="1"/>
        <v>4.2128524531223954E-2</v>
      </c>
      <c r="U162" s="156">
        <f ca="1"/>
        <v>7.8795335624791019E-2</v>
      </c>
      <c r="V162" s="138">
        <f ca="1"/>
        <v>0.14917330845067711</v>
      </c>
      <c r="W162" s="137">
        <f ca="1"/>
        <v>0</v>
      </c>
      <c r="X162" s="156">
        <f ca="1"/>
        <v>0</v>
      </c>
      <c r="Y162" s="156">
        <f ca="1"/>
        <v>2.0810781424793756E-3</v>
      </c>
      <c r="Z162" s="156">
        <f ca="1"/>
        <v>0</v>
      </c>
      <c r="AA162" s="156">
        <f ca="1"/>
        <v>1.6250267216636138E-2</v>
      </c>
      <c r="AB162" s="156">
        <f ca="1"/>
        <v>0</v>
      </c>
      <c r="AC162" s="156">
        <f ca="1"/>
        <v>4.2926418258910082E-2</v>
      </c>
      <c r="AD162" s="156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1.9394726271406704E-3</v>
      </c>
      <c r="Q163" s="156">
        <f ca="1"/>
        <v>0</v>
      </c>
      <c r="R163" s="156">
        <f ca="1"/>
        <v>8.4671794839242809E-3</v>
      </c>
      <c r="S163" s="156">
        <f ca="1"/>
        <v>0</v>
      </c>
      <c r="T163" s="156">
        <f ca="1"/>
        <v>2.0866947866636121E-2</v>
      </c>
      <c r="U163" s="156">
        <f ca="1"/>
        <v>3.2150402887305307E-2</v>
      </c>
      <c r="V163" s="138">
        <f ca="1"/>
        <v>5.7315828476550035E-2</v>
      </c>
      <c r="W163" s="137">
        <f ca="1"/>
        <v>0</v>
      </c>
      <c r="X163" s="156">
        <f ca="1"/>
        <v>0</v>
      </c>
      <c r="Y163" s="156">
        <f ca="1"/>
        <v>2.1058021871914745E-3</v>
      </c>
      <c r="Z163" s="156">
        <f ca="1"/>
        <v>0</v>
      </c>
      <c r="AA163" s="156">
        <f ca="1"/>
        <v>8.96282197323095E-3</v>
      </c>
      <c r="AB163" s="156">
        <f ca="1"/>
        <v>0</v>
      </c>
      <c r="AC163" s="156">
        <f ca="1"/>
        <v>2.1682552194400628E-2</v>
      </c>
      <c r="AD163" s="156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2.6598551124339398E-3</v>
      </c>
      <c r="Q164" s="156">
        <f ca="1"/>
        <v>0</v>
      </c>
      <c r="R164" s="156">
        <f ca="1"/>
        <v>1.343159530764082E-2</v>
      </c>
      <c r="S164" s="156">
        <f ca="1"/>
        <v>0</v>
      </c>
      <c r="T164" s="156">
        <f ca="1"/>
        <v>3.2409833346641159E-2</v>
      </c>
      <c r="U164" s="156">
        <f ca="1"/>
        <v>5.8350775013456091E-2</v>
      </c>
      <c r="V164" s="138">
        <f ca="1"/>
        <v>0.10044957150091827</v>
      </c>
      <c r="W164" s="137">
        <f ca="1"/>
        <v>0</v>
      </c>
      <c r="X164" s="156">
        <f ca="1"/>
        <v>0</v>
      </c>
      <c r="Y164" s="156">
        <f ca="1"/>
        <v>2.8260646187289185E-3</v>
      </c>
      <c r="Z164" s="156">
        <f ca="1"/>
        <v>0</v>
      </c>
      <c r="AA164" s="156">
        <f ca="1"/>
        <v>1.3924756209492406E-2</v>
      </c>
      <c r="AB164" s="156">
        <f ca="1"/>
        <v>0</v>
      </c>
      <c r="AC164" s="156">
        <f ca="1"/>
        <v>3.3215822610035639E-2</v>
      </c>
      <c r="AD164" s="156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9.3926345047601334E-4</v>
      </c>
      <c r="Q165" s="156">
        <f ca="1"/>
        <v>0</v>
      </c>
      <c r="R165" s="156">
        <f ca="1"/>
        <v>7.51258902927876E-3</v>
      </c>
      <c r="S165" s="156">
        <f ca="1"/>
        <v>0</v>
      </c>
      <c r="T165" s="156">
        <f ca="1"/>
        <v>1.8433202332726828E-2</v>
      </c>
      <c r="U165" s="156">
        <f ca="1"/>
        <v>3.4362004164312676E-2</v>
      </c>
      <c r="V165" s="138">
        <f ca="1"/>
        <v>7.0848999477525876E-2</v>
      </c>
      <c r="W165" s="137">
        <f ca="1"/>
        <v>0</v>
      </c>
      <c r="X165" s="156">
        <f ca="1"/>
        <v>0</v>
      </c>
      <c r="Y165" s="156">
        <f ca="1"/>
        <v>1.1057596981427498E-3</v>
      </c>
      <c r="Z165" s="156">
        <f ca="1"/>
        <v>0</v>
      </c>
      <c r="AA165" s="156">
        <f ca="1"/>
        <v>8.008708694472122E-3</v>
      </c>
      <c r="AB165" s="156">
        <f ca="1"/>
        <v>0</v>
      </c>
      <c r="AC165" s="156">
        <f ca="1"/>
        <v>1.925083393694571E-2</v>
      </c>
      <c r="AD165" s="156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5.1983042751241992E-2</v>
      </c>
      <c r="Q166" s="156">
        <f ca="1"/>
        <v>0</v>
      </c>
      <c r="R166" s="156">
        <f ca="1"/>
        <v>0.10455663676750004</v>
      </c>
      <c r="S166" s="156">
        <f ca="1"/>
        <v>0</v>
      </c>
      <c r="T166" s="156">
        <f ca="1"/>
        <v>0.13922690851308861</v>
      </c>
      <c r="U166" s="156">
        <f ca="1"/>
        <v>0.17176644020996168</v>
      </c>
      <c r="V166" s="138">
        <f ca="1"/>
        <v>0.22260220411448695</v>
      </c>
      <c r="W166" s="137">
        <f ca="1"/>
        <v>0</v>
      </c>
      <c r="X166" s="156">
        <f ca="1"/>
        <v>0</v>
      </c>
      <c r="Y166" s="156">
        <f ca="1"/>
        <v>5.2141032411297195E-2</v>
      </c>
      <c r="Z166" s="156">
        <f ca="1"/>
        <v>0</v>
      </c>
      <c r="AA166" s="156">
        <f ca="1"/>
        <v>0.10500424653734375</v>
      </c>
      <c r="AB166" s="156">
        <f ca="1"/>
        <v>0</v>
      </c>
      <c r="AC166" s="156">
        <f ca="1"/>
        <v>0.13994392062609129</v>
      </c>
      <c r="AD166" s="156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1.4571637163538487E-3</v>
      </c>
      <c r="Q167" s="156">
        <f ca="1"/>
        <v>0</v>
      </c>
      <c r="R167" s="156">
        <f ca="1"/>
        <v>1.3112155220008082E-2</v>
      </c>
      <c r="S167" s="156">
        <f ca="1"/>
        <v>0</v>
      </c>
      <c r="T167" s="156">
        <f ca="1"/>
        <v>3.0378896160626612E-2</v>
      </c>
      <c r="U167" s="156">
        <f ca="1"/>
        <v>5.5709153207775253E-2</v>
      </c>
      <c r="V167" s="138">
        <f ca="1"/>
        <v>0.10357290905932293</v>
      </c>
      <c r="W167" s="137">
        <f ca="1"/>
        <v>0</v>
      </c>
      <c r="X167" s="156">
        <f ca="1"/>
        <v>0</v>
      </c>
      <c r="Y167" s="156">
        <f ca="1"/>
        <v>1.6235736545232582E-3</v>
      </c>
      <c r="Z167" s="156">
        <f ca="1"/>
        <v>0</v>
      </c>
      <c r="AA167" s="156">
        <f ca="1"/>
        <v>1.3605475801991451E-2</v>
      </c>
      <c r="AB167" s="156">
        <f ca="1"/>
        <v>0</v>
      </c>
      <c r="AC167" s="156">
        <f ca="1"/>
        <v>3.1186577166632978E-2</v>
      </c>
      <c r="AD167" s="156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1.2115036487779784E-3</v>
      </c>
      <c r="Q168" s="156">
        <f ca="1"/>
        <v>0</v>
      </c>
      <c r="R168" s="156">
        <f ca="1"/>
        <v>1.1762181967786334E-2</v>
      </c>
      <c r="S168" s="156">
        <f ca="1"/>
        <v>0</v>
      </c>
      <c r="T168" s="156">
        <f ca="1"/>
        <v>2.9687465194958018E-2</v>
      </c>
      <c r="U168" s="156">
        <f ca="1"/>
        <v>5.9959915327017721E-2</v>
      </c>
      <c r="V168" s="138">
        <f ca="1"/>
        <v>0.11217048796411777</v>
      </c>
      <c r="W168" s="137">
        <f ca="1"/>
        <v>0</v>
      </c>
      <c r="X168" s="156">
        <f ca="1"/>
        <v>0</v>
      </c>
      <c r="Y168" s="156">
        <f ca="1"/>
        <v>1.3779545268663984E-3</v>
      </c>
      <c r="Z168" s="156">
        <f ca="1"/>
        <v>0</v>
      </c>
      <c r="AA168" s="156">
        <f ca="1"/>
        <v>1.2256177367693577E-2</v>
      </c>
      <c r="AB168" s="156">
        <f ca="1"/>
        <v>0</v>
      </c>
      <c r="AC168" s="156">
        <f ca="1"/>
        <v>3.0495722153460192E-2</v>
      </c>
      <c r="AD168" s="156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8.0311572819169452E-4</v>
      </c>
      <c r="Q169" s="156">
        <f ca="1"/>
        <v>0</v>
      </c>
      <c r="R169" s="156">
        <f ca="1"/>
        <v>8.0863142883857986E-3</v>
      </c>
      <c r="S169" s="156">
        <f ca="1"/>
        <v>0</v>
      </c>
      <c r="T169" s="156">
        <f ca="1"/>
        <v>1.9693004459674035E-2</v>
      </c>
      <c r="U169" s="156">
        <f ca="1"/>
        <v>3.6541021996343126E-2</v>
      </c>
      <c r="V169" s="138">
        <f ca="1"/>
        <v>6.4117020779613121E-2</v>
      </c>
      <c r="W169" s="137">
        <f ca="1"/>
        <v>0</v>
      </c>
      <c r="X169" s="156">
        <f ca="1"/>
        <v>0</v>
      </c>
      <c r="Y169" s="156">
        <f ca="1"/>
        <v>9.6963466529387254E-4</v>
      </c>
      <c r="Z169" s="156">
        <f ca="1"/>
        <v>0</v>
      </c>
      <c r="AA169" s="156">
        <f ca="1"/>
        <v>8.5821471626535972E-3</v>
      </c>
      <c r="AB169" s="156">
        <f ca="1"/>
        <v>0</v>
      </c>
      <c r="AC169" s="156">
        <f ca="1"/>
        <v>2.0509586666097146E-2</v>
      </c>
      <c r="AD169" s="156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1.3051796703651419E-3</v>
      </c>
      <c r="Q170" s="156">
        <f ca="1"/>
        <v>0</v>
      </c>
      <c r="R170" s="156">
        <f ca="1"/>
        <v>1.0458376276187065E-2</v>
      </c>
      <c r="S170" s="156">
        <f ca="1"/>
        <v>0</v>
      </c>
      <c r="T170" s="156">
        <f ca="1"/>
        <v>2.113910737791691E-2</v>
      </c>
      <c r="U170" s="156">
        <f ca="1"/>
        <v>3.373869147077857E-2</v>
      </c>
      <c r="V170" s="138">
        <f ca="1"/>
        <v>6.2924445855524813E-2</v>
      </c>
      <c r="W170" s="137">
        <f ca="1"/>
        <v>0</v>
      </c>
      <c r="X170" s="156">
        <f ca="1"/>
        <v>0</v>
      </c>
      <c r="Y170" s="156">
        <f ca="1"/>
        <v>1.4716149370812559E-3</v>
      </c>
      <c r="Z170" s="156">
        <f ca="1"/>
        <v>0</v>
      </c>
      <c r="AA170" s="156">
        <f ca="1"/>
        <v>1.0953023415939955E-2</v>
      </c>
      <c r="AB170" s="156">
        <f ca="1"/>
        <v>0</v>
      </c>
      <c r="AC170" s="156">
        <f ca="1"/>
        <v>2.1954485000576396E-2</v>
      </c>
      <c r="AD170" s="156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1.7239638901982435E-3</v>
      </c>
      <c r="Q171" s="156">
        <f ca="1"/>
        <v>0</v>
      </c>
      <c r="R171" s="156">
        <f ca="1"/>
        <v>1.6011758533584608E-2</v>
      </c>
      <c r="S171" s="156">
        <f ca="1"/>
        <v>0</v>
      </c>
      <c r="T171" s="156">
        <f ca="1"/>
        <v>4.2116363308648763E-2</v>
      </c>
      <c r="U171" s="156">
        <f ca="1"/>
        <v>7.2654855927392292E-2</v>
      </c>
      <c r="V171" s="138">
        <f ca="1"/>
        <v>0.12053114616370919</v>
      </c>
      <c r="W171" s="137">
        <f ca="1"/>
        <v>0</v>
      </c>
      <c r="X171" s="156">
        <f ca="1"/>
        <v>0</v>
      </c>
      <c r="Y171" s="156">
        <f ca="1"/>
        <v>1.8903293653945719E-3</v>
      </c>
      <c r="Z171" s="156">
        <f ca="1"/>
        <v>0</v>
      </c>
      <c r="AA171" s="156">
        <f ca="1"/>
        <v>1.6503629676251852E-2</v>
      </c>
      <c r="AB171" s="156">
        <f ca="1"/>
        <v>0</v>
      </c>
      <c r="AC171" s="156">
        <f ca="1"/>
        <v>4.2914267166436648E-2</v>
      </c>
      <c r="AD171" s="156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0.14010166244016109</v>
      </c>
      <c r="Q172" s="156">
        <f ca="1"/>
        <v>0</v>
      </c>
      <c r="R172" s="156">
        <f ca="1"/>
        <v>0.22606806869788043</v>
      </c>
      <c r="S172" s="156">
        <f ca="1"/>
        <v>0</v>
      </c>
      <c r="T172" s="156">
        <f ca="1"/>
        <v>0.26234931339984391</v>
      </c>
      <c r="U172" s="156">
        <f ca="1"/>
        <v>0.28806633526674519</v>
      </c>
      <c r="V172" s="138">
        <f ca="1"/>
        <v>0.34353330657477543</v>
      </c>
      <c r="W172" s="137">
        <f ca="1"/>
        <v>0</v>
      </c>
      <c r="X172" s="156">
        <f ca="1"/>
        <v>0</v>
      </c>
      <c r="Y172" s="156">
        <f ca="1"/>
        <v>0.14024496688737198</v>
      </c>
      <c r="Z172" s="156">
        <f ca="1"/>
        <v>0</v>
      </c>
      <c r="AA172" s="156">
        <f ca="1"/>
        <v>0.22645493793813509</v>
      </c>
      <c r="AB172" s="156">
        <f ca="1"/>
        <v>0</v>
      </c>
      <c r="AC172" s="156">
        <f ca="1"/>
        <v>0.26293747118990829</v>
      </c>
      <c r="AD172" s="156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1.7363303942592445E-3</v>
      </c>
      <c r="Q173" s="156">
        <f ca="1"/>
        <v>0</v>
      </c>
      <c r="R173" s="156">
        <f ca="1"/>
        <v>1.6493453699979232E-2</v>
      </c>
      <c r="S173" s="156">
        <f ca="1"/>
        <v>0</v>
      </c>
      <c r="T173" s="156">
        <f ca="1"/>
        <v>3.9480237224554515E-2</v>
      </c>
      <c r="U173" s="156">
        <f ca="1"/>
        <v>7.1119656225550942E-2</v>
      </c>
      <c r="V173" s="138">
        <f ca="1"/>
        <v>0.12608841676981331</v>
      </c>
      <c r="W173" s="137">
        <f ca="1"/>
        <v>0</v>
      </c>
      <c r="X173" s="156">
        <f ca="1"/>
        <v>0</v>
      </c>
      <c r="Y173" s="156">
        <f ca="1"/>
        <v>1.9026938085203726E-3</v>
      </c>
      <c r="Z173" s="156">
        <f ca="1"/>
        <v>0</v>
      </c>
      <c r="AA173" s="156">
        <f ca="1"/>
        <v>1.6985084055313848E-2</v>
      </c>
      <c r="AB173" s="156">
        <f ca="1"/>
        <v>0</v>
      </c>
      <c r="AC173" s="156">
        <f ca="1"/>
        <v>4.0280336939051753E-2</v>
      </c>
      <c r="AD173" s="156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2.1319782706600288E-3</v>
      </c>
      <c r="Q174" s="156">
        <f ca="1"/>
        <v>0</v>
      </c>
      <c r="R174" s="156">
        <f ca="1"/>
        <v>1.4708304994729415E-2</v>
      </c>
      <c r="S174" s="156">
        <f ca="1"/>
        <v>0</v>
      </c>
      <c r="T174" s="156">
        <f ca="1"/>
        <v>4.0506844716867052E-2</v>
      </c>
      <c r="U174" s="156">
        <f ca="1"/>
        <v>7.6395039257413422E-2</v>
      </c>
      <c r="V174" s="138">
        <f ca="1"/>
        <v>0.12876804886836435</v>
      </c>
      <c r="W174" s="137">
        <f ca="1"/>
        <v>0</v>
      </c>
      <c r="X174" s="156">
        <f ca="1"/>
        <v>0</v>
      </c>
      <c r="Y174" s="156">
        <f ca="1"/>
        <v>2.2982757490949135E-3</v>
      </c>
      <c r="Z174" s="156">
        <f ca="1"/>
        <v>0</v>
      </c>
      <c r="AA174" s="156">
        <f ca="1"/>
        <v>1.5200827701281616E-2</v>
      </c>
      <c r="AB174" s="156">
        <f ca="1"/>
        <v>0</v>
      </c>
      <c r="AC174" s="156">
        <f ca="1"/>
        <v>4.1306089281457847E-2</v>
      </c>
      <c r="AD174" s="156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8.8975731887763754E-4</v>
      </c>
      <c r="Q175" s="156">
        <f ca="1"/>
        <v>0</v>
      </c>
      <c r="R175" s="156">
        <f ca="1"/>
        <v>1.1150989101517017E-2</v>
      </c>
      <c r="S175" s="156">
        <f ca="1"/>
        <v>0</v>
      </c>
      <c r="T175" s="156">
        <f ca="1"/>
        <v>2.5439842134898583E-2</v>
      </c>
      <c r="U175" s="156">
        <f ca="1"/>
        <v>4.6851291184206723E-2</v>
      </c>
      <c r="V175" s="138">
        <f ca="1"/>
        <v>8.7641983260165146E-2</v>
      </c>
      <c r="W175" s="137">
        <f ca="1"/>
        <v>0</v>
      </c>
      <c r="X175" s="156">
        <f ca="1"/>
        <v>0</v>
      </c>
      <c r="Y175" s="156">
        <f ca="1"/>
        <v>1.0562618168853399E-3</v>
      </c>
      <c r="Z175" s="156">
        <f ca="1"/>
        <v>0</v>
      </c>
      <c r="AA175" s="156">
        <f ca="1"/>
        <v>1.1645290021411125E-2</v>
      </c>
      <c r="AB175" s="156">
        <f ca="1"/>
        <v>0</v>
      </c>
      <c r="AC175" s="156">
        <f ca="1"/>
        <v>2.6251637304832487E-2</v>
      </c>
      <c r="AD175" s="156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2.7004495477437329E-3</v>
      </c>
      <c r="Q176" s="156">
        <f ca="1"/>
        <v>0</v>
      </c>
      <c r="R176" s="156">
        <f ca="1"/>
        <v>1.5251399808589583E-2</v>
      </c>
      <c r="S176" s="156">
        <f ca="1"/>
        <v>0</v>
      </c>
      <c r="T176" s="156">
        <f ca="1"/>
        <v>3.9536749971477492E-2</v>
      </c>
      <c r="U176" s="156">
        <f ca="1"/>
        <v>6.7884265251517029E-2</v>
      </c>
      <c r="V176" s="138">
        <f ca="1"/>
        <v>0.1279873937698468</v>
      </c>
      <c r="W176" s="137">
        <f ca="1"/>
        <v>0</v>
      </c>
      <c r="X176" s="156">
        <f ca="1"/>
        <v>0</v>
      </c>
      <c r="Y176" s="156">
        <f ca="1"/>
        <v>2.8666522888733947E-3</v>
      </c>
      <c r="Z176" s="156">
        <f ca="1"/>
        <v>0</v>
      </c>
      <c r="AA176" s="156">
        <f ca="1"/>
        <v>1.5743651035607265E-2</v>
      </c>
      <c r="AB176" s="156">
        <f ca="1"/>
        <v>0</v>
      </c>
      <c r="AC176" s="156">
        <f ca="1"/>
        <v>4.0336802611573019E-2</v>
      </c>
      <c r="AD176" s="156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9.5340761220930048E-4</v>
      </c>
      <c r="Q177" s="156">
        <f ca="1"/>
        <v>0</v>
      </c>
      <c r="R177" s="156">
        <f ca="1"/>
        <v>9.348187343328318E-3</v>
      </c>
      <c r="S177" s="156">
        <f ca="1"/>
        <v>0</v>
      </c>
      <c r="T177" s="156">
        <f ca="1"/>
        <v>2.2594606953430296E-2</v>
      </c>
      <c r="U177" s="156">
        <f ca="1"/>
        <v>3.9865134840480487E-2</v>
      </c>
      <c r="V177" s="138">
        <f ca="1"/>
        <v>6.7728506891167495E-2</v>
      </c>
      <c r="W177" s="137">
        <f ca="1"/>
        <v>0</v>
      </c>
      <c r="X177" s="156">
        <f ca="1"/>
        <v>0</v>
      </c>
      <c r="Y177" s="156">
        <f ca="1"/>
        <v>1.1199015027286707E-3</v>
      </c>
      <c r="Z177" s="156">
        <f ca="1"/>
        <v>0</v>
      </c>
      <c r="AA177" s="156">
        <f ca="1"/>
        <v>9.8433894387893739E-3</v>
      </c>
      <c r="AB177" s="156">
        <f ca="1"/>
        <v>0</v>
      </c>
      <c r="AC177" s="156">
        <f ca="1"/>
        <v>2.3408772164989711E-2</v>
      </c>
      <c r="AD177" s="156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1.0966060543594613E-3</v>
      </c>
      <c r="Q178" s="156">
        <f ca="1"/>
        <v>0</v>
      </c>
      <c r="R178" s="156">
        <f ca="1"/>
        <v>8.1117605196565634E-3</v>
      </c>
      <c r="S178" s="156">
        <f ca="1"/>
        <v>0</v>
      </c>
      <c r="T178" s="156">
        <f ca="1"/>
        <v>1.8790272986395351E-2</v>
      </c>
      <c r="U178" s="156">
        <f ca="1"/>
        <v>3.461790551685362E-2</v>
      </c>
      <c r="V178" s="138">
        <f ca="1"/>
        <v>6.430747869472353E-2</v>
      </c>
      <c r="W178" s="137">
        <f ca="1"/>
        <v>0</v>
      </c>
      <c r="X178" s="156">
        <f ca="1"/>
        <v>0</v>
      </c>
      <c r="Y178" s="156">
        <f ca="1"/>
        <v>1.2630760804510643E-3</v>
      </c>
      <c r="Z178" s="156">
        <f ca="1"/>
        <v>0</v>
      </c>
      <c r="AA178" s="156">
        <f ca="1"/>
        <v>8.6075806739918104E-3</v>
      </c>
      <c r="AB178" s="156">
        <f ca="1"/>
        <v>0</v>
      </c>
      <c r="AC178" s="156">
        <f ca="1"/>
        <v>1.9607607155709528E-2</v>
      </c>
      <c r="AD178" s="156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1.8582206568561466E-3</v>
      </c>
      <c r="Q179" s="156">
        <f ca="1"/>
        <v>0</v>
      </c>
      <c r="R179" s="156">
        <f ca="1"/>
        <v>1.135446080626179E-2</v>
      </c>
      <c r="S179" s="156">
        <f ca="1"/>
        <v>0</v>
      </c>
      <c r="T179" s="156">
        <f ca="1"/>
        <v>2.7943353994522191E-2</v>
      </c>
      <c r="U179" s="156">
        <f ca="1"/>
        <v>5.2030044686700139E-2</v>
      </c>
      <c r="V179" s="138">
        <f ca="1"/>
        <v>8.9913639810535573E-2</v>
      </c>
      <c r="W179" s="137">
        <f ca="1"/>
        <v>0</v>
      </c>
      <c r="X179" s="156">
        <f ca="1"/>
        <v>0</v>
      </c>
      <c r="Y179" s="156">
        <f ca="1"/>
        <v>2.0245637577536169E-3</v>
      </c>
      <c r="Z179" s="156">
        <f ca="1"/>
        <v>0</v>
      </c>
      <c r="AA179" s="156">
        <f ca="1"/>
        <v>1.1848660015775447E-2</v>
      </c>
      <c r="AB179" s="156">
        <f ca="1"/>
        <v>0</v>
      </c>
      <c r="AC179" s="156">
        <f ca="1"/>
        <v>2.875306377361897E-2</v>
      </c>
      <c r="AD179" s="156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6.4572722863587284E-4</v>
      </c>
      <c r="Q180" s="156">
        <f ca="1"/>
        <v>0</v>
      </c>
      <c r="R180" s="156">
        <f ca="1"/>
        <v>1.2398212097109673E-2</v>
      </c>
      <c r="S180" s="156">
        <f ca="1"/>
        <v>0</v>
      </c>
      <c r="T180" s="156">
        <f ca="1"/>
        <v>2.6197001775678963E-2</v>
      </c>
      <c r="U180" s="156">
        <f ca="1"/>
        <v>4.7418807478162739E-2</v>
      </c>
      <c r="V180" s="138">
        <f ca="1"/>
        <v>8.584870327611771E-2</v>
      </c>
      <c r="W180" s="137">
        <f ca="1"/>
        <v>0</v>
      </c>
      <c r="X180" s="156">
        <f ca="1"/>
        <v>0</v>
      </c>
      <c r="Y180" s="156">
        <f ca="1"/>
        <v>8.1227239496206582E-4</v>
      </c>
      <c r="Z180" s="156">
        <f ca="1"/>
        <v>0</v>
      </c>
      <c r="AA180" s="156">
        <f ca="1"/>
        <v>1.2891889561447378E-2</v>
      </c>
      <c r="AB180" s="156">
        <f ca="1"/>
        <v>0</v>
      </c>
      <c r="AC180" s="156">
        <f ca="1"/>
        <v>2.7008166242043719E-2</v>
      </c>
      <c r="AD180" s="156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2.423315808636084E-3</v>
      </c>
      <c r="Q181" s="156">
        <f ca="1"/>
        <v>0</v>
      </c>
      <c r="R181" s="156">
        <f ca="1"/>
        <v>9.9584496513069887E-3</v>
      </c>
      <c r="S181" s="156">
        <f ca="1"/>
        <v>0</v>
      </c>
      <c r="T181" s="156">
        <f ca="1"/>
        <v>2.8911325542321453E-2</v>
      </c>
      <c r="U181" s="156">
        <f ca="1"/>
        <v>5.4066604155496134E-2</v>
      </c>
      <c r="V181" s="138">
        <f ca="1"/>
        <v>9.2414221972714539E-2</v>
      </c>
      <c r="W181" s="137">
        <f ca="1"/>
        <v>0</v>
      </c>
      <c r="X181" s="156">
        <f ca="1"/>
        <v>0</v>
      </c>
      <c r="Y181" s="156">
        <f ca="1"/>
        <v>2.5895647348751494E-3</v>
      </c>
      <c r="Z181" s="156">
        <f ca="1"/>
        <v>0</v>
      </c>
      <c r="AA181" s="156">
        <f ca="1"/>
        <v>1.0453346691909005E-2</v>
      </c>
      <c r="AB181" s="156">
        <f ca="1"/>
        <v>0</v>
      </c>
      <c r="AC181" s="156">
        <f ca="1"/>
        <v>2.9720229014431498E-2</v>
      </c>
      <c r="AD181" s="156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7.8012793169479622E-4</v>
      </c>
      <c r="Q182" s="156">
        <f ca="1"/>
        <v>0</v>
      </c>
      <c r="R182" s="156">
        <f ca="1"/>
        <v>7.5242140265142643E-3</v>
      </c>
      <c r="S182" s="156">
        <f ca="1"/>
        <v>0</v>
      </c>
      <c r="T182" s="156">
        <f ca="1"/>
        <v>1.7577544629128306E-2</v>
      </c>
      <c r="U182" s="156">
        <f ca="1"/>
        <v>3.3826135049636941E-2</v>
      </c>
      <c r="V182" s="138">
        <f ca="1"/>
        <v>6.437596306126947E-2</v>
      </c>
      <c r="W182" s="137">
        <f ca="1"/>
        <v>0</v>
      </c>
      <c r="X182" s="156">
        <f ca="1"/>
        <v>0</v>
      </c>
      <c r="Y182" s="156">
        <f ca="1"/>
        <v>9.4665069977706295E-4</v>
      </c>
      <c r="Z182" s="156">
        <f ca="1"/>
        <v>0</v>
      </c>
      <c r="AA182" s="156">
        <f ca="1"/>
        <v>8.0203278807279288E-3</v>
      </c>
      <c r="AB182" s="156">
        <f ca="1"/>
        <v>0</v>
      </c>
      <c r="AC182" s="156">
        <f ca="1"/>
        <v>1.8395888984434117E-2</v>
      </c>
      <c r="AD182" s="156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1.3546653687278587E-3</v>
      </c>
      <c r="Q183" s="156">
        <f ca="1"/>
        <v>0</v>
      </c>
      <c r="R183" s="156">
        <f ca="1"/>
        <v>1.2984686299563841E-2</v>
      </c>
      <c r="S183" s="156">
        <f ca="1"/>
        <v>0</v>
      </c>
      <c r="T183" s="156">
        <f ca="1"/>
        <v>2.7807196715891602E-2</v>
      </c>
      <c r="U183" s="156">
        <f ca="1"/>
        <v>5.1458466495289845E-2</v>
      </c>
      <c r="V183" s="138">
        <f ca="1"/>
        <v>8.9317925252644925E-2</v>
      </c>
      <c r="W183" s="137">
        <f ca="1"/>
        <v>0</v>
      </c>
      <c r="X183" s="156">
        <f ca="1"/>
        <v>0</v>
      </c>
      <c r="Y183" s="156">
        <f ca="1"/>
        <v>1.5210923885085048E-3</v>
      </c>
      <c r="Z183" s="156">
        <f ca="1"/>
        <v>0</v>
      </c>
      <c r="AA183" s="156">
        <f ca="1"/>
        <v>1.3478070600024372E-2</v>
      </c>
      <c r="AB183" s="156">
        <f ca="1"/>
        <v>0</v>
      </c>
      <c r="AC183" s="156">
        <f ca="1"/>
        <v>2.8617019912129837E-2</v>
      </c>
      <c r="AD183" s="156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2.9933868792363372E-3</v>
      </c>
      <c r="Q184" s="156">
        <f ca="1"/>
        <v>0</v>
      </c>
      <c r="R184" s="156">
        <f ca="1"/>
        <v>2.2353757582290967E-2</v>
      </c>
      <c r="S184" s="156">
        <f ca="1"/>
        <v>0</v>
      </c>
      <c r="T184" s="156">
        <f ca="1"/>
        <v>6.3506051037837463E-2</v>
      </c>
      <c r="U184" s="156">
        <f ca="1"/>
        <v>0.11477011793811709</v>
      </c>
      <c r="V184" s="138">
        <f ca="1"/>
        <v>0.21580422017911649</v>
      </c>
      <c r="W184" s="137">
        <f ca="1"/>
        <v>0</v>
      </c>
      <c r="X184" s="156">
        <f ca="1"/>
        <v>0</v>
      </c>
      <c r="Y184" s="156">
        <f ca="1"/>
        <v>3.1595408015573367E-3</v>
      </c>
      <c r="Z184" s="156">
        <f ca="1"/>
        <v>0</v>
      </c>
      <c r="AA184" s="156">
        <f ca="1"/>
        <v>2.2842458518095854E-2</v>
      </c>
      <c r="AB184" s="156">
        <f ca="1"/>
        <v>0</v>
      </c>
      <c r="AC184" s="156">
        <f ca="1"/>
        <v>6.4286137580794489E-2</v>
      </c>
      <c r="AD184" s="156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5.1991639148973867E-4</v>
      </c>
      <c r="P185" s="156">
        <f ca="1"/>
        <v>1.2411990314684651E-3</v>
      </c>
      <c r="Q185" s="156">
        <f ca="1"/>
        <v>3.8929815541307589E-3</v>
      </c>
      <c r="R185" s="156">
        <f ca="1"/>
        <v>8.008483547132017E-3</v>
      </c>
      <c r="S185" s="156">
        <f ca="1"/>
        <v>0</v>
      </c>
      <c r="T185" s="156">
        <f ca="1"/>
        <v>2.0628872103694795E-2</v>
      </c>
      <c r="U185" s="156">
        <f ca="1"/>
        <v>3.2093949933859389E-2</v>
      </c>
      <c r="V185" s="138">
        <f ca="1"/>
        <v>5.3283898182223122E-2</v>
      </c>
      <c r="W185" s="137">
        <f ca="1"/>
        <v>0</v>
      </c>
      <c r="X185" s="156">
        <f ca="1"/>
        <v>6.1272955152480435E-4</v>
      </c>
      <c r="Y185" s="156">
        <f ca="1"/>
        <v>1.4076449607555164E-3</v>
      </c>
      <c r="Z185" s="156">
        <f ca="1"/>
        <v>4.224961893799839E-3</v>
      </c>
      <c r="AA185" s="156">
        <f ca="1"/>
        <v>8.5043553270872652E-3</v>
      </c>
      <c r="AB185" s="156">
        <f ca="1"/>
        <v>0</v>
      </c>
      <c r="AC185" s="156">
        <f ca="1"/>
        <v>2.1444674745264902E-2</v>
      </c>
      <c r="AD185" s="156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6.2417313825645637E-3</v>
      </c>
      <c r="Q186" s="156">
        <f ca="1"/>
        <v>0</v>
      </c>
      <c r="R186" s="156">
        <f ca="1"/>
        <v>3.28109539810989E-2</v>
      </c>
      <c r="S186" s="156">
        <f ca="1"/>
        <v>0</v>
      </c>
      <c r="T186" s="156">
        <f ca="1"/>
        <v>9.0105980641804195E-2</v>
      </c>
      <c r="U186" s="156">
        <f ca="1"/>
        <v>0.14334210188622065</v>
      </c>
      <c r="V186" s="138">
        <f ca="1"/>
        <v>0.23232156735816167</v>
      </c>
      <c r="W186" s="137">
        <f ca="1"/>
        <v>0</v>
      </c>
      <c r="X186" s="156">
        <f ca="1"/>
        <v>0</v>
      </c>
      <c r="Y186" s="156">
        <f ca="1"/>
        <v>6.407343959247136E-3</v>
      </c>
      <c r="Z186" s="156">
        <f ca="1"/>
        <v>0</v>
      </c>
      <c r="AA186" s="156">
        <f ca="1"/>
        <v>3.3294427625610412E-2</v>
      </c>
      <c r="AB186" s="156">
        <f ca="1"/>
        <v>0</v>
      </c>
      <c r="AC186" s="156">
        <f ca="1"/>
        <v>9.0891824302805957E-2</v>
      </c>
      <c r="AD186" s="156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1.8705855105300984E-3</v>
      </c>
      <c r="Q187" s="156">
        <f ca="1"/>
        <v>0</v>
      </c>
      <c r="R187" s="156">
        <f ca="1"/>
        <v>1.0082871994415155E-2</v>
      </c>
      <c r="S187" s="156">
        <f ca="1"/>
        <v>0</v>
      </c>
      <c r="T187" s="156">
        <f ca="1"/>
        <v>2.2439064957709087E-2</v>
      </c>
      <c r="U187" s="156">
        <f ca="1"/>
        <v>3.3090195425752311E-2</v>
      </c>
      <c r="V187" s="138">
        <f ca="1"/>
        <v>5.456205191439234E-2</v>
      </c>
      <c r="W187" s="137">
        <f ca="1"/>
        <v>0</v>
      </c>
      <c r="X187" s="156">
        <f ca="1"/>
        <v>0</v>
      </c>
      <c r="Y187" s="156">
        <f ca="1"/>
        <v>2.0369265508100032E-3</v>
      </c>
      <c r="Z187" s="156">
        <f ca="1"/>
        <v>0</v>
      </c>
      <c r="AA187" s="156">
        <f ca="1"/>
        <v>1.0577706839387413E-2</v>
      </c>
      <c r="AB187" s="156">
        <f ca="1"/>
        <v>0</v>
      </c>
      <c r="AC187" s="156">
        <f ca="1"/>
        <v>2.3253359733666934E-2</v>
      </c>
      <c r="AD187" s="156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2.1319782706600288E-3</v>
      </c>
      <c r="Q188" s="156">
        <f ca="1"/>
        <v>0</v>
      </c>
      <c r="R188" s="156">
        <f ca="1"/>
        <v>1.5679241335133209E-2</v>
      </c>
      <c r="S188" s="156">
        <f ca="1"/>
        <v>0</v>
      </c>
      <c r="T188" s="156">
        <f ca="1"/>
        <v>4.1689867469585473E-2</v>
      </c>
      <c r="U188" s="156">
        <f ca="1"/>
        <v>7.0033371231393082E-2</v>
      </c>
      <c r="V188" s="138">
        <f ca="1"/>
        <v>0.11606806672990089</v>
      </c>
      <c r="W188" s="137">
        <f ca="1"/>
        <v>0</v>
      </c>
      <c r="X188" s="156">
        <f ca="1"/>
        <v>0</v>
      </c>
      <c r="Y188" s="156">
        <f ca="1"/>
        <v>2.2982757490949135E-3</v>
      </c>
      <c r="Z188" s="156">
        <f ca="1"/>
        <v>0</v>
      </c>
      <c r="AA188" s="156">
        <f ca="1"/>
        <v>1.6171278694912083E-2</v>
      </c>
      <c r="AB188" s="156">
        <f ca="1"/>
        <v>0</v>
      </c>
      <c r="AC188" s="156">
        <f ca="1"/>
        <v>4.2488126592535647E-2</v>
      </c>
      <c r="AD188" s="156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4.6770024288453893E-3</v>
      </c>
      <c r="Q189" s="156">
        <f ca="1"/>
        <v>0</v>
      </c>
      <c r="R189" s="156">
        <f ca="1"/>
        <v>2.4905686499711144E-2</v>
      </c>
      <c r="S189" s="156">
        <f ca="1"/>
        <v>0</v>
      </c>
      <c r="T189" s="156">
        <f ca="1"/>
        <v>6.2182286008190091E-2</v>
      </c>
      <c r="U189" s="156">
        <f ca="1"/>
        <v>9.9307120719593134E-2</v>
      </c>
      <c r="V189" s="138">
        <f ca="1"/>
        <v>0.15708408700379128</v>
      </c>
      <c r="W189" s="137">
        <f ca="1"/>
        <v>0</v>
      </c>
      <c r="X189" s="156">
        <f ca="1"/>
        <v>0</v>
      </c>
      <c r="Y189" s="156">
        <f ca="1"/>
        <v>4.842875771951638E-3</v>
      </c>
      <c r="Z189" s="156">
        <f ca="1"/>
        <v>0</v>
      </c>
      <c r="AA189" s="156">
        <f ca="1"/>
        <v>2.5393111789946854E-2</v>
      </c>
      <c r="AB189" s="156">
        <f ca="1"/>
        <v>0</v>
      </c>
      <c r="AC189" s="156">
        <f ca="1"/>
        <v>6.2963475229129706E-2</v>
      </c>
      <c r="AD189" s="156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2.5645399967449967E-3</v>
      </c>
      <c r="Q190" s="156">
        <f ca="1"/>
        <v>0</v>
      </c>
      <c r="R190" s="156">
        <f ca="1"/>
        <v>2.2672371344228948E-2</v>
      </c>
      <c r="S190" s="156">
        <f ca="1"/>
        <v>0</v>
      </c>
      <c r="T190" s="156">
        <f ca="1"/>
        <v>5.8392884026378322E-2</v>
      </c>
      <c r="U190" s="156">
        <f ca="1"/>
        <v>9.6995168521933017E-2</v>
      </c>
      <c r="V190" s="138">
        <f ca="1"/>
        <v>0.16690562673838671</v>
      </c>
      <c r="W190" s="137">
        <f ca="1"/>
        <v>0</v>
      </c>
      <c r="X190" s="156">
        <f ca="1"/>
        <v>0</v>
      </c>
      <c r="Y190" s="156">
        <f ca="1"/>
        <v>2.730765387574885E-3</v>
      </c>
      <c r="Z190" s="156">
        <f ca="1"/>
        <v>0</v>
      </c>
      <c r="AA190" s="156">
        <f ca="1"/>
        <v>2.3160913012974294E-2</v>
      </c>
      <c r="AB190" s="156">
        <f ca="1"/>
        <v>0</v>
      </c>
      <c r="AC190" s="156">
        <f ca="1"/>
        <v>5.9177229766888439E-2</v>
      </c>
      <c r="AD190" s="156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2.9845647122828112E-3</v>
      </c>
      <c r="Q191" s="156">
        <f ca="1"/>
        <v>0</v>
      </c>
      <c r="R191" s="156">
        <f ca="1"/>
        <v>1.3640712090567164E-2</v>
      </c>
      <c r="S191" s="156">
        <f ca="1"/>
        <v>0</v>
      </c>
      <c r="T191" s="156">
        <f ca="1"/>
        <v>2.802736590979471E-2</v>
      </c>
      <c r="U191" s="156">
        <f ca="1"/>
        <v>3.9298801522064331E-2</v>
      </c>
      <c r="V191" s="138">
        <f ca="1"/>
        <v>5.8145586457562848E-2</v>
      </c>
      <c r="W191" s="137">
        <f ca="1"/>
        <v>0</v>
      </c>
      <c r="X191" s="156">
        <f ca="1"/>
        <v>0</v>
      </c>
      <c r="Y191" s="156">
        <f ca="1"/>
        <v>3.150720104815985E-3</v>
      </c>
      <c r="Z191" s="156">
        <f ca="1"/>
        <v>0</v>
      </c>
      <c r="AA191" s="156">
        <f ca="1"/>
        <v>1.413376846013692E-2</v>
      </c>
      <c r="AB191" s="156">
        <f ca="1"/>
        <v>0</v>
      </c>
      <c r="AC191" s="156">
        <f ca="1"/>
        <v>2.8837005708138963E-2</v>
      </c>
      <c r="AD191" s="156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9.1274261143514668E-4</v>
      </c>
      <c r="Q192" s="156">
        <f ca="1"/>
        <v>0</v>
      </c>
      <c r="R192" s="156">
        <f ca="1"/>
        <v>9.872585813916479E-3</v>
      </c>
      <c r="S192" s="156">
        <f ca="1"/>
        <v>0</v>
      </c>
      <c r="T192" s="156">
        <f ca="1"/>
        <v>2.3839001496562928E-2</v>
      </c>
      <c r="U192" s="156">
        <f ca="1"/>
        <v>4.3364626155745323E-2</v>
      </c>
      <c r="V192" s="138">
        <f ca="1"/>
        <v>8.1008279443897657E-2</v>
      </c>
      <c r="W192" s="137">
        <f ca="1"/>
        <v>0</v>
      </c>
      <c r="X192" s="156">
        <f ca="1"/>
        <v>0</v>
      </c>
      <c r="Y192" s="156">
        <f ca="1"/>
        <v>1.0792432788799822E-3</v>
      </c>
      <c r="Z192" s="156">
        <f ca="1"/>
        <v>0</v>
      </c>
      <c r="AA192" s="156">
        <f ca="1"/>
        <v>1.0367525775707875E-2</v>
      </c>
      <c r="AB192" s="156">
        <f ca="1"/>
        <v>0</v>
      </c>
      <c r="AC192" s="156">
        <f ca="1"/>
        <v>2.4652130144652618E-2</v>
      </c>
      <c r="AD192" s="156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8.4732155338929083E-4</v>
      </c>
      <c r="Q193" s="156">
        <f ca="1"/>
        <v>0</v>
      </c>
      <c r="R193" s="156">
        <f ca="1"/>
        <v>7.0127875017212959E-3</v>
      </c>
      <c r="S193" s="156">
        <f ca="1"/>
        <v>0</v>
      </c>
      <c r="T193" s="156">
        <f ca="1"/>
        <v>1.8059950104235667E-2</v>
      </c>
      <c r="U193" s="156">
        <f ca="1"/>
        <v>3.5745501325931461E-2</v>
      </c>
      <c r="V193" s="138">
        <f ca="1"/>
        <v>7.0762237108447423E-2</v>
      </c>
      <c r="W193" s="137">
        <f ca="1"/>
        <v>0</v>
      </c>
      <c r="X193" s="156">
        <f ca="1"/>
        <v>0</v>
      </c>
      <c r="Y193" s="156">
        <f ca="1"/>
        <v>1.0138331234285092E-3</v>
      </c>
      <c r="Z193" s="156">
        <f ca="1"/>
        <v>0</v>
      </c>
      <c r="AA193" s="156">
        <f ca="1"/>
        <v>7.5091570052914225E-3</v>
      </c>
      <c r="AB193" s="156">
        <f ca="1"/>
        <v>0</v>
      </c>
      <c r="AC193" s="156">
        <f ca="1"/>
        <v>1.8877892622457537E-2</v>
      </c>
      <c r="AD193" s="156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8.4732155338929083E-4</v>
      </c>
      <c r="Q194" s="156">
        <f ca="1"/>
        <v>0</v>
      </c>
      <c r="R194" s="156">
        <f ca="1"/>
        <v>7.4409885664654674E-3</v>
      </c>
      <c r="S194" s="156">
        <f ca="1"/>
        <v>0</v>
      </c>
      <c r="T194" s="156">
        <f ca="1"/>
        <v>1.8014625478155577E-2</v>
      </c>
      <c r="U194" s="156">
        <f ca="1"/>
        <v>3.3990854418045169E-2</v>
      </c>
      <c r="V194" s="138">
        <f ca="1"/>
        <v>6.306684465188872E-2</v>
      </c>
      <c r="W194" s="137">
        <f ca="1"/>
        <v>0</v>
      </c>
      <c r="X194" s="156">
        <f ca="1"/>
        <v>0</v>
      </c>
      <c r="Y194" s="156">
        <f ca="1"/>
        <v>1.0138331234285092E-3</v>
      </c>
      <c r="Z194" s="156">
        <f ca="1"/>
        <v>0</v>
      </c>
      <c r="AA194" s="156">
        <f ca="1"/>
        <v>7.9371440229437651E-3</v>
      </c>
      <c r="AB194" s="156">
        <f ca="1"/>
        <v>0</v>
      </c>
      <c r="AC194" s="156">
        <f ca="1"/>
        <v>1.8832605751112008E-2</v>
      </c>
      <c r="AD194" s="156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1.5119430341428153E-3</v>
      </c>
      <c r="Q195" s="156">
        <f ca="1"/>
        <v>0</v>
      </c>
      <c r="R195" s="156">
        <f ca="1"/>
        <v>9.5258320079973924E-3</v>
      </c>
      <c r="S195" s="156">
        <f ca="1"/>
        <v>0</v>
      </c>
      <c r="T195" s="156">
        <f ca="1"/>
        <v>2.5132102409387902E-2</v>
      </c>
      <c r="U195" s="156">
        <f ca="1"/>
        <v>3.8025844720394497E-2</v>
      </c>
      <c r="V195" s="138">
        <f ca="1"/>
        <v>6.5710249410136701E-2</v>
      </c>
      <c r="W195" s="137">
        <f ca="1"/>
        <v>0</v>
      </c>
      <c r="X195" s="156">
        <f ca="1"/>
        <v>0</v>
      </c>
      <c r="Y195" s="156">
        <f ca="1"/>
        <v>1.6783438431703379E-3</v>
      </c>
      <c r="Z195" s="156">
        <f ca="1"/>
        <v>0</v>
      </c>
      <c r="AA195" s="156">
        <f ca="1"/>
        <v>1.0020945303372941E-2</v>
      </c>
      <c r="AB195" s="156">
        <f ca="1"/>
        <v>0</v>
      </c>
      <c r="AC195" s="156">
        <f ca="1"/>
        <v>2.5944153922275004E-2</v>
      </c>
      <c r="AD195" s="156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7.34150763480379E-4</v>
      </c>
      <c r="Q196" s="156">
        <f ca="1"/>
        <v>0</v>
      </c>
      <c r="R196" s="156">
        <f ca="1"/>
        <v>8.2792590471812977E-3</v>
      </c>
      <c r="S196" s="156">
        <f ca="1"/>
        <v>0</v>
      </c>
      <c r="T196" s="156">
        <f ca="1"/>
        <v>1.793515465508233E-2</v>
      </c>
      <c r="U196" s="156">
        <f ca="1"/>
        <v>3.3698440350099612E-2</v>
      </c>
      <c r="V196" s="138">
        <f ca="1"/>
        <v>6.2325087376590815E-2</v>
      </c>
      <c r="W196" s="137">
        <f ca="1"/>
        <v>0</v>
      </c>
      <c r="X196" s="156">
        <f ca="1"/>
        <v>0</v>
      </c>
      <c r="Y196" s="156">
        <f ca="1"/>
        <v>9.0068119378550193E-4</v>
      </c>
      <c r="Z196" s="156">
        <f ca="1"/>
        <v>0</v>
      </c>
      <c r="AA196" s="156">
        <f ca="1"/>
        <v>8.7749954732535551E-3</v>
      </c>
      <c r="AB196" s="156">
        <f ca="1"/>
        <v>0</v>
      </c>
      <c r="AC196" s="156">
        <f ca="1"/>
        <v>1.8753201126133545E-2</v>
      </c>
      <c r="AD196" s="156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3.891078569126627E-3</v>
      </c>
      <c r="Q197" s="156">
        <f ca="1"/>
        <v>0</v>
      </c>
      <c r="R197" s="156">
        <f ca="1"/>
        <v>1.9640634483054642E-2</v>
      </c>
      <c r="S197" s="156">
        <f ca="1"/>
        <v>0</v>
      </c>
      <c r="T197" s="156">
        <f ca="1"/>
        <v>4.4939184995579584E-2</v>
      </c>
      <c r="U197" s="156">
        <f ca="1"/>
        <v>7.2191366966922521E-2</v>
      </c>
      <c r="V197" s="138">
        <f ca="1"/>
        <v>0.12216841607840156</v>
      </c>
      <c r="W197" s="137">
        <f ca="1"/>
        <v>0</v>
      </c>
      <c r="X197" s="156">
        <f ca="1"/>
        <v>0</v>
      </c>
      <c r="Y197" s="156">
        <f ca="1"/>
        <v>4.0570828886333787E-3</v>
      </c>
      <c r="Z197" s="156">
        <f ca="1"/>
        <v>0</v>
      </c>
      <c r="AA197" s="156">
        <f ca="1"/>
        <v>2.0130691641291776E-2</v>
      </c>
      <c r="AB197" s="156">
        <f ca="1"/>
        <v>0</v>
      </c>
      <c r="AC197" s="156">
        <f ca="1"/>
        <v>4.5734737481839649E-2</v>
      </c>
      <c r="AD197" s="156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8.6677150136438286E-4</v>
      </c>
      <c r="Q198" s="156">
        <f ca="1"/>
        <v>0</v>
      </c>
      <c r="R198" s="156">
        <f ca="1"/>
        <v>8.0190165657189061E-3</v>
      </c>
      <c r="S198" s="156">
        <f ca="1"/>
        <v>0</v>
      </c>
      <c r="T198" s="156">
        <f ca="1"/>
        <v>1.8385459478319266E-2</v>
      </c>
      <c r="U198" s="156">
        <f ca="1"/>
        <v>3.4313687536761561E-2</v>
      </c>
      <c r="V198" s="138">
        <f ca="1"/>
        <v>6.5061881056057258E-2</v>
      </c>
      <c r="W198" s="137">
        <f ca="1"/>
        <v>0</v>
      </c>
      <c r="X198" s="156">
        <f ca="1"/>
        <v>0</v>
      </c>
      <c r="Y198" s="156">
        <f ca="1"/>
        <v>1.0332798300223267E-3</v>
      </c>
      <c r="Z198" s="156">
        <f ca="1"/>
        <v>0</v>
      </c>
      <c r="AA198" s="156">
        <f ca="1"/>
        <v>8.5148830804711029E-3</v>
      </c>
      <c r="AB198" s="156">
        <f ca="1"/>
        <v>0</v>
      </c>
      <c r="AC198" s="156">
        <f ca="1"/>
        <v>1.9203130851714545E-2</v>
      </c>
      <c r="AD198" s="156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1.4412594847763582E-3</v>
      </c>
      <c r="Q199" s="156">
        <f ca="1"/>
        <v>0</v>
      </c>
      <c r="R199" s="156">
        <f ca="1"/>
        <v>8.1230026311470693E-3</v>
      </c>
      <c r="S199" s="156">
        <f ca="1"/>
        <v>0</v>
      </c>
      <c r="T199" s="156">
        <f ca="1"/>
        <v>1.7017490746663921E-2</v>
      </c>
      <c r="U199" s="156">
        <f ca="1"/>
        <v>3.1598639589498267E-2</v>
      </c>
      <c r="V199" s="138">
        <f ca="1"/>
        <v>5.8258845494171263E-2</v>
      </c>
      <c r="W199" s="137">
        <f ca="1"/>
        <v>0</v>
      </c>
      <c r="X199" s="156">
        <f ca="1"/>
        <v>0</v>
      </c>
      <c r="Y199" s="156">
        <f ca="1"/>
        <v>1.6076720734169436E-3</v>
      </c>
      <c r="Z199" s="156">
        <f ca="1"/>
        <v>0</v>
      </c>
      <c r="AA199" s="156">
        <f ca="1"/>
        <v>8.6188171658809765E-3</v>
      </c>
      <c r="AB199" s="156">
        <f ca="1"/>
        <v>0</v>
      </c>
      <c r="AC199" s="156">
        <f ca="1"/>
        <v>1.7836301619116868E-2</v>
      </c>
      <c r="AD199" s="156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8.7030781515118338E-4</v>
      </c>
      <c r="Q200" s="156">
        <f ca="1"/>
        <v>0</v>
      </c>
      <c r="R200" s="156">
        <f ca="1"/>
        <v>8.8327570066397687E-3</v>
      </c>
      <c r="S200" s="156">
        <f ca="1"/>
        <v>0</v>
      </c>
      <c r="T200" s="156">
        <f ca="1"/>
        <v>2.1349406425558493E-2</v>
      </c>
      <c r="U200" s="156">
        <f ca="1"/>
        <v>3.7083345027531633E-2</v>
      </c>
      <c r="V200" s="138">
        <f ca="1"/>
        <v>6.5909616874926136E-2</v>
      </c>
      <c r="W200" s="137">
        <f ca="1"/>
        <v>0</v>
      </c>
      <c r="X200" s="156">
        <f ca="1"/>
        <v>0</v>
      </c>
      <c r="Y200" s="156">
        <f ca="1"/>
        <v>1.0368155544661084E-3</v>
      </c>
      <c r="Z200" s="156">
        <f ca="1"/>
        <v>0</v>
      </c>
      <c r="AA200" s="156">
        <f ca="1"/>
        <v>9.3282167529175064E-3</v>
      </c>
      <c r="AB200" s="156">
        <f ca="1"/>
        <v>0</v>
      </c>
      <c r="AC200" s="156">
        <f ca="1"/>
        <v>2.2164608871979352E-2</v>
      </c>
      <c r="AD200" s="156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4.6858097503414964E-3</v>
      </c>
      <c r="Q201" s="156">
        <f ca="1"/>
        <v>0</v>
      </c>
      <c r="R201" s="156">
        <f ca="1"/>
        <v>3.5310827921239074E-2</v>
      </c>
      <c r="S201" s="156">
        <f ca="1"/>
        <v>0</v>
      </c>
      <c r="T201" s="156">
        <f ca="1"/>
        <v>8.9936094321673155E-2</v>
      </c>
      <c r="U201" s="156">
        <f ca="1"/>
        <v>0.14241033573063977</v>
      </c>
      <c r="V201" s="138">
        <f ca="1"/>
        <v>0.24360373781070954</v>
      </c>
      <c r="W201" s="137">
        <f ca="1"/>
        <v>0</v>
      </c>
      <c r="X201" s="156">
        <f ca="1"/>
        <v>0</v>
      </c>
      <c r="Y201" s="156">
        <f ca="1"/>
        <v>4.8516816256668482E-3</v>
      </c>
      <c r="Z201" s="156">
        <f ca="1"/>
        <v>0</v>
      </c>
      <c r="AA201" s="156">
        <f ca="1"/>
        <v>3.5793051941235499E-2</v>
      </c>
      <c r="AB201" s="156">
        <f ca="1"/>
        <v>0</v>
      </c>
      <c r="AC201" s="156">
        <f ca="1"/>
        <v>9.0721679731495919E-2</v>
      </c>
      <c r="AD201" s="156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2.9845647122828112E-3</v>
      </c>
      <c r="Q202" s="156">
        <f ca="1"/>
        <v>0</v>
      </c>
      <c r="R202" s="156">
        <f ca="1"/>
        <v>1.6142685589617622E-2</v>
      </c>
      <c r="S202" s="156">
        <f ca="1"/>
        <v>0</v>
      </c>
      <c r="T202" s="156">
        <f ca="1"/>
        <v>3.5094254610789744E-2</v>
      </c>
      <c r="U202" s="156">
        <f ca="1"/>
        <v>5.3328887690212157E-2</v>
      </c>
      <c r="V202" s="138">
        <f ca="1"/>
        <v>8.0161889360580885E-2</v>
      </c>
      <c r="W202" s="137">
        <f ca="1"/>
        <v>0</v>
      </c>
      <c r="X202" s="156">
        <f ca="1"/>
        <v>0</v>
      </c>
      <c r="Y202" s="156">
        <f ca="1"/>
        <v>3.150720104815985E-3</v>
      </c>
      <c r="Z202" s="156">
        <f ca="1"/>
        <v>0</v>
      </c>
      <c r="AA202" s="156">
        <f ca="1"/>
        <v>1.6634491285146269E-2</v>
      </c>
      <c r="AB202" s="156">
        <f ca="1"/>
        <v>0</v>
      </c>
      <c r="AC202" s="156">
        <f ca="1"/>
        <v>3.5898007788314201E-2</v>
      </c>
      <c r="AD202" s="156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2.5663051735821396E-3</v>
      </c>
      <c r="Q203" s="156">
        <f ca="1"/>
        <v>0</v>
      </c>
      <c r="R203" s="156">
        <f ca="1"/>
        <v>9.781153063557535E-3</v>
      </c>
      <c r="S203" s="156">
        <f ca="1"/>
        <v>0</v>
      </c>
      <c r="T203" s="156">
        <f ca="1"/>
        <v>3.3255752402367E-2</v>
      </c>
      <c r="U203" s="156">
        <f ca="1"/>
        <v>6.4567754091051532E-2</v>
      </c>
      <c r="V203" s="138">
        <f ca="1"/>
        <v>0.11278213084390065</v>
      </c>
      <c r="W203" s="137">
        <f ca="1"/>
        <v>0</v>
      </c>
      <c r="X203" s="156">
        <f ca="1"/>
        <v>0</v>
      </c>
      <c r="Y203" s="156">
        <f ca="1"/>
        <v>2.7325302702371213E-3</v>
      </c>
      <c r="Z203" s="156">
        <f ca="1"/>
        <v>0</v>
      </c>
      <c r="AA203" s="156">
        <f ca="1"/>
        <v>1.0276138730328621E-2</v>
      </c>
      <c r="AB203" s="156">
        <f ca="1"/>
        <v>0</v>
      </c>
      <c r="AC203" s="156">
        <f ca="1"/>
        <v>3.4061037026805963E-2</v>
      </c>
      <c r="AD203" s="156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8.0420674543183579E-2</v>
      </c>
      <c r="Q204" s="156">
        <f ca="1"/>
        <v>0</v>
      </c>
      <c r="R204" s="156">
        <f ca="1"/>
        <v>0.18702291734579313</v>
      </c>
      <c r="S204" s="156">
        <f ca="1"/>
        <v>0</v>
      </c>
      <c r="T204" s="156">
        <f ca="1"/>
        <v>0.2432966920088816</v>
      </c>
      <c r="U204" s="156">
        <f ca="1"/>
        <v>0.29103978683965415</v>
      </c>
      <c r="V204" s="138">
        <f ca="1"/>
        <v>0.34461918501462918</v>
      </c>
      <c r="W204" s="137">
        <f ca="1"/>
        <v>0</v>
      </c>
      <c r="X204" s="156">
        <f ca="1"/>
        <v>0</v>
      </c>
      <c r="Y204" s="156">
        <f ca="1"/>
        <v>8.05739249928622E-2</v>
      </c>
      <c r="Z204" s="156">
        <f ca="1"/>
        <v>0</v>
      </c>
      <c r="AA204" s="156">
        <f ca="1"/>
        <v>0.18742930428191507</v>
      </c>
      <c r="AB204" s="156">
        <f ca="1"/>
        <v>0</v>
      </c>
      <c r="AC204" s="156">
        <f ca="1"/>
        <v>0.24392701542765016</v>
      </c>
      <c r="AD204" s="156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4.9746470952960475E-3</v>
      </c>
      <c r="Q205" s="156">
        <f ca="1"/>
        <v>0</v>
      </c>
      <c r="R205" s="156">
        <f ca="1"/>
        <v>2.7630425690395866E-2</v>
      </c>
      <c r="S205" s="156">
        <f ca="1"/>
        <v>0</v>
      </c>
      <c r="T205" s="156">
        <f ca="1"/>
        <v>7.5529124295883654E-2</v>
      </c>
      <c r="U205" s="156">
        <f ca="1"/>
        <v>0.12447507667547897</v>
      </c>
      <c r="V205" s="138">
        <f ca="1"/>
        <v>0.21100576058416864</v>
      </c>
      <c r="W205" s="137">
        <f ca="1"/>
        <v>0</v>
      </c>
      <c r="X205" s="156">
        <f ca="1"/>
        <v>0</v>
      </c>
      <c r="Y205" s="156">
        <f ca="1"/>
        <v>5.1404708350950568E-3</v>
      </c>
      <c r="Z205" s="156">
        <f ca="1"/>
        <v>0</v>
      </c>
      <c r="AA205" s="156">
        <f ca="1"/>
        <v>2.8116488951577145E-2</v>
      </c>
      <c r="AB205" s="156">
        <f ca="1"/>
        <v>0</v>
      </c>
      <c r="AC205" s="156">
        <f ca="1"/>
        <v>7.6325365402864609E-2</v>
      </c>
      <c r="AD205" s="156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1.1724502814396187E-2</v>
      </c>
      <c r="Q206" s="156">
        <f ca="1"/>
        <v>0</v>
      </c>
      <c r="R206" s="156">
        <f ca="1"/>
        <v>6.0488618338114586E-2</v>
      </c>
      <c r="S206" s="156">
        <f ca="1"/>
        <v>0</v>
      </c>
      <c r="T206" s="156">
        <f ca="1"/>
        <v>0.1455412008283461</v>
      </c>
      <c r="U206" s="156">
        <f ca="1"/>
        <v>0.21979708479812365</v>
      </c>
      <c r="V206" s="138">
        <f ca="1"/>
        <v>0.3364542345745889</v>
      </c>
      <c r="W206" s="137">
        <f ca="1"/>
        <v>0</v>
      </c>
      <c r="X206" s="156">
        <f ca="1"/>
        <v>0</v>
      </c>
      <c r="Y206" s="156">
        <f ca="1"/>
        <v>1.1889201671977823E-2</v>
      </c>
      <c r="Z206" s="156">
        <f ca="1"/>
        <v>0</v>
      </c>
      <c r="AA206" s="156">
        <f ca="1"/>
        <v>6.0958256609610961E-2</v>
      </c>
      <c r="AB206" s="156">
        <f ca="1"/>
        <v>0</v>
      </c>
      <c r="AC206" s="156">
        <f ca="1"/>
        <v>0.14628485495673849</v>
      </c>
      <c r="AD206" s="156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8.3317590058840096E-4</v>
      </c>
      <c r="Q207" s="156">
        <f ca="1"/>
        <v>0</v>
      </c>
      <c r="R207" s="156">
        <f ca="1"/>
        <v>9.7846471949342151E-3</v>
      </c>
      <c r="S207" s="156">
        <f ca="1"/>
        <v>0</v>
      </c>
      <c r="T207" s="156">
        <f ca="1"/>
        <v>2.2115973572471748E-2</v>
      </c>
      <c r="U207" s="156">
        <f ca="1"/>
        <v>4.1952507654134941E-2</v>
      </c>
      <c r="V207" s="138">
        <f ca="1"/>
        <v>7.7385928502623158E-2</v>
      </c>
      <c r="W207" s="137">
        <f ca="1"/>
        <v>0</v>
      </c>
      <c r="X207" s="156">
        <f ca="1"/>
        <v>0</v>
      </c>
      <c r="Y207" s="156">
        <f ca="1"/>
        <v>9.9968982806619699E-4</v>
      </c>
      <c r="Z207" s="156">
        <f ca="1"/>
        <v>0</v>
      </c>
      <c r="AA207" s="156">
        <f ca="1"/>
        <v>1.0279631115008403E-2</v>
      </c>
      <c r="AB207" s="156">
        <f ca="1"/>
        <v>0</v>
      </c>
      <c r="AC207" s="156">
        <f ca="1"/>
        <v>2.2930537479050606E-2</v>
      </c>
      <c r="AD207" s="156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1.9836285539488463E-3</v>
      </c>
      <c r="Q208" s="156">
        <f ca="1"/>
        <v>0</v>
      </c>
      <c r="R208" s="156">
        <f ca="1"/>
        <v>9.9806965220505806E-3</v>
      </c>
      <c r="S208" s="156">
        <f ca="1"/>
        <v>0</v>
      </c>
      <c r="T208" s="156">
        <f ca="1"/>
        <v>2.5915905866368161E-2</v>
      </c>
      <c r="U208" s="156">
        <f ca="1"/>
        <v>4.8386252065264701E-2</v>
      </c>
      <c r="V208" s="138">
        <f ca="1"/>
        <v>8.9602597795709893E-2</v>
      </c>
      <c r="W208" s="137">
        <f ca="1"/>
        <v>0</v>
      </c>
      <c r="X208" s="156">
        <f ca="1"/>
        <v>0</v>
      </c>
      <c r="Y208" s="156">
        <f ca="1"/>
        <v>2.1499507552952268E-3</v>
      </c>
      <c r="Z208" s="156">
        <f ca="1"/>
        <v>0</v>
      </c>
      <c r="AA208" s="156">
        <f ca="1"/>
        <v>1.04755824420244E-2</v>
      </c>
      <c r="AB208" s="156">
        <f ca="1"/>
        <v>0</v>
      </c>
      <c r="AC208" s="156">
        <f ca="1"/>
        <v>2.6727304481740211E-2</v>
      </c>
      <c r="AD208" s="156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6.7021224018984471E-2</v>
      </c>
      <c r="Q209" s="156">
        <f ca="1"/>
        <v>0</v>
      </c>
      <c r="R209" s="156">
        <f ca="1"/>
        <v>0.18278093584700972</v>
      </c>
      <c r="S209" s="156">
        <f ca="1"/>
        <v>0</v>
      </c>
      <c r="T209" s="156">
        <f ca="1"/>
        <v>0.24780380385416112</v>
      </c>
      <c r="U209" s="156">
        <f ca="1"/>
        <v>0.30405517562617146</v>
      </c>
      <c r="V209" s="138">
        <f ca="1"/>
        <v>0.37861133005095993</v>
      </c>
      <c r="W209" s="137">
        <f ca="1"/>
        <v>0</v>
      </c>
      <c r="X209" s="156">
        <f ca="1"/>
        <v>0</v>
      </c>
      <c r="Y209" s="156">
        <f ca="1"/>
        <v>6.7176707524337242E-2</v>
      </c>
      <c r="Z209" s="156">
        <f ca="1"/>
        <v>0</v>
      </c>
      <c r="AA209" s="156">
        <f ca="1"/>
        <v>0.18318944324372965</v>
      </c>
      <c r="AB209" s="156">
        <f ca="1"/>
        <v>0</v>
      </c>
      <c r="AC209" s="156">
        <f ca="1"/>
        <v>0.24843037291091619</v>
      </c>
      <c r="AD209" s="156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7.537078374057038E-3</v>
      </c>
      <c r="Q210" s="156">
        <f ca="1"/>
        <v>0</v>
      </c>
      <c r="R210" s="156">
        <f ca="1"/>
        <v>3.8617728515080052E-2</v>
      </c>
      <c r="S210" s="156">
        <f ca="1"/>
        <v>0</v>
      </c>
      <c r="T210" s="156">
        <f ca="1"/>
        <v>0.10045207948725365</v>
      </c>
      <c r="U210" s="156">
        <f ca="1"/>
        <v>0.16229789936909444</v>
      </c>
      <c r="V210" s="138">
        <f ca="1"/>
        <v>0.27085764682662095</v>
      </c>
      <c r="W210" s="137">
        <f ca="1"/>
        <v>0</v>
      </c>
      <c r="X210" s="156">
        <f ca="1"/>
        <v>0</v>
      </c>
      <c r="Y210" s="156">
        <f ca="1"/>
        <v>7.7024750775577244E-3</v>
      </c>
      <c r="Z210" s="156">
        <f ca="1"/>
        <v>0</v>
      </c>
      <c r="AA210" s="156">
        <f ca="1"/>
        <v>3.9098299498030675E-2</v>
      </c>
      <c r="AB210" s="156">
        <f ca="1"/>
        <v>0</v>
      </c>
      <c r="AC210" s="156">
        <f ca="1"/>
        <v>0.10122973248304235</v>
      </c>
      <c r="AD210" s="156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6.3947291584415256E-3</v>
      </c>
      <c r="Q211" s="156">
        <f ca="1"/>
        <v>0</v>
      </c>
      <c r="R211" s="156">
        <f ca="1"/>
        <v>3.9943006139694703E-2</v>
      </c>
      <c r="S211" s="156">
        <f ca="1"/>
        <v>0</v>
      </c>
      <c r="T211" s="156">
        <f ca="1"/>
        <v>0.10164265970126729</v>
      </c>
      <c r="U211" s="156">
        <f ca="1"/>
        <v>0.15678447845990495</v>
      </c>
      <c r="V211" s="138">
        <f ca="1"/>
        <v>0.25184435878309175</v>
      </c>
      <c r="W211" s="137">
        <f ca="1"/>
        <v>0</v>
      </c>
      <c r="X211" s="156">
        <f ca="1"/>
        <v>0</v>
      </c>
      <c r="Y211" s="156">
        <f ca="1"/>
        <v>6.5603162375925672E-3</v>
      </c>
      <c r="Z211" s="156">
        <f ca="1"/>
        <v>0</v>
      </c>
      <c r="AA211" s="156">
        <f ca="1"/>
        <v>4.0422914649490993E-2</v>
      </c>
      <c r="AB211" s="156">
        <f ca="1"/>
        <v>0</v>
      </c>
      <c r="AC211" s="156">
        <f ca="1"/>
        <v>0.1024195448420292</v>
      </c>
      <c r="AD211" s="156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1.1955955335842816E-3</v>
      </c>
      <c r="Q212" s="156">
        <f ca="1"/>
        <v>0</v>
      </c>
      <c r="R212" s="156">
        <f ca="1"/>
        <v>5.9793029827601707E-3</v>
      </c>
      <c r="S212" s="156">
        <f ca="1"/>
        <v>0</v>
      </c>
      <c r="T212" s="156">
        <f ca="1"/>
        <v>1.682963639131041E-2</v>
      </c>
      <c r="U212" s="156">
        <f ca="1"/>
        <v>3.0226530362412407E-2</v>
      </c>
      <c r="V212" s="138">
        <f ca="1"/>
        <v>6.4259574407833475E-2</v>
      </c>
      <c r="W212" s="137">
        <f ca="1"/>
        <v>0</v>
      </c>
      <c r="X212" s="156">
        <f ca="1"/>
        <v>0</v>
      </c>
      <c r="Y212" s="156">
        <f ca="1"/>
        <v>1.36204906283377E-3</v>
      </c>
      <c r="Z212" s="156">
        <f ca="1"/>
        <v>0</v>
      </c>
      <c r="AA212" s="156">
        <f ca="1"/>
        <v>6.476189099385854E-3</v>
      </c>
      <c r="AB212" s="156">
        <f ca="1"/>
        <v>0</v>
      </c>
      <c r="AC212" s="156">
        <f ca="1"/>
        <v>1.7648603743873448E-2</v>
      </c>
      <c r="AD212" s="156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9.1451068910863853E-4</v>
      </c>
      <c r="Q213" s="156">
        <f ca="1"/>
        <v>0</v>
      </c>
      <c r="R213" s="156">
        <f ca="1"/>
        <v>5.6024190394146078E-3</v>
      </c>
      <c r="S213" s="156">
        <f ca="1"/>
        <v>0</v>
      </c>
      <c r="T213" s="156">
        <f ca="1"/>
        <v>1.6457985428498412E-2</v>
      </c>
      <c r="U213" s="156">
        <f ca="1"/>
        <v>2.6715004902493678E-2</v>
      </c>
      <c r="V213" s="138">
        <f ca="1"/>
        <v>4.8746973104126234E-2</v>
      </c>
      <c r="W213" s="137">
        <f ca="1"/>
        <v>0</v>
      </c>
      <c r="X213" s="156">
        <f ca="1"/>
        <v>0</v>
      </c>
      <c r="Y213" s="156">
        <f ca="1"/>
        <v>1.0810110618951763E-3</v>
      </c>
      <c r="Z213" s="156">
        <f ca="1"/>
        <v>0</v>
      </c>
      <c r="AA213" s="156">
        <f ca="1"/>
        <v>6.0994935509220971E-3</v>
      </c>
      <c r="AB213" s="156">
        <f ca="1"/>
        <v>0</v>
      </c>
      <c r="AC213" s="156">
        <f ca="1"/>
        <v>1.7277262361151569E-2</v>
      </c>
      <c r="AD213" s="156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1.0117501780738669E-3</v>
      </c>
      <c r="Q214" s="156">
        <f ca="1"/>
        <v>0</v>
      </c>
      <c r="R214" s="156">
        <f ca="1"/>
        <v>1.2021872562300473E-2</v>
      </c>
      <c r="S214" s="156">
        <f ca="1"/>
        <v>0</v>
      </c>
      <c r="T214" s="156">
        <f ca="1"/>
        <v>3.5731081044137136E-2</v>
      </c>
      <c r="U214" s="156">
        <f ca="1"/>
        <v>7.0639252333016045E-2</v>
      </c>
      <c r="V214" s="138">
        <f ca="1"/>
        <v>0.12026425085052617</v>
      </c>
      <c r="W214" s="137">
        <f ca="1"/>
        <v>0</v>
      </c>
      <c r="X214" s="156">
        <f ca="1"/>
        <v>0</v>
      </c>
      <c r="Y214" s="156">
        <f ca="1"/>
        <v>1.1782343456623323E-3</v>
      </c>
      <c r="Z214" s="156">
        <f ca="1"/>
        <v>0</v>
      </c>
      <c r="AA214" s="156">
        <f ca="1"/>
        <v>1.2515738149344258E-2</v>
      </c>
      <c r="AB214" s="156">
        <f ca="1"/>
        <v>0</v>
      </c>
      <c r="AC214" s="156">
        <f ca="1"/>
        <v>3.653430375395772E-2</v>
      </c>
      <c r="AD214" s="156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2.4003650046323655E-3</v>
      </c>
      <c r="Q215" s="156">
        <f ca="1"/>
        <v>0</v>
      </c>
      <c r="R215" s="156">
        <f ca="1"/>
        <v>1.3129054246805771E-2</v>
      </c>
      <c r="S215" s="156">
        <f ca="1"/>
        <v>0</v>
      </c>
      <c r="T215" s="156">
        <f ca="1"/>
        <v>3.9805951882399437E-2</v>
      </c>
      <c r="U215" s="156">
        <f ca="1"/>
        <v>6.9732187251140276E-2</v>
      </c>
      <c r="V215" s="138">
        <f ca="1"/>
        <v>0.14035209701858464</v>
      </c>
      <c r="W215" s="137">
        <f ca="1"/>
        <v>0</v>
      </c>
      <c r="X215" s="156">
        <f ca="1"/>
        <v>0</v>
      </c>
      <c r="Y215" s="156">
        <f ca="1"/>
        <v>2.5666177556865621E-3</v>
      </c>
      <c r="Z215" s="156">
        <f ca="1"/>
        <v>0</v>
      </c>
      <c r="AA215" s="156">
        <f ca="1"/>
        <v>1.3622366381405571E-2</v>
      </c>
      <c r="AB215" s="156">
        <f ca="1"/>
        <v>0</v>
      </c>
      <c r="AC215" s="156">
        <f ca="1"/>
        <v>4.0605780281062764E-2</v>
      </c>
      <c r="AD215" s="156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5.1669278698411647E-2</v>
      </c>
      <c r="Q216" s="156">
        <f ca="1"/>
        <v>0</v>
      </c>
      <c r="R216" s="156">
        <f ca="1"/>
        <v>0.13253898560057242</v>
      </c>
      <c r="S216" s="156">
        <f ca="1"/>
        <v>0</v>
      </c>
      <c r="T216" s="156">
        <f ca="1"/>
        <v>0.1884476863487129</v>
      </c>
      <c r="U216" s="156">
        <f ca="1"/>
        <v>0.21314660142574715</v>
      </c>
      <c r="V216" s="138">
        <f ca="1"/>
        <v>0.24356777904337734</v>
      </c>
      <c r="W216" s="137">
        <f ca="1"/>
        <v>0</v>
      </c>
      <c r="X216" s="156">
        <f ca="1"/>
        <v>0</v>
      </c>
      <c r="Y216" s="156">
        <f ca="1"/>
        <v>5.1827320648118791E-2</v>
      </c>
      <c r="Z216" s="156">
        <f ca="1"/>
        <v>0</v>
      </c>
      <c r="AA216" s="156">
        <f ca="1"/>
        <v>0.13297260769322627</v>
      </c>
      <c r="AB216" s="156">
        <f ca="1"/>
        <v>0</v>
      </c>
      <c r="AC216" s="156">
        <f ca="1"/>
        <v>0.18912369823268049</v>
      </c>
      <c r="AD216" s="156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2.0807647700651355E-3</v>
      </c>
      <c r="Q217" s="156">
        <f ca="1"/>
        <v>0</v>
      </c>
      <c r="R217" s="156">
        <f ca="1"/>
        <v>1.0197473401305057E-2</v>
      </c>
      <c r="S217" s="156">
        <f ca="1"/>
        <v>0</v>
      </c>
      <c r="T217" s="156">
        <f ca="1"/>
        <v>2.1102735349638246E-2</v>
      </c>
      <c r="U217" s="156">
        <f ca="1"/>
        <v>3.9053240568651115E-2</v>
      </c>
      <c r="V217" s="138">
        <f ca="1"/>
        <v>7.0323045515486515E-2</v>
      </c>
      <c r="W217" s="137">
        <f ca="1"/>
        <v>0</v>
      </c>
      <c r="X217" s="156">
        <f ca="1"/>
        <v>0</v>
      </c>
      <c r="Y217" s="156">
        <f ca="1"/>
        <v>2.2470707833817105E-3</v>
      </c>
      <c r="Z217" s="156">
        <f ca="1"/>
        <v>0</v>
      </c>
      <c r="AA217" s="156">
        <f ca="1"/>
        <v>1.0692250959873695E-2</v>
      </c>
      <c r="AB217" s="156">
        <f ca="1"/>
        <v>0</v>
      </c>
      <c r="AC217" s="156">
        <f ca="1"/>
        <v>2.1918143269715973E-2</v>
      </c>
      <c r="AD217" s="156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1.0753927560869236E-3</v>
      </c>
      <c r="Q218" s="156">
        <f ca="1"/>
        <v>0</v>
      </c>
      <c r="R218" s="156">
        <f ca="1"/>
        <v>8.7550509105021046E-3</v>
      </c>
      <c r="S218" s="156">
        <f ca="1"/>
        <v>0</v>
      </c>
      <c r="T218" s="156">
        <f ca="1"/>
        <v>2.1773640284823093E-2</v>
      </c>
      <c r="U218" s="156">
        <f ca="1"/>
        <v>4.123772931852121E-2</v>
      </c>
      <c r="V218" s="138">
        <f ca="1"/>
        <v>7.4162137342519086E-2</v>
      </c>
      <c r="W218" s="137">
        <f ca="1"/>
        <v>0</v>
      </c>
      <c r="X218" s="156">
        <f ca="1"/>
        <v>0</v>
      </c>
      <c r="Y218" s="156">
        <f ca="1"/>
        <v>1.2418663174301736E-3</v>
      </c>
      <c r="Z218" s="156">
        <f ca="1"/>
        <v>0</v>
      </c>
      <c r="AA218" s="156">
        <f ca="1"/>
        <v>9.2505495000990701E-3</v>
      </c>
      <c r="AB218" s="156">
        <f ca="1"/>
        <v>0</v>
      </c>
      <c r="AC218" s="156">
        <f ca="1"/>
        <v>2.2588489350319763E-2</v>
      </c>
      <c r="AD218" s="156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5.0345176143764547E-3</v>
      </c>
      <c r="Q219" s="156">
        <f ca="1"/>
        <v>0</v>
      </c>
      <c r="R219" s="156">
        <f ca="1"/>
        <v>2.0702709701802657E-2</v>
      </c>
      <c r="S219" s="156">
        <f ca="1"/>
        <v>0</v>
      </c>
      <c r="T219" s="156">
        <f ca="1"/>
        <v>5.9256505725370445E-2</v>
      </c>
      <c r="U219" s="156">
        <f ca="1"/>
        <v>9.908767796049478E-2</v>
      </c>
      <c r="V219" s="138">
        <f ca="1"/>
        <v>0.16804308856912886</v>
      </c>
      <c r="W219" s="137">
        <f ca="1"/>
        <v>0</v>
      </c>
      <c r="X219" s="156">
        <f ca="1"/>
        <v>0</v>
      </c>
      <c r="Y219" s="156">
        <f ca="1"/>
        <v>5.2003313765615067E-3</v>
      </c>
      <c r="Z219" s="156">
        <f ca="1"/>
        <v>0</v>
      </c>
      <c r="AA219" s="156">
        <f ca="1"/>
        <v>2.1192235955212246E-2</v>
      </c>
      <c r="AB219" s="156">
        <f ca="1"/>
        <v>0</v>
      </c>
      <c r="AC219" s="156">
        <f ca="1"/>
        <v>6.0040132080928732E-2</v>
      </c>
      <c r="AD219" s="156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2.0701685477848564E-3</v>
      </c>
      <c r="Q220" s="156">
        <f ca="1"/>
        <v>0</v>
      </c>
      <c r="R220" s="156">
        <f ca="1"/>
        <v>1.113036112910859E-2</v>
      </c>
      <c r="S220" s="156">
        <f ca="1"/>
        <v>0</v>
      </c>
      <c r="T220" s="156">
        <f ca="1"/>
        <v>2.8812479325130758E-2</v>
      </c>
      <c r="U220" s="156">
        <f ca="1"/>
        <v>4.2019872981071238E-2</v>
      </c>
      <c r="V220" s="138">
        <f ca="1"/>
        <v>6.9058568274379506E-2</v>
      </c>
      <c r="W220" s="137">
        <f ca="1"/>
        <v>0</v>
      </c>
      <c r="X220" s="156">
        <f ca="1"/>
        <v>0</v>
      </c>
      <c r="Y220" s="156">
        <f ca="1"/>
        <v>2.2364763270109611E-3</v>
      </c>
      <c r="Z220" s="156">
        <f ca="1"/>
        <v>0</v>
      </c>
      <c r="AA220" s="156">
        <f ca="1"/>
        <v>1.162467236045428E-2</v>
      </c>
      <c r="AB220" s="156">
        <f ca="1"/>
        <v>0</v>
      </c>
      <c r="AC220" s="156">
        <f ca="1"/>
        <v>2.9621465134757829E-2</v>
      </c>
      <c r="AD220" s="156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1.497806721530992E-3</v>
      </c>
      <c r="Q221" s="156">
        <f ca="1"/>
        <v>0</v>
      </c>
      <c r="R221" s="156">
        <f ca="1"/>
        <v>1.2375594825696279E-2</v>
      </c>
      <c r="S221" s="156">
        <f ca="1"/>
        <v>0</v>
      </c>
      <c r="T221" s="156">
        <f ca="1"/>
        <v>3.3058582903491951E-2</v>
      </c>
      <c r="U221" s="156">
        <f ca="1"/>
        <v>6.1986746067484111E-2</v>
      </c>
      <c r="V221" s="138">
        <f ca="1"/>
        <v>0.12504298188787955</v>
      </c>
      <c r="W221" s="137">
        <f ca="1"/>
        <v>0</v>
      </c>
      <c r="X221" s="156">
        <f ca="1"/>
        <v>0</v>
      </c>
      <c r="Y221" s="156">
        <f ca="1"/>
        <v>1.6642098864404486E-3</v>
      </c>
      <c r="Z221" s="156">
        <f ca="1"/>
        <v>0</v>
      </c>
      <c r="AA221" s="156">
        <f ca="1"/>
        <v>1.2869283595778991E-2</v>
      </c>
      <c r="AB221" s="156">
        <f ca="1"/>
        <v>0</v>
      </c>
      <c r="AC221" s="156">
        <f ca="1"/>
        <v>3.3864031767428693E-2</v>
      </c>
      <c r="AD221" s="156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1.709830556587244E-3</v>
      </c>
      <c r="Q222" s="156">
        <f ca="1"/>
        <v>0</v>
      </c>
      <c r="R222" s="156">
        <f ca="1"/>
        <v>1.1193776244980747E-2</v>
      </c>
      <c r="S222" s="156">
        <f ca="1"/>
        <v>0</v>
      </c>
      <c r="T222" s="156">
        <f ca="1"/>
        <v>2.40704051989582E-2</v>
      </c>
      <c r="U222" s="156">
        <f ca="1"/>
        <v>4.4324597434589386E-2</v>
      </c>
      <c r="V222" s="138">
        <f ca="1"/>
        <v>8.0424901200835786E-2</v>
      </c>
      <c r="W222" s="137">
        <f ca="1"/>
        <v>0</v>
      </c>
      <c r="X222" s="156">
        <f ca="1"/>
        <v>0</v>
      </c>
      <c r="Y222" s="156">
        <f ca="1"/>
        <v>1.8761983871263821E-3</v>
      </c>
      <c r="Z222" s="156">
        <f ca="1"/>
        <v>0</v>
      </c>
      <c r="AA222" s="156">
        <f ca="1"/>
        <v>1.1688055776703954E-2</v>
      </c>
      <c r="AB222" s="156">
        <f ca="1"/>
        <v>0</v>
      </c>
      <c r="AC222" s="156">
        <f ca="1"/>
        <v>2.4883341090969124E-2</v>
      </c>
      <c r="AD222" s="156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9.0036598067866347E-4</v>
      </c>
      <c r="Q223" s="156">
        <f ca="1"/>
        <v>0</v>
      </c>
      <c r="R223" s="156">
        <f ca="1"/>
        <v>9.4459728325678727E-3</v>
      </c>
      <c r="S223" s="156">
        <f ca="1"/>
        <v>0</v>
      </c>
      <c r="T223" s="156">
        <f ca="1"/>
        <v>2.3886173546508793E-2</v>
      </c>
      <c r="U223" s="156">
        <f ca="1"/>
        <v>4.2093568088015565E-2</v>
      </c>
      <c r="V223" s="138">
        <f ca="1"/>
        <v>7.8319577297201959E-2</v>
      </c>
      <c r="W223" s="137">
        <f ca="1"/>
        <v>0</v>
      </c>
      <c r="X223" s="156">
        <f ca="1"/>
        <v>0</v>
      </c>
      <c r="Y223" s="156">
        <f ca="1"/>
        <v>1.0668687107463493E-3</v>
      </c>
      <c r="Z223" s="156">
        <f ca="1"/>
        <v>0</v>
      </c>
      <c r="AA223" s="156">
        <f ca="1"/>
        <v>9.9411260475397167E-3</v>
      </c>
      <c r="AB223" s="156">
        <f ca="1"/>
        <v>0</v>
      </c>
      <c r="AC223" s="156">
        <f ca="1"/>
        <v>2.4699262900926833E-2</v>
      </c>
      <c r="AD223" s="156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6.6164403820745399E-4</v>
      </c>
      <c r="Q224" s="156">
        <f ca="1"/>
        <v>0</v>
      </c>
      <c r="R224" s="156">
        <f ca="1"/>
        <v>8.7907426649194154E-3</v>
      </c>
      <c r="S224" s="156">
        <f ca="1"/>
        <v>0</v>
      </c>
      <c r="T224" s="156">
        <f ca="1"/>
        <v>2.3111698766703825E-2</v>
      </c>
      <c r="U224" s="156">
        <f ca="1"/>
        <v>4.706259986654826E-2</v>
      </c>
      <c r="V224" s="138">
        <f ca="1"/>
        <v>8.981025916387908E-2</v>
      </c>
      <c r="W224" s="137">
        <f ca="1"/>
        <v>0</v>
      </c>
      <c r="X224" s="156">
        <f ca="1"/>
        <v>0</v>
      </c>
      <c r="Y224" s="156">
        <f ca="1"/>
        <v>8.2818655192351542E-4</v>
      </c>
      <c r="Z224" s="156">
        <f ca="1"/>
        <v>0</v>
      </c>
      <c r="AA224" s="156">
        <f ca="1"/>
        <v>9.2862234130961507E-3</v>
      </c>
      <c r="AB224" s="156">
        <f ca="1"/>
        <v>0</v>
      </c>
      <c r="AC224" s="156">
        <f ca="1"/>
        <v>2.3925433247956929E-2</v>
      </c>
      <c r="AD224" s="156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1.1001415605869092E-3</v>
      </c>
      <c r="Q225" s="156">
        <f ca="1"/>
        <v>0</v>
      </c>
      <c r="R225" s="156">
        <f ca="1"/>
        <v>1.2166174842823785E-2</v>
      </c>
      <c r="S225" s="156">
        <f ca="1"/>
        <v>0</v>
      </c>
      <c r="T225" s="156">
        <f ca="1"/>
        <v>2.791870922698414E-2</v>
      </c>
      <c r="U225" s="156">
        <f ca="1"/>
        <v>5.1348685624912904E-2</v>
      </c>
      <c r="V225" s="138">
        <f ca="1"/>
        <v>8.9644313109081941E-2</v>
      </c>
      <c r="W225" s="137">
        <f ca="1"/>
        <v>0</v>
      </c>
      <c r="X225" s="156">
        <f ca="1"/>
        <v>0</v>
      </c>
      <c r="Y225" s="156">
        <f ca="1"/>
        <v>1.2666109974699413E-3</v>
      </c>
      <c r="Z225" s="156">
        <f ca="1"/>
        <v>0</v>
      </c>
      <c r="AA225" s="156">
        <f ca="1"/>
        <v>1.265996829676086E-2</v>
      </c>
      <c r="AB225" s="156">
        <f ca="1"/>
        <v>0</v>
      </c>
      <c r="AC225" s="156">
        <f ca="1"/>
        <v>2.8728439534797534E-2</v>
      </c>
      <c r="AD225" s="156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1.2804359084609418E-3</v>
      </c>
      <c r="Q226" s="156">
        <f ca="1"/>
        <v>0</v>
      </c>
      <c r="R226" s="156">
        <f ca="1"/>
        <v>8.2391538768908923E-3</v>
      </c>
      <c r="S226" s="156">
        <f ca="1"/>
        <v>0</v>
      </c>
      <c r="T226" s="156">
        <f ca="1"/>
        <v>2.2244871473414918E-2</v>
      </c>
      <c r="U226" s="156">
        <f ca="1"/>
        <v>3.6059440825184641E-2</v>
      </c>
      <c r="V226" s="138">
        <f ca="1"/>
        <v>7.0787481936383845E-2</v>
      </c>
      <c r="W226" s="137">
        <f ca="1"/>
        <v>0</v>
      </c>
      <c r="X226" s="156">
        <f ca="1"/>
        <v>0</v>
      </c>
      <c r="Y226" s="156">
        <f ca="1"/>
        <v>1.4468752987969458E-3</v>
      </c>
      <c r="Z226" s="156">
        <f ca="1"/>
        <v>0</v>
      </c>
      <c r="AA226" s="156">
        <f ca="1"/>
        <v>8.7349103505269809E-3</v>
      </c>
      <c r="AB226" s="156">
        <f ca="1"/>
        <v>0</v>
      </c>
      <c r="AC226" s="156">
        <f ca="1"/>
        <v>2.3059328009803592E-2</v>
      </c>
      <c r="AD226" s="156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7.9604261595100922E-4</v>
      </c>
      <c r="Q227" s="156">
        <f ca="1"/>
        <v>0</v>
      </c>
      <c r="R227" s="156">
        <f ca="1"/>
        <v>6.008199580844531E-3</v>
      </c>
      <c r="S227" s="156">
        <f ca="1"/>
        <v>0</v>
      </c>
      <c r="T227" s="156">
        <f ca="1"/>
        <v>1.7736457623759416E-2</v>
      </c>
      <c r="U227" s="156">
        <f ca="1"/>
        <v>3.271469234502733E-2</v>
      </c>
      <c r="V227" s="138">
        <f ca="1"/>
        <v>6.3786999463602112E-2</v>
      </c>
      <c r="W227" s="137">
        <f ca="1"/>
        <v>0</v>
      </c>
      <c r="X227" s="156">
        <f ca="1"/>
        <v>0</v>
      </c>
      <c r="Y227" s="156">
        <f ca="1"/>
        <v>9.6256273177741658E-4</v>
      </c>
      <c r="Z227" s="156">
        <f ca="1"/>
        <v>0</v>
      </c>
      <c r="AA227" s="156">
        <f ca="1"/>
        <v>6.5050712527661148E-3</v>
      </c>
      <c r="AB227" s="156">
        <f ca="1"/>
        <v>0</v>
      </c>
      <c r="AC227" s="156">
        <f ca="1"/>
        <v>1.8554669606752228E-2</v>
      </c>
      <c r="AD227" s="156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9.3926345047601334E-4</v>
      </c>
      <c r="Q228" s="156">
        <f ca="1"/>
        <v>0</v>
      </c>
      <c r="R228" s="156">
        <f ca="1"/>
        <v>8.51987665061682E-3</v>
      </c>
      <c r="S228" s="156">
        <f ca="1"/>
        <v>0</v>
      </c>
      <c r="T228" s="156">
        <f ca="1"/>
        <v>2.3117722822754039E-2</v>
      </c>
      <c r="U228" s="156">
        <f ca="1"/>
        <v>4.6435918012455168E-2</v>
      </c>
      <c r="V228" s="138">
        <f ca="1"/>
        <v>8.5223673892314666E-2</v>
      </c>
      <c r="W228" s="137">
        <f ca="1"/>
        <v>0</v>
      </c>
      <c r="X228" s="156">
        <f ca="1"/>
        <v>0</v>
      </c>
      <c r="Y228" s="156">
        <f ca="1"/>
        <v>1.1057596981427498E-3</v>
      </c>
      <c r="Z228" s="156">
        <f ca="1"/>
        <v>0</v>
      </c>
      <c r="AA228" s="156">
        <f ca="1"/>
        <v>9.0154927979652077E-3</v>
      </c>
      <c r="AB228" s="156">
        <f ca="1"/>
        <v>0</v>
      </c>
      <c r="AC228" s="156">
        <f ca="1"/>
        <v>2.3931452286053534E-2</v>
      </c>
      <c r="AD228" s="156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2.7286881883599179E-3</v>
      </c>
      <c r="Q229" s="156">
        <f ca="1"/>
        <v>0</v>
      </c>
      <c r="R229" s="156">
        <f ca="1"/>
        <v>1.1403691284208373E-2</v>
      </c>
      <c r="S229" s="156">
        <f ca="1"/>
        <v>0</v>
      </c>
      <c r="T229" s="156">
        <f ca="1"/>
        <v>2.5697980613623939E-2</v>
      </c>
      <c r="U229" s="156">
        <f ca="1"/>
        <v>4.8138058631414404E-2</v>
      </c>
      <c r="V229" s="138">
        <f ca="1"/>
        <v>9.1490484268135663E-2</v>
      </c>
      <c r="W229" s="137">
        <f ca="1"/>
        <v>0</v>
      </c>
      <c r="X229" s="156">
        <f ca="1"/>
        <v>0</v>
      </c>
      <c r="Y229" s="156">
        <f ca="1"/>
        <v>2.894886223431925E-3</v>
      </c>
      <c r="Z229" s="156">
        <f ca="1"/>
        <v>0</v>
      </c>
      <c r="AA229" s="156">
        <f ca="1"/>
        <v>1.189786588464814E-2</v>
      </c>
      <c r="AB229" s="156">
        <f ca="1"/>
        <v>0</v>
      </c>
      <c r="AC229" s="156">
        <f ca="1"/>
        <v>2.6509560757772221E-2</v>
      </c>
      <c r="AD229" s="156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1.7469301338300935E-3</v>
      </c>
      <c r="Q230" s="156">
        <f ca="1"/>
        <v>0</v>
      </c>
      <c r="R230" s="156">
        <f ca="1"/>
        <v>1.0555688670736085E-2</v>
      </c>
      <c r="S230" s="156">
        <f ca="1"/>
        <v>0</v>
      </c>
      <c r="T230" s="156">
        <f ca="1"/>
        <v>2.6305033062577921E-2</v>
      </c>
      <c r="U230" s="156">
        <f ca="1"/>
        <v>4.8001459027134596E-2</v>
      </c>
      <c r="V230" s="138">
        <f ca="1"/>
        <v>8.6254061741295018E-2</v>
      </c>
      <c r="W230" s="137">
        <f ca="1"/>
        <v>0</v>
      </c>
      <c r="X230" s="156">
        <f ca="1"/>
        <v>0</v>
      </c>
      <c r="Y230" s="156">
        <f ca="1"/>
        <v>1.9132917816381267E-3</v>
      </c>
      <c r="Z230" s="156">
        <f ca="1"/>
        <v>0</v>
      </c>
      <c r="AA230" s="156">
        <f ca="1"/>
        <v>1.1050287166443629E-2</v>
      </c>
      <c r="AB230" s="156">
        <f ca="1"/>
        <v>0</v>
      </c>
      <c r="AC230" s="156">
        <f ca="1"/>
        <v>2.7116107540373413E-2</v>
      </c>
      <c r="AD230" s="156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6.4682171021927748E-2</v>
      </c>
      <c r="Q231" s="156">
        <f ca="1"/>
        <v>0</v>
      </c>
      <c r="R231" s="156">
        <f ca="1"/>
        <v>0.17315456663047035</v>
      </c>
      <c r="S231" s="156">
        <f ca="1"/>
        <v>0</v>
      </c>
      <c r="T231" s="156">
        <f ca="1"/>
        <v>0.2346706993005212</v>
      </c>
      <c r="U231" s="156">
        <f ca="1"/>
        <v>0.28297329465656851</v>
      </c>
      <c r="V231" s="138">
        <f ca="1"/>
        <v>0.36055516865911674</v>
      </c>
      <c r="W231" s="137">
        <f ca="1"/>
        <v>0</v>
      </c>
      <c r="X231" s="156">
        <f ca="1"/>
        <v>0</v>
      </c>
      <c r="Y231" s="156">
        <f ca="1"/>
        <v>6.4838044336959388E-2</v>
      </c>
      <c r="Z231" s="156">
        <f ca="1"/>
        <v>0</v>
      </c>
      <c r="AA231" s="156">
        <f ca="1"/>
        <v>0.17356788600871198</v>
      </c>
      <c r="AB231" s="156">
        <f ca="1"/>
        <v>0</v>
      </c>
      <c r="AC231" s="156">
        <f ca="1"/>
        <v>0.23530820805222363</v>
      </c>
      <c r="AD231" s="156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1.9412389014504816E-3</v>
      </c>
      <c r="Q232" s="156">
        <f ca="1"/>
        <v>0</v>
      </c>
      <c r="R232" s="156">
        <f ca="1"/>
        <v>1.1332622884813959E-2</v>
      </c>
      <c r="S232" s="156">
        <f ca="1"/>
        <v>0</v>
      </c>
      <c r="T232" s="156">
        <f ca="1"/>
        <v>3.8324787445172537E-2</v>
      </c>
      <c r="U232" s="156">
        <f ca="1"/>
        <v>6.8493168813269945E-2</v>
      </c>
      <c r="V232" s="138">
        <f ca="1"/>
        <v>0.1192755245551258</v>
      </c>
      <c r="W232" s="137">
        <f ca="1"/>
        <v>0</v>
      </c>
      <c r="X232" s="156">
        <f ca="1"/>
        <v>0</v>
      </c>
      <c r="Y232" s="156">
        <f ca="1"/>
        <v>2.1075681671435254E-3</v>
      </c>
      <c r="Z232" s="156">
        <f ca="1"/>
        <v>0</v>
      </c>
      <c r="AA232" s="156">
        <f ca="1"/>
        <v>1.1826833010570748E-2</v>
      </c>
      <c r="AB232" s="156">
        <f ca="1"/>
        <v>0</v>
      </c>
      <c r="AC232" s="156">
        <f ca="1"/>
        <v>3.9125849633374288E-2</v>
      </c>
      <c r="AD232" s="156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0.20361981732748846</v>
      </c>
      <c r="Q233" s="156">
        <f ca="1"/>
        <v>0</v>
      </c>
      <c r="R233" s="156">
        <f ca="1"/>
        <v>0.35616820359194923</v>
      </c>
      <c r="S233" s="156">
        <f ca="1"/>
        <v>0</v>
      </c>
      <c r="T233" s="156">
        <f ca="1"/>
        <v>0.38659099055166934</v>
      </c>
      <c r="U233" s="156">
        <f ca="1"/>
        <v>0.45951897561378219</v>
      </c>
      <c r="V233" s="138">
        <f ca="1"/>
        <v>0.53950320345734304</v>
      </c>
      <c r="W233" s="137">
        <f ca="1"/>
        <v>0</v>
      </c>
      <c r="X233" s="156">
        <f ca="1"/>
        <v>0</v>
      </c>
      <c r="Y233" s="156">
        <f ca="1"/>
        <v>0.20375253629770429</v>
      </c>
      <c r="Z233" s="156">
        <f ca="1"/>
        <v>0</v>
      </c>
      <c r="AA233" s="156">
        <f ca="1"/>
        <v>0.35649003902457399</v>
      </c>
      <c r="AB233" s="156">
        <f ca="1"/>
        <v>0</v>
      </c>
      <c r="AC233" s="156">
        <f ca="1"/>
        <v>0.38705594804663801</v>
      </c>
      <c r="AD233" s="156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1.0029106128022214E-3</v>
      </c>
      <c r="Q234" s="156">
        <f ca="1"/>
        <v>0</v>
      </c>
      <c r="R234" s="156">
        <f ca="1"/>
        <v>6.5000412501730054E-3</v>
      </c>
      <c r="S234" s="156">
        <f ca="1"/>
        <v>0</v>
      </c>
      <c r="T234" s="156">
        <f ca="1"/>
        <v>1.7667561551196087E-2</v>
      </c>
      <c r="U234" s="156">
        <f ca="1"/>
        <v>3.3917376820924772E-2</v>
      </c>
      <c r="V234" s="138">
        <f ca="1"/>
        <v>6.5419343858823531E-2</v>
      </c>
      <c r="W234" s="137">
        <f ca="1"/>
        <v>0</v>
      </c>
      <c r="X234" s="156">
        <f ca="1"/>
        <v>0</v>
      </c>
      <c r="Y234" s="156">
        <f ca="1"/>
        <v>1.1693962535024305E-3</v>
      </c>
      <c r="Z234" s="156">
        <f ca="1"/>
        <v>0</v>
      </c>
      <c r="AA234" s="156">
        <f ca="1"/>
        <v>6.9966670627252814E-3</v>
      </c>
      <c r="AB234" s="156">
        <f ca="1"/>
        <v>0</v>
      </c>
      <c r="AC234" s="156">
        <f ca="1"/>
        <v>1.8485830923668733E-2</v>
      </c>
      <c r="AD234" s="156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1.3440614954148833E-3</v>
      </c>
      <c r="Q235" s="156">
        <f ca="1"/>
        <v>0</v>
      </c>
      <c r="R235" s="156">
        <f ca="1"/>
        <v>1.0752419271939817E-2</v>
      </c>
      <c r="S235" s="156">
        <f ca="1"/>
        <v>0</v>
      </c>
      <c r="T235" s="156">
        <f ca="1"/>
        <v>2.3275509783889259E-2</v>
      </c>
      <c r="U235" s="156">
        <f ca="1"/>
        <v>4.4192514070765521E-2</v>
      </c>
      <c r="V235" s="138">
        <f ca="1"/>
        <v>8.234987230696178E-2</v>
      </c>
      <c r="W235" s="137">
        <f ca="1"/>
        <v>0</v>
      </c>
      <c r="X235" s="156">
        <f ca="1"/>
        <v>0</v>
      </c>
      <c r="Y235" s="156">
        <f ca="1"/>
        <v>1.5104902823799282E-3</v>
      </c>
      <c r="Z235" s="156">
        <f ca="1"/>
        <v>0</v>
      </c>
      <c r="AA235" s="156">
        <f ca="1"/>
        <v>1.1246919426960766E-2</v>
      </c>
      <c r="AB235" s="156">
        <f ca="1"/>
        <v>0</v>
      </c>
      <c r="AC235" s="156">
        <f ca="1"/>
        <v>2.4089107812776622E-2</v>
      </c>
      <c r="AD235" s="156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2.0472096832687692E-3</v>
      </c>
      <c r="Q236" s="156">
        <f ca="1"/>
        <v>0</v>
      </c>
      <c r="R236" s="156">
        <f ca="1"/>
        <v>1.7112593150550914E-2</v>
      </c>
      <c r="S236" s="156">
        <f ca="1"/>
        <v>0</v>
      </c>
      <c r="T236" s="156">
        <f ca="1"/>
        <v>3.981032688487296E-2</v>
      </c>
      <c r="U236" s="156">
        <f ca="1"/>
        <v>7.3694287737881337E-2</v>
      </c>
      <c r="V236" s="138">
        <f ca="1"/>
        <v>0.12893179944393263</v>
      </c>
      <c r="W236" s="137">
        <f ca="1"/>
        <v>0</v>
      </c>
      <c r="X236" s="156">
        <f ca="1"/>
        <v>0</v>
      </c>
      <c r="Y236" s="156">
        <f ca="1"/>
        <v>2.2135212886533751E-3</v>
      </c>
      <c r="Z236" s="156">
        <f ca="1"/>
        <v>0</v>
      </c>
      <c r="AA236" s="156">
        <f ca="1"/>
        <v>1.7603914013561872E-2</v>
      </c>
      <c r="AB236" s="156">
        <f ca="1"/>
        <v>0</v>
      </c>
      <c r="AC236" s="156">
        <f ca="1"/>
        <v>4.0610151639186576E-2</v>
      </c>
      <c r="AD236" s="156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1.8776510729607843E-3</v>
      </c>
      <c r="Q237" s="156">
        <f ca="1"/>
        <v>0</v>
      </c>
      <c r="R237" s="156">
        <f ca="1"/>
        <v>1.0207374844423689E-2</v>
      </c>
      <c r="S237" s="156">
        <f ca="1"/>
        <v>0</v>
      </c>
      <c r="T237" s="156">
        <f ca="1"/>
        <v>2.6763743705887744E-2</v>
      </c>
      <c r="U237" s="156">
        <f ca="1"/>
        <v>4.5700311085772438E-2</v>
      </c>
      <c r="V237" s="138">
        <f ca="1"/>
        <v>9.57724095571022E-2</v>
      </c>
      <c r="W237" s="137">
        <f ca="1"/>
        <v>0</v>
      </c>
      <c r="X237" s="156">
        <f ca="1"/>
        <v>0</v>
      </c>
      <c r="Y237" s="156">
        <f ca="1"/>
        <v>2.0439909357320429E-3</v>
      </c>
      <c r="Z237" s="156">
        <f ca="1"/>
        <v>0</v>
      </c>
      <c r="AA237" s="156">
        <f ca="1"/>
        <v>1.0702147453578892E-2</v>
      </c>
      <c r="AB237" s="156">
        <f ca="1"/>
        <v>0</v>
      </c>
      <c r="AC237" s="156">
        <f ca="1"/>
        <v>2.7574436084037091E-2</v>
      </c>
      <c r="AD237" s="156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1.8246581450538368E-3</v>
      </c>
      <c r="Q238" s="156">
        <f ca="1"/>
        <v>0</v>
      </c>
      <c r="R238" s="156">
        <f ca="1"/>
        <v>9.3671642149604217E-3</v>
      </c>
      <c r="S238" s="156">
        <f ca="1"/>
        <v>0</v>
      </c>
      <c r="T238" s="156">
        <f ca="1"/>
        <v>2.2952455007931971E-2</v>
      </c>
      <c r="U238" s="156">
        <f ca="1"/>
        <v>4.2680572782749837E-2</v>
      </c>
      <c r="V238" s="138">
        <f ca="1"/>
        <v>7.7732502328494379E-2</v>
      </c>
      <c r="W238" s="137">
        <f ca="1"/>
        <v>0</v>
      </c>
      <c r="X238" s="156">
        <f ca="1"/>
        <v>0</v>
      </c>
      <c r="Y238" s="156">
        <f ca="1"/>
        <v>1.9910068392566815E-3</v>
      </c>
      <c r="Z238" s="156">
        <f ca="1"/>
        <v>0</v>
      </c>
      <c r="AA238" s="156">
        <f ca="1"/>
        <v>9.8623568243998427E-3</v>
      </c>
      <c r="AB238" s="156">
        <f ca="1"/>
        <v>0</v>
      </c>
      <c r="AC238" s="156">
        <f ca="1"/>
        <v>2.3766322137025009E-2</v>
      </c>
      <c r="AD238" s="156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1.064785939264401E-3</v>
      </c>
      <c r="Q239" s="156">
        <f ca="1"/>
        <v>0</v>
      </c>
      <c r="R239" s="156">
        <f ca="1"/>
        <v>1.0523177457038901E-2</v>
      </c>
      <c r="S239" s="156">
        <f ca="1"/>
        <v>0</v>
      </c>
      <c r="T239" s="156">
        <f ca="1"/>
        <v>2.158473618336354E-2</v>
      </c>
      <c r="U239" s="156">
        <f ca="1"/>
        <v>4.2536860991956971E-2</v>
      </c>
      <c r="V239" s="138">
        <f ca="1"/>
        <v>7.8179032314253161E-2</v>
      </c>
      <c r="W239" s="137">
        <f ca="1"/>
        <v>0</v>
      </c>
      <c r="X239" s="156">
        <f ca="1"/>
        <v>0</v>
      </c>
      <c r="Y239" s="156">
        <f ca="1"/>
        <v>1.2312612682829904E-3</v>
      </c>
      <c r="Z239" s="156">
        <f ca="1"/>
        <v>0</v>
      </c>
      <c r="AA239" s="156">
        <f ca="1"/>
        <v>1.101779220431498E-2</v>
      </c>
      <c r="AB239" s="156">
        <f ca="1"/>
        <v>0</v>
      </c>
      <c r="AC239" s="156">
        <f ca="1"/>
        <v>2.239974260334987E-2</v>
      </c>
      <c r="AD239" s="156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1.6638958508615742E-3</v>
      </c>
      <c r="Q240" s="156">
        <f ca="1"/>
        <v>0</v>
      </c>
      <c r="R240" s="156">
        <f ca="1"/>
        <v>1.0551461709691345E-2</v>
      </c>
      <c r="S240" s="156">
        <f ca="1"/>
        <v>0</v>
      </c>
      <c r="T240" s="156">
        <f ca="1"/>
        <v>2.7175909420192101E-2</v>
      </c>
      <c r="U240" s="156">
        <f ca="1"/>
        <v>4.9154177685602485E-2</v>
      </c>
      <c r="V240" s="138">
        <f ca="1"/>
        <v>8.781398002008145E-2</v>
      </c>
      <c r="W240" s="137">
        <f ca="1"/>
        <v>0</v>
      </c>
      <c r="X240" s="156">
        <f ca="1"/>
        <v>0</v>
      </c>
      <c r="Y240" s="156">
        <f ca="1"/>
        <v>1.8302713365467849E-3</v>
      </c>
      <c r="Z240" s="156">
        <f ca="1"/>
        <v>0</v>
      </c>
      <c r="AA240" s="156">
        <f ca="1"/>
        <v>1.1046062318378236E-2</v>
      </c>
      <c r="AB240" s="156">
        <f ca="1"/>
        <v>0</v>
      </c>
      <c r="AC240" s="156">
        <f ca="1"/>
        <v>2.7986258469980263E-2</v>
      </c>
      <c r="AD240" s="156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1.7804952391329287E-3</v>
      </c>
      <c r="Q241" s="156">
        <f ca="1"/>
        <v>0</v>
      </c>
      <c r="R241" s="156">
        <f ca="1"/>
        <v>1.2666392670431903E-2</v>
      </c>
      <c r="S241" s="156">
        <f ca="1"/>
        <v>0</v>
      </c>
      <c r="T241" s="156">
        <f ca="1"/>
        <v>2.3904945893483576E-2</v>
      </c>
      <c r="U241" s="156">
        <f ca="1"/>
        <v>4.0797547221752661E-2</v>
      </c>
      <c r="V241" s="138">
        <f ca="1"/>
        <v>6.4774206569306214E-2</v>
      </c>
      <c r="W241" s="137">
        <f ca="1"/>
        <v>0</v>
      </c>
      <c r="X241" s="156">
        <f ca="1"/>
        <v>0</v>
      </c>
      <c r="Y241" s="156">
        <f ca="1"/>
        <v>1.9468512932033777E-3</v>
      </c>
      <c r="Z241" s="156">
        <f ca="1"/>
        <v>0</v>
      </c>
      <c r="AA241" s="156">
        <f ca="1"/>
        <v>1.3159936077991485E-2</v>
      </c>
      <c r="AB241" s="156">
        <f ca="1"/>
        <v>0</v>
      </c>
      <c r="AC241" s="156">
        <f ca="1"/>
        <v>2.471801961078457E-2</v>
      </c>
      <c r="AD241" s="156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3.6724613301212239E-3</v>
      </c>
      <c r="Q242" s="156">
        <f ca="1"/>
        <v>0</v>
      </c>
      <c r="R242" s="156">
        <f ca="1"/>
        <v>1.8048210240616203E-2</v>
      </c>
      <c r="S242" s="156">
        <f ca="1"/>
        <v>0</v>
      </c>
      <c r="T242" s="156">
        <f ca="1"/>
        <v>4.4290153904406382E-2</v>
      </c>
      <c r="U242" s="156">
        <f ca="1"/>
        <v>7.2947349745612899E-2</v>
      </c>
      <c r="V242" s="138">
        <f ca="1"/>
        <v>0.11810129259132807</v>
      </c>
      <c r="W242" s="137">
        <f ca="1"/>
        <v>0</v>
      </c>
      <c r="X242" s="156">
        <f ca="1"/>
        <v>0</v>
      </c>
      <c r="Y242" s="156">
        <f ca="1"/>
        <v>3.8385020827768068E-3</v>
      </c>
      <c r="Z242" s="156">
        <f ca="1"/>
        <v>0</v>
      </c>
      <c r="AA242" s="156">
        <f ca="1"/>
        <v>1.8539063411964318E-2</v>
      </c>
      <c r="AB242" s="156">
        <f ca="1"/>
        <v>0</v>
      </c>
      <c r="AC242" s="156">
        <f ca="1"/>
        <v>4.5086247024621273E-2</v>
      </c>
      <c r="AD242" s="156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1.2221089192081536E-3</v>
      </c>
      <c r="Q243" s="156">
        <f ca="1"/>
        <v>0</v>
      </c>
      <c r="R243" s="156">
        <f ca="1"/>
        <v>1.502736369501767E-2</v>
      </c>
      <c r="S243" s="156">
        <f ca="1"/>
        <v>0</v>
      </c>
      <c r="T243" s="156">
        <f ca="1"/>
        <v>3.6241986987469943E-2</v>
      </c>
      <c r="U243" s="156">
        <f ca="1"/>
        <v>6.4228335966369787E-2</v>
      </c>
      <c r="V243" s="138">
        <f ca="1"/>
        <v>0.11317722699761745</v>
      </c>
      <c r="W243" s="137">
        <f ca="1"/>
        <v>0</v>
      </c>
      <c r="X243" s="156">
        <f ca="1"/>
        <v>0</v>
      </c>
      <c r="Y243" s="156">
        <f ca="1"/>
        <v>1.3885580299217715E-3</v>
      </c>
      <c r="Z243" s="156">
        <f ca="1"/>
        <v>0</v>
      </c>
      <c r="AA243" s="156">
        <f ca="1"/>
        <v>1.5519726912077592E-2</v>
      </c>
      <c r="AB243" s="156">
        <f ca="1"/>
        <v>0</v>
      </c>
      <c r="AC243" s="156">
        <f ca="1"/>
        <v>3.7044784119709906E-2</v>
      </c>
      <c r="AD243" s="156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4.4215565094576359E-3</v>
      </c>
      <c r="Q244" s="156">
        <f ca="1"/>
        <v>0</v>
      </c>
      <c r="R244" s="156">
        <f ca="1"/>
        <v>3.1951003330935701E-2</v>
      </c>
      <c r="S244" s="156">
        <f ca="1"/>
        <v>0</v>
      </c>
      <c r="T244" s="156">
        <f ca="1"/>
        <v>7.0650107688719266E-2</v>
      </c>
      <c r="U244" s="156">
        <f ca="1"/>
        <v>0.11698440734143856</v>
      </c>
      <c r="V244" s="138">
        <f ca="1"/>
        <v>0.20217667764683434</v>
      </c>
      <c r="W244" s="137">
        <f ca="1"/>
        <v>0</v>
      </c>
      <c r="X244" s="156">
        <f ca="1"/>
        <v>0</v>
      </c>
      <c r="Y244" s="156">
        <f ca="1"/>
        <v>4.587472423340011E-3</v>
      </c>
      <c r="Z244" s="156">
        <f ca="1"/>
        <v>0</v>
      </c>
      <c r="AA244" s="156">
        <f ca="1"/>
        <v>3.2434906843344047E-2</v>
      </c>
      <c r="AB244" s="156">
        <f ca="1"/>
        <v>0</v>
      </c>
      <c r="AC244" s="156">
        <f ca="1"/>
        <v>7.1424243330958426E-2</v>
      </c>
      <c r="AD244" s="156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5.5274332603850729E-3</v>
      </c>
      <c r="Q245" s="156">
        <f ca="1"/>
        <v>0</v>
      </c>
      <c r="R245" s="156">
        <f ca="1"/>
        <v>3.6307007825127524E-2</v>
      </c>
      <c r="S245" s="156">
        <f ca="1"/>
        <v>0</v>
      </c>
      <c r="T245" s="156">
        <f ca="1"/>
        <v>9.780798111335065E-2</v>
      </c>
      <c r="U245" s="156">
        <f ca="1"/>
        <v>0.15480131559378274</v>
      </c>
      <c r="V245" s="138">
        <f ca="1"/>
        <v>0.24791257665456334</v>
      </c>
      <c r="W245" s="137">
        <f ca="1"/>
        <v>0</v>
      </c>
      <c r="X245" s="156">
        <f ca="1"/>
        <v>0</v>
      </c>
      <c r="Y245" s="156">
        <f ca="1"/>
        <v>5.6931648768339116E-3</v>
      </c>
      <c r="Z245" s="156">
        <f ca="1"/>
        <v>0</v>
      </c>
      <c r="AA245" s="156">
        <f ca="1"/>
        <v>3.6788733879680624E-2</v>
      </c>
      <c r="AB245" s="156">
        <f ca="1"/>
        <v>0</v>
      </c>
      <c r="AC245" s="156">
        <f ca="1"/>
        <v>9.8588504764324236E-2</v>
      </c>
      <c r="AD245" s="156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1.1301928620361945E-3</v>
      </c>
      <c r="Q246" s="156">
        <f ca="1"/>
        <v>0</v>
      </c>
      <c r="R246" s="156">
        <f ca="1"/>
        <v>7.498641160558317E-3</v>
      </c>
      <c r="S246" s="156">
        <f ca="1"/>
        <v>0</v>
      </c>
      <c r="T246" s="156">
        <f ca="1"/>
        <v>2.2336956069502478E-2</v>
      </c>
      <c r="U246" s="156">
        <f ca="1"/>
        <v>4.0895996980160998E-2</v>
      </c>
      <c r="V246" s="138">
        <f ca="1"/>
        <v>7.6872419037600781E-2</v>
      </c>
      <c r="W246" s="137">
        <f ca="1"/>
        <v>0</v>
      </c>
      <c r="X246" s="156">
        <f ca="1"/>
        <v>0</v>
      </c>
      <c r="Y246" s="156">
        <f ca="1"/>
        <v>1.2966572908159613E-3</v>
      </c>
      <c r="Z246" s="156">
        <f ca="1"/>
        <v>0</v>
      </c>
      <c r="AA246" s="156">
        <f ca="1"/>
        <v>7.9947677979733678E-3</v>
      </c>
      <c r="AB246" s="156">
        <f ca="1"/>
        <v>0</v>
      </c>
      <c r="AC246" s="156">
        <f ca="1"/>
        <v>2.3151335900725711E-2</v>
      </c>
      <c r="AD246" s="156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1.0789283368597413E-3</v>
      </c>
      <c r="Q247" s="156">
        <f ca="1"/>
        <v>0</v>
      </c>
      <c r="R247" s="156">
        <f ca="1"/>
        <v>1.2027229937749295E-2</v>
      </c>
      <c r="S247" s="156">
        <f ca="1"/>
        <v>0</v>
      </c>
      <c r="T247" s="156">
        <f ca="1"/>
        <v>2.3159977617634775E-2</v>
      </c>
      <c r="U247" s="156">
        <f ca="1"/>
        <v>4.3442604003218754E-2</v>
      </c>
      <c r="V247" s="138">
        <f ca="1"/>
        <v>8.5149800479637938E-2</v>
      </c>
      <c r="W247" s="137">
        <f ca="1"/>
        <v>0</v>
      </c>
      <c r="X247" s="156">
        <f ca="1"/>
        <v>0</v>
      </c>
      <c r="Y247" s="156">
        <f ca="1"/>
        <v>1.2454013090248406E-3</v>
      </c>
      <c r="Z247" s="156">
        <f ca="1"/>
        <v>0</v>
      </c>
      <c r="AA247" s="156">
        <f ca="1"/>
        <v>1.252109284675218E-2</v>
      </c>
      <c r="AB247" s="156">
        <f ca="1"/>
        <v>0</v>
      </c>
      <c r="AC247" s="156">
        <f ca="1"/>
        <v>2.3973671883237069E-2</v>
      </c>
      <c r="AD247" s="156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4.2080378413099195E-2</v>
      </c>
      <c r="Q248" s="156">
        <f ca="1"/>
        <v>0</v>
      </c>
      <c r="R248" s="156">
        <f ca="1"/>
        <v>0.11631614360942621</v>
      </c>
      <c r="S248" s="156">
        <f ca="1"/>
        <v>0</v>
      </c>
      <c r="T248" s="156">
        <f ca="1"/>
        <v>0.16696077247408458</v>
      </c>
      <c r="U248" s="156">
        <f ca="1"/>
        <v>0.21541597030068582</v>
      </c>
      <c r="V248" s="138">
        <f ca="1"/>
        <v>0.27900826252335409</v>
      </c>
      <c r="W248" s="137">
        <f ca="1"/>
        <v>0</v>
      </c>
      <c r="X248" s="156">
        <f ca="1"/>
        <v>0</v>
      </c>
      <c r="Y248" s="156">
        <f ca="1"/>
        <v>4.2240018379676059E-2</v>
      </c>
      <c r="Z248" s="156">
        <f ca="1"/>
        <v>0</v>
      </c>
      <c r="AA248" s="156">
        <f ca="1"/>
        <v>0.11675787509554469</v>
      </c>
      <c r="AB248" s="156">
        <f ca="1"/>
        <v>0</v>
      </c>
      <c r="AC248" s="156">
        <f ca="1"/>
        <v>0.16765468266096906</v>
      </c>
      <c r="AD248" s="156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2.7675150242473245E-3</v>
      </c>
      <c r="Q249" s="156">
        <f ca="1"/>
        <v>0</v>
      </c>
      <c r="R249" s="156">
        <f ca="1"/>
        <v>1.2082213205001802E-2</v>
      </c>
      <c r="S249" s="156">
        <f ca="1"/>
        <v>0</v>
      </c>
      <c r="T249" s="156">
        <f ca="1"/>
        <v>2.3444713534288453E-2</v>
      </c>
      <c r="U249" s="156">
        <f ca="1"/>
        <v>4.2951296455207455E-2</v>
      </c>
      <c r="V249" s="138">
        <f ca="1"/>
        <v>7.3883945506129978E-2</v>
      </c>
      <c r="W249" s="137">
        <f ca="1"/>
        <v>0</v>
      </c>
      <c r="X249" s="156">
        <f ca="1"/>
        <v>0</v>
      </c>
      <c r="Y249" s="156">
        <f ca="1"/>
        <v>2.9337065887325986E-3</v>
      </c>
      <c r="Z249" s="156">
        <f ca="1"/>
        <v>0</v>
      </c>
      <c r="AA249" s="156">
        <f ca="1"/>
        <v>1.2576048629285075E-2</v>
      </c>
      <c r="AB249" s="156">
        <f ca="1"/>
        <v>0</v>
      </c>
      <c r="AC249" s="156">
        <f ca="1"/>
        <v>2.4258170618784325E-2</v>
      </c>
      <c r="AD249" s="156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1.2344815933745812E-3</v>
      </c>
      <c r="Q250" s="156">
        <f ca="1"/>
        <v>0</v>
      </c>
      <c r="R250" s="156">
        <f ca="1"/>
        <v>8.4355651426329947E-3</v>
      </c>
      <c r="S250" s="156">
        <f ca="1"/>
        <v>0</v>
      </c>
      <c r="T250" s="156">
        <f ca="1"/>
        <v>2.3102161623479334E-2</v>
      </c>
      <c r="U250" s="156">
        <f ca="1"/>
        <v>4.4745366312257007E-2</v>
      </c>
      <c r="V250" s="138">
        <f ca="1"/>
        <v>8.623475814804249E-2</v>
      </c>
      <c r="W250" s="137">
        <f ca="1"/>
        <v>0</v>
      </c>
      <c r="X250" s="156">
        <f ca="1"/>
        <v>0</v>
      </c>
      <c r="Y250" s="156">
        <f ca="1"/>
        <v>1.4009286421247102E-3</v>
      </c>
      <c r="Z250" s="156">
        <f ca="1"/>
        <v>0</v>
      </c>
      <c r="AA250" s="156">
        <f ca="1"/>
        <v>8.9312234351932585E-3</v>
      </c>
      <c r="AB250" s="156">
        <f ca="1"/>
        <v>0</v>
      </c>
      <c r="AC250" s="156">
        <f ca="1"/>
        <v>2.3915904049058745E-2</v>
      </c>
      <c r="AD250" s="156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3.406177718706771E-3</v>
      </c>
      <c r="Q251" s="156">
        <f ca="1"/>
        <v>0</v>
      </c>
      <c r="R251" s="156">
        <f ca="1"/>
        <v>2.4148040556297379E-2</v>
      </c>
      <c r="S251" s="156">
        <f ca="1"/>
        <v>0</v>
      </c>
      <c r="T251" s="156">
        <f ca="1"/>
        <v>5.7285194047631216E-2</v>
      </c>
      <c r="U251" s="156">
        <f ca="1"/>
        <v>9.9949052697237528E-2</v>
      </c>
      <c r="V251" s="138">
        <f ca="1"/>
        <v>0.1660502358639141</v>
      </c>
      <c r="W251" s="137">
        <f ca="1"/>
        <v>0</v>
      </c>
      <c r="X251" s="156">
        <f ca="1"/>
        <v>0</v>
      </c>
      <c r="Y251" s="156">
        <f ca="1"/>
        <v>3.5722628482903751E-3</v>
      </c>
      <c r="Z251" s="156">
        <f ca="1"/>
        <v>0</v>
      </c>
      <c r="AA251" s="156">
        <f ca="1"/>
        <v>2.4635844574817822E-2</v>
      </c>
      <c r="AB251" s="156">
        <f ca="1"/>
        <v>0</v>
      </c>
      <c r="AC251" s="156">
        <f ca="1"/>
        <v>5.8070462478636564E-2</v>
      </c>
      <c r="AD251" s="156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1.064785939264401E-3</v>
      </c>
      <c r="Q252" s="156">
        <f ca="1"/>
        <v>0</v>
      </c>
      <c r="R252" s="156">
        <f ca="1"/>
        <v>1.4914728083980977E-2</v>
      </c>
      <c r="S252" s="156">
        <f ca="1"/>
        <v>0</v>
      </c>
      <c r="T252" s="156">
        <f ca="1"/>
        <v>3.2812335517428681E-2</v>
      </c>
      <c r="U252" s="156">
        <f ca="1"/>
        <v>5.5587748045552776E-2</v>
      </c>
      <c r="V252" s="138">
        <f ca="1"/>
        <v>9.7432625402269268E-2</v>
      </c>
      <c r="W252" s="137">
        <f ca="1"/>
        <v>0</v>
      </c>
      <c r="X252" s="156">
        <f ca="1"/>
        <v>0</v>
      </c>
      <c r="Y252" s="156">
        <f ca="1"/>
        <v>1.2312612682829904E-3</v>
      </c>
      <c r="Z252" s="156">
        <f ca="1"/>
        <v>0</v>
      </c>
      <c r="AA252" s="156">
        <f ca="1"/>
        <v>1.5407147604773463E-2</v>
      </c>
      <c r="AB252" s="156">
        <f ca="1"/>
        <v>0</v>
      </c>
      <c r="AC252" s="156">
        <f ca="1"/>
        <v>3.3617989502025547E-2</v>
      </c>
      <c r="AD252" s="156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6.6164403820745399E-4</v>
      </c>
      <c r="Q253" s="156">
        <f ca="1"/>
        <v>0</v>
      </c>
      <c r="R253" s="156">
        <f ca="1"/>
        <v>6.5248052836316406E-3</v>
      </c>
      <c r="S253" s="156">
        <f ca="1"/>
        <v>0</v>
      </c>
      <c r="T253" s="156">
        <f ca="1"/>
        <v>1.6815707620707832E-2</v>
      </c>
      <c r="U253" s="156">
        <f ca="1"/>
        <v>3.7252082472180592E-2</v>
      </c>
      <c r="V253" s="138">
        <f ca="1"/>
        <v>6.1222675042990504E-2</v>
      </c>
      <c r="W253" s="137">
        <f ca="1"/>
        <v>0</v>
      </c>
      <c r="X253" s="156">
        <f ca="1"/>
        <v>0</v>
      </c>
      <c r="Y253" s="156">
        <f ca="1"/>
        <v>8.2818655192351542E-4</v>
      </c>
      <c r="Z253" s="156">
        <f ca="1"/>
        <v>0</v>
      </c>
      <c r="AA253" s="156">
        <f ca="1"/>
        <v>7.0214187173150977E-3</v>
      </c>
      <c r="AB253" s="156">
        <f ca="1"/>
        <v>0</v>
      </c>
      <c r="AC253" s="156">
        <f ca="1"/>
        <v>1.7634686575709435E-2</v>
      </c>
      <c r="AD253" s="156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1.9200434052450976E-3</v>
      </c>
      <c r="Q254" s="156">
        <f ca="1"/>
        <v>0</v>
      </c>
      <c r="R254" s="156">
        <f ca="1"/>
        <v>6.6841025394219766E-3</v>
      </c>
      <c r="S254" s="156">
        <f ca="1"/>
        <v>0</v>
      </c>
      <c r="T254" s="156">
        <f ca="1"/>
        <v>1.8874149085283176E-2</v>
      </c>
      <c r="U254" s="156">
        <f ca="1"/>
        <v>3.5589568139935746E-2</v>
      </c>
      <c r="V254" s="138">
        <f ca="1"/>
        <v>5.9143047889373745E-2</v>
      </c>
      <c r="W254" s="137">
        <f ca="1"/>
        <v>0</v>
      </c>
      <c r="X254" s="156">
        <f ca="1"/>
        <v>0</v>
      </c>
      <c r="Y254" s="156">
        <f ca="1"/>
        <v>2.0863762032231614E-3</v>
      </c>
      <c r="Z254" s="156">
        <f ca="1"/>
        <v>0</v>
      </c>
      <c r="AA254" s="156">
        <f ca="1"/>
        <v>7.1806363443529531E-3</v>
      </c>
      <c r="AB254" s="156">
        <f ca="1"/>
        <v>0</v>
      </c>
      <c r="AC254" s="156">
        <f ca="1"/>
        <v>1.969141338695779E-2</v>
      </c>
      <c r="AD254" s="156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1.2291790373534228E-3</v>
      </c>
      <c r="Q255" s="156">
        <f ca="1"/>
        <v>0</v>
      </c>
      <c r="R255" s="156">
        <f ca="1"/>
        <v>7.9924542599298931E-3</v>
      </c>
      <c r="S255" s="156">
        <f ca="1"/>
        <v>0</v>
      </c>
      <c r="T255" s="156">
        <f ca="1"/>
        <v>2.0101172763539954E-2</v>
      </c>
      <c r="U255" s="156">
        <f ca="1"/>
        <v>3.9188614684444345E-2</v>
      </c>
      <c r="V255" s="138">
        <f ca="1"/>
        <v>8.01825893701682E-2</v>
      </c>
      <c r="W255" s="137">
        <f ca="1"/>
        <v>0</v>
      </c>
      <c r="X255" s="156">
        <f ca="1"/>
        <v>0</v>
      </c>
      <c r="Y255" s="156">
        <f ca="1"/>
        <v>1.395626969799113E-3</v>
      </c>
      <c r="Z255" s="156">
        <f ca="1"/>
        <v>0</v>
      </c>
      <c r="AA255" s="156">
        <f ca="1"/>
        <v>8.4883340525407913E-3</v>
      </c>
      <c r="AB255" s="156">
        <f ca="1"/>
        <v>0</v>
      </c>
      <c r="AC255" s="156">
        <f ca="1"/>
        <v>2.091741497141586E-2</v>
      </c>
      <c r="AD255" s="156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3.6293675058181374E-2</v>
      </c>
      <c r="Q256" s="156">
        <f ca="1"/>
        <v>0</v>
      </c>
      <c r="R256" s="156">
        <f ca="1"/>
        <v>9.2622641878555512E-2</v>
      </c>
      <c r="S256" s="156">
        <f ca="1"/>
        <v>0</v>
      </c>
      <c r="T256" s="156">
        <f ca="1"/>
        <v>0.12361994332845627</v>
      </c>
      <c r="U256" s="156">
        <f ca="1"/>
        <v>0.16200500806082063</v>
      </c>
      <c r="V256" s="138">
        <f ca="1"/>
        <v>0.2083448676768358</v>
      </c>
      <c r="W256" s="137">
        <f ca="1"/>
        <v>0</v>
      </c>
      <c r="X256" s="156">
        <f ca="1"/>
        <v>0</v>
      </c>
      <c r="Y256" s="156">
        <f ca="1"/>
        <v>3.6454279394952271E-2</v>
      </c>
      <c r="Z256" s="156">
        <f ca="1"/>
        <v>0</v>
      </c>
      <c r="AA256" s="156">
        <f ca="1"/>
        <v>9.3076217154374863E-2</v>
      </c>
      <c r="AB256" s="156">
        <f ca="1"/>
        <v>0</v>
      </c>
      <c r="AC256" s="156">
        <f ca="1"/>
        <v>0.12434995582822572</v>
      </c>
      <c r="AD256" s="156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2.3721171421441367E-3</v>
      </c>
      <c r="Q257" s="156">
        <f ca="1"/>
        <v>0</v>
      </c>
      <c r="R257" s="156">
        <f ca="1"/>
        <v>1.3063616764991792E-2</v>
      </c>
      <c r="S257" s="156">
        <f ca="1"/>
        <v>0</v>
      </c>
      <c r="T257" s="156">
        <f ca="1"/>
        <v>2.8573878148758669E-2</v>
      </c>
      <c r="U257" s="156">
        <f ca="1"/>
        <v>4.0678087293369525E-2</v>
      </c>
      <c r="V257" s="138">
        <f ca="1"/>
        <v>5.9068364881523783E-2</v>
      </c>
      <c r="W257" s="137">
        <f ca="1"/>
        <v>0</v>
      </c>
      <c r="X257" s="156">
        <f ca="1"/>
        <v>0</v>
      </c>
      <c r="Y257" s="156">
        <f ca="1"/>
        <v>2.5383746007928698E-3</v>
      </c>
      <c r="Z257" s="156">
        <f ca="1"/>
        <v>0</v>
      </c>
      <c r="AA257" s="156">
        <f ca="1"/>
        <v>1.3556961610080909E-2</v>
      </c>
      <c r="AB257" s="156">
        <f ca="1"/>
        <v>0</v>
      </c>
      <c r="AC257" s="156">
        <f ca="1"/>
        <v>2.9383062709877006E-2</v>
      </c>
      <c r="AD257" s="156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5.0239524879724939E-3</v>
      </c>
      <c r="Q258" s="156">
        <f ca="1"/>
        <v>0</v>
      </c>
      <c r="R258" s="156">
        <f ca="1"/>
        <v>2.2448719357242464E-2</v>
      </c>
      <c r="S258" s="156">
        <f ca="1"/>
        <v>0</v>
      </c>
      <c r="T258" s="156">
        <f ca="1"/>
        <v>6.0748796765802138E-2</v>
      </c>
      <c r="U258" s="156">
        <f ca="1"/>
        <v>0.10136873271114433</v>
      </c>
      <c r="V258" s="138">
        <f ca="1"/>
        <v>0.17154981950765547</v>
      </c>
      <c r="W258" s="137">
        <f ca="1"/>
        <v>0</v>
      </c>
      <c r="X258" s="156">
        <f ca="1"/>
        <v>0</v>
      </c>
      <c r="Y258" s="156">
        <f ca="1"/>
        <v>5.1897680108847766E-3</v>
      </c>
      <c r="Z258" s="156">
        <f ca="1"/>
        <v>0</v>
      </c>
      <c r="AA258" s="156">
        <f ca="1"/>
        <v>2.2937372824032409E-2</v>
      </c>
      <c r="AB258" s="156">
        <f ca="1"/>
        <v>0</v>
      </c>
      <c r="AC258" s="156">
        <f ca="1"/>
        <v>6.1531180063529201E-2</v>
      </c>
      <c r="AD258" s="156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2.0842968193343081E-3</v>
      </c>
      <c r="Q259" s="156">
        <f ca="1"/>
        <v>0</v>
      </c>
      <c r="R259" s="156">
        <f ca="1"/>
        <v>1.3184213276268064E-2</v>
      </c>
      <c r="S259" s="156">
        <f ca="1"/>
        <v>0</v>
      </c>
      <c r="T259" s="156">
        <f ca="1"/>
        <v>3.9827693803558439E-2</v>
      </c>
      <c r="U259" s="156">
        <f ca="1"/>
        <v>6.83217830860815E-2</v>
      </c>
      <c r="V259" s="138">
        <f ca="1"/>
        <v>0.11307084433194292</v>
      </c>
      <c r="W259" s="137">
        <f ca="1"/>
        <v>0</v>
      </c>
      <c r="X259" s="156">
        <f ca="1"/>
        <v>0</v>
      </c>
      <c r="Y259" s="156">
        <f ca="1"/>
        <v>2.2506022440186291E-3</v>
      </c>
      <c r="Z259" s="156">
        <f ca="1"/>
        <v>0</v>
      </c>
      <c r="AA259" s="156">
        <f ca="1"/>
        <v>1.367749783820682E-2</v>
      </c>
      <c r="AB259" s="156">
        <f ca="1"/>
        <v>0</v>
      </c>
      <c r="AC259" s="156">
        <f ca="1"/>
        <v>4.062750409147653E-2</v>
      </c>
      <c r="AD259" s="156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1.0205896657166091E-3</v>
      </c>
      <c r="Q260" s="156">
        <f ca="1"/>
        <v>0</v>
      </c>
      <c r="R260" s="156">
        <f ca="1"/>
        <v>5.9501549413594201E-3</v>
      </c>
      <c r="S260" s="156">
        <f ca="1"/>
        <v>0</v>
      </c>
      <c r="T260" s="156">
        <f ca="1"/>
        <v>1.7281112619412453E-2</v>
      </c>
      <c r="U260" s="156">
        <f ca="1"/>
        <v>3.1719399615376953E-2</v>
      </c>
      <c r="V260" s="138">
        <f ca="1"/>
        <v>5.9761869064860251E-2</v>
      </c>
      <c r="W260" s="137">
        <f ca="1"/>
        <v>0</v>
      </c>
      <c r="X260" s="156">
        <f ca="1"/>
        <v>0</v>
      </c>
      <c r="Y260" s="156">
        <f ca="1"/>
        <v>1.1870723601634658E-3</v>
      </c>
      <c r="Z260" s="156">
        <f ca="1"/>
        <v>0</v>
      </c>
      <c r="AA260" s="156">
        <f ca="1"/>
        <v>6.4470556283362512E-3</v>
      </c>
      <c r="AB260" s="156">
        <f ca="1"/>
        <v>0</v>
      </c>
      <c r="AC260" s="156">
        <f ca="1"/>
        <v>1.8099703898511899E-2</v>
      </c>
      <c r="AD260" s="156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4.502601560282149E-3</v>
      </c>
      <c r="Q261" s="156">
        <f ca="1"/>
        <v>0</v>
      </c>
      <c r="R261" s="156">
        <f ca="1"/>
        <v>1.9762940258487016E-2</v>
      </c>
      <c r="S261" s="156">
        <f ca="1"/>
        <v>0</v>
      </c>
      <c r="T261" s="156">
        <f ca="1"/>
        <v>4.2298669112158072E-2</v>
      </c>
      <c r="U261" s="156">
        <f ca="1"/>
        <v>6.5778659308679321E-2</v>
      </c>
      <c r="V261" s="138">
        <f ca="1"/>
        <v>0.10671662404591309</v>
      </c>
      <c r="W261" s="137">
        <f ca="1"/>
        <v>0</v>
      </c>
      <c r="X261" s="156">
        <f ca="1"/>
        <v>0</v>
      </c>
      <c r="Y261" s="156">
        <f ca="1"/>
        <v>4.6685039677595297E-3</v>
      </c>
      <c r="Z261" s="156">
        <f ca="1"/>
        <v>0</v>
      </c>
      <c r="AA261" s="156">
        <f ca="1"/>
        <v>2.0252936279106515E-2</v>
      </c>
      <c r="AB261" s="156">
        <f ca="1"/>
        <v>0</v>
      </c>
      <c r="AC261" s="156">
        <f ca="1"/>
        <v>4.309642111176748E-2</v>
      </c>
      <c r="AD261" s="156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4.3573855517116344E-2</v>
      </c>
      <c r="Q262" s="156">
        <f ca="1"/>
        <v>0</v>
      </c>
      <c r="R262" s="156">
        <f ca="1"/>
        <v>0.12026817761147901</v>
      </c>
      <c r="S262" s="156">
        <f ca="1"/>
        <v>0</v>
      </c>
      <c r="T262" s="156">
        <f ca="1"/>
        <v>0.17242206360917212</v>
      </c>
      <c r="U262" s="156">
        <f ca="1"/>
        <v>0.2222054826632297</v>
      </c>
      <c r="V262" s="138">
        <f ca="1"/>
        <v>0.28737957562615379</v>
      </c>
      <c r="W262" s="137">
        <f ca="1"/>
        <v>0</v>
      </c>
      <c r="X262" s="156">
        <f ca="1"/>
        <v>0</v>
      </c>
      <c r="Y262" s="156">
        <f ca="1"/>
        <v>4.3733246591571184E-2</v>
      </c>
      <c r="Z262" s="156">
        <f ca="1"/>
        <v>0</v>
      </c>
      <c r="AA262" s="156">
        <f ca="1"/>
        <v>0.12070793357455445</v>
      </c>
      <c r="AB262" s="156">
        <f ca="1"/>
        <v>0</v>
      </c>
      <c r="AC262" s="156">
        <f ca="1"/>
        <v>0.17311142461584728</v>
      </c>
      <c r="AD262" s="156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7.8092927536241863E-3</v>
      </c>
      <c r="Q263" s="156">
        <f ca="1"/>
        <v>0</v>
      </c>
      <c r="R263" s="156">
        <f ca="1"/>
        <v>3.9995486877473119E-2</v>
      </c>
      <c r="S263" s="156">
        <f ca="1"/>
        <v>0</v>
      </c>
      <c r="T263" s="156">
        <f ca="1"/>
        <v>0.10395155523877753</v>
      </c>
      <c r="U263" s="156">
        <f ca="1"/>
        <v>0.16779292389741207</v>
      </c>
      <c r="V263" s="138">
        <f ca="1"/>
        <v>0.27955828328404986</v>
      </c>
      <c r="W263" s="137">
        <f ca="1"/>
        <v>0</v>
      </c>
      <c r="X263" s="156">
        <f ca="1"/>
        <v>0</v>
      </c>
      <c r="Y263" s="156">
        <f ca="1"/>
        <v>7.974644091850891E-3</v>
      </c>
      <c r="Z263" s="156">
        <f ca="1"/>
        <v>0</v>
      </c>
      <c r="AA263" s="156">
        <f ca="1"/>
        <v>4.0475369153455176E-2</v>
      </c>
      <c r="AB263" s="156">
        <f ca="1"/>
        <v>0</v>
      </c>
      <c r="AC263" s="156">
        <f ca="1"/>
        <v>0.10472668312313371</v>
      </c>
      <c r="AD263" s="156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2.0409837893189398E-3</v>
      </c>
      <c r="P264" s="156">
        <f ca="1"/>
        <v>5.1361265675101686E-3</v>
      </c>
      <c r="Q264" s="156">
        <f ca="1"/>
        <v>1.6613569129885097E-2</v>
      </c>
      <c r="R264" s="156">
        <f ca="1"/>
        <v>3.5579718588078513E-2</v>
      </c>
      <c r="S264" s="156">
        <f ca="1"/>
        <v>6.6508563498184792E-2</v>
      </c>
      <c r="T264" s="156">
        <f ca="1"/>
        <v>0.10210725026445966</v>
      </c>
      <c r="U264" s="156">
        <f ca="1"/>
        <v>0.17546595620766936</v>
      </c>
      <c r="V264" s="138">
        <f ca="1"/>
        <v>0.27551306511737761</v>
      </c>
      <c r="W264" s="137">
        <f ca="1"/>
        <v>0</v>
      </c>
      <c r="X264" s="156">
        <f ca="1"/>
        <v>2.1336475060494964E-3</v>
      </c>
      <c r="Y264" s="156">
        <f ca="1"/>
        <v>5.3019233962926515E-3</v>
      </c>
      <c r="Z264" s="156">
        <f ca="1"/>
        <v>1.6941309980322394E-2</v>
      </c>
      <c r="AA264" s="156">
        <f ca="1"/>
        <v>3.6061808196335976E-2</v>
      </c>
      <c r="AB264" s="156">
        <f ca="1"/>
        <v>6.7130683726078999E-2</v>
      </c>
      <c r="AC264" s="156">
        <f ca="1"/>
        <v>0.10288066817302288</v>
      </c>
      <c r="AD264" s="156">
        <f ca="1"/>
        <v>0.17647864070069663</v>
      </c>
      <c r="AE264" s="138">
        <f ca="1"/>
        <v>0.27679627108282301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5.0022710268402548E-3</v>
      </c>
      <c r="P265" s="156">
        <f ca="1"/>
        <v>9.5107890918716409E-3</v>
      </c>
      <c r="Q265" s="156">
        <f ca="1"/>
        <v>2.7825651684181052E-2</v>
      </c>
      <c r="R265" s="156">
        <f ca="1"/>
        <v>4.982657428816295E-2</v>
      </c>
      <c r="S265" s="156">
        <f ca="1"/>
        <v>0</v>
      </c>
      <c r="T265" s="156">
        <f ca="1"/>
        <v>0.10373871556015735</v>
      </c>
      <c r="U265" s="156">
        <f ca="1"/>
        <v>0.16852069510773338</v>
      </c>
      <c r="V265" s="138">
        <f ca="1"/>
        <v>0.24900845487748113</v>
      </c>
      <c r="W265" s="137">
        <f ca="1"/>
        <v>0</v>
      </c>
      <c r="X265" s="156">
        <f ca="1"/>
        <v>5.0946085512784123E-3</v>
      </c>
      <c r="Y265" s="156">
        <f ca="1"/>
        <v>9.6758568710011428E-3</v>
      </c>
      <c r="Z265" s="156">
        <f ca="1"/>
        <v>2.8149655796581685E-2</v>
      </c>
      <c r="AA265" s="156">
        <f ca="1"/>
        <v>5.0301542249117759E-2</v>
      </c>
      <c r="AB265" s="156">
        <f ca="1"/>
        <v>0</v>
      </c>
      <c r="AC265" s="156">
        <f ca="1"/>
        <v>0.10451055791125652</v>
      </c>
      <c r="AD265" s="156">
        <f ca="1"/>
        <v>0.1695290944819694</v>
      </c>
      <c r="AE265" s="138">
        <f ca="1"/>
        <v>0.25031209683171307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6.6268191837418611E-3</v>
      </c>
      <c r="Q266" s="156">
        <f ca="1"/>
        <v>0</v>
      </c>
      <c r="R266" s="156">
        <f ca="1"/>
        <v>4.1369726837286014E-2</v>
      </c>
      <c r="S266" s="156">
        <f ca="1"/>
        <v>0</v>
      </c>
      <c r="T266" s="156">
        <f ca="1"/>
        <v>0.10517957313772031</v>
      </c>
      <c r="U266" s="156">
        <f ca="1"/>
        <v>0.16208749879890527</v>
      </c>
      <c r="V266" s="138">
        <f ca="1"/>
        <v>0.25996781539884806</v>
      </c>
      <c r="W266" s="137">
        <f ca="1"/>
        <v>0</v>
      </c>
      <c r="X266" s="156">
        <f ca="1"/>
        <v>0</v>
      </c>
      <c r="Y266" s="156">
        <f ca="1"/>
        <v>6.7923675844426823E-3</v>
      </c>
      <c r="Z266" s="156">
        <f ca="1"/>
        <v>0</v>
      </c>
      <c r="AA266" s="156">
        <f ca="1"/>
        <v>4.1848922165071745E-2</v>
      </c>
      <c r="AB266" s="156">
        <f ca="1"/>
        <v>0</v>
      </c>
      <c r="AC266" s="156">
        <f ca="1"/>
        <v>0.10595390851815589</v>
      </c>
      <c r="AD266" s="156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4.8460895101534174E-3</v>
      </c>
      <c r="Q267" s="156">
        <f ca="1"/>
        <v>0</v>
      </c>
      <c r="R267" s="156">
        <f ca="1"/>
        <v>2.5798522419305803E-2</v>
      </c>
      <c r="S267" s="156">
        <f ca="1"/>
        <v>0</v>
      </c>
      <c r="T267" s="156">
        <f ca="1"/>
        <v>6.4381292274806268E-2</v>
      </c>
      <c r="U267" s="156">
        <f ca="1"/>
        <v>0.10275903826369115</v>
      </c>
      <c r="V267" s="138">
        <f ca="1"/>
        <v>0.16239969435576085</v>
      </c>
      <c r="W267" s="137">
        <f ca="1"/>
        <v>0</v>
      </c>
      <c r="X267" s="156">
        <f ca="1"/>
        <v>0</v>
      </c>
      <c r="Y267" s="156">
        <f ca="1"/>
        <v>5.0119346744132987E-3</v>
      </c>
      <c r="Z267" s="156">
        <f ca="1"/>
        <v>0</v>
      </c>
      <c r="AA267" s="156">
        <f ca="1"/>
        <v>2.6285501403218392E-2</v>
      </c>
      <c r="AB267" s="156">
        <f ca="1"/>
        <v>0</v>
      </c>
      <c r="AC267" s="156">
        <f ca="1"/>
        <v>6.5160649753883138E-2</v>
      </c>
      <c r="AD267" s="156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2.2679462912498227E-3</v>
      </c>
      <c r="Q268" s="156">
        <f ca="1"/>
        <v>0</v>
      </c>
      <c r="R268" s="156">
        <f ca="1"/>
        <v>2.1708994120287706E-2</v>
      </c>
      <c r="S268" s="156">
        <f ca="1"/>
        <v>0</v>
      </c>
      <c r="T268" s="156">
        <f ca="1"/>
        <v>5.0538074194765636E-2</v>
      </c>
      <c r="U268" s="156">
        <f ca="1"/>
        <v>9.2381702869917426E-2</v>
      </c>
      <c r="V268" s="138">
        <f ca="1"/>
        <v>0.1646675098128304</v>
      </c>
      <c r="W268" s="137">
        <f ca="1"/>
        <v>0</v>
      </c>
      <c r="X268" s="156">
        <f ca="1"/>
        <v>0</v>
      </c>
      <c r="Y268" s="156">
        <f ca="1"/>
        <v>2.4342211102401645E-3</v>
      </c>
      <c r="Z268" s="156">
        <f ca="1"/>
        <v>0</v>
      </c>
      <c r="AA268" s="156">
        <f ca="1"/>
        <v>2.219801735725957E-2</v>
      </c>
      <c r="AB268" s="156">
        <f ca="1"/>
        <v>0</v>
      </c>
      <c r="AC268" s="156">
        <f ca="1"/>
        <v>5.1328962883509299E-2</v>
      </c>
      <c r="AD268" s="156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6.4985556770325026E-4</v>
      </c>
      <c r="P269" s="156">
        <f ca="1"/>
        <v>2.49083549834761E-3</v>
      </c>
      <c r="Q269" s="156">
        <f ca="1"/>
        <v>8.6973981986375737E-3</v>
      </c>
      <c r="R269" s="156">
        <f ca="1"/>
        <v>1.8696542692533402E-2</v>
      </c>
      <c r="S269" s="156">
        <f ca="1"/>
        <v>0</v>
      </c>
      <c r="T269" s="156">
        <f ca="1"/>
        <v>4.8261748465876719E-2</v>
      </c>
      <c r="U269" s="156">
        <f ca="1"/>
        <v>8.3871478967066815E-2</v>
      </c>
      <c r="V269" s="138">
        <f ca="1"/>
        <v>0.14536483700571501</v>
      </c>
      <c r="W269" s="137">
        <f ca="1"/>
        <v>0</v>
      </c>
      <c r="X269" s="156">
        <f ca="1"/>
        <v>7.4265666409367714E-4</v>
      </c>
      <c r="Y269" s="156">
        <f ca="1"/>
        <v>2.6570731722421748E-3</v>
      </c>
      <c r="Z269" s="156">
        <f ca="1"/>
        <v>9.0277773329732192E-3</v>
      </c>
      <c r="AA269" s="156">
        <f ca="1"/>
        <v>1.9187071778677733E-2</v>
      </c>
      <c r="AB269" s="156">
        <f ca="1"/>
        <v>0</v>
      </c>
      <c r="AC269" s="156">
        <f ca="1"/>
        <v>4.9054533302606007E-2</v>
      </c>
      <c r="AD269" s="156">
        <f ca="1"/>
        <v>8.4962701280623332E-2</v>
      </c>
      <c r="AE269" s="138">
        <f ca="1"/>
        <v>0.14684731642989834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5.0750162358812467E-3</v>
      </c>
      <c r="Q270" s="156">
        <f ca="1"/>
        <v>0</v>
      </c>
      <c r="R270" s="156">
        <f ca="1"/>
        <v>5.7697590435186519E-2</v>
      </c>
      <c r="S270" s="156">
        <f ca="1"/>
        <v>0</v>
      </c>
      <c r="T270" s="156">
        <f ca="1"/>
        <v>9.4523643229053822E-2</v>
      </c>
      <c r="U270" s="156">
        <f ca="1"/>
        <v>0.12217222117468296</v>
      </c>
      <c r="V270" s="138">
        <f ca="1"/>
        <v>0.16352018581175276</v>
      </c>
      <c r="W270" s="137">
        <f ca="1"/>
        <v>0</v>
      </c>
      <c r="X270" s="156">
        <f ca="1"/>
        <v>0</v>
      </c>
      <c r="Y270" s="156">
        <f ca="1"/>
        <v>5.2408232488688755E-3</v>
      </c>
      <c r="Z270" s="156">
        <f ca="1"/>
        <v>0</v>
      </c>
      <c r="AA270" s="156">
        <f ca="1"/>
        <v>5.8168623871823422E-2</v>
      </c>
      <c r="AB270" s="156">
        <f ca="1"/>
        <v>0</v>
      </c>
      <c r="AC270" s="156">
        <f ca="1"/>
        <v>9.5277892545525544E-2</v>
      </c>
      <c r="AD270" s="156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3.4679053669933735E-3</v>
      </c>
      <c r="Q271" s="156">
        <f ca="1"/>
        <v>0</v>
      </c>
      <c r="R271" s="156">
        <f ca="1"/>
        <v>2.2217512392885497E-2</v>
      </c>
      <c r="S271" s="156">
        <f ca="1"/>
        <v>0</v>
      </c>
      <c r="T271" s="156">
        <f ca="1"/>
        <v>6.1429112690261078E-2</v>
      </c>
      <c r="U271" s="156">
        <f ca="1"/>
        <v>9.4960774144161153E-2</v>
      </c>
      <c r="V271" s="138">
        <f ca="1"/>
        <v>0.15363362873970876</v>
      </c>
      <c r="W271" s="137">
        <f ca="1"/>
        <v>0</v>
      </c>
      <c r="X271" s="156">
        <f ca="1"/>
        <v>0</v>
      </c>
      <c r="Y271" s="156">
        <f ca="1"/>
        <v>3.6339802094637053E-3</v>
      </c>
      <c r="Z271" s="156">
        <f ca="1"/>
        <v>0</v>
      </c>
      <c r="AA271" s="156">
        <f ca="1"/>
        <v>2.2706281434219155E-2</v>
      </c>
      <c r="AB271" s="156">
        <f ca="1"/>
        <v>0</v>
      </c>
      <c r="AC271" s="156">
        <f ca="1"/>
        <v>6.2210929294213457E-2</v>
      </c>
      <c r="AD271" s="156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3.5331561876147388E-3</v>
      </c>
      <c r="Q272" s="156">
        <f ca="1"/>
        <v>0</v>
      </c>
      <c r="R272" s="156">
        <f ca="1"/>
        <v>1.7986605596824967E-2</v>
      </c>
      <c r="S272" s="156">
        <f ca="1"/>
        <v>0</v>
      </c>
      <c r="T272" s="156">
        <f ca="1"/>
        <v>4.2858316391797824E-2</v>
      </c>
      <c r="U272" s="156">
        <f ca="1"/>
        <v>8.2147546312060227E-2</v>
      </c>
      <c r="V272" s="138">
        <f ca="1"/>
        <v>0.14924674049070208</v>
      </c>
      <c r="W272" s="137">
        <f ca="1"/>
        <v>0</v>
      </c>
      <c r="X272" s="156">
        <f ca="1"/>
        <v>0</v>
      </c>
      <c r="Y272" s="156">
        <f ca="1"/>
        <v>3.69922015586166E-3</v>
      </c>
      <c r="Z272" s="156">
        <f ca="1"/>
        <v>0</v>
      </c>
      <c r="AA272" s="156">
        <f ca="1"/>
        <v>1.8477489562816363E-2</v>
      </c>
      <c r="AB272" s="156">
        <f ca="1"/>
        <v>0</v>
      </c>
      <c r="AC272" s="156">
        <f ca="1"/>
        <v>4.3655602212871902E-2</v>
      </c>
      <c r="AD272" s="156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3.8522951098965974E-3</v>
      </c>
      <c r="Q273" s="156">
        <f ca="1"/>
        <v>0</v>
      </c>
      <c r="R273" s="156">
        <f ca="1"/>
        <v>2.0460789811607261E-2</v>
      </c>
      <c r="S273" s="156">
        <f ca="1"/>
        <v>0</v>
      </c>
      <c r="T273" s="156">
        <f ca="1"/>
        <v>4.6988961243319749E-2</v>
      </c>
      <c r="U273" s="156">
        <f ca="1"/>
        <v>7.1786294106969128E-2</v>
      </c>
      <c r="V273" s="138">
        <f ca="1"/>
        <v>0.11792823775345718</v>
      </c>
      <c r="W273" s="137">
        <f ca="1"/>
        <v>0</v>
      </c>
      <c r="X273" s="156">
        <f ca="1"/>
        <v>0</v>
      </c>
      <c r="Y273" s="156">
        <f ca="1"/>
        <v>4.0183058927610871E-3</v>
      </c>
      <c r="Z273" s="156">
        <f ca="1"/>
        <v>0</v>
      </c>
      <c r="AA273" s="156">
        <f ca="1"/>
        <v>2.0950436994717547E-2</v>
      </c>
      <c r="AB273" s="156">
        <f ca="1"/>
        <v>0</v>
      </c>
      <c r="AC273" s="156">
        <f ca="1"/>
        <v>4.7782806294205615E-2</v>
      </c>
      <c r="AD273" s="156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9.282359864184464E-4</v>
      </c>
      <c r="P274" s="156">
        <f ca="1"/>
        <v>2.8415959637621002E-3</v>
      </c>
      <c r="Q274" s="156">
        <f ca="1"/>
        <v>8.326100665567715E-3</v>
      </c>
      <c r="R274" s="156">
        <f ca="1"/>
        <v>1.6036165633914856E-2</v>
      </c>
      <c r="S274" s="156">
        <f ca="1"/>
        <v>0</v>
      </c>
      <c r="T274" s="156">
        <f ca="1"/>
        <v>4.4926793637717788E-2</v>
      </c>
      <c r="U274" s="156">
        <f ca="1"/>
        <v>7.555138051352539E-2</v>
      </c>
      <c r="V274" s="138">
        <f ca="1"/>
        <v>0.12131269566968916</v>
      </c>
      <c r="W274" s="137">
        <f ca="1"/>
        <v>0</v>
      </c>
      <c r="X274" s="156">
        <f ca="1"/>
        <v>1.0210102993825076E-3</v>
      </c>
      <c r="Y274" s="156">
        <f ca="1"/>
        <v>3.0077751824569843E-3</v>
      </c>
      <c r="Z274" s="156">
        <f ca="1"/>
        <v>8.6566035451444145E-3</v>
      </c>
      <c r="AA274" s="156">
        <f ca="1"/>
        <v>1.6528024576120681E-2</v>
      </c>
      <c r="AB274" s="156">
        <f ca="1"/>
        <v>0</v>
      </c>
      <c r="AC274" s="156">
        <f ca="1"/>
        <v>4.5722356445795587E-2</v>
      </c>
      <c r="AD274" s="156">
        <f ca="1"/>
        <v>7.6653873889356072E-2</v>
      </c>
      <c r="AE274" s="138">
        <f ca="1"/>
        <v>0.12282461647271514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6.6145127270081927E-3</v>
      </c>
      <c r="Q275" s="156">
        <f ca="1"/>
        <v>0</v>
      </c>
      <c r="R275" s="156">
        <f ca="1"/>
        <v>3.829609854283067E-2</v>
      </c>
      <c r="S275" s="156">
        <f ca="1"/>
        <v>0</v>
      </c>
      <c r="T275" s="156">
        <f ca="1"/>
        <v>0.12702032280407316</v>
      </c>
      <c r="U275" s="156">
        <f ca="1"/>
        <v>0.19729443536897806</v>
      </c>
      <c r="V275" s="138">
        <f ca="1"/>
        <v>0.29425815296832625</v>
      </c>
      <c r="W275" s="137">
        <f ca="1"/>
        <v>0</v>
      </c>
      <c r="X275" s="156">
        <f ca="1"/>
        <v>0</v>
      </c>
      <c r="Y275" s="156">
        <f ca="1"/>
        <v>6.7386781524091388E-3</v>
      </c>
      <c r="Z275" s="156">
        <f ca="1"/>
        <v>0</v>
      </c>
      <c r="AA275" s="156">
        <f ca="1"/>
        <v>3.8656669894490681E-2</v>
      </c>
      <c r="AB275" s="156">
        <f ca="1"/>
        <v>0</v>
      </c>
      <c r="AC275" s="156">
        <f ca="1"/>
        <v>0.12759255953190118</v>
      </c>
      <c r="AD275" s="156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1.7262381747663369E-2</v>
      </c>
      <c r="P276" s="156">
        <f ca="1"/>
        <v>3.2637297704895318E-2</v>
      </c>
      <c r="Q276" s="156">
        <f ca="1"/>
        <v>5.7549962705336188E-2</v>
      </c>
      <c r="R276" s="156">
        <f ca="1"/>
        <v>8.0648311994002131E-2</v>
      </c>
      <c r="S276" s="156">
        <f ca="1"/>
        <v>0</v>
      </c>
      <c r="T276" s="156">
        <f ca="1"/>
        <v>0.11786544801573717</v>
      </c>
      <c r="U276" s="156">
        <f ca="1"/>
        <v>0.16117803552337095</v>
      </c>
      <c r="V276" s="138">
        <f ca="1"/>
        <v>0.22228996944828949</v>
      </c>
      <c r="W276" s="137">
        <f ca="1"/>
        <v>0</v>
      </c>
      <c r="X276" s="156">
        <f ca="1"/>
        <v>1.7344273136985611E-2</v>
      </c>
      <c r="Y276" s="156">
        <f ca="1"/>
        <v>3.2798511387104323E-2</v>
      </c>
      <c r="Z276" s="156">
        <f ca="1"/>
        <v>5.7864060365267034E-2</v>
      </c>
      <c r="AA276" s="156">
        <f ca="1"/>
        <v>8.1107872938187553E-2</v>
      </c>
      <c r="AB276" s="156">
        <f ca="1"/>
        <v>0</v>
      </c>
      <c r="AC276" s="156">
        <f ca="1"/>
        <v>0.11860025393076346</v>
      </c>
      <c r="AD276" s="156">
        <f ca="1"/>
        <v>0.16215609050561208</v>
      </c>
      <c r="AE276" s="138">
        <f ca="1"/>
        <v>0.2235850732795972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7.9548033105876215E-3</v>
      </c>
      <c r="P277" s="156">
        <f ca="1"/>
        <v>1.5104077515710079E-2</v>
      </c>
      <c r="Q277" s="156">
        <f ca="1"/>
        <v>2.9216911068694396E-2</v>
      </c>
      <c r="R277" s="156">
        <f ca="1"/>
        <v>4.4587557415332824E-2</v>
      </c>
      <c r="S277" s="156">
        <f ca="1"/>
        <v>0</v>
      </c>
      <c r="T277" s="156">
        <f ca="1"/>
        <v>7.8043943433171226E-2</v>
      </c>
      <c r="U277" s="156">
        <f ca="1"/>
        <v>0.10698657005880052</v>
      </c>
      <c r="V277" s="138">
        <f ca="1"/>
        <v>0.1487488953351036</v>
      </c>
      <c r="W277" s="137">
        <f ca="1"/>
        <v>0</v>
      </c>
      <c r="X277" s="156">
        <f ca="1"/>
        <v>8.046759389267466E-3</v>
      </c>
      <c r="Y277" s="156">
        <f ca="1"/>
        <v>1.5268213157779265E-2</v>
      </c>
      <c r="Z277" s="156">
        <f ca="1"/>
        <v>2.9540451505278509E-2</v>
      </c>
      <c r="AA277" s="156">
        <f ca="1"/>
        <v>4.5065144229979204E-2</v>
      </c>
      <c r="AB277" s="156">
        <f ca="1"/>
        <v>0</v>
      </c>
      <c r="AC277" s="156">
        <f ca="1"/>
        <v>7.8811920112266898E-2</v>
      </c>
      <c r="AD277" s="156">
        <f ca="1"/>
        <v>0.10802781155145524</v>
      </c>
      <c r="AE277" s="138">
        <f ca="1"/>
        <v>0.15019481495944864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4.6664335410994129E-3</v>
      </c>
      <c r="Q278" s="156">
        <f ca="1"/>
        <v>0</v>
      </c>
      <c r="R278" s="156">
        <f ca="1"/>
        <v>2.047363945351055E-2</v>
      </c>
      <c r="S278" s="156">
        <f ca="1"/>
        <v>0</v>
      </c>
      <c r="T278" s="156">
        <f ca="1"/>
        <v>4.3802814189418227E-2</v>
      </c>
      <c r="U278" s="156">
        <f ca="1"/>
        <v>6.8101665290430047E-2</v>
      </c>
      <c r="V278" s="138">
        <f ca="1"/>
        <v>0.11040518239618224</v>
      </c>
      <c r="W278" s="137">
        <f ca="1"/>
        <v>0</v>
      </c>
      <c r="X278" s="156">
        <f ca="1"/>
        <v>0</v>
      </c>
      <c r="Y278" s="156">
        <f ca="1"/>
        <v>4.8323086455172026E-3</v>
      </c>
      <c r="Z278" s="156">
        <f ca="1"/>
        <v>0</v>
      </c>
      <c r="AA278" s="156">
        <f ca="1"/>
        <v>2.0963280213428526E-2</v>
      </c>
      <c r="AB278" s="156">
        <f ca="1"/>
        <v>0</v>
      </c>
      <c r="AC278" s="156">
        <f ca="1"/>
        <v>4.45993132568544E-2</v>
      </c>
      <c r="AD278" s="156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1.1137799194392839E-3</v>
      </c>
      <c r="P279" s="156">
        <f ca="1"/>
        <v>3.0157379609644375E-3</v>
      </c>
      <c r="Q279" s="156">
        <f ca="1"/>
        <v>9.718591528252718E-3</v>
      </c>
      <c r="R279" s="156">
        <f ca="1"/>
        <v>1.8080582519130917E-2</v>
      </c>
      <c r="S279" s="156">
        <f ca="1"/>
        <v>0</v>
      </c>
      <c r="T279" s="156">
        <f ca="1"/>
        <v>3.8463499366897747E-2</v>
      </c>
      <c r="U279" s="156">
        <f ca="1"/>
        <v>6.1888539331350745E-2</v>
      </c>
      <c r="V279" s="138">
        <f ca="1"/>
        <v>0.10506691875895191</v>
      </c>
      <c r="W279" s="137">
        <f ca="1"/>
        <v>0</v>
      </c>
      <c r="X279" s="156">
        <f ca="1"/>
        <v>1.2065361907452887E-3</v>
      </c>
      <c r="Y279" s="156">
        <f ca="1"/>
        <v>3.1818881583938197E-3</v>
      </c>
      <c r="Z279" s="156">
        <f ca="1"/>
        <v>1.0048630321559116E-2</v>
      </c>
      <c r="AA279" s="156">
        <f ca="1"/>
        <v>1.8571419508393028E-2</v>
      </c>
      <c r="AB279" s="156">
        <f ca="1"/>
        <v>0</v>
      </c>
      <c r="AC279" s="156">
        <f ca="1"/>
        <v>3.9264446009959264E-2</v>
      </c>
      <c r="AD279" s="156">
        <f ca="1"/>
        <v>6.3005967086252834E-2</v>
      </c>
      <c r="AE279" s="138">
        <f ca="1"/>
        <v>0.10660194404860202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1.0210122534125565E-3</v>
      </c>
      <c r="P280" s="156">
        <f ca="1"/>
        <v>2.6603785986276662E-3</v>
      </c>
      <c r="Q280" s="156">
        <f ca="1"/>
        <v>6.5738633575398442E-3</v>
      </c>
      <c r="R280" s="156">
        <f ca="1"/>
        <v>1.3465572326468722E-2</v>
      </c>
      <c r="S280" s="156">
        <f ca="1"/>
        <v>0</v>
      </c>
      <c r="T280" s="156">
        <f ca="1"/>
        <v>3.2775667226535687E-2</v>
      </c>
      <c r="U280" s="156">
        <f ca="1"/>
        <v>5.6674262656986052E-2</v>
      </c>
      <c r="V280" s="138">
        <f ca="1"/>
        <v>9.7777372320330569E-2</v>
      </c>
      <c r="W280" s="137">
        <f ca="1"/>
        <v>0</v>
      </c>
      <c r="X280" s="156">
        <f ca="1"/>
        <v>1.1137775643985659E-3</v>
      </c>
      <c r="Y280" s="156">
        <f ca="1"/>
        <v>2.8265880177005265E-3</v>
      </c>
      <c r="Z280" s="156">
        <f ca="1"/>
        <v>6.9049502188908152E-3</v>
      </c>
      <c r="AA280" s="156">
        <f ca="1"/>
        <v>1.3958716244038993E-2</v>
      </c>
      <c r="AB280" s="156">
        <f ca="1"/>
        <v>0</v>
      </c>
      <c r="AC280" s="156">
        <f ca="1"/>
        <v>3.358135175535093E-2</v>
      </c>
      <c r="AD280" s="156">
        <f ca="1"/>
        <v>5.7799165983124401E-2</v>
      </c>
      <c r="AE280" s="138">
        <f ca="1"/>
        <v>9.9326143397736488E-2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1.0210122534125565E-3</v>
      </c>
      <c r="P281" s="156">
        <f ca="1"/>
        <v>2.8392451850541844E-3</v>
      </c>
      <c r="Q281" s="156">
        <f ca="1"/>
        <v>6.9188634908970981E-3</v>
      </c>
      <c r="R281" s="156">
        <f ca="1"/>
        <v>1.4506575893975748E-2</v>
      </c>
      <c r="S281" s="156">
        <f ca="1"/>
        <v>0</v>
      </c>
      <c r="T281" s="156">
        <f ca="1"/>
        <v>3.3562062058157482E-2</v>
      </c>
      <c r="U281" s="156">
        <f ca="1"/>
        <v>5.5180657218111384E-2</v>
      </c>
      <c r="V281" s="138">
        <f ca="1"/>
        <v>9.5862979823795991E-2</v>
      </c>
      <c r="W281" s="137">
        <f ca="1"/>
        <v>0</v>
      </c>
      <c r="X281" s="156">
        <f ca="1"/>
        <v>1.1137775643985659E-3</v>
      </c>
      <c r="Y281" s="156">
        <f ca="1"/>
        <v>3.0054247954978131E-3</v>
      </c>
      <c r="Z281" s="156">
        <f ca="1"/>
        <v>7.2498353713464914E-3</v>
      </c>
      <c r="AA281" s="156">
        <f ca="1"/>
        <v>1.4999199439864164E-2</v>
      </c>
      <c r="AB281" s="156">
        <f ca="1"/>
        <v>0</v>
      </c>
      <c r="AC281" s="156">
        <f ca="1"/>
        <v>3.4367091530929761E-2</v>
      </c>
      <c r="AD281" s="156">
        <f ca="1"/>
        <v>5.6306950374634512E-2</v>
      </c>
      <c r="AE281" s="138">
        <f ca="1"/>
        <v>9.7413548017617035E-2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1.6515284563772825E-3</v>
      </c>
      <c r="Q282" s="156">
        <f ca="1"/>
        <v>0</v>
      </c>
      <c r="R282" s="156">
        <f ca="1"/>
        <v>1.1713515437439592E-2</v>
      </c>
      <c r="S282" s="156">
        <f ca="1"/>
        <v>0</v>
      </c>
      <c r="T282" s="156">
        <f ca="1"/>
        <v>3.0768466925170879E-2</v>
      </c>
      <c r="U282" s="156">
        <f ca="1"/>
        <v>5.4402750772818198E-2</v>
      </c>
      <c r="V282" s="138">
        <f ca="1"/>
        <v>9.25896382759821E-2</v>
      </c>
      <c r="W282" s="137">
        <f ca="1"/>
        <v>0</v>
      </c>
      <c r="X282" s="156">
        <f ca="1"/>
        <v>0</v>
      </c>
      <c r="Y282" s="156">
        <f ca="1"/>
        <v>1.8179060031034977E-3</v>
      </c>
      <c r="Z282" s="156">
        <f ca="1"/>
        <v>0</v>
      </c>
      <c r="AA282" s="156">
        <f ca="1"/>
        <v>1.2207535164516892E-2</v>
      </c>
      <c r="AB282" s="156">
        <f ca="1"/>
        <v>0</v>
      </c>
      <c r="AC282" s="156">
        <f ca="1"/>
        <v>3.1575823424100147E-2</v>
      </c>
      <c r="AD282" s="156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7.4265764477476903E-4</v>
      </c>
      <c r="P283" s="156">
        <f ca="1"/>
        <v>1.7727255902509897E-3</v>
      </c>
      <c r="Q283" s="156">
        <f ca="1"/>
        <v>6.6127473640757994E-3</v>
      </c>
      <c r="R283" s="156">
        <f ca="1"/>
        <v>1.2440067810354893E-2</v>
      </c>
      <c r="S283" s="156">
        <f ca="1"/>
        <v>0</v>
      </c>
      <c r="T283" s="156">
        <f ca="1"/>
        <v>3.2897528469377546E-2</v>
      </c>
      <c r="U283" s="156">
        <f ca="1"/>
        <v>5.4213774549469185E-2</v>
      </c>
      <c r="V283" s="138">
        <f ca="1"/>
        <v>9.259878523425058E-2</v>
      </c>
      <c r="W283" s="137">
        <f ca="1"/>
        <v>0</v>
      </c>
      <c r="X283" s="156">
        <f ca="1"/>
        <v>8.354498500481311E-4</v>
      </c>
      <c r="Y283" s="156">
        <f ca="1"/>
        <v>1.9390829391621178E-3</v>
      </c>
      <c r="Z283" s="156">
        <f ca="1"/>
        <v>6.9438212662236154E-3</v>
      </c>
      <c r="AA283" s="156">
        <f ca="1"/>
        <v>1.2933724352028109E-2</v>
      </c>
      <c r="AB283" s="156">
        <f ca="1"/>
        <v>0</v>
      </c>
      <c r="AC283" s="156">
        <f ca="1"/>
        <v>3.3703111489418625E-2</v>
      </c>
      <c r="AD283" s="156">
        <f ca="1"/>
        <v>5.534196761810195E-2</v>
      </c>
      <c r="AE283" s="138">
        <f ca="1"/>
        <v>9.4109861012545037E-2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6">
        <f ca="1"/>
        <v>6.9625243807136528E-4</v>
      </c>
      <c r="P284" s="156">
        <f ca="1"/>
        <v>1.7291249070967574E-3</v>
      </c>
      <c r="Q284" s="156">
        <f ca="1"/>
        <v>4.1531515916930495E-3</v>
      </c>
      <c r="R284" s="156">
        <f ca="1"/>
        <v>8.9617080552361061E-3</v>
      </c>
      <c r="S284" s="156">
        <f ca="1"/>
        <v>1.4545846258605333E-2</v>
      </c>
      <c r="T284" s="156">
        <f ca="1"/>
        <v>2.1496622574532664E-2</v>
      </c>
      <c r="U284" s="156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6">
        <f ca="1"/>
        <v>7.6585086973102179E-4</v>
      </c>
      <c r="Y284" s="156">
        <f ca="1"/>
        <v>1.8539009678184559E-3</v>
      </c>
      <c r="Z284" s="156">
        <f ca="1"/>
        <v>4.40208218618654E-3</v>
      </c>
      <c r="AA284" s="156">
        <f ca="1"/>
        <v>9.3332777410524148E-3</v>
      </c>
      <c r="AB284" s="156">
        <f ca="1"/>
        <v>1.5038450174218343E-2</v>
      </c>
      <c r="AC284" s="156">
        <f ca="1"/>
        <v>2.2107996111304096E-2</v>
      </c>
      <c r="AD284" s="156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1.5366811032384575E-3</v>
      </c>
      <c r="Q285" s="156">
        <f ca="1"/>
        <v>0</v>
      </c>
      <c r="R285" s="156">
        <f ca="1"/>
        <v>1.1753372469429091E-2</v>
      </c>
      <c r="S285" s="156">
        <f ca="1"/>
        <v>0</v>
      </c>
      <c r="T285" s="156">
        <f ca="1"/>
        <v>2.8079664397773207E-2</v>
      </c>
      <c r="U285" s="156">
        <f ca="1"/>
        <v>5.1508982454533059E-2</v>
      </c>
      <c r="V285" s="138">
        <f ca="1"/>
        <v>9.1688476970684163E-2</v>
      </c>
      <c r="W285" s="137">
        <f ca="1"/>
        <v>0</v>
      </c>
      <c r="X285" s="156">
        <f ca="1"/>
        <v>0</v>
      </c>
      <c r="Y285" s="156">
        <f ca="1"/>
        <v>1.7030777895948868E-3</v>
      </c>
      <c r="Z285" s="156">
        <f ca="1"/>
        <v>0</v>
      </c>
      <c r="AA285" s="156">
        <f ca="1"/>
        <v>1.2247372272915391E-2</v>
      </c>
      <c r="AB285" s="156">
        <f ca="1"/>
        <v>0</v>
      </c>
      <c r="AC285" s="156">
        <f ca="1"/>
        <v>2.8889260632168012E-2</v>
      </c>
      <c r="AD285" s="156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5.5704488486529868E-4</v>
      </c>
      <c r="P286" s="156">
        <f ca="1"/>
        <v>1.4193193509048907E-3</v>
      </c>
      <c r="Q286" s="156">
        <f ca="1"/>
        <v>4.5195420210055737E-3</v>
      </c>
      <c r="R286" s="156">
        <f ca="1"/>
        <v>9.8920648040496939E-3</v>
      </c>
      <c r="S286" s="156">
        <f ca="1"/>
        <v>0</v>
      </c>
      <c r="T286" s="156">
        <f ca="1"/>
        <v>2.6962729863421075E-2</v>
      </c>
      <c r="U286" s="156">
        <f ca="1"/>
        <v>4.8733020090839574E-2</v>
      </c>
      <c r="V286" s="138">
        <f ca="1"/>
        <v>8.6896797717168184E-2</v>
      </c>
      <c r="W286" s="137">
        <f ca="1"/>
        <v>0</v>
      </c>
      <c r="X286" s="156">
        <f ca="1"/>
        <v>6.4985483622026496E-4</v>
      </c>
      <c r="Y286" s="156">
        <f ca="1"/>
        <v>1.5857355959494335E-3</v>
      </c>
      <c r="Z286" s="156">
        <f ca="1"/>
        <v>4.8513135420026332E-3</v>
      </c>
      <c r="AA286" s="156">
        <f ca="1"/>
        <v>1.0386995028795809E-2</v>
      </c>
      <c r="AB286" s="156">
        <f ca="1"/>
        <v>0</v>
      </c>
      <c r="AC286" s="156">
        <f ca="1"/>
        <v>2.7773256488858755E-2</v>
      </c>
      <c r="AD286" s="156">
        <f ca="1"/>
        <v>4.9868196238429863E-2</v>
      </c>
      <c r="AE286" s="138">
        <f ca="1"/>
        <v>8.8442492779167048E-2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4.6422559508285666E-4</v>
      </c>
      <c r="P287" s="156">
        <f ca="1"/>
        <v>1.2425693066163701E-3</v>
      </c>
      <c r="Q287" s="156">
        <f ca="1"/>
        <v>4.5280900813219338E-3</v>
      </c>
      <c r="R287" s="156">
        <f ca="1"/>
        <v>8.8334586469164256E-3</v>
      </c>
      <c r="S287" s="156">
        <f ca="1"/>
        <v>0</v>
      </c>
      <c r="T287" s="156">
        <f ca="1"/>
        <v>2.5259024338311287E-2</v>
      </c>
      <c r="U287" s="156">
        <f ca="1"/>
        <v>4.7713803561839296E-2</v>
      </c>
      <c r="V287" s="138">
        <f ca="1"/>
        <v>8.5449780886814652E-2</v>
      </c>
      <c r="W287" s="137">
        <f ca="1"/>
        <v>0</v>
      </c>
      <c r="X287" s="156">
        <f ca="1"/>
        <v>5.5704436557602044E-4</v>
      </c>
      <c r="Y287" s="156">
        <f ca="1"/>
        <v>1.4090150075465324E-3</v>
      </c>
      <c r="Z287" s="156">
        <f ca="1"/>
        <v>4.859858753441415E-3</v>
      </c>
      <c r="AA287" s="156">
        <f ca="1"/>
        <v>9.3289180424034335E-3</v>
      </c>
      <c r="AB287" s="156">
        <f ca="1"/>
        <v>0</v>
      </c>
      <c r="AC287" s="156">
        <f ca="1"/>
        <v>2.6070970126924164E-2</v>
      </c>
      <c r="AD287" s="156">
        <f ca="1"/>
        <v>4.8850344884189933E-2</v>
      </c>
      <c r="AE287" s="138">
        <f ca="1"/>
        <v>8.6998923489043145E-2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6.4985556770325026E-4</v>
      </c>
      <c r="P288" s="156">
        <f ca="1"/>
        <v>1.4170335872464301E-3</v>
      </c>
      <c r="Q288" s="156">
        <f ca="1"/>
        <v>4.5172187369558747E-3</v>
      </c>
      <c r="R288" s="156">
        <f ca="1"/>
        <v>1.0423183331267127E-2</v>
      </c>
      <c r="S288" s="156">
        <f ca="1"/>
        <v>0</v>
      </c>
      <c r="T288" s="156">
        <f ca="1"/>
        <v>2.8710596036924052E-2</v>
      </c>
      <c r="U288" s="156">
        <f ca="1"/>
        <v>4.8500644363422829E-2</v>
      </c>
      <c r="V288" s="138">
        <f ca="1"/>
        <v>8.4750890845978866E-2</v>
      </c>
      <c r="W288" s="137">
        <f ca="1"/>
        <v>0</v>
      </c>
      <c r="X288" s="156">
        <f ca="1"/>
        <v>7.4265666409367714E-4</v>
      </c>
      <c r="Y288" s="156">
        <f ca="1"/>
        <v>1.5834502132131556E-3</v>
      </c>
      <c r="Z288" s="156">
        <f ca="1"/>
        <v>4.8489910322649932E-3</v>
      </c>
      <c r="AA288" s="156">
        <f ca="1"/>
        <v>1.0917848063114799E-2</v>
      </c>
      <c r="AB288" s="156">
        <f ca="1"/>
        <v>0</v>
      </c>
      <c r="AC288" s="156">
        <f ca="1"/>
        <v>2.9519666713926584E-2</v>
      </c>
      <c r="AD288" s="156">
        <f ca="1"/>
        <v>4.9635997180032865E-2</v>
      </c>
      <c r="AE288" s="138">
        <f ca="1"/>
        <v>8.6300193728987784E-2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9.7285550999515191E-4</v>
      </c>
      <c r="Q289" s="156">
        <f ca="1"/>
        <v>0</v>
      </c>
      <c r="R289" s="156">
        <f ca="1"/>
        <v>8.8252007694622492E-3</v>
      </c>
      <c r="S289" s="156">
        <f ca="1"/>
        <v>0</v>
      </c>
      <c r="T289" s="156">
        <f ca="1"/>
        <v>2.3947229521821156E-2</v>
      </c>
      <c r="U289" s="156">
        <f ca="1"/>
        <v>4.8087428276361366E-2</v>
      </c>
      <c r="V289" s="138">
        <f ca="1"/>
        <v>8.8196300322705645E-2</v>
      </c>
      <c r="W289" s="137">
        <f ca="1"/>
        <v>0</v>
      </c>
      <c r="X289" s="156">
        <f ca="1"/>
        <v>0</v>
      </c>
      <c r="Y289" s="156">
        <f ca="1"/>
        <v>1.1393461594748633E-3</v>
      </c>
      <c r="Z289" s="156">
        <f ca="1"/>
        <v>0</v>
      </c>
      <c r="AA289" s="156">
        <f ca="1"/>
        <v>9.3206642928377326E-3</v>
      </c>
      <c r="AB289" s="156">
        <f ca="1"/>
        <v>0</v>
      </c>
      <c r="AC289" s="156">
        <f ca="1"/>
        <v>2.476026801744613E-2</v>
      </c>
      <c r="AD289" s="156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6.4985556770325026E-4</v>
      </c>
      <c r="P290" s="156">
        <f ca="1"/>
        <v>1.5960381102448906E-3</v>
      </c>
      <c r="Q290" s="156">
        <f ca="1"/>
        <v>4.5109952047818203E-3</v>
      </c>
      <c r="R290" s="156">
        <f ca="1"/>
        <v>9.34980565490795E-3</v>
      </c>
      <c r="S290" s="156">
        <f ca="1"/>
        <v>0</v>
      </c>
      <c r="T290" s="156">
        <f ca="1"/>
        <v>2.5201751769713066E-2</v>
      </c>
      <c r="U290" s="156">
        <f ca="1"/>
        <v>4.3757215297448249E-2</v>
      </c>
      <c r="V290" s="138">
        <f ca="1"/>
        <v>7.6354363986293805E-2</v>
      </c>
      <c r="W290" s="137">
        <f ca="1"/>
        <v>0</v>
      </c>
      <c r="X290" s="156">
        <f ca="1"/>
        <v>7.4265666409367714E-4</v>
      </c>
      <c r="Y290" s="156">
        <f ca="1"/>
        <v>1.7624249046001017E-3</v>
      </c>
      <c r="Z290" s="156">
        <f ca="1"/>
        <v>4.8427695742649934E-3</v>
      </c>
      <c r="AA290" s="156">
        <f ca="1"/>
        <v>9.8450069414479646E-3</v>
      </c>
      <c r="AB290" s="156">
        <f ca="1"/>
        <v>0</v>
      </c>
      <c r="AC290" s="156">
        <f ca="1"/>
        <v>2.6013745265620836E-2</v>
      </c>
      <c r="AD290" s="156">
        <f ca="1"/>
        <v>4.4897842733041871E-2</v>
      </c>
      <c r="AE290" s="138">
        <f ca="1"/>
        <v>7.7919735155456804E-2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5.5704488486529868E-4</v>
      </c>
      <c r="P291" s="156">
        <f ca="1"/>
        <v>1.2402915881148946E-3</v>
      </c>
      <c r="Q291" s="156">
        <f ca="1"/>
        <v>4.1737617200827692E-3</v>
      </c>
      <c r="R291" s="156">
        <f ca="1"/>
        <v>9.3812694259765017E-3</v>
      </c>
      <c r="S291" s="156">
        <f ca="1"/>
        <v>0</v>
      </c>
      <c r="T291" s="156">
        <f ca="1"/>
        <v>2.4337858393239098E-2</v>
      </c>
      <c r="U291" s="156">
        <f ca="1"/>
        <v>4.2583229580871573E-2</v>
      </c>
      <c r="V291" s="138">
        <f ca="1"/>
        <v>7.6663814564431942E-2</v>
      </c>
      <c r="W291" s="137">
        <f ca="1"/>
        <v>0</v>
      </c>
      <c r="X291" s="156">
        <f ca="1"/>
        <v>6.4985483622026496E-4</v>
      </c>
      <c r="Y291" s="156">
        <f ca="1"/>
        <v>1.4067376686272004E-3</v>
      </c>
      <c r="Z291" s="156">
        <f ca="1"/>
        <v>4.5056484819939735E-3</v>
      </c>
      <c r="AA291" s="156">
        <f ca="1"/>
        <v>9.8764549845390404E-3</v>
      </c>
      <c r="AB291" s="156">
        <f ca="1"/>
        <v>0</v>
      </c>
      <c r="AC291" s="156">
        <f ca="1"/>
        <v>2.515057150042499E-2</v>
      </c>
      <c r="AD291" s="156">
        <f ca="1"/>
        <v>4.372522453288219E-2</v>
      </c>
      <c r="AE291" s="138">
        <f ca="1"/>
        <v>7.8228392896320664E-2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5.381656546001079E-2</v>
      </c>
      <c r="Q292" s="156">
        <f ca="1"/>
        <v>0</v>
      </c>
      <c r="R292" s="156">
        <f ca="1"/>
        <v>0.10810634464253865</v>
      </c>
      <c r="S292" s="156">
        <f ca="1"/>
        <v>0</v>
      </c>
      <c r="T292" s="156">
        <f ca="1"/>
        <v>0.143818512358316</v>
      </c>
      <c r="U292" s="156">
        <f ca="1"/>
        <v>0.1772923295976383</v>
      </c>
      <c r="V292" s="138">
        <f ca="1"/>
        <v>0.2294946309736704</v>
      </c>
      <c r="W292" s="137">
        <f ca="1"/>
        <v>0</v>
      </c>
      <c r="X292" s="156">
        <f ca="1"/>
        <v>0</v>
      </c>
      <c r="Y292" s="156">
        <f ca="1"/>
        <v>5.3974249558374265E-2</v>
      </c>
      <c r="Z292" s="156">
        <f ca="1"/>
        <v>0</v>
      </c>
      <c r="AA292" s="156">
        <f ca="1"/>
        <v>0.10855218000210853</v>
      </c>
      <c r="AB292" s="156">
        <f ca="1"/>
        <v>0</v>
      </c>
      <c r="AC292" s="156">
        <f ca="1"/>
        <v>0.14453169972864155</v>
      </c>
      <c r="AD292" s="156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4.2165346121658676E-3</v>
      </c>
      <c r="P293" s="156">
        <f ca="1"/>
        <v>1.003171588384022E-2</v>
      </c>
      <c r="Q293" s="156">
        <f ca="1"/>
        <v>2.7308298380167906E-2</v>
      </c>
      <c r="R293" s="156">
        <f ca="1"/>
        <v>4.9964954988685917E-2</v>
      </c>
      <c r="S293" s="156">
        <f ca="1"/>
        <v>0</v>
      </c>
      <c r="T293" s="156">
        <f ca="1"/>
        <v>0.10376390673595415</v>
      </c>
      <c r="U293" s="156">
        <f ca="1"/>
        <v>0.14669883576486764</v>
      </c>
      <c r="V293" s="138">
        <f ca="1"/>
        <v>0.20960408861983726</v>
      </c>
      <c r="W293" s="137">
        <f ca="1"/>
        <v>0</v>
      </c>
      <c r="X293" s="156">
        <f ca="1"/>
        <v>4.3089636643586227E-3</v>
      </c>
      <c r="Y293" s="156">
        <f ca="1"/>
        <v>1.0196696849065434E-2</v>
      </c>
      <c r="Z293" s="156">
        <f ca="1"/>
        <v>2.7632474914960237E-2</v>
      </c>
      <c r="AA293" s="156">
        <f ca="1"/>
        <v>5.0439853776596988E-2</v>
      </c>
      <c r="AB293" s="156">
        <f ca="1"/>
        <v>0</v>
      </c>
      <c r="AC293" s="156">
        <f ca="1"/>
        <v>0.10453580713284827</v>
      </c>
      <c r="AD293" s="156">
        <f ca="1"/>
        <v>0.14772294483310022</v>
      </c>
      <c r="AE293" s="138">
        <f ca="1"/>
        <v>0.21095685056629487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9.398334901983274E-4</v>
      </c>
      <c r="P294" s="156">
        <f ca="1"/>
        <v>3.0917001841830327E-3</v>
      </c>
      <c r="Q294" s="156">
        <f ca="1"/>
        <v>1.0027502397036647E-2</v>
      </c>
      <c r="R294" s="156">
        <f ca="1"/>
        <v>2.0747489617411463E-2</v>
      </c>
      <c r="S294" s="156">
        <f ca="1"/>
        <v>0</v>
      </c>
      <c r="T294" s="156">
        <f ca="1"/>
        <v>4.6216551013461893E-2</v>
      </c>
      <c r="U294" s="156">
        <f ca="1"/>
        <v>7.1030668991686863E-2</v>
      </c>
      <c r="V294" s="138">
        <f ca="1"/>
        <v>0.10507038781120837</v>
      </c>
      <c r="W294" s="137">
        <f ca="1"/>
        <v>0</v>
      </c>
      <c r="X294" s="156">
        <f ca="1"/>
        <v>1.009413784240798E-3</v>
      </c>
      <c r="Y294" s="156">
        <f ca="1"/>
        <v>3.2163059336361988E-3</v>
      </c>
      <c r="Z294" s="156">
        <f ca="1"/>
        <v>1.0274964587378088E-2</v>
      </c>
      <c r="AA294" s="156">
        <f ca="1"/>
        <v>2.11146404637369E-2</v>
      </c>
      <c r="AB294" s="156">
        <f ca="1"/>
        <v>0</v>
      </c>
      <c r="AC294" s="156">
        <f ca="1"/>
        <v>4.6812479422014386E-2</v>
      </c>
      <c r="AD294" s="156">
        <f ca="1"/>
        <v>7.1859419522825929E-2</v>
      </c>
      <c r="AE294" s="138">
        <f ca="1"/>
        <v>0.10618835095388213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5.2920000172429482E-4</v>
      </c>
      <c r="P295" s="156">
        <f ca="1"/>
        <v>2.2075597045938533E-3</v>
      </c>
      <c r="Q295" s="156">
        <f ca="1"/>
        <v>6.7786900200018652E-3</v>
      </c>
      <c r="R295" s="156">
        <f ca="1"/>
        <v>1.3859477732494963E-2</v>
      </c>
      <c r="S295" s="156">
        <f ca="1"/>
        <v>0</v>
      </c>
      <c r="T295" s="156">
        <f ca="1"/>
        <v>3.455236896950542E-2</v>
      </c>
      <c r="U295" s="156">
        <f ca="1"/>
        <v>5.9183813143511177E-2</v>
      </c>
      <c r="V295" s="138">
        <f ca="1"/>
        <v>0.10834730575674745</v>
      </c>
      <c r="W295" s="137">
        <f ca="1"/>
        <v>0</v>
      </c>
      <c r="X295" s="156">
        <f ca="1"/>
        <v>6.2201260254091117E-4</v>
      </c>
      <c r="Y295" s="156">
        <f ca="1"/>
        <v>2.3738445871844815E-3</v>
      </c>
      <c r="Z295" s="156">
        <f ca="1"/>
        <v>7.1097086171807433E-3</v>
      </c>
      <c r="AA295" s="156">
        <f ca="1"/>
        <v>1.4352424746615799E-2</v>
      </c>
      <c r="AB295" s="156">
        <f ca="1"/>
        <v>0</v>
      </c>
      <c r="AC295" s="156">
        <f ca="1"/>
        <v>3.5356573530247126E-2</v>
      </c>
      <c r="AD295" s="156">
        <f ca="1"/>
        <v>6.0305963838643617E-2</v>
      </c>
      <c r="AE295" s="138">
        <f ca="1"/>
        <v>0.10988360435489797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1.1390313093205817E-3</v>
      </c>
      <c r="Q296" s="156">
        <f ca="1"/>
        <v>0</v>
      </c>
      <c r="R296" s="156">
        <f ca="1"/>
        <v>1.260559988129839E-2</v>
      </c>
      <c r="S296" s="156">
        <f ca="1"/>
        <v>0</v>
      </c>
      <c r="T296" s="156">
        <f ca="1"/>
        <v>2.891808243958105E-2</v>
      </c>
      <c r="U296" s="156">
        <f ca="1"/>
        <v>5.317666844153679E-2</v>
      </c>
      <c r="V296" s="138">
        <f ca="1"/>
        <v>9.2759771617573317E-2</v>
      </c>
      <c r="W296" s="137">
        <f ca="1"/>
        <v>0</v>
      </c>
      <c r="X296" s="156">
        <f ca="1"/>
        <v>0</v>
      </c>
      <c r="Y296" s="156">
        <f ca="1"/>
        <v>1.3054942651321566E-3</v>
      </c>
      <c r="Z296" s="156">
        <f ca="1"/>
        <v>0</v>
      </c>
      <c r="AA296" s="156">
        <f ca="1"/>
        <v>1.3099173677601383E-2</v>
      </c>
      <c r="AB296" s="156">
        <f ca="1"/>
        <v>0</v>
      </c>
      <c r="AC296" s="156">
        <f ca="1"/>
        <v>2.972698028328824E-2</v>
      </c>
      <c r="AD296" s="156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1.1036770543758623E-3</v>
      </c>
      <c r="Q297" s="156">
        <f ca="1"/>
        <v>0</v>
      </c>
      <c r="R297" s="156">
        <f ca="1"/>
        <v>1.0900593065487074E-2</v>
      </c>
      <c r="S297" s="156">
        <f ca="1"/>
        <v>0</v>
      </c>
      <c r="T297" s="156">
        <f ca="1"/>
        <v>2.236088614752596E-2</v>
      </c>
      <c r="U297" s="156">
        <f ca="1"/>
        <v>4.4056087200933569E-2</v>
      </c>
      <c r="V297" s="138">
        <f ca="1"/>
        <v>8.0933860112893274E-2</v>
      </c>
      <c r="W297" s="137">
        <f ca="1"/>
        <v>0</v>
      </c>
      <c r="X297" s="156">
        <f ca="1"/>
        <v>0</v>
      </c>
      <c r="Y297" s="156">
        <f ca="1"/>
        <v>1.2701459020951766E-3</v>
      </c>
      <c r="Z297" s="156">
        <f ca="1"/>
        <v>0</v>
      </c>
      <c r="AA297" s="156">
        <f ca="1"/>
        <v>1.1395019152143804E-2</v>
      </c>
      <c r="AB297" s="156">
        <f ca="1"/>
        <v>0</v>
      </c>
      <c r="AC297" s="156">
        <f ca="1"/>
        <v>2.3175246045339382E-2</v>
      </c>
      <c r="AD297" s="156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2.1213825879108361E-3</v>
      </c>
      <c r="Q298" s="156">
        <f ca="1"/>
        <v>0</v>
      </c>
      <c r="R298" s="156">
        <f ca="1"/>
        <v>1.0303829793561148E-2</v>
      </c>
      <c r="S298" s="156">
        <f ca="1"/>
        <v>0</v>
      </c>
      <c r="T298" s="156">
        <f ca="1"/>
        <v>2.5941042388508584E-2</v>
      </c>
      <c r="U298" s="156">
        <f ca="1"/>
        <v>4.8869211399791834E-2</v>
      </c>
      <c r="V298" s="138">
        <f ca="1"/>
        <v>9.7205483402653226E-2</v>
      </c>
      <c r="W298" s="137">
        <f ca="1"/>
        <v>0</v>
      </c>
      <c r="X298" s="156">
        <f ca="1"/>
        <v>0</v>
      </c>
      <c r="Y298" s="156">
        <f ca="1"/>
        <v>2.2876818321652115E-3</v>
      </c>
      <c r="Z298" s="156">
        <f ca="1"/>
        <v>0</v>
      </c>
      <c r="AA298" s="156">
        <f ca="1"/>
        <v>1.0798554187243514E-2</v>
      </c>
      <c r="AB298" s="156">
        <f ca="1"/>
        <v>0</v>
      </c>
      <c r="AC298" s="156">
        <f ca="1"/>
        <v>2.6752420065531468E-2</v>
      </c>
      <c r="AD298" s="156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2.1213825879108361E-3</v>
      </c>
      <c r="Q299" s="156">
        <f ca="1"/>
        <v>0</v>
      </c>
      <c r="R299" s="156">
        <f ca="1"/>
        <v>1.0303829793561148E-2</v>
      </c>
      <c r="S299" s="156">
        <f ca="1"/>
        <v>0</v>
      </c>
      <c r="T299" s="156">
        <f ca="1"/>
        <v>2.5941042388508584E-2</v>
      </c>
      <c r="U299" s="156">
        <f ca="1"/>
        <v>4.8869211399791834E-2</v>
      </c>
      <c r="V299" s="138">
        <f ca="1"/>
        <v>9.7205483402653226E-2</v>
      </c>
      <c r="W299" s="137">
        <f ca="1"/>
        <v>0</v>
      </c>
      <c r="X299" s="156">
        <f ca="1"/>
        <v>0</v>
      </c>
      <c r="Y299" s="156">
        <f ca="1"/>
        <v>2.2876818321652115E-3</v>
      </c>
      <c r="Z299" s="156">
        <f ca="1"/>
        <v>0</v>
      </c>
      <c r="AA299" s="156">
        <f ca="1"/>
        <v>1.0798554187243514E-2</v>
      </c>
      <c r="AB299" s="156">
        <f ca="1"/>
        <v>0</v>
      </c>
      <c r="AC299" s="156">
        <f ca="1"/>
        <v>2.6752420065531468E-2</v>
      </c>
      <c r="AD299" s="156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8.6323517513620107E-4</v>
      </c>
      <c r="Q300" s="156">
        <f ca="1"/>
        <v>0</v>
      </c>
      <c r="R300" s="156">
        <f ca="1"/>
        <v>1.013689632222059E-2</v>
      </c>
      <c r="S300" s="156">
        <f ca="1"/>
        <v>0</v>
      </c>
      <c r="T300" s="156">
        <f ca="1"/>
        <v>2.2913684692162484E-2</v>
      </c>
      <c r="U300" s="156">
        <f ca="1"/>
        <v>4.3447369534357461E-2</v>
      </c>
      <c r="V300" s="138">
        <f ca="1"/>
        <v>8.0108895664561142E-2</v>
      </c>
      <c r="W300" s="137">
        <f ca="1"/>
        <v>0</v>
      </c>
      <c r="X300" s="156">
        <f ca="1"/>
        <v>0</v>
      </c>
      <c r="Y300" s="156">
        <f ca="1"/>
        <v>1.0297440931393842E-3</v>
      </c>
      <c r="Z300" s="156">
        <f ca="1"/>
        <v>0</v>
      </c>
      <c r="AA300" s="156">
        <f ca="1"/>
        <v>1.0631704161825573E-2</v>
      </c>
      <c r="AB300" s="156">
        <f ca="1"/>
        <v>0</v>
      </c>
      <c r="AC300" s="156">
        <f ca="1"/>
        <v>2.3727584116386202E-2</v>
      </c>
      <c r="AD300" s="156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1.2769010356791233E-3</v>
      </c>
      <c r="Q301" s="156">
        <f ca="1"/>
        <v>0</v>
      </c>
      <c r="R301" s="156">
        <f ca="1"/>
        <v>9.2460589830412054E-3</v>
      </c>
      <c r="S301" s="156">
        <f ca="1"/>
        <v>0</v>
      </c>
      <c r="T301" s="156">
        <f ca="1"/>
        <v>2.2073841671315209E-2</v>
      </c>
      <c r="U301" s="156">
        <f ca="1"/>
        <v>4.2588191362901151E-2</v>
      </c>
      <c r="V301" s="138">
        <f ca="1"/>
        <v>7.6314167103339381E-2</v>
      </c>
      <c r="W301" s="137">
        <f ca="1"/>
        <v>0</v>
      </c>
      <c r="X301" s="156">
        <f ca="1"/>
        <v>0</v>
      </c>
      <c r="Y301" s="156">
        <f ca="1"/>
        <v>1.4433410151181159E-3</v>
      </c>
      <c r="Z301" s="156">
        <f ca="1"/>
        <v>0</v>
      </c>
      <c r="AA301" s="156">
        <f ca="1"/>
        <v>9.7413121299648742E-3</v>
      </c>
      <c r="AB301" s="156">
        <f ca="1"/>
        <v>0</v>
      </c>
      <c r="AC301" s="156">
        <f ca="1"/>
        <v>2.2888440673170418E-2</v>
      </c>
      <c r="AD301" s="156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5.5704488486529868E-4</v>
      </c>
      <c r="P302" s="156">
        <f ca="1"/>
        <v>1.0612488032009093E-3</v>
      </c>
      <c r="Q302" s="156">
        <f ca="1"/>
        <v>4.1799640624465839E-3</v>
      </c>
      <c r="R302" s="156">
        <f ca="1"/>
        <v>9.3875894851583874E-3</v>
      </c>
      <c r="S302" s="156">
        <f ca="1"/>
        <v>0</v>
      </c>
      <c r="T302" s="156">
        <f ca="1"/>
        <v>2.5240729372765447E-2</v>
      </c>
      <c r="U302" s="156">
        <f ca="1"/>
        <v>4.2496363457808939E-2</v>
      </c>
      <c r="V302" s="138">
        <f ca="1"/>
        <v>7.8496993509472812E-2</v>
      </c>
      <c r="W302" s="137">
        <f ca="1"/>
        <v>0</v>
      </c>
      <c r="X302" s="156">
        <f ca="1"/>
        <v>6.4985483622026496E-4</v>
      </c>
      <c r="Y302" s="156">
        <f ca="1"/>
        <v>1.2277247216911924E-3</v>
      </c>
      <c r="Z302" s="156">
        <f ca="1"/>
        <v>4.5118487572539667E-3</v>
      </c>
      <c r="AA302" s="156">
        <f ca="1"/>
        <v>9.8827718845088119E-3</v>
      </c>
      <c r="AB302" s="156">
        <f ca="1"/>
        <v>0</v>
      </c>
      <c r="AC302" s="156">
        <f ca="1"/>
        <v>2.6052690400899858E-2</v>
      </c>
      <c r="AD302" s="156">
        <f ca="1"/>
        <v>4.3638463695677476E-2</v>
      </c>
      <c r="AE302" s="138">
        <f ca="1"/>
        <v>8.0057421249653427E-2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1.1531726634717021E-3</v>
      </c>
      <c r="Q303" s="156">
        <f ca="1"/>
        <v>0</v>
      </c>
      <c r="R303" s="156">
        <f ca="1"/>
        <v>9.672302197242244E-3</v>
      </c>
      <c r="S303" s="156">
        <f ca="1"/>
        <v>0</v>
      </c>
      <c r="T303" s="156">
        <f ca="1"/>
        <v>2.3390089252058655E-2</v>
      </c>
      <c r="U303" s="156">
        <f ca="1"/>
        <v>4.1269885471260093E-2</v>
      </c>
      <c r="V303" s="138">
        <f ca="1"/>
        <v>7.0091166948723638E-2</v>
      </c>
      <c r="W303" s="137">
        <f ca="1"/>
        <v>0</v>
      </c>
      <c r="X303" s="156">
        <f ca="1"/>
        <v>0</v>
      </c>
      <c r="Y303" s="156">
        <f ca="1"/>
        <v>1.3196332626037588E-3</v>
      </c>
      <c r="Z303" s="156">
        <f ca="1"/>
        <v>0</v>
      </c>
      <c r="AA303" s="156">
        <f ca="1"/>
        <v>1.0167342275792191E-2</v>
      </c>
      <c r="AB303" s="156">
        <f ca="1"/>
        <v>0</v>
      </c>
      <c r="AC303" s="156">
        <f ca="1"/>
        <v>2.4203591837851368E-2</v>
      </c>
      <c r="AD303" s="156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4.6422559508285666E-4</v>
      </c>
      <c r="P304" s="156">
        <f ca="1"/>
        <v>8.8445226887701178E-4</v>
      </c>
      <c r="Q304" s="156">
        <f ca="1"/>
        <v>3.4841924642385891E-3</v>
      </c>
      <c r="R304" s="156">
        <f ca="1"/>
        <v>7.8271843556977361E-3</v>
      </c>
      <c r="S304" s="156">
        <f ca="1"/>
        <v>0</v>
      </c>
      <c r="T304" s="156">
        <f ca="1"/>
        <v>2.2710245593841605E-2</v>
      </c>
      <c r="U304" s="156">
        <f ca="1"/>
        <v>4.033447764033582E-2</v>
      </c>
      <c r="V304" s="138">
        <f ca="1"/>
        <v>6.968657069147699E-2</v>
      </c>
      <c r="W304" s="137">
        <f ca="1"/>
        <v>0</v>
      </c>
      <c r="X304" s="156">
        <f ca="1"/>
        <v>5.5704436557602044E-4</v>
      </c>
      <c r="Y304" s="156">
        <f ca="1"/>
        <v>1.0509576510076002E-3</v>
      </c>
      <c r="Z304" s="156">
        <f ca="1"/>
        <v>3.8163090442263625E-3</v>
      </c>
      <c r="AA304" s="156">
        <f ca="1"/>
        <v>8.3231467625912714E-3</v>
      </c>
      <c r="AB304" s="156">
        <f ca="1"/>
        <v>0</v>
      </c>
      <c r="AC304" s="156">
        <f ca="1"/>
        <v>2.3524314480013242E-2</v>
      </c>
      <c r="AD304" s="156">
        <f ca="1"/>
        <v>4.1479481518045591E-2</v>
      </c>
      <c r="AE304" s="138">
        <f ca="1"/>
        <v>7.1264976373844324E-2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3.7139769715544002E-4</v>
      </c>
      <c r="P305" s="156">
        <f ca="1"/>
        <v>1.0657879713348306E-3</v>
      </c>
      <c r="Q305" s="156">
        <f ca="1"/>
        <v>3.8324944784602355E-3</v>
      </c>
      <c r="R305" s="156">
        <f ca="1"/>
        <v>7.2728501519583322E-3</v>
      </c>
      <c r="S305" s="156">
        <f ca="1"/>
        <v>0</v>
      </c>
      <c r="T305" s="156">
        <f ca="1"/>
        <v>2.0932346344506469E-2</v>
      </c>
      <c r="U305" s="156">
        <f ca="1"/>
        <v>3.9235001636504951E-2</v>
      </c>
      <c r="V305" s="138">
        <f ca="1"/>
        <v>7.1999822911803735E-2</v>
      </c>
      <c r="W305" s="137">
        <f ca="1"/>
        <v>0</v>
      </c>
      <c r="X305" s="156">
        <f ca="1"/>
        <v>4.6422525135358939E-4</v>
      </c>
      <c r="Y305" s="156">
        <f ca="1"/>
        <v>1.2322631333656631E-3</v>
      </c>
      <c r="Z305" s="156">
        <f ca="1"/>
        <v>4.1644949771556528E-3</v>
      </c>
      <c r="AA305" s="156">
        <f ca="1"/>
        <v>7.7690896566697809E-3</v>
      </c>
      <c r="AB305" s="156">
        <f ca="1"/>
        <v>0</v>
      </c>
      <c r="AC305" s="156">
        <f ca="1"/>
        <v>2.1747896196241512E-2</v>
      </c>
      <c r="AD305" s="156">
        <f ca="1"/>
        <v>4.0381232716141691E-2</v>
      </c>
      <c r="AE305" s="138">
        <f ca="1"/>
        <v>7.3573999128134226E-2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6.8463454104694677E-4</v>
      </c>
      <c r="Q306" s="156">
        <f ca="1"/>
        <v>0</v>
      </c>
      <c r="R306" s="156">
        <f ca="1"/>
        <v>6.7582326122218594E-3</v>
      </c>
      <c r="S306" s="156">
        <f ca="1"/>
        <v>0</v>
      </c>
      <c r="T306" s="156">
        <f ca="1"/>
        <v>1.7422205592084516E-2</v>
      </c>
      <c r="U306" s="156">
        <f ca="1"/>
        <v>3.8580561505994759E-2</v>
      </c>
      <c r="V306" s="138">
        <f ca="1"/>
        <v>6.3393703432245596E-2</v>
      </c>
      <c r="W306" s="137">
        <f ca="1"/>
        <v>0</v>
      </c>
      <c r="X306" s="156">
        <f ca="1"/>
        <v>0</v>
      </c>
      <c r="Y306" s="156">
        <f ca="1"/>
        <v>8.5117322333194689E-4</v>
      </c>
      <c r="Z306" s="156">
        <f ca="1"/>
        <v>0</v>
      </c>
      <c r="AA306" s="156">
        <f ca="1"/>
        <v>7.2547293613595132E-3</v>
      </c>
      <c r="AB306" s="156">
        <f ca="1"/>
        <v>0</v>
      </c>
      <c r="AC306" s="156">
        <f ca="1"/>
        <v>1.8240679342643284E-2</v>
      </c>
      <c r="AD306" s="156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3.7139769715544002E-4</v>
      </c>
      <c r="P307" s="156">
        <f ca="1"/>
        <v>1.6029205889476206E-3</v>
      </c>
      <c r="Q307" s="156">
        <f ca="1"/>
        <v>4.8698819059787013E-3</v>
      </c>
      <c r="R307" s="156">
        <f ca="1"/>
        <v>8.8068109645643711E-3</v>
      </c>
      <c r="S307" s="156">
        <f ca="1"/>
        <v>0</v>
      </c>
      <c r="T307" s="156">
        <f ca="1"/>
        <v>2.1644288612724161E-2</v>
      </c>
      <c r="U307" s="156">
        <f ca="1"/>
        <v>3.5042597058117519E-2</v>
      </c>
      <c r="V307" s="138">
        <f ca="1"/>
        <v>5.8737726697059678E-2</v>
      </c>
      <c r="W307" s="137">
        <f ca="1"/>
        <v>0</v>
      </c>
      <c r="X307" s="156">
        <f ca="1"/>
        <v>4.6422525135358939E-4</v>
      </c>
      <c r="Y307" s="156">
        <f ca="1"/>
        <v>1.7693062363334233E-3</v>
      </c>
      <c r="Z307" s="156">
        <f ca="1"/>
        <v>5.2015366664852625E-3</v>
      </c>
      <c r="AA307" s="156">
        <f ca="1"/>
        <v>9.3022836805934928E-3</v>
      </c>
      <c r="AB307" s="156">
        <f ca="1"/>
        <v>0</v>
      </c>
      <c r="AC307" s="156">
        <f ca="1"/>
        <v>2.245924542634703E-2</v>
      </c>
      <c r="AD307" s="156">
        <f ca="1"/>
        <v>3.6192227620546968E-2</v>
      </c>
      <c r="AE307" s="138">
        <f ca="1"/>
        <v>6.0333595231762627E-2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4.6422559508285666E-4</v>
      </c>
      <c r="P308" s="156">
        <f ca="1"/>
        <v>1.2425693066163701E-3</v>
      </c>
      <c r="Q308" s="156">
        <f ca="1"/>
        <v>3.8240060591129277E-3</v>
      </c>
      <c r="R308" s="156">
        <f ca="1"/>
        <v>8.3323722564101477E-3</v>
      </c>
      <c r="S308" s="156">
        <f ca="1"/>
        <v>0</v>
      </c>
      <c r="T308" s="156">
        <f ca="1"/>
        <v>1.9947896135811272E-2</v>
      </c>
      <c r="U308" s="156">
        <f ca="1"/>
        <v>3.53262054884107E-2</v>
      </c>
      <c r="V308" s="138">
        <f ca="1"/>
        <v>6.4824143268306766E-2</v>
      </c>
      <c r="W308" s="137">
        <f ca="1"/>
        <v>0</v>
      </c>
      <c r="X308" s="156">
        <f ca="1"/>
        <v>5.5704436557602044E-4</v>
      </c>
      <c r="Y308" s="156">
        <f ca="1"/>
        <v>1.4090150075465324E-3</v>
      </c>
      <c r="Z308" s="156">
        <f ca="1"/>
        <v>4.1560093867978321E-3</v>
      </c>
      <c r="AA308" s="156">
        <f ca="1"/>
        <v>8.8280821325006364E-3</v>
      </c>
      <c r="AB308" s="156">
        <f ca="1"/>
        <v>0</v>
      </c>
      <c r="AC308" s="156">
        <f ca="1"/>
        <v>2.0764266020970035E-2</v>
      </c>
      <c r="AD308" s="156">
        <f ca="1"/>
        <v>3.6476098143403912E-2</v>
      </c>
      <c r="AE308" s="138">
        <f ca="1"/>
        <v>6.6410334835719897E-2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3.7139769715544002E-4</v>
      </c>
      <c r="P309" s="156">
        <f ca="1"/>
        <v>8.8671371722182091E-4</v>
      </c>
      <c r="Q309" s="156">
        <f ca="1"/>
        <v>3.1342512747341011E-3</v>
      </c>
      <c r="R309" s="156">
        <f ca="1"/>
        <v>7.3115656659622497E-3</v>
      </c>
      <c r="S309" s="156">
        <f ca="1"/>
        <v>0</v>
      </c>
      <c r="T309" s="156">
        <f ca="1"/>
        <v>1.8275581900230375E-2</v>
      </c>
      <c r="U309" s="156">
        <f ca="1"/>
        <v>3.4330614462252163E-2</v>
      </c>
      <c r="V309" s="138">
        <f ca="1"/>
        <v>5.9509953490007095E-2</v>
      </c>
      <c r="W309" s="137">
        <f ca="1"/>
        <v>0</v>
      </c>
      <c r="X309" s="156">
        <f ca="1"/>
        <v>4.6422525135358939E-4</v>
      </c>
      <c r="Y309" s="156">
        <f ca="1"/>
        <v>1.0532187224753242E-3</v>
      </c>
      <c r="Z309" s="156">
        <f ca="1"/>
        <v>3.4664844823549812E-3</v>
      </c>
      <c r="AA309" s="156">
        <f ca="1"/>
        <v>7.8077858177647563E-3</v>
      </c>
      <c r="AB309" s="156">
        <f ca="1"/>
        <v>0</v>
      </c>
      <c r="AC309" s="156">
        <f ca="1"/>
        <v>1.9093344800125478E-2</v>
      </c>
      <c r="AD309" s="156">
        <f ca="1"/>
        <v>3.5482095181425422E-2</v>
      </c>
      <c r="AE309" s="138">
        <f ca="1"/>
        <v>6.1106534716229621E-2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4.6422559508285666E-4</v>
      </c>
      <c r="P310" s="156">
        <f ca="1"/>
        <v>1.0635183000881065E-3</v>
      </c>
      <c r="Q310" s="156">
        <f ca="1"/>
        <v>4.1822800913825509E-3</v>
      </c>
      <c r="R310" s="156">
        <f ca="1"/>
        <v>8.3222952888234447E-3</v>
      </c>
      <c r="S310" s="156">
        <f ca="1"/>
        <v>0</v>
      </c>
      <c r="T310" s="156">
        <f ca="1"/>
        <v>1.9937633159288204E-2</v>
      </c>
      <c r="U310" s="156">
        <f ca="1"/>
        <v>3.2704530148225275E-2</v>
      </c>
      <c r="V310" s="138">
        <f ca="1"/>
        <v>5.7428800019142745E-2</v>
      </c>
      <c r="W310" s="137">
        <f ca="1"/>
        <v>0</v>
      </c>
      <c r="X310" s="156">
        <f ca="1"/>
        <v>5.5704436557602044E-4</v>
      </c>
      <c r="Y310" s="156">
        <f ca="1"/>
        <v>1.2299938403631527E-3</v>
      </c>
      <c r="Z310" s="156">
        <f ca="1"/>
        <v>4.5141640142958295E-3</v>
      </c>
      <c r="AA310" s="156">
        <f ca="1"/>
        <v>8.8180102021115925E-3</v>
      </c>
      <c r="AB310" s="156">
        <f ca="1"/>
        <v>0</v>
      </c>
      <c r="AC310" s="156">
        <f ca="1"/>
        <v>2.0754011593358879E-2</v>
      </c>
      <c r="AD310" s="156">
        <f ca="1"/>
        <v>3.3856904747403549E-2</v>
      </c>
      <c r="AE310" s="138">
        <f ca="1"/>
        <v>5.9027335694872507E-2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2.7856118988234257E-4</v>
      </c>
      <c r="P311" s="156">
        <f ca="1"/>
        <v>8.8897533929943595E-4</v>
      </c>
      <c r="Q311" s="156">
        <f ca="1"/>
        <v>3.1365436147927639E-3</v>
      </c>
      <c r="R311" s="156">
        <f ca="1"/>
        <v>6.7795414453423186E-3</v>
      </c>
      <c r="S311" s="156">
        <f ca="1"/>
        <v>0</v>
      </c>
      <c r="T311" s="156">
        <f ca="1"/>
        <v>1.8316320211929193E-2</v>
      </c>
      <c r="U311" s="156">
        <f ca="1"/>
        <v>3.3064888540053183E-2</v>
      </c>
      <c r="V311" s="138">
        <f ca="1"/>
        <v>5.9729278874139258E-2</v>
      </c>
      <c r="W311" s="137">
        <f ca="1"/>
        <v>0</v>
      </c>
      <c r="X311" s="156">
        <f ca="1"/>
        <v>3.7139749276848821E-4</v>
      </c>
      <c r="Y311" s="156">
        <f ca="1"/>
        <v>1.0554799676462112E-3</v>
      </c>
      <c r="Z311" s="156">
        <f ca="1"/>
        <v>3.4687760584427574E-3</v>
      </c>
      <c r="AA311" s="156">
        <f ca="1"/>
        <v>7.276027542765684E-3</v>
      </c>
      <c r="AB311" s="156">
        <f ca="1"/>
        <v>0</v>
      </c>
      <c r="AC311" s="156">
        <f ca="1"/>
        <v>1.9134049177342294E-2</v>
      </c>
      <c r="AD311" s="156">
        <f ca="1"/>
        <v>3.4217774769322862E-2</v>
      </c>
      <c r="AE311" s="138">
        <f ca="1"/>
        <v>6.1325250363356787E-2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8.8388310322707886E-3</v>
      </c>
      <c r="P312" s="156">
        <f ca="1"/>
        <v>1.6775829591887281E-2</v>
      </c>
      <c r="Q312" s="156">
        <f ca="1"/>
        <v>3.1424842565262345E-2</v>
      </c>
      <c r="R312" s="156">
        <f ca="1"/>
        <v>4.5382213630185464E-2</v>
      </c>
      <c r="S312" s="156">
        <f ca="1"/>
        <v>0</v>
      </c>
      <c r="T312" s="156">
        <f ca="1"/>
        <v>6.9905546882049974E-2</v>
      </c>
      <c r="U312" s="156">
        <f ca="1"/>
        <v>9.6359371732344434E-2</v>
      </c>
      <c r="V312" s="138">
        <f ca="1"/>
        <v>0.13467684828499726</v>
      </c>
      <c r="W312" s="137">
        <f ca="1"/>
        <v>0</v>
      </c>
      <c r="X312" s="156">
        <f ca="1"/>
        <v>8.9306596807289251E-3</v>
      </c>
      <c r="Y312" s="156">
        <f ca="1"/>
        <v>1.6939686631813777E-2</v>
      </c>
      <c r="Z312" s="156">
        <f ca="1"/>
        <v>3.1747647147328584E-2</v>
      </c>
      <c r="AA312" s="156">
        <f ca="1"/>
        <v>4.585940321601889E-2</v>
      </c>
      <c r="AB312" s="156">
        <f ca="1"/>
        <v>0</v>
      </c>
      <c r="AC312" s="156">
        <f ca="1"/>
        <v>7.0680302733196032E-2</v>
      </c>
      <c r="AD312" s="156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1.5658991619381668E-3</v>
      </c>
      <c r="P313" s="156">
        <f ca="1"/>
        <v>3.9873918131383412E-3</v>
      </c>
      <c r="Q313" s="156">
        <f ca="1"/>
        <v>1.1686029942564846E-2</v>
      </c>
      <c r="R313" s="156">
        <f ca="1"/>
        <v>2.16032962273911E-2</v>
      </c>
      <c r="S313" s="156">
        <f ca="1"/>
        <v>0</v>
      </c>
      <c r="T313" s="156">
        <f ca="1"/>
        <v>4.7983677625695109E-2</v>
      </c>
      <c r="U313" s="156">
        <f ca="1"/>
        <v>7.2500906070267379E-2</v>
      </c>
      <c r="V313" s="138">
        <f ca="1"/>
        <v>0.11065933652016813</v>
      </c>
      <c r="W313" s="137">
        <f ca="1"/>
        <v>0</v>
      </c>
      <c r="X313" s="156">
        <f ca="1"/>
        <v>1.6354324910922147E-3</v>
      </c>
      <c r="Y313" s="156">
        <f ca="1"/>
        <v>4.1118856081472366E-3</v>
      </c>
      <c r="Z313" s="156">
        <f ca="1"/>
        <v>1.1933077552842009E-2</v>
      </c>
      <c r="AA313" s="156">
        <f ca="1"/>
        <v>2.1970126206398932E-2</v>
      </c>
      <c r="AB313" s="156">
        <f ca="1"/>
        <v>0</v>
      </c>
      <c r="AC313" s="156">
        <f ca="1"/>
        <v>4.8578501925196527E-2</v>
      </c>
      <c r="AD313" s="156">
        <f ca="1"/>
        <v>7.3312112822758624E-2</v>
      </c>
      <c r="AE313" s="138">
        <f ca="1"/>
        <v>0.11180211961315012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3.5331561876147388E-3</v>
      </c>
      <c r="Q314" s="156">
        <f ca="1"/>
        <v>0</v>
      </c>
      <c r="R314" s="156">
        <f ca="1"/>
        <v>1.7986605596824967E-2</v>
      </c>
      <c r="S314" s="156">
        <f ca="1"/>
        <v>0</v>
      </c>
      <c r="T314" s="156">
        <f ca="1"/>
        <v>3.8400796339108756E-2</v>
      </c>
      <c r="U314" s="156">
        <f ca="1"/>
        <v>6.5844168905297651E-2</v>
      </c>
      <c r="V314" s="138">
        <f ca="1"/>
        <v>0.11067780241428482</v>
      </c>
      <c r="W314" s="137">
        <f ca="1"/>
        <v>0</v>
      </c>
      <c r="X314" s="156">
        <f ca="1"/>
        <v>0</v>
      </c>
      <c r="Y314" s="156">
        <f ca="1"/>
        <v>3.69922015586166E-3</v>
      </c>
      <c r="Z314" s="156">
        <f ca="1"/>
        <v>0</v>
      </c>
      <c r="AA314" s="156">
        <f ca="1"/>
        <v>1.8477489562816363E-2</v>
      </c>
      <c r="AB314" s="156">
        <f ca="1"/>
        <v>0</v>
      </c>
      <c r="AC314" s="156">
        <f ca="1"/>
        <v>3.9201795212966295E-2</v>
      </c>
      <c r="AD314" s="156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6">
        <f ca="1"/>
        <v>8.3544458725770543E-4</v>
      </c>
      <c r="P315" s="156">
        <f ca="1"/>
        <v>2.1283168625521043E-3</v>
      </c>
      <c r="Q315" s="156">
        <f ca="1"/>
        <v>5.1911423843445936E-3</v>
      </c>
      <c r="R315" s="156">
        <f ca="1"/>
        <v>1.0894740581438467E-2</v>
      </c>
      <c r="S315" s="156">
        <f ca="1"/>
        <v>1.7632782098249256E-2</v>
      </c>
      <c r="T315" s="156">
        <f ca="1"/>
        <v>2.6000106940724077E-2</v>
      </c>
      <c r="U315" s="156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6">
        <f ca="1"/>
        <v>9.0503326303814635E-4</v>
      </c>
      <c r="Y315" s="156">
        <f ca="1"/>
        <v>2.2530430274005919E-3</v>
      </c>
      <c r="Z315" s="156">
        <f ca="1"/>
        <v>5.4398135135439452E-3</v>
      </c>
      <c r="AA315" s="156">
        <f ca="1"/>
        <v>1.1265585515951804E-2</v>
      </c>
      <c r="AB315" s="156">
        <f ca="1"/>
        <v>1.8123842931755951E-2</v>
      </c>
      <c r="AC315" s="156">
        <f ca="1"/>
        <v>2.660866667915629E-2</v>
      </c>
      <c r="AD315" s="156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9.6070865831099361E-4</v>
      </c>
      <c r="P316" s="156">
        <f ca="1"/>
        <v>2.8228866530979335E-3</v>
      </c>
      <c r="Q316" s="156">
        <f ca="1"/>
        <v>8.1152349247608502E-3</v>
      </c>
      <c r="R316" s="156">
        <f ca="1"/>
        <v>1.5195525352403427E-2</v>
      </c>
      <c r="S316" s="156">
        <f ca="1"/>
        <v>0</v>
      </c>
      <c r="T316" s="156">
        <f ca="1"/>
        <v>3.2779922218145852E-2</v>
      </c>
      <c r="U316" s="156">
        <f ca="1"/>
        <v>5.210356310633546E-2</v>
      </c>
      <c r="V316" s="138">
        <f ca="1"/>
        <v>8.248142715538509E-2</v>
      </c>
      <c r="W316" s="137">
        <f ca="1"/>
        <v>0</v>
      </c>
      <c r="X316" s="156">
        <f ca="1"/>
        <v>1.0302874150616148E-3</v>
      </c>
      <c r="Y316" s="156">
        <f ca="1"/>
        <v>2.9475260021386562E-3</v>
      </c>
      <c r="Z316" s="156">
        <f ca="1"/>
        <v>8.3631751222135176E-3</v>
      </c>
      <c r="AA316" s="156">
        <f ca="1"/>
        <v>1.5564757794979234E-2</v>
      </c>
      <c r="AB316" s="156">
        <f ca="1"/>
        <v>0</v>
      </c>
      <c r="AC316" s="156">
        <f ca="1"/>
        <v>3.3384245895943798E-2</v>
      </c>
      <c r="AD316" s="156">
        <f ca="1"/>
        <v>5.2949752534532601E-2</v>
      </c>
      <c r="AE316" s="138">
        <f ca="1"/>
        <v>8.3627608858686253E-2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1.0511626882298009E-3</v>
      </c>
      <c r="P317" s="156">
        <f ca="1"/>
        <v>2.8340098059057572E-3</v>
      </c>
      <c r="Q317" s="156">
        <f ca="1"/>
        <v>7.6646777178185355E-3</v>
      </c>
      <c r="R317" s="156">
        <f ca="1"/>
        <v>1.4296870481931068E-2</v>
      </c>
      <c r="S317" s="156">
        <f ca="1"/>
        <v>0</v>
      </c>
      <c r="T317" s="156">
        <f ca="1"/>
        <v>3.2200369144765317E-2</v>
      </c>
      <c r="U317" s="156">
        <f ca="1"/>
        <v>5.1101180536668345E-2</v>
      </c>
      <c r="V317" s="138">
        <f ca="1"/>
        <v>7.9942978592421166E-2</v>
      </c>
      <c r="W317" s="137">
        <f ca="1"/>
        <v>0</v>
      </c>
      <c r="X317" s="156">
        <f ca="1"/>
        <v>1.1207347614458074E-3</v>
      </c>
      <c r="Y317" s="156">
        <f ca="1"/>
        <v>2.958647764647715E-3</v>
      </c>
      <c r="Z317" s="156">
        <f ca="1"/>
        <v>7.9127305404944615E-3</v>
      </c>
      <c r="AA317" s="156">
        <f ca="1"/>
        <v>1.4666439856895197E-2</v>
      </c>
      <c r="AB317" s="156">
        <f ca="1"/>
        <v>0</v>
      </c>
      <c r="AC317" s="156">
        <f ca="1"/>
        <v>3.2805054930080568E-2</v>
      </c>
      <c r="AD317" s="156">
        <f ca="1"/>
        <v>5.1948455419480011E-2</v>
      </c>
      <c r="AE317" s="138">
        <f ca="1"/>
        <v>8.1092331374031712E-2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2.1796574615333686E-3</v>
      </c>
      <c r="Q318" s="156">
        <f ca="1"/>
        <v>0</v>
      </c>
      <c r="R318" s="156">
        <f ca="1"/>
        <v>1.2984618522474789E-2</v>
      </c>
      <c r="S318" s="156">
        <f ca="1"/>
        <v>0</v>
      </c>
      <c r="T318" s="156">
        <f ca="1"/>
        <v>3.1479115254186008E-2</v>
      </c>
      <c r="U318" s="156">
        <f ca="1"/>
        <v>4.5209456416744009E-2</v>
      </c>
      <c r="V318" s="138">
        <f ca="1"/>
        <v>6.7186281121101699E-2</v>
      </c>
      <c r="W318" s="137">
        <f ca="1"/>
        <v>0</v>
      </c>
      <c r="X318" s="156">
        <f ca="1"/>
        <v>0</v>
      </c>
      <c r="Y318" s="156">
        <f ca="1"/>
        <v>2.3459469940955158E-3</v>
      </c>
      <c r="Z318" s="156">
        <f ca="1"/>
        <v>0</v>
      </c>
      <c r="AA318" s="156">
        <f ca="1"/>
        <v>1.34780028568523E-2</v>
      </c>
      <c r="AB318" s="156">
        <f ca="1"/>
        <v>0</v>
      </c>
      <c r="AC318" s="156">
        <f ca="1"/>
        <v>3.2285879792922079E-2</v>
      </c>
      <c r="AD318" s="156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1.1137760432816668E-3</v>
      </c>
      <c r="P319" s="156">
        <f ca="1"/>
        <v>2.5238745536843021E-3</v>
      </c>
      <c r="Q319" s="156">
        <f ca="1"/>
        <v>6.4882845396582178E-3</v>
      </c>
      <c r="R319" s="156">
        <f ca="1"/>
        <v>1.160860485568338E-2</v>
      </c>
      <c r="S319" s="156">
        <f ca="1"/>
        <v>0</v>
      </c>
      <c r="T319" s="156">
        <f ca="1"/>
        <v>2.3779303322931433E-2</v>
      </c>
      <c r="U319" s="156">
        <f ca="1"/>
        <v>3.4806064876480969E-2</v>
      </c>
      <c r="V319" s="138">
        <f ca="1"/>
        <v>5.0417350502901637E-2</v>
      </c>
      <c r="W319" s="137">
        <f ca="1"/>
        <v>0</v>
      </c>
      <c r="X319" s="156">
        <f ca="1"/>
        <v>1.1833432252864595E-3</v>
      </c>
      <c r="Y319" s="156">
        <f ca="1"/>
        <v>2.6485512769146569E-3</v>
      </c>
      <c r="Z319" s="156">
        <f ca="1"/>
        <v>6.7366314238509473E-3</v>
      </c>
      <c r="AA319" s="156">
        <f ca="1"/>
        <v>1.1979182141280353E-2</v>
      </c>
      <c r="AB319" s="156">
        <f ca="1"/>
        <v>0</v>
      </c>
      <c r="AC319" s="156">
        <f ca="1"/>
        <v>2.4389250629932024E-2</v>
      </c>
      <c r="AD319" s="156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1.683176716876067E-2</v>
      </c>
      <c r="U320" s="156">
        <f ca="1"/>
        <v>4.4741892042063025E-2</v>
      </c>
      <c r="V320" s="138">
        <f ca="1"/>
        <v>8.7342677734179364E-2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1.7650732746463338E-2</v>
      </c>
      <c r="AD320" s="156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1.1045035398281611E-3</v>
      </c>
      <c r="P321" s="156">
        <f ca="1"/>
        <v>2.5330600788711077E-3</v>
      </c>
      <c r="Q321" s="156">
        <f ca="1"/>
        <v>6.6113198627973935E-3</v>
      </c>
      <c r="R321" s="156">
        <f ca="1"/>
        <v>1.1975257829312191E-2</v>
      </c>
      <c r="S321" s="156">
        <f ca="1"/>
        <v>0</v>
      </c>
      <c r="T321" s="156">
        <f ca="1"/>
        <v>2.663662308405168E-2</v>
      </c>
      <c r="U321" s="156">
        <f ca="1"/>
        <v>4.2043040934403919E-2</v>
      </c>
      <c r="V321" s="138">
        <f ca="1"/>
        <v>6.6361284367140949E-2</v>
      </c>
      <c r="W321" s="137">
        <f ca="1"/>
        <v>0</v>
      </c>
      <c r="X321" s="156">
        <f ca="1"/>
        <v>1.1972607168343474E-3</v>
      </c>
      <c r="Y321" s="156">
        <f ca="1"/>
        <v>2.6992907159224533E-3</v>
      </c>
      <c r="Z321" s="156">
        <f ca="1"/>
        <v>6.9423942407298433E-3</v>
      </c>
      <c r="AA321" s="156">
        <f ca="1"/>
        <v>1.2469146717874136E-2</v>
      </c>
      <c r="AB321" s="156">
        <f ca="1"/>
        <v>0</v>
      </c>
      <c r="AC321" s="156">
        <f ca="1"/>
        <v>2.7447421351942669E-2</v>
      </c>
      <c r="AD321" s="156">
        <f ca="1"/>
        <v>4.3183984697328315E-2</v>
      </c>
      <c r="AE321" s="138">
        <f ca="1"/>
        <v>6.7942470509798514E-2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4.6422559508285666E-4</v>
      </c>
      <c r="P322" s="156">
        <f ca="1"/>
        <v>1.4216052903200938E-3</v>
      </c>
      <c r="Q322" s="156">
        <f ca="1"/>
        <v>4.1698750968857112E-3</v>
      </c>
      <c r="R322" s="156">
        <f ca="1"/>
        <v>8.3097435647113693E-3</v>
      </c>
      <c r="S322" s="156">
        <f ca="1"/>
        <v>0</v>
      </c>
      <c r="T322" s="156">
        <f ca="1"/>
        <v>2.261819186603764E-2</v>
      </c>
      <c r="U322" s="156">
        <f ca="1"/>
        <v>3.8938418556627497E-2</v>
      </c>
      <c r="V322" s="138">
        <f ca="1"/>
        <v>6.2055557378828174E-2</v>
      </c>
      <c r="W322" s="137">
        <f ca="1"/>
        <v>0</v>
      </c>
      <c r="X322" s="156">
        <f ca="1"/>
        <v>5.5704436557602044E-4</v>
      </c>
      <c r="Y322" s="156">
        <f ca="1"/>
        <v>1.5880211543956024E-3</v>
      </c>
      <c r="Z322" s="156">
        <f ca="1"/>
        <v>4.5017631540871239E-3</v>
      </c>
      <c r="AA322" s="156">
        <f ca="1"/>
        <v>8.805464752301817E-3</v>
      </c>
      <c r="AB322" s="156">
        <f ca="1"/>
        <v>0</v>
      </c>
      <c r="AC322" s="156">
        <f ca="1"/>
        <v>2.3432337431722794E-2</v>
      </c>
      <c r="AD322" s="156">
        <f ca="1"/>
        <v>4.00844755432328E-2</v>
      </c>
      <c r="AE322" s="138">
        <f ca="1"/>
        <v>6.3646706715448809E-2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1.0612503088222036E-3</v>
      </c>
      <c r="Q323" s="156">
        <f ca="1"/>
        <v>0</v>
      </c>
      <c r="R323" s="156">
        <f ca="1"/>
        <v>6.2084733739914411E-3</v>
      </c>
      <c r="S323" s="156">
        <f ca="1"/>
        <v>0</v>
      </c>
      <c r="T323" s="156">
        <f ca="1"/>
        <v>1.8353535802916321E-2</v>
      </c>
      <c r="U323" s="156">
        <f ca="1"/>
        <v>3.7178146484859287E-2</v>
      </c>
      <c r="V323" s="138">
        <f ca="1"/>
        <v>7.3411360212066179E-2</v>
      </c>
      <c r="W323" s="137">
        <f ca="1"/>
        <v>0</v>
      </c>
      <c r="X323" s="156">
        <f ca="1"/>
        <v>0</v>
      </c>
      <c r="Y323" s="156">
        <f ca="1"/>
        <v>1.227726227069903E-3</v>
      </c>
      <c r="Z323" s="156">
        <f ca="1"/>
        <v>0</v>
      </c>
      <c r="AA323" s="156">
        <f ca="1"/>
        <v>6.7052449340427867E-3</v>
      </c>
      <c r="AB323" s="156">
        <f ca="1"/>
        <v>0</v>
      </c>
      <c r="AC323" s="156">
        <f ca="1"/>
        <v>1.9171233768265128E-2</v>
      </c>
      <c r="AD323" s="156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2.7856118988234257E-4</v>
      </c>
      <c r="P324" s="156">
        <f ca="1"/>
        <v>8.8897533929943595E-4</v>
      </c>
      <c r="Q324" s="156">
        <f ca="1"/>
        <v>3.4887932217072537E-3</v>
      </c>
      <c r="R324" s="156">
        <f ca="1"/>
        <v>7.8318588667354305E-3</v>
      </c>
      <c r="S324" s="156">
        <f ca="1"/>
        <v>0</v>
      </c>
      <c r="T324" s="156">
        <f ca="1"/>
        <v>2.0020742162318528E-2</v>
      </c>
      <c r="U324" s="156">
        <f ca="1"/>
        <v>3.5399872321176806E-2</v>
      </c>
      <c r="V324" s="138">
        <f ca="1"/>
        <v>5.9095183294807563E-2</v>
      </c>
      <c r="W324" s="137">
        <f ca="1"/>
        <v>0</v>
      </c>
      <c r="X324" s="156">
        <f ca="1"/>
        <v>3.7139749276848821E-4</v>
      </c>
      <c r="Y324" s="156">
        <f ca="1"/>
        <v>1.0554799676462112E-3</v>
      </c>
      <c r="Z324" s="156">
        <f ca="1"/>
        <v>3.8209082684037554E-3</v>
      </c>
      <c r="AA324" s="156">
        <f ca="1"/>
        <v>8.3278189369587752E-3</v>
      </c>
      <c r="AB324" s="156">
        <f ca="1"/>
        <v>0</v>
      </c>
      <c r="AC324" s="156">
        <f ca="1"/>
        <v>2.0837051367791459E-2</v>
      </c>
      <c r="AD324" s="156">
        <f ca="1"/>
        <v>3.6549983401938269E-2</v>
      </c>
      <c r="AE324" s="138">
        <f ca="1"/>
        <v>6.0691875518401828E-2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8.7738040544427243E-4</v>
      </c>
      <c r="Q325" s="156">
        <f ca="1"/>
        <v>0</v>
      </c>
      <c r="R325" s="156">
        <f ca="1"/>
        <v>6.6919886509649862E-3</v>
      </c>
      <c r="S325" s="156">
        <f ca="1"/>
        <v>0</v>
      </c>
      <c r="T325" s="156">
        <f ca="1"/>
        <v>1.8769266413871999E-2</v>
      </c>
      <c r="U325" s="156">
        <f ca="1"/>
        <v>3.2770631846642972E-2</v>
      </c>
      <c r="V325" s="138">
        <f ca="1"/>
        <v>5.6154722729843787E-2</v>
      </c>
      <c r="W325" s="137">
        <f ca="1"/>
        <v>0</v>
      </c>
      <c r="X325" s="156">
        <f ca="1"/>
        <v>0</v>
      </c>
      <c r="Y325" s="156">
        <f ca="1"/>
        <v>1.0438869661218986E-3</v>
      </c>
      <c r="Z325" s="156">
        <f ca="1"/>
        <v>0</v>
      </c>
      <c r="AA325" s="156">
        <f ca="1"/>
        <v>7.1885185138680363E-3</v>
      </c>
      <c r="AB325" s="156">
        <f ca="1"/>
        <v>0</v>
      </c>
      <c r="AC325" s="156">
        <f ca="1"/>
        <v>1.958661808139095E-2</v>
      </c>
      <c r="AD325" s="156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4.7250064741137798E-3</v>
      </c>
      <c r="P326" s="156">
        <f ca="1"/>
        <v>8.9847555022402048E-3</v>
      </c>
      <c r="Q326" s="156">
        <f ca="1"/>
        <v>1.7430097280952905E-2</v>
      </c>
      <c r="R326" s="156">
        <f ca="1"/>
        <v>2.8280058915632011E-2</v>
      </c>
      <c r="S326" s="156">
        <f ca="1"/>
        <v>0</v>
      </c>
      <c r="T326" s="156">
        <f ca="1"/>
        <v>5.0095338900820852E-2</v>
      </c>
      <c r="U326" s="156">
        <f ca="1"/>
        <v>7.173347829829102E-2</v>
      </c>
      <c r="V326" s="138">
        <f ca="1"/>
        <v>0.10206853165762142</v>
      </c>
      <c r="W326" s="137">
        <f ca="1"/>
        <v>0</v>
      </c>
      <c r="X326" s="156">
        <f ca="1"/>
        <v>4.8173763948285986E-3</v>
      </c>
      <c r="Y326" s="156">
        <f ca="1"/>
        <v>9.1499109463203387E-3</v>
      </c>
      <c r="Z326" s="156">
        <f ca="1"/>
        <v>1.7757566000687897E-2</v>
      </c>
      <c r="AA326" s="156">
        <f ca="1"/>
        <v>2.8765797441442698E-2</v>
      </c>
      <c r="AB326" s="156">
        <f ca="1"/>
        <v>0</v>
      </c>
      <c r="AC326" s="156">
        <f ca="1"/>
        <v>5.088659638201054E-2</v>
      </c>
      <c r="AD326" s="156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2.1655305295348315E-3</v>
      </c>
      <c r="Q327" s="156">
        <f ca="1"/>
        <v>0</v>
      </c>
      <c r="R327" s="156">
        <f ca="1"/>
        <v>1.2642494209117117E-2</v>
      </c>
      <c r="S327" s="156">
        <f ca="1"/>
        <v>0</v>
      </c>
      <c r="T327" s="156">
        <f ca="1"/>
        <v>4.2706397069410817E-2</v>
      </c>
      <c r="U327" s="156">
        <f ca="1"/>
        <v>6.7889266660983938E-2</v>
      </c>
      <c r="V327" s="138">
        <f ca="1"/>
        <v>0.10817212843031399</v>
      </c>
      <c r="W327" s="137">
        <f ca="1"/>
        <v>0</v>
      </c>
      <c r="X327" s="156">
        <f ca="1"/>
        <v>0</v>
      </c>
      <c r="Y327" s="156">
        <f ca="1"/>
        <v>2.3318224164156076E-3</v>
      </c>
      <c r="Z327" s="156">
        <f ca="1"/>
        <v>0</v>
      </c>
      <c r="AA327" s="156">
        <f ca="1"/>
        <v>1.3136049562856522E-2</v>
      </c>
      <c r="AB327" s="156">
        <f ca="1"/>
        <v>0</v>
      </c>
      <c r="AC327" s="156">
        <f ca="1"/>
        <v>4.3503809437220764E-2</v>
      </c>
      <c r="AD327" s="156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6.5449587592181224E-4</v>
      </c>
      <c r="P328" s="156">
        <f ca="1"/>
        <v>1.3408380081098015E-3</v>
      </c>
      <c r="Q328" s="156">
        <f ca="1"/>
        <v>5.249925852454318E-3</v>
      </c>
      <c r="R328" s="156">
        <f ca="1"/>
        <v>1.1764385127325139E-2</v>
      </c>
      <c r="S328" s="156">
        <f ca="1"/>
        <v>0</v>
      </c>
      <c r="T328" s="156">
        <f ca="1"/>
        <v>3.125628312944928E-2</v>
      </c>
      <c r="U328" s="156">
        <f ca="1"/>
        <v>4.9698751143599118E-2</v>
      </c>
      <c r="V328" s="138">
        <f ca="1"/>
        <v>7.9318647456582347E-2</v>
      </c>
      <c r="W328" s="137">
        <f ca="1"/>
        <v>0</v>
      </c>
      <c r="X328" s="156">
        <f ca="1"/>
        <v>7.2409699033137986E-4</v>
      </c>
      <c r="Y328" s="156">
        <f ca="1"/>
        <v>1.4656626016679164E-3</v>
      </c>
      <c r="Z328" s="156">
        <f ca="1"/>
        <v>5.4985822876268964E-3</v>
      </c>
      <c r="AA328" s="156">
        <f ca="1"/>
        <v>1.2134904006283476E-2</v>
      </c>
      <c r="AB328" s="156">
        <f ca="1"/>
        <v>0</v>
      </c>
      <c r="AC328" s="156">
        <f ca="1"/>
        <v>3.1861558784111677E-2</v>
      </c>
      <c r="AD328" s="156">
        <f ca="1"/>
        <v>5.054832160917877E-2</v>
      </c>
      <c r="AE328" s="138">
        <f ca="1"/>
        <v>8.046878016452319E-2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8.8416424624260248E-4</v>
      </c>
      <c r="P329" s="156">
        <f ca="1"/>
        <v>2.3820695678495873E-3</v>
      </c>
      <c r="Q329" s="156">
        <f ca="1"/>
        <v>6.7367269823676024E-3</v>
      </c>
      <c r="R329" s="156">
        <f ca="1"/>
        <v>1.2726729144550308E-2</v>
      </c>
      <c r="S329" s="156">
        <f ca="1"/>
        <v>0</v>
      </c>
      <c r="T329" s="156">
        <f ca="1"/>
        <v>2.9714967796000913E-2</v>
      </c>
      <c r="U329" s="156">
        <f ca="1"/>
        <v>4.7890244451058828E-2</v>
      </c>
      <c r="V329" s="138">
        <f ca="1"/>
        <v>7.5197822038464368E-2</v>
      </c>
      <c r="W329" s="137">
        <f ca="1"/>
        <v>0</v>
      </c>
      <c r="X329" s="156">
        <f ca="1"/>
        <v>9.5374863033603763E-4</v>
      </c>
      <c r="Y329" s="156">
        <f ca="1"/>
        <v>2.5067640155873594E-3</v>
      </c>
      <c r="Z329" s="156">
        <f ca="1"/>
        <v>6.9850117637417775E-3</v>
      </c>
      <c r="AA329" s="156">
        <f ca="1"/>
        <v>1.3096887212139308E-2</v>
      </c>
      <c r="AB329" s="156">
        <f ca="1"/>
        <v>0</v>
      </c>
      <c r="AC329" s="156">
        <f ca="1"/>
        <v>3.0321206471778717E-2</v>
      </c>
      <c r="AD329" s="156">
        <f ca="1"/>
        <v>4.8740670871747938E-2</v>
      </c>
      <c r="AE329" s="138">
        <f ca="1"/>
        <v>7.6353102560186126E-2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6.5449587592181224E-4</v>
      </c>
      <c r="P330" s="156">
        <f ca="1"/>
        <v>2.2133723352194545E-3</v>
      </c>
      <c r="Q330" s="156">
        <f ca="1"/>
        <v>6.696085356039716E-3</v>
      </c>
      <c r="R330" s="156">
        <f ca="1"/>
        <v>1.3340583955285479E-2</v>
      </c>
      <c r="S330" s="156">
        <f ca="1"/>
        <v>0</v>
      </c>
      <c r="T330" s="156">
        <f ca="1"/>
        <v>3.1024303220221872E-2</v>
      </c>
      <c r="U330" s="156">
        <f ca="1"/>
        <v>5.0145613091898356E-2</v>
      </c>
      <c r="V330" s="138">
        <f ca="1"/>
        <v>7.8991065962616402E-2</v>
      </c>
      <c r="W330" s="137">
        <f ca="1"/>
        <v>0</v>
      </c>
      <c r="X330" s="156">
        <f ca="1"/>
        <v>7.2409699033137986E-4</v>
      </c>
      <c r="Y330" s="156">
        <f ca="1"/>
        <v>2.3380878687949691E-3</v>
      </c>
      <c r="Z330" s="156">
        <f ca="1"/>
        <v>6.9443802965584167E-3</v>
      </c>
      <c r="AA330" s="156">
        <f ca="1"/>
        <v>1.3710511870483E-2</v>
      </c>
      <c r="AB330" s="156">
        <f ca="1"/>
        <v>0</v>
      </c>
      <c r="AC330" s="156">
        <f ca="1"/>
        <v>3.1629723817068855E-2</v>
      </c>
      <c r="AD330" s="156">
        <f ca="1"/>
        <v>5.0994093812540831E-2</v>
      </c>
      <c r="AE330" s="138">
        <f ca="1"/>
        <v>8.0141607891655364E-2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7.7281646707649809E-4</v>
      </c>
      <c r="P331" s="156">
        <f ca="1"/>
        <v>2.3043500809305506E-3</v>
      </c>
      <c r="Q331" s="156">
        <f ca="1"/>
        <v>6.7424386070746856E-3</v>
      </c>
      <c r="R331" s="156">
        <f ca="1"/>
        <v>1.301208977492907E-2</v>
      </c>
      <c r="S331" s="156">
        <f ca="1"/>
        <v>0</v>
      </c>
      <c r="T331" s="156">
        <f ca="1"/>
        <v>3.1039182199124493E-2</v>
      </c>
      <c r="U331" s="156">
        <f ca="1"/>
        <v>5.0257541229738245E-2</v>
      </c>
      <c r="V331" s="138">
        <f ca="1"/>
        <v>7.8992155374316253E-2</v>
      </c>
      <c r="W331" s="137">
        <f ca="1"/>
        <v>0</v>
      </c>
      <c r="X331" s="156">
        <f ca="1"/>
        <v>8.424089910727961E-4</v>
      </c>
      <c r="Y331" s="156">
        <f ca="1"/>
        <v>2.4290542429902251E-3</v>
      </c>
      <c r="Z331" s="156">
        <f ca="1"/>
        <v>6.990721960712154E-3</v>
      </c>
      <c r="AA331" s="156">
        <f ca="1"/>
        <v>1.3382140852351565E-2</v>
      </c>
      <c r="AB331" s="156">
        <f ca="1"/>
        <v>0</v>
      </c>
      <c r="AC331" s="156">
        <f ca="1"/>
        <v>3.16445934995504E-2</v>
      </c>
      <c r="AD331" s="156">
        <f ca="1"/>
        <v>5.1105962494682022E-2</v>
      </c>
      <c r="AE331" s="138">
        <f ca="1"/>
        <v>8.0142695942457598E-2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7.3801774528492459E-4</v>
      </c>
      <c r="P332" s="156">
        <f ca="1"/>
        <v>2.0368112852880982E-3</v>
      </c>
      <c r="Q332" s="156">
        <f ca="1"/>
        <v>6.4365175775810135E-3</v>
      </c>
      <c r="R332" s="156">
        <f ca="1"/>
        <v>1.2798205130891249E-2</v>
      </c>
      <c r="S332" s="156">
        <f ca="1"/>
        <v>0</v>
      </c>
      <c r="T332" s="156">
        <f ca="1"/>
        <v>3.0414104277841858E-2</v>
      </c>
      <c r="U332" s="156">
        <f ca="1"/>
        <v>4.8820114874186693E-2</v>
      </c>
      <c r="V332" s="138">
        <f ca="1"/>
        <v>7.6456534561247458E-2</v>
      </c>
      <c r="W332" s="137">
        <f ca="1"/>
        <v>0</v>
      </c>
      <c r="X332" s="156">
        <f ca="1"/>
        <v>8.0761280202745755E-4</v>
      </c>
      <c r="Y332" s="156">
        <f ca="1"/>
        <v>2.1615488876102207E-3</v>
      </c>
      <c r="Z332" s="156">
        <f ca="1"/>
        <v>6.6848774018953838E-3</v>
      </c>
      <c r="AA332" s="156">
        <f ca="1"/>
        <v>1.3168336400009806E-2</v>
      </c>
      <c r="AB332" s="156">
        <f ca="1"/>
        <v>0</v>
      </c>
      <c r="AC332" s="156">
        <f ca="1"/>
        <v>3.1019906129865271E-2</v>
      </c>
      <c r="AD332" s="156">
        <f ca="1"/>
        <v>4.9669878953806923E-2</v>
      </c>
      <c r="AE332" s="138">
        <f ca="1"/>
        <v>7.7610242675210328E-2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1.0673971614578726E-3</v>
      </c>
      <c r="P333" s="156">
        <f ca="1"/>
        <v>3.2136322455901256E-3</v>
      </c>
      <c r="Q333" s="156">
        <f ca="1"/>
        <v>9.7126039117522156E-3</v>
      </c>
      <c r="R333" s="156">
        <f ca="1"/>
        <v>1.8074490973155943E-2</v>
      </c>
      <c r="S333" s="156">
        <f ca="1"/>
        <v>0</v>
      </c>
      <c r="T333" s="156">
        <f ca="1"/>
        <v>3.9345230099660067E-2</v>
      </c>
      <c r="U333" s="156">
        <f ca="1"/>
        <v>6.1784590914189641E-2</v>
      </c>
      <c r="V333" s="138">
        <f ca="1"/>
        <v>9.5542603353518163E-2</v>
      </c>
      <c r="W333" s="137">
        <f ca="1"/>
        <v>0</v>
      </c>
      <c r="X333" s="156">
        <f ca="1"/>
        <v>1.1601579573663479E-3</v>
      </c>
      <c r="Y333" s="156">
        <f ca="1"/>
        <v>3.3797494633945879E-3</v>
      </c>
      <c r="Z333" s="156">
        <f ca="1"/>
        <v>1.0042644700607006E-2</v>
      </c>
      <c r="AA333" s="156">
        <f ca="1"/>
        <v>1.8565331007447616E-2</v>
      </c>
      <c r="AB333" s="156">
        <f ca="1"/>
        <v>0</v>
      </c>
      <c r="AC333" s="156">
        <f ca="1"/>
        <v>4.0145442273231025E-2</v>
      </c>
      <c r="AD333" s="156">
        <f ca="1"/>
        <v>6.290220772036148E-2</v>
      </c>
      <c r="AE333" s="138">
        <f ca="1"/>
        <v>9.7048776854683383E-2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1.1346475103697351E-3</v>
      </c>
      <c r="P334" s="156">
        <f ca="1"/>
        <v>2.4428531113326324E-3</v>
      </c>
      <c r="Q334" s="156">
        <f ca="1"/>
        <v>5.8051987668507055E-3</v>
      </c>
      <c r="R334" s="156">
        <f ca="1"/>
        <v>1.0844584628916687E-2</v>
      </c>
      <c r="S334" s="156">
        <f ca="1"/>
        <v>0</v>
      </c>
      <c r="T334" s="156">
        <f ca="1"/>
        <v>2.9950005492322851E-2</v>
      </c>
      <c r="U334" s="156">
        <f ca="1"/>
        <v>4.4466230000594686E-2</v>
      </c>
      <c r="V334" s="138">
        <f ca="1"/>
        <v>7.0408736030547536E-2</v>
      </c>
      <c r="W334" s="137">
        <f ca="1"/>
        <v>0</v>
      </c>
      <c r="X334" s="156">
        <f ca="1"/>
        <v>1.2042131390685995E-3</v>
      </c>
      <c r="Y334" s="156">
        <f ca="1"/>
        <v>2.567539961605303E-3</v>
      </c>
      <c r="Z334" s="156">
        <f ca="1"/>
        <v>6.0537164011748024E-3</v>
      </c>
      <c r="AA334" s="156">
        <f ca="1"/>
        <v>1.1215448368394498E-2</v>
      </c>
      <c r="AB334" s="156">
        <f ca="1"/>
        <v>0</v>
      </c>
      <c r="AC334" s="156">
        <f ca="1"/>
        <v>3.0556097315503683E-2</v>
      </c>
      <c r="AD334" s="156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3.0921898606319775E-3</v>
      </c>
      <c r="Q335" s="156">
        <f ca="1"/>
        <v>0</v>
      </c>
      <c r="R335" s="156">
        <f ca="1"/>
        <v>1.6725507971011355E-2</v>
      </c>
      <c r="S335" s="156">
        <f ca="1"/>
        <v>0</v>
      </c>
      <c r="T335" s="156">
        <f ca="1"/>
        <v>3.6350799916140542E-2</v>
      </c>
      <c r="U335" s="156">
        <f ca="1"/>
        <v>5.5221034145349401E-2</v>
      </c>
      <c r="V335" s="138">
        <f ca="1"/>
        <v>8.2956504628652783E-2</v>
      </c>
      <c r="W335" s="137">
        <f ca="1"/>
        <v>0</v>
      </c>
      <c r="X335" s="156">
        <f ca="1"/>
        <v>0</v>
      </c>
      <c r="Y335" s="156">
        <f ca="1"/>
        <v>3.2583273171491456E-3</v>
      </c>
      <c r="Z335" s="156">
        <f ca="1"/>
        <v>0</v>
      </c>
      <c r="AA335" s="156">
        <f ca="1"/>
        <v>1.7217022328224862E-2</v>
      </c>
      <c r="AB335" s="156">
        <f ca="1"/>
        <v>0</v>
      </c>
      <c r="AC335" s="156">
        <f ca="1"/>
        <v>3.7153506408724501E-2</v>
      </c>
      <c r="AD335" s="156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1.3436196649425636E-3</v>
      </c>
      <c r="Q336" s="156">
        <f ca="1"/>
        <v>0</v>
      </c>
      <c r="R336" s="156">
        <f ca="1"/>
        <v>7.8601315140440775E-3</v>
      </c>
      <c r="S336" s="156">
        <f ca="1"/>
        <v>0</v>
      </c>
      <c r="T336" s="156">
        <f ca="1"/>
        <v>2.4029524992996709E-2</v>
      </c>
      <c r="U336" s="156">
        <f ca="1"/>
        <v>3.8119045092461223E-2</v>
      </c>
      <c r="V336" s="138">
        <f ca="1"/>
        <v>6.1202216703949874E-2</v>
      </c>
      <c r="W336" s="137">
        <f ca="1"/>
        <v>0</v>
      </c>
      <c r="X336" s="156">
        <f ca="1"/>
        <v>0</v>
      </c>
      <c r="Y336" s="156">
        <f ca="1"/>
        <v>1.4684439108115788E-3</v>
      </c>
      <c r="Z336" s="156">
        <f ca="1"/>
        <v>0</v>
      </c>
      <c r="AA336" s="156">
        <f ca="1"/>
        <v>8.2321142136437819E-3</v>
      </c>
      <c r="AB336" s="156">
        <f ca="1"/>
        <v>0</v>
      </c>
      <c r="AC336" s="156">
        <f ca="1"/>
        <v>2.4639315960369057E-2</v>
      </c>
      <c r="AD336" s="156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3.481893775190148E-4</v>
      </c>
      <c r="P337" s="156">
        <f ca="1"/>
        <v>1.3349417089397742E-3</v>
      </c>
      <c r="Q337" s="156">
        <f ca="1"/>
        <v>4.1758707742833856E-3</v>
      </c>
      <c r="R337" s="156">
        <f ca="1"/>
        <v>8.5827462629493034E-3</v>
      </c>
      <c r="S337" s="156">
        <f ca="1"/>
        <v>0</v>
      </c>
      <c r="T337" s="156">
        <f ca="1"/>
        <v>2.1483091230227735E-2</v>
      </c>
      <c r="U337" s="156">
        <f ca="1"/>
        <v>3.5455159446814655E-2</v>
      </c>
      <c r="V337" s="138">
        <f ca="1"/>
        <v>5.8296173620916769E-2</v>
      </c>
      <c r="W337" s="137">
        <f ca="1"/>
        <v>0</v>
      </c>
      <c r="X337" s="156">
        <f ca="1"/>
        <v>4.1781245307725978E-4</v>
      </c>
      <c r="Y337" s="156">
        <f ca="1"/>
        <v>1.459767039484916E-3</v>
      </c>
      <c r="Z337" s="156">
        <f ca="1"/>
        <v>4.4247956896611429E-3</v>
      </c>
      <c r="AA337" s="156">
        <f ca="1"/>
        <v>8.954458032775281E-3</v>
      </c>
      <c r="AB337" s="156">
        <f ca="1"/>
        <v>0</v>
      </c>
      <c r="AC337" s="156">
        <f ca="1"/>
        <v>2.2094473221440425E-2</v>
      </c>
      <c r="AD337" s="156">
        <f ca="1"/>
        <v>3.6317005578140882E-2</v>
      </c>
      <c r="AE337" s="138">
        <f ca="1"/>
        <v>5.9492481431923094E-2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2.4127231949515604E-3</v>
      </c>
      <c r="Q338" s="156">
        <f ca="1"/>
        <v>0</v>
      </c>
      <c r="R338" s="156">
        <f ca="1"/>
        <v>1.9089570258126853E-2</v>
      </c>
      <c r="S338" s="156">
        <f ca="1"/>
        <v>0</v>
      </c>
      <c r="T338" s="156">
        <f ca="1"/>
        <v>3.6589091975827492E-2</v>
      </c>
      <c r="U338" s="156">
        <f ca="1"/>
        <v>5.1040468249840432E-2</v>
      </c>
      <c r="V338" s="138">
        <f ca="1"/>
        <v>7.2598235234348496E-2</v>
      </c>
      <c r="W338" s="137">
        <f ca="1"/>
        <v>0</v>
      </c>
      <c r="X338" s="156">
        <f ca="1"/>
        <v>0</v>
      </c>
      <c r="Y338" s="156">
        <f ca="1"/>
        <v>2.5789738864561151E-3</v>
      </c>
      <c r="Z338" s="156">
        <f ca="1"/>
        <v>0</v>
      </c>
      <c r="AA338" s="156">
        <f ca="1"/>
        <v>1.9579902879599098E-2</v>
      </c>
      <c r="AB338" s="156">
        <f ca="1"/>
        <v>0</v>
      </c>
      <c r="AC338" s="156">
        <f ca="1"/>
        <v>3.7391599974418321E-2</v>
      </c>
      <c r="AD338" s="156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1.36482730913845E-3</v>
      </c>
      <c r="Q339" s="156">
        <f ca="1"/>
        <v>0</v>
      </c>
      <c r="R339" s="156">
        <f ca="1"/>
        <v>9.7908348475764795E-3</v>
      </c>
      <c r="S339" s="156">
        <f ca="1"/>
        <v>0</v>
      </c>
      <c r="T339" s="156">
        <f ca="1"/>
        <v>2.3021754219508916E-2</v>
      </c>
      <c r="U339" s="156">
        <f ca="1"/>
        <v>3.1709081832480779E-2</v>
      </c>
      <c r="V339" s="138">
        <f ca="1"/>
        <v>5.0575513226375213E-2</v>
      </c>
      <c r="W339" s="137">
        <f ca="1"/>
        <v>0</v>
      </c>
      <c r="X339" s="156">
        <f ca="1"/>
        <v>0</v>
      </c>
      <c r="Y339" s="156">
        <f ca="1"/>
        <v>1.4896489042307559E-3</v>
      </c>
      <c r="Z339" s="156">
        <f ca="1"/>
        <v>0</v>
      </c>
      <c r="AA339" s="156">
        <f ca="1"/>
        <v>1.0162093669104255E-2</v>
      </c>
      <c r="AB339" s="156">
        <f ca="1"/>
        <v>0</v>
      </c>
      <c r="AC339" s="156">
        <f ca="1"/>
        <v>2.3632174846828669E-2</v>
      </c>
      <c r="AD339" s="156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8.795905797289727E-4</v>
      </c>
      <c r="Q340" s="156">
        <f ca="1"/>
        <v>0</v>
      </c>
      <c r="R340" s="156">
        <f ca="1"/>
        <v>5.9629624497599121E-3</v>
      </c>
      <c r="S340" s="156">
        <f ca="1"/>
        <v>0</v>
      </c>
      <c r="T340" s="156">
        <f ca="1"/>
        <v>1.7377195339218776E-2</v>
      </c>
      <c r="U340" s="156">
        <f ca="1"/>
        <v>3.1772794715050123E-2</v>
      </c>
      <c r="V340" s="138">
        <f ca="1"/>
        <v>5.6770284842330265E-2</v>
      </c>
      <c r="W340" s="137">
        <f ca="1"/>
        <v>0</v>
      </c>
      <c r="X340" s="156">
        <f ca="1"/>
        <v>0</v>
      </c>
      <c r="Y340" s="156">
        <f ca="1"/>
        <v>1.0044728256246582E-3</v>
      </c>
      <c r="Z340" s="156">
        <f ca="1"/>
        <v>0</v>
      </c>
      <c r="AA340" s="156">
        <f ca="1"/>
        <v>6.3356564543661786E-3</v>
      </c>
      <c r="AB340" s="156">
        <f ca="1"/>
        <v>0</v>
      </c>
      <c r="AC340" s="156">
        <f ca="1"/>
        <v>1.7991142713599251E-2</v>
      </c>
      <c r="AD340" s="156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4.6422559508285666E-4</v>
      </c>
      <c r="P341" s="156">
        <f ca="1"/>
        <v>1.2425693066163701E-3</v>
      </c>
      <c r="Q341" s="156">
        <f ca="1"/>
        <v>3.8240060591129277E-3</v>
      </c>
      <c r="R341" s="156">
        <f ca="1"/>
        <v>8.3323722564101477E-3</v>
      </c>
      <c r="S341" s="156">
        <f ca="1"/>
        <v>0</v>
      </c>
      <c r="T341" s="156">
        <f ca="1"/>
        <v>2.2641481411456499E-2</v>
      </c>
      <c r="U341" s="156">
        <f ca="1"/>
        <v>4.0264826377684027E-2</v>
      </c>
      <c r="V341" s="138">
        <f ca="1"/>
        <v>7.154305386065507E-2</v>
      </c>
      <c r="W341" s="137">
        <f ca="1"/>
        <v>0</v>
      </c>
      <c r="X341" s="156">
        <f ca="1"/>
        <v>5.5704436557602044E-4</v>
      </c>
      <c r="Y341" s="156">
        <f ca="1"/>
        <v>1.4090150075465324E-3</v>
      </c>
      <c r="Z341" s="156">
        <f ca="1"/>
        <v>4.1560093867978321E-3</v>
      </c>
      <c r="AA341" s="156">
        <f ca="1"/>
        <v>8.8280821325006364E-3</v>
      </c>
      <c r="AB341" s="156">
        <f ca="1"/>
        <v>0</v>
      </c>
      <c r="AC341" s="156">
        <f ca="1"/>
        <v>2.3455607577263282E-2</v>
      </c>
      <c r="AD341" s="156">
        <f ca="1"/>
        <v>4.1409628421755107E-2</v>
      </c>
      <c r="AE341" s="138">
        <f ca="1"/>
        <v>7.3117627682197872E-2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7.4265764477476903E-4</v>
      </c>
      <c r="P342" s="156">
        <f ca="1"/>
        <v>2.2559000704757137E-3</v>
      </c>
      <c r="Q342" s="156">
        <f ca="1"/>
        <v>6.4901396160274016E-3</v>
      </c>
      <c r="R342" s="156">
        <f ca="1"/>
        <v>1.1895034932709714E-2</v>
      </c>
      <c r="S342" s="156">
        <f ca="1"/>
        <v>0</v>
      </c>
      <c r="T342" s="156">
        <f ca="1"/>
        <v>2.3986696894540471E-2</v>
      </c>
      <c r="U342" s="156">
        <f ca="1"/>
        <v>3.8326771210897448E-2</v>
      </c>
      <c r="V342" s="138">
        <f ca="1"/>
        <v>6.3375018999469734E-2</v>
      </c>
      <c r="W342" s="137">
        <f ca="1"/>
        <v>0</v>
      </c>
      <c r="X342" s="156">
        <f ca="1"/>
        <v>8.354498500481311E-4</v>
      </c>
      <c r="Y342" s="156">
        <f ca="1"/>
        <v>2.4221768970188462E-3</v>
      </c>
      <c r="Z342" s="156">
        <f ca="1"/>
        <v>6.8212543806129844E-3</v>
      </c>
      <c r="AA342" s="156">
        <f ca="1"/>
        <v>1.2388963922686291E-2</v>
      </c>
      <c r="AB342" s="156">
        <f ca="1"/>
        <v>0</v>
      </c>
      <c r="AC342" s="156">
        <f ca="1"/>
        <v>2.4799702514370248E-2</v>
      </c>
      <c r="AD342" s="156">
        <f ca="1"/>
        <v>3.9471676747929507E-2</v>
      </c>
      <c r="AE342" s="138">
        <f ca="1"/>
        <v>6.4961476618284664E-2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2.2313073677624473E-3</v>
      </c>
      <c r="Q343" s="156">
        <f ca="1"/>
        <v>0</v>
      </c>
      <c r="R343" s="156">
        <f ca="1"/>
        <v>1.2369683922719532E-2</v>
      </c>
      <c r="S343" s="156">
        <f ca="1"/>
        <v>0</v>
      </c>
      <c r="T343" s="156">
        <f ca="1"/>
        <v>3.2776058044618028E-2</v>
      </c>
      <c r="U343" s="156">
        <f ca="1"/>
        <v>6.318500375350522E-2</v>
      </c>
      <c r="V343" s="138">
        <f ca="1"/>
        <v>8.7074528353160208E-2</v>
      </c>
      <c r="W343" s="137">
        <f ca="1"/>
        <v>0</v>
      </c>
      <c r="X343" s="156">
        <f ca="1"/>
        <v>0</v>
      </c>
      <c r="Y343" s="156">
        <f ca="1"/>
        <v>2.3560206595953925E-3</v>
      </c>
      <c r="Z343" s="156">
        <f ca="1"/>
        <v>0</v>
      </c>
      <c r="AA343" s="156">
        <f ca="1"/>
        <v>1.2739975857135821E-2</v>
      </c>
      <c r="AB343" s="156">
        <f ca="1"/>
        <v>0</v>
      </c>
      <c r="AC343" s="156">
        <f ca="1"/>
        <v>3.338038413677169E-2</v>
      </c>
      <c r="AD343" s="156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3.8046951822795494E-3</v>
      </c>
      <c r="Q344" s="156">
        <f ca="1"/>
        <v>0</v>
      </c>
      <c r="R344" s="156">
        <f ca="1"/>
        <v>1.7768572173839647E-2</v>
      </c>
      <c r="S344" s="156">
        <f ca="1"/>
        <v>0</v>
      </c>
      <c r="T344" s="156">
        <f ca="1"/>
        <v>3.8067039902313193E-2</v>
      </c>
      <c r="U344" s="156">
        <f ca="1"/>
        <v>5.6373703903451755E-2</v>
      </c>
      <c r="V344" s="138">
        <f ca="1"/>
        <v>9.075020780174603E-2</v>
      </c>
      <c r="W344" s="137">
        <f ca="1"/>
        <v>0</v>
      </c>
      <c r="X344" s="156">
        <f ca="1"/>
        <v>0</v>
      </c>
      <c r="Y344" s="156">
        <f ca="1"/>
        <v>3.9292118129424791E-3</v>
      </c>
      <c r="Z344" s="156">
        <f ca="1"/>
        <v>0</v>
      </c>
      <c r="AA344" s="156">
        <f ca="1"/>
        <v>1.8136839904783986E-2</v>
      </c>
      <c r="AB344" s="156">
        <f ca="1"/>
        <v>0</v>
      </c>
      <c r="AC344" s="156">
        <f ca="1"/>
        <v>3.8668060163963736E-2</v>
      </c>
      <c r="AD344" s="156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8.0065457335387613E-4</v>
      </c>
      <c r="P345" s="156">
        <f ca="1"/>
        <v>2.2097150324131842E-3</v>
      </c>
      <c r="Q345" s="156">
        <f ca="1"/>
        <v>7.3512426611814785E-3</v>
      </c>
      <c r="R345" s="156">
        <f ca="1"/>
        <v>1.5141143050001471E-2</v>
      </c>
      <c r="S345" s="156">
        <f ca="1"/>
        <v>0</v>
      </c>
      <c r="T345" s="156">
        <f ca="1"/>
        <v>3.552832963889585E-2</v>
      </c>
      <c r="U345" s="156">
        <f ca="1"/>
        <v>5.5667769729636829E-2</v>
      </c>
      <c r="V345" s="138">
        <f ca="1"/>
        <v>8.3451254244526485E-2</v>
      </c>
      <c r="W345" s="137">
        <f ca="1"/>
        <v>0</v>
      </c>
      <c r="X345" s="156">
        <f ca="1"/>
        <v>8.7024506736066432E-4</v>
      </c>
      <c r="Y345" s="156">
        <f ca="1"/>
        <v>2.334431023117256E-3</v>
      </c>
      <c r="Z345" s="156">
        <f ca="1"/>
        <v>7.5993738328351546E-3</v>
      </c>
      <c r="AA345" s="156">
        <f ca="1"/>
        <v>1.5510395882129546E-2</v>
      </c>
      <c r="AB345" s="156">
        <f ca="1"/>
        <v>0</v>
      </c>
      <c r="AC345" s="156">
        <f ca="1"/>
        <v>3.6130936098733413E-2</v>
      </c>
      <c r="AD345" s="156">
        <f ca="1"/>
        <v>5.6511274359662633E-2</v>
      </c>
      <c r="AE345" s="138">
        <f ca="1"/>
        <v>8.4596224421245036E-2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1.0372472158195478E-3</v>
      </c>
      <c r="P346" s="156">
        <f ca="1"/>
        <v>2.9014330754933981E-3</v>
      </c>
      <c r="Q346" s="156">
        <f ca="1"/>
        <v>8.0576807175051224E-3</v>
      </c>
      <c r="R346" s="156">
        <f ca="1"/>
        <v>1.5432422016010472E-2</v>
      </c>
      <c r="S346" s="156">
        <f ca="1"/>
        <v>0</v>
      </c>
      <c r="T346" s="156">
        <f ca="1"/>
        <v>3.4095517456330438E-2</v>
      </c>
      <c r="U346" s="156">
        <f ca="1"/>
        <v>5.2714365044586153E-2</v>
      </c>
      <c r="V346" s="138">
        <f ca="1"/>
        <v>7.9348337142265191E-2</v>
      </c>
      <c r="W346" s="137">
        <f ca="1"/>
        <v>0</v>
      </c>
      <c r="X346" s="156">
        <f ca="1"/>
        <v>1.1068203196271664E-3</v>
      </c>
      <c r="Y346" s="156">
        <f ca="1"/>
        <v>3.0260626068457919E-3</v>
      </c>
      <c r="Z346" s="156">
        <f ca="1"/>
        <v>8.3056353017098017E-3</v>
      </c>
      <c r="AA346" s="156">
        <f ca="1"/>
        <v>1.5801565639010251E-2</v>
      </c>
      <c r="AB346" s="156">
        <f ca="1"/>
        <v>0</v>
      </c>
      <c r="AC346" s="156">
        <f ca="1"/>
        <v>3.4699019144004084E-2</v>
      </c>
      <c r="AD346" s="156">
        <f ca="1"/>
        <v>5.3560084948974129E-2</v>
      </c>
      <c r="AE346" s="138">
        <f ca="1"/>
        <v>8.0498432761268668E-2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9.6766695090333421E-4</v>
      </c>
      <c r="P347" s="156">
        <f ca="1"/>
        <v>2.7824653309483915E-3</v>
      </c>
      <c r="Q347" s="156">
        <f ca="1"/>
        <v>7.9321511221305263E-3</v>
      </c>
      <c r="R347" s="156">
        <f ca="1"/>
        <v>1.5126020721911937E-2</v>
      </c>
      <c r="S347" s="156">
        <f ca="1"/>
        <v>0</v>
      </c>
      <c r="T347" s="156">
        <f ca="1"/>
        <v>3.4132874600504071E-2</v>
      </c>
      <c r="U347" s="156">
        <f ca="1"/>
        <v>5.3719889515881913E-2</v>
      </c>
      <c r="V347" s="138">
        <f ca="1"/>
        <v>8.3537845344618389E-2</v>
      </c>
      <c r="W347" s="137">
        <f ca="1"/>
        <v>0</v>
      </c>
      <c r="X347" s="156">
        <f ca="1"/>
        <v>1.0372451948126304E-3</v>
      </c>
      <c r="Y347" s="156">
        <f ca="1"/>
        <v>2.9071097323413175E-3</v>
      </c>
      <c r="Z347" s="156">
        <f ca="1"/>
        <v>8.1801370848078037E-3</v>
      </c>
      <c r="AA347" s="156">
        <f ca="1"/>
        <v>1.5495279223845415E-2</v>
      </c>
      <c r="AB347" s="156">
        <f ca="1"/>
        <v>0</v>
      </c>
      <c r="AC347" s="156">
        <f ca="1"/>
        <v>3.4736352947259408E-2</v>
      </c>
      <c r="AD347" s="156">
        <f ca="1"/>
        <v>5.4564821140881348E-2</v>
      </c>
      <c r="AE347" s="138">
        <f ca="1"/>
        <v>8.4682707350066222E-2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4.4145088047529146E-3</v>
      </c>
      <c r="Q348" s="156">
        <f ca="1"/>
        <v>0</v>
      </c>
      <c r="R348" s="156">
        <f ca="1"/>
        <v>1.89527065023255E-2</v>
      </c>
      <c r="S348" s="156">
        <f ca="1"/>
        <v>0</v>
      </c>
      <c r="T348" s="156">
        <f ca="1"/>
        <v>4.2667346982701138E-2</v>
      </c>
      <c r="U348" s="156">
        <f ca="1"/>
        <v>6.8989127792148386E-2</v>
      </c>
      <c r="V348" s="138">
        <f ca="1"/>
        <v>0.11887679129318574</v>
      </c>
      <c r="W348" s="137">
        <f ca="1"/>
        <v>0</v>
      </c>
      <c r="X348" s="156">
        <f ca="1"/>
        <v>0</v>
      </c>
      <c r="Y348" s="156">
        <f ca="1"/>
        <v>4.5804258931253505E-3</v>
      </c>
      <c r="Z348" s="156">
        <f ca="1"/>
        <v>0</v>
      </c>
      <c r="AA348" s="156">
        <f ca="1"/>
        <v>1.9443107538600901E-2</v>
      </c>
      <c r="AB348" s="156">
        <f ca="1"/>
        <v>0</v>
      </c>
      <c r="AC348" s="156">
        <f ca="1"/>
        <v>4.3464791878727427E-2</v>
      </c>
      <c r="AD348" s="156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8.4936939607582751E-4</v>
      </c>
      <c r="P349" s="156">
        <f ca="1"/>
        <v>2.42319828362203E-3</v>
      </c>
      <c r="Q349" s="156">
        <f ca="1"/>
        <v>6.947029389991477E-3</v>
      </c>
      <c r="R349" s="156">
        <f ca="1"/>
        <v>1.3354989034527698E-2</v>
      </c>
      <c r="S349" s="156">
        <f ca="1"/>
        <v>0</v>
      </c>
      <c r="T349" s="156">
        <f ca="1"/>
        <v>3.0995123719360418E-2</v>
      </c>
      <c r="U349" s="156">
        <f ca="1"/>
        <v>4.9436863080647875E-2</v>
      </c>
      <c r="V349" s="138">
        <f ca="1"/>
        <v>7.7623580024766214E-2</v>
      </c>
      <c r="W349" s="137">
        <f ca="1"/>
        <v>0</v>
      </c>
      <c r="X349" s="156">
        <f ca="1"/>
        <v>9.1895632964889007E-4</v>
      </c>
      <c r="Y349" s="156">
        <f ca="1"/>
        <v>2.5478875905992071E-3</v>
      </c>
      <c r="Z349" s="156">
        <f ca="1"/>
        <v>7.1952616023061022E-3</v>
      </c>
      <c r="AA349" s="156">
        <f ca="1"/>
        <v>1.3724911548840368E-2</v>
      </c>
      <c r="AB349" s="156">
        <f ca="1"/>
        <v>0</v>
      </c>
      <c r="AC349" s="156">
        <f ca="1"/>
        <v>3.1600562547671629E-2</v>
      </c>
      <c r="AD349" s="156">
        <f ca="1"/>
        <v>5.028587868366341E-2</v>
      </c>
      <c r="AE349" s="138">
        <f ca="1"/>
        <v>7.8775830243303591E-2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9.8854153839345038E-4</v>
      </c>
      <c r="P350" s="156">
        <f ca="1"/>
        <v>2.3526133920052095E-3</v>
      </c>
      <c r="Q350" s="156">
        <f ca="1"/>
        <v>6.9195002109394554E-3</v>
      </c>
      <c r="R350" s="156">
        <f ca="1"/>
        <v>1.3275204646296168E-2</v>
      </c>
      <c r="S350" s="156">
        <f ca="1"/>
        <v>0</v>
      </c>
      <c r="T350" s="156">
        <f ca="1"/>
        <v>2.9662128542878641E-2</v>
      </c>
      <c r="U350" s="156">
        <f ca="1"/>
        <v>4.7060046851657433E-2</v>
      </c>
      <c r="V350" s="138">
        <f ca="1"/>
        <v>7.381725958456431E-2</v>
      </c>
      <c r="W350" s="137">
        <f ca="1"/>
        <v>0</v>
      </c>
      <c r="X350" s="156">
        <f ca="1"/>
        <v>1.0581182425244418E-3</v>
      </c>
      <c r="Y350" s="156">
        <f ca="1"/>
        <v>2.4773115215329655E-3</v>
      </c>
      <c r="Z350" s="156">
        <f ca="1"/>
        <v>7.1677393047060445E-3</v>
      </c>
      <c r="AA350" s="156">
        <f ca="1"/>
        <v>1.3645157074119285E-2</v>
      </c>
      <c r="AB350" s="156">
        <f ca="1"/>
        <v>0</v>
      </c>
      <c r="AC350" s="156">
        <f ca="1"/>
        <v>3.0268400232927095E-2</v>
      </c>
      <c r="AD350" s="156">
        <f ca="1"/>
        <v>4.7911034500594751E-2</v>
      </c>
      <c r="AE350" s="138">
        <f ca="1"/>
        <v>7.4974264731160423E-2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1.7165601824981058E-3</v>
      </c>
      <c r="P351" s="156">
        <f ca="1"/>
        <v>3.6618028207250353E-3</v>
      </c>
      <c r="Q351" s="156">
        <f ca="1"/>
        <v>9.7135675511592634E-3</v>
      </c>
      <c r="R351" s="156">
        <f ca="1"/>
        <v>1.6763729364406843E-2</v>
      </c>
      <c r="S351" s="156">
        <f ca="1"/>
        <v>0</v>
      </c>
      <c r="T351" s="156">
        <f ca="1"/>
        <v>3.4963633671573735E-2</v>
      </c>
      <c r="U351" s="156">
        <f ca="1"/>
        <v>5.4607868054687092E-2</v>
      </c>
      <c r="V351" s="138">
        <f ca="1"/>
        <v>8.3908488527769443E-2</v>
      </c>
      <c r="W351" s="137">
        <f ca="1"/>
        <v>0</v>
      </c>
      <c r="X351" s="156">
        <f ca="1"/>
        <v>1.8092567504361945E-3</v>
      </c>
      <c r="Y351" s="156">
        <f ca="1"/>
        <v>3.8278453496685128E-3</v>
      </c>
      <c r="Z351" s="156">
        <f ca="1"/>
        <v>1.0043608018848182E-2</v>
      </c>
      <c r="AA351" s="156">
        <f ca="1"/>
        <v>1.7255224615664977E-2</v>
      </c>
      <c r="AB351" s="156">
        <f ca="1"/>
        <v>0</v>
      </c>
      <c r="AC351" s="156">
        <f ca="1"/>
        <v>3.5767495654518089E-2</v>
      </c>
      <c r="AD351" s="156">
        <f ca="1"/>
        <v>5.5733415872417646E-2</v>
      </c>
      <c r="AE351" s="138">
        <f ca="1"/>
        <v>8.5434036070814012E-2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1.3085594739854489E-3</v>
      </c>
      <c r="P352" s="156">
        <f ca="1"/>
        <v>3.8868088620600538E-3</v>
      </c>
      <c r="Q352" s="156">
        <f ca="1"/>
        <v>1.1118572075604183E-2</v>
      </c>
      <c r="R352" s="156">
        <f ca="1"/>
        <v>1.9191433321674389E-2</v>
      </c>
      <c r="S352" s="156">
        <f ca="1"/>
        <v>0</v>
      </c>
      <c r="T352" s="156">
        <f ca="1"/>
        <v>3.8281198491290302E-2</v>
      </c>
      <c r="U352" s="156">
        <f ca="1"/>
        <v>5.7778260301626028E-2</v>
      </c>
      <c r="V352" s="138">
        <f ca="1"/>
        <v>8.8106633988834893E-2</v>
      </c>
      <c r="W352" s="137">
        <f ca="1"/>
        <v>0</v>
      </c>
      <c r="X352" s="156">
        <f ca="1"/>
        <v>1.4012963136370571E-3</v>
      </c>
      <c r="Y352" s="156">
        <f ca="1"/>
        <v>4.0528138931120727E-3</v>
      </c>
      <c r="Z352" s="156">
        <f ca="1"/>
        <v>1.1448144286496986E-2</v>
      </c>
      <c r="AA352" s="156">
        <f ca="1"/>
        <v>1.9681715024358448E-2</v>
      </c>
      <c r="AB352" s="156">
        <f ca="1"/>
        <v>0</v>
      </c>
      <c r="AC352" s="156">
        <f ca="1"/>
        <v>3.908229698845811E-2</v>
      </c>
      <c r="AD352" s="156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9.4679192795887879E-4</v>
      </c>
      <c r="P353" s="156">
        <f ca="1"/>
        <v>2.7338037001157778E-3</v>
      </c>
      <c r="Q353" s="156">
        <f ca="1"/>
        <v>7.1002546897949159E-3</v>
      </c>
      <c r="R353" s="156">
        <f ca="1"/>
        <v>1.4291076935714631E-2</v>
      </c>
      <c r="S353" s="156">
        <f ca="1"/>
        <v>0</v>
      </c>
      <c r="T353" s="156">
        <f ca="1"/>
        <v>3.7138448912688138E-2</v>
      </c>
      <c r="U353" s="156">
        <f ca="1"/>
        <v>5.9965111263452164E-2</v>
      </c>
      <c r="V353" s="138">
        <f ca="1"/>
        <v>9.0973392679459586E-2</v>
      </c>
      <c r="W353" s="137">
        <f ca="1"/>
        <v>0</v>
      </c>
      <c r="X353" s="156">
        <f ca="1"/>
        <v>1.0395644435134965E-3</v>
      </c>
      <c r="Y353" s="156">
        <f ca="1"/>
        <v>2.9000008826739476E-3</v>
      </c>
      <c r="Z353" s="156">
        <f ca="1"/>
        <v>7.4311661165767928E-3</v>
      </c>
      <c r="AA353" s="156">
        <f ca="1"/>
        <v>1.4783808204177573E-2</v>
      </c>
      <c r="AB353" s="156">
        <f ca="1"/>
        <v>0</v>
      </c>
      <c r="AC353" s="156">
        <f ca="1"/>
        <v>3.7940499304549902E-2</v>
      </c>
      <c r="AD353" s="156">
        <f ca="1"/>
        <v>6.1086314536300201E-2</v>
      </c>
      <c r="AE353" s="138">
        <f ca="1"/>
        <v>9.2511529416654414E-2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1.5311280115709591E-3</v>
      </c>
      <c r="P354" s="156">
        <f ca="1"/>
        <v>4.4886403582067302E-3</v>
      </c>
      <c r="Q354" s="156">
        <f ca="1"/>
        <v>1.1160315954633182E-2</v>
      </c>
      <c r="R354" s="156">
        <f ca="1"/>
        <v>1.8151453389442573E-2</v>
      </c>
      <c r="S354" s="156">
        <f ca="1"/>
        <v>0</v>
      </c>
      <c r="T354" s="156">
        <f ca="1"/>
        <v>3.5638715992796444E-2</v>
      </c>
      <c r="U354" s="156">
        <f ca="1"/>
        <v>5.429838307753998E-2</v>
      </c>
      <c r="V354" s="138">
        <f ca="1"/>
        <v>8.3602592211662552E-2</v>
      </c>
      <c r="W354" s="137">
        <f ca="1"/>
        <v>0</v>
      </c>
      <c r="X354" s="156">
        <f ca="1"/>
        <v>1.623843127476543E-3</v>
      </c>
      <c r="Y354" s="156">
        <f ca="1"/>
        <v>4.6545450923682896E-3</v>
      </c>
      <c r="Z354" s="156">
        <f ca="1"/>
        <v>1.1489874253209131E-2</v>
      </c>
      <c r="AA354" s="156">
        <f ca="1"/>
        <v>1.864225495214622E-2</v>
      </c>
      <c r="AB354" s="156">
        <f ca="1"/>
        <v>0</v>
      </c>
      <c r="AC354" s="156">
        <f ca="1"/>
        <v>3.6442015641441561E-2</v>
      </c>
      <c r="AD354" s="156">
        <f ca="1"/>
        <v>5.5423469845813145E-2</v>
      </c>
      <c r="AE354" s="138">
        <f ca="1"/>
        <v>8.5128649157249048E-2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9.8390277880788801E-4</v>
      </c>
      <c r="P355" s="156">
        <f ca="1"/>
        <v>3.0011555323758987E-3</v>
      </c>
      <c r="Q355" s="156">
        <f ca="1"/>
        <v>6.9492067937091395E-3</v>
      </c>
      <c r="R355" s="156">
        <f ca="1"/>
        <v>1.3116245403044569E-2</v>
      </c>
      <c r="S355" s="156">
        <f ca="1"/>
        <v>0</v>
      </c>
      <c r="T355" s="156">
        <f ca="1"/>
        <v>3.0984726509085236E-2</v>
      </c>
      <c r="U355" s="156">
        <f ca="1"/>
        <v>4.9749868237862094E-2</v>
      </c>
      <c r="V355" s="138">
        <f ca="1"/>
        <v>7.8045648337609852E-2</v>
      </c>
      <c r="W355" s="137">
        <f ca="1"/>
        <v>0</v>
      </c>
      <c r="X355" s="156">
        <f ca="1"/>
        <v>1.0766716951000621E-3</v>
      </c>
      <c r="Y355" s="156">
        <f ca="1"/>
        <v>3.167308160019644E-3</v>
      </c>
      <c r="Z355" s="156">
        <f ca="1"/>
        <v>7.2801685614006795E-3</v>
      </c>
      <c r="AA355" s="156">
        <f ca="1"/>
        <v>1.3609563940412905E-2</v>
      </c>
      <c r="AB355" s="156">
        <f ca="1"/>
        <v>0</v>
      </c>
      <c r="AC355" s="156">
        <f ca="1"/>
        <v>3.1791902866837973E-2</v>
      </c>
      <c r="AD355" s="156">
        <f ca="1"/>
        <v>5.0882348175325998E-2</v>
      </c>
      <c r="AE355" s="138">
        <f ca="1"/>
        <v>7.9606427731727769E-2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7.5889712356125294E-4</v>
      </c>
      <c r="P356" s="156">
        <f ca="1"/>
        <v>2.0765540389025006E-3</v>
      </c>
      <c r="Q356" s="156">
        <f ca="1"/>
        <v>5.6962173067851563E-3</v>
      </c>
      <c r="R356" s="156">
        <f ca="1"/>
        <v>1.0593322607559186E-2</v>
      </c>
      <c r="S356" s="156">
        <f ca="1"/>
        <v>0</v>
      </c>
      <c r="T356" s="156">
        <f ca="1"/>
        <v>2.2562031354644296E-2</v>
      </c>
      <c r="U356" s="156">
        <f ca="1"/>
        <v>3.60275509490533E-2</v>
      </c>
      <c r="V356" s="138">
        <f ca="1"/>
        <v>5.9208634194243603E-2</v>
      </c>
      <c r="W356" s="137">
        <f ca="1"/>
        <v>0</v>
      </c>
      <c r="X356" s="156">
        <f ca="1"/>
        <v>8.2849066128587445E-4</v>
      </c>
      <c r="Y356" s="156">
        <f ca="1"/>
        <v>2.2012866737035619E-3</v>
      </c>
      <c r="Z356" s="156">
        <f ca="1"/>
        <v>5.9447621830458486E-3</v>
      </c>
      <c r="AA356" s="156">
        <f ca="1"/>
        <v>1.0964280552603789E-2</v>
      </c>
      <c r="AB356" s="156">
        <f ca="1"/>
        <v>0</v>
      </c>
      <c r="AC356" s="156">
        <f ca="1"/>
        <v>2.3172739218923266E-2</v>
      </c>
      <c r="AD356" s="156">
        <f ca="1"/>
        <v>3.6888143139599872E-2</v>
      </c>
      <c r="AE356" s="138">
        <f ca="1"/>
        <v>6.0402686167422948E-2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1.6145767421428259E-3</v>
      </c>
      <c r="P357" s="156">
        <f ca="1"/>
        <v>3.7001765370213713E-3</v>
      </c>
      <c r="Q357" s="156">
        <f ca="1"/>
        <v>9.6097305423384904E-3</v>
      </c>
      <c r="R357" s="156">
        <f ca="1"/>
        <v>1.7142037754760087E-2</v>
      </c>
      <c r="S357" s="156">
        <f ca="1"/>
        <v>0</v>
      </c>
      <c r="T357" s="156">
        <f ca="1"/>
        <v>3.4052237966284649E-2</v>
      </c>
      <c r="U357" s="156">
        <f ca="1"/>
        <v>5.2747586943837965E-2</v>
      </c>
      <c r="V357" s="138">
        <f ca="1"/>
        <v>8.4257369866902354E-2</v>
      </c>
      <c r="W357" s="137">
        <f ca="1"/>
        <v>0</v>
      </c>
      <c r="X357" s="156">
        <f ca="1"/>
        <v>1.7072835313415302E-3</v>
      </c>
      <c r="Y357" s="156">
        <f ca="1"/>
        <v>3.8662126708642885E-3</v>
      </c>
      <c r="Z357" s="156">
        <f ca="1"/>
        <v>9.9398056166042359E-3</v>
      </c>
      <c r="AA357" s="156">
        <f ca="1"/>
        <v>1.7633343899100318E-2</v>
      </c>
      <c r="AB357" s="156">
        <f ca="1"/>
        <v>0</v>
      </c>
      <c r="AC357" s="156">
        <f ca="1"/>
        <v>3.4856859129284046E-2</v>
      </c>
      <c r="AD357" s="156">
        <f ca="1"/>
        <v>5.3875033054291088E-2</v>
      </c>
      <c r="AE357" s="138">
        <f ca="1"/>
        <v>8.578233642527866E-2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9.8854153839345038E-4</v>
      </c>
      <c r="P358" s="156">
        <f ca="1"/>
        <v>2.446535318337606E-3</v>
      </c>
      <c r="Q358" s="156">
        <f ca="1"/>
        <v>6.6262457398378327E-3</v>
      </c>
      <c r="R358" s="156">
        <f ca="1"/>
        <v>1.3006209247134803E-2</v>
      </c>
      <c r="S358" s="156">
        <f ca="1"/>
        <v>0</v>
      </c>
      <c r="T358" s="156">
        <f ca="1"/>
        <v>3.103314110086286E-2</v>
      </c>
      <c r="U358" s="156">
        <f ca="1"/>
        <v>4.9474956783197355E-2</v>
      </c>
      <c r="V358" s="138">
        <f ca="1"/>
        <v>7.6226644209581029E-2</v>
      </c>
      <c r="W358" s="137">
        <f ca="1"/>
        <v>0</v>
      </c>
      <c r="X358" s="156">
        <f ca="1"/>
        <v>1.0581182425244418E-3</v>
      </c>
      <c r="Y358" s="156">
        <f ca="1"/>
        <v>2.5712217083705413E-3</v>
      </c>
      <c r="Z358" s="156">
        <f ca="1"/>
        <v>6.8745581380773579E-3</v>
      </c>
      <c r="AA358" s="156">
        <f ca="1"/>
        <v>1.3376262529325555E-2</v>
      </c>
      <c r="AB358" s="156">
        <f ca="1"/>
        <v>0</v>
      </c>
      <c r="AC358" s="156">
        <f ca="1"/>
        <v>3.1638556175766719E-2</v>
      </c>
      <c r="AD358" s="156">
        <f ca="1"/>
        <v>5.0324050301468026E-2</v>
      </c>
      <c r="AE358" s="138">
        <f ca="1"/>
        <v>7.738063950704277E-2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1.9094454896813051E-3</v>
      </c>
      <c r="Q359" s="156">
        <f ca="1"/>
        <v>0</v>
      </c>
      <c r="R359" s="156">
        <f ca="1"/>
        <v>8.8513362458151335E-3</v>
      </c>
      <c r="S359" s="156">
        <f ca="1"/>
        <v>0</v>
      </c>
      <c r="T359" s="156">
        <f ca="1"/>
        <v>2.3415478736040884E-2</v>
      </c>
      <c r="U359" s="156">
        <f ca="1"/>
        <v>4.1948306518603817E-2</v>
      </c>
      <c r="V359" s="138">
        <f ca="1"/>
        <v>7.2367672383204518E-2</v>
      </c>
      <c r="W359" s="137">
        <f ca="1"/>
        <v>0</v>
      </c>
      <c r="X359" s="156">
        <f ca="1"/>
        <v>0</v>
      </c>
      <c r="Y359" s="156">
        <f ca="1"/>
        <v>2.0341990117396236E-3</v>
      </c>
      <c r="Z359" s="156">
        <f ca="1"/>
        <v>0</v>
      </c>
      <c r="AA359" s="156">
        <f ca="1"/>
        <v>9.2229473133100814E-3</v>
      </c>
      <c r="AB359" s="156">
        <f ca="1"/>
        <v>0</v>
      </c>
      <c r="AC359" s="156">
        <f ca="1"/>
        <v>2.4025653362366284E-2</v>
      </c>
      <c r="AD359" s="156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6.3930447467830054E-2</v>
      </c>
      <c r="Q360" s="156">
        <f ca="1"/>
        <v>0</v>
      </c>
      <c r="R360" s="156">
        <f ca="1"/>
        <v>0.14910351068721728</v>
      </c>
      <c r="S360" s="156">
        <f ca="1"/>
        <v>0</v>
      </c>
      <c r="T360" s="156">
        <f ca="1"/>
        <v>0.20623361080104241</v>
      </c>
      <c r="U360" s="156">
        <f ca="1"/>
        <v>0.23536207937335452</v>
      </c>
      <c r="V360" s="138">
        <f ca="1"/>
        <v>0.27032344488526328</v>
      </c>
      <c r="W360" s="137">
        <f ca="1"/>
        <v>0</v>
      </c>
      <c r="X360" s="156">
        <f ca="1"/>
        <v>0</v>
      </c>
      <c r="Y360" s="156">
        <f ca="1"/>
        <v>6.4086446059674063E-2</v>
      </c>
      <c r="Z360" s="156">
        <f ca="1"/>
        <v>0</v>
      </c>
      <c r="AA360" s="156">
        <f ca="1"/>
        <v>0.14952885258751836</v>
      </c>
      <c r="AB360" s="156">
        <f ca="1"/>
        <v>0</v>
      </c>
      <c r="AC360" s="156">
        <f ca="1"/>
        <v>0.20689480725527976</v>
      </c>
      <c r="AD360" s="156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3.0921898606319775E-3</v>
      </c>
      <c r="Q361" s="156">
        <f ca="1"/>
        <v>0</v>
      </c>
      <c r="R361" s="156">
        <f ca="1"/>
        <v>1.4131131064005209E-2</v>
      </c>
      <c r="S361" s="156">
        <f ca="1"/>
        <v>0</v>
      </c>
      <c r="T361" s="156">
        <f ca="1"/>
        <v>2.9031755283783878E-2</v>
      </c>
      <c r="U361" s="156">
        <f ca="1"/>
        <v>4.0701254729858971E-2</v>
      </c>
      <c r="V361" s="138">
        <f ca="1"/>
        <v>6.019511960514301E-2</v>
      </c>
      <c r="W361" s="137">
        <f ca="1"/>
        <v>0</v>
      </c>
      <c r="X361" s="156">
        <f ca="1"/>
        <v>0</v>
      </c>
      <c r="Y361" s="156">
        <f ca="1"/>
        <v>3.2583273171491456E-3</v>
      </c>
      <c r="Z361" s="156">
        <f ca="1"/>
        <v>0</v>
      </c>
      <c r="AA361" s="156">
        <f ca="1"/>
        <v>1.4623942285371783E-2</v>
      </c>
      <c r="AB361" s="156">
        <f ca="1"/>
        <v>0</v>
      </c>
      <c r="AC361" s="156">
        <f ca="1"/>
        <v>2.9840558439600318E-2</v>
      </c>
      <c r="AD361" s="156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1.571825135223559E-2</v>
      </c>
      <c r="S362" s="133">
        <f ca="1"/>
        <v>0</v>
      </c>
      <c r="T362" s="133">
        <f ca="1"/>
        <v>3.9281830848861055E-2</v>
      </c>
      <c r="U362" s="133">
        <f ca="1"/>
        <v>7.6082836963757838E-2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1.6210269211869965E-2</v>
      </c>
      <c r="AB362" s="133">
        <f ca="1"/>
        <v>0</v>
      </c>
      <c r="AC362" s="133">
        <f ca="1"/>
        <v>4.0082095833089304E-2</v>
      </c>
      <c r="AD362" s="133">
        <f ca="1"/>
        <v>7.7160111788094676E-2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1.4970915933151585E-2</v>
      </c>
      <c r="S363" s="156">
        <f ca="1"/>
        <v>0</v>
      </c>
      <c r="T363" s="156">
        <f ca="1"/>
        <v>4.2560782812355646E-2</v>
      </c>
      <c r="U363" s="156">
        <f ca="1"/>
        <v>8.5193521282461604E-2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1.5463307367047596E-2</v>
      </c>
      <c r="AB363" s="156">
        <f ca="1"/>
        <v>0</v>
      </c>
      <c r="AC363" s="156">
        <f ca="1"/>
        <v>4.3358316474861325E-2</v>
      </c>
      <c r="AD363" s="156">
        <f ca="1"/>
        <v>8.6260173173027588E-2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1.5470883688254999E-2</v>
      </c>
      <c r="S364" s="156">
        <f ca="1"/>
        <v>0</v>
      </c>
      <c r="T364" s="156">
        <f ca="1"/>
        <v>4.4318374376674186E-2</v>
      </c>
      <c r="U364" s="156">
        <f ca="1"/>
        <v>8.2306459622429107E-2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1.5963025200772307E-2</v>
      </c>
      <c r="AB364" s="156">
        <f ca="1"/>
        <v>0</v>
      </c>
      <c r="AC364" s="156">
        <f ca="1"/>
        <v>4.5114443989655029E-2</v>
      </c>
      <c r="AD364" s="156">
        <f ca="1"/>
        <v>8.3376477787550307E-2</v>
      </c>
      <c r="AE364" s="138">
        <f ca="1"/>
        <v>0</v>
      </c>
      <c r="AI364" s="135" t="s">
        <v>629</v>
      </c>
      <c r="AM364" s="135" t="s">
        <v>633</v>
      </c>
      <c r="AN364" s="135"/>
      <c r="AQ364" s="135" t="s">
        <v>637</v>
      </c>
      <c r="AR364" s="135"/>
      <c r="AU364" s="135" t="s">
        <v>680</v>
      </c>
      <c r="AV364" s="135"/>
    </row>
    <row r="365" spans="1:53" ht="10.5" customHeight="1">
      <c r="A365" s="96">
        <v>354</v>
      </c>
      <c r="B365" s="68" t="s">
        <v>622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4.911268560513038E-2</v>
      </c>
      <c r="S365" s="156">
        <f ca="1"/>
        <v>0</v>
      </c>
      <c r="T365" s="156">
        <f ca="1"/>
        <v>0.12114433100905297</v>
      </c>
      <c r="U365" s="156">
        <f ca="1"/>
        <v>0.21200018140802046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4.9588010421269368E-2</v>
      </c>
      <c r="AB365" s="156">
        <f ca="1"/>
        <v>0</v>
      </c>
      <c r="AC365" s="156">
        <f ca="1"/>
        <v>0.12190336762334686</v>
      </c>
      <c r="AD365" s="156">
        <f ca="1"/>
        <v>0.21296855168952777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634</v>
      </c>
      <c r="AN365" s="135">
        <f ca="1">0.00359635/AG366</f>
        <v>0.78057033849393798</v>
      </c>
      <c r="AO365" s="135"/>
      <c r="AP365" s="135"/>
      <c r="AQ365" s="135" t="s">
        <v>634</v>
      </c>
      <c r="AR365" s="135">
        <f ca="1">0.00094748/AG366</f>
        <v>0.20564594222370913</v>
      </c>
      <c r="AU365" s="135" t="s">
        <v>634</v>
      </c>
      <c r="AV365" s="585">
        <f ca="1">AX365/AG366</f>
        <v>14.640061764529777</v>
      </c>
      <c r="AX365" s="590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2.4148077518677535E-2</v>
      </c>
      <c r="S366" s="156">
        <f ca="1"/>
        <v>0</v>
      </c>
      <c r="T366" s="156">
        <f ca="1"/>
        <v>8.596839716837279E-2</v>
      </c>
      <c r="U366" s="156">
        <f ca="1"/>
        <v>0.18342145046309355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2.4635881518765168E-2</v>
      </c>
      <c r="AB366" s="156">
        <f ca="1"/>
        <v>0</v>
      </c>
      <c r="AC366" s="156">
        <f ca="1"/>
        <v>8.6758383333472189E-2</v>
      </c>
      <c r="AD366" s="156">
        <f ca="1"/>
        <v>0.18443314657332255</v>
      </c>
      <c r="AE366" s="138">
        <f ca="1"/>
        <v>0</v>
      </c>
      <c r="AF366" s="135" t="s">
        <v>630</v>
      </c>
      <c r="AG366" s="135">
        <v>4.6073362292230243E-3</v>
      </c>
      <c r="AK366" s="135"/>
      <c r="AM366" s="135" t="s">
        <v>636</v>
      </c>
      <c r="AN366" s="135">
        <f ca="1">0.00928509/AG367</f>
        <v>1.1634497154520191</v>
      </c>
      <c r="AQ366" s="135" t="s">
        <v>636</v>
      </c>
      <c r="AR366" s="135">
        <f ca="1">0.00224398/AG367</f>
        <v>0.2811774460430671</v>
      </c>
      <c r="AU366" s="135" t="s">
        <v>636</v>
      </c>
      <c r="AV366" s="585">
        <f ca="1">AX366/AG367</f>
        <v>13.956070813439366</v>
      </c>
      <c r="AX366" s="589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3.4387925952519383E-2</v>
      </c>
      <c r="S367" s="156">
        <f ca="1"/>
        <v>0</v>
      </c>
      <c r="T367" s="156">
        <f ca="1"/>
        <v>0.11749638153370434</v>
      </c>
      <c r="U367" s="156">
        <f ca="1"/>
        <v>0.23375411903640275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3.4870611308124078E-2</v>
      </c>
      <c r="AB367" s="156">
        <f ca="1"/>
        <v>0</v>
      </c>
      <c r="AC367" s="156">
        <f ca="1"/>
        <v>0.11826385951777418</v>
      </c>
      <c r="AD367" s="156">
        <f ca="1"/>
        <v>0.23471436735685758</v>
      </c>
      <c r="AE367" s="138">
        <f ca="1"/>
        <v>0</v>
      </c>
      <c r="AF367" s="135" t="s">
        <v>631</v>
      </c>
      <c r="AG367" s="135">
        <v>7.9806543219554538E-3</v>
      </c>
      <c r="AK367" s="135"/>
      <c r="AM367" s="135" t="s">
        <v>635</v>
      </c>
      <c r="AN367" s="135">
        <f ca="1">0.01555165/AG368</f>
        <v>1.6944089896016694</v>
      </c>
      <c r="AQ367" s="135" t="s">
        <v>635</v>
      </c>
      <c r="AR367" s="135">
        <f ca="1">0.00370112/AG368</f>
        <v>0.4032505232303023</v>
      </c>
      <c r="AU367" s="135" t="s">
        <v>681</v>
      </c>
      <c r="AV367" s="585">
        <f ca="1">AX367/AG368</f>
        <v>17.13745523167152</v>
      </c>
      <c r="AX367" s="588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1.1195543672951724E-2</v>
      </c>
      <c r="S368" s="156">
        <f ca="1"/>
        <v>0</v>
      </c>
      <c r="T368" s="156">
        <f ca="1"/>
        <v>2.6714069905026006E-2</v>
      </c>
      <c r="U368" s="156">
        <f ca="1"/>
        <v>5.2985745003686135E-2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1.1689822321197307E-2</v>
      </c>
      <c r="AB368" s="156">
        <f ca="1"/>
        <v>0</v>
      </c>
      <c r="AC368" s="156">
        <f ca="1"/>
        <v>2.7524803660779029E-2</v>
      </c>
      <c r="AD368" s="156">
        <f ca="1"/>
        <v>5.4113953911479662E-2</v>
      </c>
      <c r="AE368" s="138">
        <f ca="1"/>
        <v>0</v>
      </c>
      <c r="AF368" s="135" t="s">
        <v>632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1.0282491515692826E-2</v>
      </c>
      <c r="S369" s="156">
        <f ca="1"/>
        <v>0</v>
      </c>
      <c r="T369" s="156">
        <f ca="1"/>
        <v>2.9496243700949498E-2</v>
      </c>
      <c r="U369" s="156">
        <f ca="1"/>
        <v>6.6026492717001561E-2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1.0777226575853449E-2</v>
      </c>
      <c r="AB369" s="156">
        <f ca="1"/>
        <v>0</v>
      </c>
      <c r="AC369" s="156">
        <f ca="1"/>
        <v>3.0304659944292545E-2</v>
      </c>
      <c r="AD369" s="156">
        <f ca="1"/>
        <v>6.7138619308929948E-2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1.1327361240644152E-2</v>
      </c>
      <c r="S370" s="156">
        <f ca="1"/>
        <v>0</v>
      </c>
      <c r="T370" s="156">
        <f ca="1"/>
        <v>3.6869212151293351E-2</v>
      </c>
      <c r="U370" s="156">
        <f ca="1"/>
        <v>7.6258779843225377E-2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1.1821573996573465E-2</v>
      </c>
      <c r="AB370" s="156">
        <f ca="1"/>
        <v>0</v>
      </c>
      <c r="AC370" s="156">
        <f ca="1"/>
        <v>3.7671486813593336E-2</v>
      </c>
      <c r="AD370" s="156">
        <f ca="1"/>
        <v>7.735814528104179E-2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3.837266739846279E-2</v>
      </c>
      <c r="S371" s="156">
        <f ca="1"/>
        <v>0</v>
      </c>
      <c r="T371" s="156">
        <f ca="1"/>
        <v>9.5315243392806281E-2</v>
      </c>
      <c r="U371" s="156">
        <f ca="1"/>
        <v>0.17028053016927536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3.8853360881386134E-2</v>
      </c>
      <c r="AB371" s="156">
        <f ca="1"/>
        <v>0</v>
      </c>
      <c r="AC371" s="156">
        <f ca="1"/>
        <v>9.6093690009597554E-2</v>
      </c>
      <c r="AD371" s="156">
        <f ca="1"/>
        <v>0.17129233254389475</v>
      </c>
      <c r="AE371" s="138">
        <f ca="1"/>
        <v>0</v>
      </c>
      <c r="AG371" s="135"/>
      <c r="AH371" s="533" t="s">
        <v>55</v>
      </c>
      <c r="AI371" s="533" t="s">
        <v>57</v>
      </c>
      <c r="AJ371" s="533" t="s">
        <v>59</v>
      </c>
      <c r="AK371" s="135"/>
      <c r="AL371" s="533" t="s">
        <v>55</v>
      </c>
      <c r="AM371" s="533" t="s">
        <v>57</v>
      </c>
      <c r="AN371" s="533" t="s">
        <v>59</v>
      </c>
      <c r="AP371" s="533" t="s">
        <v>55</v>
      </c>
      <c r="AQ371" s="533" t="s">
        <v>57</v>
      </c>
      <c r="AR371" s="533" t="s">
        <v>59</v>
      </c>
      <c r="AT371" s="533" t="s">
        <v>55</v>
      </c>
      <c r="AU371" s="533" t="s">
        <v>57</v>
      </c>
      <c r="AV371" s="533" t="s">
        <v>59</v>
      </c>
    </row>
    <row r="372" spans="1:48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1.4435323705142666E-2</v>
      </c>
      <c r="S372" s="156">
        <f ca="1"/>
        <v>0</v>
      </c>
      <c r="T372" s="156">
        <f ca="1"/>
        <v>4.3273075107998493E-2</v>
      </c>
      <c r="U372" s="156">
        <f ca="1"/>
        <v>8.7913788979436247E-2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1.492798286820074E-2</v>
      </c>
      <c r="AB372" s="156">
        <f ca="1"/>
        <v>0</v>
      </c>
      <c r="AC372" s="156">
        <f ca="1"/>
        <v>4.4070015440796251E-2</v>
      </c>
      <c r="AD372" s="156">
        <f ca="1"/>
        <v>8.8977269074924092E-2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33">
        <f t="shared" ref="AP372:AP403" ca="1" si="11">AH372*$AR$365</f>
        <v>6.3544596147126122E-4</v>
      </c>
      <c r="AQ372" s="533">
        <f t="shared" ref="AQ372:AQ403" ca="1" si="12">AI372*$AR$366</f>
        <v>1.2920103645678934E-3</v>
      </c>
      <c r="AR372" s="533">
        <f t="shared" ref="AR372:AR403" ca="1" si="13">AJ372*$AR$367</f>
        <v>2.5469303047225894E-3</v>
      </c>
      <c r="AT372" s="533">
        <f ca="1">AH372*$AV$365</f>
        <v>4.5237790852397007E-2</v>
      </c>
      <c r="AU372" s="533">
        <f ca="1">AI372*$AV$366</f>
        <v>6.4128145387753882E-2</v>
      </c>
      <c r="AV372" s="533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1.1231034699575093E-2</v>
      </c>
      <c r="S373" s="156">
        <f ca="1"/>
        <v>0</v>
      </c>
      <c r="T373" s="156">
        <f ca="1"/>
        <v>2.891679858839824E-2</v>
      </c>
      <c r="U373" s="156">
        <f ca="1"/>
        <v>5.9880810381029992E-2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1.1725295606745623E-2</v>
      </c>
      <c r="AB373" s="156">
        <f ca="1"/>
        <v>0</v>
      </c>
      <c r="AC373" s="156">
        <f ca="1"/>
        <v>2.972569750158538E-2</v>
      </c>
      <c r="AD373" s="156">
        <f ca="1"/>
        <v>6.1000734458857786E-2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33">
        <f t="shared" ca="1" si="11"/>
        <v>6.0501036202215228E-4</v>
      </c>
      <c r="AQ373" s="533">
        <f t="shared" ca="1" si="12"/>
        <v>1.3926718902513113E-3</v>
      </c>
      <c r="AR373" s="533">
        <f t="shared" ca="1" si="13"/>
        <v>2.8425129382504007E-3</v>
      </c>
      <c r="AT373" s="533">
        <f t="shared" ref="AT373:AT436" ca="1" si="14">AH373*$AV$365</f>
        <v>4.3071061711246611E-2</v>
      </c>
      <c r="AU373" s="533">
        <f t="shared" ref="AU373:AU436" ca="1" si="15">AI373*$AV$366</f>
        <v>6.9124418738965174E-2</v>
      </c>
      <c r="AV373" s="533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623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2.7221986813110388E-2</v>
      </c>
      <c r="S374" s="156">
        <f ca="1"/>
        <v>0</v>
      </c>
      <c r="T374" s="156">
        <f ca="1"/>
        <v>7.4799303052221711E-2</v>
      </c>
      <c r="U374" s="156">
        <f ca="1"/>
        <v>0.14739612634186172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2.7708254242673425E-2</v>
      </c>
      <c r="AB374" s="156">
        <f ca="1"/>
        <v>0</v>
      </c>
      <c r="AC374" s="156">
        <f ca="1"/>
        <v>7.5594346733672713E-2</v>
      </c>
      <c r="AD374" s="156">
        <f ca="1"/>
        <v>0.14843634135433825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33">
        <f t="shared" ca="1" si="11"/>
        <v>6.2536931030229945E-4</v>
      </c>
      <c r="AQ374" s="533">
        <f t="shared" ca="1" si="12"/>
        <v>1.4505944441361833E-3</v>
      </c>
      <c r="AR374" s="533">
        <f t="shared" ca="1" si="13"/>
        <v>2.7602498315114194E-3</v>
      </c>
      <c r="AT374" s="533">
        <f t="shared" ca="1" si="14"/>
        <v>4.4520427825935051E-2</v>
      </c>
      <c r="AU374" s="533">
        <f t="shared" ca="1" si="15"/>
        <v>7.1999369326533696E-2</v>
      </c>
      <c r="AV374" s="533">
        <f t="shared" ca="1" si="16"/>
        <v>0.11730588106079157</v>
      </c>
    </row>
    <row r="375" spans="1:48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1.4783996039465563E-2</v>
      </c>
      <c r="S375" s="156">
        <f ca="1"/>
        <v>0</v>
      </c>
      <c r="T375" s="156">
        <f ca="1"/>
        <v>0.38881958864409805</v>
      </c>
      <c r="U375" s="156">
        <f ca="1"/>
        <v>3.6995530088217099E-2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1.5276480910028312E-2</v>
      </c>
      <c r="AB375" s="156">
        <f ca="1"/>
        <v>0</v>
      </c>
      <c r="AC375" s="156">
        <f ca="1"/>
        <v>0.38943580073131634</v>
      </c>
      <c r="AD375" s="156">
        <f ca="1"/>
        <v>3.8001316564463927E-2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33">
        <f t="shared" ca="1" si="11"/>
        <v>2.0202657364057183E-3</v>
      </c>
      <c r="AQ375" s="533">
        <f t="shared" ca="1" si="12"/>
        <v>4.1217801815453207E-3</v>
      </c>
      <c r="AR375" s="533">
        <f t="shared" ca="1" si="13"/>
        <v>7.5536888011500224E-3</v>
      </c>
      <c r="AT375" s="533">
        <f t="shared" ca="1" si="14"/>
        <v>0.14382396677474052</v>
      </c>
      <c r="AU375" s="533">
        <f t="shared" ca="1" si="15"/>
        <v>0.20458204205420766</v>
      </c>
      <c r="AV375" s="533">
        <f t="shared" ca="1" si="16"/>
        <v>0.32101881139967092</v>
      </c>
    </row>
    <row r="376" spans="1:48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2.609847153359901E-2</v>
      </c>
      <c r="S376" s="156">
        <f ca="1"/>
        <v>0</v>
      </c>
      <c r="T376" s="156">
        <f ca="1"/>
        <v>8.2981831963084174E-2</v>
      </c>
      <c r="U376" s="156">
        <f ca="1"/>
        <v>0.15039959333014963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2.6585300580466931E-2</v>
      </c>
      <c r="AB376" s="156">
        <f ca="1"/>
        <v>0</v>
      </c>
      <c r="AC376" s="156">
        <f ca="1"/>
        <v>8.3772680752264628E-2</v>
      </c>
      <c r="AD376" s="156">
        <f ca="1"/>
        <v>0.15143534957936666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33">
        <f t="shared" ca="1" si="11"/>
        <v>9.8031420658042153E-4</v>
      </c>
      <c r="AQ376" s="533">
        <f t="shared" ca="1" si="12"/>
        <v>2.8280827523011688E-3</v>
      </c>
      <c r="AR376" s="533">
        <f t="shared" ca="1" si="13"/>
        <v>6.2511896111161463E-3</v>
      </c>
      <c r="AT376" s="533">
        <f t="shared" ca="1" si="14"/>
        <v>6.9789174431513459E-2</v>
      </c>
      <c r="AU376" s="533">
        <f t="shared" ca="1" si="15"/>
        <v>0.14037016024157314</v>
      </c>
      <c r="AV376" s="533">
        <f t="shared" ca="1" si="16"/>
        <v>0.26566483100137189</v>
      </c>
    </row>
    <row r="377" spans="1:48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2.5908598743932809E-2</v>
      </c>
      <c r="S377" s="156">
        <f ca="1"/>
        <v>0</v>
      </c>
      <c r="T377" s="156">
        <f ca="1"/>
        <v>9.2449258471939078E-2</v>
      </c>
      <c r="U377" s="156">
        <f ca="1"/>
        <v>0.18891870958124524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2.6395522703445806E-2</v>
      </c>
      <c r="AB377" s="156">
        <f ca="1"/>
        <v>0</v>
      </c>
      <c r="AC377" s="156">
        <f ca="1"/>
        <v>9.3234763582891289E-2</v>
      </c>
      <c r="AD377" s="156">
        <f ca="1"/>
        <v>0.18992347003411725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33">
        <f t="shared" ca="1" si="11"/>
        <v>1.4031222637923674E-3</v>
      </c>
      <c r="AQ377" s="533">
        <f t="shared" ca="1" si="12"/>
        <v>3.9151147587036667E-3</v>
      </c>
      <c r="AR377" s="533">
        <f t="shared" ca="1" si="13"/>
        <v>8.1670328469833128E-3</v>
      </c>
      <c r="AT377" s="533">
        <f t="shared" ca="1" si="14"/>
        <v>9.9889141419386679E-2</v>
      </c>
      <c r="AU377" s="533">
        <f t="shared" ca="1" si="15"/>
        <v>0.19432433000632973</v>
      </c>
      <c r="AV377" s="533">
        <f t="shared" ca="1" si="16"/>
        <v>0.34708488080704331</v>
      </c>
    </row>
    <row r="378" spans="1:48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7.7978882212288436E-3</v>
      </c>
      <c r="S378" s="156">
        <f ca="1"/>
        <v>0</v>
      </c>
      <c r="T378" s="156">
        <f ca="1"/>
        <v>2.1532964933980159E-2</v>
      </c>
      <c r="U378" s="156">
        <f ca="1"/>
        <v>4.4539609612282316E-2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8.2938652725687012E-3</v>
      </c>
      <c r="AB378" s="156">
        <f ca="1"/>
        <v>0</v>
      </c>
      <c r="AC378" s="156">
        <f ca="1"/>
        <v>2.234801447871515E-2</v>
      </c>
      <c r="AD378" s="156">
        <f ca="1"/>
        <v>4.5678858874922845E-2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33">
        <f t="shared" ca="1" si="11"/>
        <v>4.5159848912326527E-4</v>
      </c>
      <c r="AQ378" s="533">
        <f t="shared" ca="1" si="12"/>
        <v>8.7643009931624011E-4</v>
      </c>
      <c r="AR378" s="533">
        <f t="shared" ca="1" si="13"/>
        <v>1.7585755318073484E-3</v>
      </c>
      <c r="AT378" s="533">
        <f t="shared" ca="1" si="14"/>
        <v>3.214957563490739E-2</v>
      </c>
      <c r="AU378" s="533">
        <f t="shared" ca="1" si="15"/>
        <v>4.3501072725490503E-2</v>
      </c>
      <c r="AV378" s="533">
        <f t="shared" ca="1" si="16"/>
        <v>7.4736442265319503E-2</v>
      </c>
    </row>
    <row r="379" spans="1:48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2.5688701405347736E-2</v>
      </c>
      <c r="S379" s="156">
        <f ca="1"/>
        <v>0</v>
      </c>
      <c r="T379" s="156">
        <f ca="1"/>
        <v>7.5120864737866944E-2</v>
      </c>
      <c r="U379" s="156">
        <f ca="1"/>
        <v>0.15414370411342959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2.6175735285968282E-2</v>
      </c>
      <c r="AB379" s="156">
        <f ca="1"/>
        <v>0</v>
      </c>
      <c r="AC379" s="156">
        <f ca="1"/>
        <v>7.5916394634597317E-2</v>
      </c>
      <c r="AD379" s="156">
        <f ca="1"/>
        <v>0.15517960450359647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33">
        <f t="shared" ca="1" si="11"/>
        <v>4.1458221952299764E-4</v>
      </c>
      <c r="AQ379" s="533">
        <f t="shared" ca="1" si="12"/>
        <v>9.6022097823707415E-4</v>
      </c>
      <c r="AR379" s="533">
        <f t="shared" ca="1" si="13"/>
        <v>2.1706975665487173E-3</v>
      </c>
      <c r="AT379" s="533">
        <f t="shared" ca="1" si="14"/>
        <v>2.951436451729203E-2</v>
      </c>
      <c r="AU379" s="533">
        <f t="shared" ca="1" si="15"/>
        <v>4.7659981827895437E-2</v>
      </c>
      <c r="AV379" s="533">
        <f t="shared" ca="1" si="16"/>
        <v>9.2250921512087788E-2</v>
      </c>
    </row>
    <row r="380" spans="1:48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2.0582642037712207E-2</v>
      </c>
      <c r="S380" s="156">
        <f ca="1"/>
        <v>0</v>
      </c>
      <c r="T380" s="156">
        <f ca="1"/>
        <v>6.1304947770947971E-2</v>
      </c>
      <c r="U380" s="156">
        <f ca="1"/>
        <v>0.1280126795070714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2.1072228309928054E-2</v>
      </c>
      <c r="AB380" s="156">
        <f ca="1"/>
        <v>0</v>
      </c>
      <c r="AC380" s="156">
        <f ca="1"/>
        <v>6.2086867802512269E-2</v>
      </c>
      <c r="AD380" s="156">
        <f ca="1"/>
        <v>0.12907750148339292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33">
        <f t="shared" ca="1" si="11"/>
        <v>4.569452836210817E-4</v>
      </c>
      <c r="AQ380" s="533">
        <f t="shared" ca="1" si="12"/>
        <v>1.1969723878053368E-3</v>
      </c>
      <c r="AR380" s="533">
        <f t="shared" ca="1" si="13"/>
        <v>2.5223320228055408E-3</v>
      </c>
      <c r="AT380" s="533">
        <f t="shared" ca="1" si="14"/>
        <v>3.2530217240785163E-2</v>
      </c>
      <c r="AU380" s="533">
        <f t="shared" ca="1" si="15"/>
        <v>5.9410993452811388E-2</v>
      </c>
      <c r="AV380" s="533">
        <f t="shared" ca="1" si="16"/>
        <v>0.10719478247410537</v>
      </c>
    </row>
    <row r="381" spans="1:48" ht="10.5" customHeight="1">
      <c r="A381" s="96">
        <v>370</v>
      </c>
      <c r="B381" s="68" t="s">
        <v>624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6.0871551450855099E-3</v>
      </c>
      <c r="S381" s="156">
        <f ca="1"/>
        <v>0</v>
      </c>
      <c r="T381" s="156">
        <f ca="1"/>
        <v>1.6517700005465596E-2</v>
      </c>
      <c r="U381" s="156">
        <f ca="1"/>
        <v>3.5873381114598701E-2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6.5839873491034817E-3</v>
      </c>
      <c r="AB381" s="156">
        <f ca="1"/>
        <v>0</v>
      </c>
      <c r="AC381" s="156">
        <f ca="1"/>
        <v>1.7336927196728524E-2</v>
      </c>
      <c r="AD381" s="156">
        <f ca="1"/>
        <v>3.7022796902169697E-2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33">
        <f t="shared" ca="1" si="11"/>
        <v>1.5696954769935719E-3</v>
      </c>
      <c r="AQ381" s="533">
        <f t="shared" ca="1" si="12"/>
        <v>3.2073911270132666E-3</v>
      </c>
      <c r="AR381" s="533">
        <f t="shared" ca="1" si="13"/>
        <v>5.9515744723560313E-3</v>
      </c>
      <c r="AT381" s="533">
        <f t="shared" ca="1" si="14"/>
        <v>0.11174759144865579</v>
      </c>
      <c r="AU381" s="533">
        <f t="shared" ca="1" si="15"/>
        <v>0.15919689976890286</v>
      </c>
      <c r="AV381" s="533">
        <f t="shared" ca="1" si="16"/>
        <v>0.25293170176423996</v>
      </c>
    </row>
    <row r="382" spans="1:48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6.1584930666902515E-3</v>
      </c>
      <c r="S382" s="156">
        <f ca="1"/>
        <v>0</v>
      </c>
      <c r="T382" s="156">
        <f ca="1"/>
        <v>1.7102631286957881E-2</v>
      </c>
      <c r="U382" s="156">
        <f ca="1"/>
        <v>3.7736736923941527E-2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6.6552896106646386E-3</v>
      </c>
      <c r="AB382" s="156">
        <f ca="1"/>
        <v>0</v>
      </c>
      <c r="AC382" s="156">
        <f ca="1"/>
        <v>1.7921371238563633E-2</v>
      </c>
      <c r="AD382" s="156">
        <f ca="1"/>
        <v>3.8884130110366733E-2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33">
        <f t="shared" ca="1" si="11"/>
        <v>5.8321189214643912E-4</v>
      </c>
      <c r="AQ382" s="533">
        <f t="shared" ca="1" si="12"/>
        <v>1.4129166663664121E-3</v>
      </c>
      <c r="AR382" s="533">
        <f t="shared" ca="1" si="13"/>
        <v>2.9284052996984555E-3</v>
      </c>
      <c r="AT382" s="533">
        <f t="shared" ca="1" si="14"/>
        <v>4.1519215164206445E-2</v>
      </c>
      <c r="AU382" s="533">
        <f t="shared" ca="1" si="15"/>
        <v>7.0129255837532808E-2</v>
      </c>
      <c r="AV382" s="533">
        <f t="shared" ca="1" si="16"/>
        <v>0.12445219989239859</v>
      </c>
    </row>
    <row r="383" spans="1:48" ht="10.5" customHeight="1">
      <c r="A383" s="96">
        <v>372</v>
      </c>
      <c r="B383" s="68" t="s">
        <v>625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5.7522592288345109E-2</v>
      </c>
      <c r="S383" s="156">
        <f ca="1"/>
        <v>0</v>
      </c>
      <c r="T383" s="156">
        <f ca="1"/>
        <v>0.14178400908408884</v>
      </c>
      <c r="U383" s="156">
        <f ca="1"/>
        <v>0.23249043827902771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5.7993713202138752E-2</v>
      </c>
      <c r="AB383" s="156">
        <f ca="1"/>
        <v>0</v>
      </c>
      <c r="AC383" s="156">
        <f ca="1"/>
        <v>0.14252764341846846</v>
      </c>
      <c r="AD383" s="156">
        <f ca="1"/>
        <v>0.23343355414271694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33">
        <f t="shared" ca="1" si="11"/>
        <v>4.5303801071883121E-4</v>
      </c>
      <c r="AQ383" s="533">
        <f t="shared" ca="1" si="12"/>
        <v>9.4588092848887765E-4</v>
      </c>
      <c r="AR383" s="533">
        <f t="shared" ca="1" si="13"/>
        <v>1.9811698206304751E-3</v>
      </c>
      <c r="AT383" s="533">
        <f t="shared" ca="1" si="14"/>
        <v>3.2252056067259102E-2</v>
      </c>
      <c r="AU383" s="533">
        <f t="shared" ca="1" si="15"/>
        <v>4.6948222216410027E-2</v>
      </c>
      <c r="AV383" s="533">
        <f t="shared" ca="1" si="16"/>
        <v>8.4196317553202171E-2</v>
      </c>
    </row>
    <row r="384" spans="1:48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1.7770588650920516E-2</v>
      </c>
      <c r="S384" s="156">
        <f ca="1"/>
        <v>0</v>
      </c>
      <c r="T384" s="156">
        <f ca="1"/>
        <v>5.7616519584056447E-2</v>
      </c>
      <c r="U384" s="156">
        <f ca="1"/>
        <v>0.12552634158260412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1.8261580598418981E-2</v>
      </c>
      <c r="AB384" s="156">
        <f ca="1"/>
        <v>0</v>
      </c>
      <c r="AC384" s="156">
        <f ca="1"/>
        <v>5.8401512025463953E-2</v>
      </c>
      <c r="AD384" s="156">
        <f ca="1"/>
        <v>0.12659549268034409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33">
        <f t="shared" ca="1" si="11"/>
        <v>1.1067864610480025E-3</v>
      </c>
      <c r="AQ384" s="533">
        <f t="shared" ca="1" si="12"/>
        <v>2.4819533162221533E-3</v>
      </c>
      <c r="AR384" s="533">
        <f t="shared" ca="1" si="13"/>
        <v>5.0370022856697063E-3</v>
      </c>
      <c r="AT384" s="533">
        <f t="shared" ca="1" si="14"/>
        <v>7.8792812416699262E-2</v>
      </c>
      <c r="AU384" s="533">
        <f t="shared" ca="1" si="15"/>
        <v>0.12319023707022927</v>
      </c>
      <c r="AV384" s="533">
        <f t="shared" ca="1" si="16"/>
        <v>0.21406395329880898</v>
      </c>
    </row>
    <row r="385" spans="1:48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1.4051140147874119E-2</v>
      </c>
      <c r="S385" s="156">
        <f ca="1"/>
        <v>0</v>
      </c>
      <c r="T385" s="156">
        <f ca="1"/>
        <v>4.1391102063504825E-2</v>
      </c>
      <c r="U385" s="156">
        <f ca="1"/>
        <v>8.3853492967588927E-2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1.4543991354720176E-2</v>
      </c>
      <c r="AB385" s="156">
        <f ca="1"/>
        <v>0</v>
      </c>
      <c r="AC385" s="156">
        <f ca="1"/>
        <v>4.2189610053879112E-2</v>
      </c>
      <c r="AD385" s="156">
        <f ca="1"/>
        <v>8.4921707312929251E-2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33">
        <f t="shared" ca="1" si="11"/>
        <v>5.9740146215987505E-4</v>
      </c>
      <c r="AQ385" s="533">
        <f t="shared" ca="1" si="12"/>
        <v>1.324064593416803E-2</v>
      </c>
      <c r="AR385" s="533">
        <f t="shared" ca="1" si="13"/>
        <v>2.6707282153542924E-3</v>
      </c>
      <c r="AT385" s="533">
        <f t="shared" ca="1" si="14"/>
        <v>4.2529379425959003E-2</v>
      </c>
      <c r="AU385" s="533">
        <f t="shared" ca="1" si="15"/>
        <v>0.65719137460485977</v>
      </c>
      <c r="AV385" s="533">
        <f t="shared" ca="1" si="16"/>
        <v>0.11350136599936049</v>
      </c>
    </row>
    <row r="386" spans="1:48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4.0450653263220282E-2</v>
      </c>
      <c r="S386" s="156">
        <f ca="1"/>
        <v>0</v>
      </c>
      <c r="T386" s="156">
        <f ca="1"/>
        <v>0.1043977391630887</v>
      </c>
      <c r="U386" s="156">
        <f ca="1"/>
        <v>0.17293702953390599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4.093030801292763E-2</v>
      </c>
      <c r="AB386" s="156">
        <f ca="1"/>
        <v>0</v>
      </c>
      <c r="AC386" s="156">
        <f ca="1"/>
        <v>0.10517009250976117</v>
      </c>
      <c r="AD386" s="156">
        <f ca="1"/>
        <v>0.17394292582327964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33">
        <f t="shared" ca="1" si="11"/>
        <v>1.060516124047668E-3</v>
      </c>
      <c r="AQ386" s="533">
        <f t="shared" ca="1" si="12"/>
        <v>2.7411989214738614E-3</v>
      </c>
      <c r="AR386" s="533">
        <f t="shared" ca="1" si="13"/>
        <v>5.1640262004872513E-3</v>
      </c>
      <c r="AT386" s="533">
        <f t="shared" ca="1" si="14"/>
        <v>7.5498798519680069E-2</v>
      </c>
      <c r="AU386" s="533">
        <f t="shared" ca="1" si="15"/>
        <v>0.13605773436022039</v>
      </c>
      <c r="AV386" s="533">
        <f t="shared" ca="1" si="16"/>
        <v>0.21946225169678549</v>
      </c>
    </row>
    <row r="387" spans="1:48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1.7443098465884987E-2</v>
      </c>
      <c r="S387" s="156">
        <f ca="1"/>
        <v>0</v>
      </c>
      <c r="T387" s="156">
        <f ca="1"/>
        <v>4.8407190068208372E-2</v>
      </c>
      <c r="U387" s="156">
        <f ca="1"/>
        <v>9.6897320905869888E-2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1.7934254117476067E-2</v>
      </c>
      <c r="AB387" s="156">
        <f ca="1"/>
        <v>0</v>
      </c>
      <c r="AC387" s="156">
        <f ca="1"/>
        <v>4.9199853754049783E-2</v>
      </c>
      <c r="AD387" s="156">
        <f ca="1"/>
        <v>9.7990091479999819E-2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33">
        <f t="shared" ca="1" si="11"/>
        <v>1.0527015782431672E-3</v>
      </c>
      <c r="AQ387" s="533">
        <f t="shared" ca="1" si="12"/>
        <v>3.0476823376608042E-3</v>
      </c>
      <c r="AR387" s="533">
        <f t="shared" ca="1" si="13"/>
        <v>6.4753969020321942E-3</v>
      </c>
      <c r="AT387" s="533">
        <f t="shared" ca="1" si="14"/>
        <v>7.4942476172627934E-2</v>
      </c>
      <c r="AU387" s="533">
        <f t="shared" ca="1" si="15"/>
        <v>0.15126985154686928</v>
      </c>
      <c r="AV387" s="533">
        <f t="shared" ca="1" si="16"/>
        <v>0.27519325611018125</v>
      </c>
    </row>
    <row r="388" spans="1:48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1.0556493253935262E-2</v>
      </c>
      <c r="S388" s="156">
        <f ca="1"/>
        <v>0</v>
      </c>
      <c r="T388" s="156">
        <f ca="1"/>
        <v>2.8406006058533828E-2</v>
      </c>
      <c r="U388" s="156">
        <f ca="1"/>
        <v>5.3545468409208596E-2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1.1051091347473396E-2</v>
      </c>
      <c r="AB388" s="156">
        <f ca="1"/>
        <v>0</v>
      </c>
      <c r="AC388" s="156">
        <f ca="1"/>
        <v>2.9215330454809396E-2</v>
      </c>
      <c r="AD388" s="156">
        <f ca="1"/>
        <v>5.4673565793244339E-2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33">
        <f t="shared" ca="1" si="11"/>
        <v>3.1402135377560386E-4</v>
      </c>
      <c r="AQ388" s="533">
        <f t="shared" ca="1" si="12"/>
        <v>7.0013184064723715E-4</v>
      </c>
      <c r="AR388" s="533">
        <f t="shared" ca="1" si="13"/>
        <v>1.4637993993259974E-3</v>
      </c>
      <c r="AT388" s="533">
        <f t="shared" ca="1" si="14"/>
        <v>2.235537431443697E-2</v>
      </c>
      <c r="AU388" s="533">
        <f t="shared" ca="1" si="15"/>
        <v>3.4750616325464022E-2</v>
      </c>
      <c r="AV388" s="533">
        <f t="shared" ca="1" si="16"/>
        <v>6.220896249096762E-2</v>
      </c>
    </row>
    <row r="389" spans="1:48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1.2052052459693319E-2</v>
      </c>
      <c r="S389" s="156">
        <f ca="1"/>
        <v>0</v>
      </c>
      <c r="T389" s="156">
        <f ca="1"/>
        <v>2.957752632686117E-2</v>
      </c>
      <c r="U389" s="156">
        <f ca="1"/>
        <v>5.6392610114391895E-2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1.2545902960489852E-2</v>
      </c>
      <c r="AB389" s="156">
        <f ca="1"/>
        <v>0</v>
      </c>
      <c r="AC389" s="156">
        <f ca="1"/>
        <v>3.0385874862924989E-2</v>
      </c>
      <c r="AD389" s="156">
        <f ca="1"/>
        <v>5.7516682852203904E-2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33">
        <f t="shared" ca="1" si="11"/>
        <v>1.0436531567853237E-3</v>
      </c>
      <c r="AQ389" s="533">
        <f t="shared" ca="1" si="12"/>
        <v>2.4847650906825837E-3</v>
      </c>
      <c r="AR389" s="533">
        <f t="shared" ca="1" si="13"/>
        <v>5.2495153114120756E-3</v>
      </c>
      <c r="AT389" s="533">
        <f t="shared" ca="1" si="14"/>
        <v>7.4298313454988621E-2</v>
      </c>
      <c r="AU389" s="533">
        <f t="shared" ca="1" si="15"/>
        <v>0.12332979777836367</v>
      </c>
      <c r="AV389" s="533">
        <f t="shared" ca="1" si="16"/>
        <v>0.22309539220589986</v>
      </c>
    </row>
    <row r="390" spans="1:48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1.5102244452374403E-2</v>
      </c>
      <c r="S390" s="156">
        <f ca="1"/>
        <v>0</v>
      </c>
      <c r="T390" s="156">
        <f ca="1"/>
        <v>4.1336183682987415E-2</v>
      </c>
      <c r="U390" s="156">
        <f ca="1"/>
        <v>8.6068192695541224E-2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1.5594570238423699E-2</v>
      </c>
      <c r="AB390" s="156">
        <f ca="1"/>
        <v>0</v>
      </c>
      <c r="AC390" s="156">
        <f ca="1"/>
        <v>4.2134737419619039E-2</v>
      </c>
      <c r="AD390" s="156">
        <f ca="1"/>
        <v>8.7133824731192466E-2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33">
        <f t="shared" ca="1" si="11"/>
        <v>8.3409994165936413E-4</v>
      </c>
      <c r="AQ390" s="533">
        <f t="shared" ca="1" si="12"/>
        <v>2.015198755790662E-3</v>
      </c>
      <c r="AR390" s="533">
        <f t="shared" ca="1" si="13"/>
        <v>4.3127643459480829E-3</v>
      </c>
      <c r="AT390" s="533">
        <f t="shared" ca="1" si="14"/>
        <v>5.9380090516932771E-2</v>
      </c>
      <c r="AU390" s="533">
        <f t="shared" ca="1" si="15"/>
        <v>0.10002315951991993</v>
      </c>
      <c r="AV390" s="533">
        <f t="shared" ca="1" si="16"/>
        <v>0.18328508370272689</v>
      </c>
    </row>
    <row r="391" spans="1:48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2.6103467703523897E-2</v>
      </c>
      <c r="S391" s="156">
        <f ca="1"/>
        <v>0</v>
      </c>
      <c r="T391" s="156">
        <f ca="1"/>
        <v>6.9386841670634025E-2</v>
      </c>
      <c r="U391" s="156">
        <f ca="1"/>
        <v>0.12296325524255824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2.6590294252881286E-2</v>
      </c>
      <c r="AB391" s="156">
        <f ca="1"/>
        <v>0</v>
      </c>
      <c r="AC391" s="156">
        <f ca="1"/>
        <v>7.0162029596065878E-2</v>
      </c>
      <c r="AD391" s="156">
        <f ca="1"/>
        <v>0.12402645564616599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33">
        <f t="shared" ca="1" si="11"/>
        <v>2.4492431718843756E-4</v>
      </c>
      <c r="AQ391" s="533">
        <f t="shared" ca="1" si="12"/>
        <v>5.3648656705017198E-4</v>
      </c>
      <c r="AR391" s="533">
        <f t="shared" ca="1" si="13"/>
        <v>1.1722492710304888E-3</v>
      </c>
      <c r="AT391" s="533">
        <f t="shared" ca="1" si="14"/>
        <v>1.7436313561554964E-2</v>
      </c>
      <c r="AU391" s="533">
        <f t="shared" ca="1" si="15"/>
        <v>2.6628183112042309E-2</v>
      </c>
      <c r="AV391" s="533">
        <f t="shared" ca="1" si="16"/>
        <v>4.9818582358469109E-2</v>
      </c>
    </row>
    <row r="392" spans="1:48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2.9739105962074297E-2</v>
      </c>
      <c r="S392" s="156">
        <f ca="1"/>
        <v>0</v>
      </c>
      <c r="T392" s="156">
        <f ca="1"/>
        <v>8.6702942456460708E-2</v>
      </c>
      <c r="U392" s="156">
        <f ca="1"/>
        <v>0.17413490393926701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3.022411514669443E-2</v>
      </c>
      <c r="AB392" s="156">
        <f ca="1"/>
        <v>0</v>
      </c>
      <c r="AC392" s="156">
        <f ca="1"/>
        <v>8.7490074147353769E-2</v>
      </c>
      <c r="AD392" s="156">
        <f ca="1"/>
        <v>0.17515062943402282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33">
        <f t="shared" ca="1" si="11"/>
        <v>2.478033603795695E-4</v>
      </c>
      <c r="AQ392" s="533">
        <f t="shared" ca="1" si="12"/>
        <v>5.5504427848901449E-4</v>
      </c>
      <c r="AR392" s="533">
        <f t="shared" ca="1" si="13"/>
        <v>1.2319303484685734E-3</v>
      </c>
      <c r="AT392" s="533">
        <f t="shared" ca="1" si="14"/>
        <v>1.7641274426258381E-2</v>
      </c>
      <c r="AU392" s="533">
        <f t="shared" ca="1" si="15"/>
        <v>2.7549283785729309E-2</v>
      </c>
      <c r="AV392" s="533">
        <f t="shared" ca="1" si="16"/>
        <v>5.2354925732756491E-2</v>
      </c>
    </row>
    <row r="393" spans="1:48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2.5138748393448096E-2</v>
      </c>
      <c r="S393" s="156">
        <f ca="1"/>
        <v>0</v>
      </c>
      <c r="T393" s="156">
        <f ca="1"/>
        <v>6.9043677192892949E-2</v>
      </c>
      <c r="U393" s="156">
        <f ca="1"/>
        <v>0.13285401497567606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2.562605718194888E-2</v>
      </c>
      <c r="AB393" s="156">
        <f ca="1"/>
        <v>0</v>
      </c>
      <c r="AC393" s="156">
        <f ca="1"/>
        <v>6.981915096960023E-2</v>
      </c>
      <c r="AD393" s="156">
        <f ca="1"/>
        <v>0.13391070578733733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33">
        <f t="shared" ca="1" si="11"/>
        <v>2.3766501542794062E-3</v>
      </c>
      <c r="AQ393" s="533">
        <f t="shared" ca="1" si="12"/>
        <v>4.8657757037752769E-3</v>
      </c>
      <c r="AR393" s="533">
        <f t="shared" ca="1" si="13"/>
        <v>8.4291456870830093E-3</v>
      </c>
      <c r="AT393" s="533">
        <f t="shared" ca="1" si="14"/>
        <v>0.16919519381267062</v>
      </c>
      <c r="AU393" s="533">
        <f t="shared" ca="1" si="15"/>
        <v>0.24150980542656825</v>
      </c>
      <c r="AV393" s="533">
        <f t="shared" ca="1" si="16"/>
        <v>0.35822422670762982</v>
      </c>
    </row>
    <row r="394" spans="1:48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3.400134385367537E-2</v>
      </c>
      <c r="S394" s="156">
        <f ca="1"/>
        <v>0</v>
      </c>
      <c r="T394" s="156">
        <f ca="1"/>
        <v>0.10094976535658673</v>
      </c>
      <c r="U394" s="156">
        <f ca="1"/>
        <v>0.1965518601192926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3.4484222452022539E-2</v>
      </c>
      <c r="AB394" s="156">
        <f ca="1"/>
        <v>0</v>
      </c>
      <c r="AC394" s="156">
        <f ca="1"/>
        <v>0.10172688891850423</v>
      </c>
      <c r="AD394" s="156">
        <f ca="1"/>
        <v>0.197544711816663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33">
        <f t="shared" ca="1" si="11"/>
        <v>7.1914385995631091E-4</v>
      </c>
      <c r="AQ394" s="533">
        <f t="shared" ca="1" si="12"/>
        <v>1.8841700659345928E-3</v>
      </c>
      <c r="AR394" s="533">
        <f t="shared" ca="1" si="13"/>
        <v>4.2018704520597498E-3</v>
      </c>
      <c r="AT394" s="533">
        <f t="shared" ca="1" si="14"/>
        <v>5.1196295990560636E-2</v>
      </c>
      <c r="AU394" s="533">
        <f t="shared" ca="1" si="15"/>
        <v>9.3519630520857197E-2</v>
      </c>
      <c r="AV394" s="533">
        <f t="shared" ca="1" si="16"/>
        <v>0.17857228351401724</v>
      </c>
    </row>
    <row r="395" spans="1:48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9.8815040896624851E-3</v>
      </c>
      <c r="S395" s="156">
        <f ca="1"/>
        <v>0</v>
      </c>
      <c r="T395" s="156">
        <f ca="1"/>
        <v>2.6740900382562272E-2</v>
      </c>
      <c r="U395" s="156">
        <f ca="1"/>
        <v>5.6283375045487416E-2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1.0376439593376641E-2</v>
      </c>
      <c r="AB395" s="156">
        <f ca="1"/>
        <v>0</v>
      </c>
      <c r="AC395" s="156">
        <f ca="1"/>
        <v>2.755161178892318E-2</v>
      </c>
      <c r="AD395" s="156">
        <f ca="1"/>
        <v>5.7408151322876244E-2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33">
        <f t="shared" ca="1" si="11"/>
        <v>5.6758280053743719E-4</v>
      </c>
      <c r="AQ395" s="533">
        <f t="shared" ca="1" si="12"/>
        <v>1.3516199831290234E-3</v>
      </c>
      <c r="AR395" s="533">
        <f t="shared" ca="1" si="13"/>
        <v>2.7913001218001525E-3</v>
      </c>
      <c r="AT395" s="533">
        <f t="shared" ca="1" si="14"/>
        <v>4.0406570470102182E-2</v>
      </c>
      <c r="AU395" s="533">
        <f t="shared" ca="1" si="15"/>
        <v>6.7086832400203023E-2</v>
      </c>
      <c r="AV395" s="533">
        <f t="shared" ca="1" si="16"/>
        <v>0.11862546511363027</v>
      </c>
    </row>
    <row r="396" spans="1:48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2.4308251791463231E-2</v>
      </c>
      <c r="S396" s="156">
        <f ca="1"/>
        <v>0</v>
      </c>
      <c r="T396" s="156">
        <f ca="1"/>
        <v>7.4556704014125064E-2</v>
      </c>
      <c r="U396" s="156">
        <f ca="1"/>
        <v>0.14337079385034834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2.4795975724387742E-2</v>
      </c>
      <c r="AB396" s="156">
        <f ca="1"/>
        <v>0</v>
      </c>
      <c r="AC396" s="156">
        <f ca="1"/>
        <v>7.5353160226272919E-2</v>
      </c>
      <c r="AD396" s="156">
        <f ca="1"/>
        <v>0.14441529638213102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33">
        <f t="shared" ca="1" si="11"/>
        <v>1.6564780646119771E-3</v>
      </c>
      <c r="AQ396" s="533">
        <f t="shared" ca="1" si="12"/>
        <v>3.5172486725527263E-3</v>
      </c>
      <c r="AR396" s="533">
        <f t="shared" ca="1" si="13"/>
        <v>6.0959381596724796E-3</v>
      </c>
      <c r="AT396" s="533">
        <f t="shared" ca="1" si="14"/>
        <v>0.11792569751328735</v>
      </c>
      <c r="AU396" s="533">
        <f t="shared" ca="1" si="15"/>
        <v>0.17457648980531301</v>
      </c>
      <c r="AV396" s="533">
        <f t="shared" ca="1" si="16"/>
        <v>0.25906691073717836</v>
      </c>
    </row>
    <row r="397" spans="1:48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2.1787570743982743E-2</v>
      </c>
      <c r="S397" s="156">
        <f ca="1"/>
        <v>0</v>
      </c>
      <c r="T397" s="156">
        <f ca="1"/>
        <v>5.7816839085411798E-2</v>
      </c>
      <c r="U397" s="156">
        <f ca="1"/>
        <v>0.11941178701908262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2.2276554702467477E-2</v>
      </c>
      <c r="AB397" s="156">
        <f ca="1"/>
        <v>0</v>
      </c>
      <c r="AC397" s="156">
        <f ca="1"/>
        <v>5.8601664663438524E-2</v>
      </c>
      <c r="AD397" s="156">
        <f ca="1"/>
        <v>0.12048326170094714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33">
        <f t="shared" ca="1" si="11"/>
        <v>7.0577687371176979E-4</v>
      </c>
      <c r="AQ397" s="533">
        <f t="shared" ca="1" si="12"/>
        <v>1.5892149250354153E-3</v>
      </c>
      <c r="AR397" s="533">
        <f t="shared" ca="1" si="13"/>
        <v>3.2485862151433158E-3</v>
      </c>
      <c r="AT397" s="533">
        <f t="shared" ca="1" si="14"/>
        <v>5.0244691975866201E-2</v>
      </c>
      <c r="AU397" s="533">
        <f t="shared" ca="1" si="15"/>
        <v>7.8879712237559296E-2</v>
      </c>
      <c r="AV397" s="533">
        <f t="shared" ca="1" si="16"/>
        <v>0.13805933934634579</v>
      </c>
    </row>
    <row r="398" spans="1:48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5.1775244357045058E-2</v>
      </c>
      <c r="S398" s="156">
        <f ca="1"/>
        <v>0</v>
      </c>
      <c r="T398" s="156">
        <f ca="1"/>
        <v>0.13714685673236404</v>
      </c>
      <c r="U398" s="156">
        <f ca="1"/>
        <v>0.21656664971892781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5.224923822658134E-2</v>
      </c>
      <c r="AB398" s="156">
        <f ca="1"/>
        <v>0</v>
      </c>
      <c r="AC398" s="156">
        <f ca="1"/>
        <v>0.13789560795117362</v>
      </c>
      <c r="AD398" s="156">
        <f ca="1"/>
        <v>0.2175252072941628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33">
        <f t="shared" ca="1" si="11"/>
        <v>4.2568710040307784E-4</v>
      </c>
      <c r="AQ398" s="533">
        <f t="shared" ca="1" si="12"/>
        <v>9.2704203960399228E-4</v>
      </c>
      <c r="AR398" s="533">
        <f t="shared" ca="1" si="13"/>
        <v>1.7787380579688634E-3</v>
      </c>
      <c r="AT398" s="533">
        <f t="shared" ca="1" si="14"/>
        <v>3.0304927852576637E-2</v>
      </c>
      <c r="AU398" s="533">
        <f t="shared" ca="1" si="15"/>
        <v>4.6013165471909589E-2</v>
      </c>
      <c r="AV398" s="533">
        <f t="shared" ca="1" si="16"/>
        <v>7.5593315026903071E-2</v>
      </c>
    </row>
    <row r="399" spans="1:48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1.2887592946732251E-2</v>
      </c>
      <c r="S399" s="156">
        <f ca="1"/>
        <v>0</v>
      </c>
      <c r="T399" s="156">
        <f ca="1"/>
        <v>3.410434679355312E-2</v>
      </c>
      <c r="U399" s="156">
        <f ca="1"/>
        <v>6.9097385947745615E-2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1.3381025781825429E-2</v>
      </c>
      <c r="AB399" s="156">
        <f ca="1"/>
        <v>0</v>
      </c>
      <c r="AC399" s="156">
        <f ca="1"/>
        <v>3.490892455062089E-2</v>
      </c>
      <c r="AD399" s="156">
        <f ca="1"/>
        <v>7.0205406599044062E-2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33">
        <f t="shared" ca="1" si="11"/>
        <v>4.8635265335907209E-4</v>
      </c>
      <c r="AQ399" s="533">
        <f t="shared" ca="1" si="12"/>
        <v>9.7006218884858146E-4</v>
      </c>
      <c r="AR399" s="533">
        <f t="shared" ca="1" si="13"/>
        <v>1.878340937206748E-3</v>
      </c>
      <c r="AT399" s="533">
        <f t="shared" ca="1" si="14"/>
        <v>3.4623746073112922E-2</v>
      </c>
      <c r="AU399" s="533">
        <f t="shared" ca="1" si="15"/>
        <v>4.8148444306365813E-2</v>
      </c>
      <c r="AV399" s="533">
        <f t="shared" ca="1" si="16"/>
        <v>7.9826266469125939E-2</v>
      </c>
    </row>
    <row r="400" spans="1:48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2.0024876859674801E-2</v>
      </c>
      <c r="S400" s="156">
        <f ca="1"/>
        <v>0</v>
      </c>
      <c r="T400" s="156">
        <f ca="1"/>
        <v>5.7624312774941955E-2</v>
      </c>
      <c r="U400" s="156">
        <f ca="1"/>
        <v>0.11688935596329852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2.0514741944728354E-2</v>
      </c>
      <c r="AB400" s="156">
        <f ca="1"/>
        <v>0</v>
      </c>
      <c r="AC400" s="156">
        <f ca="1"/>
        <v>5.8409298724735881E-2</v>
      </c>
      <c r="AD400" s="156">
        <f ca="1"/>
        <v>0.11796358978653598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33">
        <f t="shared" ca="1" si="11"/>
        <v>6.1035715651996871E-4</v>
      </c>
      <c r="AQ400" s="533">
        <f t="shared" ca="1" si="12"/>
        <v>1.3544317575894542E-3</v>
      </c>
      <c r="AR400" s="533">
        <f t="shared" ca="1" si="13"/>
        <v>2.8663047191209885E-3</v>
      </c>
      <c r="AT400" s="533">
        <f t="shared" ca="1" si="14"/>
        <v>4.3451703317124384E-2</v>
      </c>
      <c r="AU400" s="533">
        <f t="shared" ca="1" si="15"/>
        <v>6.7226393108337432E-2</v>
      </c>
      <c r="AV400" s="533">
        <f t="shared" ca="1" si="16"/>
        <v>0.12181303178672116</v>
      </c>
    </row>
    <row r="401" spans="1:48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8.8707208162558393E-3</v>
      </c>
      <c r="S401" s="156">
        <f ca="1"/>
        <v>0</v>
      </c>
      <c r="T401" s="156">
        <f ca="1"/>
        <v>2.5618151902847996E-2</v>
      </c>
      <c r="U401" s="156">
        <f ca="1"/>
        <v>5.0669706794922886E-2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9.3661615853779523E-3</v>
      </c>
      <c r="AB401" s="156">
        <f ca="1"/>
        <v>0</v>
      </c>
      <c r="AC401" s="156">
        <f ca="1"/>
        <v>2.6429798543231242E-2</v>
      </c>
      <c r="AD401" s="156">
        <f ca="1"/>
        <v>5.1801716623089855E-2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33">
        <f t="shared" ca="1" si="11"/>
        <v>1.0607217699898917E-3</v>
      </c>
      <c r="AQ401" s="533">
        <f t="shared" ca="1" si="12"/>
        <v>2.3011562184164611E-3</v>
      </c>
      <c r="AR401" s="533">
        <f t="shared" ca="1" si="13"/>
        <v>4.2139679677566586E-3</v>
      </c>
      <c r="AT401" s="533">
        <f t="shared" ca="1" si="14"/>
        <v>7.5513438581444589E-2</v>
      </c>
      <c r="AU401" s="533">
        <f t="shared" ca="1" si="15"/>
        <v>0.11421648353718777</v>
      </c>
      <c r="AV401" s="533">
        <f t="shared" ca="1" si="16"/>
        <v>0.17908640717096738</v>
      </c>
    </row>
    <row r="402" spans="1:48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1.4728418620302386E-2</v>
      </c>
      <c r="S402" s="156">
        <f ca="1"/>
        <v>0</v>
      </c>
      <c r="T402" s="156">
        <f ca="1"/>
        <v>4.3365781598874831E-2</v>
      </c>
      <c r="U402" s="156">
        <f ca="1"/>
        <v>9.1885715991103067E-2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1.5220931272586835E-2</v>
      </c>
      <c r="AB402" s="156">
        <f ca="1"/>
        <v>0</v>
      </c>
      <c r="AC402" s="156">
        <f ca="1"/>
        <v>4.4162644708445331E-2</v>
      </c>
      <c r="AD402" s="156">
        <f ca="1"/>
        <v>9.298503120657553E-2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33">
        <f t="shared" ca="1" si="11"/>
        <v>1.2106376618709756E-3</v>
      </c>
      <c r="AQ402" s="533">
        <f t="shared" ca="1" si="12"/>
        <v>2.8806629347112225E-3</v>
      </c>
      <c r="AR402" s="533">
        <f t="shared" ca="1" si="13"/>
        <v>5.9838345142144561E-3</v>
      </c>
      <c r="AT402" s="533">
        <f t="shared" ca="1" si="14"/>
        <v>8.6186043607786797E-2</v>
      </c>
      <c r="AU402" s="533">
        <f t="shared" ca="1" si="15"/>
        <v>0.14297994548368631</v>
      </c>
      <c r="AV402" s="533">
        <f t="shared" ca="1" si="16"/>
        <v>0.25430269818277368</v>
      </c>
    </row>
    <row r="403" spans="1:48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6.6933683589706083E-3</v>
      </c>
      <c r="S403" s="156">
        <f ca="1"/>
        <v>0</v>
      </c>
      <c r="T403" s="156">
        <f ca="1"/>
        <v>1.9337462497871716E-2</v>
      </c>
      <c r="U403" s="156">
        <f ca="1"/>
        <v>4.1383666892775173E-2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7.1898975321612602E-3</v>
      </c>
      <c r="AB403" s="156">
        <f ca="1"/>
        <v>0</v>
      </c>
      <c r="AC403" s="156">
        <f ca="1"/>
        <v>2.0154340865831899E-2</v>
      </c>
      <c r="AD403" s="156">
        <f ca="1"/>
        <v>4.2526877213872272E-2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33">
        <f t="shared" ca="1" si="11"/>
        <v>1.0210321031407159E-3</v>
      </c>
      <c r="AQ403" s="533">
        <f t="shared" ca="1" si="12"/>
        <v>2.2854102814380494E-3</v>
      </c>
      <c r="AR403" s="533">
        <f t="shared" ca="1" si="13"/>
        <v>4.5272936243066038E-3</v>
      </c>
      <c r="AT403" s="533">
        <f t="shared" ca="1" si="14"/>
        <v>7.2687906660890339E-2</v>
      </c>
      <c r="AU403" s="533">
        <f t="shared" ca="1" si="15"/>
        <v>0.11343494357163517</v>
      </c>
      <c r="AV403" s="533">
        <f t="shared" ca="1" si="16"/>
        <v>0.19240220988597614</v>
      </c>
    </row>
    <row r="404" spans="1:48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1.1089063158589929E-2</v>
      </c>
      <c r="S404" s="156">
        <f ca="1"/>
        <v>0</v>
      </c>
      <c r="T404" s="156">
        <f ca="1"/>
        <v>3.0498224560282283E-2</v>
      </c>
      <c r="U404" s="156">
        <f ca="1"/>
        <v>5.8476973857102266E-2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1.1583395033776256E-2</v>
      </c>
      <c r="AB404" s="156">
        <f ca="1"/>
        <v>0</v>
      </c>
      <c r="AC404" s="156">
        <f ca="1"/>
        <v>3.1305806167435501E-2</v>
      </c>
      <c r="AD404" s="156">
        <f ca="1"/>
        <v>5.9599113945547733E-2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33">
        <f t="shared" ref="AP404:AP435" ca="1" si="20">AH404*$AR$365</f>
        <v>1.387081880298918E-3</v>
      </c>
      <c r="AQ404" s="533">
        <f t="shared" ref="AQ404:AQ435" ca="1" si="21">AI404*$AR$366</f>
        <v>3.3685058035959436E-3</v>
      </c>
      <c r="AR404" s="533">
        <f t="shared" ref="AR404:AR435" ca="1" si="22">AJ404*$AR$367</f>
        <v>6.8250151056728665E-3</v>
      </c>
      <c r="AT404" s="533">
        <f t="shared" ca="1" si="14"/>
        <v>9.8747216601753354E-2</v>
      </c>
      <c r="AU404" s="533">
        <f t="shared" ca="1" si="15"/>
        <v>0.16719372834500359</v>
      </c>
      <c r="AV404" s="533">
        <f t="shared" ca="1" si="16"/>
        <v>0.29005142979604048</v>
      </c>
    </row>
    <row r="405" spans="1:48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8.6775927136204523E-3</v>
      </c>
      <c r="S405" s="156">
        <f ca="1"/>
        <v>0</v>
      </c>
      <c r="T405" s="156">
        <f ca="1"/>
        <v>0.22665745380000901</v>
      </c>
      <c r="U405" s="156">
        <f ca="1"/>
        <v>2.55509846526083E-2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9.1731300225591506E-3</v>
      </c>
      <c r="AB405" s="156">
        <f ca="1"/>
        <v>0</v>
      </c>
      <c r="AC405" s="156">
        <f ca="1"/>
        <v>0.22737251333046216</v>
      </c>
      <c r="AD405" s="156">
        <f ca="1"/>
        <v>2.6631590850849429E-2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33">
        <f t="shared" ca="1" si="20"/>
        <v>3.9833619008732457E-4</v>
      </c>
      <c r="AQ405" s="533">
        <f t="shared" ca="1" si="21"/>
        <v>8.7193126017955113E-4</v>
      </c>
      <c r="AR405" s="533">
        <f t="shared" ca="1" si="22"/>
        <v>1.8553556573826209E-3</v>
      </c>
      <c r="AT405" s="533">
        <f t="shared" ca="1" si="14"/>
        <v>2.8357799637894178E-2</v>
      </c>
      <c r="AU405" s="533">
        <f t="shared" ca="1" si="15"/>
        <v>4.3277775592475476E-2</v>
      </c>
      <c r="AV405" s="533">
        <f t="shared" ca="1" si="16"/>
        <v>7.8849431520920665E-2</v>
      </c>
    </row>
    <row r="406" spans="1:48" ht="10.5" customHeight="1">
      <c r="A406" s="96">
        <v>395</v>
      </c>
      <c r="B406" s="68" t="s">
        <v>626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8.6644922805887092E-2</v>
      </c>
      <c r="S406" s="156">
        <f ca="1"/>
        <v>0</v>
      </c>
      <c r="T406" s="156">
        <f ca="1"/>
        <v>0.20004359197211086</v>
      </c>
      <c r="U406" s="156">
        <f ca="1"/>
        <v>0.32102440985764269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8.710148619410818E-2</v>
      </c>
      <c r="AB406" s="156">
        <f ca="1"/>
        <v>0</v>
      </c>
      <c r="AC406" s="156">
        <f ca="1"/>
        <v>0.20074163293080483</v>
      </c>
      <c r="AD406" s="156">
        <f ca="1"/>
        <v>0.32187273343650491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33">
        <f t="shared" ca="1" si="20"/>
        <v>9.8689487673158023E-4</v>
      </c>
      <c r="AQ406" s="533">
        <f t="shared" ca="1" si="21"/>
        <v>2.4597402979847512E-3</v>
      </c>
      <c r="AR406" s="533">
        <f t="shared" ca="1" si="22"/>
        <v>4.8873963415512643E-3</v>
      </c>
      <c r="AT406" s="533">
        <f t="shared" ca="1" si="14"/>
        <v>7.0257656407978403E-2</v>
      </c>
      <c r="AU406" s="533">
        <f t="shared" ca="1" si="15"/>
        <v>0.12208770747596759</v>
      </c>
      <c r="AV406" s="533">
        <f t="shared" ca="1" si="16"/>
        <v>0.20770595740785883</v>
      </c>
    </row>
    <row r="407" spans="1:48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9.3279833476120899E-3</v>
      </c>
      <c r="S407" s="156">
        <f ca="1"/>
        <v>0</v>
      </c>
      <c r="T407" s="156">
        <f ca="1"/>
        <v>2.6543968987190691E-2</v>
      </c>
      <c r="U407" s="156">
        <f ca="1"/>
        <v>5.3226339423702251E-2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9.8231955425721607E-3</v>
      </c>
      <c r="AB407" s="156">
        <f ca="1"/>
        <v>0</v>
      </c>
      <c r="AC407" s="156">
        <f ca="1"/>
        <v>2.7354844434691716E-2</v>
      </c>
      <c r="AD407" s="156">
        <f ca="1"/>
        <v>5.4355177028454271E-2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33">
        <f t="shared" ca="1" si="20"/>
        <v>8.8345496779305445E-4</v>
      </c>
      <c r="AQ407" s="533">
        <f t="shared" ca="1" si="21"/>
        <v>1.9091948586324257E-3</v>
      </c>
      <c r="AR407" s="533">
        <f t="shared" ca="1" si="22"/>
        <v>4.0284727270707204E-3</v>
      </c>
      <c r="AT407" s="533">
        <f t="shared" ca="1" si="14"/>
        <v>6.2893705340419923E-2</v>
      </c>
      <c r="AU407" s="533">
        <f t="shared" ca="1" si="15"/>
        <v>9.4761720823253293E-2</v>
      </c>
      <c r="AV407" s="533">
        <f t="shared" ca="1" si="16"/>
        <v>0.1712031777643985</v>
      </c>
    </row>
    <row r="408" spans="1:48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6.8359543637374065E-3</v>
      </c>
      <c r="S408" s="156">
        <f ca="1"/>
        <v>0</v>
      </c>
      <c r="T408" s="156">
        <f ca="1"/>
        <v>1.7566898012529641E-2</v>
      </c>
      <c r="U408" s="156">
        <f ca="1"/>
        <v>3.4825357643277211E-2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7.3324122617500764E-3</v>
      </c>
      <c r="AB408" s="156">
        <f ca="1"/>
        <v>0</v>
      </c>
      <c r="AC408" s="156">
        <f ca="1"/>
        <v>1.838525123631618E-2</v>
      </c>
      <c r="AD408" s="156">
        <f ca="1"/>
        <v>3.5975469722823505E-2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33">
        <f t="shared" ca="1" si="20"/>
        <v>2.1327540668020875E-3</v>
      </c>
      <c r="AQ408" s="533">
        <f t="shared" ca="1" si="21"/>
        <v>4.6734503306818187E-3</v>
      </c>
      <c r="AR408" s="533">
        <f t="shared" ca="1" si="22"/>
        <v>7.8129788875871079E-3</v>
      </c>
      <c r="AT408" s="533">
        <f t="shared" ca="1" si="14"/>
        <v>0.15183208055993833</v>
      </c>
      <c r="AU408" s="533">
        <f t="shared" ca="1" si="15"/>
        <v>0.23196385299017572</v>
      </c>
      <c r="AV408" s="533">
        <f t="shared" ca="1" si="16"/>
        <v>0.33203819511363569</v>
      </c>
    </row>
    <row r="409" spans="1:48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2.3121358211725784E-2</v>
      </c>
      <c r="S409" s="156">
        <f ca="1"/>
        <v>0</v>
      </c>
      <c r="T409" s="156">
        <f ca="1"/>
        <v>6.4166805294819218E-2</v>
      </c>
      <c r="U409" s="156">
        <f ca="1"/>
        <v>0.13087292283583429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2.3609675443117428E-2</v>
      </c>
      <c r="AB409" s="156">
        <f ca="1"/>
        <v>0</v>
      </c>
      <c r="AC409" s="156">
        <f ca="1"/>
        <v>6.4946341438600674E-2</v>
      </c>
      <c r="AD409" s="156">
        <f ca="1"/>
        <v>0.13193353916573425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33">
        <f t="shared" ca="1" si="20"/>
        <v>5.2028423382598416E-4</v>
      </c>
      <c r="AQ409" s="533">
        <f t="shared" ca="1" si="21"/>
        <v>1.1162744607909763E-3</v>
      </c>
      <c r="AR409" s="533">
        <f t="shared" ca="1" si="22"/>
        <v>2.2953019782268806E-3</v>
      </c>
      <c r="AT409" s="533">
        <f t="shared" ca="1" si="14"/>
        <v>3.7039356264260338E-2</v>
      </c>
      <c r="AU409" s="533">
        <f t="shared" ca="1" si="15"/>
        <v>5.5405601129354276E-2</v>
      </c>
      <c r="AV409" s="533">
        <f t="shared" ca="1" si="16"/>
        <v>9.7546395178674292E-2</v>
      </c>
    </row>
    <row r="410" spans="1:48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1.3540355332049892E-2</v>
      </c>
      <c r="S410" s="156">
        <f ca="1"/>
        <v>0</v>
      </c>
      <c r="T410" s="156">
        <f ca="1"/>
        <v>3.6438621636152302E-2</v>
      </c>
      <c r="U410" s="156">
        <f ca="1"/>
        <v>6.8312867023341717E-2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1.4033461867443697E-2</v>
      </c>
      <c r="AB410" s="156">
        <f ca="1"/>
        <v>0</v>
      </c>
      <c r="AC410" s="156">
        <f ca="1"/>
        <v>3.7241254974461069E-2</v>
      </c>
      <c r="AD410" s="156">
        <f ca="1"/>
        <v>6.9422360099638869E-2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33">
        <f t="shared" ca="1" si="20"/>
        <v>8.1127324207253243E-4</v>
      </c>
      <c r="AQ410" s="533">
        <f t="shared" ca="1" si="21"/>
        <v>1.8948548088842292E-3</v>
      </c>
      <c r="AR410" s="533">
        <f t="shared" ca="1" si="22"/>
        <v>3.9369348582974414E-3</v>
      </c>
      <c r="AT410" s="533">
        <f t="shared" ca="1" si="14"/>
        <v>5.7755043661069969E-2</v>
      </c>
      <c r="AU410" s="533">
        <f t="shared" ca="1" si="15"/>
        <v>9.4049961211767896E-2</v>
      </c>
      <c r="AV410" s="533">
        <f t="shared" ca="1" si="16"/>
        <v>0.16731297542680906</v>
      </c>
    </row>
    <row r="411" spans="1:48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9.5209880749163034E-3</v>
      </c>
      <c r="S411" s="156">
        <f ca="1"/>
        <v>0</v>
      </c>
      <c r="T411" s="156">
        <f ca="1"/>
        <v>0.25831888396213432</v>
      </c>
      <c r="U411" s="156">
        <f ca="1"/>
        <v>2.6364151897432686E-2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1.0016103791610664E-2</v>
      </c>
      <c r="AB411" s="156">
        <f ca="1"/>
        <v>0</v>
      </c>
      <c r="AC411" s="156">
        <f ca="1"/>
        <v>0.25901502612357363</v>
      </c>
      <c r="AD411" s="156">
        <f ca="1"/>
        <v>2.7431678041743401E-2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33">
        <f t="shared" ca="1" si="20"/>
        <v>3.5741264758480646E-4</v>
      </c>
      <c r="AQ411" s="533">
        <f t="shared" ca="1" si="21"/>
        <v>8.3256641773352168E-4</v>
      </c>
      <c r="AR411" s="533">
        <f t="shared" ca="1" si="22"/>
        <v>1.6722799198360635E-3</v>
      </c>
      <c r="AT411" s="533">
        <f t="shared" ca="1" si="14"/>
        <v>2.5444427346752754E-2</v>
      </c>
      <c r="AU411" s="533">
        <f t="shared" ca="1" si="15"/>
        <v>4.1323925678593963E-2</v>
      </c>
      <c r="AV411" s="533">
        <f t="shared" ca="1" si="16"/>
        <v>7.106902684574179E-2</v>
      </c>
    </row>
    <row r="412" spans="1:48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1.603620687727636E-2</v>
      </c>
      <c r="S412" s="156">
        <f ca="1"/>
        <v>0</v>
      </c>
      <c r="T412" s="156">
        <f ca="1"/>
        <v>4.2095305217100365E-2</v>
      </c>
      <c r="U412" s="156">
        <f ca="1"/>
        <v>8.2256866645431859E-2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1.6528065798808722E-2</v>
      </c>
      <c r="AB412" s="156">
        <f ca="1"/>
        <v>0</v>
      </c>
      <c r="AC412" s="156">
        <f ca="1"/>
        <v>4.2893226615961066E-2</v>
      </c>
      <c r="AD412" s="156">
        <f ca="1"/>
        <v>8.3326942635323475E-2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33">
        <f t="shared" ca="1" si="20"/>
        <v>5.9513935679541424E-4</v>
      </c>
      <c r="AQ412" s="533">
        <f t="shared" ca="1" si="21"/>
        <v>1.4171343280570583E-3</v>
      </c>
      <c r="AR412" s="533">
        <f t="shared" ca="1" si="22"/>
        <v>3.0566389660856915E-3</v>
      </c>
      <c r="AT412" s="533">
        <f t="shared" ca="1" si="14"/>
        <v>4.2368338746549175E-2</v>
      </c>
      <c r="AU412" s="533">
        <f t="shared" ca="1" si="15"/>
        <v>7.0338596899734401E-2</v>
      </c>
      <c r="AV412" s="533">
        <f t="shared" ca="1" si="16"/>
        <v>0.12990191065607012</v>
      </c>
    </row>
    <row r="413" spans="1:48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3.4273949251770186E-2</v>
      </c>
      <c r="S413" s="156">
        <f ca="1"/>
        <v>0</v>
      </c>
      <c r="T413" s="156">
        <f ca="1"/>
        <v>9.8871556480575551E-2</v>
      </c>
      <c r="U413" s="156">
        <f ca="1"/>
        <v>0.17744958471389949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3.4756691581534715E-2</v>
      </c>
      <c r="AB413" s="156">
        <f ca="1"/>
        <v>0</v>
      </c>
      <c r="AC413" s="156">
        <f ca="1"/>
        <v>9.9649751234042072E-2</v>
      </c>
      <c r="AD413" s="156">
        <f ca="1"/>
        <v>0.17845681168615002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33">
        <f t="shared" ca="1" si="20"/>
        <v>2.6939618431305894E-4</v>
      </c>
      <c r="AQ413" s="533">
        <f t="shared" ca="1" si="21"/>
        <v>6.2702570467603966E-4</v>
      </c>
      <c r="AR413" s="533">
        <f t="shared" ca="1" si="22"/>
        <v>1.354115257007355E-3</v>
      </c>
      <c r="AT413" s="533">
        <f t="shared" ca="1" si="14"/>
        <v>1.9178480911534009E-2</v>
      </c>
      <c r="AU413" s="533">
        <f t="shared" ca="1" si="15"/>
        <v>3.112203791396979E-2</v>
      </c>
      <c r="AV413" s="533">
        <f t="shared" ca="1" si="16"/>
        <v>5.7547574667952961E-2</v>
      </c>
    </row>
    <row r="414" spans="1:48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9.2263872062403607E-3</v>
      </c>
      <c r="S414" s="156">
        <f ca="1"/>
        <v>0</v>
      </c>
      <c r="T414" s="156">
        <f ca="1"/>
        <v>2.6261717912271054E-2</v>
      </c>
      <c r="U414" s="156">
        <f ca="1"/>
        <v>5.2143977032461986E-2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9.7216501865152738E-3</v>
      </c>
      <c r="AB414" s="156">
        <f ca="1"/>
        <v>0</v>
      </c>
      <c r="AC414" s="156">
        <f ca="1"/>
        <v>2.7072828470992572E-2</v>
      </c>
      <c r="AD414" s="156">
        <f ca="1"/>
        <v>5.3274133786958555E-2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33">
        <f t="shared" ca="1" si="20"/>
        <v>4.4727992433656733E-4</v>
      </c>
      <c r="AQ414" s="533">
        <f t="shared" ca="1" si="21"/>
        <v>9.9508698154641452E-4</v>
      </c>
      <c r="AR414" s="533">
        <f t="shared" ca="1" si="22"/>
        <v>1.9420545198771358E-3</v>
      </c>
      <c r="AT414" s="533">
        <f t="shared" ca="1" si="14"/>
        <v>3.1842134337852261E-2</v>
      </c>
      <c r="AU414" s="533">
        <f t="shared" ca="1" si="15"/>
        <v>4.9390534608761916E-2</v>
      </c>
      <c r="AV414" s="533">
        <f t="shared" ca="1" si="16"/>
        <v>8.2533984395730037E-2</v>
      </c>
    </row>
    <row r="415" spans="1:48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9.9830348380933742E-3</v>
      </c>
      <c r="S415" s="156">
        <f ca="1"/>
        <v>0</v>
      </c>
      <c r="T415" s="156">
        <f ca="1"/>
        <v>2.3147029545219522E-2</v>
      </c>
      <c r="U415" s="156">
        <f ca="1"/>
        <v>4.598018921954905E-2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1.0477919589181761E-2</v>
      </c>
      <c r="AB415" s="156">
        <f ca="1"/>
        <v>0</v>
      </c>
      <c r="AC415" s="156">
        <f ca="1"/>
        <v>2.3960734596389144E-2</v>
      </c>
      <c r="AD415" s="156">
        <f ca="1"/>
        <v>4.7116821701871481E-2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33">
        <f t="shared" ca="1" si="20"/>
        <v>3.4959810178030549E-4</v>
      </c>
      <c r="AQ415" s="533">
        <f t="shared" ca="1" si="21"/>
        <v>7.4118374776952489E-3</v>
      </c>
      <c r="AR415" s="533">
        <f t="shared" ca="1" si="22"/>
        <v>1.5763062953072517E-3</v>
      </c>
      <c r="AT415" s="533">
        <f t="shared" ca="1" si="14"/>
        <v>2.4888104999700619E-2</v>
      </c>
      <c r="AU415" s="533">
        <f t="shared" ca="1" si="15"/>
        <v>0.36788202664226172</v>
      </c>
      <c r="AV415" s="533">
        <f t="shared" ca="1" si="16"/>
        <v>6.6990312500603971E-2</v>
      </c>
    </row>
    <row r="416" spans="1:48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1.2016590090098922E-2</v>
      </c>
      <c r="S416" s="156">
        <f ca="1"/>
        <v>0</v>
      </c>
      <c r="T416" s="156">
        <f ca="1"/>
        <v>4.1749061458466907E-2</v>
      </c>
      <c r="U416" s="156">
        <f ca="1"/>
        <v>9.2983868833319328E-2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1.2510458317767204E-2</v>
      </c>
      <c r="AB416" s="156">
        <f ca="1"/>
        <v>0</v>
      </c>
      <c r="AC416" s="156">
        <f ca="1"/>
        <v>4.2547271273621567E-2</v>
      </c>
      <c r="AD416" s="156">
        <f ca="1"/>
        <v>9.4084259858180364E-2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33">
        <f t="shared" ca="1" si="20"/>
        <v>3.6358202585151777E-3</v>
      </c>
      <c r="AQ416" s="533">
        <f t="shared" ca="1" si="21"/>
        <v>7.0792045590263005E-3</v>
      </c>
      <c r="AR416" s="533">
        <f t="shared" ca="1" si="22"/>
        <v>1.2191473068821729E-2</v>
      </c>
      <c r="AT416" s="533">
        <f t="shared" ca="1" si="14"/>
        <v>0.25883629199688646</v>
      </c>
      <c r="AU416" s="533">
        <f t="shared" ca="1" si="15"/>
        <v>0.35137199486996296</v>
      </c>
      <c r="AV416" s="533">
        <f t="shared" ca="1" si="16"/>
        <v>0.51811668401912503</v>
      </c>
    </row>
    <row r="417" spans="1:48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1.1682169754799743E-2</v>
      </c>
      <c r="S417" s="156">
        <f ca="1"/>
        <v>0</v>
      </c>
      <c r="T417" s="156">
        <f ca="1"/>
        <v>3.1714356390015297E-2</v>
      </c>
      <c r="U417" s="156">
        <f ca="1"/>
        <v>6.1572685050928055E-2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1.2176205150723263E-2</v>
      </c>
      <c r="AB417" s="156">
        <f ca="1"/>
        <v>0</v>
      </c>
      <c r="AC417" s="156">
        <f ca="1"/>
        <v>3.2520924976075838E-2</v>
      </c>
      <c r="AD417" s="156">
        <f ca="1"/>
        <v>6.2690834355253466E-2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33">
        <f t="shared" ca="1" si="20"/>
        <v>3.7592078238494027E-4</v>
      </c>
      <c r="AQ417" s="533">
        <f t="shared" ca="1" si="21"/>
        <v>8.6349593679825901E-4</v>
      </c>
      <c r="AR417" s="533">
        <f t="shared" ca="1" si="22"/>
        <v>1.756962529714427E-3</v>
      </c>
      <c r="AT417" s="533">
        <f t="shared" ca="1" si="14"/>
        <v>2.6762032905560434E-2</v>
      </c>
      <c r="AU417" s="533">
        <f t="shared" ca="1" si="15"/>
        <v>4.285909346807229E-2</v>
      </c>
      <c r="AV417" s="533">
        <f t="shared" ca="1" si="16"/>
        <v>7.4667892444392814E-2</v>
      </c>
    </row>
    <row r="418" spans="1:48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8.1590149798709266E-3</v>
      </c>
      <c r="S418" s="156">
        <f ca="1"/>
        <v>0</v>
      </c>
      <c r="T418" s="156">
        <f ca="1"/>
        <v>2.2716109995556844E-2</v>
      </c>
      <c r="U418" s="156">
        <f ca="1"/>
        <v>4.6665348441617738E-2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8.6548115129276848E-3</v>
      </c>
      <c r="AB418" s="156">
        <f ca="1"/>
        <v>0</v>
      </c>
      <c r="AC418" s="156">
        <f ca="1"/>
        <v>2.3530173996788584E-2</v>
      </c>
      <c r="AD418" s="156">
        <f ca="1"/>
        <v>4.7802082389245437E-2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33">
        <f t="shared" ca="1" si="20"/>
        <v>2.7515427069532282E-4</v>
      </c>
      <c r="AQ418" s="533">
        <f t="shared" ca="1" si="21"/>
        <v>5.7219610269764148E-4</v>
      </c>
      <c r="AR418" s="533">
        <f t="shared" ca="1" si="22"/>
        <v>1.1464412375437494E-3</v>
      </c>
      <c r="AT418" s="533">
        <f t="shared" ca="1" si="14"/>
        <v>1.9588402640940843E-2</v>
      </c>
      <c r="AU418" s="533">
        <f t="shared" ca="1" si="15"/>
        <v>2.8400604105349107E-2</v>
      </c>
      <c r="AV418" s="533">
        <f t="shared" ca="1" si="16"/>
        <v>4.8721785223642136E-2</v>
      </c>
    </row>
    <row r="419" spans="1:48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2.0597712506619681E-2</v>
      </c>
      <c r="S419" s="156">
        <f ca="1"/>
        <v>0</v>
      </c>
      <c r="T419" s="156">
        <f ca="1"/>
        <v>5.942263805545922E-2</v>
      </c>
      <c r="U419" s="156">
        <f ca="1"/>
        <v>0.12105959040606029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2.1087291245453055E-2</v>
      </c>
      <c r="AB419" s="156">
        <f ca="1"/>
        <v>0</v>
      </c>
      <c r="AC419" s="156">
        <f ca="1"/>
        <v>6.0206126025076356E-2</v>
      </c>
      <c r="AD419" s="156">
        <f ca="1"/>
        <v>0.12212998376966755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33">
        <f t="shared" ca="1" si="20"/>
        <v>9.3815678842456109E-4</v>
      </c>
      <c r="AQ419" s="533">
        <f t="shared" ca="1" si="21"/>
        <v>2.1189532333805538E-3</v>
      </c>
      <c r="AR419" s="533">
        <f t="shared" ca="1" si="22"/>
        <v>4.4313199997777922E-3</v>
      </c>
      <c r="AT419" s="533">
        <f t="shared" ca="1" si="14"/>
        <v>6.678796176978484E-2</v>
      </c>
      <c r="AU419" s="533">
        <f t="shared" ca="1" si="15"/>
        <v>0.10517294965007906</v>
      </c>
      <c r="AV419" s="533">
        <f t="shared" ca="1" si="16"/>
        <v>0.18832349554083835</v>
      </c>
    </row>
    <row r="420" spans="1:48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1.5839389019406847E-2</v>
      </c>
      <c r="S420" s="156">
        <f ca="1"/>
        <v>0</v>
      </c>
      <c r="T420" s="156">
        <f ca="1"/>
        <v>4.4568692789254571E-2</v>
      </c>
      <c r="U420" s="156">
        <f ca="1"/>
        <v>9.3561899166012874E-2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1.6331346325329399E-2</v>
      </c>
      <c r="AB420" s="156">
        <f ca="1"/>
        <v>0</v>
      </c>
      <c r="AC420" s="156">
        <f ca="1"/>
        <v>4.5364553890423265E-2</v>
      </c>
      <c r="AD420" s="156">
        <f ca="1"/>
        <v>9.4659072965184166E-2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33">
        <f t="shared" ca="1" si="20"/>
        <v>5.4681256037284257E-4</v>
      </c>
      <c r="AQ420" s="533">
        <f t="shared" ca="1" si="21"/>
        <v>1.1927547261146906E-3</v>
      </c>
      <c r="AR420" s="533">
        <f t="shared" ca="1" si="22"/>
        <v>2.2819947109602805E-3</v>
      </c>
      <c r="AT420" s="533">
        <f t="shared" ca="1" si="14"/>
        <v>3.8927924231884674E-2</v>
      </c>
      <c r="AU420" s="533">
        <f t="shared" ca="1" si="15"/>
        <v>5.9201652390609795E-2</v>
      </c>
      <c r="AV420" s="533">
        <f t="shared" ca="1" si="16"/>
        <v>9.6980859156029137E-2</v>
      </c>
    </row>
    <row r="421" spans="1:48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9.409252958115677E-3</v>
      </c>
      <c r="S421" s="156">
        <f ca="1"/>
        <v>0</v>
      </c>
      <c r="T421" s="156">
        <f ca="1"/>
        <v>2.2359894684803927E-2</v>
      </c>
      <c r="U421" s="156">
        <f ca="1"/>
        <v>4.3896912264036136E-2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9.9044245284497512E-3</v>
      </c>
      <c r="AB421" s="156">
        <f ca="1"/>
        <v>0</v>
      </c>
      <c r="AC421" s="156">
        <f ca="1"/>
        <v>2.3174255408460076E-2</v>
      </c>
      <c r="AD421" s="156">
        <f ca="1"/>
        <v>4.5036120456125261E-2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33">
        <f t="shared" ca="1" si="20"/>
        <v>3.8373532818944124E-4</v>
      </c>
      <c r="AQ421" s="533">
        <f t="shared" ca="1" si="21"/>
        <v>8.5084295172632093E-3</v>
      </c>
      <c r="AR421" s="533">
        <f t="shared" ca="1" si="22"/>
        <v>1.7279284920418453E-3</v>
      </c>
      <c r="AT421" s="533">
        <f t="shared" ca="1" si="14"/>
        <v>2.7318355252612565E-2</v>
      </c>
      <c r="AU421" s="533">
        <f t="shared" ca="1" si="15"/>
        <v>0.4223107028146752</v>
      </c>
      <c r="AV421" s="533">
        <f t="shared" ca="1" si="16"/>
        <v>7.3433995667712457E-2</v>
      </c>
    </row>
    <row r="422" spans="1:48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1.4960813035328258E-2</v>
      </c>
      <c r="S422" s="156">
        <f ca="1"/>
        <v>0</v>
      </c>
      <c r="T422" s="156">
        <f ca="1"/>
        <v>4.4202701268878597E-2</v>
      </c>
      <c r="U422" s="156">
        <f ca="1"/>
        <v>9.0655911300503544E-2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1.5453209519391775E-2</v>
      </c>
      <c r="AB422" s="156">
        <f ca="1"/>
        <v>0</v>
      </c>
      <c r="AC422" s="156">
        <f ca="1"/>
        <v>4.4998867235938267E-2</v>
      </c>
      <c r="AD422" s="156">
        <f ca="1"/>
        <v>9.1755734838664726E-2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33">
        <f t="shared" ca="1" si="20"/>
        <v>6.4840165583135488E-4</v>
      </c>
      <c r="AQ422" s="533">
        <f t="shared" ca="1" si="21"/>
        <v>1.382549502193761E-3</v>
      </c>
      <c r="AR422" s="533">
        <f t="shared" ca="1" si="22"/>
        <v>2.7533945726165043E-3</v>
      </c>
      <c r="AT422" s="533">
        <f t="shared" ca="1" si="14"/>
        <v>4.6160114743562387E-2</v>
      </c>
      <c r="AU422" s="533">
        <f t="shared" ca="1" si="15"/>
        <v>6.862200018968137E-2</v>
      </c>
      <c r="AV422" s="533">
        <f t="shared" ca="1" si="16"/>
        <v>0.11701454432185314</v>
      </c>
    </row>
    <row r="423" spans="1:48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1.8309457464459777E-2</v>
      </c>
      <c r="S423" s="156">
        <f ca="1"/>
        <v>0</v>
      </c>
      <c r="T423" s="156">
        <f ca="1"/>
        <v>5.4058047985924396E-2</v>
      </c>
      <c r="U423" s="156">
        <f ca="1"/>
        <v>0.10880802756610719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1.8800180044885373E-2</v>
      </c>
      <c r="AB423" s="156">
        <f ca="1"/>
        <v>0</v>
      </c>
      <c r="AC423" s="156">
        <f ca="1"/>
        <v>5.4846004585050512E-2</v>
      </c>
      <c r="AD423" s="156">
        <f ca="1"/>
        <v>0.10989003765770322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33">
        <f t="shared" ca="1" si="20"/>
        <v>1.398392407121222E-3</v>
      </c>
      <c r="AQ423" s="533">
        <f t="shared" ca="1" si="21"/>
        <v>3.3018667488837368E-3</v>
      </c>
      <c r="AR423" s="533">
        <f t="shared" ca="1" si="22"/>
        <v>6.1798142685043833E-3</v>
      </c>
      <c r="AT423" s="533">
        <f t="shared" ca="1" si="14"/>
        <v>9.9552419998802474E-2</v>
      </c>
      <c r="AU423" s="533">
        <f t="shared" ca="1" si="15"/>
        <v>0.16388613956221848</v>
      </c>
      <c r="AV423" s="533">
        <f t="shared" ca="1" si="16"/>
        <v>0.26263150142536607</v>
      </c>
    </row>
    <row r="424" spans="1:48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1.2345835922598747E-2</v>
      </c>
      <c r="S424" s="156">
        <f ca="1"/>
        <v>0</v>
      </c>
      <c r="T424" s="156">
        <f ca="1"/>
        <v>3.4292259222349464E-2</v>
      </c>
      <c r="U424" s="156">
        <f ca="1"/>
        <v>7.3169696611155244E-2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1.2839539568425429E-2</v>
      </c>
      <c r="AB424" s="156">
        <f ca="1"/>
        <v>0</v>
      </c>
      <c r="AC424" s="156">
        <f ca="1"/>
        <v>3.5096680450959705E-2</v>
      </c>
      <c r="AD424" s="156">
        <f ca="1"/>
        <v>7.4272121192398233E-2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33">
        <f t="shared" ca="1" si="20"/>
        <v>3.7180786354046612E-4</v>
      </c>
      <c r="AQ424" s="533">
        <f t="shared" ca="1" si="21"/>
        <v>8.5421708107883787E-4</v>
      </c>
      <c r="AR424" s="533">
        <f t="shared" ca="1" si="22"/>
        <v>1.7218797341933909E-3</v>
      </c>
      <c r="AT424" s="533">
        <f t="shared" ca="1" si="14"/>
        <v>2.6469231670269835E-2</v>
      </c>
      <c r="AU424" s="533">
        <f t="shared" ca="1" si="15"/>
        <v>4.2398543131228796E-2</v>
      </c>
      <c r="AV424" s="533">
        <f t="shared" ca="1" si="16"/>
        <v>7.3176933839237401E-2</v>
      </c>
    </row>
    <row r="425" spans="1:48" ht="10.5" customHeight="1">
      <c r="A425" s="96">
        <v>414</v>
      </c>
      <c r="B425" s="68" t="s">
        <v>627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2.0899074760983849E-2</v>
      </c>
      <c r="S425" s="156">
        <f ca="1"/>
        <v>0</v>
      </c>
      <c r="T425" s="156">
        <f ca="1"/>
        <v>5.2286721318265506E-2</v>
      </c>
      <c r="U425" s="156">
        <f ca="1"/>
        <v>0.10123132308089478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2.1388502856329539E-2</v>
      </c>
      <c r="AB425" s="156">
        <f ca="1"/>
        <v>0</v>
      </c>
      <c r="AC425" s="156">
        <f ca="1"/>
        <v>5.3076153408121884E-2</v>
      </c>
      <c r="AD425" s="156">
        <f ca="1"/>
        <v>0.10231803106172388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33">
        <f t="shared" ca="1" si="20"/>
        <v>4.0244910893179878E-4</v>
      </c>
      <c r="AQ425" s="533">
        <f t="shared" ca="1" si="21"/>
        <v>7.5946028176232419E-4</v>
      </c>
      <c r="AR425" s="533">
        <f t="shared" ca="1" si="22"/>
        <v>1.5234804767640822E-3</v>
      </c>
      <c r="AT425" s="533">
        <f t="shared" ca="1" si="14"/>
        <v>2.8650600873184773E-2</v>
      </c>
      <c r="AU425" s="533">
        <f t="shared" ca="1" si="15"/>
        <v>3.7695347267099728E-2</v>
      </c>
      <c r="AV425" s="533">
        <f t="shared" ca="1" si="16"/>
        <v>6.474530586525501E-2</v>
      </c>
    </row>
    <row r="426" spans="1:48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2.0868942574342686E-2</v>
      </c>
      <c r="S426" s="156">
        <f ca="1"/>
        <v>0</v>
      </c>
      <c r="T426" s="156">
        <f ca="1"/>
        <v>5.6208908410417924E-2</v>
      </c>
      <c r="U426" s="156">
        <f ca="1"/>
        <v>0.1124702772147812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2.13583857320786E-2</v>
      </c>
      <c r="AB426" s="156">
        <f ca="1"/>
        <v>0</v>
      </c>
      <c r="AC426" s="156">
        <f ca="1"/>
        <v>5.6995073372535843E-2</v>
      </c>
      <c r="AD426" s="156">
        <f ca="1"/>
        <v>0.1135477021997543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33">
        <f t="shared" ca="1" si="20"/>
        <v>4.849131317635061E-4</v>
      </c>
      <c r="AQ426" s="533">
        <f t="shared" ca="1" si="21"/>
        <v>1.3541505801434111E-3</v>
      </c>
      <c r="AR426" s="533">
        <f t="shared" ca="1" si="22"/>
        <v>3.0715592354452126E-3</v>
      </c>
      <c r="AT426" s="533">
        <f t="shared" ca="1" si="14"/>
        <v>3.452126564076121E-2</v>
      </c>
      <c r="AU426" s="533">
        <f t="shared" ca="1" si="15"/>
        <v>6.7212437037523984E-2</v>
      </c>
      <c r="AV426" s="533">
        <f t="shared" ca="1" si="16"/>
        <v>0.13053599649964195</v>
      </c>
    </row>
    <row r="427" spans="1:48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1.6903768664002783E-2</v>
      </c>
      <c r="S427" s="156">
        <f ca="1"/>
        <v>0</v>
      </c>
      <c r="T427" s="156">
        <f ca="1"/>
        <v>5.3279726015319051E-2</v>
      </c>
      <c r="U427" s="156">
        <f ca="1"/>
        <v>0.11163706246454319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1.7395193913109619E-2</v>
      </c>
      <c r="AB427" s="156">
        <f ca="1"/>
        <v>0</v>
      </c>
      <c r="AC427" s="156">
        <f ca="1"/>
        <v>5.4068330945978182E-2</v>
      </c>
      <c r="AD427" s="156">
        <f ca="1"/>
        <v>0.11271798263368404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33">
        <f t="shared" ca="1" si="20"/>
        <v>4.7134049957674135E-4</v>
      </c>
      <c r="AQ427" s="533">
        <f t="shared" ca="1" si="21"/>
        <v>1.0358577112226592E-3</v>
      </c>
      <c r="AR427" s="533">
        <f t="shared" ca="1" si="22"/>
        <v>2.0456899043473239E-3</v>
      </c>
      <c r="AT427" s="533">
        <f t="shared" ca="1" si="14"/>
        <v>3.3555021564302255E-2</v>
      </c>
      <c r="AU427" s="533">
        <f t="shared" ca="1" si="15"/>
        <v>5.1414164876710626E-2</v>
      </c>
      <c r="AV427" s="533">
        <f t="shared" ca="1" si="16"/>
        <v>8.6938310390269627E-2</v>
      </c>
    </row>
    <row r="428" spans="1:48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1.3687042618419909E-2</v>
      </c>
      <c r="S428" s="156">
        <f ca="1"/>
        <v>0</v>
      </c>
      <c r="T428" s="156">
        <f ca="1"/>
        <v>3.8411040894322235E-2</v>
      </c>
      <c r="U428" s="156">
        <f ca="1"/>
        <v>7.2023700109172917E-2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1.4180075828589378E-2</v>
      </c>
      <c r="AB428" s="156">
        <f ca="1"/>
        <v>0</v>
      </c>
      <c r="AC428" s="156">
        <f ca="1"/>
        <v>3.9212031234547973E-2</v>
      </c>
      <c r="AD428" s="156">
        <f ca="1"/>
        <v>7.3128620889503004E-2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33">
        <f t="shared" ca="1" si="20"/>
        <v>3.2862221567348719E-4</v>
      </c>
      <c r="AQ428" s="533">
        <f t="shared" ca="1" si="21"/>
        <v>7.3865315075513725E-4</v>
      </c>
      <c r="AR428" s="533">
        <f t="shared" ca="1" si="22"/>
        <v>1.5351747419377608E-3</v>
      </c>
      <c r="AT428" s="533">
        <f t="shared" ca="1" si="14"/>
        <v>2.3394818699718586E-2</v>
      </c>
      <c r="AU428" s="533">
        <f t="shared" ca="1" si="15"/>
        <v>3.6662598026905212E-2</v>
      </c>
      <c r="AV428" s="533">
        <f t="shared" ca="1" si="16"/>
        <v>6.5242292066973476E-2</v>
      </c>
    </row>
    <row r="429" spans="1:48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1.7644643411343974E-2</v>
      </c>
      <c r="S429" s="156">
        <f ca="1"/>
        <v>0</v>
      </c>
      <c r="T429" s="156">
        <f ca="1"/>
        <v>4.792809111495866E-2</v>
      </c>
      <c r="U429" s="156">
        <f ca="1"/>
        <v>9.3276102072710421E-2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1.8135698315666526E-2</v>
      </c>
      <c r="AB429" s="156">
        <f ca="1"/>
        <v>0</v>
      </c>
      <c r="AC429" s="156">
        <f ca="1"/>
        <v>4.8721153883666712E-2</v>
      </c>
      <c r="AD429" s="156">
        <f ca="1"/>
        <v>9.4333329784243469E-2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33">
        <f t="shared" ca="1" si="20"/>
        <v>8.3471687948603543E-4</v>
      </c>
      <c r="AQ429" s="533">
        <f t="shared" ca="1" si="21"/>
        <v>1.9550267823374456E-3</v>
      </c>
      <c r="AR429" s="533">
        <f t="shared" ca="1" si="22"/>
        <v>4.0812985456138897E-3</v>
      </c>
      <c r="AT429" s="533">
        <f t="shared" ca="1" si="14"/>
        <v>5.9424010702226367E-2</v>
      </c>
      <c r="AU429" s="533">
        <f t="shared" ca="1" si="15"/>
        <v>9.7036560365843919E-2</v>
      </c>
      <c r="AV429" s="533">
        <f t="shared" ca="1" si="16"/>
        <v>0.17344818439974746</v>
      </c>
    </row>
    <row r="430" spans="1:48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9.1095391028241934E-3</v>
      </c>
      <c r="S430" s="156">
        <f ca="1"/>
        <v>0</v>
      </c>
      <c r="T430" s="156">
        <f ca="1"/>
        <v>2.3751274880757789E-2</v>
      </c>
      <c r="U430" s="156">
        <f ca="1"/>
        <v>4.5899637688837203E-2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9.6048604926457504E-3</v>
      </c>
      <c r="AB430" s="156">
        <f ca="1"/>
        <v>0</v>
      </c>
      <c r="AC430" s="156">
        <f ca="1"/>
        <v>2.4564476603899266E-2</v>
      </c>
      <c r="AD430" s="156">
        <f ca="1"/>
        <v>4.7036847165912943E-2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33">
        <f t="shared" ca="1" si="20"/>
        <v>6.4038146408463019E-4</v>
      </c>
      <c r="AQ430" s="533">
        <f t="shared" ca="1" si="21"/>
        <v>1.4601544773016474E-3</v>
      </c>
      <c r="AR430" s="533">
        <f t="shared" ca="1" si="22"/>
        <v>3.1199492982328489E-3</v>
      </c>
      <c r="AT430" s="533">
        <f t="shared" ca="1" si="14"/>
        <v>4.5589152334745725E-2</v>
      </c>
      <c r="AU430" s="533">
        <f t="shared" ca="1" si="15"/>
        <v>7.2473875734190618E-2</v>
      </c>
      <c r="AV430" s="533">
        <f t="shared" ca="1" si="16"/>
        <v>0.13259249112744256</v>
      </c>
    </row>
    <row r="431" spans="1:48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1.3201376070192783E-2</v>
      </c>
      <c r="S431" s="156">
        <f ca="1"/>
        <v>0</v>
      </c>
      <c r="T431" s="156">
        <f ca="1"/>
        <v>3.9525766419731267E-2</v>
      </c>
      <c r="U431" s="156">
        <f ca="1"/>
        <v>7.8317557049080611E-2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1.3694652052903211E-2</v>
      </c>
      <c r="AB431" s="156">
        <f ca="1"/>
        <v>0</v>
      </c>
      <c r="AC431" s="156">
        <f ca="1"/>
        <v>4.0325828209005099E-2</v>
      </c>
      <c r="AD431" s="156">
        <f ca="1"/>
        <v>7.9413989720870881E-2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33">
        <f t="shared" ca="1" si="20"/>
        <v>3.7921111746051962E-4</v>
      </c>
      <c r="AQ431" s="533">
        <f t="shared" ca="1" si="21"/>
        <v>7.3246724694218989E-4</v>
      </c>
      <c r="AR431" s="533">
        <f t="shared" ca="1" si="22"/>
        <v>1.4537181362452398E-3</v>
      </c>
      <c r="AT431" s="533">
        <f t="shared" ca="1" si="14"/>
        <v>2.6996273893792909E-2</v>
      </c>
      <c r="AU431" s="533">
        <f t="shared" ca="1" si="15"/>
        <v>3.6355564469009553E-2</v>
      </c>
      <c r="AV431" s="533">
        <f t="shared" ca="1" si="16"/>
        <v>6.1780526110175836E-2</v>
      </c>
    </row>
    <row r="432" spans="1:48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1.1758184039736719E-2</v>
      </c>
      <c r="S432" s="156">
        <f ca="1"/>
        <v>0</v>
      </c>
      <c r="T432" s="156">
        <f ca="1"/>
        <v>3.3630635690250155E-2</v>
      </c>
      <c r="U432" s="156">
        <f ca="1"/>
        <v>7.0339260739678222E-2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1.2252181438094589E-2</v>
      </c>
      <c r="AB432" s="156">
        <f ca="1"/>
        <v>0</v>
      </c>
      <c r="AC432" s="156">
        <f ca="1"/>
        <v>3.4435608042091226E-2</v>
      </c>
      <c r="AD432" s="156">
        <f ca="1"/>
        <v>7.1445907635089845E-2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33">
        <f t="shared" ca="1" si="20"/>
        <v>6.0459907013770482E-4</v>
      </c>
      <c r="AQ432" s="533">
        <f t="shared" ca="1" si="21"/>
        <v>1.4446897177692788E-3</v>
      </c>
      <c r="AR432" s="533">
        <f t="shared" ca="1" si="22"/>
        <v>3.0219594210878853E-3</v>
      </c>
      <c r="AT432" s="533">
        <f t="shared" ca="1" si="14"/>
        <v>4.3041781587717542E-2</v>
      </c>
      <c r="AU432" s="533">
        <f t="shared" ca="1" si="15"/>
        <v>7.1706291839451472E-2</v>
      </c>
      <c r="AV432" s="533">
        <f t="shared" ca="1" si="16"/>
        <v>0.12842808950614637</v>
      </c>
    </row>
    <row r="433" spans="1:48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1.9049305469705624E-2</v>
      </c>
      <c r="S433" s="156">
        <f ca="1"/>
        <v>0</v>
      </c>
      <c r="T433" s="156">
        <f ca="1"/>
        <v>4.9603411135849096E-2</v>
      </c>
      <c r="U433" s="156">
        <f ca="1"/>
        <v>9.6087202194237054E-2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1.9539658218603706E-2</v>
      </c>
      <c r="AB433" s="156">
        <f ca="1"/>
        <v>0</v>
      </c>
      <c r="AC433" s="156">
        <f ca="1"/>
        <v>5.0395078386037406E-2</v>
      </c>
      <c r="AD433" s="156">
        <f ca="1"/>
        <v>9.717937570544033E-2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33">
        <f t="shared" ca="1" si="20"/>
        <v>7.411479757742477E-4</v>
      </c>
      <c r="AQ433" s="533">
        <f t="shared" ca="1" si="21"/>
        <v>1.7731049747475812E-3</v>
      </c>
      <c r="AR433" s="533">
        <f t="shared" ca="1" si="22"/>
        <v>3.6546594920362297E-3</v>
      </c>
      <c r="AT433" s="533">
        <f t="shared" ca="1" si="14"/>
        <v>5.2762782599365315E-2</v>
      </c>
      <c r="AU433" s="533">
        <f t="shared" ca="1" si="15"/>
        <v>8.800698254954864E-2</v>
      </c>
      <c r="AV433" s="533">
        <f t="shared" ca="1" si="16"/>
        <v>0.15531675676463899</v>
      </c>
    </row>
    <row r="434" spans="1:48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1.522850584702351E-2</v>
      </c>
      <c r="S434" s="156">
        <f ca="1"/>
        <v>0</v>
      </c>
      <c r="T434" s="156">
        <f ca="1"/>
        <v>4.0413695321848131E-2</v>
      </c>
      <c r="U434" s="156">
        <f ca="1"/>
        <v>8.012448583643994E-2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1.5720768518206585E-2</v>
      </c>
      <c r="AB434" s="156">
        <f ca="1"/>
        <v>0</v>
      </c>
      <c r="AC434" s="156">
        <f ca="1"/>
        <v>4.1213017478597291E-2</v>
      </c>
      <c r="AD434" s="156">
        <f ca="1"/>
        <v>8.119704815330786E-2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33">
        <f t="shared" ca="1" si="20"/>
        <v>4.9828011800804716E-4</v>
      </c>
      <c r="AQ434" s="533">
        <f t="shared" ca="1" si="21"/>
        <v>1.1199297675895364E-3</v>
      </c>
      <c r="AR434" s="533">
        <f t="shared" ca="1" si="22"/>
        <v>2.4211161414747348E-3</v>
      </c>
      <c r="AT434" s="533">
        <f t="shared" ca="1" si="14"/>
        <v>3.5472869655455645E-2</v>
      </c>
      <c r="AU434" s="533">
        <f t="shared" ca="1" si="15"/>
        <v>5.5587030049929001E-2</v>
      </c>
      <c r="AV434" s="533">
        <f t="shared" ca="1" si="16"/>
        <v>0.1028932812109558</v>
      </c>
    </row>
    <row r="435" spans="1:48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2.0311335211416814E-2</v>
      </c>
      <c r="S435" s="156">
        <f ca="1"/>
        <v>0</v>
      </c>
      <c r="T435" s="156">
        <f ca="1"/>
        <v>5.1630105949496685E-2</v>
      </c>
      <c r="U435" s="156">
        <f ca="1"/>
        <v>0.10016886238676737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2.080105710310054E-2</v>
      </c>
      <c r="AB435" s="156">
        <f ca="1"/>
        <v>0</v>
      </c>
      <c r="AC435" s="156">
        <f ca="1"/>
        <v>5.2420084990863924E-2</v>
      </c>
      <c r="AD435" s="156">
        <f ca="1"/>
        <v>0.10125683420283704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33">
        <f t="shared" ca="1" si="20"/>
        <v>8.4705563601945801E-4</v>
      </c>
      <c r="AQ435" s="533">
        <f t="shared" ca="1" si="21"/>
        <v>1.7283977608267334E-3</v>
      </c>
      <c r="AR435" s="533">
        <f t="shared" ca="1" si="22"/>
        <v>3.4195644369929635E-3</v>
      </c>
      <c r="AT435" s="533">
        <f t="shared" ca="1" si="14"/>
        <v>6.0302414408098158E-2</v>
      </c>
      <c r="AU435" s="533">
        <f t="shared" ca="1" si="15"/>
        <v>8.5787967290211778E-2</v>
      </c>
      <c r="AV435" s="533">
        <f t="shared" ca="1" si="16"/>
        <v>0.1453256203645745</v>
      </c>
    </row>
    <row r="436" spans="1:48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9.8865808677753853E-3</v>
      </c>
      <c r="S436" s="156">
        <f ca="1"/>
        <v>0</v>
      </c>
      <c r="T436" s="156">
        <f ca="1"/>
        <v>2.709807562361366E-2</v>
      </c>
      <c r="U436" s="156">
        <f ca="1"/>
        <v>5.760272826040469E-2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1.0381513833805256E-2</v>
      </c>
      <c r="AB436" s="156">
        <f ca="1"/>
        <v>0</v>
      </c>
      <c r="AC436" s="156">
        <f ca="1"/>
        <v>2.7908489507876499E-2</v>
      </c>
      <c r="AD436" s="156">
        <f ca="1"/>
        <v>5.8725879719844665E-2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33">
        <f t="shared" ref="AP436:AP466" ca="1" si="26">AH436*$AR$365</f>
        <v>8.4582176036611574E-4</v>
      </c>
      <c r="AQ436" s="533">
        <f t="shared" ref="AQ436:AQ466" ca="1" si="27">AI436*$AR$366</f>
        <v>1.8535217243158982E-3</v>
      </c>
      <c r="AR436" s="533">
        <f t="shared" ref="AR436:AR466" ca="1" si="28">AJ436*$AR$367</f>
        <v>3.7941841730739145E-3</v>
      </c>
      <c r="AT436" s="533">
        <f t="shared" ca="1" si="14"/>
        <v>6.021457403751098E-2</v>
      </c>
      <c r="AU436" s="533">
        <f t="shared" ca="1" si="15"/>
        <v>9.1998418802192297E-2</v>
      </c>
      <c r="AV436" s="533">
        <f t="shared" ca="1" si="16"/>
        <v>0.16124631627479735</v>
      </c>
    </row>
    <row r="437" spans="1:48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9.0079211495631695E-3</v>
      </c>
      <c r="S437" s="156">
        <f ca="1"/>
        <v>0</v>
      </c>
      <c r="T437" s="156">
        <f ca="1"/>
        <v>2.5725859673687457E-2</v>
      </c>
      <c r="U437" s="156">
        <f ca="1"/>
        <v>5.1805351989650084E-2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9.5032933356029581E-3</v>
      </c>
      <c r="AB437" s="156">
        <f ca="1"/>
        <v>0</v>
      </c>
      <c r="AC437" s="156">
        <f ca="1"/>
        <v>2.6537416594943908E-2</v>
      </c>
      <c r="AD437" s="156">
        <f ca="1"/>
        <v>5.2935950865684145E-2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33">
        <f t="shared" ca="1" si="26"/>
        <v>6.8377275789383279E-4</v>
      </c>
      <c r="AQ437" s="533">
        <f t="shared" ca="1" si="27"/>
        <v>1.7418942782368007E-3</v>
      </c>
      <c r="AR437" s="533">
        <f t="shared" ca="1" si="28"/>
        <v>3.7345030956358297E-3</v>
      </c>
      <c r="AT437" s="533">
        <f t="shared" ref="AT437:AT466" ca="1" si="29">AH437*$AV$365</f>
        <v>4.8678205367061508E-2</v>
      </c>
      <c r="AU437" s="533">
        <f t="shared" ref="AU437:AU466" ca="1" si="30">AI437*$AV$366</f>
        <v>8.6457858689256872E-2</v>
      </c>
      <c r="AV437" s="533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1.2776227243667226E-2</v>
      </c>
      <c r="S438" s="156">
        <f ca="1"/>
        <v>0</v>
      </c>
      <c r="T438" s="156">
        <f ca="1"/>
        <v>3.6870485853777946E-2</v>
      </c>
      <c r="U438" s="156">
        <f ca="1"/>
        <v>7.1246233891953947E-2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1.3269715747612709E-2</v>
      </c>
      <c r="AB438" s="156">
        <f ca="1"/>
        <v>0</v>
      </c>
      <c r="AC438" s="156">
        <f ca="1"/>
        <v>3.7672759455175786E-2</v>
      </c>
      <c r="AD438" s="156">
        <f ca="1"/>
        <v>7.2352204359416472E-2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33">
        <f t="shared" ca="1" si="26"/>
        <v>5.5277629269733007E-4</v>
      </c>
      <c r="AQ438" s="533">
        <f t="shared" ca="1" si="27"/>
        <v>1.2557384740283378E-3</v>
      </c>
      <c r="AR438" s="533">
        <f t="shared" ca="1" si="28"/>
        <v>2.4061958721152137E-3</v>
      </c>
      <c r="AT438" s="533">
        <f t="shared" ca="1" si="29"/>
        <v>3.9352486023056042E-2</v>
      </c>
      <c r="AU438" s="533">
        <f t="shared" ca="1" si="30"/>
        <v>6.2327812252820212E-2</v>
      </c>
      <c r="AV438" s="533">
        <f t="shared" ca="1" si="31"/>
        <v>0.10225919536738397</v>
      </c>
    </row>
    <row r="439" spans="1:48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1.092171410137377E-2</v>
      </c>
      <c r="S439" s="156">
        <f ca="1"/>
        <v>0</v>
      </c>
      <c r="T439" s="156">
        <f ca="1"/>
        <v>2.8680165506819288E-2</v>
      </c>
      <c r="U439" s="156">
        <f ca="1"/>
        <v>5.8376427687340748E-2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1.1416129630178018E-2</v>
      </c>
      <c r="AB439" s="156">
        <f ca="1"/>
        <v>0</v>
      </c>
      <c r="AC439" s="156">
        <f ca="1"/>
        <v>2.9489261532048783E-2</v>
      </c>
      <c r="AD439" s="156">
        <f ca="1"/>
        <v>5.9498409492536042E-2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33">
        <f t="shared" ca="1" si="26"/>
        <v>7.140027114007181E-4</v>
      </c>
      <c r="AQ439" s="533">
        <f t="shared" ca="1" si="27"/>
        <v>1.5748748752872188E-3</v>
      </c>
      <c r="AR439" s="533">
        <f t="shared" ca="1" si="28"/>
        <v>3.1320468139297577E-3</v>
      </c>
      <c r="AT439" s="533">
        <f t="shared" ca="1" si="29"/>
        <v>5.0830294446447384E-2</v>
      </c>
      <c r="AU439" s="533">
        <f t="shared" ca="1" si="30"/>
        <v>7.8167952626073886E-2</v>
      </c>
      <c r="AV439" s="533">
        <f t="shared" ca="1" si="31"/>
        <v>0.1331066147843927</v>
      </c>
    </row>
    <row r="440" spans="1:48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1.9190167643808875E-2</v>
      </c>
      <c r="S440" s="156">
        <f ca="1"/>
        <v>0</v>
      </c>
      <c r="T440" s="156">
        <f ca="1"/>
        <v>6.3073301808176607E-2</v>
      </c>
      <c r="U440" s="156">
        <f ca="1"/>
        <v>0.12268780029838977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1.9680449979129322E-2</v>
      </c>
      <c r="AB440" s="156">
        <f ca="1"/>
        <v>0</v>
      </c>
      <c r="AC440" s="156">
        <f ca="1"/>
        <v>6.3853748825246859E-2</v>
      </c>
      <c r="AD440" s="156">
        <f ca="1"/>
        <v>0.12375660729919757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33">
        <f t="shared" ca="1" si="26"/>
        <v>3.6707800686932077E-4</v>
      </c>
      <c r="AQ440" s="533">
        <f t="shared" ca="1" si="27"/>
        <v>7.7492504129469302E-4</v>
      </c>
      <c r="AR440" s="533">
        <f t="shared" ca="1" si="28"/>
        <v>1.5190447210085489E-3</v>
      </c>
      <c r="AT440" s="533">
        <f t="shared" ca="1" si="29"/>
        <v>2.6132510249685652E-2</v>
      </c>
      <c r="AU440" s="533">
        <f t="shared" ca="1" si="30"/>
        <v>3.8462931161838895E-2</v>
      </c>
      <c r="AV440" s="533">
        <f t="shared" ca="1" si="31"/>
        <v>6.4556793857706615E-2</v>
      </c>
    </row>
    <row r="441" spans="1:48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1.0896355780596889E-2</v>
      </c>
      <c r="S441" s="156">
        <f ca="1"/>
        <v>0</v>
      </c>
      <c r="T441" s="156">
        <f ca="1"/>
        <v>2.7593152692754308E-2</v>
      </c>
      <c r="U441" s="156">
        <f ca="1"/>
        <v>5.6080056112959742E-2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1.1390783985407826E-2</v>
      </c>
      <c r="AB441" s="156">
        <f ca="1"/>
        <v>0</v>
      </c>
      <c r="AC441" s="156">
        <f ca="1"/>
        <v>2.8403154184665547E-2</v>
      </c>
      <c r="AD441" s="156">
        <f ca="1"/>
        <v>5.7204748024134999E-2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33">
        <f t="shared" ca="1" si="26"/>
        <v>5.3303428224385409E-4</v>
      </c>
      <c r="AQ441" s="533">
        <f t="shared" ca="1" si="27"/>
        <v>1.2889174126614197E-3</v>
      </c>
      <c r="AR441" s="533">
        <f t="shared" ca="1" si="28"/>
        <v>2.6058048811142135E-3</v>
      </c>
      <c r="AT441" s="533">
        <f t="shared" ca="1" si="29"/>
        <v>3.7947040093661184E-2</v>
      </c>
      <c r="AU441" s="533">
        <f t="shared" ca="1" si="30"/>
        <v>6.3974628608806053E-2</v>
      </c>
      <c r="AV441" s="533">
        <f t="shared" ca="1" si="31"/>
        <v>0.11074223570706136</v>
      </c>
    </row>
    <row r="442" spans="1:48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2.5258763695743314E-2</v>
      </c>
      <c r="S442" s="156">
        <f ca="1"/>
        <v>0</v>
      </c>
      <c r="T442" s="156">
        <f ca="1"/>
        <v>8.6157260420572701E-2</v>
      </c>
      <c r="U442" s="156">
        <f ca="1"/>
        <v>0.17386899155835034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2.5746012491590475E-2</v>
      </c>
      <c r="AB442" s="156">
        <f ca="1"/>
        <v>0</v>
      </c>
      <c r="AC442" s="156">
        <f ca="1"/>
        <v>8.6946655148192109E-2</v>
      </c>
      <c r="AD442" s="156">
        <f ca="1"/>
        <v>0.17488705955421524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33">
        <f t="shared" ca="1" si="26"/>
        <v>4.7442518871009697E-4</v>
      </c>
      <c r="AQ442" s="533">
        <f t="shared" ca="1" si="27"/>
        <v>1.0965920395679617E-3</v>
      </c>
      <c r="AR442" s="533">
        <f t="shared" ca="1" si="28"/>
        <v>2.3271587695620748E-3</v>
      </c>
      <c r="AT442" s="533">
        <f t="shared" ca="1" si="29"/>
        <v>3.3774622490770199E-2</v>
      </c>
      <c r="AU442" s="533">
        <f t="shared" ca="1" si="30"/>
        <v>5.4428676172413523E-2</v>
      </c>
      <c r="AV442" s="533">
        <f t="shared" ca="1" si="31"/>
        <v>9.890025414197634E-2</v>
      </c>
    </row>
    <row r="443" spans="1:48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1.3848879862522145E-2</v>
      </c>
      <c r="S443" s="156">
        <f ca="1"/>
        <v>0</v>
      </c>
      <c r="T443" s="156">
        <f ca="1"/>
        <v>3.9766664284548225E-2</v>
      </c>
      <c r="U443" s="156">
        <f ca="1"/>
        <v>8.4009799411378094E-2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1.4341832174226798E-2</v>
      </c>
      <c r="AB443" s="156">
        <f ca="1"/>
        <v>0</v>
      </c>
      <c r="AC443" s="156">
        <f ca="1"/>
        <v>4.0566525409228671E-2</v>
      </c>
      <c r="AD443" s="156">
        <f ca="1"/>
        <v>8.5077831505497303E-2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33">
        <f t="shared" ca="1" si="26"/>
        <v>7.713779292811329E-4</v>
      </c>
      <c r="AQ443" s="533">
        <f t="shared" ca="1" si="27"/>
        <v>1.634484493848349E-3</v>
      </c>
      <c r="AR443" s="533">
        <f t="shared" ca="1" si="28"/>
        <v>3.2356821983999455E-3</v>
      </c>
      <c r="AT443" s="533">
        <f t="shared" ca="1" si="29"/>
        <v>5.4914871678751198E-2</v>
      </c>
      <c r="AU443" s="533">
        <f t="shared" ca="1" si="30"/>
        <v>8.1126639638523027E-2</v>
      </c>
      <c r="AV443" s="533">
        <f t="shared" ca="1" si="31"/>
        <v>0.13751094077893228</v>
      </c>
    </row>
    <row r="444" spans="1:48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8.946945507064985E-3</v>
      </c>
      <c r="S444" s="156">
        <f ca="1"/>
        <v>0</v>
      </c>
      <c r="T444" s="156">
        <f ca="1"/>
        <v>2.6861690955661155E-2</v>
      </c>
      <c r="U444" s="156">
        <f ca="1"/>
        <v>5.7081731904999988E-2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9.4423481733196812E-3</v>
      </c>
      <c r="AB444" s="156">
        <f ca="1"/>
        <v>0</v>
      </c>
      <c r="AC444" s="156">
        <f ca="1"/>
        <v>2.7672301745119032E-2</v>
      </c>
      <c r="AD444" s="156">
        <f ca="1"/>
        <v>5.8205981869314471E-2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33">
        <f t="shared" ca="1" si="26"/>
        <v>6.1549830507556141E-4</v>
      </c>
      <c r="AQ444" s="533">
        <f t="shared" ca="1" si="27"/>
        <v>1.3257516580930612E-3</v>
      </c>
      <c r="AR444" s="533">
        <f t="shared" ca="1" si="28"/>
        <v>2.6759704721562865E-3</v>
      </c>
      <c r="AT444" s="533">
        <f t="shared" ca="1" si="29"/>
        <v>4.3817704861237622E-2</v>
      </c>
      <c r="AU444" s="533">
        <f t="shared" ca="1" si="30"/>
        <v>6.5802873885366611E-2</v>
      </c>
      <c r="AV444" s="533">
        <f t="shared" ca="1" si="31"/>
        <v>0.11372415291737221</v>
      </c>
    </row>
    <row r="445" spans="1:48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1.5809105958884295E-2</v>
      </c>
      <c r="S445" s="156">
        <f ca="1"/>
        <v>0</v>
      </c>
      <c r="T445" s="156">
        <f ca="1"/>
        <v>4.6556755342152201E-2</v>
      </c>
      <c r="U445" s="156">
        <f ca="1"/>
        <v>9.7675868048296643E-2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1.6301078402495839E-2</v>
      </c>
      <c r="AB445" s="156">
        <f ca="1"/>
        <v>0</v>
      </c>
      <c r="AC445" s="156">
        <f ca="1"/>
        <v>4.7350960414649812E-2</v>
      </c>
      <c r="AD445" s="156">
        <f ca="1"/>
        <v>9.8769474908218191E-2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33">
        <f t="shared" ca="1" si="26"/>
        <v>8.2299506077928403E-4</v>
      </c>
      <c r="AQ445" s="533">
        <f t="shared" ca="1" si="27"/>
        <v>1.7047788553591159E-3</v>
      </c>
      <c r="AR445" s="533">
        <f t="shared" ca="1" si="28"/>
        <v>3.3800458857163942E-3</v>
      </c>
      <c r="AT445" s="533">
        <f t="shared" ca="1" si="29"/>
        <v>5.8589527181648178E-2</v>
      </c>
      <c r="AU445" s="533">
        <f t="shared" ca="1" si="30"/>
        <v>8.461565734188288E-2</v>
      </c>
      <c r="AV445" s="533">
        <f t="shared" ca="1" si="31"/>
        <v>0.14364614975187071</v>
      </c>
    </row>
    <row r="446" spans="1:48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1.2680037946802392E-2</v>
      </c>
      <c r="S446" s="156">
        <f ca="1"/>
        <v>0</v>
      </c>
      <c r="T446" s="156">
        <f ca="1"/>
        <v>3.9151917308877127E-2</v>
      </c>
      <c r="U446" s="156">
        <f ca="1"/>
        <v>8.3729018159732105E-2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1.3173574533382415E-2</v>
      </c>
      <c r="AB446" s="156">
        <f ca="1"/>
        <v>0</v>
      </c>
      <c r="AC446" s="156">
        <f ca="1"/>
        <v>3.9952290509273403E-2</v>
      </c>
      <c r="AD446" s="156">
        <f ca="1"/>
        <v>8.4797377640999594E-2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33">
        <f t="shared" ca="1" si="26"/>
        <v>3.985418360295483E-4</v>
      </c>
      <c r="AQ446" s="533">
        <f t="shared" ca="1" si="27"/>
        <v>8.8317835802127385E-4</v>
      </c>
      <c r="AR446" s="533">
        <f t="shared" ca="1" si="28"/>
        <v>1.8976969623218027E-3</v>
      </c>
      <c r="AT446" s="533">
        <f t="shared" ca="1" si="29"/>
        <v>2.8372439699658709E-2</v>
      </c>
      <c r="AU446" s="533">
        <f t="shared" ca="1" si="30"/>
        <v>4.383601842501305E-2</v>
      </c>
      <c r="AV446" s="533">
        <f t="shared" ca="1" si="31"/>
        <v>8.0648864320246177E-2</v>
      </c>
    </row>
    <row r="447" spans="1:48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4.7815211694430704E-2</v>
      </c>
      <c r="S447" s="156">
        <f ca="1"/>
        <v>0</v>
      </c>
      <c r="T447" s="156">
        <f ca="1"/>
        <v>0.13151608609971832</v>
      </c>
      <c r="U447" s="156">
        <f ca="1"/>
        <v>0.22259287125456051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4.8291185085334476E-2</v>
      </c>
      <c r="AB447" s="156">
        <f ca="1"/>
        <v>0</v>
      </c>
      <c r="AC447" s="156">
        <f ca="1"/>
        <v>0.13226975764238935</v>
      </c>
      <c r="AD447" s="156">
        <f ca="1"/>
        <v>0.22355070609779171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33">
        <f t="shared" ca="1" si="26"/>
        <v>3.6296508802484661E-4</v>
      </c>
      <c r="AQ447" s="533">
        <f t="shared" ca="1" si="27"/>
        <v>8.3650290197812471E-4</v>
      </c>
      <c r="AR447" s="533">
        <f t="shared" ca="1" si="28"/>
        <v>1.7085724669267911E-3</v>
      </c>
      <c r="AT447" s="533">
        <f t="shared" ca="1" si="29"/>
        <v>2.5839709014395057E-2</v>
      </c>
      <c r="AU447" s="533">
        <f t="shared" ca="1" si="30"/>
        <v>4.1519310669982115E-2</v>
      </c>
      <c r="AV447" s="533">
        <f t="shared" ca="1" si="31"/>
        <v>7.2611397816592232E-2</v>
      </c>
    </row>
    <row r="448" spans="1:48" ht="10.5" customHeight="1">
      <c r="A448" s="96">
        <v>437</v>
      </c>
      <c r="B448" s="68" t="s">
        <v>628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4.0314992485659396E-3</v>
      </c>
      <c r="S448" s="156">
        <f ca="1"/>
        <v>0</v>
      </c>
      <c r="T448" s="156">
        <f ca="1"/>
        <v>1.1877577451344545E-2</v>
      </c>
      <c r="U448" s="156">
        <f ca="1"/>
        <v>3.2194588191543194E-2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4.5293590236826775E-3</v>
      </c>
      <c r="AB448" s="156">
        <f ca="1"/>
        <v>0</v>
      </c>
      <c r="AC448" s="156">
        <f ca="1"/>
        <v>1.270066980069029E-2</v>
      </c>
      <c r="AD448" s="156">
        <f ca="1"/>
        <v>3.3348917526721089E-2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33">
        <f t="shared" ca="1" si="26"/>
        <v>5.1576002309706244E-4</v>
      </c>
      <c r="AQ448" s="533">
        <f t="shared" ca="1" si="27"/>
        <v>1.2031582916182842E-3</v>
      </c>
      <c r="AR448" s="533">
        <f t="shared" ca="1" si="28"/>
        <v>2.3719195776406381E-3</v>
      </c>
      <c r="AT448" s="533">
        <f t="shared" ca="1" si="29"/>
        <v>3.6717274905440682E-2</v>
      </c>
      <c r="AU448" s="533">
        <f t="shared" ca="1" si="30"/>
        <v>5.9718027010707046E-2</v>
      </c>
      <c r="AV448" s="533">
        <f t="shared" ca="1" si="31"/>
        <v>0.10080251167269189</v>
      </c>
    </row>
    <row r="449" spans="1:48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9.4955948075587937E-3</v>
      </c>
      <c r="S449" s="156">
        <f ca="1"/>
        <v>0</v>
      </c>
      <c r="T449" s="156">
        <f ca="1"/>
        <v>2.652232691478762E-2</v>
      </c>
      <c r="U449" s="156">
        <f ca="1"/>
        <v>5.4473539200878052E-2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9.9907232177292027E-3</v>
      </c>
      <c r="AB449" s="156">
        <f ca="1"/>
        <v>0</v>
      </c>
      <c r="AC449" s="156">
        <f ca="1"/>
        <v>2.7333220389782364E-2</v>
      </c>
      <c r="AD449" s="156">
        <f ca="1"/>
        <v>5.5600752136875209E-2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33">
        <f t="shared" ca="1" si="26"/>
        <v>4.404936082431849E-4</v>
      </c>
      <c r="AQ449" s="533">
        <f t="shared" ca="1" si="27"/>
        <v>9.3716442766154267E-4</v>
      </c>
      <c r="AR449" s="533">
        <f t="shared" ca="1" si="28"/>
        <v>1.9319732567963785E-3</v>
      </c>
      <c r="AT449" s="533">
        <f t="shared" ca="1" si="29"/>
        <v>3.1359012299622784E-2</v>
      </c>
      <c r="AU449" s="533">
        <f t="shared" ca="1" si="30"/>
        <v>4.6515584021193407E-2</v>
      </c>
      <c r="AV449" s="533">
        <f t="shared" ca="1" si="31"/>
        <v>8.2105548014938259E-2</v>
      </c>
    </row>
    <row r="450" spans="1:48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1.9678002987654541E-2</v>
      </c>
      <c r="S450" s="156">
        <f ca="1"/>
        <v>0</v>
      </c>
      <c r="T450" s="156">
        <f ca="1"/>
        <v>5.7278653862048778E-2</v>
      </c>
      <c r="U450" s="156">
        <f ca="1"/>
        <v>0.12087183459093842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2.0168041466294473E-2</v>
      </c>
      <c r="AB450" s="156">
        <f ca="1"/>
        <v>0</v>
      </c>
      <c r="AC450" s="156">
        <f ca="1"/>
        <v>5.8063927740946264E-2</v>
      </c>
      <c r="AD450" s="156">
        <f ca="1"/>
        <v>0.12194348317584069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33">
        <f t="shared" ca="1" si="26"/>
        <v>7.7713601566339679E-4</v>
      </c>
      <c r="AQ450" s="533">
        <f t="shared" ca="1" si="27"/>
        <v>2.0652483411863279E-3</v>
      </c>
      <c r="AR450" s="533">
        <f t="shared" ca="1" si="28"/>
        <v>4.1405763725287439E-3</v>
      </c>
      <c r="AT450" s="533">
        <f t="shared" ca="1" si="29"/>
        <v>5.5324793408158025E-2</v>
      </c>
      <c r="AU450" s="533">
        <f t="shared" ca="1" si="30"/>
        <v>0.10250734012471215</v>
      </c>
      <c r="AV450" s="533">
        <f t="shared" ca="1" si="31"/>
        <v>0.17596739031880315</v>
      </c>
    </row>
    <row r="451" spans="1:48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6.6831828807619731E-3</v>
      </c>
      <c r="S451" s="156">
        <f ca="1"/>
        <v>0</v>
      </c>
      <c r="T451" s="156">
        <f ca="1"/>
        <v>2.0039546296283905E-2</v>
      </c>
      <c r="U451" s="156">
        <f ca="1"/>
        <v>4.5025012886893534E-2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7.1797171454006659E-3</v>
      </c>
      <c r="AB451" s="156">
        <f ca="1"/>
        <v>0</v>
      </c>
      <c r="AC451" s="156">
        <f ca="1"/>
        <v>2.0855839838148871E-2</v>
      </c>
      <c r="AD451" s="156">
        <f ca="1"/>
        <v>4.6164124262850881E-2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33">
        <f t="shared" ca="1" si="26"/>
        <v>4.3946537853206642E-4</v>
      </c>
      <c r="AQ451" s="533">
        <f t="shared" ca="1" si="27"/>
        <v>9.0286077924428847E-4</v>
      </c>
      <c r="AR451" s="533">
        <f t="shared" ca="1" si="28"/>
        <v>1.8565654089523116E-3</v>
      </c>
      <c r="AT451" s="533">
        <f t="shared" ca="1" si="29"/>
        <v>3.1285811990800133E-2</v>
      </c>
      <c r="AU451" s="533">
        <f t="shared" ca="1" si="30"/>
        <v>4.4812943381953803E-2</v>
      </c>
      <c r="AV451" s="533">
        <f t="shared" ca="1" si="31"/>
        <v>7.8900843886615668E-2</v>
      </c>
    </row>
    <row r="452" spans="1:48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7.9047137003007695E-3</v>
      </c>
      <c r="S452" s="156">
        <f ca="1"/>
        <v>0</v>
      </c>
      <c r="T452" s="156">
        <f ca="1"/>
        <v>2.2192326843826771E-2</v>
      </c>
      <c r="U452" s="156">
        <f ca="1"/>
        <v>4.398693564428191E-2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8.4006373522564903E-3</v>
      </c>
      <c r="AB452" s="156">
        <f ca="1"/>
        <v>0</v>
      </c>
      <c r="AC452" s="156">
        <f ca="1"/>
        <v>2.3006827149230413E-2</v>
      </c>
      <c r="AD452" s="156">
        <f ca="1"/>
        <v>4.5126796796436164E-2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33">
        <f t="shared" ca="1" si="26"/>
        <v>1.0259676057540849E-3</v>
      </c>
      <c r="AQ452" s="533">
        <f t="shared" ca="1" si="27"/>
        <v>2.8398922050349778E-3</v>
      </c>
      <c r="AR452" s="533">
        <f t="shared" ca="1" si="28"/>
        <v>5.9439127124146559E-3</v>
      </c>
      <c r="AT452" s="533">
        <f t="shared" ca="1" si="29"/>
        <v>7.3039268143239064E-2</v>
      </c>
      <c r="AU452" s="533">
        <f t="shared" ca="1" si="30"/>
        <v>0.14095631521573759</v>
      </c>
      <c r="AV452" s="533">
        <f t="shared" ca="1" si="31"/>
        <v>0.2526060901148382</v>
      </c>
    </row>
    <row r="453" spans="1:48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8.1996972911849708E-3</v>
      </c>
      <c r="S453" s="156">
        <f ca="1"/>
        <v>0</v>
      </c>
      <c r="T453" s="156">
        <f ca="1"/>
        <v>2.3078582228140299E-2</v>
      </c>
      <c r="U453" s="156">
        <f ca="1"/>
        <v>4.8804195255252703E-2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8.6954734881197204E-3</v>
      </c>
      <c r="AB453" s="156">
        <f ca="1"/>
        <v>0</v>
      </c>
      <c r="AC453" s="156">
        <f ca="1"/>
        <v>2.3892344295017853E-2</v>
      </c>
      <c r="AD453" s="156">
        <f ca="1"/>
        <v>4.9938437745791431E-2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33">
        <f t="shared" ca="1" si="26"/>
        <v>5.5935696284848888E-4</v>
      </c>
      <c r="AQ453" s="533">
        <f t="shared" ca="1" si="27"/>
        <v>1.299320978165013E-3</v>
      </c>
      <c r="AR453" s="533">
        <f t="shared" ca="1" si="28"/>
        <v>2.7892838691840013E-3</v>
      </c>
      <c r="AT453" s="533">
        <f t="shared" ca="1" si="29"/>
        <v>3.9820967999520999E-2</v>
      </c>
      <c r="AU453" s="533">
        <f t="shared" ca="1" si="30"/>
        <v>6.4491003228903318E-2</v>
      </c>
      <c r="AV453" s="533">
        <f t="shared" ca="1" si="31"/>
        <v>0.11853977783747191</v>
      </c>
    </row>
    <row r="454" spans="1:48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1.5430491402296465E-2</v>
      </c>
      <c r="S454" s="156">
        <f ca="1"/>
        <v>0</v>
      </c>
      <c r="T454" s="156">
        <f ca="1"/>
        <v>4.779579460447192E-2</v>
      </c>
      <c r="U454" s="156">
        <f ca="1"/>
        <v>0.10259911800501442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1.5922653105955309E-2</v>
      </c>
      <c r="AB454" s="156">
        <f ca="1"/>
        <v>0</v>
      </c>
      <c r="AC454" s="156">
        <f ca="1"/>
        <v>4.8588967574291209E-2</v>
      </c>
      <c r="AD454" s="156">
        <f ca="1"/>
        <v>0.10368898381555602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33">
        <f t="shared" ca="1" si="26"/>
        <v>3.6049733671816213E-4</v>
      </c>
      <c r="AQ454" s="533">
        <f t="shared" ca="1" si="27"/>
        <v>8.7193126017955113E-4</v>
      </c>
      <c r="AR454" s="533">
        <f t="shared" ca="1" si="28"/>
        <v>1.8763246845905966E-3</v>
      </c>
      <c r="AT454" s="533">
        <f t="shared" ca="1" si="29"/>
        <v>2.5664028273220701E-2</v>
      </c>
      <c r="AU454" s="533">
        <f t="shared" ca="1" si="30"/>
        <v>4.3277775592475476E-2</v>
      </c>
      <c r="AV454" s="533">
        <f t="shared" ca="1" si="31"/>
        <v>7.9740579192967578E-2</v>
      </c>
    </row>
    <row r="455" spans="1:48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1.899396139718823E-2</v>
      </c>
      <c r="S455" s="156">
        <f ca="1"/>
        <v>0</v>
      </c>
      <c r="T455" s="156">
        <f ca="1"/>
        <v>5.6761453685412966E-2</v>
      </c>
      <c r="U455" s="156">
        <f ca="1"/>
        <v>0.11123535115524641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1.9484341811160988E-2</v>
      </c>
      <c r="AB455" s="156">
        <f ca="1"/>
        <v>0</v>
      </c>
      <c r="AC455" s="156">
        <f ca="1"/>
        <v>5.7547158384908981E-2</v>
      </c>
      <c r="AD455" s="156">
        <f ca="1"/>
        <v>0.11231443573752153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33">
        <f t="shared" ca="1" si="26"/>
        <v>6.3914758843128803E-4</v>
      </c>
      <c r="AQ455" s="533">
        <f t="shared" ca="1" si="27"/>
        <v>1.5231382252152944E-3</v>
      </c>
      <c r="AR455" s="533">
        <f t="shared" ca="1" si="28"/>
        <v>3.2578609771776123E-3</v>
      </c>
      <c r="AT455" s="533">
        <f t="shared" ca="1" si="29"/>
        <v>4.5501311964158547E-2</v>
      </c>
      <c r="AU455" s="533">
        <f t="shared" ca="1" si="30"/>
        <v>7.560003559640105E-2</v>
      </c>
      <c r="AV455" s="533">
        <f t="shared" ca="1" si="31"/>
        <v>0.13845350081667421</v>
      </c>
    </row>
    <row r="456" spans="1:48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1.9532179937228555E-2</v>
      </c>
      <c r="S456" s="156">
        <f ca="1"/>
        <v>0</v>
      </c>
      <c r="T456" s="156">
        <f ca="1"/>
        <v>5.5248463228356859E-2</v>
      </c>
      <c r="U456" s="156">
        <f ca="1"/>
        <v>0.10693214979808041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2.0022291309193085E-2</v>
      </c>
      <c r="AB456" s="156">
        <f ca="1"/>
        <v>0</v>
      </c>
      <c r="AC456" s="156">
        <f ca="1"/>
        <v>5.6035428228017659E-2</v>
      </c>
      <c r="AD456" s="156">
        <f ca="1"/>
        <v>0.10801452680798795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33">
        <f t="shared" ca="1" si="26"/>
        <v>5.1185275019481201E-4</v>
      </c>
      <c r="AQ456" s="533">
        <f t="shared" ca="1" si="27"/>
        <v>1.2748585403592663E-3</v>
      </c>
      <c r="AR456" s="533">
        <f t="shared" ca="1" si="28"/>
        <v>2.7723473472083282E-3</v>
      </c>
      <c r="AT456" s="533">
        <f t="shared" ca="1" si="29"/>
        <v>3.6439113731914614E-2</v>
      </c>
      <c r="AU456" s="533">
        <f t="shared" ca="1" si="30"/>
        <v>6.3276825068134077E-2</v>
      </c>
      <c r="AV456" s="533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33">
        <f t="shared" ca="1" si="26"/>
        <v>1.9655639157742121E-3</v>
      </c>
      <c r="AQ457" s="533">
        <f t="shared" ca="1" si="27"/>
        <v>4.4603178265811734E-3</v>
      </c>
      <c r="AR457" s="533">
        <f t="shared" ca="1" si="28"/>
        <v>7.9601653285661673E-3</v>
      </c>
      <c r="AT457" s="533">
        <f t="shared" ca="1" si="29"/>
        <v>0.13992971034537563</v>
      </c>
      <c r="AU457" s="533">
        <f t="shared" ca="1" si="30"/>
        <v>0.22138515131358866</v>
      </c>
      <c r="AV457" s="533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33">
        <f t="shared" ca="1" si="26"/>
        <v>1.6204900247228279E-4</v>
      </c>
      <c r="AQ458" s="533">
        <f t="shared" ca="1" si="27"/>
        <v>3.8380721384878656E-4</v>
      </c>
      <c r="AR458" s="533">
        <f t="shared" ca="1" si="28"/>
        <v>1.0355473436554164E-3</v>
      </c>
      <c r="AT458" s="533">
        <f t="shared" ca="1" si="29"/>
        <v>1.1536368670449463E-2</v>
      </c>
      <c r="AU458" s="533">
        <f t="shared" ca="1" si="30"/>
        <v>1.9050036660344733E-2</v>
      </c>
      <c r="AV458" s="533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33">
        <f t="shared" ca="1" si="26"/>
        <v>3.827070984783227E-4</v>
      </c>
      <c r="AQ459" s="533">
        <f t="shared" ca="1" si="27"/>
        <v>8.6349593679825901E-4</v>
      </c>
      <c r="AR459" s="533">
        <f t="shared" ca="1" si="28"/>
        <v>1.7964810809909966E-3</v>
      </c>
      <c r="AT459" s="533">
        <f t="shared" ca="1" si="29"/>
        <v>2.7245154943789915E-2</v>
      </c>
      <c r="AU459" s="533">
        <f t="shared" ca="1" si="30"/>
        <v>4.285909346807229E-2</v>
      </c>
      <c r="AV459" s="533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33">
        <f t="shared" ca="1" si="26"/>
        <v>7.970836720590966E-4</v>
      </c>
      <c r="AQ460" s="533">
        <f t="shared" ca="1" si="27"/>
        <v>1.8822018238122912E-3</v>
      </c>
      <c r="AR460" s="533">
        <f t="shared" ca="1" si="28"/>
        <v>4.0615392699756047E-3</v>
      </c>
      <c r="AT460" s="533">
        <f t="shared" ca="1" si="29"/>
        <v>5.6744879399317417E-2</v>
      </c>
      <c r="AU460" s="533">
        <f t="shared" ca="1" si="30"/>
        <v>9.3421938025163118E-2</v>
      </c>
      <c r="AV460" s="533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33">
        <f t="shared" ca="1" si="26"/>
        <v>2.6898489242861153E-4</v>
      </c>
      <c r="AQ461" s="533">
        <f t="shared" ca="1" si="27"/>
        <v>6.4895754546739892E-4</v>
      </c>
      <c r="AR461" s="533">
        <f t="shared" ca="1" si="28"/>
        <v>1.4690416561279913E-3</v>
      </c>
      <c r="AT461" s="533">
        <f t="shared" ca="1" si="29"/>
        <v>1.9149200788004948E-2</v>
      </c>
      <c r="AU461" s="533">
        <f t="shared" ca="1" si="30"/>
        <v>3.221061143741806E-2</v>
      </c>
      <c r="AV461" s="533">
        <f t="shared" ca="1" si="31"/>
        <v>6.2431749408979345E-2</v>
      </c>
    </row>
    <row r="462" spans="1:48" ht="10.5" customHeight="1" thickBot="1">
      <c r="A462" s="328"/>
      <c r="B462" s="74"/>
      <c r="C462" s="526"/>
      <c r="D462" s="75"/>
      <c r="E462" s="527"/>
      <c r="F462" s="528"/>
      <c r="G462" s="528"/>
      <c r="H462" s="528"/>
      <c r="I462" s="528"/>
      <c r="J462" s="528"/>
      <c r="K462" s="528"/>
      <c r="L462" s="528"/>
      <c r="M462" s="528"/>
      <c r="N462" s="529"/>
      <c r="O462" s="530"/>
      <c r="P462" s="530"/>
      <c r="Q462" s="530"/>
      <c r="R462" s="530"/>
      <c r="S462" s="530"/>
      <c r="T462" s="530"/>
      <c r="U462" s="530"/>
      <c r="V462" s="531"/>
      <c r="W462" s="529"/>
      <c r="X462" s="530"/>
      <c r="Y462" s="530"/>
      <c r="Z462" s="530"/>
      <c r="AA462" s="530"/>
      <c r="AB462" s="530"/>
      <c r="AC462" s="530"/>
      <c r="AD462" s="530"/>
      <c r="AE462" s="531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33">
        <f t="shared" ca="1" si="26"/>
        <v>3.1833991856230169E-4</v>
      </c>
      <c r="AQ462" s="533">
        <f t="shared" ca="1" si="27"/>
        <v>7.2122014910046717E-4</v>
      </c>
      <c r="AR462" s="533">
        <f t="shared" ca="1" si="28"/>
        <v>1.4492823804897065E-3</v>
      </c>
      <c r="AT462" s="533">
        <f t="shared" ca="1" si="29"/>
        <v>2.2662815611492092E-2</v>
      </c>
      <c r="AU462" s="533">
        <f t="shared" ca="1" si="30"/>
        <v>3.5797321636471972E-2</v>
      </c>
      <c r="AV462" s="533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33">
        <f t="shared" ca="1" si="26"/>
        <v>3.3026738321127687E-4</v>
      </c>
      <c r="AQ463" s="533">
        <f t="shared" ca="1" si="27"/>
        <v>7.5018142604290293E-4</v>
      </c>
      <c r="AR463" s="533">
        <f t="shared" ca="1" si="28"/>
        <v>1.6029208298404519E-3</v>
      </c>
      <c r="AT463" s="533">
        <f t="shared" ca="1" si="29"/>
        <v>2.3511939193834822E-2</v>
      </c>
      <c r="AU463" s="533">
        <f t="shared" ca="1" si="30"/>
        <v>3.7234796930256227E-2</v>
      </c>
      <c r="AV463" s="533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33">
        <f t="shared" ca="1" si="26"/>
        <v>6.2372414276450983E-4</v>
      </c>
      <c r="AQ464" s="533">
        <f t="shared" ca="1" si="27"/>
        <v>1.5608160029850656E-3</v>
      </c>
      <c r="AR464" s="533">
        <f t="shared" ca="1" si="28"/>
        <v>3.4171449338535821E-3</v>
      </c>
      <c r="AT464" s="533">
        <f t="shared" ca="1" si="29"/>
        <v>4.4403307331818818E-2</v>
      </c>
      <c r="AU464" s="533">
        <f t="shared" ca="1" si="30"/>
        <v>7.7470149085401924E-2</v>
      </c>
      <c r="AV464" s="533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33">
        <f t="shared" ca="1" si="26"/>
        <v>7.691158239166721E-4</v>
      </c>
      <c r="AQ465" s="533">
        <f t="shared" ca="1" si="27"/>
        <v>1.8625194025892763E-3</v>
      </c>
      <c r="AR465" s="533">
        <f t="shared" ca="1" si="28"/>
        <v>3.7466006113327389E-3</v>
      </c>
      <c r="AT465" s="533">
        <f t="shared" ca="1" si="29"/>
        <v>5.4753830999341363E-2</v>
      </c>
      <c r="AU465" s="533">
        <f t="shared" ca="1" si="30"/>
        <v>9.2445013068222351E-2</v>
      </c>
      <c r="AV465" s="533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33">
        <f t="shared" ca="1" si="26"/>
        <v>7.911199397346091E-4</v>
      </c>
      <c r="AQ466" s="533">
        <f t="shared" ca="1" si="27"/>
        <v>1.8166874788842565E-3</v>
      </c>
      <c r="AR466" s="533">
        <f t="shared" ca="1" si="28"/>
        <v>3.6058661787253632E-3</v>
      </c>
      <c r="AT466" s="533">
        <f t="shared" ca="1" si="29"/>
        <v>5.6320317608146056E-2</v>
      </c>
      <c r="AU466" s="533">
        <f t="shared" ca="1" si="30"/>
        <v>9.0170173525631739E-2</v>
      </c>
      <c r="AV466" s="533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9"/>
      <c r="K2" s="169"/>
    </row>
    <row r="3" spans="2:11">
      <c r="J3" s="259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618">
        <v>1</v>
      </c>
      <c r="J6" s="619"/>
      <c r="K6" s="620"/>
    </row>
    <row r="7" spans="2:11" ht="15.75" thickBot="1">
      <c r="D7" s="163"/>
      <c r="H7" s="175" t="s">
        <v>425</v>
      </c>
      <c r="I7" s="621" t="str" cm="1">
        <f t="array" aca="1" ref="I7" ca="1">GetGetCDSName(I6)</f>
        <v>ABNAMRO_MMR.EUR.SU</v>
      </c>
      <c r="J7" s="622"/>
      <c r="K7" s="623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0.29315068493150687</v>
      </c>
      <c r="D10" s="170">
        <f ca="1">IF(NOT($C$6),"",IF(GetConvertDate(CDSRollDate,B10)&lt;Parameter_Date,0,GetGetDefaultprob($I$6,B10)))</f>
        <v>6.5395615599728174E-4</v>
      </c>
      <c r="E10" s="208">
        <f ca="1">IF(NOT($C$6),"",IF(C11=0,0,-LN(1-D11)/$C11))</f>
        <v>2.2315147540802873E-3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0.37808219178082192</v>
      </c>
      <c r="D11" s="162">
        <f ca="1">IF(NOT($C$6),"",IF(GetConvertDate(CDSRollDate,B11)&lt;Parameter_Date,0,GetGetDefaultprob($I$6,B11)))</f>
        <v>8.4334017782539128E-4</v>
      </c>
      <c r="E11" s="171">
        <f ca="1">IF(NOT($C$6),"",IF(C11=0,0,-LN((1-D11)/(1-D10))/($C11-$C10)))</f>
        <v>2.2315147540814123E-3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0.46027397260273972</v>
      </c>
      <c r="D12" s="162">
        <f ca="1">IF(NOT($C$6),"",IF(GetConvertDate(CDSRollDate,B12)&lt;Parameter_Date,0,GetGetDefaultprob($I$6,B12)))</f>
        <v>1.0265808657402564E-3</v>
      </c>
      <c r="E12" s="171">
        <f ca="1">IF(NOT($C$6),"",IF(C12=0,0,-LN((1-D12)/(1-D11))/($C12-$C11)))</f>
        <v>2.2315147540799413E-3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0.54520547945205478</v>
      </c>
      <c r="D13" s="162">
        <f ca="1">IF(NOT($C$6),"",IF(GetConvertDate(CDSRollDate,B13)&lt;Parameter_Date,0,GetGetDefaultprob($I$6,B13)))</f>
        <v>1.215894272222795E-3</v>
      </c>
      <c r="E13" s="171">
        <f t="shared" ref="E13:E75" ca="1" si="2">IF(NOT($C$6),"",IF(C13=0,0,-LN((1-D13)/(1-D12))/($C13-$C12)))</f>
        <v>2.2315147540801052E-3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0.63013698630136983</v>
      </c>
      <c r="D14" s="162">
        <f ca="1">IF(NOT($C$6),"",IF(GetConvertDate(CDSRollDate,B14)&lt;Parameter_Date,0,GetGetDefaultprob($I$6,B14)))</f>
        <v>1.4051718023094795E-3</v>
      </c>
      <c r="E14" s="171">
        <f t="shared" ca="1" si="2"/>
        <v>2.2315147540801052E-3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0.70684931506849313</v>
      </c>
      <c r="D15" s="162">
        <f ca="1">IF(NOT($C$6),"",IF(GetConvertDate(CDSRollDate,B15)&lt;Parameter_Date,0,GetGetDefaultprob($I$6,B15)))</f>
        <v>1.576101321192791E-3</v>
      </c>
      <c r="E15" s="171">
        <f t="shared" ca="1" si="2"/>
        <v>2.2315147540793536E-3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0.79178082191780819</v>
      </c>
      <c r="D16" s="162">
        <f ca="1">IF(NOT($C$6),"",IF(GetConvertDate(CDSRollDate,B16)&lt;Parameter_Date,0,GetGetDefaultprob($I$6,B16)))</f>
        <v>1.9981450245645238E-3</v>
      </c>
      <c r="E16" s="171">
        <f t="shared" ca="1" si="2"/>
        <v>4.9781208385098145E-3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0.87397260273972599</v>
      </c>
      <c r="D17" s="162">
        <f ca="1">IF(NOT($C$6),"",IF(GetConvertDate(CDSRollDate,B17)&lt;Parameter_Date,0,GetGetDefaultprob($I$6,B17)))</f>
        <v>2.4064045516217769E-3</v>
      </c>
      <c r="E17" s="171">
        <f t="shared" ca="1" si="2"/>
        <v>4.9781208385089671E-3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0.95890410958904104</v>
      </c>
      <c r="D18" s="162">
        <f ca="1">IF(NOT($C$6),"",IF(GetConvertDate(CDSRollDate,B18)&lt;Parameter_Date,0,GetGetDefaultprob($I$6,B18)))</f>
        <v>2.8280972775672764E-3</v>
      </c>
      <c r="E18" s="171">
        <f t="shared" ca="1" si="2"/>
        <v>4.9781208385098145E-3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1.0410958904109588</v>
      </c>
      <c r="D19" s="162">
        <f ca="1">IF(NOT($C$6),"",IF(GetConvertDate(CDSRollDate,B19)&lt;Parameter_Date,0,GetGetDefaultprob($I$6,B19)))</f>
        <v>3.2360172903115325E-3</v>
      </c>
      <c r="E19" s="171">
        <f t="shared" ca="1" si="2"/>
        <v>4.9781208385103184E-3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1.1260273972602739</v>
      </c>
      <c r="D20" s="162">
        <f ca="1">IF(NOT($C$6),"",IF(GetConvertDate(CDSRollDate,B20)&lt;Parameter_Date,0,GetGetDefaultprob($I$6,B20)))</f>
        <v>3.6573593307083208E-3</v>
      </c>
      <c r="E20" s="171">
        <f t="shared" ca="1" si="2"/>
        <v>4.9781208385085065E-3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1.210958904109589</v>
      </c>
      <c r="D21" s="162">
        <f ca="1">IF(NOT($C$6),"",IF(GetConvertDate(CDSRollDate,B21)&lt;Parameter_Date,0,GetGetDefaultprob($I$6,B21)))</f>
        <v>4.0785232656379566E-3</v>
      </c>
      <c r="E21" s="171">
        <f t="shared" ca="1" si="2"/>
        <v>4.9781208385111216E-3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1.2931506849315069</v>
      </c>
      <c r="D22" s="162">
        <f ca="1">IF(NOT($C$6),"",IF(GetConvertDate(CDSRollDate,B22)&lt;Parameter_Date,0,GetGetDefaultprob($I$6,B22)))</f>
        <v>4.5408704107210429E-3</v>
      </c>
      <c r="E22" s="171">
        <f t="shared" ca="1" si="2"/>
        <v>5.6495716406230563E-3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1.3780821917808219</v>
      </c>
      <c r="D23" s="162">
        <f ca="1">IF(NOT($C$6),"",IF(GetConvertDate(CDSRollDate,B23)&lt;Parameter_Date,0,GetGetDefaultprob($I$6,B23)))</f>
        <v>5.0184036369126384E-3</v>
      </c>
      <c r="E23" s="171">
        <f t="shared" ca="1" si="2"/>
        <v>5.6495716406237354E-3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1.4602739726027398</v>
      </c>
      <c r="D24" s="162">
        <f ca="1">IF(NOT($C$6),"",IF(GetConvertDate(CDSRollDate,B24)&lt;Parameter_Date,0,GetGetDefaultprob($I$6,B24)))</f>
        <v>5.4803144514049551E-3</v>
      </c>
      <c r="E24" s="171">
        <f t="shared" ca="1" si="2"/>
        <v>5.6495716406244076E-3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1.5452054794520549</v>
      </c>
      <c r="D25" s="162">
        <f ca="1">IF(NOT($C$6),"",IF(GetConvertDate(CDSRollDate,B25)&lt;Parameter_Date,0,GetGetDefaultprob($I$6,B25)))</f>
        <v>5.957397015454613E-3</v>
      </c>
      <c r="E25" s="171">
        <f t="shared" ca="1" si="2"/>
        <v>5.6495716406237354E-3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1.6301369863013699</v>
      </c>
      <c r="D26" s="162">
        <f ca="1">IF(NOT($C$6),"",IF(GetConvertDate(CDSRollDate,B26)&lt;Parameter_Date,0,GetGetDefaultprob($I$6,B26)))</f>
        <v>6.4342507174954822E-3</v>
      </c>
      <c r="E26" s="171">
        <f t="shared" ca="1" si="2"/>
        <v>5.6495716406224274E-3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1.7068493150684931</v>
      </c>
      <c r="D27" s="162">
        <f ca="1">IF(NOT($C$6),"",IF(GetConvertDate(CDSRollDate,B27)&lt;Parameter_Date,0,GetGetDefaultprob($I$6,B27)))</f>
        <v>6.8647606666243366E-3</v>
      </c>
      <c r="E27" s="171">
        <f t="shared" ca="1" si="2"/>
        <v>5.6495716406246999E-3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1.7917808219178082</v>
      </c>
      <c r="D28" s="162">
        <f ca="1">IF(NOT($C$6),"",IF(GetConvertDate(CDSRollDate,B28)&lt;Parameter_Date,0,GetGetDefaultprob($I$6,B28)))</f>
        <v>7.3411790958561873E-3</v>
      </c>
      <c r="E28" s="171">
        <f t="shared" ca="1" si="2"/>
        <v>5.6495716406237354E-3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1.8739726027397261</v>
      </c>
      <c r="D29" s="162">
        <f ca="1">IF(NOT($C$6),"",IF(GetConvertDate(CDSRollDate,B29)&lt;Parameter_Date,0,GetGetDefaultprob($I$6,B29)))</f>
        <v>7.8020115837662551E-3</v>
      </c>
      <c r="E29" s="171">
        <f t="shared" ca="1" si="2"/>
        <v>5.6495716406230563E-3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1.9589041095890412</v>
      </c>
      <c r="D30" s="162">
        <f ca="1">IF(NOT($C$6),"",IF(GetConvertDate(CDSRollDate,B30)&lt;Parameter_Date,0,GetGetDefaultprob($I$6,B30)))</f>
        <v>8.2779804029229354E-3</v>
      </c>
      <c r="E30" s="171">
        <f t="shared" ca="1" si="2"/>
        <v>5.6495716406250434E-3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2.0410958904109591</v>
      </c>
      <c r="D31" s="162">
        <f ca="1">IF(NOT($C$6),"",IF(GetConvertDate(CDSRollDate,B31)&lt;Parameter_Date,0,GetGetDefaultprob($I$6,B31)))</f>
        <v>8.7383779896685887E-3</v>
      </c>
      <c r="E31" s="171">
        <f t="shared" ca="1" si="2"/>
        <v>5.6495716406217049E-3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2.1260273972602741</v>
      </c>
      <c r="D32" s="162">
        <f ca="1">IF(NOT($C$6),"",IF(GetConvertDate(CDSRollDate,B32)&lt;Parameter_Date,0,GetGetDefaultprob($I$6,B32)))</f>
        <v>9.2138976230600189E-3</v>
      </c>
      <c r="E32" s="171">
        <f t="shared" ca="1" si="2"/>
        <v>5.6495716406224274E-3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2.2109589041095892</v>
      </c>
      <c r="D33" s="162">
        <f ca="1">IF(NOT($C$6),"",IF(GetConvertDate(CDSRollDate,B33)&lt;Parameter_Date,0,GetGetDefaultprob($I$6,B33)))</f>
        <v>9.6891891441988065E-3</v>
      </c>
      <c r="E33" s="171">
        <f t="shared" ca="1" si="2"/>
        <v>5.6495716406250434E-3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2.2931506849315069</v>
      </c>
      <c r="D34" s="162">
        <f ca="1">IF(NOT($C$6),"",IF(GetConvertDate(CDSRollDate,B34)&lt;Parameter_Date,0,GetGetDefaultprob($I$6,B34)))</f>
        <v>1.0303746273536696E-2</v>
      </c>
      <c r="E34" s="171">
        <f t="shared" ca="1" si="2"/>
        <v>7.5526114165264521E-3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2.3780821917808219</v>
      </c>
      <c r="D35" s="162">
        <f ca="1">IF(NOT($C$6),"",IF(GetConvertDate(CDSRollDate,B35)&lt;Parameter_Date,0,GetGetDefaultprob($I$6,B35)))</f>
        <v>1.0938387986936138E-2</v>
      </c>
      <c r="E35" s="171">
        <f t="shared" ca="1" si="2"/>
        <v>7.552611416526943E-3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2.4602739726027396</v>
      </c>
      <c r="D36" s="162">
        <f ca="1">IF(NOT($C$6),"",IF(GetConvertDate(CDSRollDate,B36)&lt;Parameter_Date,0,GetGetDefaultprob($I$6,B36)))</f>
        <v>1.1552169901011933E-2</v>
      </c>
      <c r="E36" s="171">
        <f t="shared" ca="1" si="2"/>
        <v>7.5526114165264521E-3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2.5452054794520547</v>
      </c>
      <c r="D37" s="162">
        <f ca="1">IF(NOT($C$6),"",IF(GetConvertDate(CDSRollDate,B37)&lt;Parameter_Date,0,GetGetDefaultprob($I$6,B37)))</f>
        <v>1.2186011064033386E-2</v>
      </c>
      <c r="E37" s="171">
        <f t="shared" ca="1" si="2"/>
        <v>7.552611416526943E-3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2.6301369863013697</v>
      </c>
      <c r="D38" s="162">
        <f ca="1">IF(NOT($C$6),"",IF(GetConvertDate(CDSRollDate,B38)&lt;Parameter_Date,0,GetGetDefaultprob($I$6,B38)))</f>
        <v>1.2819445777055294E-2</v>
      </c>
      <c r="E38" s="171">
        <f t="shared" ca="1" si="2"/>
        <v>7.5526114165243262E-3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2.7068493150684931</v>
      </c>
      <c r="D39" s="162">
        <f ca="1">IF(NOT($C$6),"",IF(GetConvertDate(CDSRollDate,B39)&lt;Parameter_Date,0,GetGetDefaultprob($I$6,B39)))</f>
        <v>1.3391231220913125E-2</v>
      </c>
      <c r="E39" s="171">
        <f t="shared" ca="1" si="2"/>
        <v>7.5526114165279865E-3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2.7917808219178082</v>
      </c>
      <c r="D40" s="162">
        <f ca="1">IF(NOT($C$6),"",IF(GetConvertDate(CDSRollDate,B40)&lt;Parameter_Date,0,GetGetDefaultprob($I$6,B40)))</f>
        <v>1.4023893087738548E-2</v>
      </c>
      <c r="E40" s="171">
        <f t="shared" ca="1" si="2"/>
        <v>7.5526114165256342E-3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2.8739726027397259</v>
      </c>
      <c r="D41" s="162">
        <f ca="1">IF(NOT($C$6),"",IF(GetConvertDate(CDSRollDate,B41)&lt;Parameter_Date,0,GetGetDefaultprob($I$6,B41)))</f>
        <v>1.4635760230071515E-2</v>
      </c>
      <c r="E41" s="171">
        <f t="shared" ca="1" si="2"/>
        <v>7.5526114165278026E-3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2.9589041095890409</v>
      </c>
      <c r="D42" s="162">
        <f ca="1">IF(NOT($C$6),"",IF(GetConvertDate(CDSRollDate,B42)&lt;Parameter_Date,0,GetGetDefaultprob($I$6,B42)))</f>
        <v>1.526762404393911E-2</v>
      </c>
      <c r="E42" s="171">
        <f t="shared" ca="1" si="2"/>
        <v>7.552611416526943E-3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3.0410958904109591</v>
      </c>
      <c r="D43" s="162">
        <f ca="1">IF(NOT($C$6),"",IF(GetConvertDate(CDSRollDate,B43)&lt;Parameter_Date,0,GetGetDefaultprob($I$6,B43)))</f>
        <v>1.5878719364216032E-2</v>
      </c>
      <c r="E43" s="171">
        <f t="shared" ca="1" si="2"/>
        <v>7.5526114165264113E-3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3.1260273972602741</v>
      </c>
      <c r="D44" s="162">
        <f ca="1">IF(NOT($C$6),"",IF(GetConvertDate(CDSRollDate,B44)&lt;Parameter_Date,0,GetGetDefaultprob($I$6,B44)))</f>
        <v>1.6509786131806536E-2</v>
      </c>
      <c r="E44" s="171">
        <f t="shared" ca="1" si="2"/>
        <v>7.552611416526943E-3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3.2109589041095892</v>
      </c>
      <c r="D45" s="162">
        <f ca="1">IF(NOT($C$6),"",IF(GetConvertDate(CDSRollDate,B45)&lt;Parameter_Date,0,GetGetDefaultprob($I$6,B45)))</f>
        <v>1.7140448228475824E-2</v>
      </c>
      <c r="E45" s="171">
        <f t="shared" ca="1" si="2"/>
        <v>7.552611416526943E-3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3.2931506849315069</v>
      </c>
      <c r="D46" s="162">
        <f ca="1">IF(NOT($C$6),"",IF(GetConvertDate(CDSRollDate,B46)&lt;Parameter_Date,0,GetGetDefaultprob($I$6,B46)))</f>
        <v>1.7891162903759472E-2</v>
      </c>
      <c r="E46" s="171">
        <f t="shared" ca="1" si="2"/>
        <v>9.2965319056387483E-3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3.3780821917808219</v>
      </c>
      <c r="D47" s="162">
        <f ca="1">IF(NOT($C$6),"",IF(GetConvertDate(CDSRollDate,B47)&lt;Parameter_Date,0,GetGetDefaultprob($I$6,B47)))</f>
        <v>1.8666299017194521E-2</v>
      </c>
      <c r="E47" s="171">
        <f t="shared" ca="1" si="2"/>
        <v>9.2965319056379919E-3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3.4602739726027396</v>
      </c>
      <c r="D48" s="162">
        <f ca="1">IF(NOT($C$6),"",IF(GetConvertDate(CDSRollDate,B48)&lt;Parameter_Date,0,GetGetDefaultprob($I$6,B48)))</f>
        <v>1.9415848237477662E-2</v>
      </c>
      <c r="E48" s="171">
        <f t="shared" ca="1" si="2"/>
        <v>9.2965319056387483E-3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3.5452054794520547</v>
      </c>
      <c r="D49" s="162">
        <f ca="1">IF(NOT($C$6),"",IF(GetConvertDate(CDSRollDate,B49)&lt;Parameter_Date,0,GetGetDefaultprob($I$6,B49)))</f>
        <v>2.0189780982590277E-2</v>
      </c>
      <c r="E49" s="171">
        <f t="shared" ca="1" si="2"/>
        <v>9.2965319056392999E-3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3.6301369863013697</v>
      </c>
      <c r="D50" s="162">
        <f ca="1">IF(NOT($C$6),"",IF(GetConvertDate(CDSRollDate,B50)&lt;Parameter_Date,0,GetGetDefaultprob($I$6,B50)))</f>
        <v>2.0963102895993013E-2</v>
      </c>
      <c r="E50" s="171">
        <f t="shared" ca="1" si="2"/>
        <v>9.2965319056366839E-3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3.7095890410958905</v>
      </c>
      <c r="D51" s="162">
        <f ca="1">IF(NOT($C$6),"",IF(GetConvertDate(CDSRollDate,B51)&lt;Parameter_Date,0,GetGetDefaultprob($I$6,B51)))</f>
        <v>2.168598050991255E-2</v>
      </c>
      <c r="E51" s="171">
        <f t="shared" ca="1" si="2"/>
        <v>9.2965319056389946E-3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3.7945205479452055</v>
      </c>
      <c r="D52" s="162">
        <f ca="1">IF(NOT($C$6),"",IF(GetConvertDate(CDSRollDate,B52)&lt;Parameter_Date,0,GetGetDefaultprob($I$6,B52)))</f>
        <v>2.2458121537610398E-2</v>
      </c>
      <c r="E52" s="171">
        <f t="shared" ca="1" si="2"/>
        <v>9.2965319056392999E-3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3.8767123287671232</v>
      </c>
      <c r="D53" s="162">
        <f ca="1">IF(NOT($C$6),"",IF(GetConvertDate(CDSRollDate,B53)&lt;Parameter_Date,0,GetGetDefaultprob($I$6,B53)))</f>
        <v>2.3204774538584161E-2</v>
      </c>
      <c r="E53" s="171">
        <f t="shared" ca="1" si="2"/>
        <v>9.2965319056373969E-3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3.9616438356164383</v>
      </c>
      <c r="D54" s="162">
        <f ca="1">IF(NOT($C$6),"",IF(GetConvertDate(CDSRollDate,B54)&lt;Parameter_Date,0,GetGetDefaultprob($I$6,B54)))</f>
        <v>2.3975716847712381E-2</v>
      </c>
      <c r="E54" s="171">
        <f t="shared" ca="1" si="2"/>
        <v>9.2965319056406079E-3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4.043835616438356</v>
      </c>
      <c r="D55" s="162">
        <f ca="1">IF(NOT($C$6),"",IF(GetConvertDate(CDSRollDate,B55)&lt;Parameter_Date,0,GetGetDefaultprob($I$6,B55)))</f>
        <v>2.4721210699275353E-2</v>
      </c>
      <c r="E55" s="171">
        <f t="shared" ca="1" si="2"/>
        <v>9.2965319056387483E-3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4.1287671232876715</v>
      </c>
      <c r="D56" s="162">
        <f ca="1">IF(NOT($C$6),"",IF(GetConvertDate(CDSRollDate,B56)&lt;Parameter_Date,0,GetGetDefaultprob($I$6,B56)))</f>
        <v>2.5490956150797106E-2</v>
      </c>
      <c r="E56" s="171">
        <f t="shared" ca="1" si="2"/>
        <v>9.2965319056379433E-3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4.2136986301369861</v>
      </c>
      <c r="D57" s="162">
        <f ca="1">IF(NOT($C$6),"",IF(GetConvertDate(CDSRollDate,B57)&lt;Parameter_Date,0,GetGetDefaultprob($I$6,B57)))</f>
        <v>2.6260094075459373E-2</v>
      </c>
      <c r="E57" s="171">
        <f t="shared" ca="1" si="2"/>
        <v>9.2965319056393485E-3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4.2958904109589042</v>
      </c>
      <c r="D58" s="162">
        <f ca="1">IF(NOT($C$6),"",IF(GetConvertDate(CDSRollDate,B58)&lt;Parameter_Date,0,GetGetDefaultprob($I$6,B58)))</f>
        <v>2.7003843104473013E-2</v>
      </c>
      <c r="E58" s="171">
        <f t="shared" ca="1" si="2"/>
        <v>9.296531905638698E-3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4.3808219178082188</v>
      </c>
      <c r="D59" s="162">
        <f ca="1">IF(NOT($C$6),"",IF(GetConvertDate(CDSRollDate,B59)&lt;Parameter_Date,0,GetGetDefaultprob($I$6,B59)))</f>
        <v>2.7771786972764723E-2</v>
      </c>
      <c r="E59" s="171">
        <f t="shared" ca="1" si="2"/>
        <v>9.2965319056380405E-3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4.463013698630137</v>
      </c>
      <c r="D60" s="162">
        <f ca="1">IF(NOT($C$6),"",IF(GetConvertDate(CDSRollDate,B60)&lt;Parameter_Date,0,GetGetDefaultprob($I$6,B60)))</f>
        <v>2.8514381360669749E-2</v>
      </c>
      <c r="E60" s="171">
        <f t="shared" ca="1" si="2"/>
        <v>9.2965319056400493E-3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4.5479452054794525</v>
      </c>
      <c r="D61" s="162">
        <f ca="1">IF(NOT($C$6),"",IF(GetConvertDate(CDSRollDate,B61)&lt;Parameter_Date,0,GetGetDefaultprob($I$6,B61)))</f>
        <v>2.9281133026316741E-2</v>
      </c>
      <c r="E61" s="171">
        <f t="shared" ca="1" si="2"/>
        <v>9.2965319056392513E-3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4.6328767123287671</v>
      </c>
      <c r="D62" s="162">
        <f ca="1">IF(NOT($C$6),"",IF(GetConvertDate(CDSRollDate,B62)&lt;Parameter_Date,0,GetGetDefaultprob($I$6,B62)))</f>
        <v>3.0047279527970039E-2</v>
      </c>
      <c r="E62" s="171">
        <f t="shared" ca="1" si="2"/>
        <v>9.2965319056380405E-3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4.7095890410958905</v>
      </c>
      <c r="D63" s="162">
        <f ca="1">IF(NOT($C$6),"",IF(GetConvertDate(CDSRollDate,B63)&lt;Parameter_Date,0,GetGetDefaultprob($I$6,B63)))</f>
        <v>3.0738763065721542E-2</v>
      </c>
      <c r="E63" s="171">
        <f t="shared" ca="1" si="2"/>
        <v>9.2965319056369199E-3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4.7945205479452051</v>
      </c>
      <c r="D64" s="162">
        <f ca="1">IF(NOT($C$6),"",IF(GetConvertDate(CDSRollDate,B64)&lt;Parameter_Date,0,GetGetDefaultprob($I$6,B64)))</f>
        <v>3.1503759122901931E-2</v>
      </c>
      <c r="E64" s="171">
        <f t="shared" ca="1" si="2"/>
        <v>9.2965319056406565E-3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4.8767123287671232</v>
      </c>
      <c r="D65" s="162">
        <f ca="1">IF(NOT($C$6),"",IF(GetConvertDate(CDSRollDate,B65)&lt;Parameter_Date,0,GetGetDefaultprob($I$6,B65)))</f>
        <v>3.2243503005609186E-2</v>
      </c>
      <c r="E65" s="171">
        <f t="shared" ca="1" si="2"/>
        <v>9.2965319056373466E-3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4.9616438356164387</v>
      </c>
      <c r="D66" s="162">
        <f ca="1">IF(NOT($C$6),"",IF(GetConvertDate(CDSRollDate,B66)&lt;Parameter_Date,0,GetGetDefaultprob($I$6,B66)))</f>
        <v>3.3007311436505371E-2</v>
      </c>
      <c r="E66" s="171">
        <f t="shared" ca="1" si="2"/>
        <v>9.2965319056379433E-3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5.043835616438356</v>
      </c>
      <c r="D67" s="162">
        <f ca="1">IF(NOT($C$6),"",IF(GetConvertDate(CDSRollDate,B67)&lt;Parameter_Date,0,GetGetDefaultprob($I$6,B67)))</f>
        <v>3.374590689593604E-2</v>
      </c>
      <c r="E67" s="171">
        <f t="shared" ca="1" si="2"/>
        <v>9.2965319056374472E-3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5.1287671232876715</v>
      </c>
      <c r="D68" s="162">
        <f ca="1">IF(NOT($C$6),"",IF(GetConvertDate(CDSRollDate,B68)&lt;Parameter_Date,0,GetGetDefaultprob($I$6,B68)))</f>
        <v>3.45085295442914E-2</v>
      </c>
      <c r="E68" s="171">
        <f t="shared" ca="1" si="2"/>
        <v>9.2965319056405593E-3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5.2136986301369861</v>
      </c>
      <c r="D69" s="162">
        <f ca="1">IF(NOT($C$6),"",IF(GetConvertDate(CDSRollDate,B69)&lt;Parameter_Date,0,GetGetDefaultprob($I$6,B69)))</f>
        <v>3.5270550287508029E-2</v>
      </c>
      <c r="E69" s="171">
        <f t="shared" ca="1" si="2"/>
        <v>9.2965319056380405E-3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5.2958904109589042</v>
      </c>
      <c r="D70" s="162">
        <f ca="1">IF(NOT($C$6),"",IF(GetConvertDate(CDSRollDate,B70)&lt;Parameter_Date,0,GetGetDefaultprob($I$6,B70)))</f>
        <v>3.6024014225081169E-2</v>
      </c>
      <c r="E70" s="171">
        <f t="shared" ca="1" si="2"/>
        <v>9.5060084048905445E-3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5.3808219178082188</v>
      </c>
      <c r="D71" s="162">
        <f ca="1">IF(NOT($C$6),"",IF(GetConvertDate(CDSRollDate,B71)&lt;Parameter_Date,0,GetGetDefaultprob($I$6,B71)))</f>
        <v>3.6801975419184618E-2</v>
      </c>
      <c r="E71" s="171">
        <f t="shared" ca="1" si="2"/>
        <v>9.5060084048901334E-3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5.463013698630137</v>
      </c>
      <c r="D72" s="162">
        <f ca="1">IF(NOT($C$6),"",IF(GetConvertDate(CDSRollDate,B72)&lt;Parameter_Date,0,GetGetDefaultprob($I$6,B72)))</f>
        <v>3.7554243297478918E-2</v>
      </c>
      <c r="E72" s="171">
        <f t="shared" ca="1" si="2"/>
        <v>9.5060084048891914E-3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5.5479452054794525</v>
      </c>
      <c r="D73" s="162">
        <f ca="1">IF(NOT($C$6),"",IF(GetConvertDate(CDSRollDate,B73)&lt;Parameter_Date,0,GetGetDefaultprob($I$6,B73)))</f>
        <v>3.8330969545013138E-2</v>
      </c>
      <c r="E73" s="171">
        <f t="shared" ca="1" si="2"/>
        <v>9.5060084048900345E-3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5.6328767123287671</v>
      </c>
      <c r="D74" s="162">
        <f ca="1">IF(NOT($C$6),"",IF(GetConvertDate(CDSRollDate,B74)&lt;Parameter_Date,0,GetGetDefaultprob($I$6,B74)))</f>
        <v>3.9107068948219359E-2</v>
      </c>
      <c r="E74" s="171">
        <f t="shared" ca="1" si="2"/>
        <v>9.5060084048901334E-3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5.7095890410958905</v>
      </c>
      <c r="D75" s="162">
        <f ca="1">IF(NOT($C$6),"",IF(GetConvertDate(CDSRollDate,B75)&lt;Parameter_Date,0,GetGetDefaultprob($I$6,B75)))</f>
        <v>3.9807523592295557E-2</v>
      </c>
      <c r="E75" s="171">
        <f t="shared" ca="1" si="2"/>
        <v>9.5060084048906191E-3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5.7945205479452051</v>
      </c>
      <c r="D76" s="162">
        <f ca="1">IF(NOT($C$6),"",IF(GetConvertDate(CDSRollDate,B76)&lt;Parameter_Date,0,GetGetDefaultprob($I$6,B76)))</f>
        <v>4.0582431366491645E-2</v>
      </c>
      <c r="E76" s="171">
        <f t="shared" ref="E76:E129" ca="1" si="6">IF(NOT($C$6),"",IF(C76=0,0,-LN((1-D76)/(1-D75))/($C76-$C75)))</f>
        <v>9.5060084048914414E-3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5.8767123287671232</v>
      </c>
      <c r="D77" s="162">
        <f ca="1">IF(NOT($C$6),"",IF(GetConvertDate(CDSRollDate,B77)&lt;Parameter_Date,0,GetGetDefaultprob($I$6,B77)))</f>
        <v>4.133174666857431E-2</v>
      </c>
      <c r="E77" s="171">
        <f t="shared" ca="1" si="6"/>
        <v>9.5060084048891914E-3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5.9616438356164387</v>
      </c>
      <c r="D78" s="162">
        <f ca="1">IF(NOT($C$6),"",IF(GetConvertDate(CDSRollDate,B78)&lt;Parameter_Date,0,GetGetDefaultprob($I$6,B78)))</f>
        <v>4.2105424343242936E-2</v>
      </c>
      <c r="E78" s="171">
        <f t="shared" ca="1" si="6"/>
        <v>9.5060084048900345E-3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6.043835616438356</v>
      </c>
      <c r="D79" s="162">
        <f ca="1">IF(NOT($C$6),"",IF(GetConvertDate(CDSRollDate,B79)&lt;Parameter_Date,0,GetGetDefaultprob($I$6,B79)))</f>
        <v>4.285355017164949E-2</v>
      </c>
      <c r="E79" s="171">
        <f t="shared" ca="1" si="6"/>
        <v>9.5060084048906469E-3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6.1287671232876715</v>
      </c>
      <c r="D80" s="162">
        <f ca="1">IF(NOT($C$6),"",IF(GetConvertDate(CDSRollDate,B80)&lt;Parameter_Date,0,GetGetDefaultprob($I$6,B80)))</f>
        <v>4.362599969946801E-2</v>
      </c>
      <c r="E80" s="171">
        <f t="shared" ca="1" si="6"/>
        <v>9.5060084048887248E-3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6.2136986301369861</v>
      </c>
      <c r="D81" s="162">
        <f ca="1">IF(NOT($C$6),"",IF(GetConvertDate(CDSRollDate,B81)&lt;Parameter_Date,0,GetGetDefaultprob($I$6,B81)))</f>
        <v>4.4397825834415983E-2</v>
      </c>
      <c r="E81" s="171">
        <f t="shared" ca="1" si="6"/>
        <v>9.5060084048914414E-3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6.2958904109589042</v>
      </c>
      <c r="D82" s="162">
        <f ca="1">IF(NOT($C$6),"",IF(GetConvertDate(CDSRollDate,B82)&lt;Parameter_Date,0,GetGetDefaultprob($I$6,B82)))</f>
        <v>4.5144161272931749E-2</v>
      </c>
      <c r="E82" s="171">
        <f t="shared" ca="1" si="6"/>
        <v>9.5060084048891914E-3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6.3808219178082188</v>
      </c>
      <c r="D83" s="162">
        <f ca="1">IF(NOT($C$6),"",IF(GetConvertDate(CDSRollDate,B83)&lt;Parameter_Date,0,GetGetDefaultprob($I$6,B83)))</f>
        <v>4.5914762200189863E-2</v>
      </c>
      <c r="E83" s="171">
        <f t="shared" ca="1" si="6"/>
        <v>9.5060084048901334E-3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6.463013698630137</v>
      </c>
      <c r="D84" s="162">
        <f ca="1">IF(NOT($C$6),"",IF(GetConvertDate(CDSRollDate,B84)&lt;Parameter_Date,0,GetGetDefaultprob($I$6,B84)))</f>
        <v>4.6659912895306799E-2</v>
      </c>
      <c r="E84" s="171">
        <f t="shared" ca="1" si="6"/>
        <v>9.5060084048891914E-3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6.5479452054794525</v>
      </c>
      <c r="D85" s="162">
        <f ca="1">IF(NOT($C$6),"",IF(GetConvertDate(CDSRollDate,B85)&lt;Parameter_Date,0,GetGetDefaultprob($I$6,B85)))</f>
        <v>4.7429290559787174E-2</v>
      </c>
      <c r="E85" s="171">
        <f t="shared" ca="1" si="6"/>
        <v>9.5060084048913425E-3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6.6328767123287671</v>
      </c>
      <c r="D86" s="162">
        <f ca="1">IF(NOT($C$6),"",IF(GetConvertDate(CDSRollDate,B86)&lt;Parameter_Date,0,GetGetDefaultprob($I$6,B86)))</f>
        <v>4.8198047310494263E-2</v>
      </c>
      <c r="E86" s="171">
        <f t="shared" ca="1" si="6"/>
        <v>9.5060084048901334E-3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6.7095890410958905</v>
      </c>
      <c r="D87" s="162">
        <f ca="1">IF(NOT($C$6),"",IF(GetConvertDate(CDSRollDate,B87)&lt;Parameter_Date,0,GetGetDefaultprob($I$6,B87)))</f>
        <v>4.8891874974802629E-2</v>
      </c>
      <c r="E87" s="171">
        <f t="shared" ca="1" si="6"/>
        <v>9.5060084048891706E-3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6.7945205479452051</v>
      </c>
      <c r="D88" s="162">
        <f ca="1">IF(NOT($C$6),"",IF(GetConvertDate(CDSRollDate,B88)&lt;Parameter_Date,0,GetGetDefaultprob($I$6,B88)))</f>
        <v>4.9659451370464902E-2</v>
      </c>
      <c r="E88" s="171">
        <f t="shared" ca="1" si="6"/>
        <v>9.5060084048914414E-3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6.8767123287671232</v>
      </c>
      <c r="D89" s="162">
        <f ca="1">IF(NOT($C$6),"",IF(GetConvertDate(CDSRollDate,B89)&lt;Parameter_Date,0,GetGetDefaultprob($I$6,B89)))</f>
        <v>5.0401677423602687E-2</v>
      </c>
      <c r="E89" s="171">
        <f t="shared" ca="1" si="6"/>
        <v>9.5060084048905445E-3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6.9616438356164387</v>
      </c>
      <c r="D90" s="162">
        <f ca="1">IF(NOT($C$6),"",IF(GetConvertDate(CDSRollDate,B90)&lt;Parameter_Date,0,GetGetDefaultprob($I$6,B90)))</f>
        <v>5.1168035357671227E-2</v>
      </c>
      <c r="E90" s="171">
        <f t="shared" ca="1" si="6"/>
        <v>9.5060084048900345E-3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7.043835616438356</v>
      </c>
      <c r="D91" s="162">
        <f ca="1">IF(NOT($C$6),"",IF(GetConvertDate(CDSRollDate,B91)&lt;Parameter_Date,0,GetGetDefaultprob($I$6,B91)))</f>
        <v>5.1909083190706307E-2</v>
      </c>
      <c r="E91" s="171">
        <f t="shared" ca="1" si="6"/>
        <v>9.5060084048892955E-3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7.1287671232876715</v>
      </c>
      <c r="D92" s="162">
        <f ca="1">IF(NOT($C$6),"",IF(GetConvertDate(CDSRollDate,B92)&lt;Parameter_Date,0,GetGetDefaultprob($I$6,B92)))</f>
        <v>5.2674224597384245E-2</v>
      </c>
      <c r="E92" s="171">
        <f t="shared" ca="1" si="6"/>
        <v>9.5060084048900345E-3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7.2136986301369861</v>
      </c>
      <c r="D93" s="162">
        <f ca="1">IF(NOT($C$6),"",IF(GetConvertDate(CDSRollDate,B93)&lt;Parameter_Date,0,GetGetDefaultprob($I$6,B93)))</f>
        <v>5.3438748509092249E-2</v>
      </c>
      <c r="E93" s="171">
        <f t="shared" ca="1" si="6"/>
        <v>9.5060084048914414E-3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7.2958904109589042</v>
      </c>
      <c r="D94" s="162">
        <f ca="1">IF(NOT($C$6),"",IF(GetConvertDate(CDSRollDate,B94)&lt;Parameter_Date,0,GetGetDefaultprob($I$6,B94)))</f>
        <v>5.4232090605970451E-2</v>
      </c>
      <c r="E94" s="171">
        <f t="shared" ca="1" si="6"/>
        <v>1.0201533232564083E-2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7.3808219178082188</v>
      </c>
      <c r="D95" s="162">
        <f ca="1">IF(NOT($C$6),"",IF(GetConvertDate(CDSRollDate,B95)&lt;Parameter_Date,0,GetGetDefaultprob($I$6,B95)))</f>
        <v>5.5051178905883624E-2</v>
      </c>
      <c r="E95" s="171">
        <f t="shared" ca="1" si="6"/>
        <v>1.0201533232563637E-2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7.463013698630137</v>
      </c>
      <c r="D96" s="162">
        <f ca="1">IF(NOT($C$6),"",IF(GetConvertDate(CDSRollDate,B96)&lt;Parameter_Date,0,GetGetDefaultprob($I$6,B96)))</f>
        <v>5.5843169575254925E-2</v>
      </c>
      <c r="E96" s="171">
        <f t="shared" ca="1" si="6"/>
        <v>1.020153323256138E-2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7.5479452054794525</v>
      </c>
      <c r="D97" s="162">
        <f ca="1">IF(NOT($C$6),"",IF(GetConvertDate(CDSRollDate,B97)&lt;Parameter_Date,0,GetGetDefaultprob($I$6,B97)))</f>
        <v>5.6660862590002692E-2</v>
      </c>
      <c r="E97" s="171">
        <f t="shared" ca="1" si="6"/>
        <v>1.0201533232564839E-2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7.6328767123287671</v>
      </c>
      <c r="D98" s="162">
        <f ca="1">IF(NOT($C$6),"",IF(GetConvertDate(CDSRollDate,B98)&lt;Parameter_Date,0,GetGetDefaultprob($I$6,B98)))</f>
        <v>5.7477847436525731E-2</v>
      </c>
      <c r="E98" s="171">
        <f t="shared" ca="1" si="6"/>
        <v>1.0201533232563637E-2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7.7123287671232879</v>
      </c>
      <c r="D99" s="162">
        <f ca="1">IF(NOT($C$6),"",IF(GetConvertDate(CDSRollDate,B99)&lt;Parameter_Date,0,GetGetDefaultprob($I$6,B99)))</f>
        <v>5.8241483016946205E-2</v>
      </c>
      <c r="E99" s="171">
        <f t="shared" ca="1" si="6"/>
        <v>1.0201533232563759E-2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7.7972602739726025</v>
      </c>
      <c r="D100" s="162">
        <f ca="1">IF(NOT($C$6),"",IF(GetConvertDate(CDSRollDate,B100)&lt;Parameter_Date,0,GetGetDefaultprob($I$6,B100)))</f>
        <v>5.9057098957117637E-2</v>
      </c>
      <c r="E100" s="171">
        <f t="shared" ca="1" si="6"/>
        <v>1.0201533232563637E-2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7.8794520547945206</v>
      </c>
      <c r="D101" s="162">
        <f ca="1">IF(NOT($C$6),"",IF(GetConvertDate(CDSRollDate,B101)&lt;Parameter_Date,0,GetGetDefaultprob($I$6,B101)))</f>
        <v>5.9845732141689867E-2</v>
      </c>
      <c r="E101" s="171">
        <f t="shared" ca="1" si="6"/>
        <v>1.0201533232562732E-2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7.9643835616438352</v>
      </c>
      <c r="D102" s="162">
        <f ca="1">IF(NOT($C$6),"",IF(GetConvertDate(CDSRollDate,B102)&lt;Parameter_Date,0,GetGetDefaultprob($I$6,B102)))</f>
        <v>6.0659958711726025E-2</v>
      </c>
      <c r="E102" s="171">
        <f t="shared" ca="1" si="6"/>
        <v>1.0201533232563637E-2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8.0465753424657542</v>
      </c>
      <c r="D103" s="162">
        <f ca="1">IF(NOT($C$6),"",IF(GetConvertDate(CDSRollDate,B103)&lt;Parameter_Date,0,GetGetDefaultprob($I$6,B103)))</f>
        <v>6.1447248490241191E-2</v>
      </c>
      <c r="E103" s="171">
        <f t="shared" ca="1" si="6"/>
        <v>1.0201533232563974E-2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8.131506849315068</v>
      </c>
      <c r="D104" s="162">
        <f ca="1">IF(NOT($C$6),"",IF(GetConvertDate(CDSRollDate,B104)&lt;Parameter_Date,0,GetGetDefaultprob($I$6,B104)))</f>
        <v>6.2260088056880214E-2</v>
      </c>
      <c r="E104" s="171">
        <f t="shared" ca="1" si="6"/>
        <v>1.0201533232563745E-2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8.2164383561643834</v>
      </c>
      <c r="D105" s="162">
        <f ca="1">IF(NOT($C$6),"",IF(GetConvertDate(CDSRollDate,B105)&lt;Parameter_Date,0,GetGetDefaultprob($I$6,B105)))</f>
        <v>6.307222365865417E-2</v>
      </c>
      <c r="E105" s="171">
        <f t="shared" ca="1" si="6"/>
        <v>1.0201533232563531E-2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8.2986301369863007</v>
      </c>
      <c r="D106" s="162">
        <f ca="1">IF(NOT($C$6),"",IF(GetConvertDate(CDSRollDate,B106)&lt;Parameter_Date,0,GetGetDefaultprob($I$6,B106)))</f>
        <v>6.3857491643726783E-2</v>
      </c>
      <c r="E106" s="171">
        <f t="shared" ca="1" si="6"/>
        <v>1.0201533232564194E-2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8.3835616438356162</v>
      </c>
      <c r="D107" s="162">
        <f ca="1">IF(NOT($C$6),"",IF(GetConvertDate(CDSRollDate,B107)&lt;Parameter_Date,0,GetGetDefaultprob($I$6,B107)))</f>
        <v>6.4668243803986947E-2</v>
      </c>
      <c r="E107" s="171">
        <f t="shared" ca="1" si="6"/>
        <v>1.0201533232562222E-2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8.4657534246575334</v>
      </c>
      <c r="D108" s="162">
        <f ca="1">IF(NOT($C$6),"",IF(GetConvertDate(CDSRollDate,B108)&lt;Parameter_Date,0,GetGetDefaultprob($I$6,B108)))</f>
        <v>6.5452174115489203E-2</v>
      </c>
      <c r="E108" s="171">
        <f t="shared" ca="1" si="6"/>
        <v>1.0201533232562843E-2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8.5506849315068489</v>
      </c>
      <c r="D109" s="162">
        <f ca="1">IF(NOT($C$6),"",IF(GetConvertDate(CDSRollDate,B109)&lt;Parameter_Date,0,GetGetDefaultprob($I$6,B109)))</f>
        <v>6.6261545190874682E-2</v>
      </c>
      <c r="E109" s="171">
        <f t="shared" ca="1" si="6"/>
        <v>1.0201533232563531E-2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8.6356164383561644</v>
      </c>
      <c r="D110" s="162">
        <f ca="1">IF(NOT($C$6),"",IF(GetConvertDate(CDSRollDate,B110)&lt;Parameter_Date,0,GetGetDefaultprob($I$6,B110)))</f>
        <v>6.7070215305303882E-2</v>
      </c>
      <c r="E110" s="171">
        <f t="shared" ca="1" si="6"/>
        <v>1.0201533232563531E-2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8.712328767123287</v>
      </c>
      <c r="D111" s="162">
        <f ca="1">IF(NOT($C$6),"",IF(GetConvertDate(CDSRollDate,B111)&lt;Parameter_Date,0,GetGetDefaultprob($I$6,B111)))</f>
        <v>6.7800025035637534E-2</v>
      </c>
      <c r="E111" s="171">
        <f t="shared" ca="1" si="6"/>
        <v>1.0201533232564747E-2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8.7972602739726025</v>
      </c>
      <c r="D112" s="162">
        <f ca="1">IF(NOT($C$6),"",IF(GetConvertDate(CDSRollDate,B112)&lt;Parameter_Date,0,GetGetDefaultprob($I$6,B112)))</f>
        <v>6.860736273983381E-2</v>
      </c>
      <c r="E112" s="171">
        <f t="shared" ca="1" si="6"/>
        <v>1.0201533232563531E-2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8.8794520547945197</v>
      </c>
      <c r="D113" s="162">
        <f ca="1">IF(NOT($C$6),"",IF(GetConvertDate(CDSRollDate,B113)&lt;Parameter_Date,0,GetGetDefaultprob($I$6,B113)))</f>
        <v>6.9387991554606177E-2</v>
      </c>
      <c r="E113" s="171">
        <f t="shared" ca="1" si="6"/>
        <v>1.0201533232562843E-2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8.9643835616438352</v>
      </c>
      <c r="D114" s="162">
        <f ca="1">IF(NOT($C$6),"",IF(GetConvertDate(CDSRollDate,B114)&lt;Parameter_Date,0,GetGetDefaultprob($I$6,B114)))</f>
        <v>7.0193953990321245E-2</v>
      </c>
      <c r="E114" s="171">
        <f t="shared" ca="1" si="6"/>
        <v>1.0201533232563531E-2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9.0465753424657542</v>
      </c>
      <c r="D115" s="162">
        <f ca="1">IF(NOT($C$6),"",IF(GetConvertDate(CDSRollDate,B115)&lt;Parameter_Date,0,GetGetDefaultprob($I$6,B115)))</f>
        <v>7.0973253034170125E-2</v>
      </c>
      <c r="E115" s="171">
        <f t="shared" ca="1" si="6"/>
        <v>1.0201533232562621E-2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9.131506849315068</v>
      </c>
      <c r="D116" s="162">
        <f ca="1">IF(NOT($C$6),"",IF(GetConvertDate(CDSRollDate,B116)&lt;Parameter_Date,0,GetGetDefaultprob($I$6,B116)))</f>
        <v>7.1777842544120563E-2</v>
      </c>
      <c r="E116" s="171">
        <f t="shared" ca="1" si="6"/>
        <v>1.0201533232565053E-2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9.2164383561643834</v>
      </c>
      <c r="D117" s="162">
        <f ca="1">IF(NOT($C$6),"",IF(GetConvertDate(CDSRollDate,B117)&lt;Parameter_Date,0,GetGetDefaultprob($I$6,B117)))</f>
        <v>7.2581735234219735E-2</v>
      </c>
      <c r="E117" s="171">
        <f t="shared" ca="1" si="6"/>
        <v>1.0201533232562222E-2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9.2986301369863007</v>
      </c>
      <c r="D118" s="162">
        <f ca="1">IF(NOT($C$6),"",IF(GetConvertDate(CDSRollDate,B118)&lt;Parameter_Date,0,GetGetDefaultprob($I$6,B118)))</f>
        <v>7.3359033005170549E-2</v>
      </c>
      <c r="E118" s="171">
        <f t="shared" ca="1" si="6"/>
        <v>1.0201533232562843E-2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9.3835616438356162</v>
      </c>
      <c r="D119" s="162">
        <f ca="1">IF(NOT($C$6),"",IF(GetConvertDate(CDSRollDate,B119)&lt;Parameter_Date,0,GetGetDefaultprob($I$6,B119)))</f>
        <v>7.4161556295236575E-2</v>
      </c>
      <c r="E119" s="171">
        <f t="shared" ca="1" si="6"/>
        <v>1.0201533232563531E-2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9.4657534246575334</v>
      </c>
      <c r="D120" s="162">
        <f ca="1">IF(NOT($C$6),"",IF(GetConvertDate(CDSRollDate,B120)&lt;Parameter_Date,0,GetGetDefaultprob($I$6,B120)))</f>
        <v>7.4937529969567929E-2</v>
      </c>
      <c r="E120" s="171">
        <f t="shared" ca="1" si="6"/>
        <v>1.0201533232562843E-2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9.5506849315068489</v>
      </c>
      <c r="D121" s="162">
        <f ca="1">IF(NOT($C$6),"",IF(GetConvertDate(CDSRollDate,B121)&lt;Parameter_Date,0,GetGetDefaultprob($I$6,B121)))</f>
        <v>7.5738686192320492E-2</v>
      </c>
      <c r="E121" s="171">
        <f t="shared" ca="1" si="6"/>
        <v>1.0201533232563531E-2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9.6356164383561644</v>
      </c>
      <c r="D122" s="162">
        <f ca="1">IF(NOT($C$6),"",IF(GetConvertDate(CDSRollDate,B122)&lt;Parameter_Date,0,GetGetDefaultprob($I$6,B122)))</f>
        <v>7.653914856864219E-2</v>
      </c>
      <c r="E122" s="171">
        <f t="shared" ca="1" si="6"/>
        <v>1.0201533232564839E-2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9.712328767123287</v>
      </c>
      <c r="D123" s="162">
        <f ca="1">IF(NOT($C$6),"",IF(GetConvertDate(CDSRollDate,B123)&lt;Parameter_Date,0,GetGetDefaultprob($I$6,B123)))</f>
        <v>7.7261550968065307E-2</v>
      </c>
      <c r="E123" s="171">
        <f t="shared" ca="1" si="6"/>
        <v>1.0201533232563299E-2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9.7972602739726025</v>
      </c>
      <c r="D124" s="162">
        <f ca="1">IF(NOT($C$6),"",IF(GetConvertDate(CDSRollDate,B124)&lt;Parameter_Date,0,GetGetDefaultprob($I$6,B124)))</f>
        <v>7.8060694457683599E-2</v>
      </c>
      <c r="E124" s="171">
        <f t="shared" ca="1" si="6"/>
        <v>1.0201533232563531E-2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9.8794520547945197</v>
      </c>
      <c r="D125" s="162">
        <f ca="1">IF(NOT($C$6),"",IF(GetConvertDate(CDSRollDate,B125)&lt;Parameter_Date,0,GetGetDefaultprob($I$6,B125)))</f>
        <v>7.8833400144400878E-2</v>
      </c>
      <c r="E125" s="171">
        <f t="shared" ca="1" si="6"/>
        <v>1.0201533232562843E-2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9.9643835616438352</v>
      </c>
      <c r="D126" s="162">
        <f ca="1">IF(NOT($C$6),"",IF(GetConvertDate(CDSRollDate,B126)&lt;Parameter_Date,0,GetGetDefaultprob($I$6,B126)))</f>
        <v>7.9631182324064742E-2</v>
      </c>
      <c r="E126" s="171">
        <f t="shared" ca="1" si="6"/>
        <v>1.0201533232563531E-2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10.046575342465754</v>
      </c>
      <c r="D127" s="162">
        <f ca="1">IF(NOT($C$6),"",IF(GetConvertDate(CDSRollDate,B127)&lt;Parameter_Date,0,GetGetDefaultprob($I$6,B127)))</f>
        <v>8.0402571736600148E-2</v>
      </c>
      <c r="E127" s="171">
        <f t="shared" ca="1" si="6"/>
        <v>1.0201533232563974E-2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10.131506849315068</v>
      </c>
      <c r="D128" s="162">
        <f ca="1">IF(NOT($C$6),"",IF(GetConvertDate(CDSRollDate,B128)&lt;Parameter_Date,0,GetGetDefaultprob($I$6,B128)))</f>
        <v>8.1198994925248402E-2</v>
      </c>
      <c r="E128" s="171">
        <f t="shared" ca="1" si="6"/>
        <v>1.0201533232563745E-2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10.216438356164383</v>
      </c>
      <c r="D129" s="172">
        <f ca="1">IF(NOT($C$6),"",IF(GetConvertDate(CDSRollDate,B129)&lt;Parameter_Date,0,GetGetDefaultprob($I$6,B129)))</f>
        <v>8.1994728366539871E-2</v>
      </c>
      <c r="E129" s="211">
        <f t="shared" ca="1" si="6"/>
        <v>1.0201533232562222E-2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26" t="s">
        <v>456</v>
      </c>
      <c r="D3" s="627"/>
      <c r="E3" s="628"/>
    </row>
    <row r="4" spans="2:11">
      <c r="C4" s="629"/>
      <c r="D4" s="630"/>
      <c r="E4" s="631"/>
    </row>
    <row r="5" spans="2:11" ht="15.75" thickBot="1">
      <c r="C5" s="632"/>
      <c r="D5" s="633"/>
      <c r="E5" s="634"/>
      <c r="G5" s="464"/>
    </row>
    <row r="6" spans="2:11" ht="15.75" thickBot="1"/>
    <row r="7" spans="2:11" ht="16.5" thickBot="1">
      <c r="B7" s="624" t="s">
        <v>454</v>
      </c>
      <c r="C7" s="625"/>
      <c r="D7" s="79"/>
      <c r="E7" s="624" t="s">
        <v>455</v>
      </c>
      <c r="F7" s="625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ABNAMRO_MMR.EUR.SU</v>
      </c>
      <c r="D9" s="79"/>
      <c r="E9" s="200" t="s">
        <v>453</v>
      </c>
      <c r="F9" s="204" t="b">
        <v>1</v>
      </c>
      <c r="I9" s="79"/>
      <c r="J9" s="79"/>
      <c r="K9" s="261"/>
    </row>
    <row r="10" spans="2:11">
      <c r="B10" s="201" t="s">
        <v>432</v>
      </c>
      <c r="C10" s="187" t="s">
        <v>57</v>
      </c>
      <c r="D10" s="79"/>
      <c r="E10" s="201" t="s">
        <v>433</v>
      </c>
      <c r="F10" s="205">
        <f ca="1">GetConvertDate(CDSRollDate,C10)</f>
        <v>47107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586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8"/>
      <c r="H12" s="470"/>
      <c r="I12" s="79"/>
      <c r="J12" s="79"/>
      <c r="K12" s="79"/>
    </row>
    <row r="13" spans="2:11" ht="15.75" thickBot="1">
      <c r="B13" s="202" t="s">
        <v>496</v>
      </c>
      <c r="C13" s="439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65</v>
      </c>
      <c r="E15" s="217" t="s">
        <v>435</v>
      </c>
      <c r="F15" s="467" cm="1">
        <f t="array" aca="1" ref="F15:K22" ca="1">IF(NOT($F$9),"",getcds(C9,C10,C11,C12,C13,C19,C20,C21,C15,C16,C17,C23,C24,C26,C28:C30,C32))</f>
        <v>-2.6940121284616501E-2</v>
      </c>
      <c r="G15" s="253">
        <f ca="1"/>
        <v>-2.6940121284616501E-2</v>
      </c>
      <c r="H15" s="249">
        <f ca="1"/>
        <v>0</v>
      </c>
      <c r="I15" s="450">
        <f ca="1"/>
        <v>0</v>
      </c>
      <c r="J15" s="253">
        <f ca="1"/>
        <v>0</v>
      </c>
      <c r="K15" s="249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49">
        <f ca="1"/>
        <v>1.98132089976325E-2</v>
      </c>
      <c r="G16" s="254">
        <f ca="1"/>
        <v>1.98132089976325E-2</v>
      </c>
      <c r="H16" s="250">
        <f ca="1"/>
        <v>0</v>
      </c>
      <c r="I16" s="451">
        <f ca="1"/>
        <v>0</v>
      </c>
      <c r="J16" s="254">
        <f ca="1"/>
        <v>0</v>
      </c>
      <c r="K16" s="250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49">
        <f ca="1"/>
        <v>4.6753330282248998E-2</v>
      </c>
      <c r="G17" s="254">
        <f ca="1"/>
        <v>4.6753330282248998E-2</v>
      </c>
      <c r="H17" s="250">
        <f ca="1"/>
        <v>0</v>
      </c>
      <c r="I17" s="451">
        <f ca="1"/>
        <v>0</v>
      </c>
      <c r="J17" s="254">
        <f ca="1"/>
        <v>0</v>
      </c>
      <c r="K17" s="250">
        <f ca="1"/>
        <v>0</v>
      </c>
    </row>
    <row r="18" spans="2:11" ht="15.75" thickBot="1">
      <c r="B18" s="195"/>
      <c r="C18" s="79"/>
      <c r="E18" s="218" t="s">
        <v>440</v>
      </c>
      <c r="F18" s="463">
        <f ca="1"/>
        <v>4.2378176865734496E-3</v>
      </c>
      <c r="G18" s="254">
        <f ca="1"/>
        <v>4.2378176865734496E-3</v>
      </c>
      <c r="H18" s="250">
        <f ca="1"/>
        <v>0</v>
      </c>
      <c r="I18" s="451">
        <f ca="1"/>
        <v>0</v>
      </c>
      <c r="J18" s="254">
        <f ca="1"/>
        <v>0</v>
      </c>
      <c r="K18" s="250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49">
        <f ca="1"/>
        <v>4.6753330282248999</v>
      </c>
      <c r="G19" s="255">
        <f ca="1"/>
        <v>4.6753330282248999</v>
      </c>
      <c r="H19" s="250">
        <f ca="1"/>
        <v>0</v>
      </c>
      <c r="I19" s="452">
        <f ca="1"/>
        <v>0</v>
      </c>
      <c r="J19" s="255">
        <f ca="1"/>
        <v>0</v>
      </c>
      <c r="K19" s="250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0" t="str">
        <f ca="1"/>
        <v>00:00:00.0135660</v>
      </c>
      <c r="G20" s="256" t="str">
        <f ca="1"/>
        <v>00:00:00.0135660</v>
      </c>
      <c r="H20" s="250">
        <f ca="1"/>
        <v>0</v>
      </c>
      <c r="I20" s="453">
        <f ca="1"/>
        <v>0</v>
      </c>
      <c r="J20" s="256">
        <f ca="1"/>
        <v>0</v>
      </c>
      <c r="K20" s="250">
        <f ca="1"/>
        <v>0</v>
      </c>
    </row>
    <row r="21" spans="2:11" ht="15.75" thickBot="1">
      <c r="B21" s="202" t="s">
        <v>446</v>
      </c>
      <c r="C21" s="465"/>
      <c r="E21" s="219"/>
      <c r="F21" s="251" t="str">
        <f ca="1"/>
        <v>dPV</v>
      </c>
      <c r="G21" s="251" t="str">
        <f ca="1"/>
        <v>dHedge</v>
      </c>
      <c r="H21" s="252" t="str">
        <f ca="1"/>
        <v>delta not. (Hedge Crncy)</v>
      </c>
      <c r="I21" s="251" t="str">
        <f ca="1"/>
        <v>delta not. (Product CCY)</v>
      </c>
      <c r="J21" s="251" t="str">
        <f ca="1"/>
        <v>dPV(dBeta)</v>
      </c>
      <c r="K21" s="252" t="str">
        <f ca="1"/>
        <v>Name</v>
      </c>
    </row>
    <row r="22" spans="2:11" ht="15.75" thickBot="1">
      <c r="B22" s="195"/>
      <c r="C22" s="79"/>
      <c r="E22" s="220"/>
      <c r="F22" s="461">
        <f ca="1"/>
        <v>4.8735633483819698E-4</v>
      </c>
      <c r="G22" s="257">
        <f ca="1"/>
        <v>4.4074888755455598E-4</v>
      </c>
      <c r="H22" s="258">
        <f ca="1"/>
        <v>6.6787590539507998E-3</v>
      </c>
      <c r="I22" s="257">
        <f ca="1"/>
        <v>1.10574603498658</v>
      </c>
      <c r="J22" s="257">
        <f ca="1"/>
        <v>-1.98132089976325E-2</v>
      </c>
      <c r="K22" s="258" t="str">
        <f ca="1"/>
        <v>ABNAMRO_MMR.EUR.SU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6"/>
    </row>
    <row r="26" spans="2:11" ht="15.75" thickBot="1">
      <c r="B26" s="173" t="s">
        <v>449</v>
      </c>
      <c r="C26" s="190" t="b">
        <v>1</v>
      </c>
      <c r="D26" s="85"/>
      <c r="F26" s="506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A2" zoomScale="115" zoomScaleNormal="115" workbookViewId="0">
      <selection activeCell="AE16" sqref="AE16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customWidth="1"/>
    <col min="17" max="18" width="19.28515625" style="22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2">
      <c r="S1" s="222"/>
    </row>
    <row r="2" spans="1:32" ht="29.25" customHeight="1">
      <c r="N2" s="475"/>
      <c r="O2" s="475"/>
      <c r="P2" s="475"/>
    </row>
    <row r="3" spans="1:32">
      <c r="N3" s="475"/>
      <c r="O3" s="475"/>
      <c r="P3" s="475"/>
    </row>
    <row r="4" spans="1:32" ht="12" thickBot="1">
      <c r="N4" s="476"/>
      <c r="O4" s="475"/>
      <c r="P4" s="475"/>
    </row>
    <row r="5" spans="1:32" ht="12" thickBot="1">
      <c r="B5" s="263" t="s">
        <v>47</v>
      </c>
      <c r="C5" s="223">
        <f ca="1">[0]!Parameter_Date</f>
        <v>45261</v>
      </c>
      <c r="H5" s="262" t="s">
        <v>423</v>
      </c>
      <c r="I5" s="140" t="b">
        <v>1</v>
      </c>
      <c r="K5" s="262" t="s">
        <v>508</v>
      </c>
      <c r="L5" s="140" t="b">
        <v>1</v>
      </c>
      <c r="N5" s="475"/>
      <c r="O5" s="475"/>
      <c r="P5" s="475"/>
    </row>
    <row r="6" spans="1:32" ht="12" thickBot="1">
      <c r="B6" s="263" t="s">
        <v>432</v>
      </c>
      <c r="C6" s="223" t="s">
        <v>59</v>
      </c>
      <c r="F6" s="397"/>
      <c r="K6" s="262" t="s">
        <v>509</v>
      </c>
      <c r="L6" s="140" t="b">
        <v>0</v>
      </c>
      <c r="N6" s="475"/>
      <c r="O6" s="475"/>
      <c r="P6" s="475"/>
    </row>
    <row r="7" spans="1:32" customFormat="1" ht="15.75" thickBot="1">
      <c r="A7" s="221"/>
      <c r="B7" s="263" t="s">
        <v>457</v>
      </c>
      <c r="C7" s="224" cm="1">
        <f t="array" aca="1" ref="C7" ca="1">GetConvertDate([0]!CDSRollDate,C6)</f>
        <v>47837</v>
      </c>
      <c r="D7" s="473"/>
      <c r="E7" s="472"/>
      <c r="F7" s="222"/>
      <c r="G7" s="222"/>
      <c r="I7" s="390"/>
      <c r="J7" s="389"/>
      <c r="K7" s="389"/>
      <c r="L7" s="389"/>
      <c r="M7" s="389"/>
      <c r="N7" s="389"/>
      <c r="O7" s="389"/>
      <c r="P7" s="389"/>
      <c r="Q7" s="389"/>
      <c r="R7" s="389"/>
      <c r="S7" s="437"/>
      <c r="T7" s="79"/>
      <c r="U7" s="79"/>
      <c r="V7" s="79"/>
      <c r="W7" s="427"/>
      <c r="X7" s="79"/>
      <c r="Y7" s="79"/>
      <c r="Z7" s="79"/>
      <c r="AA7" s="79"/>
      <c r="AB7" s="79"/>
      <c r="AC7" s="79"/>
    </row>
    <row r="8" spans="1:32" customFormat="1" ht="15">
      <c r="A8" s="221"/>
      <c r="B8" s="264" t="s">
        <v>82</v>
      </c>
      <c r="C8" s="225" t="s">
        <v>66</v>
      </c>
      <c r="D8" s="222"/>
      <c r="E8" s="222"/>
      <c r="F8" s="222"/>
      <c r="G8" s="222"/>
      <c r="H8" s="305" t="s">
        <v>435</v>
      </c>
      <c r="I8" s="391" cm="1">
        <f t="array" aca="1" ref="I8:R109" ca="1">IF(NOT($I$5),"",GETCDO(C6,C19:C20,C21:C22,G39:G338,C8,C17,C39:C338,D39:D338,C12,C13,C14,C15,C9,C10,E39:E338,F39:F338,C24,C25,C27,L5,L6,C29:C31,C36,C33,,C34,))</f>
        <v>1.0165594440858201</v>
      </c>
      <c r="J8" s="392">
        <f ca="1"/>
        <v>0.338853148028607</v>
      </c>
      <c r="K8" s="401" t="str">
        <f ca="1"/>
        <v/>
      </c>
      <c r="L8" s="401">
        <f ca="1"/>
        <v>0</v>
      </c>
      <c r="M8" s="402">
        <f ca="1"/>
        <v>0</v>
      </c>
      <c r="N8" s="402">
        <f ca="1"/>
        <v>0</v>
      </c>
      <c r="O8" s="402" t="str">
        <f ca="1"/>
        <v/>
      </c>
      <c r="P8" s="402" t="str">
        <f ca="1"/>
        <v/>
      </c>
      <c r="Q8" s="402" t="str">
        <f ca="1"/>
        <v/>
      </c>
      <c r="R8" s="441" t="str">
        <f ca="1"/>
        <v/>
      </c>
      <c r="S8" s="437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1"/>
      <c r="B9" s="264" t="s">
        <v>437</v>
      </c>
      <c r="C9" s="226">
        <v>-0.05</v>
      </c>
      <c r="D9" s="473"/>
      <c r="E9" s="222"/>
      <c r="F9" s="222"/>
      <c r="G9" s="222"/>
      <c r="H9" s="379" t="s">
        <v>436</v>
      </c>
      <c r="I9" s="393">
        <f ca="1"/>
        <v>1.14760129374972</v>
      </c>
      <c r="J9" s="394">
        <f ca="1"/>
        <v>0.38253376458324001</v>
      </c>
      <c r="K9" s="403" t="str">
        <f ca="1"/>
        <v/>
      </c>
      <c r="L9" s="403">
        <f ca="1"/>
        <v>0</v>
      </c>
      <c r="M9" s="325">
        <f ca="1"/>
        <v>0</v>
      </c>
      <c r="N9" s="325">
        <f ca="1"/>
        <v>0</v>
      </c>
      <c r="O9" s="325" t="str">
        <f ca="1"/>
        <v/>
      </c>
      <c r="P9" s="325" t="str">
        <f ca="1"/>
        <v/>
      </c>
      <c r="Q9" s="325" t="str">
        <f ca="1"/>
        <v/>
      </c>
      <c r="R9" s="442" t="str">
        <f ca="1"/>
        <v/>
      </c>
      <c r="S9" s="437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1"/>
      <c r="B10" s="265" t="s">
        <v>439</v>
      </c>
      <c r="C10" s="227">
        <v>0.1</v>
      </c>
      <c r="D10" s="222"/>
      <c r="E10" s="221"/>
      <c r="F10" s="222"/>
      <c r="G10" s="222"/>
      <c r="H10" s="379" t="s">
        <v>438</v>
      </c>
      <c r="I10" s="395">
        <f ca="1"/>
        <v>0.131041849663903</v>
      </c>
      <c r="J10" s="394">
        <f ca="1"/>
        <v>4.3680616554634302E-2</v>
      </c>
      <c r="K10" s="403" t="str">
        <f ca="1"/>
        <v/>
      </c>
      <c r="L10" s="403">
        <f ca="1"/>
        <v>0</v>
      </c>
      <c r="M10" s="325">
        <f ca="1"/>
        <v>0</v>
      </c>
      <c r="N10" s="325">
        <f ca="1"/>
        <v>0</v>
      </c>
      <c r="O10" s="325" t="str">
        <f ca="1"/>
        <v/>
      </c>
      <c r="P10" s="325" t="str">
        <f ca="1"/>
        <v/>
      </c>
      <c r="Q10" s="325" t="str">
        <f ca="1"/>
        <v/>
      </c>
      <c r="R10" s="442" t="str">
        <f ca="1"/>
        <v/>
      </c>
      <c r="S10" s="437"/>
      <c r="T10" s="79"/>
      <c r="U10" s="79"/>
      <c r="V10" s="79"/>
      <c r="W10" s="79"/>
      <c r="X10" s="79"/>
      <c r="Y10" s="468" t="s">
        <v>434</v>
      </c>
      <c r="Z10" s="425">
        <f ca="1">C29</f>
        <v>0</v>
      </c>
      <c r="AA10" s="79"/>
      <c r="AB10" s="468" t="s">
        <v>504</v>
      </c>
      <c r="AC10" s="425">
        <v>0.95</v>
      </c>
    </row>
    <row r="11" spans="1:32" customFormat="1" ht="15.75" thickBot="1">
      <c r="A11" s="221"/>
      <c r="B11" s="221"/>
      <c r="C11" s="221"/>
      <c r="D11" s="222"/>
      <c r="E11" s="222"/>
      <c r="F11" s="222"/>
      <c r="H11" s="379" t="s">
        <v>440</v>
      </c>
      <c r="I11" s="396">
        <f ca="1"/>
        <v>8.7575175159164298E-2</v>
      </c>
      <c r="J11" s="396">
        <f ca="1"/>
        <v>8.7575175159164298E-2</v>
      </c>
      <c r="K11" s="403" t="str">
        <f ca="1"/>
        <v/>
      </c>
      <c r="L11" s="403">
        <f ca="1"/>
        <v>0</v>
      </c>
      <c r="M11" s="325">
        <f ca="1"/>
        <v>0</v>
      </c>
      <c r="N11" s="325">
        <f ca="1"/>
        <v>0</v>
      </c>
      <c r="O11" s="325" t="str">
        <f ca="1"/>
        <v/>
      </c>
      <c r="P11" s="325" t="str">
        <f ca="1"/>
        <v/>
      </c>
      <c r="Q11" s="325" t="str">
        <f ca="1"/>
        <v/>
      </c>
      <c r="R11" s="442" t="str">
        <f ca="1"/>
        <v/>
      </c>
      <c r="S11" s="437"/>
      <c r="T11" s="79"/>
      <c r="U11" s="79"/>
      <c r="V11" s="79"/>
      <c r="W11" s="79"/>
      <c r="X11" s="79"/>
      <c r="Y11" s="468" t="s">
        <v>505</v>
      </c>
      <c r="Z11" s="426">
        <f ca="1">SUM(Z15:Z314)</f>
        <v>-0.18461095580754169</v>
      </c>
      <c r="AA11" s="79"/>
      <c r="AB11" s="468" t="s">
        <v>505</v>
      </c>
      <c r="AC11" s="426">
        <f ca="1">SUM(AC15:AC314)</f>
        <v>-1.32501553251821E-2</v>
      </c>
    </row>
    <row r="12" spans="1:32" customFormat="1" ht="15.75" thickBot="1">
      <c r="A12" s="221"/>
      <c r="B12" s="263" t="s">
        <v>434</v>
      </c>
      <c r="C12" s="228">
        <v>0.01</v>
      </c>
      <c r="D12" s="222"/>
      <c r="E12" s="222"/>
      <c r="F12" s="222"/>
      <c r="G12" s="222"/>
      <c r="H12" s="379" t="s">
        <v>497</v>
      </c>
      <c r="I12" s="397">
        <f ca="1"/>
        <v>4.3680616554634399</v>
      </c>
      <c r="J12" s="397">
        <f ca="1"/>
        <v>4.3680616554634399</v>
      </c>
      <c r="K12" s="403" t="str">
        <f ca="1"/>
        <v/>
      </c>
      <c r="L12" s="403">
        <f ca="1"/>
        <v>0</v>
      </c>
      <c r="M12" s="325">
        <f ca="1"/>
        <v>0</v>
      </c>
      <c r="N12" s="325">
        <f ca="1"/>
        <v>0</v>
      </c>
      <c r="O12" s="325" t="str">
        <f ca="1"/>
        <v/>
      </c>
      <c r="P12" s="325" t="str">
        <f ca="1"/>
        <v/>
      </c>
      <c r="Q12" s="325" t="str">
        <f ca="1"/>
        <v/>
      </c>
      <c r="R12" s="442" t="str">
        <f ca="1"/>
        <v/>
      </c>
      <c r="S12" s="438"/>
      <c r="T12" s="276" t="s">
        <v>423</v>
      </c>
      <c r="U12" s="431" t="b">
        <v>1</v>
      </c>
      <c r="V12" s="79"/>
      <c r="W12" s="79"/>
      <c r="X12" s="79"/>
      <c r="Y12" s="468" t="s">
        <v>498</v>
      </c>
      <c r="Z12" s="410">
        <f ca="1">$J$8+Z11</f>
        <v>0.15424219222106531</v>
      </c>
      <c r="AA12" s="79"/>
      <c r="AB12" s="468" t="s">
        <v>498</v>
      </c>
      <c r="AC12" s="410">
        <f ca="1">$J$8+AC11</f>
        <v>0.32560299270342491</v>
      </c>
    </row>
    <row r="13" spans="1:32" customFormat="1" ht="15.75" thickBot="1">
      <c r="A13" s="221"/>
      <c r="B13" s="264" t="s">
        <v>458</v>
      </c>
      <c r="C13" s="225" t="s">
        <v>459</v>
      </c>
      <c r="D13" s="222"/>
      <c r="E13" s="222" t="s">
        <v>75</v>
      </c>
      <c r="F13" s="222"/>
      <c r="G13" s="222"/>
      <c r="H13" s="379" t="s">
        <v>443</v>
      </c>
      <c r="I13" s="398" t="str">
        <f ca="1"/>
        <v>00:00:20.6918451</v>
      </c>
      <c r="J13" s="398" t="str">
        <f ca="1"/>
        <v>00:00:20.6918451</v>
      </c>
      <c r="K13" s="404" t="str">
        <f ca="1"/>
        <v>Leverage=</v>
      </c>
      <c r="L13" s="405">
        <f ca="1"/>
        <v>3.7765416507004002</v>
      </c>
      <c r="M13" s="325">
        <f ca="1"/>
        <v>0</v>
      </c>
      <c r="N13" s="325">
        <f ca="1"/>
        <v>0</v>
      </c>
      <c r="O13" s="325" t="str">
        <f ca="1"/>
        <v/>
      </c>
      <c r="P13" s="448" t="str">
        <f ca="1"/>
        <v>Leverage=</v>
      </c>
      <c r="Q13" s="447">
        <f ca="1"/>
        <v>36.298190666048903</v>
      </c>
      <c r="R13" s="442" t="str">
        <f ca="1"/>
        <v/>
      </c>
      <c r="S13" s="438"/>
      <c r="T13" s="280" t="s">
        <v>499</v>
      </c>
      <c r="U13" s="411">
        <f ca="1">L13</f>
        <v>3.7765416507004002</v>
      </c>
      <c r="V13" s="412"/>
      <c r="W13" s="79"/>
      <c r="X13" s="79"/>
      <c r="Y13" s="468" t="s">
        <v>500</v>
      </c>
      <c r="Z13" s="413">
        <f ca="1">Z12*(C20-C21)</f>
        <v>0.46272657666319594</v>
      </c>
      <c r="AA13" s="79"/>
      <c r="AB13" s="468" t="s">
        <v>500</v>
      </c>
      <c r="AC13" s="414">
        <f ca="1">AC12*(C20-C21)</f>
        <v>0.97680897811027467</v>
      </c>
      <c r="AD13" s="221"/>
    </row>
    <row r="14" spans="1:32" customFormat="1" ht="15">
      <c r="A14" s="221"/>
      <c r="B14" s="264" t="s">
        <v>461</v>
      </c>
      <c r="C14" s="225" t="s">
        <v>445</v>
      </c>
      <c r="D14" s="222"/>
      <c r="E14" s="222"/>
      <c r="F14" s="222"/>
      <c r="G14" s="222"/>
      <c r="H14" s="379" t="s">
        <v>460</v>
      </c>
      <c r="I14" s="399" t="str">
        <f ca="1"/>
        <v>dPV</v>
      </c>
      <c r="J14" s="400" t="str">
        <f ca="1"/>
        <v>dHedge</v>
      </c>
      <c r="K14" s="400" t="str">
        <f ca="1"/>
        <v>delta not. (Hedge Crncy)</v>
      </c>
      <c r="L14" s="399" t="str">
        <f ca="1"/>
        <v>delta not. (Product CCY)</v>
      </c>
      <c r="M14" s="399" t="str">
        <f ca="1"/>
        <v>dPV(dBeta)</v>
      </c>
      <c r="N14" s="399" t="str">
        <f ca="1"/>
        <v>Name</v>
      </c>
      <c r="O14" s="399" t="str">
        <f ca="1"/>
        <v>Jump to Default</v>
      </c>
      <c r="P14" s="399" t="str">
        <f ca="1"/>
        <v>dHedge JTD</v>
      </c>
      <c r="Q14" s="399" t="str">
        <f ca="1"/>
        <v>delta not. (Hedge Crncy)</v>
      </c>
      <c r="R14" s="443" t="str">
        <f ca="1"/>
        <v>delta not. (Product CCY)</v>
      </c>
      <c r="S14" s="151"/>
      <c r="T14" s="466" t="s">
        <v>501</v>
      </c>
      <c r="U14" s="399" t="s">
        <v>436</v>
      </c>
      <c r="V14" s="399" t="s">
        <v>438</v>
      </c>
      <c r="W14" s="399" t="s">
        <v>440</v>
      </c>
      <c r="X14" s="399" t="s">
        <v>441</v>
      </c>
      <c r="Y14" s="399" t="s">
        <v>506</v>
      </c>
      <c r="Z14" s="399" t="s">
        <v>502</v>
      </c>
      <c r="AA14" s="399" t="s">
        <v>503</v>
      </c>
      <c r="AB14" s="399" t="s">
        <v>507</v>
      </c>
      <c r="AC14" s="399" t="s">
        <v>502</v>
      </c>
      <c r="AD14" s="221"/>
      <c r="AE14" s="221"/>
    </row>
    <row r="15" spans="1:32" customFormat="1" ht="15.75" thickBot="1">
      <c r="A15" s="221"/>
      <c r="B15" s="265" t="s">
        <v>462</v>
      </c>
      <c r="C15" s="582">
        <v>45412</v>
      </c>
      <c r="D15" s="222"/>
      <c r="E15" s="222"/>
      <c r="F15" s="222"/>
      <c r="G15" s="222"/>
      <c r="H15" s="379">
        <v>1</v>
      </c>
      <c r="I15" s="406">
        <f ca="1"/>
        <v>4.6163282213083101E-5</v>
      </c>
      <c r="J15" s="406">
        <f ca="1"/>
        <v>5.9028286451698201E-4</v>
      </c>
      <c r="K15" s="406">
        <f ca="1"/>
        <v>7.8205357105966003E-2</v>
      </c>
      <c r="L15" s="406">
        <f ca="1"/>
        <v>7.8205357105966003E-2</v>
      </c>
      <c r="M15" s="406">
        <f ca="1"/>
        <v>-1.7744664036182999E-4</v>
      </c>
      <c r="N15" s="406" t="str">
        <f ca="1"/>
        <v>AIRBUS SE</v>
      </c>
      <c r="O15" s="406">
        <f ca="1"/>
        <v>0.86505932932287</v>
      </c>
      <c r="P15" s="406">
        <f ca="1"/>
        <v>0.76609373076310106</v>
      </c>
      <c r="Q15" s="406">
        <f ca="1"/>
        <v>1.12918210211848</v>
      </c>
      <c r="R15" s="444">
        <f ca="1"/>
        <v>1.12918210211848</v>
      </c>
      <c r="S15" s="435"/>
      <c r="T15" s="415" cm="1">
        <f t="array" aca="1" ref="T15:X15" ca="1">IF(AND($U$12,B39&lt;=$C$17,C39&lt;&gt;""),TRANSPOSE(INDEX(getcds(C39,$C$6,G39/10000,F39,D39,$C$13,$C$14,$C$15,$C$8,,,TRUE,TRUE,FALSE,$C$29:$C$31,$C$33),{1;2;3;4;5})),"")</f>
        <v>-1.6093730763101E-2</v>
      </c>
      <c r="U15" s="416">
        <f ca="1"/>
        <v>3.7685359075286903E-2</v>
      </c>
      <c r="V15" s="416">
        <f ca="1"/>
        <v>5.3779089838387903E-2</v>
      </c>
      <c r="W15" s="417">
        <f ca="1"/>
        <v>7.00743712631351E-3</v>
      </c>
      <c r="X15" s="418">
        <f ca="1"/>
        <v>5.3779089838387897</v>
      </c>
      <c r="Y15" s="419">
        <f ca="1">IF($U$12,IF(T15="","",$U$13*D39/$C$18),"")</f>
        <v>3.9753070007372632E-2</v>
      </c>
      <c r="Z15" s="420">
        <f ca="1">IF($U$12,IF(Y15="","",Y15*($Z$10-W15)*X15),"")</f>
        <v>-1.4981087175728557E-3</v>
      </c>
      <c r="AA15" s="419">
        <f ca="1">IF($U$12,IF(OR(T15="",L15=""),"",L15/($C$20-$C$19)),"")</f>
        <v>2.6068452368655334E-2</v>
      </c>
      <c r="AB15" s="421">
        <f ca="1">IF($U$12,IF(W15="","",W15*$AC$10),"")</f>
        <v>6.6570652699978342E-3</v>
      </c>
      <c r="AC15" s="420">
        <f ca="1">IF($U$12,IF(AA15="","",AA15*(AB15-W15)*X15),"")</f>
        <v>-4.9119949402489522E-5</v>
      </c>
      <c r="AD15" s="221"/>
      <c r="AE15" s="221">
        <f ca="1">X15*W15</f>
        <v>8.8494987564484047E-3</v>
      </c>
      <c r="AF15" s="221">
        <f ca="1">SUM(AE15:AE109)/SUM(X15:X109)</f>
        <v>4.6073362292230243E-3</v>
      </c>
    </row>
    <row r="16" spans="1:32" customFormat="1" ht="15.75" thickBot="1">
      <c r="A16" s="221"/>
      <c r="B16" s="221"/>
      <c r="C16" s="222"/>
      <c r="D16" s="222"/>
      <c r="E16" s="222"/>
      <c r="F16" s="222"/>
      <c r="G16" s="222"/>
      <c r="H16" s="379">
        <v>2</v>
      </c>
      <c r="I16" s="406">
        <f ca="1"/>
        <v>5.26829043505916E-5</v>
      </c>
      <c r="J16" s="406">
        <f ca="1"/>
        <v>5.8521503935403396E-4</v>
      </c>
      <c r="K16" s="406">
        <f ca="1"/>
        <v>9.0023155263992405E-2</v>
      </c>
      <c r="L16" s="406">
        <f ca="1"/>
        <v>9.0023155263992405E-2</v>
      </c>
      <c r="M16" s="406">
        <f ca="1"/>
        <v>-2.1702506315344699E-4</v>
      </c>
      <c r="N16" s="406" t="str">
        <f ca="1"/>
        <v>AKTIEBOLAGET VOLVO</v>
      </c>
      <c r="O16" s="406">
        <f ca="1"/>
        <v>0.86489895897536995</v>
      </c>
      <c r="P16" s="406">
        <f ca="1"/>
        <v>0.76170495201267496</v>
      </c>
      <c r="Q16" s="406">
        <f ca="1"/>
        <v>1.1354776632212</v>
      </c>
      <c r="R16" s="444">
        <f ca="1"/>
        <v>1.1354776632212</v>
      </c>
      <c r="S16" s="436"/>
      <c r="T16" s="415" cm="1">
        <f t="array" aca="1" ref="T16:X16" ca="1">IF(AND($U$12,B40&lt;=$C$17,C40&lt;&gt;""),TRANSPOSE(INDEX(getcds(C40,$C$6,G40/10000,F40,D40,$C$13,$C$14,$C$15,$C$8,,,TRUE,TRUE,FALSE,$C$29:$C$31,$C$33),{1;2;3;4;5})),"")</f>
        <v>-1.17049520126751E-2</v>
      </c>
      <c r="U16" s="416">
        <f ca="1"/>
        <v>4.1983647092542001E-2</v>
      </c>
      <c r="V16" s="416">
        <f ca="1"/>
        <v>5.3688599105217102E-2</v>
      </c>
      <c r="W16" s="417">
        <f ca="1"/>
        <v>7.8198440250347896E-3</v>
      </c>
      <c r="X16" s="418">
        <f ca="1"/>
        <v>5.3688599105217101</v>
      </c>
      <c r="Y16" s="419">
        <f ca="1">IF($U$12,IF(T16="","",$U$13*D40/$C$18),"")</f>
        <v>3.9753070007372632E-2</v>
      </c>
      <c r="Z16" s="420">
        <f ca="1">IF($U$12,IF(Y16="","",Y16*($Z$10-W16)*X16),"")</f>
        <v>-1.6689788620346487E-3</v>
      </c>
      <c r="AA16" s="419">
        <f t="shared" ref="AA16:AA79" ca="1" si="0">IF($U$12,IF(OR(T16="",L16=""),"",L16/($C$20-$C$19)),"")</f>
        <v>3.0007718421330803E-2</v>
      </c>
      <c r="AB16" s="421">
        <f t="shared" ref="AB16:AB79" ca="1" si="1">IF($U$12,IF(W16="","",W16*$AC$10),"")</f>
        <v>7.4288518237830498E-3</v>
      </c>
      <c r="AC16" s="420">
        <f ca="1">IF($U$12,IF(AA16="","",AA16*(AB16-W16)*X16),"")</f>
        <v>-6.2991673012676263E-5</v>
      </c>
      <c r="AD16" s="221"/>
      <c r="AE16" s="221">
        <f t="shared" ref="AE16:AE79" ca="1" si="2">X16*W16</f>
        <v>8.4286690863874733E-3</v>
      </c>
      <c r="AF16" s="221"/>
    </row>
    <row r="17" spans="1:31" customFormat="1" ht="15">
      <c r="A17" s="221"/>
      <c r="B17" s="263" t="s">
        <v>463</v>
      </c>
      <c r="C17" s="229">
        <f ca="1">COUNTA(C39:C338)</f>
        <v>95</v>
      </c>
      <c r="D17" s="222"/>
      <c r="E17" s="590"/>
      <c r="F17" s="532"/>
      <c r="G17" s="222"/>
      <c r="H17" s="379">
        <v>3</v>
      </c>
      <c r="I17" s="406">
        <f ca="1"/>
        <v>5.1027298368957502E-5</v>
      </c>
      <c r="J17" s="406">
        <f ca="1"/>
        <v>5.8667642525270995E-4</v>
      </c>
      <c r="K17" s="406">
        <f ca="1"/>
        <v>8.69769027227872E-2</v>
      </c>
      <c r="L17" s="406">
        <f ca="1"/>
        <v>8.69769027227872E-2</v>
      </c>
      <c r="M17" s="406">
        <f ca="1"/>
        <v>-2.0611444551067699E-4</v>
      </c>
      <c r="N17" s="406" t="str">
        <f ca="1"/>
        <v>AKZO NOBEL N.V.</v>
      </c>
      <c r="O17" s="406">
        <f ca="1"/>
        <v>0.86494355908168996</v>
      </c>
      <c r="P17" s="406">
        <f ca="1"/>
        <v>0.76291069760807795</v>
      </c>
      <c r="Q17" s="406">
        <f ca="1"/>
        <v>1.1337415529674899</v>
      </c>
      <c r="R17" s="444">
        <f ca="1"/>
        <v>1.1337415529674899</v>
      </c>
      <c r="S17" s="436"/>
      <c r="T17" s="415" cm="1">
        <f t="array" aca="1" ref="T17:X17" ca="1">IF(AND($U$12,B41&lt;=$C$17,C41&lt;&gt;""),TRANSPOSE(INDEX(getcds(C41,$C$6,G41/10000,F41,D41,$C$13,$C$14,$C$15,$C$8,,,TRUE,TRUE,FALSE,$C$29:$C$31,$C$33),{1;2;3;4;5})),"")</f>
        <v>-1.29106976080778E-2</v>
      </c>
      <c r="U17" s="416">
        <f ca="1"/>
        <v>4.0755812917436601E-2</v>
      </c>
      <c r="V17" s="416">
        <f ca="1"/>
        <v>5.3666510525514403E-2</v>
      </c>
      <c r="W17" s="417">
        <f ca="1"/>
        <v>7.5942729494328301E-3</v>
      </c>
      <c r="X17" s="418">
        <f ca="1"/>
        <v>5.3666510525514397</v>
      </c>
      <c r="Y17" s="419">
        <f ca="1">IF($U$12,IF(T17="","",$U$13*D41/$C$18),"")</f>
        <v>3.9753070007372632E-2</v>
      </c>
      <c r="Z17" s="420">
        <f t="shared" ref="Z17:Z79" ca="1" si="3">IF($U$12,IF(Y17="","",Y17*($Z$10-W17)*X17),"")</f>
        <v>-1.62016868411424E-3</v>
      </c>
      <c r="AA17" s="419">
        <f t="shared" ca="1" si="0"/>
        <v>2.8992300907595733E-2</v>
      </c>
      <c r="AB17" s="421">
        <f t="shared" ca="1" si="1"/>
        <v>7.2145593019611884E-3</v>
      </c>
      <c r="AC17" s="420">
        <f t="shared" ref="AC17:AC79" ca="1" si="4">IF($U$12,IF(AA17="","",AA17*(AB17-W17)*X17),"")</f>
        <v>-5.9080239591800017E-5</v>
      </c>
      <c r="AD17" s="221"/>
      <c r="AE17" s="221">
        <f t="shared" ca="1" si="2"/>
        <v>8.7102035140560075E-3</v>
      </c>
    </row>
    <row r="18" spans="1:31" customFormat="1" ht="15">
      <c r="A18" s="221"/>
      <c r="B18" s="264" t="s">
        <v>464</v>
      </c>
      <c r="C18" s="230">
        <f ca="1">SUM(OFFSET(D38,1,0,C17))</f>
        <v>95</v>
      </c>
      <c r="D18" s="222"/>
      <c r="E18" s="589"/>
      <c r="F18" s="222"/>
      <c r="G18" s="231"/>
      <c r="H18" s="379">
        <v>4</v>
      </c>
      <c r="I18" s="406">
        <f ca="1"/>
        <v>1.7271135528230499E-4</v>
      </c>
      <c r="J18" s="406">
        <f ca="1"/>
        <v>5.3626617649461003E-4</v>
      </c>
      <c r="K18" s="406">
        <f ca="1"/>
        <v>0.32206274207197</v>
      </c>
      <c r="L18" s="406">
        <f ca="1"/>
        <v>0.32206274207197</v>
      </c>
      <c r="M18" s="406">
        <f ca="1"/>
        <v>-9.9082159167927807E-4</v>
      </c>
      <c r="N18" s="406" t="str">
        <f ca="1"/>
        <v>ALSTOM</v>
      </c>
      <c r="O18" s="406">
        <f ca="1"/>
        <v>0.85688368395340997</v>
      </c>
      <c r="P18" s="406">
        <f ca="1"/>
        <v>0.69502842235111095</v>
      </c>
      <c r="Q18" s="406">
        <f ca="1"/>
        <v>1.2328757449296599</v>
      </c>
      <c r="R18" s="444">
        <f ca="1"/>
        <v>1.2328757449296599</v>
      </c>
      <c r="S18" s="436"/>
      <c r="T18" s="415" cm="1">
        <f t="array" aca="1" ref="T18:X18" ca="1">IF(AND($U$12,B42&lt;=$C$17,C42&lt;&gt;""),TRANSPOSE(INDEX(getcds(C42,$C$6,G42/10000,F42,D42,$C$13,$C$14,$C$15,$C$8,,,TRUE,TRUE,FALSE,$C$29:$C$31,$C$33),{1;2;3;4;5})),"")</f>
        <v>5.4971577648889401E-2</v>
      </c>
      <c r="U18" s="416">
        <f ca="1"/>
        <v>0.105865539969296</v>
      </c>
      <c r="V18" s="416">
        <f ca="1"/>
        <v>5.0893962320406598E-2</v>
      </c>
      <c r="W18" s="417">
        <f ca="1"/>
        <v>2.0801198244855001E-2</v>
      </c>
      <c r="X18" s="418">
        <f ca="1"/>
        <v>5.0893962320406603</v>
      </c>
      <c r="Y18" s="419">
        <f t="shared" ref="Y18:Y79" ca="1" si="5">IF($U$12,IF(T18="","",$U$13*D42/$C$18),"")</f>
        <v>3.9753070007372632E-2</v>
      </c>
      <c r="Z18" s="420">
        <f t="shared" ca="1" si="3"/>
        <v>-4.2084802217677228E-3</v>
      </c>
      <c r="AA18" s="419">
        <f t="shared" ca="1" si="0"/>
        <v>0.10735424735732334</v>
      </c>
      <c r="AB18" s="421">
        <f t="shared" ca="1" si="1"/>
        <v>1.9761138332612251E-2</v>
      </c>
      <c r="AC18" s="420">
        <f t="shared" ca="1" si="4"/>
        <v>-5.6825576822401894E-4</v>
      </c>
      <c r="AD18" s="221"/>
      <c r="AE18" s="221">
        <f t="shared" ca="1" si="2"/>
        <v>2.766186508055702E-2</v>
      </c>
    </row>
    <row r="19" spans="1:31" customFormat="1" ht="15">
      <c r="A19" s="221"/>
      <c r="B19" s="264" t="s">
        <v>465</v>
      </c>
      <c r="C19" s="232">
        <v>0</v>
      </c>
      <c r="D19" s="222"/>
      <c r="E19" s="588"/>
      <c r="F19" s="222"/>
      <c r="G19" s="234"/>
      <c r="H19" s="379">
        <v>5</v>
      </c>
      <c r="I19" s="406">
        <f ca="1"/>
        <v>1.4264312735059E-4</v>
      </c>
      <c r="J19" s="406">
        <f ca="1"/>
        <v>5.5910569578478499E-4</v>
      </c>
      <c r="K19" s="406">
        <f ca="1"/>
        <v>0.25512730137790801</v>
      </c>
      <c r="L19" s="406">
        <f ca="1"/>
        <v>0.25512730137790801</v>
      </c>
      <c r="M19" s="406">
        <f ca="1"/>
        <v>-7.8756177879915504E-4</v>
      </c>
      <c r="N19" s="406" t="str">
        <f ca="1"/>
        <v>ANGLO AMERICAN PLC</v>
      </c>
      <c r="O19" s="406">
        <f ca="1"/>
        <v>0.86018439214482001</v>
      </c>
      <c r="P19" s="406">
        <f ca="1"/>
        <v>0.71248545668496099</v>
      </c>
      <c r="Q19" s="406">
        <f ca="1"/>
        <v>1.2073009828819099</v>
      </c>
      <c r="R19" s="444">
        <f ca="1"/>
        <v>1.2073009828819099</v>
      </c>
      <c r="S19" s="436"/>
      <c r="T19" s="454" cm="1">
        <f t="array" aca="1" ref="T19:X19" ca="1">IF(AND($U$12,B43&lt;=$C$17,C43&lt;&gt;""),TRANSPOSE(INDEX(getcds(C43,$C$6,G43/10000,F43,D43,$C$13,$C$14,$C$15,$C$8,,,TRUE,TRUE,FALSE,$C$29:$C$31,$C$33),{1;2;3;4;5})),"")</f>
        <v>3.7514543315038902E-2</v>
      </c>
      <c r="U19" s="416">
        <f ca="1"/>
        <v>8.9705509158931801E-2</v>
      </c>
      <c r="V19" s="416">
        <f ca="1"/>
        <v>5.2190965843892899E-2</v>
      </c>
      <c r="W19" s="417">
        <f ca="1"/>
        <v>1.7187938124626299E-2</v>
      </c>
      <c r="X19" s="418">
        <f ca="1"/>
        <v>5.2190965843892902</v>
      </c>
      <c r="Y19" s="419">
        <f t="shared" ca="1" si="5"/>
        <v>3.9753070007372632E-2</v>
      </c>
      <c r="Z19" s="420">
        <f t="shared" ca="1" si="3"/>
        <v>-3.5660693856420138E-3</v>
      </c>
      <c r="AA19" s="419">
        <f t="shared" ca="1" si="0"/>
        <v>8.5042433792635999E-2</v>
      </c>
      <c r="AB19" s="421">
        <f t="shared" ca="1" si="1"/>
        <v>1.6328541218394985E-2</v>
      </c>
      <c r="AC19" s="420">
        <f t="shared" ca="1" si="4"/>
        <v>-3.8143874117415661E-4</v>
      </c>
      <c r="AD19" s="221"/>
      <c r="AE19" s="221">
        <f t="shared" ca="1" si="2"/>
        <v>1.3596909206022198E-2</v>
      </c>
    </row>
    <row r="20" spans="1:31" customFormat="1" ht="15">
      <c r="A20" s="221"/>
      <c r="B20" s="264" t="s">
        <v>466</v>
      </c>
      <c r="C20" s="232">
        <v>3</v>
      </c>
      <c r="D20" s="233"/>
      <c r="E20" s="406"/>
      <c r="F20" s="222"/>
      <c r="G20" s="234"/>
      <c r="H20" s="379">
        <v>6</v>
      </c>
      <c r="I20" s="406">
        <f ca="1"/>
        <v>1.8770756996159901E-4</v>
      </c>
      <c r="J20" s="406">
        <f ca="1"/>
        <v>5.3355441265985095E-4</v>
      </c>
      <c r="K20" s="406">
        <f ca="1"/>
        <v>0.35180586179738998</v>
      </c>
      <c r="L20" s="406">
        <f ca="1"/>
        <v>0.35180586179738998</v>
      </c>
      <c r="M20" s="406">
        <f ca="1"/>
        <v>-1.07532289671767E-3</v>
      </c>
      <c r="N20" s="406" t="str">
        <f ca="1"/>
        <v>ARCELORMITTAL</v>
      </c>
      <c r="O20" s="406">
        <f ca="1"/>
        <v>0.85500480366515996</v>
      </c>
      <c r="P20" s="406">
        <f ca="1"/>
        <v>0.68625389367061995</v>
      </c>
      <c r="Q20" s="406">
        <f ca="1"/>
        <v>1.2459015701782501</v>
      </c>
      <c r="R20" s="444">
        <f ca="1"/>
        <v>1.2459015701782501</v>
      </c>
      <c r="S20" s="436"/>
      <c r="T20" s="415" cm="1">
        <f t="array" aca="1" ref="T20:X20" ca="1">IF(AND($U$12,B44&lt;=$C$17,C44&lt;&gt;""),TRANSPOSE(INDEX(getcds(C44,$C$6,G44/10000,F44,D44,$C$13,$C$14,$C$15,$C$8,,,TRUE,TRUE,FALSE,$C$29:$C$31,$C$33),{1;2;3;4;5})),"")</f>
        <v>6.3746106329379701E-2</v>
      </c>
      <c r="U20" s="416">
        <f ca="1"/>
        <v>0.114892165861819</v>
      </c>
      <c r="V20" s="416">
        <f ca="1"/>
        <v>5.1146059532439302E-2</v>
      </c>
      <c r="W20" s="417">
        <f ca="1"/>
        <v>2.2463542042559299E-2</v>
      </c>
      <c r="X20" s="418">
        <f ca="1"/>
        <v>5.1146059532439301</v>
      </c>
      <c r="Y20" s="419">
        <f t="shared" ca="1" si="5"/>
        <v>3.9753070007372632E-2</v>
      </c>
      <c r="Z20" s="420">
        <f t="shared" ca="1" si="3"/>
        <v>-4.5673163128035627E-3</v>
      </c>
      <c r="AA20" s="419">
        <f t="shared" ca="1" si="0"/>
        <v>0.11726862059913</v>
      </c>
      <c r="AB20" s="421">
        <f t="shared" ca="1" si="1"/>
        <v>2.1340364940431334E-2</v>
      </c>
      <c r="AC20" s="420">
        <f t="shared" ca="1" si="4"/>
        <v>-6.7366229041309928E-4</v>
      </c>
      <c r="AD20" s="221"/>
      <c r="AE20" s="221">
        <f t="shared" ca="1" si="2"/>
        <v>1.93649594383754E-2</v>
      </c>
    </row>
    <row r="21" spans="1:31" customFormat="1" ht="15">
      <c r="A21" s="221"/>
      <c r="B21" s="264" t="s">
        <v>467</v>
      </c>
      <c r="C21" s="235">
        <v>0</v>
      </c>
      <c r="D21" s="222"/>
      <c r="E21" s="406"/>
      <c r="F21" s="222"/>
      <c r="G21" s="236"/>
      <c r="H21" s="379">
        <v>7</v>
      </c>
      <c r="I21" s="406">
        <f ca="1"/>
        <v>2.8366772775187902E-5</v>
      </c>
      <c r="J21" s="406">
        <f ca="1"/>
        <v>6.1477502457118701E-4</v>
      </c>
      <c r="K21" s="406">
        <f ca="1"/>
        <v>4.6141713051817697E-2</v>
      </c>
      <c r="L21" s="406">
        <f ca="1"/>
        <v>4.6141713051817697E-2</v>
      </c>
      <c r="M21" s="406">
        <f ca="1"/>
        <v>-8.4637659474484607E-5</v>
      </c>
      <c r="N21" s="406" t="str">
        <f ca="1"/>
        <v>ASTRAZENECA PLC</v>
      </c>
      <c r="O21" s="406">
        <f ca="1"/>
        <v>0.86539384780893003</v>
      </c>
      <c r="P21" s="406">
        <f ca="1"/>
        <v>0.77798936839905997</v>
      </c>
      <c r="Q21" s="406">
        <f ca="1"/>
        <v>1.1123466244657401</v>
      </c>
      <c r="R21" s="444">
        <f ca="1"/>
        <v>1.1123466244657401</v>
      </c>
      <c r="S21" s="436"/>
      <c r="T21" s="415" cm="1">
        <f t="array" aca="1" ref="T21:X21" ca="1">IF(AND($U$12,B45&lt;=$C$17,C45&lt;&gt;""),TRANSPOSE(INDEX(getcds(C45,$C$6,G45/10000,F45,D45,$C$13,$C$14,$C$15,$C$8,,,TRUE,TRUE,FALSE,$C$29:$C$31,$C$33),{1;2;3;4;5})),"")</f>
        <v>-2.7989368399059699E-2</v>
      </c>
      <c r="U21" s="416">
        <f ca="1"/>
        <v>2.6230418383145E-2</v>
      </c>
      <c r="V21" s="416">
        <f ca="1"/>
        <v>5.4219786782204703E-2</v>
      </c>
      <c r="W21" s="417">
        <f ca="1"/>
        <v>4.8377944547273698E-3</v>
      </c>
      <c r="X21" s="418">
        <f ca="1"/>
        <v>5.4219786782204702</v>
      </c>
      <c r="Y21" s="419">
        <f t="shared" ca="1" si="5"/>
        <v>3.9753070007372632E-2</v>
      </c>
      <c r="Z21" s="420">
        <f t="shared" ca="1" si="3"/>
        <v>-1.0427396583078384E-3</v>
      </c>
      <c r="AA21" s="419">
        <f ca="1">IF($U$12,IF(OR(T21="",L21=""),"",L21/($C$20-$C$19)),"")</f>
        <v>1.5380571017272566E-2</v>
      </c>
      <c r="AB21" s="421">
        <f t="shared" ca="1" si="1"/>
        <v>4.5959047319910013E-3</v>
      </c>
      <c r="AC21" s="420">
        <f t="shared" ca="1" si="4"/>
        <v>-2.0171940637736695E-5</v>
      </c>
      <c r="AD21" s="221"/>
      <c r="AE21" s="221">
        <f t="shared" ca="1" si="2"/>
        <v>6.3028447613538031E-3</v>
      </c>
    </row>
    <row r="22" spans="1:31" customFormat="1" ht="15.75" thickBot="1">
      <c r="A22" s="221"/>
      <c r="B22" s="265" t="s">
        <v>468</v>
      </c>
      <c r="C22" s="237">
        <v>0.72</v>
      </c>
      <c r="D22" s="222"/>
      <c r="E22" s="406"/>
      <c r="F22" s="587"/>
      <c r="G22" s="236"/>
      <c r="H22" s="379">
        <v>8</v>
      </c>
      <c r="I22" s="406">
        <f ca="1"/>
        <v>3.66220603893819E-5</v>
      </c>
      <c r="J22" s="406">
        <f ca="1"/>
        <v>6.0720188445045995E-4</v>
      </c>
      <c r="K22" s="406">
        <f ca="1"/>
        <v>6.0312824000087202E-2</v>
      </c>
      <c r="L22" s="406">
        <f ca="1"/>
        <v>6.0312824000087202E-2</v>
      </c>
      <c r="M22" s="406">
        <f ca="1"/>
        <v>-1.2700453868542399E-4</v>
      </c>
      <c r="N22" s="406" t="str">
        <f ca="1"/>
        <v>BAE SYSTEMS PLC</v>
      </c>
      <c r="O22" s="406">
        <f ca="1"/>
        <v>0.86526494090179995</v>
      </c>
      <c r="P22" s="406">
        <f ca="1"/>
        <v>0.77180764378385702</v>
      </c>
      <c r="Q22" s="406">
        <f ca="1"/>
        <v>1.1210888462567701</v>
      </c>
      <c r="R22" s="444">
        <f ca="1"/>
        <v>1.1210888462567701</v>
      </c>
      <c r="S22" s="436"/>
      <c r="T22" s="415" cm="1">
        <f t="array" aca="1" ref="T22:X22" ca="1">IF(AND($U$12,B46&lt;=$C$17,C46&lt;&gt;""),TRANSPOSE(INDEX(getcds(C46,$C$6,G46/10000,F46,D46,$C$13,$C$14,$C$15,$C$8,,,TRUE,TRUE,FALSE,$C$29:$C$31,$C$33),{1;2;3;4;5})),"")</f>
        <v>-2.1807643783856901E-2</v>
      </c>
      <c r="U22" s="416">
        <f ca="1"/>
        <v>3.2310104369914397E-2</v>
      </c>
      <c r="V22" s="416">
        <f ca="1"/>
        <v>5.4117748153771301E-2</v>
      </c>
      <c r="W22" s="417">
        <f ca="1"/>
        <v>5.9703342197660898E-3</v>
      </c>
      <c r="X22" s="418">
        <f ca="1"/>
        <v>5.4117748153771297</v>
      </c>
      <c r="Y22" s="419">
        <f t="shared" ca="1" si="5"/>
        <v>3.9753070007372632E-2</v>
      </c>
      <c r="Z22" s="420">
        <f t="shared" ca="1" si="3"/>
        <v>-1.2844258409627231E-3</v>
      </c>
      <c r="AA22" s="419">
        <f t="shared" ca="1" si="0"/>
        <v>2.0104274666695735E-2</v>
      </c>
      <c r="AB22" s="421">
        <f t="shared" ca="1" si="1"/>
        <v>5.6718175087777847E-3</v>
      </c>
      <c r="AC22" s="420">
        <f t="shared" ca="1" si="4"/>
        <v>-3.2478560638118317E-5</v>
      </c>
      <c r="AD22" s="221"/>
      <c r="AE22" s="221">
        <f t="shared" ca="1" si="2"/>
        <v>5.7887547089609422E-3</v>
      </c>
    </row>
    <row r="23" spans="1:31" customFormat="1" ht="15.75" thickBot="1">
      <c r="A23" s="221"/>
      <c r="B23" s="221"/>
      <c r="C23" s="222"/>
      <c r="D23" s="222"/>
      <c r="E23" s="406"/>
      <c r="F23" s="222"/>
      <c r="G23" s="222"/>
      <c r="H23" s="379">
        <v>9</v>
      </c>
      <c r="I23" s="406">
        <f ca="1"/>
        <v>4.4963426815813903E-5</v>
      </c>
      <c r="J23" s="406">
        <f ca="1"/>
        <v>6.0087827761355096E-4</v>
      </c>
      <c r="K23" s="406">
        <f ca="1"/>
        <v>7.4829509554565202E-2</v>
      </c>
      <c r="L23" s="406">
        <f ca="1"/>
        <v>7.4829509554565202E-2</v>
      </c>
      <c r="M23" s="406">
        <f ca="1"/>
        <v>-1.71150260164827E-4</v>
      </c>
      <c r="N23" s="406" t="str">
        <f ca="1"/>
        <v>BASF SE</v>
      </c>
      <c r="O23" s="406">
        <f ca="1"/>
        <v>0.86510123843452003</v>
      </c>
      <c r="P23" s="406">
        <f ca="1"/>
        <v>0.76650978178099605</v>
      </c>
      <c r="Q23" s="406">
        <f ca="1"/>
        <v>1.1286238727762199</v>
      </c>
      <c r="R23" s="444">
        <f ca="1"/>
        <v>1.1286238727762199</v>
      </c>
      <c r="S23" s="436"/>
      <c r="T23" s="415" cm="1">
        <f t="array" aca="1" ref="T23:X23" ca="1">IF(AND($U$12,B47&lt;=$C$17,C47&lt;&gt;""),TRANSPOSE(INDEX(getcds(C47,$C$6,G47/10000,F47,D47,$C$13,$C$14,$C$15,$C$8,,,TRUE,TRUE,FALSE,$C$29:$C$31,$C$33),{1;2;3;4;5})),"")</f>
        <v>-1.65097817809957E-2</v>
      </c>
      <c r="U23" s="416">
        <f ca="1"/>
        <v>3.7405098212417102E-2</v>
      </c>
      <c r="V23" s="416">
        <f ca="1"/>
        <v>5.3914879993412802E-2</v>
      </c>
      <c r="W23" s="417">
        <f ca="1"/>
        <v>6.93780607820831E-3</v>
      </c>
      <c r="X23" s="418">
        <f ca="1"/>
        <v>5.3914879993412796</v>
      </c>
      <c r="Y23" s="419">
        <f t="shared" ca="1" si="5"/>
        <v>3.9753070007372632E-2</v>
      </c>
      <c r="Z23" s="420">
        <f t="shared" ca="1" si="3"/>
        <v>-1.4869674878708655E-3</v>
      </c>
      <c r="AA23" s="419">
        <f t="shared" ca="1" si="0"/>
        <v>2.4943169851521733E-2</v>
      </c>
      <c r="AB23" s="421">
        <f t="shared" ca="1" si="1"/>
        <v>6.5909157742978942E-3</v>
      </c>
      <c r="AC23" s="420">
        <f t="shared" ca="1" si="4"/>
        <v>-4.6650085901258616E-5</v>
      </c>
      <c r="AD23" s="221"/>
      <c r="AE23" s="221">
        <f t="shared" ca="1" si="2"/>
        <v>6.3770649820076089E-3</v>
      </c>
    </row>
    <row r="24" spans="1:31" customFormat="1" ht="15">
      <c r="A24" s="238"/>
      <c r="B24" s="266" t="s">
        <v>447</v>
      </c>
      <c r="C24" s="63" t="b">
        <v>1</v>
      </c>
      <c r="D24" s="222"/>
      <c r="E24" s="406"/>
      <c r="F24" s="222"/>
      <c r="G24" s="222"/>
      <c r="H24" s="379">
        <v>10</v>
      </c>
      <c r="I24" s="406">
        <f ca="1"/>
        <v>1.3520476222502999E-4</v>
      </c>
      <c r="J24" s="406">
        <f ca="1"/>
        <v>5.5793739077402902E-4</v>
      </c>
      <c r="K24" s="406">
        <f ca="1"/>
        <v>0.242329631354263</v>
      </c>
      <c r="L24" s="406">
        <f ca="1"/>
        <v>0.242329631354263</v>
      </c>
      <c r="M24" s="406">
        <f ca="1"/>
        <v>-7.3875060920171299E-4</v>
      </c>
      <c r="N24" s="406" t="str">
        <f ca="1"/>
        <v>BAYER AKTIENGESELLSCHAFT</v>
      </c>
      <c r="O24" s="406">
        <f ca="1"/>
        <v>0.86076687416039999</v>
      </c>
      <c r="P24" s="406">
        <f ca="1"/>
        <v>0.71693237830274703</v>
      </c>
      <c r="Q24" s="406">
        <f ca="1"/>
        <v>1.2006249127681501</v>
      </c>
      <c r="R24" s="444">
        <f ca="1"/>
        <v>1.2006249127681501</v>
      </c>
      <c r="S24" s="436"/>
      <c r="T24" s="415" cm="1">
        <f t="array" aca="1" ref="T24:X24" ca="1">IF(AND($U$12,B48&lt;=$C$17,C48&lt;&gt;""),TRANSPOSE(INDEX(getcds(C48,$C$6,G48/10000,F48,D48,$C$13,$C$14,$C$15,$C$8,,,TRUE,TRUE,FALSE,$C$29:$C$31,$C$33),{1;2;3;4;5})),"")</f>
        <v>3.3067621697252497E-2</v>
      </c>
      <c r="U24" s="416">
        <f ca="1"/>
        <v>8.4871958601425407E-2</v>
      </c>
      <c r="V24" s="416">
        <f ca="1"/>
        <v>5.1804336904172903E-2</v>
      </c>
      <c r="W24" s="417">
        <f ca="1"/>
        <v>1.63831763271906E-2</v>
      </c>
      <c r="X24" s="418">
        <f ca="1"/>
        <v>5.1804336904172903</v>
      </c>
      <c r="Y24" s="419">
        <f t="shared" ca="1" si="5"/>
        <v>3.9753070007372632E-2</v>
      </c>
      <c r="Z24" s="420">
        <f t="shared" ca="1" si="3"/>
        <v>-3.373920911945287E-3</v>
      </c>
      <c r="AA24" s="419">
        <f t="shared" ca="1" si="0"/>
        <v>8.0776543784754337E-2</v>
      </c>
      <c r="AB24" s="421">
        <f t="shared" ca="1" si="1"/>
        <v>1.556401751083107E-2</v>
      </c>
      <c r="AC24" s="420">
        <f t="shared" ca="1" si="4"/>
        <v>-3.4278317400329424E-4</v>
      </c>
      <c r="AD24" s="221"/>
      <c r="AE24" s="221">
        <f t="shared" ca="1" si="2"/>
        <v>2.1609930190496892E-2</v>
      </c>
    </row>
    <row r="25" spans="1:31" customFormat="1" ht="15.75" thickBot="1">
      <c r="A25" s="238"/>
      <c r="B25" s="429" t="s">
        <v>448</v>
      </c>
      <c r="C25" s="430" t="b">
        <v>1</v>
      </c>
      <c r="D25" s="222"/>
      <c r="E25" s="406"/>
      <c r="F25" s="222"/>
      <c r="G25" s="222"/>
      <c r="H25" s="379">
        <v>11</v>
      </c>
      <c r="I25" s="406">
        <f ca="1"/>
        <v>5.45184587031766E-5</v>
      </c>
      <c r="J25" s="406">
        <f ca="1"/>
        <v>5.8372566752182796E-4</v>
      </c>
      <c r="K25" s="406">
        <f ca="1"/>
        <v>9.3397398361171002E-2</v>
      </c>
      <c r="L25" s="406">
        <f ca="1"/>
        <v>9.3397398361171002E-2</v>
      </c>
      <c r="M25" s="406">
        <f ca="1"/>
        <v>-2.2892378574915101E-4</v>
      </c>
      <c r="N25" s="406" t="str">
        <f ca="1"/>
        <v>BAYERISCHE MOTOREN WERKE AKTIENGESELLSCHAFT</v>
      </c>
      <c r="O25" s="406">
        <f ca="1"/>
        <v>0.86484815376124002</v>
      </c>
      <c r="P25" s="406">
        <f ca="1"/>
        <v>0.76043544758894299</v>
      </c>
      <c r="Q25" s="406">
        <f ca="1"/>
        <v>1.13730646894927</v>
      </c>
      <c r="R25" s="444">
        <f ca="1"/>
        <v>1.13730646894927</v>
      </c>
      <c r="S25" s="436"/>
      <c r="T25" s="415" cm="1">
        <f t="array" aca="1" ref="T25:X25" ca="1">IF(AND($U$12,B49&lt;=$C$17,C49&lt;&gt;""),TRANSPOSE(INDEX(getcds(C49,$C$6,G49/10000,F49,D49,$C$13,$C$14,$C$15,$C$8,,,TRUE,TRUE,FALSE,$C$29:$C$31,$C$33),{1;2;3;4;5})),"")</f>
        <v>-1.04354475889428E-2</v>
      </c>
      <c r="U25" s="416">
        <f ca="1"/>
        <v>4.3237363659997703E-2</v>
      </c>
      <c r="V25" s="416">
        <f ca="1"/>
        <v>5.3672811248940501E-2</v>
      </c>
      <c r="W25" s="417">
        <f ca="1"/>
        <v>8.0557292703484391E-3</v>
      </c>
      <c r="X25" s="418">
        <f ca="1"/>
        <v>5.36728112489405</v>
      </c>
      <c r="Y25" s="419">
        <f t="shared" ca="1" si="5"/>
        <v>3.9753070007372632E-2</v>
      </c>
      <c r="Z25" s="420">
        <f t="shared" ca="1" si="3"/>
        <v>-1.7188179445101178E-3</v>
      </c>
      <c r="AA25" s="419">
        <f t="shared" ca="1" si="0"/>
        <v>3.1132466120390334E-2</v>
      </c>
      <c r="AB25" s="421">
        <f t="shared" ca="1" si="1"/>
        <v>7.6529428068310172E-3</v>
      </c>
      <c r="AC25" s="420">
        <f t="shared" ca="1" si="4"/>
        <v>-6.730428796399372E-5</v>
      </c>
      <c r="AD25" s="221"/>
      <c r="AE25" s="221">
        <f t="shared" ca="1" si="2"/>
        <v>8.1270780274975401E-3</v>
      </c>
    </row>
    <row r="26" spans="1:31" customFormat="1" ht="15.75" thickBot="1">
      <c r="A26" s="221"/>
      <c r="B26" s="221"/>
      <c r="C26" s="222"/>
      <c r="D26" s="222"/>
      <c r="E26" s="406"/>
      <c r="F26" s="222"/>
      <c r="G26" s="222"/>
      <c r="H26" s="379">
        <v>12</v>
      </c>
      <c r="I26" s="406">
        <f ca="1"/>
        <v>3.2946947975602801E-5</v>
      </c>
      <c r="J26" s="406">
        <f ca="1"/>
        <v>6.1081924660348196E-4</v>
      </c>
      <c r="K26" s="406">
        <f ca="1"/>
        <v>5.3938948647750402E-2</v>
      </c>
      <c r="L26" s="406">
        <f ca="1"/>
        <v>5.3938948647750402E-2</v>
      </c>
      <c r="M26" s="406">
        <f ca="1"/>
        <v>-1.0687404563267201E-4</v>
      </c>
      <c r="N26" s="406" t="str">
        <f ca="1"/>
        <v>BOUYGUES</v>
      </c>
      <c r="O26" s="406">
        <f ca="1"/>
        <v>0.86532751994205004</v>
      </c>
      <c r="P26" s="406">
        <f ca="1"/>
        <v>0.77463607638719201</v>
      </c>
      <c r="Q26" s="406">
        <f ca="1"/>
        <v>1.11707619399529</v>
      </c>
      <c r="R26" s="444">
        <f ca="1"/>
        <v>1.11707619399529</v>
      </c>
      <c r="S26" s="436"/>
      <c r="T26" s="415" cm="1">
        <f t="array" aca="1" ref="T26:X26" ca="1">IF(AND($U$12,B50&lt;=$C$17,C50&lt;&gt;""),TRANSPOSE(INDEX(getcds(C50,$C$6,G50/10000,F50,D50,$C$13,$C$14,$C$15,$C$8,,,TRUE,TRUE,FALSE,$C$29:$C$31,$C$33),{1;2;3;4;5})),"")</f>
        <v>-2.46360763871919E-2</v>
      </c>
      <c r="U26" s="416">
        <f ca="1"/>
        <v>2.9506472786052899E-2</v>
      </c>
      <c r="V26" s="416">
        <f ca="1"/>
        <v>5.4142549173244799E-2</v>
      </c>
      <c r="W26" s="417">
        <f ca="1"/>
        <v>5.4497753128760797E-3</v>
      </c>
      <c r="X26" s="418">
        <f ca="1"/>
        <v>5.4142549173244801</v>
      </c>
      <c r="Y26" s="419">
        <f t="shared" ca="1" si="5"/>
        <v>3.9753070007372632E-2</v>
      </c>
      <c r="Z26" s="420">
        <f t="shared" ca="1" si="3"/>
        <v>-1.1729728783345952E-3</v>
      </c>
      <c r="AA26" s="419">
        <f t="shared" ca="1" si="0"/>
        <v>1.7979649549250135E-2</v>
      </c>
      <c r="AB26" s="421">
        <f t="shared" ca="1" si="1"/>
        <v>5.1772865472322757E-3</v>
      </c>
      <c r="AC26" s="420">
        <f t="shared" ca="1" si="4"/>
        <v>-2.6525802006385847E-5</v>
      </c>
      <c r="AD26" s="221"/>
      <c r="AE26" s="221">
        <f t="shared" ca="1" si="2"/>
        <v>6.3228280525746252E-3</v>
      </c>
    </row>
    <row r="27" spans="1:31" customFormat="1" ht="15.75" thickBot="1">
      <c r="A27" s="221"/>
      <c r="B27" s="434" t="s">
        <v>449</v>
      </c>
      <c r="C27" s="179" t="b">
        <v>1</v>
      </c>
      <c r="D27" s="222"/>
      <c r="E27" s="406"/>
      <c r="F27" s="222"/>
      <c r="G27" s="222"/>
      <c r="H27" s="379">
        <v>13</v>
      </c>
      <c r="I27" s="406">
        <f ca="1"/>
        <v>1.11877963071585E-4</v>
      </c>
      <c r="J27" s="406">
        <f ca="1"/>
        <v>5.7249968990439096E-4</v>
      </c>
      <c r="K27" s="406">
        <f ca="1"/>
        <v>0.19542012868211101</v>
      </c>
      <c r="L27" s="406">
        <f ca="1"/>
        <v>0.19542012868211101</v>
      </c>
      <c r="M27" s="406">
        <f ca="1"/>
        <v>-5.8063237262745199E-4</v>
      </c>
      <c r="N27" s="406" t="str">
        <f ca="1"/>
        <v>CNH INDUSTRIAL N.V</v>
      </c>
      <c r="O27" s="406">
        <f ca="1"/>
        <v>0.86246733472426995</v>
      </c>
      <c r="P27" s="406">
        <f ca="1"/>
        <v>0.72974237430365496</v>
      </c>
      <c r="Q27" s="406">
        <f ca="1"/>
        <v>1.1818792016117501</v>
      </c>
      <c r="R27" s="444">
        <f ca="1"/>
        <v>1.1818792016117501</v>
      </c>
      <c r="S27" s="436"/>
      <c r="T27" s="415" cm="1">
        <f t="array" aca="1" ref="T27:X27" ca="1">IF(AND($U$12,B51&lt;=$C$17,C51&lt;&gt;""),TRANSPOSE(INDEX(getcds(C51,$C$6,G51/10000,F51,D51,$C$13,$C$14,$C$15,$C$8,,,TRUE,TRUE,FALSE,$C$29:$C$31,$C$33),{1;2;3;4;5})),"")</f>
        <v>2.0257625696345E-2</v>
      </c>
      <c r="U27" s="416">
        <f ca="1"/>
        <v>7.27796473414698E-2</v>
      </c>
      <c r="V27" s="416">
        <f ca="1"/>
        <v>5.2522021645124803E-2</v>
      </c>
      <c r="W27" s="417">
        <f ca="1"/>
        <v>1.38569775232986E-2</v>
      </c>
      <c r="X27" s="418">
        <f ca="1"/>
        <v>5.2522021645124797</v>
      </c>
      <c r="Y27" s="419">
        <f t="shared" ca="1" si="5"/>
        <v>3.9753070007372632E-2</v>
      </c>
      <c r="Z27" s="420">
        <f t="shared" ca="1" si="3"/>
        <v>-2.8932144158773359E-3</v>
      </c>
      <c r="AA27" s="419">
        <f t="shared" ca="1" si="0"/>
        <v>6.5140042894037006E-2</v>
      </c>
      <c r="AB27" s="421">
        <f t="shared" ca="1" si="1"/>
        <v>1.316412864713367E-2</v>
      </c>
      <c r="AC27" s="420">
        <f t="shared" ca="1" si="4"/>
        <v>-2.3704346748181106E-4</v>
      </c>
      <c r="AD27" s="221"/>
      <c r="AE27" s="221">
        <f t="shared" ca="1" si="2"/>
        <v>1.5328275541478795E-2</v>
      </c>
    </row>
    <row r="28" spans="1:31" customFormat="1" ht="15.75" thickBot="1">
      <c r="A28" s="221"/>
      <c r="B28" s="264" t="s">
        <v>450</v>
      </c>
      <c r="C28" s="239"/>
      <c r="D28" s="222"/>
      <c r="E28" s="406"/>
      <c r="F28" s="222"/>
      <c r="G28" s="222"/>
      <c r="H28" s="379">
        <v>14</v>
      </c>
      <c r="I28" s="406">
        <f ca="1"/>
        <v>5.3396886779077898E-5</v>
      </c>
      <c r="J28" s="406">
        <f ca="1"/>
        <v>5.4631770310477595E-4</v>
      </c>
      <c r="K28" s="406">
        <f ca="1"/>
        <v>9.7739623804277698E-2</v>
      </c>
      <c r="L28" s="406">
        <f ca="1"/>
        <v>9.7739623804277698E-2</v>
      </c>
      <c r="M28" s="406">
        <f ca="1"/>
        <v>-2.0958790801614701E-4</v>
      </c>
      <c r="N28" s="406" t="str">
        <f ca="1"/>
        <v>COMPAGNIE DE SAINT-GOBAIN</v>
      </c>
      <c r="O28" s="406">
        <f ca="1"/>
        <v>0.85939076159742001</v>
      </c>
      <c r="P28" s="406">
        <f ca="1"/>
        <v>0.76229727435983097</v>
      </c>
      <c r="Q28" s="406">
        <f ca="1"/>
        <v>1.1273695846795799</v>
      </c>
      <c r="R28" s="444">
        <f ca="1"/>
        <v>1.1273695846795799</v>
      </c>
      <c r="S28" s="436"/>
      <c r="T28" s="415" cm="1">
        <f t="array" aca="1" ref="T28:X28" ca="1">IF(AND($U$12,B52&lt;=$C$17,C52&lt;&gt;""),TRANSPOSE(INDEX(getcds(C52,$C$6,G52/10000,F52,D52,$C$13,$C$14,$C$15,$C$8,,,TRUE,TRUE,FALSE,$C$29:$C$31,$C$33),{1;2;3;4;5})),"")</f>
        <v>-1.2297274359830799E-2</v>
      </c>
      <c r="U28" s="416">
        <f ca="1"/>
        <v>3.56690892770107E-2</v>
      </c>
      <c r="V28" s="416">
        <f ca="1"/>
        <v>4.7966363636841501E-2</v>
      </c>
      <c r="W28" s="417">
        <f ca="1"/>
        <v>7.4362712894113104E-3</v>
      </c>
      <c r="X28" s="418">
        <f ca="1"/>
        <v>4.7966363636841498</v>
      </c>
      <c r="Y28" s="419">
        <f t="shared" ca="1" si="5"/>
        <v>3.9753070007372632E-2</v>
      </c>
      <c r="Z28" s="420">
        <f t="shared" ca="1" si="3"/>
        <v>-1.4179558031282313E-3</v>
      </c>
      <c r="AA28" s="419">
        <f t="shared" ca="1" si="0"/>
        <v>3.2579874601425897E-2</v>
      </c>
      <c r="AB28" s="421">
        <f t="shared" ca="1" si="1"/>
        <v>7.0644577249407443E-3</v>
      </c>
      <c r="AC28" s="420">
        <f t="shared" ca="1" si="4"/>
        <v>-5.8104722789603801E-5</v>
      </c>
      <c r="AD28" s="221"/>
      <c r="AE28" s="221">
        <f t="shared" ca="1" si="2"/>
        <v>8.3234143830954802E-3</v>
      </c>
    </row>
    <row r="29" spans="1:31" customFormat="1" ht="15.75" thickBot="1">
      <c r="A29" s="221"/>
      <c r="B29" s="264" t="s">
        <v>469</v>
      </c>
      <c r="C29" s="240"/>
      <c r="D29" s="222"/>
      <c r="E29" s="406"/>
      <c r="F29" s="222"/>
      <c r="G29" s="222"/>
      <c r="H29" s="379">
        <v>15</v>
      </c>
      <c r="I29" s="406">
        <f ca="1"/>
        <v>1.1489467666959501E-4</v>
      </c>
      <c r="J29" s="406">
        <f ca="1"/>
        <v>5.7022343430766505E-4</v>
      </c>
      <c r="K29" s="406">
        <f ca="1"/>
        <v>0.201490625879124</v>
      </c>
      <c r="L29" s="406">
        <f ca="1"/>
        <v>0.201490625879124</v>
      </c>
      <c r="M29" s="406">
        <f ca="1"/>
        <v>-6.0224823843912001E-4</v>
      </c>
      <c r="N29" s="406" t="str">
        <f ca="1"/>
        <v>CONTINENTAL AKTIENGESELLSCHAFT</v>
      </c>
      <c r="O29" s="406">
        <f ca="1"/>
        <v>0.86227909294144001</v>
      </c>
      <c r="P29" s="406">
        <f ca="1"/>
        <v>0.72795064640950002</v>
      </c>
      <c r="Q29" s="406">
        <f ca="1"/>
        <v>1.18452960677279</v>
      </c>
      <c r="R29" s="444">
        <f ca="1"/>
        <v>1.18452960677279</v>
      </c>
      <c r="S29" s="436"/>
      <c r="T29" s="415" cm="1">
        <f t="array" aca="1" ref="T29:X29" ca="1">IF(AND($U$12,B53&lt;=$C$17,C53&lt;&gt;""),TRANSPOSE(INDEX(getcds(C53,$C$6,G53/10000,F53,D53,$C$13,$C$14,$C$15,$C$8,,,TRUE,TRUE,FALSE,$C$29:$C$31,$C$33),{1;2;3;4;5})),"")</f>
        <v>2.20493535905E-2</v>
      </c>
      <c r="U29" s="416">
        <f ca="1"/>
        <v>7.4446913283154004E-2</v>
      </c>
      <c r="V29" s="416">
        <f ca="1"/>
        <v>5.2397559692654E-2</v>
      </c>
      <c r="W29" s="417">
        <f ca="1"/>
        <v>1.42080878803963E-2</v>
      </c>
      <c r="X29" s="418">
        <f ca="1"/>
        <v>5.2397559692654001</v>
      </c>
      <c r="Y29" s="419">
        <f t="shared" ca="1" si="5"/>
        <v>3.9753070007372632E-2</v>
      </c>
      <c r="Z29" s="420">
        <f t="shared" ca="1" si="3"/>
        <v>-2.9594933555780164E-3</v>
      </c>
      <c r="AA29" s="419">
        <f t="shared" ca="1" si="0"/>
        <v>6.7163541959708001E-2</v>
      </c>
      <c r="AB29" s="421">
        <f t="shared" ca="1" si="1"/>
        <v>1.3497683486376484E-2</v>
      </c>
      <c r="AC29" s="420">
        <f t="shared" ca="1" si="4"/>
        <v>-2.5000591920319298E-4</v>
      </c>
      <c r="AD29" s="221"/>
      <c r="AE29" s="221">
        <f t="shared" ca="1" si="2"/>
        <v>1.4695445497256803E-2</v>
      </c>
    </row>
    <row r="30" spans="1:31" customFormat="1" ht="15">
      <c r="A30" s="221"/>
      <c r="B30" s="264" t="s">
        <v>447</v>
      </c>
      <c r="C30" s="63" t="b">
        <v>1</v>
      </c>
      <c r="D30" s="222"/>
      <c r="E30" s="222"/>
      <c r="F30" s="222"/>
      <c r="G30" s="222"/>
      <c r="H30" s="379">
        <v>16</v>
      </c>
      <c r="I30" s="406">
        <f ca="1"/>
        <v>1.4817193600548799E-4</v>
      </c>
      <c r="J30" s="406">
        <f ca="1"/>
        <v>5.5555998636659296E-4</v>
      </c>
      <c r="K30" s="406">
        <f ca="1"/>
        <v>0.26670735769605097</v>
      </c>
      <c r="L30" s="406">
        <f ca="1"/>
        <v>0.26670735769605097</v>
      </c>
      <c r="M30" s="406">
        <f ca="1"/>
        <v>-8.2455606462143998E-4</v>
      </c>
      <c r="N30" s="406" t="str">
        <f ca="1"/>
        <v>GLENCORE INTERNATIONAL AG</v>
      </c>
      <c r="O30" s="406">
        <f ca="1"/>
        <v>0.85968564915255996</v>
      </c>
      <c r="P30" s="406">
        <f ca="1"/>
        <v>0.70939200629888</v>
      </c>
      <c r="Q30" s="406">
        <f ca="1"/>
        <v>1.21186261124905</v>
      </c>
      <c r="R30" s="444">
        <f ca="1"/>
        <v>1.21186261124905</v>
      </c>
      <c r="S30" s="436"/>
      <c r="T30" s="415" cm="1">
        <f t="array" aca="1" ref="T30:X30" ca="1">IF(AND($U$12,B54&lt;=$C$17,C54&lt;&gt;""),TRANSPOSE(INDEX(getcds(C54,$C$6,G54/10000,F54,D54,$C$13,$C$14,$C$15,$C$8,,,TRUE,TRUE,FALSE,$C$29:$C$31,$C$33),{1;2;3;4;5})),"")</f>
        <v>4.06079937011204E-2</v>
      </c>
      <c r="U30" s="416">
        <f ca="1"/>
        <v>9.2622105882539593E-2</v>
      </c>
      <c r="V30" s="416">
        <f ca="1"/>
        <v>5.20141121814192E-2</v>
      </c>
      <c r="W30" s="417">
        <f ca="1"/>
        <v>1.7807110800908101E-2</v>
      </c>
      <c r="X30" s="418">
        <f ca="1"/>
        <v>5.2014112181419199</v>
      </c>
      <c r="Y30" s="419">
        <f t="shared" ca="1" si="5"/>
        <v>3.9753070007372632E-2</v>
      </c>
      <c r="Z30" s="420">
        <f t="shared" ca="1" si="3"/>
        <v>-3.6820130593788751E-3</v>
      </c>
      <c r="AA30" s="419">
        <f t="shared" ca="1" si="0"/>
        <v>8.8902452565350329E-2</v>
      </c>
      <c r="AB30" s="421">
        <f t="shared" ca="1" si="1"/>
        <v>1.6916755260862695E-2</v>
      </c>
      <c r="AC30" s="420">
        <f t="shared" ca="1" si="4"/>
        <v>-4.117166187362671E-4</v>
      </c>
      <c r="AD30" s="221"/>
      <c r="AE30" s="221">
        <f t="shared" ca="1" si="2"/>
        <v>1.4588499638433313E-2</v>
      </c>
    </row>
    <row r="31" spans="1:31" customFormat="1" ht="15.75" thickBot="1">
      <c r="A31" s="221"/>
      <c r="B31" s="265" t="s">
        <v>448</v>
      </c>
      <c r="C31" s="430" t="b">
        <v>1</v>
      </c>
      <c r="D31" s="222"/>
      <c r="E31" s="222"/>
      <c r="F31" s="222"/>
      <c r="G31" s="222"/>
      <c r="H31" s="379">
        <v>17</v>
      </c>
      <c r="I31" s="406">
        <f ca="1"/>
        <v>2.1334878541310399E-5</v>
      </c>
      <c r="J31" s="406">
        <f ca="1"/>
        <v>6.2027598651135296E-4</v>
      </c>
      <c r="K31" s="406">
        <f ca="1"/>
        <v>3.4395783498415197E-2</v>
      </c>
      <c r="L31" s="406">
        <f ca="1"/>
        <v>3.4395783498415197E-2</v>
      </c>
      <c r="M31" s="406">
        <f ca="1"/>
        <v>-5.6297452719089599E-5</v>
      </c>
      <c r="N31" s="406" t="str">
        <f ca="1"/>
        <v>GSK PLC</v>
      </c>
      <c r="O31" s="406">
        <f ca="1"/>
        <v>0.86548008721842995</v>
      </c>
      <c r="P31" s="406">
        <f ca="1"/>
        <v>0.78251494622925799</v>
      </c>
      <c r="Q31" s="406">
        <f ca="1"/>
        <v>1.1060237141654099</v>
      </c>
      <c r="R31" s="444">
        <f ca="1"/>
        <v>1.1060237141654099</v>
      </c>
      <c r="S31" s="436"/>
      <c r="T31" s="415" cm="1">
        <f t="array" aca="1" ref="T31:X31" ca="1">IF(AND($U$12,B55&lt;=$C$17,C55&lt;&gt;""),TRANSPOSE(INDEX(getcds(C55,$C$6,G55/10000,F55,D55,$C$13,$C$14,$C$15,$C$8,,,TRUE,TRUE,FALSE,$C$29:$C$31,$C$33),{1;2;3;4;5})),"")</f>
        <v>-3.2514946229258303E-2</v>
      </c>
      <c r="U31" s="416">
        <f ca="1"/>
        <v>2.1914229253258199E-2</v>
      </c>
      <c r="V31" s="416">
        <f ca="1"/>
        <v>5.4429175482516502E-2</v>
      </c>
      <c r="W31" s="417">
        <f ca="1"/>
        <v>4.0261916626492698E-3</v>
      </c>
      <c r="X31" s="418">
        <f ca="1"/>
        <v>5.4429175482516499</v>
      </c>
      <c r="Y31" s="419">
        <f t="shared" ca="1" si="5"/>
        <v>3.9753070007372632E-2</v>
      </c>
      <c r="Z31" s="420">
        <f t="shared" ca="1" si="3"/>
        <v>-8.7115788966238641E-4</v>
      </c>
      <c r="AA31" s="419">
        <f t="shared" ca="1" si="0"/>
        <v>1.1465261166138399E-2</v>
      </c>
      <c r="AB31" s="421">
        <f t="shared" ca="1" si="1"/>
        <v>3.8248820795168063E-3</v>
      </c>
      <c r="AC31" s="420">
        <f t="shared" ca="1" si="4"/>
        <v>-1.2562618082161769E-5</v>
      </c>
      <c r="AD31" s="221"/>
      <c r="AE31" s="221">
        <f t="shared" ca="1" si="2"/>
        <v>4.3898653826495784E-3</v>
      </c>
    </row>
    <row r="32" spans="1:31" customFormat="1" ht="15.75" thickBot="1">
      <c r="A32" s="221"/>
      <c r="B32" s="221"/>
      <c r="C32" s="222"/>
      <c r="D32" s="222"/>
      <c r="E32" s="222"/>
      <c r="F32" s="222"/>
      <c r="G32" s="222"/>
      <c r="H32" s="379">
        <v>18</v>
      </c>
      <c r="I32" s="406">
        <f ca="1"/>
        <v>1.1726393274003901E-4</v>
      </c>
      <c r="J32" s="406">
        <f ca="1"/>
        <v>5.7058811085136695E-4</v>
      </c>
      <c r="K32" s="406">
        <f ca="1"/>
        <v>0.20551415374756199</v>
      </c>
      <c r="L32" s="406">
        <f ca="1"/>
        <v>0.20551415374756199</v>
      </c>
      <c r="M32" s="406">
        <f ca="1"/>
        <v>-6.1721102711704396E-4</v>
      </c>
      <c r="N32" s="406" t="str">
        <f ca="1"/>
        <v>HEIDELBERG MATERIALS AG</v>
      </c>
      <c r="O32" s="406">
        <f ca="1"/>
        <v>0.86213098440685998</v>
      </c>
      <c r="P32" s="406">
        <f ca="1"/>
        <v>0.72669205740756504</v>
      </c>
      <c r="Q32" s="406">
        <f ca="1"/>
        <v>1.1863773322120299</v>
      </c>
      <c r="R32" s="444">
        <f ca="1"/>
        <v>1.1863773322120299</v>
      </c>
      <c r="S32" s="436"/>
      <c r="T32" s="415" cm="1">
        <f t="array" aca="1" ref="T32:X32" ca="1">IF(AND($U$12,B56&lt;=$C$17,C56&lt;&gt;""),TRANSPOSE(INDEX(getcds(C56,$C$6,G56/10000,F56,D56,$C$13,$C$14,$C$15,$C$8,,,TRUE,TRUE,FALSE,$C$29:$C$31,$C$33),{1;2;3;4;5})),"")</f>
        <v>2.33079425924352E-2</v>
      </c>
      <c r="U32" s="416">
        <f ca="1"/>
        <v>7.5817897380446295E-2</v>
      </c>
      <c r="V32" s="416">
        <f ca="1"/>
        <v>5.2509954788011098E-2</v>
      </c>
      <c r="W32" s="417">
        <f ca="1"/>
        <v>1.44387664561E-2</v>
      </c>
      <c r="X32" s="418">
        <f ca="1"/>
        <v>5.2509954788011104</v>
      </c>
      <c r="Y32" s="419">
        <f t="shared" ca="1" si="5"/>
        <v>3.9753070007372632E-2</v>
      </c>
      <c r="Z32" s="420">
        <f t="shared" ca="1" si="3"/>
        <v>-3.0139941823766731E-3</v>
      </c>
      <c r="AA32" s="419">
        <f t="shared" ca="1" si="0"/>
        <v>6.8504717915853997E-2</v>
      </c>
      <c r="AB32" s="421">
        <f t="shared" ca="1" si="1"/>
        <v>1.3716828133295E-2</v>
      </c>
      <c r="AC32" s="420">
        <f t="shared" ca="1" si="4"/>
        <v>-2.5969418365103165E-4</v>
      </c>
      <c r="AD32" s="221"/>
      <c r="AE32" s="221">
        <f t="shared" ca="1" si="2"/>
        <v>1.4464643061218495E-2</v>
      </c>
    </row>
    <row r="33" spans="1:31" customFormat="1" ht="15">
      <c r="A33" s="221"/>
      <c r="B33" s="263" t="s">
        <v>451</v>
      </c>
      <c r="C33" s="241" t="s">
        <v>452</v>
      </c>
      <c r="D33" s="242"/>
      <c r="E33" s="242"/>
      <c r="F33" s="242"/>
      <c r="G33" s="222"/>
      <c r="H33" s="379">
        <v>19</v>
      </c>
      <c r="I33" s="406">
        <f ca="1"/>
        <v>9.2484101808798497E-5</v>
      </c>
      <c r="J33" s="406">
        <f ca="1"/>
        <v>5.83401984663094E-4</v>
      </c>
      <c r="K33" s="406">
        <f ca="1"/>
        <v>0.15852551797917999</v>
      </c>
      <c r="L33" s="406">
        <f ca="1"/>
        <v>0.15852551797917999</v>
      </c>
      <c r="M33" s="406">
        <f ca="1"/>
        <v>-4.5347029066071699E-4</v>
      </c>
      <c r="N33" s="406" t="str">
        <f ca="1"/>
        <v>HOLCIM AG</v>
      </c>
      <c r="O33" s="406">
        <f ca="1"/>
        <v>0.86351946478882002</v>
      </c>
      <c r="P33" s="406">
        <f ca="1"/>
        <v>0.74013528348593105</v>
      </c>
      <c r="Q33" s="406">
        <f ca="1"/>
        <v>1.1667049038950901</v>
      </c>
      <c r="R33" s="444">
        <f ca="1"/>
        <v>1.1667049038950901</v>
      </c>
      <c r="S33" s="436"/>
      <c r="T33" s="415" cm="1">
        <f t="array" aca="1" ref="T33:X33" ca="1">IF(AND($U$12,B57&lt;=$C$17,C57&lt;&gt;""),TRANSPOSE(INDEX(getcds(C57,$C$6,G57/10000,F57,D57,$C$13,$C$14,$C$15,$C$8,,,TRUE,TRUE,FALSE,$C$29:$C$31,$C$33),{1;2;3;4;5})),"")</f>
        <v>9.8647165140694007E-3</v>
      </c>
      <c r="U33" s="416">
        <f ca="1"/>
        <v>6.2869081208387398E-2</v>
      </c>
      <c r="V33" s="416">
        <f ca="1"/>
        <v>5.3004364694317997E-2</v>
      </c>
      <c r="W33" s="417">
        <f ca="1"/>
        <v>1.1861113999E-2</v>
      </c>
      <c r="X33" s="418">
        <f ca="1"/>
        <v>5.3004364694317996</v>
      </c>
      <c r="Y33" s="419">
        <f t="shared" ca="1" si="5"/>
        <v>3.9753070007372632E-2</v>
      </c>
      <c r="Z33" s="420">
        <f t="shared" ca="1" si="3"/>
        <v>-2.4992389865762295E-3</v>
      </c>
      <c r="AA33" s="419">
        <f t="shared" ca="1" si="0"/>
        <v>5.2841839326393331E-2</v>
      </c>
      <c r="AB33" s="421">
        <f t="shared" ca="1" si="1"/>
        <v>1.1268058299049999E-2</v>
      </c>
      <c r="AC33" s="420">
        <f t="shared" ca="1" si="4"/>
        <v>-1.6610589439058004E-4</v>
      </c>
      <c r="AD33" s="221"/>
      <c r="AE33" s="221">
        <f t="shared" ca="1" si="2"/>
        <v>1.1588852710293206E-2</v>
      </c>
    </row>
    <row r="34" spans="1:31" customFormat="1" ht="15">
      <c r="A34" s="221"/>
      <c r="B34" s="264" t="s">
        <v>470</v>
      </c>
      <c r="C34" s="243">
        <v>0.01</v>
      </c>
      <c r="D34" s="242"/>
      <c r="E34" s="242"/>
      <c r="F34" s="242"/>
      <c r="G34" s="222"/>
      <c r="H34" s="379">
        <v>20</v>
      </c>
      <c r="I34" s="406">
        <f ca="1"/>
        <v>1.53797716670567E-5</v>
      </c>
      <c r="J34" s="406">
        <f ca="1"/>
        <v>6.2530027559672401E-4</v>
      </c>
      <c r="K34" s="406">
        <f ca="1"/>
        <v>2.4595817829089799E-2</v>
      </c>
      <c r="L34" s="406">
        <f ca="1"/>
        <v>2.4595817829089799E-2</v>
      </c>
      <c r="M34" s="406">
        <f ca="1"/>
        <v>-3.4483395885676097E-5</v>
      </c>
      <c r="N34" s="406" t="str">
        <f ca="1"/>
        <v>DSM B.V</v>
      </c>
      <c r="O34" s="406">
        <f ca="1"/>
        <v>0.86553415422279001</v>
      </c>
      <c r="P34" s="406">
        <f ca="1"/>
        <v>0.78699608222233097</v>
      </c>
      <c r="Q34" s="406">
        <f ca="1"/>
        <v>1.0997947432961599</v>
      </c>
      <c r="R34" s="444">
        <f ca="1"/>
        <v>1.0997947432961599</v>
      </c>
      <c r="S34" s="436"/>
      <c r="T34" s="415" cm="1">
        <f t="array" aca="1" ref="T34:X34" ca="1">IF(AND($U$12,B58&lt;=$C$17,C58&lt;&gt;""),TRANSPOSE(INDEX(getcds(C58,$C$6,G58/10000,F58,D58,$C$13,$C$14,$C$15,$C$8,,,TRUE,TRUE,FALSE,$C$29:$C$31,$C$33),{1;2;3;4;5})),"")</f>
        <v>-3.6996082222331E-2</v>
      </c>
      <c r="U34" s="416">
        <f ca="1"/>
        <v>1.7603333751669299E-2</v>
      </c>
      <c r="V34" s="416">
        <f ca="1"/>
        <v>5.4599415974000302E-2</v>
      </c>
      <c r="W34" s="417">
        <f ca="1"/>
        <v>3.2240882869611302E-3</v>
      </c>
      <c r="X34" s="418">
        <f ca="1"/>
        <v>5.4599415974000296</v>
      </c>
      <c r="Y34" s="419">
        <f t="shared" ca="1" si="5"/>
        <v>3.9753070007372632E-2</v>
      </c>
      <c r="Z34" s="420">
        <f t="shared" ca="1" si="3"/>
        <v>-6.9978655899325434E-4</v>
      </c>
      <c r="AA34" s="419">
        <f t="shared" ca="1" si="0"/>
        <v>8.1986059430299331E-3</v>
      </c>
      <c r="AB34" s="421">
        <f t="shared" ca="1" si="1"/>
        <v>3.0628838726130736E-3</v>
      </c>
      <c r="AC34" s="420">
        <f t="shared" ca="1" si="4"/>
        <v>-7.2161398356787614E-6</v>
      </c>
      <c r="AD34" s="221"/>
      <c r="AE34" s="221">
        <f t="shared" ca="1" si="2"/>
        <v>3.4267302425777606E-3</v>
      </c>
    </row>
    <row r="35" spans="1:31" customFormat="1" ht="15">
      <c r="A35" s="221"/>
      <c r="B35" s="264" t="s">
        <v>471</v>
      </c>
      <c r="C35" s="243">
        <v>1</v>
      </c>
      <c r="D35" s="222"/>
      <c r="E35" s="222"/>
      <c r="F35" s="222"/>
      <c r="G35" s="222"/>
      <c r="H35" s="379">
        <v>21</v>
      </c>
      <c r="I35" s="406">
        <f ca="1"/>
        <v>1.6414937195250499E-5</v>
      </c>
      <c r="J35" s="406">
        <f ca="1"/>
        <v>6.2433078525702497E-4</v>
      </c>
      <c r="K35" s="406">
        <f ca="1"/>
        <v>2.6292051558041901E-2</v>
      </c>
      <c r="L35" s="406">
        <f ca="1"/>
        <v>2.6292051558041901E-2</v>
      </c>
      <c r="M35" s="406">
        <f ca="1"/>
        <v>-3.8283887166397101E-5</v>
      </c>
      <c r="N35" s="406" t="str">
        <f ca="1"/>
        <v>L'AIR LIQUIDE SOCIETE ANONYME POUR L'ETUDE ET L'EXPLOITATION DES PROCEDES GEORGES CLAUDE</v>
      </c>
      <c r="O35" s="406">
        <f ca="1"/>
        <v>0.86552583635364999</v>
      </c>
      <c r="P35" s="406">
        <f ca="1"/>
        <v>0.78608560603047695</v>
      </c>
      <c r="Q35" s="406">
        <f ca="1"/>
        <v>1.10105798874034</v>
      </c>
      <c r="R35" s="444">
        <f ca="1"/>
        <v>1.10105798874034</v>
      </c>
      <c r="S35" s="436"/>
      <c r="T35" s="415" cm="1">
        <f t="array" aca="1" ref="T35:X35" ca="1">IF(AND($U$12,B59&lt;=$C$17,C59&lt;&gt;""),TRANSPOSE(INDEX(getcds(C59,$C$6,G59/10000,F59,D59,$C$13,$C$14,$C$15,$C$8,,,TRUE,TRUE,FALSE,$C$29:$C$31,$C$33),{1;2;3;4;5})),"")</f>
        <v>-3.6085606030476503E-2</v>
      </c>
      <c r="U35" s="416">
        <f ca="1"/>
        <v>1.8491763110109999E-2</v>
      </c>
      <c r="V35" s="416">
        <f ca="1"/>
        <v>5.4577369140586501E-2</v>
      </c>
      <c r="W35" s="417">
        <f ca="1"/>
        <v>3.3881741464079798E-3</v>
      </c>
      <c r="X35" s="418">
        <f ca="1"/>
        <v>5.4577369140586498</v>
      </c>
      <c r="Y35" s="419">
        <f t="shared" ca="1" si="5"/>
        <v>3.9753070007372632E-2</v>
      </c>
      <c r="Z35" s="420">
        <f t="shared" ca="1" si="3"/>
        <v>-7.3510435347595303E-4</v>
      </c>
      <c r="AA35" s="419">
        <f t="shared" ca="1" si="0"/>
        <v>8.7640171860139671E-3</v>
      </c>
      <c r="AB35" s="421">
        <f t="shared" ca="1" si="1"/>
        <v>3.2187654390875807E-3</v>
      </c>
      <c r="AC35" s="420">
        <f t="shared" ca="1" si="4"/>
        <v>-8.1031064848351556E-6</v>
      </c>
      <c r="AD35" s="221"/>
      <c r="AE35" s="221">
        <f t="shared" ca="1" si="2"/>
        <v>3.4668924073021101E-3</v>
      </c>
    </row>
    <row r="36" spans="1:31" customFormat="1" ht="15.75" thickBot="1">
      <c r="A36" s="221"/>
      <c r="B36" s="265" t="s">
        <v>472</v>
      </c>
      <c r="C36" s="244"/>
      <c r="D36" s="222"/>
      <c r="E36" s="222"/>
      <c r="F36" s="222"/>
      <c r="G36" s="222"/>
      <c r="H36" s="379">
        <v>22</v>
      </c>
      <c r="I36" s="406">
        <f ca="1"/>
        <v>1.90480384893359E-4</v>
      </c>
      <c r="J36" s="406">
        <f ca="1"/>
        <v>5.2333618275264505E-4</v>
      </c>
      <c r="K36" s="406">
        <f ca="1"/>
        <v>0.36397327601441498</v>
      </c>
      <c r="L36" s="406">
        <f ca="1"/>
        <v>0.36397327601441498</v>
      </c>
      <c r="M36" s="406">
        <f ca="1"/>
        <v>-1.10756690916891E-3</v>
      </c>
      <c r="N36" s="406" t="str">
        <f ca="1"/>
        <v>LANXESS AKTIENGESELLSCHAFT</v>
      </c>
      <c r="O36" s="406">
        <f ca="1"/>
        <v>0.85424788339320001</v>
      </c>
      <c r="P36" s="406">
        <f ca="1"/>
        <v>0.68354631337016902</v>
      </c>
      <c r="Q36" s="406">
        <f ca="1"/>
        <v>1.24972934047644</v>
      </c>
      <c r="R36" s="444">
        <f ca="1"/>
        <v>1.24972934047644</v>
      </c>
      <c r="S36" s="436"/>
      <c r="T36" s="415" cm="1">
        <f t="array" aca="1" ref="T36:X36" ca="1">IF(AND($U$12,B60&lt;=$C$17,C60&lt;&gt;""),TRANSPOSE(INDEX(getcds(C60,$C$6,G60/10000,F60,D60,$C$13,$C$14,$C$15,$C$8,,,TRUE,TRUE,FALSE,$C$29:$C$31,$C$33),{1;2;3;4;5})),"")</f>
        <v>6.6453686629830505E-2</v>
      </c>
      <c r="U36" s="416">
        <f ca="1"/>
        <v>0.11670174552292401</v>
      </c>
      <c r="V36" s="416">
        <f ca="1"/>
        <v>5.02480588930935E-2</v>
      </c>
      <c r="W36" s="417">
        <f ca="1"/>
        <v>2.3225125127960801E-2</v>
      </c>
      <c r="X36" s="418">
        <f ca="1"/>
        <v>5.0248058893093503</v>
      </c>
      <c r="Y36" s="419">
        <f t="shared" ca="1" si="5"/>
        <v>3.9753070007372632E-2</v>
      </c>
      <c r="Z36" s="420">
        <f t="shared" ca="1" si="3"/>
        <v>-4.639252659755384E-3</v>
      </c>
      <c r="AA36" s="419">
        <f t="shared" ca="1" si="0"/>
        <v>0.12132442533813832</v>
      </c>
      <c r="AB36" s="421">
        <f t="shared" ca="1" si="1"/>
        <v>2.206386887156276E-2</v>
      </c>
      <c r="AC36" s="420">
        <f t="shared" ca="1" si="4"/>
        <v>-7.0793861057632124E-4</v>
      </c>
      <c r="AD36" s="221"/>
      <c r="AE36" s="221">
        <f t="shared" ca="1" si="2"/>
        <v>3.2401926733788666E-2</v>
      </c>
    </row>
    <row r="37" spans="1:31" customFormat="1" ht="15.75" thickBot="1">
      <c r="A37" s="221"/>
      <c r="B37" s="221"/>
      <c r="C37" s="222"/>
      <c r="D37" s="222"/>
      <c r="E37" s="222"/>
      <c r="F37" s="222"/>
      <c r="G37" s="222"/>
      <c r="H37" s="379">
        <v>23</v>
      </c>
      <c r="I37" s="406">
        <f ca="1"/>
        <v>8.9173900950276794E-5</v>
      </c>
      <c r="J37" s="406">
        <f ca="1"/>
        <v>5.8569532600425897E-4</v>
      </c>
      <c r="K37" s="406">
        <f ca="1"/>
        <v>0.15225305204096601</v>
      </c>
      <c r="L37" s="406">
        <f ca="1"/>
        <v>0.15225305204096601</v>
      </c>
      <c r="M37" s="406">
        <f ca="1"/>
        <v>-4.3347253382849699E-4</v>
      </c>
      <c r="N37" s="406" t="str">
        <f ca="1"/>
        <v>LEONARDO SOCIETA' PER AZIONI</v>
      </c>
      <c r="O37" s="406">
        <f ca="1"/>
        <v>0.86366811581175995</v>
      </c>
      <c r="P37" s="406">
        <f ca="1"/>
        <v>0.74174182310574199</v>
      </c>
      <c r="Q37" s="406">
        <f ca="1"/>
        <v>1.16437834420001</v>
      </c>
      <c r="R37" s="444">
        <f ca="1"/>
        <v>1.16437834420001</v>
      </c>
      <c r="S37" s="436"/>
      <c r="T37" s="415" cm="1">
        <f t="array" aca="1" ref="T37:X37" ca="1">IF(AND($U$12,B61&lt;=$C$17,C61&lt;&gt;""),TRANSPOSE(INDEX(getcds(C61,$C$6,G61/10000,F61,D61,$C$13,$C$14,$C$15,$C$8,,,TRUE,TRUE,FALSE,$C$29:$C$31,$C$33),{1;2;3;4;5})),"")</f>
        <v>8.2581768942578005E-3</v>
      </c>
      <c r="U37" s="416">
        <f ca="1"/>
        <v>6.13994949569188E-2</v>
      </c>
      <c r="V37" s="416">
        <f ca="1"/>
        <v>5.3141318062661001E-2</v>
      </c>
      <c r="W37" s="417">
        <f ca="1"/>
        <v>1.1554003023508E-2</v>
      </c>
      <c r="X37" s="418">
        <f ca="1"/>
        <v>5.3141318062660998</v>
      </c>
      <c r="Y37" s="419">
        <f t="shared" ca="1" si="5"/>
        <v>3.9753070007372632E-2</v>
      </c>
      <c r="Z37" s="420">
        <f t="shared" ca="1" si="3"/>
        <v>-2.4408184214397056E-3</v>
      </c>
      <c r="AA37" s="419">
        <f t="shared" ca="1" si="0"/>
        <v>5.0751017346988669E-2</v>
      </c>
      <c r="AB37" s="421">
        <f t="shared" ca="1" si="1"/>
        <v>1.0976302872332599E-2</v>
      </c>
      <c r="AC37" s="420">
        <f t="shared" ca="1" si="4"/>
        <v>-1.5580434168274604E-4</v>
      </c>
      <c r="AD37" s="221"/>
      <c r="AE37" s="221">
        <f t="shared" ca="1" si="2"/>
        <v>1.0005222218654193E-2</v>
      </c>
    </row>
    <row r="38" spans="1:31" customFormat="1" ht="15.75" thickBot="1">
      <c r="A38" s="221"/>
      <c r="B38" s="267" t="s">
        <v>460</v>
      </c>
      <c r="C38" s="245" t="s">
        <v>80</v>
      </c>
      <c r="D38" s="245" t="s">
        <v>473</v>
      </c>
      <c r="E38" s="245" t="s">
        <v>474</v>
      </c>
      <c r="F38" s="245" t="s">
        <v>85</v>
      </c>
      <c r="G38" s="245" t="s">
        <v>434</v>
      </c>
      <c r="H38" s="379">
        <v>24</v>
      </c>
      <c r="I38" s="406">
        <f ca="1"/>
        <v>5.1230680015113002E-5</v>
      </c>
      <c r="J38" s="406">
        <f ca="1"/>
        <v>5.8602989210933102E-4</v>
      </c>
      <c r="K38" s="406">
        <f ca="1"/>
        <v>8.7419909299703905E-2</v>
      </c>
      <c r="L38" s="406">
        <f ca="1"/>
        <v>8.7419909299703905E-2</v>
      </c>
      <c r="M38" s="406">
        <f ca="1"/>
        <v>-2.0923561240261099E-4</v>
      </c>
      <c r="N38" s="406" t="str">
        <f ca="1"/>
        <v>MERCEDES-BENZ GROUP AG</v>
      </c>
      <c r="O38" s="406">
        <f ca="1"/>
        <v>0.86493633486577004</v>
      </c>
      <c r="P38" s="406">
        <f ca="1"/>
        <v>0.76247444784479701</v>
      </c>
      <c r="Q38" s="406">
        <f ca="1"/>
        <v>1.1343807485097901</v>
      </c>
      <c r="R38" s="444">
        <f ca="1"/>
        <v>1.1343807485097901</v>
      </c>
      <c r="S38" s="436"/>
      <c r="T38" s="415" cm="1">
        <f t="array" aca="1" ref="T38:X38" ca="1">IF(AND($U$12,B62&lt;=$C$17,C62&lt;&gt;""),TRANSPOSE(INDEX(getcds(C62,$C$6,G62/10000,F62,D62,$C$13,$C$14,$C$15,$C$8,,,TRUE,TRUE,FALSE,$C$29:$C$31,$C$33),{1;2;3;4;5})),"")</f>
        <v>-1.2474447844796699E-2</v>
      </c>
      <c r="U38" s="416">
        <f ca="1"/>
        <v>4.1261507925638603E-2</v>
      </c>
      <c r="V38" s="416">
        <f ca="1"/>
        <v>5.3735955770435301E-2</v>
      </c>
      <c r="W38" s="417">
        <f ca="1"/>
        <v>7.6785659311451298E-3</v>
      </c>
      <c r="X38" s="418">
        <f ca="1"/>
        <v>5.3735955770435302</v>
      </c>
      <c r="Y38" s="419">
        <f t="shared" ca="1" si="5"/>
        <v>3.9753070007372632E-2</v>
      </c>
      <c r="Z38" s="420">
        <f t="shared" ca="1" si="3"/>
        <v>-1.6402716131776721E-3</v>
      </c>
      <c r="AA38" s="419">
        <f t="shared" ca="1" si="0"/>
        <v>2.9139969766567967E-2</v>
      </c>
      <c r="AB38" s="421">
        <f t="shared" ca="1" si="1"/>
        <v>7.2946376345878732E-3</v>
      </c>
      <c r="AC38" s="420">
        <f t="shared" ca="1" si="4"/>
        <v>-6.0117954673805687E-5</v>
      </c>
      <c r="AD38" s="221"/>
      <c r="AE38" s="221">
        <f t="shared" ca="1" si="2"/>
        <v>7.9107472812135274E-3</v>
      </c>
    </row>
    <row r="39" spans="1:31" customFormat="1" ht="15">
      <c r="A39" s="221"/>
      <c r="B39" s="268">
        <v>1</v>
      </c>
      <c r="C39" s="62" t="s">
        <v>510</v>
      </c>
      <c r="D39" s="246">
        <v>1</v>
      </c>
      <c r="E39" s="240"/>
      <c r="F39" s="226">
        <v>0.4</v>
      </c>
      <c r="G39" s="428">
        <v>100</v>
      </c>
      <c r="H39" s="379">
        <v>25</v>
      </c>
      <c r="I39" s="406">
        <f ca="1"/>
        <v>1.38464336059609E-4</v>
      </c>
      <c r="J39" s="406">
        <f ca="1"/>
        <v>5.5475931718103702E-4</v>
      </c>
      <c r="K39" s="406">
        <f ca="1"/>
        <v>0.24959352961065001</v>
      </c>
      <c r="L39" s="406">
        <f ca="1"/>
        <v>0.24959352961065001</v>
      </c>
      <c r="M39" s="406">
        <f ca="1"/>
        <v>-7.6248858249573304E-4</v>
      </c>
      <c r="N39" s="406" t="str">
        <f ca="1"/>
        <v>POSTNL N.V.</v>
      </c>
      <c r="O39" s="406">
        <f ca="1"/>
        <v>0.86046451486428999</v>
      </c>
      <c r="P39" s="406">
        <f ca="1"/>
        <v>0.71498911773563101</v>
      </c>
      <c r="Q39" s="406">
        <f ca="1"/>
        <v>1.2034651906163001</v>
      </c>
      <c r="R39" s="444">
        <f ca="1"/>
        <v>1.2034651906163001</v>
      </c>
      <c r="S39" s="436"/>
      <c r="T39" s="415" cm="1">
        <f t="array" aca="1" ref="T39:X39" ca="1">IF(AND($U$12,B63&lt;=$C$17,C63&lt;&gt;""),TRANSPOSE(INDEX(getcds(C63,$C$6,G63/10000,F63,D63,$C$13,$C$14,$C$15,$C$8,,,TRUE,TRUE,FALSE,$C$29:$C$31,$C$33),{1;2;3;4;5})),"")</f>
        <v>3.5010882264368597E-2</v>
      </c>
      <c r="U39" s="416">
        <f ca="1"/>
        <v>8.6606686550508405E-2</v>
      </c>
      <c r="V39" s="416">
        <f ca="1"/>
        <v>5.1595804286139801E-2</v>
      </c>
      <c r="W39" s="417">
        <f ca="1"/>
        <v>1.6785606455557E-2</v>
      </c>
      <c r="X39" s="418">
        <f ca="1"/>
        <v>5.1595804286139799</v>
      </c>
      <c r="Y39" s="419">
        <f t="shared" ca="1" si="5"/>
        <v>3.9753070007372632E-2</v>
      </c>
      <c r="Z39" s="420">
        <f t="shared" ca="1" si="3"/>
        <v>-3.4428816735489372E-3</v>
      </c>
      <c r="AA39" s="419">
        <f t="shared" ca="1" si="0"/>
        <v>8.3197843203550004E-2</v>
      </c>
      <c r="AB39" s="421">
        <f t="shared" ca="1" si="1"/>
        <v>1.5946326132779149E-2</v>
      </c>
      <c r="AC39" s="420">
        <f t="shared" ca="1" si="4"/>
        <v>-3.6027447640041033E-4</v>
      </c>
      <c r="AD39" s="221"/>
      <c r="AE39" s="221">
        <f t="shared" ca="1" si="2"/>
        <v>2.2780737382539936E-2</v>
      </c>
    </row>
    <row r="40" spans="1:31" customFormat="1" ht="15">
      <c r="A40" s="221"/>
      <c r="B40" s="269">
        <v>2</v>
      </c>
      <c r="C40" s="68" t="s">
        <v>511</v>
      </c>
      <c r="D40" s="248">
        <v>1</v>
      </c>
      <c r="E40" s="240"/>
      <c r="F40" s="226">
        <v>0.4</v>
      </c>
      <c r="G40" s="428">
        <v>100</v>
      </c>
      <c r="H40" s="379">
        <v>26</v>
      </c>
      <c r="I40" s="406">
        <f ca="1"/>
        <v>6.4683000027896404E-5</v>
      </c>
      <c r="J40" s="406">
        <f ca="1"/>
        <v>5.9709232478778696E-4</v>
      </c>
      <c r="K40" s="406">
        <f ca="1"/>
        <v>0.10832998071258999</v>
      </c>
      <c r="L40" s="406">
        <f ca="1"/>
        <v>0.10832998071258999</v>
      </c>
      <c r="M40" s="406">
        <f ca="1"/>
        <v>-2.7815658868107101E-4</v>
      </c>
      <c r="N40" s="406" t="str">
        <f ca="1"/>
        <v>RENTOKIL INITIAL PLC</v>
      </c>
      <c r="O40" s="406">
        <f ca="1"/>
        <v>0.86460043721105995</v>
      </c>
      <c r="P40" s="406">
        <f ca="1"/>
        <v>0.75569163484482704</v>
      </c>
      <c r="Q40" s="406">
        <f ca="1"/>
        <v>1.1441180467593699</v>
      </c>
      <c r="R40" s="444">
        <f ca="1"/>
        <v>1.1441180467593699</v>
      </c>
      <c r="S40" s="436"/>
      <c r="T40" s="415" cm="1">
        <f t="array" aca="1" ref="T40:X40" ca="1">IF(AND($U$12,B64&lt;=$C$17,C64&lt;&gt;""),TRANSPOSE(INDEX(getcds(C64,$C$6,G64/10000,F64,D64,$C$13,$C$14,$C$15,$C$8,,,TRUE,TRUE,FALSE,$C$29:$C$31,$C$33),{1;2;3;4;5})),"")</f>
        <v>-5.6916348448267998E-3</v>
      </c>
      <c r="U40" s="416">
        <f ca="1"/>
        <v>4.7777624516057798E-2</v>
      </c>
      <c r="V40" s="416">
        <f ca="1"/>
        <v>5.3469259360884598E-2</v>
      </c>
      <c r="W40" s="417">
        <f ca="1"/>
        <v>8.9355313851624991E-3</v>
      </c>
      <c r="X40" s="418">
        <f ca="1"/>
        <v>5.3469259360884598</v>
      </c>
      <c r="Y40" s="419">
        <f t="shared" ca="1" si="5"/>
        <v>3.9753070007372632E-2</v>
      </c>
      <c r="Z40" s="420">
        <f t="shared" ca="1" si="3"/>
        <v>-1.8993072521728091E-3</v>
      </c>
      <c r="AA40" s="419">
        <f t="shared" ca="1" si="0"/>
        <v>3.6109993570863329E-2</v>
      </c>
      <c r="AB40" s="421">
        <f t="shared" ca="1" si="1"/>
        <v>8.488754815904373E-3</v>
      </c>
      <c r="AC40" s="420">
        <f t="shared" ca="1" si="4"/>
        <v>-8.6262485705298716E-5</v>
      </c>
      <c r="AD40" s="221"/>
      <c r="AE40" s="221">
        <f t="shared" ca="1" si="2"/>
        <v>9.8208003717379731E-3</v>
      </c>
    </row>
    <row r="41" spans="1:31" customFormat="1" ht="12.75" customHeight="1">
      <c r="A41" s="221"/>
      <c r="B41" s="269">
        <v>3</v>
      </c>
      <c r="C41" s="68" t="s">
        <v>531</v>
      </c>
      <c r="D41" s="248">
        <v>1</v>
      </c>
      <c r="E41" s="240"/>
      <c r="F41" s="226">
        <v>0.4</v>
      </c>
      <c r="G41" s="428">
        <v>100</v>
      </c>
      <c r="H41" s="379">
        <v>27</v>
      </c>
      <c r="I41" s="406">
        <f ca="1"/>
        <v>2.8635810416242001E-5</v>
      </c>
      <c r="J41" s="406">
        <f ca="1"/>
        <v>6.1466492993033804E-4</v>
      </c>
      <c r="K41" s="406">
        <f ca="1"/>
        <v>4.6587675694280101E-2</v>
      </c>
      <c r="L41" s="406">
        <f ca="1"/>
        <v>4.6587675694280101E-2</v>
      </c>
      <c r="M41" s="406">
        <f ca="1"/>
        <v>-8.6224437255033606E-5</v>
      </c>
      <c r="N41" s="406" t="str">
        <f ca="1"/>
        <v>SANOFI</v>
      </c>
      <c r="O41" s="406">
        <f ca="1"/>
        <v>0.86539155717409999</v>
      </c>
      <c r="P41" s="406">
        <f ca="1"/>
        <v>0.77768081653916199</v>
      </c>
      <c r="Q41" s="406">
        <f ca="1"/>
        <v>1.11278501252644</v>
      </c>
      <c r="R41" s="444">
        <f ca="1"/>
        <v>1.11278501252644</v>
      </c>
      <c r="S41" s="436"/>
      <c r="T41" s="415" cm="1">
        <f t="array" aca="1" ref="T41:X41" ca="1">IF(AND($U$12,B65&lt;=$C$17,C65&lt;&gt;""),TRANSPOSE(INDEX(getcds(C65,$C$6,G65/10000,F65,D65,$C$13,$C$14,$C$15,$C$8,,,TRUE,TRUE,FALSE,$C$29:$C$31,$C$33),{1;2;3;4;5})),"")</f>
        <v>-2.7680816539162101E-2</v>
      </c>
      <c r="U41" s="416">
        <f ca="1"/>
        <v>2.65227553719392E-2</v>
      </c>
      <c r="V41" s="416">
        <f ca="1"/>
        <v>5.4203571911101298E-2</v>
      </c>
      <c r="W41" s="417">
        <f ca="1"/>
        <v>4.8931748290387397E-3</v>
      </c>
      <c r="X41" s="418">
        <f ca="1"/>
        <v>5.4203571911101296</v>
      </c>
      <c r="Y41" s="419">
        <f t="shared" ca="1" si="5"/>
        <v>3.9753070007372632E-2</v>
      </c>
      <c r="Z41" s="420">
        <f t="shared" ca="1" si="3"/>
        <v>-1.0543609510891181E-3</v>
      </c>
      <c r="AA41" s="419">
        <f t="shared" ca="1" si="0"/>
        <v>1.55292252314267E-2</v>
      </c>
      <c r="AB41" s="421">
        <f t="shared" ca="1" si="1"/>
        <v>4.6485160875868025E-3</v>
      </c>
      <c r="AC41" s="420">
        <f t="shared" ca="1" si="4"/>
        <v>-2.059389209644384E-5</v>
      </c>
      <c r="AD41" s="221"/>
      <c r="AE41" s="221">
        <f t="shared" ca="1" si="2"/>
        <v>5.9430290394622172E-3</v>
      </c>
    </row>
    <row r="42" spans="1:31" customFormat="1" ht="15">
      <c r="A42" s="221"/>
      <c r="B42" s="269">
        <v>4</v>
      </c>
      <c r="C42" s="68" t="s">
        <v>622</v>
      </c>
      <c r="D42" s="248">
        <v>1</v>
      </c>
      <c r="E42" s="240"/>
      <c r="F42" s="226">
        <v>0.4</v>
      </c>
      <c r="G42" s="428">
        <v>100</v>
      </c>
      <c r="H42" s="379">
        <v>28</v>
      </c>
      <c r="I42" s="406">
        <f ca="1"/>
        <v>3.1157314247227598E-5</v>
      </c>
      <c r="J42" s="406">
        <f ca="1"/>
        <v>6.12684654975048E-4</v>
      </c>
      <c r="K42" s="406">
        <f ca="1"/>
        <v>5.0853753222359598E-2</v>
      </c>
      <c r="L42" s="406">
        <f ca="1"/>
        <v>5.0853753222359598E-2</v>
      </c>
      <c r="M42" s="406">
        <f ca="1"/>
        <v>-9.7145263657161295E-5</v>
      </c>
      <c r="N42" s="406" t="str">
        <f ca="1"/>
        <v>SIEMENS AKTIENGESELLSCHAFT</v>
      </c>
      <c r="O42" s="406">
        <f ca="1"/>
        <v>0.86535384973131002</v>
      </c>
      <c r="P42" s="406">
        <f ca="1"/>
        <v>0.77616036815954104</v>
      </c>
      <c r="Q42" s="406">
        <f ca="1"/>
        <v>1.1149163049683499</v>
      </c>
      <c r="R42" s="444">
        <f ca="1"/>
        <v>1.1149163049683499</v>
      </c>
      <c r="S42" s="436"/>
      <c r="T42" s="415" cm="1">
        <f t="array" aca="1" ref="T42:X42" ca="1">IF(AND($U$12,B66&lt;=$C$17,C66&lt;&gt;""),TRANSPOSE(INDEX(getcds(C66,$C$6,G66/10000,F66,D66,$C$13,$C$14,$C$15,$C$8,,,TRUE,TRUE,FALSE,$C$29:$C$31,$C$33),{1;2;3;4;5})),"")</f>
        <v>-2.6160368159540901E-2</v>
      </c>
      <c r="U42" s="416">
        <f ca="1"/>
        <v>2.7974006048288098E-2</v>
      </c>
      <c r="V42" s="416">
        <f ca="1"/>
        <v>5.4134374207829003E-2</v>
      </c>
      <c r="W42" s="417">
        <f ca="1"/>
        <v>5.1675125939190103E-3</v>
      </c>
      <c r="X42" s="418">
        <f ca="1"/>
        <v>5.4134374207829001</v>
      </c>
      <c r="Y42" s="419">
        <f t="shared" ca="1" si="5"/>
        <v>3.9753070007372632E-2</v>
      </c>
      <c r="Z42" s="420">
        <f t="shared" ca="1" si="3"/>
        <v>-1.1120526208242617E-3</v>
      </c>
      <c r="AA42" s="419">
        <f t="shared" ca="1" si="0"/>
        <v>1.6951251074119867E-2</v>
      </c>
      <c r="AB42" s="421">
        <f t="shared" ca="1" si="1"/>
        <v>4.9091369642230596E-3</v>
      </c>
      <c r="AC42" s="420">
        <f t="shared" ca="1" si="4"/>
        <v>-2.3709720003673967E-5</v>
      </c>
      <c r="AD42" s="221"/>
      <c r="AE42" s="221">
        <f t="shared" ca="1" si="2"/>
        <v>6.7851083492725343E-3</v>
      </c>
    </row>
    <row r="43" spans="1:31" customFormat="1" ht="15">
      <c r="A43" s="221"/>
      <c r="B43" s="269">
        <v>5</v>
      </c>
      <c r="C43" s="68" t="s">
        <v>512</v>
      </c>
      <c r="D43" s="248">
        <v>1</v>
      </c>
      <c r="E43" s="240"/>
      <c r="F43" s="226">
        <v>0.4</v>
      </c>
      <c r="G43" s="428">
        <v>100</v>
      </c>
      <c r="H43" s="379">
        <v>29</v>
      </c>
      <c r="I43" s="406">
        <f ca="1"/>
        <v>5.3212866604352899E-5</v>
      </c>
      <c r="J43" s="406">
        <f ca="1"/>
        <v>5.8479576815849204E-4</v>
      </c>
      <c r="K43" s="406">
        <f ca="1"/>
        <v>9.0993932414933407E-2</v>
      </c>
      <c r="L43" s="406">
        <f ca="1"/>
        <v>9.0993932414933407E-2</v>
      </c>
      <c r="M43" s="406">
        <f ca="1"/>
        <v>-2.20360369592365E-4</v>
      </c>
      <c r="N43" s="406" t="str">
        <f ca="1"/>
        <v>SMURFIT KAPPA ACQUISITIONS UNLIMITED COMPANY</v>
      </c>
      <c r="O43" s="406">
        <f ca="1"/>
        <v>0.86488369172978996</v>
      </c>
      <c r="P43" s="406">
        <f ca="1"/>
        <v>0.76135706870129005</v>
      </c>
      <c r="Q43" s="406">
        <f ca="1"/>
        <v>1.13597643902498</v>
      </c>
      <c r="R43" s="444">
        <f ca="1"/>
        <v>1.13597643902498</v>
      </c>
      <c r="S43" s="436"/>
      <c r="T43" s="415" cm="1">
        <f t="array" aca="1" ref="T43:X43" ca="1">IF(AND($U$12,B67&lt;=$C$17,C67&lt;&gt;""),TRANSPOSE(INDEX(getcds(C67,$C$6,G67/10000,F67,D67,$C$13,$C$14,$C$15,$C$8,,,TRUE,TRUE,FALSE,$C$29:$C$31,$C$33),{1;2;3;4;5})),"")</f>
        <v>-1.1357068701289901E-2</v>
      </c>
      <c r="U43" s="416">
        <f ca="1"/>
        <v>4.2342991112647103E-2</v>
      </c>
      <c r="V43" s="416">
        <f ca="1"/>
        <v>5.3700059813937003E-2</v>
      </c>
      <c r="W43" s="417">
        <f ca="1"/>
        <v>7.8850919830181707E-3</v>
      </c>
      <c r="X43" s="418">
        <f ca="1"/>
        <v>5.3700059813936996</v>
      </c>
      <c r="Y43" s="419">
        <f t="shared" ca="1" si="5"/>
        <v>3.9753070007372632E-2</v>
      </c>
      <c r="Z43" s="420">
        <f t="shared" ca="1" si="3"/>
        <v>-1.6832638900226165E-3</v>
      </c>
      <c r="AA43" s="419">
        <f t="shared" ca="1" si="0"/>
        <v>3.0331310804977803E-2</v>
      </c>
      <c r="AB43" s="421">
        <f t="shared" ca="1" si="1"/>
        <v>7.490837383867262E-3</v>
      </c>
      <c r="AC43" s="420">
        <f t="shared" ca="1" si="4"/>
        <v>-6.4215921192505612E-5</v>
      </c>
      <c r="AD43" s="221"/>
      <c r="AE43" s="221">
        <f t="shared" ca="1" si="2"/>
        <v>8.502620531994359E-3</v>
      </c>
    </row>
    <row r="44" spans="1:31" customFormat="1" ht="15">
      <c r="A44" s="221"/>
      <c r="B44" s="269">
        <v>6</v>
      </c>
      <c r="C44" s="68" t="s">
        <v>513</v>
      </c>
      <c r="D44" s="248">
        <v>1</v>
      </c>
      <c r="E44" s="240"/>
      <c r="F44" s="226">
        <v>0.4</v>
      </c>
      <c r="G44" s="428">
        <v>100</v>
      </c>
      <c r="H44" s="379">
        <v>30</v>
      </c>
      <c r="I44" s="406">
        <f ca="1"/>
        <v>9.0554268175964102E-5</v>
      </c>
      <c r="J44" s="406">
        <f ca="1"/>
        <v>5.8203742816129796E-4</v>
      </c>
      <c r="K44" s="406">
        <f ca="1"/>
        <v>0.15558152069709999</v>
      </c>
      <c r="L44" s="406">
        <f ca="1"/>
        <v>0.15558152069709999</v>
      </c>
      <c r="M44" s="406">
        <f ca="1"/>
        <v>-4.3880186752093497E-4</v>
      </c>
      <c r="N44" s="406" t="str">
        <f ca="1"/>
        <v>SOLVAY</v>
      </c>
      <c r="O44" s="406">
        <f ca="1"/>
        <v>0.86359470522471005</v>
      </c>
      <c r="P44" s="406">
        <f ca="1"/>
        <v>0.74157483038391303</v>
      </c>
      <c r="Q44" s="406">
        <f ca="1"/>
        <v>1.16454155378713</v>
      </c>
      <c r="R44" s="444">
        <f ca="1"/>
        <v>1.16454155378713</v>
      </c>
      <c r="S44" s="436"/>
      <c r="T44" s="415" cm="1">
        <f t="array" aca="1" ref="T44:X44" ca="1">IF(AND($U$12,B68&lt;=$C$17,C68&lt;&gt;""),TRANSPOSE(INDEX(getcds(C68,$C$6,G68/10000,F68,D68,$C$13,$C$14,$C$15,$C$8,,,TRUE,TRUE,FALSE,$C$29:$C$31,$C$33),{1;2;3;4;5})),"")</f>
        <v>8.4251696160870995E-3</v>
      </c>
      <c r="U44" s="416">
        <f ca="1"/>
        <v>6.1207116914340498E-2</v>
      </c>
      <c r="V44" s="416">
        <f ca="1"/>
        <v>5.2781947298253397E-2</v>
      </c>
      <c r="W44" s="417">
        <f ca="1"/>
        <v>1.15962218234351E-2</v>
      </c>
      <c r="X44" s="418">
        <f ca="1"/>
        <v>5.2781947298253398</v>
      </c>
      <c r="Y44" s="419">
        <f t="shared" ca="1" si="5"/>
        <v>3.9753070007372632E-2</v>
      </c>
      <c r="Z44" s="420">
        <f t="shared" ca="1" si="3"/>
        <v>-2.433170803645229E-3</v>
      </c>
      <c r="AA44" s="419">
        <f t="shared" ca="1" si="0"/>
        <v>5.1860506899033328E-2</v>
      </c>
      <c r="AB44" s="421">
        <f t="shared" ca="1" si="1"/>
        <v>1.1016410732263344E-2</v>
      </c>
      <c r="AC44" s="420">
        <f t="shared" ca="1" si="4"/>
        <v>-1.5871160545030547E-4</v>
      </c>
      <c r="AD44" s="221"/>
      <c r="AE44" s="221">
        <f t="shared" ca="1" si="2"/>
        <v>1.4698259596827802E-2</v>
      </c>
    </row>
    <row r="45" spans="1:31" customFormat="1" ht="15">
      <c r="A45" s="221"/>
      <c r="B45" s="269">
        <v>7</v>
      </c>
      <c r="C45" s="68" t="s">
        <v>514</v>
      </c>
      <c r="D45" s="248">
        <v>1</v>
      </c>
      <c r="E45" s="240"/>
      <c r="F45" s="226">
        <v>0.4</v>
      </c>
      <c r="G45" s="428">
        <v>100</v>
      </c>
      <c r="H45" s="379">
        <v>31</v>
      </c>
      <c r="I45" s="406">
        <f ca="1"/>
        <v>1.3612589816052199E-4</v>
      </c>
      <c r="J45" s="406">
        <f ca="1"/>
        <v>5.6059398559893305E-4</v>
      </c>
      <c r="K45" s="406">
        <f ca="1"/>
        <v>0.24282439993551899</v>
      </c>
      <c r="L45" s="406">
        <f ca="1"/>
        <v>0.24282439993551899</v>
      </c>
      <c r="M45" s="406">
        <f ca="1"/>
        <v>-7.43808159437105E-4</v>
      </c>
      <c r="N45" s="406" t="str">
        <f ca="1"/>
        <v>STELLANTIS N.V.</v>
      </c>
      <c r="O45" s="406">
        <f ca="1"/>
        <v>0.86074892664809999</v>
      </c>
      <c r="P45" s="406">
        <f ca="1"/>
        <v>0.716334402346823</v>
      </c>
      <c r="Q45" s="406">
        <f ca="1"/>
        <v>1.2016021062623199</v>
      </c>
      <c r="R45" s="444">
        <f ca="1"/>
        <v>1.2016021062623199</v>
      </c>
      <c r="S45" s="436"/>
      <c r="T45" s="415" cm="1">
        <f t="array" aca="1" ref="T45:X45" ca="1">IF(AND($U$12,B69&lt;=$C$17,C69&lt;&gt;""),TRANSPOSE(INDEX(getcds(C69,$C$6,G69/10000,F69,D69,$C$13,$C$14,$C$15,$C$8,,,TRUE,TRUE,FALSE,$C$29:$C$31,$C$33),{1;2;3;4;5})),"")</f>
        <v>3.36655976531769E-2</v>
      </c>
      <c r="U45" s="416">
        <f ca="1"/>
        <v>8.5777264827518504E-2</v>
      </c>
      <c r="V45" s="416">
        <f ca="1"/>
        <v>5.2111667174341597E-2</v>
      </c>
      <c r="W45" s="417">
        <f ca="1"/>
        <v>1.6460280293959399E-2</v>
      </c>
      <c r="X45" s="418">
        <f ca="1"/>
        <v>5.2111667174341596</v>
      </c>
      <c r="Y45" s="419">
        <f t="shared" ca="1" si="5"/>
        <v>3.9753070007372632E-2</v>
      </c>
      <c r="Z45" s="420">
        <f t="shared" ca="1" si="3"/>
        <v>-3.4099096137292888E-3</v>
      </c>
      <c r="AA45" s="419">
        <f t="shared" ca="1" si="0"/>
        <v>8.0941466645173002E-2</v>
      </c>
      <c r="AB45" s="421">
        <f t="shared" ca="1" si="1"/>
        <v>1.5637266279261427E-2</v>
      </c>
      <c r="AC45" s="420">
        <f t="shared" ca="1" si="4"/>
        <v>-3.4714688099753935E-4</v>
      </c>
      <c r="AD45" s="221"/>
      <c r="AE45" s="221">
        <f t="shared" ca="1" si="2"/>
        <v>1.6746127696627894E-2</v>
      </c>
    </row>
    <row r="46" spans="1:31" customFormat="1" ht="15">
      <c r="A46" s="221"/>
      <c r="B46" s="269">
        <v>8</v>
      </c>
      <c r="C46" s="68" t="s">
        <v>515</v>
      </c>
      <c r="D46" s="248">
        <v>1</v>
      </c>
      <c r="E46" s="240"/>
      <c r="F46" s="226">
        <v>0.4</v>
      </c>
      <c r="G46" s="428">
        <v>100</v>
      </c>
      <c r="H46" s="379">
        <v>32</v>
      </c>
      <c r="I46" s="406">
        <f ca="1"/>
        <v>9.8553706023185597E-5</v>
      </c>
      <c r="J46" s="406">
        <f ca="1"/>
        <v>5.7908103548211503E-4</v>
      </c>
      <c r="K46" s="406">
        <f ca="1"/>
        <v>0.17018983524669301</v>
      </c>
      <c r="L46" s="406">
        <f ca="1"/>
        <v>0.17018983524669301</v>
      </c>
      <c r="M46" s="406">
        <f ca="1"/>
        <v>-4.9184857287077298E-4</v>
      </c>
      <c r="N46" s="406" t="str">
        <f ca="1"/>
        <v>STORA ENSO OYJ</v>
      </c>
      <c r="O46" s="406">
        <f ca="1"/>
        <v>0.86321587618549001</v>
      </c>
      <c r="P46" s="406">
        <f ca="1"/>
        <v>0.73704887232763805</v>
      </c>
      <c r="Q46" s="406">
        <f ca="1"/>
        <v>1.1711786132436599</v>
      </c>
      <c r="R46" s="444">
        <f ca="1"/>
        <v>1.1711786132436599</v>
      </c>
      <c r="S46" s="436"/>
      <c r="T46" s="415" cm="1">
        <f t="array" aca="1" ref="T46:X46" ca="1">IF(AND($U$12,B70&lt;=$C$17,C70&lt;&gt;""),TRANSPOSE(INDEX(getcds(C70,$C$6,G70/10000,F70,D70,$C$13,$C$14,$C$15,$C$8,,,TRUE,TRUE,FALSE,$C$29:$C$31,$C$33),{1;2;3;4;5})),"")</f>
        <v>1.29511276723616E-2</v>
      </c>
      <c r="U46" s="416">
        <f ca="1"/>
        <v>6.5700319672373705E-2</v>
      </c>
      <c r="V46" s="416">
        <f ca="1"/>
        <v>5.2749192000012102E-2</v>
      </c>
      <c r="W46" s="417">
        <f ca="1"/>
        <v>1.24552276881054E-2</v>
      </c>
      <c r="X46" s="418">
        <f ca="1"/>
        <v>5.27491920000121</v>
      </c>
      <c r="Y46" s="419">
        <f t="shared" ca="1" si="5"/>
        <v>3.9753070007372632E-2</v>
      </c>
      <c r="Z46" s="420">
        <f t="shared" ca="1" si="3"/>
        <v>-2.6117894074426393E-3</v>
      </c>
      <c r="AA46" s="419">
        <f t="shared" ca="1" si="0"/>
        <v>5.6729945082231004E-2</v>
      </c>
      <c r="AB46" s="421">
        <f t="shared" ca="1" si="1"/>
        <v>1.1832466303700129E-2</v>
      </c>
      <c r="AC46" s="420">
        <f t="shared" ca="1" si="4"/>
        <v>-1.8635877634493977E-4</v>
      </c>
      <c r="AD46" s="221"/>
      <c r="AE46" s="221">
        <f t="shared" ca="1" si="2"/>
        <v>1.4154886391192797E-2</v>
      </c>
    </row>
    <row r="47" spans="1:31" customFormat="1" ht="15">
      <c r="A47" s="221"/>
      <c r="B47" s="269">
        <v>9</v>
      </c>
      <c r="C47" s="68" t="s">
        <v>532</v>
      </c>
      <c r="D47" s="248">
        <v>1</v>
      </c>
      <c r="E47" s="240"/>
      <c r="F47" s="226">
        <v>0.4</v>
      </c>
      <c r="G47" s="428">
        <v>100</v>
      </c>
      <c r="H47" s="379">
        <v>33</v>
      </c>
      <c r="I47" s="406">
        <f ca="1"/>
        <v>1.5675489765160699E-4</v>
      </c>
      <c r="J47" s="406">
        <f ca="1"/>
        <v>5.4924494847080401E-4</v>
      </c>
      <c r="K47" s="406">
        <f ca="1"/>
        <v>0.285400708896897</v>
      </c>
      <c r="L47" s="406">
        <f ca="1"/>
        <v>0.285400708896897</v>
      </c>
      <c r="M47" s="406">
        <f ca="1"/>
        <v>-8.8155534257448496E-4</v>
      </c>
      <c r="N47" s="406" t="str">
        <f ca="1"/>
        <v>UNIBAIL-RODAMCO-WESTFIELD SE</v>
      </c>
      <c r="O47" s="406">
        <f ca="1"/>
        <v>0.85884119165414996</v>
      </c>
      <c r="P47" s="406">
        <f ca="1"/>
        <v>0.70466674998827905</v>
      </c>
      <c r="Q47" s="406">
        <f ca="1"/>
        <v>1.21879057252018</v>
      </c>
      <c r="R47" s="444">
        <f ca="1"/>
        <v>1.21879057252018</v>
      </c>
      <c r="S47" s="436"/>
      <c r="T47" s="415" cm="1">
        <f t="array" aca="1" ref="T47:X47" ca="1">IF(AND($U$12,B71&lt;=$C$17,C71&lt;&gt;""),TRANSPOSE(INDEX(getcds(C71,$C$6,G71/10000,F71,D71,$C$13,$C$14,$C$15,$C$8,,,TRUE,TRUE,FALSE,$C$29:$C$31,$C$33),{1;2;3;4;5})),"")</f>
        <v>4.53332500117214E-2</v>
      </c>
      <c r="U47" s="416">
        <f ca="1"/>
        <v>9.6983720219430095E-2</v>
      </c>
      <c r="V47" s="416">
        <f ca="1"/>
        <v>5.1650470207708701E-2</v>
      </c>
      <c r="W47" s="417">
        <f ca="1"/>
        <v>1.8776928811957899E-2</v>
      </c>
      <c r="X47" s="418">
        <f ca="1"/>
        <v>5.1650470207708699</v>
      </c>
      <c r="Y47" s="419">
        <f t="shared" ca="1" si="5"/>
        <v>3.9753070007372632E-2</v>
      </c>
      <c r="Z47" s="420">
        <f t="shared" ca="1" si="3"/>
        <v>-3.8554006194584352E-3</v>
      </c>
      <c r="AA47" s="419">
        <f t="shared" ca="1" si="0"/>
        <v>9.5133569632299006E-2</v>
      </c>
      <c r="AB47" s="421">
        <f t="shared" ca="1" si="1"/>
        <v>1.7838082371360003E-2</v>
      </c>
      <c r="AC47" s="420">
        <f t="shared" ca="1" si="4"/>
        <v>-4.6132037503472678E-4</v>
      </c>
      <c r="AD47" s="221"/>
      <c r="AE47" s="221">
        <f t="shared" ca="1" si="2"/>
        <v>1.9147173867310595E-2</v>
      </c>
    </row>
    <row r="48" spans="1:31" customFormat="1" ht="15">
      <c r="A48" s="221"/>
      <c r="B48" s="269">
        <v>10</v>
      </c>
      <c r="C48" s="68" t="s">
        <v>533</v>
      </c>
      <c r="D48" s="248">
        <v>1</v>
      </c>
      <c r="E48" s="240"/>
      <c r="F48" s="226">
        <v>0.4</v>
      </c>
      <c r="G48" s="428">
        <v>100</v>
      </c>
      <c r="H48" s="379">
        <v>34</v>
      </c>
      <c r="I48" s="406">
        <f ca="1"/>
        <v>2.98390444553221E-5</v>
      </c>
      <c r="J48" s="406">
        <f ca="1"/>
        <v>6.1322744958938497E-4</v>
      </c>
      <c r="K48" s="406">
        <f ca="1"/>
        <v>4.8659016283928901E-2</v>
      </c>
      <c r="L48" s="406">
        <f ca="1"/>
        <v>4.8659016283928901E-2</v>
      </c>
      <c r="M48" s="406">
        <f ca="1"/>
        <v>-9.2868667485035403E-5</v>
      </c>
      <c r="N48" s="406" t="str">
        <f ca="1"/>
        <v>VINCI</v>
      </c>
      <c r="O48" s="406">
        <f ca="1"/>
        <v>0.86537467178988003</v>
      </c>
      <c r="P48" s="406">
        <f ca="1"/>
        <v>0.77655402518779804</v>
      </c>
      <c r="Q48" s="406">
        <f ca="1"/>
        <v>1.1143779360110899</v>
      </c>
      <c r="R48" s="444">
        <f ca="1"/>
        <v>1.1143779360110899</v>
      </c>
      <c r="S48" s="436"/>
      <c r="T48" s="415" cm="1">
        <f t="array" aca="1" ref="T48:X48" ca="1">IF(AND($U$12,B72&lt;=$C$17,C72&lt;&gt;""),TRANSPOSE(INDEX(getcds(C72,$C$6,G72/10000,F72,D72,$C$13,$C$14,$C$15,$C$8,,,TRUE,TRUE,FALSE,$C$29:$C$31,$C$33),{1;2;3;4;5})),"")</f>
        <v>-2.6554025187798501E-2</v>
      </c>
      <c r="U48" s="416">
        <f ca="1"/>
        <v>2.76750655620953E-2</v>
      </c>
      <c r="V48" s="416">
        <f ca="1"/>
        <v>5.42290907498938E-2</v>
      </c>
      <c r="W48" s="417">
        <f ca="1"/>
        <v>5.1033615314948801E-3</v>
      </c>
      <c r="X48" s="418">
        <f ca="1"/>
        <v>5.4229090749893798</v>
      </c>
      <c r="Y48" s="419">
        <f t="shared" ca="1" si="5"/>
        <v>3.9753070007372632E-2</v>
      </c>
      <c r="Z48" s="420">
        <f t="shared" ca="1" si="3"/>
        <v>-1.1001688187486014E-3</v>
      </c>
      <c r="AA48" s="419">
        <f t="shared" ca="1" si="0"/>
        <v>1.6219672094642968E-2</v>
      </c>
      <c r="AB48" s="421">
        <f t="shared" ca="1" si="1"/>
        <v>4.8481934549201361E-3</v>
      </c>
      <c r="AC48" s="420">
        <f t="shared" ca="1" si="4"/>
        <v>-2.2444024430746577E-5</v>
      </c>
      <c r="AD48" s="221"/>
      <c r="AE48" s="221">
        <f t="shared" ca="1" si="2"/>
        <v>5.5629839646428383E-3</v>
      </c>
    </row>
    <row r="49" spans="1:31" customFormat="1" ht="15">
      <c r="A49" s="221"/>
      <c r="B49" s="269">
        <v>11</v>
      </c>
      <c r="C49" s="68" t="s">
        <v>534</v>
      </c>
      <c r="D49" s="248">
        <v>1</v>
      </c>
      <c r="E49" s="240"/>
      <c r="F49" s="226">
        <v>0.4</v>
      </c>
      <c r="G49" s="428">
        <v>100</v>
      </c>
      <c r="H49" s="379">
        <v>35</v>
      </c>
      <c r="I49" s="406">
        <f ca="1"/>
        <v>1.0772497427017999E-4</v>
      </c>
      <c r="J49" s="406">
        <f ca="1"/>
        <v>5.7467607383970105E-4</v>
      </c>
      <c r="K49" s="406">
        <f ca="1"/>
        <v>0.18745338317361099</v>
      </c>
      <c r="L49" s="406">
        <f ca="1"/>
        <v>0.18745338317361099</v>
      </c>
      <c r="M49" s="406">
        <f ca="1"/>
        <v>-5.5387503398022402E-4</v>
      </c>
      <c r="N49" s="406" t="str">
        <f ca="1"/>
        <v>VOLKSWAGEN AKTIENGESELLSCHAFT</v>
      </c>
      <c r="O49" s="406">
        <f ca="1"/>
        <v>0.86271750387582002</v>
      </c>
      <c r="P49" s="406">
        <f ca="1"/>
        <v>0.73187605790090504</v>
      </c>
      <c r="Q49" s="406">
        <f ca="1"/>
        <v>1.1787754149933301</v>
      </c>
      <c r="R49" s="444">
        <f ca="1"/>
        <v>1.1787754149933301</v>
      </c>
      <c r="S49" s="436"/>
      <c r="T49" s="415" cm="1">
        <f t="array" aca="1" ref="T49:X49" ca="1">IF(AND($U$12,B73&lt;=$C$17,C73&lt;&gt;""),TRANSPOSE(INDEX(getcds(C73,$C$6,G73/10000,F73,D73,$C$13,$C$14,$C$15,$C$8,,,TRUE,TRUE,FALSE,$C$29:$C$31,$C$33),{1;2;3;4;5})),"")</f>
        <v>1.8123942099094601E-2</v>
      </c>
      <c r="U49" s="416">
        <f ca="1"/>
        <v>7.0739412647659802E-2</v>
      </c>
      <c r="V49" s="416">
        <f ca="1"/>
        <v>5.2615470548565198E-2</v>
      </c>
      <c r="W49" s="417">
        <f ca="1"/>
        <v>1.34446032526433E-2</v>
      </c>
      <c r="X49" s="418">
        <f ca="1"/>
        <v>5.2615470548565204</v>
      </c>
      <c r="Y49" s="419">
        <f t="shared" ca="1" si="5"/>
        <v>3.9753070007372632E-2</v>
      </c>
      <c r="Z49" s="420">
        <f t="shared" ca="1" si="3"/>
        <v>-2.8121088232628388E-3</v>
      </c>
      <c r="AA49" s="419">
        <f t="shared" ca="1" si="0"/>
        <v>6.2484461057870332E-2</v>
      </c>
      <c r="AB49" s="421">
        <f t="shared" ca="1" si="1"/>
        <v>1.2772373090011134E-2</v>
      </c>
      <c r="AC49" s="420">
        <f t="shared" ca="1" si="4"/>
        <v>-2.2100570374196604E-4</v>
      </c>
      <c r="AD49" s="221"/>
      <c r="AE49" s="221">
        <f t="shared" ca="1" si="2"/>
        <v>1.3687123525797804E-2</v>
      </c>
    </row>
    <row r="50" spans="1:31" customFormat="1" ht="15">
      <c r="A50" s="221"/>
      <c r="B50" s="269">
        <v>12</v>
      </c>
      <c r="C50" s="68" t="s">
        <v>516</v>
      </c>
      <c r="D50" s="248">
        <v>1</v>
      </c>
      <c r="E50" s="240"/>
      <c r="F50" s="226">
        <v>0.4</v>
      </c>
      <c r="G50" s="428">
        <v>100</v>
      </c>
      <c r="H50" s="379">
        <v>36</v>
      </c>
      <c r="I50" s="406">
        <f ca="1"/>
        <v>8.5294247204643705E-5</v>
      </c>
      <c r="J50" s="406">
        <f ca="1"/>
        <v>5.8660818643635905E-4</v>
      </c>
      <c r="K50" s="406">
        <f ca="1"/>
        <v>0.14540241540576801</v>
      </c>
      <c r="L50" s="406">
        <f ca="1"/>
        <v>0.14540241540576801</v>
      </c>
      <c r="M50" s="406">
        <f ca="1"/>
        <v>-4.0574793740010901E-4</v>
      </c>
      <c r="N50" s="406" t="str">
        <f ca="1"/>
        <v>WENDEL</v>
      </c>
      <c r="O50" s="406">
        <f ca="1"/>
        <v>0.86384192233666002</v>
      </c>
      <c r="P50" s="406">
        <f ca="1"/>
        <v>0.744262800352123</v>
      </c>
      <c r="Q50" s="406">
        <f ca="1"/>
        <v>1.16066787420782</v>
      </c>
      <c r="R50" s="444">
        <f ca="1"/>
        <v>1.16066787420782</v>
      </c>
      <c r="S50" s="436"/>
      <c r="T50" s="415" cm="1">
        <f t="array" aca="1" ref="T50:X50" ca="1">IF(AND($U$12,B74&lt;=$C$17,C74&lt;&gt;""),TRANSPOSE(INDEX(getcds(C74,$C$6,G74/10000,F74,D74,$C$13,$C$14,$C$15,$C$8,,,TRUE,TRUE,FALSE,$C$29:$C$31,$C$33),{1;2;3;4;5})),"")</f>
        <v>5.7371996478768001E-3</v>
      </c>
      <c r="U50" s="416">
        <f ca="1"/>
        <v>5.88226619858771E-2</v>
      </c>
      <c r="V50" s="416">
        <f ca="1"/>
        <v>5.3085462338000301E-2</v>
      </c>
      <c r="W50" s="417">
        <f ca="1"/>
        <v>1.1080747797079999E-2</v>
      </c>
      <c r="X50" s="418">
        <f ca="1"/>
        <v>5.3085462338000298</v>
      </c>
      <c r="Y50" s="419">
        <f t="shared" ca="1" si="5"/>
        <v>3.9753070007372632E-2</v>
      </c>
      <c r="Z50" s="420">
        <f t="shared" ca="1" si="3"/>
        <v>-2.3383813999445857E-3</v>
      </c>
      <c r="AA50" s="419">
        <f t="shared" ca="1" si="0"/>
        <v>4.8467471801922672E-2</v>
      </c>
      <c r="AB50" s="421">
        <f t="shared" ca="1" si="1"/>
        <v>1.0526710407225999E-2</v>
      </c>
      <c r="AC50" s="420">
        <f t="shared" ca="1" si="4"/>
        <v>-1.4254928555572615E-4</v>
      </c>
      <c r="AD50" s="221"/>
      <c r="AE50" s="221">
        <f t="shared" ca="1" si="2"/>
        <v>1.2267450495418702E-2</v>
      </c>
    </row>
    <row r="51" spans="1:31" customFormat="1" ht="15">
      <c r="A51" s="221"/>
      <c r="B51" s="269">
        <v>13</v>
      </c>
      <c r="C51" s="68" t="s">
        <v>623</v>
      </c>
      <c r="D51" s="248">
        <v>1</v>
      </c>
      <c r="E51" s="240"/>
      <c r="F51" s="226">
        <v>0.4</v>
      </c>
      <c r="G51" s="428">
        <v>100</v>
      </c>
      <c r="H51" s="379">
        <v>37</v>
      </c>
      <c r="I51" s="406">
        <f ca="1"/>
        <v>1.7744392110627001E-4</v>
      </c>
      <c r="J51" s="406">
        <f ca="1"/>
        <v>5.3100476377642802E-4</v>
      </c>
      <c r="K51" s="406">
        <f ca="1"/>
        <v>0.33416634503297998</v>
      </c>
      <c r="L51" s="406">
        <f ca="1"/>
        <v>0.33416634503297998</v>
      </c>
      <c r="M51" s="406">
        <f ca="1"/>
        <v>-1.02590584921506E-3</v>
      </c>
      <c r="N51" s="406" t="str">
        <f ca="1"/>
        <v>AKTIEBOLAGET ELECTROLUX</v>
      </c>
      <c r="O51" s="406">
        <f ca="1"/>
        <v>0.85617093416548995</v>
      </c>
      <c r="P51" s="406">
        <f ca="1"/>
        <v>0.69173756345381698</v>
      </c>
      <c r="Q51" s="406">
        <f ca="1"/>
        <v>1.2377106281328201</v>
      </c>
      <c r="R51" s="444">
        <f ca="1"/>
        <v>1.2377106281328201</v>
      </c>
      <c r="S51" s="436"/>
      <c r="T51" s="415" cm="1">
        <f t="array" aca="1" ref="T51:X51" ca="1">IF(AND($U$12,B75&lt;=$C$17,C75&lt;&gt;""),TRANSPOSE(INDEX(getcds(C75,$C$6,G75/10000,F75,D75,$C$13,$C$14,$C$15,$C$8,,,TRUE,TRUE,FALSE,$C$29:$C$31,$C$33),{1;2;3;4;5})),"")</f>
        <v>5.82624365461826E-2</v>
      </c>
      <c r="U51" s="416">
        <f ca="1"/>
        <v>0.10881152584475801</v>
      </c>
      <c r="V51" s="416">
        <f ca="1"/>
        <v>5.0549089298575399E-2</v>
      </c>
      <c r="W51" s="417">
        <f ca="1"/>
        <v>2.1525912208239201E-2</v>
      </c>
      <c r="X51" s="418">
        <f ca="1"/>
        <v>5.0549089298575396</v>
      </c>
      <c r="Y51" s="419">
        <f t="shared" ca="1" si="5"/>
        <v>3.9753070007372632E-2</v>
      </c>
      <c r="Z51" s="420">
        <f t="shared" ca="1" si="3"/>
        <v>-4.3255922045156922E-3</v>
      </c>
      <c r="AA51" s="419">
        <f t="shared" ca="1" si="0"/>
        <v>0.11138878167765999</v>
      </c>
      <c r="AB51" s="421">
        <f t="shared" ca="1" si="1"/>
        <v>2.0449616597827239E-2</v>
      </c>
      <c r="AC51" s="420">
        <f t="shared" ca="1" si="4"/>
        <v>-6.0601916481674018E-4</v>
      </c>
      <c r="AD51" s="221"/>
      <c r="AE51" s="221">
        <f t="shared" ca="1" si="2"/>
        <v>2.9162450439253602E-2</v>
      </c>
    </row>
    <row r="52" spans="1:31" customFormat="1" ht="15">
      <c r="A52" s="221"/>
      <c r="B52" s="269">
        <v>14</v>
      </c>
      <c r="C52" s="68" t="s">
        <v>518</v>
      </c>
      <c r="D52" s="248">
        <v>1</v>
      </c>
      <c r="E52" s="240"/>
      <c r="F52" s="226">
        <v>0.4</v>
      </c>
      <c r="G52" s="428">
        <v>100</v>
      </c>
      <c r="H52" s="379">
        <v>38</v>
      </c>
      <c r="I52" s="406">
        <f ca="1"/>
        <v>4.03226356926467E-5</v>
      </c>
      <c r="J52" s="406">
        <f ca="1"/>
        <v>6.0497805367071397E-4</v>
      </c>
      <c r="K52" s="406">
        <f ca="1"/>
        <v>6.6651402390530495E-2</v>
      </c>
      <c r="L52" s="406">
        <f ca="1"/>
        <v>6.6651402390530495E-2</v>
      </c>
      <c r="M52" s="406">
        <f ca="1"/>
        <v>-1.4376286119984101E-4</v>
      </c>
      <c r="N52" s="406" t="str">
        <f ca="1"/>
        <v>ANHEUSER-BUSCH INBEV</v>
      </c>
      <c r="O52" s="406">
        <f ca="1"/>
        <v>0.86519794723906995</v>
      </c>
      <c r="P52" s="406">
        <f ca="1"/>
        <v>0.76989123499454704</v>
      </c>
      <c r="Q52" s="406">
        <f ca="1"/>
        <v>1.12379243705145</v>
      </c>
      <c r="R52" s="444">
        <f ca="1"/>
        <v>1.12379243705145</v>
      </c>
      <c r="S52" s="436"/>
      <c r="T52" s="415" cm="1">
        <f t="array" aca="1" ref="T52:X52" ca="1">IF(AND($U$12,B76&lt;=$C$17,C76&lt;&gt;""),TRANSPOSE(INDEX(getcds(C76,$C$6,G76/10000,F76,D76,$C$13,$C$14,$C$15,$C$8,,,TRUE,TRUE,FALSE,$C$29:$C$31,$C$33),{1;2;3;4;5})),"")</f>
        <v>-1.9891234994547102E-2</v>
      </c>
      <c r="U52" s="416">
        <f ca="1"/>
        <v>3.4075999806839702E-2</v>
      </c>
      <c r="V52" s="416">
        <f ca="1"/>
        <v>5.39672348013868E-2</v>
      </c>
      <c r="W52" s="417">
        <f ca="1"/>
        <v>6.3142015580839204E-3</v>
      </c>
      <c r="X52" s="418">
        <f ca="1"/>
        <v>5.3967234801386796</v>
      </c>
      <c r="Y52" s="419">
        <f t="shared" ca="1" si="5"/>
        <v>3.9753070007372632E-2</v>
      </c>
      <c r="Z52" s="420">
        <f t="shared" ca="1" si="3"/>
        <v>-1.3546256058925158E-3</v>
      </c>
      <c r="AA52" s="419">
        <f t="shared" ca="1" si="0"/>
        <v>2.2217134130176831E-2</v>
      </c>
      <c r="AB52" s="421">
        <f t="shared" ca="1" si="1"/>
        <v>5.998491480179724E-3</v>
      </c>
      <c r="AC52" s="420">
        <f t="shared" ca="1" si="4"/>
        <v>-3.7853552916421949E-5</v>
      </c>
      <c r="AD52" s="221"/>
      <c r="AE52" s="221">
        <f t="shared" ca="1" si="2"/>
        <v>7.2555749542837691E-3</v>
      </c>
    </row>
    <row r="53" spans="1:31" customFormat="1" ht="15">
      <c r="A53" s="221"/>
      <c r="B53" s="269">
        <v>15</v>
      </c>
      <c r="C53" s="68" t="s">
        <v>519</v>
      </c>
      <c r="D53" s="248">
        <v>1</v>
      </c>
      <c r="E53" s="240"/>
      <c r="F53" s="226">
        <v>0.4</v>
      </c>
      <c r="G53" s="428">
        <v>100</v>
      </c>
      <c r="H53" s="379">
        <v>39</v>
      </c>
      <c r="I53" s="406">
        <f ca="1"/>
        <v>8.2664891334864796E-5</v>
      </c>
      <c r="J53" s="406">
        <f ca="1"/>
        <v>5.8796014222524797E-4</v>
      </c>
      <c r="K53" s="406">
        <f ca="1"/>
        <v>0.14059608024109199</v>
      </c>
      <c r="L53" s="406">
        <f ca="1"/>
        <v>0.14059608024109199</v>
      </c>
      <c r="M53" s="406">
        <f ca="1"/>
        <v>-3.8974917825028898E-4</v>
      </c>
      <c r="N53" s="406" t="str">
        <f ca="1"/>
        <v>BRITISH AMERICAN TOBACCO P.L.C.</v>
      </c>
      <c r="O53" s="406">
        <f ca="1"/>
        <v>0.86395387510402</v>
      </c>
      <c r="P53" s="406">
        <f ca="1"/>
        <v>0.74559682742545397</v>
      </c>
      <c r="Q53" s="406">
        <f ca="1"/>
        <v>1.1587413509889199</v>
      </c>
      <c r="R53" s="444">
        <f ca="1"/>
        <v>1.1587413509889199</v>
      </c>
      <c r="S53" s="436"/>
      <c r="T53" s="415" cm="1">
        <f t="array" aca="1" ref="T53:X53" ca="1">IF(AND($U$12,B77&lt;=$C$17,C77&lt;&gt;""),TRANSPOSE(INDEX(getcds(C77,$C$6,G77/10000,F77,D77,$C$13,$C$14,$C$15,$C$8,,,TRUE,TRUE,FALSE,$C$29:$C$31,$C$33),{1;2;3;4;5})),"")</f>
        <v>4.4031725745455998E-3</v>
      </c>
      <c r="U53" s="416">
        <f ca="1"/>
        <v>5.7546369765371398E-2</v>
      </c>
      <c r="V53" s="416">
        <f ca="1"/>
        <v>5.3143197190825803E-2</v>
      </c>
      <c r="W53" s="417">
        <f ca="1"/>
        <v>1.0828548677403601E-2</v>
      </c>
      <c r="X53" s="418">
        <f ca="1"/>
        <v>5.3143197190825804</v>
      </c>
      <c r="Y53" s="419">
        <f t="shared" ca="1" si="5"/>
        <v>3.9753070007372632E-2</v>
      </c>
      <c r="Z53" s="420">
        <f t="shared" ca="1" si="3"/>
        <v>-2.287644865952967E-3</v>
      </c>
      <c r="AA53" s="419">
        <f t="shared" ca="1" si="0"/>
        <v>4.6865360080363995E-2</v>
      </c>
      <c r="AB53" s="421">
        <f t="shared" ca="1" si="1"/>
        <v>1.0287121243533421E-2</v>
      </c>
      <c r="AC53" s="420">
        <f t="shared" ca="1" si="4"/>
        <v>-1.3484656701859545E-4</v>
      </c>
      <c r="AD53" s="221"/>
      <c r="AE53" s="221">
        <f t="shared" ca="1" si="2"/>
        <v>1.1274734330159797E-2</v>
      </c>
    </row>
    <row r="54" spans="1:31" customFormat="1" ht="15">
      <c r="A54" s="221"/>
      <c r="B54" s="269">
        <v>16</v>
      </c>
      <c r="C54" s="68" t="s">
        <v>535</v>
      </c>
      <c r="D54" s="248">
        <v>1</v>
      </c>
      <c r="E54" s="240"/>
      <c r="F54" s="226">
        <v>0.4</v>
      </c>
      <c r="G54" s="428">
        <v>100</v>
      </c>
      <c r="H54" s="379">
        <v>40</v>
      </c>
      <c r="I54" s="406">
        <f ca="1"/>
        <v>2.5834299921534399E-5</v>
      </c>
      <c r="J54" s="406">
        <f ca="1"/>
        <v>6.16678074973559E-4</v>
      </c>
      <c r="K54" s="406">
        <f ca="1"/>
        <v>4.1892684319354299E-2</v>
      </c>
      <c r="L54" s="406">
        <f ca="1"/>
        <v>4.1892684319354299E-2</v>
      </c>
      <c r="M54" s="406">
        <f ca="1"/>
        <v>-7.4859430069382704E-5</v>
      </c>
      <c r="N54" s="406" t="str">
        <f ca="1"/>
        <v>CARLSBERG BREWERIES A/S</v>
      </c>
      <c r="O54" s="406">
        <f ca="1"/>
        <v>0.86542885230903999</v>
      </c>
      <c r="P54" s="406">
        <f ca="1"/>
        <v>0.77932469778872704</v>
      </c>
      <c r="Q54" s="406">
        <f ca="1"/>
        <v>1.1104855970362899</v>
      </c>
      <c r="R54" s="444">
        <f ca="1"/>
        <v>1.1104855970362899</v>
      </c>
      <c r="S54" s="436"/>
      <c r="T54" s="415" cm="1">
        <f t="array" aca="1" ref="T54:X54" ca="1">IF(AND($U$12,B78&lt;=$C$17,C78&lt;&gt;""),TRANSPOSE(INDEX(getcds(C78,$C$6,G78/10000,F78,D78,$C$13,$C$14,$C$15,$C$8,,,TRUE,TRUE,FALSE,$C$29:$C$31,$C$33),{1;2;3;4;5})),"")</f>
        <v>-2.9324697788726602E-2</v>
      </c>
      <c r="U54" s="416">
        <f ca="1"/>
        <v>2.4978441314391499E-2</v>
      </c>
      <c r="V54" s="416">
        <f ca="1"/>
        <v>5.4303139103118098E-2</v>
      </c>
      <c r="W54" s="417">
        <f ca="1"/>
        <v>4.5998153563386202E-3</v>
      </c>
      <c r="X54" s="418">
        <f ca="1"/>
        <v>5.4303139103118099</v>
      </c>
      <c r="Y54" s="419">
        <f t="shared" ca="1" si="5"/>
        <v>3.9753070007372632E-2</v>
      </c>
      <c r="Z54" s="420">
        <f t="shared" ca="1" si="3"/>
        <v>-9.9296972624605354E-4</v>
      </c>
      <c r="AA54" s="419">
        <f t="shared" ca="1" si="0"/>
        <v>1.3964228106451433E-2</v>
      </c>
      <c r="AB54" s="421">
        <f t="shared" ca="1" si="1"/>
        <v>4.3698245885216893E-3</v>
      </c>
      <c r="AC54" s="420">
        <f t="shared" ca="1" si="4"/>
        <v>-1.7440232612888653E-5</v>
      </c>
      <c r="AD54" s="221"/>
      <c r="AE54" s="221">
        <f t="shared" ca="1" si="2"/>
        <v>4.9938850417455922E-3</v>
      </c>
    </row>
    <row r="55" spans="1:31" customFormat="1" ht="15">
      <c r="A55" s="221"/>
      <c r="B55" s="269">
        <v>17</v>
      </c>
      <c r="C55" s="68" t="s">
        <v>521</v>
      </c>
      <c r="D55" s="248">
        <v>1</v>
      </c>
      <c r="E55" s="240"/>
      <c r="F55" s="226">
        <v>0.4</v>
      </c>
      <c r="G55" s="428">
        <v>100</v>
      </c>
      <c r="H55" s="379">
        <v>41</v>
      </c>
      <c r="I55" s="406">
        <f ca="1"/>
        <v>5.9268289458085399E-5</v>
      </c>
      <c r="J55" s="406">
        <f ca="1"/>
        <v>6.0047431828002304E-4</v>
      </c>
      <c r="K55" s="406">
        <f ca="1"/>
        <v>9.87024551322217E-2</v>
      </c>
      <c r="L55" s="406">
        <f ca="1"/>
        <v>9.87024551322217E-2</v>
      </c>
      <c r="M55" s="406">
        <f ca="1"/>
        <v>-2.4762629128356501E-4</v>
      </c>
      <c r="N55" s="406" t="str">
        <f ca="1"/>
        <v>CARREFOUR</v>
      </c>
      <c r="O55" s="406">
        <f ca="1"/>
        <v>0.86476040395835996</v>
      </c>
      <c r="P55" s="406">
        <f ca="1"/>
        <v>0.75854967236641702</v>
      </c>
      <c r="Q55" s="406">
        <f ca="1"/>
        <v>1.1400181628984201</v>
      </c>
      <c r="R55" s="444">
        <f ca="1"/>
        <v>1.1400181628984201</v>
      </c>
      <c r="S55" s="436"/>
      <c r="T55" s="415" cm="1">
        <f t="array" aca="1" ref="T55:X55" ca="1">IF(AND($U$12,B79&lt;=$C$17,C79&lt;&gt;""),TRANSPOSE(INDEX(getcds(C79,$C$6,G79/10000,F79,D79,$C$13,$C$14,$C$15,$C$8,,,TRUE,TRUE,FALSE,$C$29:$C$31,$C$33),{1;2;3;4;5})),"")</f>
        <v>-8.5496723664172901E-3</v>
      </c>
      <c r="U55" s="416">
        <f ca="1"/>
        <v>4.5091235648384603E-2</v>
      </c>
      <c r="V55" s="416">
        <f ca="1"/>
        <v>5.3640908014801897E-2</v>
      </c>
      <c r="W55" s="417">
        <f ca="1"/>
        <v>8.4061283295096198E-3</v>
      </c>
      <c r="X55" s="418">
        <f ca="1"/>
        <v>5.3640908014801898</v>
      </c>
      <c r="Y55" s="419">
        <f t="shared" ca="1" si="5"/>
        <v>3.9753070007372632E-2</v>
      </c>
      <c r="Z55" s="420">
        <f t="shared" ca="1" si="3"/>
        <v>-1.7925150474491689E-3</v>
      </c>
      <c r="AA55" s="419">
        <f t="shared" ca="1" si="0"/>
        <v>3.2900818377407236E-2</v>
      </c>
      <c r="AB55" s="421">
        <f t="shared" ca="1" si="1"/>
        <v>7.9858219130341385E-3</v>
      </c>
      <c r="AC55" s="420">
        <f t="shared" ca="1" si="4"/>
        <v>-7.4176927724018649E-5</v>
      </c>
      <c r="AD55" s="221"/>
      <c r="AE55" s="221">
        <f t="shared" ca="1" si="2"/>
        <v>8.2921187950490555E-3</v>
      </c>
    </row>
    <row r="56" spans="1:31" customFormat="1" ht="15">
      <c r="A56" s="221"/>
      <c r="B56" s="269">
        <v>18</v>
      </c>
      <c r="C56" s="68" t="s">
        <v>536</v>
      </c>
      <c r="D56" s="248">
        <v>1</v>
      </c>
      <c r="E56" s="240"/>
      <c r="F56" s="226">
        <v>0.4</v>
      </c>
      <c r="G56" s="428">
        <v>100</v>
      </c>
      <c r="H56" s="379">
        <v>42</v>
      </c>
      <c r="I56" s="406">
        <f ca="1"/>
        <v>1.8831371349561402E-5</v>
      </c>
      <c r="J56" s="406">
        <f ca="1"/>
        <v>6.2226150021057601E-4</v>
      </c>
      <c r="K56" s="406">
        <f ca="1"/>
        <v>3.0262793605564199E-2</v>
      </c>
      <c r="L56" s="406">
        <f ca="1"/>
        <v>3.0262793605564199E-2</v>
      </c>
      <c r="M56" s="406">
        <f ca="1"/>
        <v>-4.7120301553906801E-5</v>
      </c>
      <c r="N56" s="406" t="str">
        <f ca="1"/>
        <v>COMPASS GROUP PLC</v>
      </c>
      <c r="O56" s="406">
        <f ca="1"/>
        <v>0.86550473067344003</v>
      </c>
      <c r="P56" s="406">
        <f ca="1"/>
        <v>0.78420763370867796</v>
      </c>
      <c r="Q56" s="406">
        <f ca="1"/>
        <v>1.1036678214675</v>
      </c>
      <c r="R56" s="444">
        <f ca="1"/>
        <v>1.1036678214675</v>
      </c>
      <c r="S56" s="436"/>
      <c r="T56" s="415" cm="1">
        <f t="array" aca="1" ref="T56:X56" ca="1">IF(AND($U$12,B80&lt;=$C$17,C80&lt;&gt;""),TRANSPOSE(INDEX(getcds(C80,$C$6,G80/10000,F80,D80,$C$13,$C$14,$C$15,$C$8,,,TRUE,TRUE,FALSE,$C$29:$C$31,$C$33),{1;2;3;4;5})),"")</f>
        <v>-3.4207633708677597E-2</v>
      </c>
      <c r="U56" s="416">
        <f ca="1"/>
        <v>2.0300236898686399E-2</v>
      </c>
      <c r="V56" s="416">
        <f ca="1"/>
        <v>5.4507870607363999E-2</v>
      </c>
      <c r="W56" s="417">
        <f ca="1"/>
        <v>3.7242762691859499E-3</v>
      </c>
      <c r="X56" s="418">
        <f ca="1"/>
        <v>5.4507870607364</v>
      </c>
      <c r="Y56" s="419">
        <f t="shared" ca="1" si="5"/>
        <v>3.9753070007372632E-2</v>
      </c>
      <c r="Z56" s="420">
        <f t="shared" ca="1" si="3"/>
        <v>-8.0699673859972992E-4</v>
      </c>
      <c r="AA56" s="419">
        <f t="shared" ca="1" si="0"/>
        <v>1.0087597868521399E-2</v>
      </c>
      <c r="AB56" s="421">
        <f t="shared" ca="1" si="1"/>
        <v>3.5380624557266524E-3</v>
      </c>
      <c r="AC56" s="420">
        <f t="shared" ca="1" si="4"/>
        <v>-1.0239031323483424E-5</v>
      </c>
      <c r="AD56" s="221"/>
      <c r="AE56" s="221">
        <f t="shared" ca="1" si="2"/>
        <v>3.768021191528634E-3</v>
      </c>
    </row>
    <row r="57" spans="1:31" customFormat="1" ht="15">
      <c r="A57" s="221"/>
      <c r="B57" s="269">
        <v>19</v>
      </c>
      <c r="C57" s="68" t="s">
        <v>537</v>
      </c>
      <c r="D57" s="248">
        <v>1</v>
      </c>
      <c r="E57" s="240"/>
      <c r="F57" s="226">
        <v>0.4</v>
      </c>
      <c r="G57" s="428">
        <v>100</v>
      </c>
      <c r="H57" s="379">
        <v>43</v>
      </c>
      <c r="I57" s="406">
        <f ca="1"/>
        <v>3.2183889573227397E-5</v>
      </c>
      <c r="J57" s="406">
        <f ca="1"/>
        <v>6.1177786680732197E-4</v>
      </c>
      <c r="K57" s="406">
        <f ca="1"/>
        <v>5.2607149292904401E-2</v>
      </c>
      <c r="L57" s="406">
        <f ca="1"/>
        <v>5.2607149292904401E-2</v>
      </c>
      <c r="M57" s="406">
        <f ca="1"/>
        <v>-1.02908363265506E-4</v>
      </c>
      <c r="N57" s="406" t="str">
        <f ca="1"/>
        <v>DANONE</v>
      </c>
      <c r="O57" s="406">
        <f ca="1"/>
        <v>0.86534015165434996</v>
      </c>
      <c r="P57" s="406">
        <f ca="1"/>
        <v>0.77521098458083904</v>
      </c>
      <c r="Q57" s="406">
        <f ca="1"/>
        <v>1.11626404793818</v>
      </c>
      <c r="R57" s="444">
        <f ca="1"/>
        <v>1.11626404793818</v>
      </c>
      <c r="S57" s="436"/>
      <c r="T57" s="415" cm="1">
        <f t="array" aca="1" ref="T57:X57" ca="1">IF(AND($U$12,B81&lt;=$C$17,C81&lt;&gt;""),TRANSPOSE(INDEX(getcds(C81,$C$6,G81/10000,F81,D81,$C$13,$C$14,$C$15,$C$8,,,TRUE,TRUE,FALSE,$C$29:$C$31,$C$33),{1;2;3;4;5})),"")</f>
        <v>-2.5210984580839198E-2</v>
      </c>
      <c r="U57" s="416">
        <f ca="1"/>
        <v>2.8917717119788501E-2</v>
      </c>
      <c r="V57" s="416">
        <f ca="1"/>
        <v>5.4128701700627703E-2</v>
      </c>
      <c r="W57" s="417">
        <f ca="1"/>
        <v>5.3423999119219896E-3</v>
      </c>
      <c r="X57" s="418">
        <f ca="1"/>
        <v>5.4128701700627699</v>
      </c>
      <c r="Y57" s="419">
        <f t="shared" ca="1" si="5"/>
        <v>3.9753070007372632E-2</v>
      </c>
      <c r="Z57" s="420">
        <f t="shared" ca="1" si="3"/>
        <v>-1.1495680331163507E-3</v>
      </c>
      <c r="AA57" s="419">
        <f t="shared" ca="1" si="0"/>
        <v>1.7535716430968133E-2</v>
      </c>
      <c r="AB57" s="421">
        <f t="shared" ca="1" si="1"/>
        <v>5.0752799163258895E-3</v>
      </c>
      <c r="AC57" s="420">
        <f t="shared" ca="1" si="4"/>
        <v>-2.5354644362178244E-5</v>
      </c>
      <c r="AD57" s="221"/>
      <c r="AE57" s="221">
        <f t="shared" ca="1" si="2"/>
        <v>6.2428908017733301E-3</v>
      </c>
    </row>
    <row r="58" spans="1:31" customFormat="1" ht="15">
      <c r="A58" s="221"/>
      <c r="B58" s="269">
        <v>20</v>
      </c>
      <c r="C58" s="68" t="s">
        <v>624</v>
      </c>
      <c r="D58" s="248">
        <v>1</v>
      </c>
      <c r="E58" s="240"/>
      <c r="F58" s="226">
        <v>0.4</v>
      </c>
      <c r="G58" s="428">
        <v>100</v>
      </c>
      <c r="H58" s="379">
        <v>44</v>
      </c>
      <c r="I58" s="406">
        <f ca="1"/>
        <v>3.5539316457944301E-5</v>
      </c>
      <c r="J58" s="406">
        <f ca="1"/>
        <v>5.8705485235266397E-4</v>
      </c>
      <c r="K58" s="406">
        <f ca="1"/>
        <v>6.0538323319393399E-2</v>
      </c>
      <c r="L58" s="406">
        <f ca="1"/>
        <v>6.0538323319393399E-2</v>
      </c>
      <c r="M58" s="406">
        <f ca="1"/>
        <v>-1.4940739615667501E-4</v>
      </c>
      <c r="N58" s="406" t="str">
        <f ca="1"/>
        <v>DIAGEO PLC</v>
      </c>
      <c r="O58" s="406">
        <f ca="1"/>
        <v>0.86384598980431004</v>
      </c>
      <c r="P58" s="406">
        <f ca="1"/>
        <v>0.77879850900798397</v>
      </c>
      <c r="Q58" s="406">
        <f ca="1"/>
        <v>1.10920344583692</v>
      </c>
      <c r="R58" s="444">
        <f ca="1"/>
        <v>1.10920344583692</v>
      </c>
      <c r="S58" s="436"/>
      <c r="T58" s="415" cm="1">
        <f t="array" aca="1" ref="T58:X58" ca="1">IF(AND($U$12,B82&lt;=$C$17,C82&lt;&gt;""),TRANSPOSE(INDEX(getcds(C82,$C$6,G82/10000,F82,D82,$C$13,$C$14,$C$15,$C$8,,,TRUE,TRUE,FALSE,$C$29:$C$31,$C$33),{1;2;3;4;5})),"")</f>
        <v>-2.8798509007984099E-2</v>
      </c>
      <c r="U58" s="416">
        <f ca="1"/>
        <v>2.2292488411186102E-2</v>
      </c>
      <c r="V58" s="416">
        <f ca="1"/>
        <v>5.1090997419170198E-2</v>
      </c>
      <c r="W58" s="417">
        <f ca="1"/>
        <v>4.3632909000170701E-3</v>
      </c>
      <c r="X58" s="418">
        <f ca="1"/>
        <v>5.1090997419170199</v>
      </c>
      <c r="Y58" s="419">
        <f t="shared" ca="1" si="5"/>
        <v>3.9753070007372632E-2</v>
      </c>
      <c r="Z58" s="420">
        <f t="shared" ca="1" si="3"/>
        <v>-8.8619485244842389E-4</v>
      </c>
      <c r="AA58" s="419">
        <f t="shared" ca="1" si="0"/>
        <v>2.0179441106464465E-2</v>
      </c>
      <c r="AB58" s="421">
        <f t="shared" ca="1" si="1"/>
        <v>4.1451263550162168E-3</v>
      </c>
      <c r="AC58" s="420">
        <f t="shared" ca="1" si="4"/>
        <v>-2.249249785050355E-5</v>
      </c>
      <c r="AD58" s="221"/>
      <c r="AE58" s="221">
        <f t="shared" ca="1" si="2"/>
        <v>4.8851501161186334E-3</v>
      </c>
    </row>
    <row r="59" spans="1:31" customFormat="1" ht="15">
      <c r="A59" s="221"/>
      <c r="B59" s="269">
        <v>21</v>
      </c>
      <c r="C59" s="68" t="s">
        <v>522</v>
      </c>
      <c r="D59" s="248">
        <v>1</v>
      </c>
      <c r="E59" s="240"/>
      <c r="F59" s="226">
        <v>0.4</v>
      </c>
      <c r="G59" s="428">
        <v>100</v>
      </c>
      <c r="H59" s="379">
        <v>45</v>
      </c>
      <c r="I59" s="406">
        <f ca="1"/>
        <v>2.5107012235706002E-4</v>
      </c>
      <c r="J59" s="406">
        <f ca="1"/>
        <v>4.7562323051888501E-4</v>
      </c>
      <c r="K59" s="406">
        <f ca="1"/>
        <v>0.52787607132467695</v>
      </c>
      <c r="L59" s="406">
        <f ca="1"/>
        <v>0.52787607132467695</v>
      </c>
      <c r="M59" s="406">
        <f ca="1"/>
        <v>-1.41450626406907E-3</v>
      </c>
      <c r="N59" s="406" t="str">
        <f ca="1"/>
        <v>ELO</v>
      </c>
      <c r="O59" s="406">
        <f ca="1"/>
        <v>0.83884724450796</v>
      </c>
      <c r="P59" s="406">
        <f ca="1"/>
        <v>0.636301775425405</v>
      </c>
      <c r="Q59" s="406">
        <f ca="1"/>
        <v>1.31831668070884</v>
      </c>
      <c r="R59" s="444">
        <f ca="1"/>
        <v>1.31831668070884</v>
      </c>
      <c r="S59" s="436"/>
      <c r="T59" s="415" cm="1">
        <f t="array" aca="1" ref="T59:X59" ca="1">IF(AND($U$12,B83&lt;=$C$17,C83&lt;&gt;""),TRANSPOSE(INDEX(getcds(C83,$C$6,G83/10000,F83,D83,$C$13,$C$14,$C$15,$C$8,,,TRUE,TRUE,FALSE,$C$29:$C$31,$C$33),{1;2;3;4;5})),"")</f>
        <v>0.113698224574595</v>
      </c>
      <c r="U59" s="416">
        <f ca="1"/>
        <v>0.16180556657849199</v>
      </c>
      <c r="V59" s="416">
        <f ca="1"/>
        <v>4.8107342003896797E-2</v>
      </c>
      <c r="W59" s="417">
        <f ca="1"/>
        <v>3.3634276981128003E-2</v>
      </c>
      <c r="X59" s="418">
        <f ca="1"/>
        <v>4.81073420038968</v>
      </c>
      <c r="Y59" s="419">
        <f t="shared" ca="1" si="5"/>
        <v>3.9753070007372632E-2</v>
      </c>
      <c r="Z59" s="420">
        <f t="shared" ca="1" si="3"/>
        <v>-6.4322680157773791E-3</v>
      </c>
      <c r="AA59" s="419">
        <f t="shared" ca="1" si="0"/>
        <v>0.17595869044155898</v>
      </c>
      <c r="AB59" s="421">
        <f t="shared" ca="1" si="1"/>
        <v>3.19525631320716E-2</v>
      </c>
      <c r="AC59" s="420">
        <f t="shared" ca="1" si="4"/>
        <v>-1.4235547800652978E-3</v>
      </c>
      <c r="AD59" s="221"/>
      <c r="AE59" s="221">
        <f t="shared" ca="1" si="2"/>
        <v>4.8823972443897523E-2</v>
      </c>
    </row>
    <row r="60" spans="1:31" customFormat="1" ht="15">
      <c r="A60" s="221"/>
      <c r="B60" s="269">
        <v>22</v>
      </c>
      <c r="C60" s="68" t="s">
        <v>625</v>
      </c>
      <c r="D60" s="248">
        <v>1</v>
      </c>
      <c r="E60" s="240"/>
      <c r="F60" s="226">
        <v>0.4</v>
      </c>
      <c r="G60" s="428">
        <v>100</v>
      </c>
      <c r="H60" s="379">
        <v>46</v>
      </c>
      <c r="I60" s="406">
        <f ca="1"/>
        <v>2.7687537913170201E-5</v>
      </c>
      <c r="J60" s="406">
        <f ca="1"/>
        <v>6.15143585127277E-4</v>
      </c>
      <c r="K60" s="406">
        <f ca="1"/>
        <v>4.5009878315550499E-2</v>
      </c>
      <c r="L60" s="406">
        <f ca="1"/>
        <v>4.5009878315550499E-2</v>
      </c>
      <c r="M60" s="406">
        <f ca="1"/>
        <v>-8.3007024427468295E-5</v>
      </c>
      <c r="N60" s="406" t="str">
        <f ca="1"/>
        <v>HEINEKEN N.V.</v>
      </c>
      <c r="O60" s="406">
        <f ca="1"/>
        <v>0.86540487612119998</v>
      </c>
      <c r="P60" s="406">
        <f ca="1"/>
        <v>0.77803886640498299</v>
      </c>
      <c r="Q60" s="406">
        <f ca="1"/>
        <v>1.1122900326559499</v>
      </c>
      <c r="R60" s="444">
        <f ca="1"/>
        <v>1.1122900326559499</v>
      </c>
      <c r="S60" s="436"/>
      <c r="T60" s="415" cm="1">
        <f t="array" aca="1" ref="T60:X60" ca="1">IF(AND($U$12,B84&lt;=$C$17,C84&lt;&gt;""),TRANSPOSE(INDEX(getcds(C84,$C$6,G84/10000,F84,D84,$C$13,$C$14,$C$15,$C$8,,,TRUE,TRUE,FALSE,$C$29:$C$31,$C$33),{1;2;3;4;5})),"")</f>
        <v>-2.8038866404982699E-2</v>
      </c>
      <c r="U60" s="416">
        <f ca="1"/>
        <v>2.6223969496863699E-2</v>
      </c>
      <c r="V60" s="416">
        <f ca="1"/>
        <v>5.4262835901846398E-2</v>
      </c>
      <c r="W60" s="417">
        <f ca="1"/>
        <v>4.83276796374945E-3</v>
      </c>
      <c r="X60" s="418">
        <f ca="1"/>
        <v>5.4262835901846396</v>
      </c>
      <c r="Y60" s="419">
        <f t="shared" ca="1" si="5"/>
        <v>3.9753070007372632E-2</v>
      </c>
      <c r="Z60" s="420">
        <f t="shared" ca="1" si="3"/>
        <v>-1.0424832952800262E-3</v>
      </c>
      <c r="AA60" s="419">
        <f t="shared" ca="1" si="0"/>
        <v>1.5003292771850167E-2</v>
      </c>
      <c r="AB60" s="421">
        <f t="shared" ca="1" si="1"/>
        <v>4.5911295655619777E-3</v>
      </c>
      <c r="AC60" s="420">
        <f t="shared" ca="1" si="4"/>
        <v>-1.9672294600075689E-5</v>
      </c>
      <c r="AD60" s="221"/>
      <c r="AE60" s="221">
        <f t="shared" ca="1" si="2"/>
        <v>5.2513348154325417E-3</v>
      </c>
    </row>
    <row r="61" spans="1:31" customFormat="1" ht="15">
      <c r="A61" s="221"/>
      <c r="B61" s="269">
        <v>23</v>
      </c>
      <c r="C61" s="68" t="s">
        <v>538</v>
      </c>
      <c r="D61" s="248">
        <v>1</v>
      </c>
      <c r="E61" s="240"/>
      <c r="F61" s="226">
        <v>0.4</v>
      </c>
      <c r="G61" s="428">
        <v>100</v>
      </c>
      <c r="H61" s="379">
        <v>47</v>
      </c>
      <c r="I61" s="406">
        <f ca="1"/>
        <v>1.5346563998708202E-5</v>
      </c>
      <c r="J61" s="406">
        <f ca="1"/>
        <v>6.2554446295436399E-4</v>
      </c>
      <c r="K61" s="406">
        <f ca="1"/>
        <v>2.4533130588716898E-2</v>
      </c>
      <c r="L61" s="406">
        <f ca="1"/>
        <v>2.4533130588716898E-2</v>
      </c>
      <c r="M61" s="406">
        <f ca="1"/>
        <v>-3.3645988719319701E-5</v>
      </c>
      <c r="N61" s="406" t="str">
        <f ca="1"/>
        <v>HENKEL AG &amp; CO. KGAA</v>
      </c>
      <c r="O61" s="406">
        <f ca="1"/>
        <v>0.86553419871850001</v>
      </c>
      <c r="P61" s="406">
        <f ca="1"/>
        <v>0.78736327714173404</v>
      </c>
      <c r="Q61" s="406">
        <f ca="1"/>
        <v>1.0992818992784901</v>
      </c>
      <c r="R61" s="444">
        <f ca="1"/>
        <v>1.0992818992784901</v>
      </c>
      <c r="S61" s="436"/>
      <c r="T61" s="415" cm="1">
        <f t="array" aca="1" ref="T61:X61" ca="1">IF(AND($U$12,B85&lt;=$C$17,C85&lt;&gt;""),TRANSPOSE(INDEX(getcds(C85,$C$6,G85/10000,F85,D85,$C$13,$C$14,$C$15,$C$8,,,TRUE,TRUE,FALSE,$C$29:$C$31,$C$33),{1;2;3;4;5})),"")</f>
        <v>-3.7363277141734097E-2</v>
      </c>
      <c r="U61" s="416">
        <f ca="1"/>
        <v>1.7208764446688701E-2</v>
      </c>
      <c r="V61" s="416">
        <f ca="1"/>
        <v>5.4572041588422798E-2</v>
      </c>
      <c r="W61" s="417">
        <f ca="1"/>
        <v>3.1534030880639502E-3</v>
      </c>
      <c r="X61" s="418">
        <f ca="1"/>
        <v>5.4572041588422797</v>
      </c>
      <c r="Y61" s="419">
        <f t="shared" ca="1" si="5"/>
        <v>3.9753070007372632E-2</v>
      </c>
      <c r="Z61" s="420">
        <f t="shared" ca="1" si="3"/>
        <v>-6.8410121778960016E-4</v>
      </c>
      <c r="AA61" s="419">
        <f t="shared" ca="1" si="0"/>
        <v>8.1777101962389655E-3</v>
      </c>
      <c r="AB61" s="421">
        <f t="shared" ca="1" si="1"/>
        <v>2.9957329336607525E-3</v>
      </c>
      <c r="AC61" s="420">
        <f t="shared" ca="1" si="4"/>
        <v>-7.0364144240180349E-6</v>
      </c>
      <c r="AD61" s="221"/>
      <c r="AE61" s="221">
        <f t="shared" ca="1" si="2"/>
        <v>3.8482961463496171E-3</v>
      </c>
    </row>
    <row r="62" spans="1:31" customFormat="1" ht="15">
      <c r="A62" s="221"/>
      <c r="B62" s="269">
        <v>24</v>
      </c>
      <c r="C62" s="68" t="s">
        <v>523</v>
      </c>
      <c r="D62" s="248">
        <v>1</v>
      </c>
      <c r="E62" s="240"/>
      <c r="F62" s="226">
        <v>0.4</v>
      </c>
      <c r="G62" s="428">
        <v>100</v>
      </c>
      <c r="H62" s="379">
        <v>48</v>
      </c>
      <c r="I62" s="406">
        <f ca="1"/>
        <v>9.5885479921031797E-5</v>
      </c>
      <c r="J62" s="406">
        <f ca="1"/>
        <v>5.8121761370448402E-4</v>
      </c>
      <c r="K62" s="406">
        <f ca="1"/>
        <v>0.164973458581013</v>
      </c>
      <c r="L62" s="406">
        <f ca="1"/>
        <v>0.164973458581013</v>
      </c>
      <c r="M62" s="406">
        <f ca="1"/>
        <v>-4.7469069510482201E-4</v>
      </c>
      <c r="N62" s="406" t="str">
        <f ca="1"/>
        <v>IMPERIAL BRANDS PLC</v>
      </c>
      <c r="O62" s="406">
        <f ca="1"/>
        <v>0.86335419294218996</v>
      </c>
      <c r="P62" s="406">
        <f ca="1"/>
        <v>0.73842422001910701</v>
      </c>
      <c r="Q62" s="406">
        <f ca="1"/>
        <v>1.1691845548076001</v>
      </c>
      <c r="R62" s="444">
        <f ca="1"/>
        <v>1.1691845548076001</v>
      </c>
      <c r="S62" s="436"/>
      <c r="T62" s="415" cm="1">
        <f t="array" aca="1" ref="T62:X62" ca="1">IF(AND($U$12,B86&lt;=$C$17,C86&lt;&gt;""),TRANSPOSE(INDEX(getcds(C86,$C$6,G86/10000,F86,D86,$C$13,$C$14,$C$15,$C$8,,,TRUE,TRUE,FALSE,$C$29:$C$31,$C$33),{1;2;3;4;5})),"")</f>
        <v>1.1575779980893101E-2</v>
      </c>
      <c r="U62" s="416">
        <f ca="1"/>
        <v>6.4460230057783605E-2</v>
      </c>
      <c r="V62" s="416">
        <f ca="1"/>
        <v>5.28844500768905E-2</v>
      </c>
      <c r="W62" s="417">
        <f ca="1"/>
        <v>1.2188881602070699E-2</v>
      </c>
      <c r="X62" s="418">
        <f ca="1"/>
        <v>5.2884450076890497</v>
      </c>
      <c r="Y62" s="419">
        <f t="shared" ca="1" si="5"/>
        <v>3.9753070007372632E-2</v>
      </c>
      <c r="Z62" s="420">
        <f t="shared" ca="1" si="3"/>
        <v>-2.5624920381784209E-3</v>
      </c>
      <c r="AA62" s="419">
        <f t="shared" ca="1" si="0"/>
        <v>5.4991152860337671E-2</v>
      </c>
      <c r="AB62" s="421">
        <f t="shared" ca="1" si="1"/>
        <v>1.1579437521967164E-2</v>
      </c>
      <c r="AC62" s="420">
        <f t="shared" ca="1" si="4"/>
        <v>-1.7723711822600598E-4</v>
      </c>
      <c r="AD62" s="221"/>
      <c r="AE62" s="221">
        <f t="shared" ca="1" si="2"/>
        <v>1.3018642395216594E-2</v>
      </c>
    </row>
    <row r="63" spans="1:31" customFormat="1" ht="15">
      <c r="A63" s="221"/>
      <c r="B63" s="269">
        <v>25</v>
      </c>
      <c r="C63" s="68" t="s">
        <v>539</v>
      </c>
      <c r="D63" s="248">
        <v>1</v>
      </c>
      <c r="E63" s="240"/>
      <c r="F63" s="226">
        <v>0.4</v>
      </c>
      <c r="G63" s="428">
        <v>100</v>
      </c>
      <c r="H63" s="379">
        <v>49</v>
      </c>
      <c r="I63" s="406">
        <f ca="1"/>
        <v>4.0343072035131701E-5</v>
      </c>
      <c r="J63" s="406">
        <f ca="1"/>
        <v>6.0552689143361801E-4</v>
      </c>
      <c r="K63" s="406">
        <f ca="1"/>
        <v>6.6624740545572297E-2</v>
      </c>
      <c r="L63" s="406">
        <f ca="1"/>
        <v>6.6624740545572297E-2</v>
      </c>
      <c r="M63" s="406">
        <f ca="1"/>
        <v>-1.4291846305650499E-4</v>
      </c>
      <c r="N63" s="406" t="str">
        <f ca="1"/>
        <v>KERING</v>
      </c>
      <c r="O63" s="406">
        <f ca="1"/>
        <v>0.86519796220890999</v>
      </c>
      <c r="P63" s="406">
        <f ca="1"/>
        <v>0.77006810442835405</v>
      </c>
      <c r="Q63" s="406">
        <f ca="1"/>
        <v>1.12353434356455</v>
      </c>
      <c r="R63" s="444">
        <f ca="1"/>
        <v>1.12353434356455</v>
      </c>
      <c r="S63" s="436"/>
      <c r="T63" s="415" cm="1">
        <f t="array" aca="1" ref="T63:X63" ca="1">IF(AND($U$12,B87&lt;=$C$17,C87&lt;&gt;""),TRANSPOSE(INDEX(getcds(C87,$C$6,G87/10000,F87,D87,$C$13,$C$14,$C$15,$C$8,,,TRUE,TRUE,FALSE,$C$29:$C$31,$C$33),{1;2;3;4;5})),"")</f>
        <v>-2.00681044283537E-2</v>
      </c>
      <c r="U63" s="416">
        <f ca="1"/>
        <v>3.38517490924264E-2</v>
      </c>
      <c r="V63" s="416">
        <f ca="1"/>
        <v>5.3919853520780103E-2</v>
      </c>
      <c r="W63" s="417">
        <f ca="1"/>
        <v>6.27816043294337E-3</v>
      </c>
      <c r="X63" s="418">
        <f ca="1"/>
        <v>5.3919853520780103</v>
      </c>
      <c r="Y63" s="419">
        <f t="shared" ca="1" si="5"/>
        <v>3.9753070007372632E-2</v>
      </c>
      <c r="Z63" s="420">
        <f t="shared" ca="1" si="3"/>
        <v>-1.3457109515432391E-3</v>
      </c>
      <c r="AA63" s="419">
        <f t="shared" ca="1" si="0"/>
        <v>2.2208246848524099E-2</v>
      </c>
      <c r="AB63" s="421">
        <f t="shared" ca="1" si="1"/>
        <v>5.9642524112962008E-3</v>
      </c>
      <c r="AC63" s="420">
        <f t="shared" ca="1" si="4"/>
        <v>-3.7589400004945429E-5</v>
      </c>
      <c r="AD63" s="221"/>
      <c r="AE63" s="221">
        <f t="shared" ca="1" si="2"/>
        <v>7.6231313995772593E-3</v>
      </c>
    </row>
    <row r="64" spans="1:31" customFormat="1" ht="15">
      <c r="A64" s="221"/>
      <c r="B64" s="269">
        <v>26</v>
      </c>
      <c r="C64" s="68" t="s">
        <v>524</v>
      </c>
      <c r="D64" s="248">
        <v>1</v>
      </c>
      <c r="E64" s="240"/>
      <c r="F64" s="226">
        <v>0.4</v>
      </c>
      <c r="G64" s="428">
        <v>100</v>
      </c>
      <c r="H64" s="379">
        <v>50</v>
      </c>
      <c r="I64" s="406">
        <f ca="1"/>
        <v>3.8943890803313502E-5</v>
      </c>
      <c r="J64" s="406">
        <f ca="1"/>
        <v>5.7983739558362796E-4</v>
      </c>
      <c r="K64" s="406">
        <f ca="1"/>
        <v>6.7163468758538805E-2</v>
      </c>
      <c r="L64" s="406">
        <f ca="1"/>
        <v>6.7163468758538805E-2</v>
      </c>
      <c r="M64" s="406">
        <f ca="1"/>
        <v>-1.6483509847789801E-4</v>
      </c>
      <c r="N64" s="406" t="str">
        <f ca="1"/>
        <v>KONINKLIJKE AHOLD DELHAIZE N.V.</v>
      </c>
      <c r="O64" s="406">
        <f ca="1"/>
        <v>0.86321897826660998</v>
      </c>
      <c r="P64" s="406">
        <f ca="1"/>
        <v>0.77632660176579604</v>
      </c>
      <c r="Q64" s="406">
        <f ca="1"/>
        <v>1.1119276040563</v>
      </c>
      <c r="R64" s="444">
        <f ca="1"/>
        <v>1.1119276040563</v>
      </c>
      <c r="S64" s="436"/>
      <c r="T64" s="415" cm="1">
        <f t="array" aca="1" ref="T64:X64" ca="1">IF(AND($U$12,B88&lt;=$C$17,C88&lt;&gt;""),TRANSPOSE(INDEX(getcds(C88,$C$6,G88/10000,F88,D88,$C$13,$C$14,$C$15,$C$8,,,TRUE,TRUE,FALSE,$C$29:$C$31,$C$33),{1;2;3;4;5})),"")</f>
        <v>-2.6326601765796501E-2</v>
      </c>
      <c r="U64" s="416">
        <f ca="1"/>
        <v>2.4186203021010801E-2</v>
      </c>
      <c r="V64" s="416">
        <f ca="1"/>
        <v>5.0512804786807301E-2</v>
      </c>
      <c r="W64" s="417">
        <f ca="1"/>
        <v>4.7881330532110198E-3</v>
      </c>
      <c r="X64" s="418">
        <f ca="1"/>
        <v>5.0512804786807299</v>
      </c>
      <c r="Y64" s="419">
        <f t="shared" ca="1" si="5"/>
        <v>3.9753070007372632E-2</v>
      </c>
      <c r="Z64" s="420">
        <f t="shared" ca="1" si="3"/>
        <v>-9.6147582190676925E-4</v>
      </c>
      <c r="AA64" s="419">
        <f t="shared" ca="1" si="0"/>
        <v>2.2387822919512936E-2</v>
      </c>
      <c r="AB64" s="421">
        <f t="shared" ca="1" si="1"/>
        <v>4.548726400550469E-3</v>
      </c>
      <c r="AC64" s="420">
        <f t="shared" ca="1" si="4"/>
        <v>-2.7073821516488889E-5</v>
      </c>
      <c r="AD64" s="221"/>
      <c r="AE64" s="221">
        <f t="shared" ca="1" si="2"/>
        <v>5.3600019350506E-3</v>
      </c>
    </row>
    <row r="65" spans="1:31" customFormat="1" ht="15">
      <c r="A65" s="221"/>
      <c r="B65" s="269">
        <v>27</v>
      </c>
      <c r="C65" s="68" t="s">
        <v>525</v>
      </c>
      <c r="D65" s="248">
        <v>1</v>
      </c>
      <c r="E65" s="240"/>
      <c r="F65" s="226">
        <v>0.4</v>
      </c>
      <c r="G65" s="428">
        <v>100</v>
      </c>
      <c r="H65" s="379">
        <v>51</v>
      </c>
      <c r="I65" s="406">
        <f ca="1"/>
        <v>5.0936673517592001E-5</v>
      </c>
      <c r="J65" s="406">
        <f ca="1"/>
        <v>5.8679101917933599E-4</v>
      </c>
      <c r="K65" s="406">
        <f ca="1"/>
        <v>8.6805475633949095E-2</v>
      </c>
      <c r="L65" s="406">
        <f ca="1"/>
        <v>8.6805475633949095E-2</v>
      </c>
      <c r="M65" s="406">
        <f ca="1"/>
        <v>-2.05323327183029E-4</v>
      </c>
      <c r="N65" s="406" t="str">
        <f ca="1"/>
        <v>KONINKLIJKE PHILIPS N.V.</v>
      </c>
      <c r="O65" s="406">
        <f ca="1"/>
        <v>0.86494442667041005</v>
      </c>
      <c r="P65" s="406">
        <f ca="1"/>
        <v>0.76301798679871202</v>
      </c>
      <c r="Q65" s="406">
        <f ca="1"/>
        <v>1.1335832727867099</v>
      </c>
      <c r="R65" s="444">
        <f ca="1"/>
        <v>1.1335832727867099</v>
      </c>
      <c r="S65" s="436"/>
      <c r="T65" s="415" cm="1">
        <f t="array" aca="1" ref="T65:X65" ca="1">IF(AND($U$12,B89&lt;=$C$17,C89&lt;&gt;""),TRANSPOSE(INDEX(getcds(C89,$C$6,G89/10000,F89,D89,$C$13,$C$14,$C$15,$C$8,,,TRUE,TRUE,FALSE,$C$29:$C$31,$C$33),{1;2;3;4;5})),"")</f>
        <v>-1.3017986798712401E-2</v>
      </c>
      <c r="U65" s="416">
        <f ca="1"/>
        <v>4.0671878619361702E-2</v>
      </c>
      <c r="V65" s="416">
        <f ca="1"/>
        <v>5.3689865418074099E-2</v>
      </c>
      <c r="W65" s="417">
        <f ca="1"/>
        <v>7.5753362953429899E-3</v>
      </c>
      <c r="X65" s="418">
        <f ca="1"/>
        <v>5.3689865418074101</v>
      </c>
      <c r="Y65" s="419">
        <f t="shared" ca="1" si="5"/>
        <v>3.9753070007372632E-2</v>
      </c>
      <c r="Z65" s="420">
        <f t="shared" ca="1" si="3"/>
        <v>-1.6168320380868485E-3</v>
      </c>
      <c r="AA65" s="419">
        <f t="shared" ca="1" si="0"/>
        <v>2.8935158544649699E-2</v>
      </c>
      <c r="AB65" s="421">
        <f t="shared" ca="1" si="1"/>
        <v>7.1965694805758403E-3</v>
      </c>
      <c r="AC65" s="420">
        <f t="shared" ca="1" si="4"/>
        <v>-5.8842362807998993E-5</v>
      </c>
      <c r="AD65" s="221"/>
      <c r="AE65" s="221">
        <f t="shared" ca="1" si="2"/>
        <v>9.0285439383687074E-3</v>
      </c>
    </row>
    <row r="66" spans="1:31" customFormat="1" ht="15">
      <c r="A66" s="221"/>
      <c r="B66" s="269">
        <v>28</v>
      </c>
      <c r="C66" s="68" t="s">
        <v>526</v>
      </c>
      <c r="D66" s="248">
        <v>1</v>
      </c>
      <c r="E66" s="240"/>
      <c r="F66" s="226">
        <v>0.4</v>
      </c>
      <c r="G66" s="428">
        <v>100</v>
      </c>
      <c r="H66" s="379">
        <v>52</v>
      </c>
      <c r="I66" s="406">
        <f ca="1"/>
        <v>1.4076127845397601E-4</v>
      </c>
      <c r="J66" s="406">
        <f ca="1"/>
        <v>5.5595416940104202E-4</v>
      </c>
      <c r="K66" s="406">
        <f ca="1"/>
        <v>0.25318863712385697</v>
      </c>
      <c r="L66" s="406">
        <f ca="1"/>
        <v>0.25318863712385697</v>
      </c>
      <c r="M66" s="406">
        <f ca="1"/>
        <v>-7.7666481679541401E-4</v>
      </c>
      <c r="N66" s="406" t="str">
        <f ca="1"/>
        <v>LOUIS DREYFUS COMPANY B.V.</v>
      </c>
      <c r="O66" s="406">
        <f ca="1"/>
        <v>0.86033518493951999</v>
      </c>
      <c r="P66" s="406">
        <f ca="1"/>
        <v>0.71370427114294499</v>
      </c>
      <c r="Q66" s="406">
        <f ca="1"/>
        <v>1.20545052022984</v>
      </c>
      <c r="R66" s="444">
        <f ca="1"/>
        <v>1.20545052022984</v>
      </c>
      <c r="S66" s="436"/>
      <c r="T66" s="415" cm="1">
        <f t="array" aca="1" ref="T66:X66" ca="1">IF(AND($U$12,B90&lt;=$C$17,C90&lt;&gt;""),TRANSPOSE(INDEX(getcds(C90,$C$6,G90/10000,F90,D90,$C$13,$C$14,$C$15,$C$8,,,TRUE,TRUE,FALSE,$C$29:$C$31,$C$33),{1;2;3;4;5})),"")</f>
        <v>3.6295728857055003E-2</v>
      </c>
      <c r="U66" s="416">
        <f ca="1"/>
        <v>8.8090774797729393E-2</v>
      </c>
      <c r="V66" s="416">
        <f ca="1"/>
        <v>5.1795045940674397E-2</v>
      </c>
      <c r="W66" s="417">
        <f ca="1"/>
        <v>1.7007567653985201E-2</v>
      </c>
      <c r="X66" s="418">
        <f ca="1"/>
        <v>5.1795045940674402</v>
      </c>
      <c r="Y66" s="419">
        <f t="shared" ca="1" si="5"/>
        <v>3.9753070007372632E-2</v>
      </c>
      <c r="Z66" s="420">
        <f t="shared" ca="1" si="3"/>
        <v>-3.5018787375378233E-3</v>
      </c>
      <c r="AA66" s="419">
        <f t="shared" ca="1" si="0"/>
        <v>8.4396212374618987E-2</v>
      </c>
      <c r="AB66" s="421">
        <f t="shared" ca="1" si="1"/>
        <v>1.6157189271285941E-2</v>
      </c>
      <c r="AC66" s="420">
        <f t="shared" ca="1" si="4"/>
        <v>-3.7172638690369415E-4</v>
      </c>
      <c r="AD66" s="221"/>
      <c r="AE66" s="221">
        <f t="shared" ca="1" si="2"/>
        <v>1.9300749110557298E-2</v>
      </c>
    </row>
    <row r="67" spans="1:31" customFormat="1" ht="15">
      <c r="A67" s="221"/>
      <c r="B67" s="269">
        <v>29</v>
      </c>
      <c r="C67" s="68" t="s">
        <v>540</v>
      </c>
      <c r="D67" s="248">
        <v>1</v>
      </c>
      <c r="E67" s="240"/>
      <c r="F67" s="226">
        <v>0.4</v>
      </c>
      <c r="G67" s="428">
        <v>100</v>
      </c>
      <c r="H67" s="379">
        <v>53</v>
      </c>
      <c r="I67" s="406">
        <f ca="1"/>
        <v>2.69529631848808E-5</v>
      </c>
      <c r="J67" s="406">
        <f ca="1"/>
        <v>6.1577351199932902E-4</v>
      </c>
      <c r="K67" s="406">
        <f ca="1"/>
        <v>4.3770903846397001E-2</v>
      </c>
      <c r="L67" s="406">
        <f ca="1"/>
        <v>4.3770903846397001E-2</v>
      </c>
      <c r="M67" s="406">
        <f ca="1"/>
        <v>-7.9664002127479699E-5</v>
      </c>
      <c r="N67" s="406" t="str">
        <f ca="1"/>
        <v>LVMH MOET HENNESSY LOUIS VUITTON</v>
      </c>
      <c r="O67" s="406">
        <f ca="1"/>
        <v>0.86541456702928998</v>
      </c>
      <c r="P67" s="406">
        <f ca="1"/>
        <v>0.77856932903797105</v>
      </c>
      <c r="Q67" s="406">
        <f ca="1"/>
        <v>1.11154464317086</v>
      </c>
      <c r="R67" s="444">
        <f ca="1"/>
        <v>1.11154464317086</v>
      </c>
      <c r="S67" s="436"/>
      <c r="T67" s="415" cm="1">
        <f t="array" aca="1" ref="T67:X67" ca="1">IF(AND($U$12,B91&lt;=$C$17,C91&lt;&gt;""),TRANSPOSE(INDEX(getcds(C91,$C$6,G91/10000,F91,D91,$C$13,$C$14,$C$15,$C$8,,,TRUE,TRUE,FALSE,$C$29:$C$31,$C$33),{1;2;3;4;5})),"")</f>
        <v>-2.8569329037970902E-2</v>
      </c>
      <c r="U67" s="416">
        <f ca="1"/>
        <v>2.57067529611699E-2</v>
      </c>
      <c r="V67" s="416">
        <f ca="1"/>
        <v>5.4276081999140802E-2</v>
      </c>
      <c r="W67" s="417">
        <f ca="1"/>
        <v>4.7362948861299197E-3</v>
      </c>
      <c r="X67" s="418">
        <f ca="1"/>
        <v>5.4276081999140802</v>
      </c>
      <c r="Y67" s="419">
        <f t="shared" ca="1" si="5"/>
        <v>3.9753070007372632E-2</v>
      </c>
      <c r="Z67" s="420">
        <f t="shared" ca="1" si="3"/>
        <v>-1.0219223501276198E-3</v>
      </c>
      <c r="AA67" s="419">
        <f t="shared" ca="1" si="0"/>
        <v>1.4590301282132333E-2</v>
      </c>
      <c r="AB67" s="421">
        <f t="shared" ca="1" si="1"/>
        <v>4.4994801418234238E-3</v>
      </c>
      <c r="AC67" s="420">
        <f t="shared" ca="1" si="4"/>
        <v>-1.8753463534440793E-5</v>
      </c>
      <c r="AD67" s="221"/>
      <c r="AE67" s="221">
        <f t="shared" ca="1" si="2"/>
        <v>5.1941335123245943E-3</v>
      </c>
    </row>
    <row r="68" spans="1:31" customFormat="1" ht="15">
      <c r="A68" s="221"/>
      <c r="B68" s="269">
        <v>30</v>
      </c>
      <c r="C68" s="68" t="s">
        <v>541</v>
      </c>
      <c r="D68" s="248">
        <v>1</v>
      </c>
      <c r="E68" s="240"/>
      <c r="F68" s="226">
        <v>0.4</v>
      </c>
      <c r="G68" s="428">
        <v>100</v>
      </c>
      <c r="H68" s="379">
        <v>54</v>
      </c>
      <c r="I68" s="406">
        <f ca="1"/>
        <v>2.3319140043058799E-5</v>
      </c>
      <c r="J68" s="406">
        <f ca="1"/>
        <v>6.1890287698757604E-4</v>
      </c>
      <c r="K68" s="406">
        <f ca="1"/>
        <v>3.76781897614719E-2</v>
      </c>
      <c r="L68" s="406">
        <f ca="1"/>
        <v>3.76781897614719E-2</v>
      </c>
      <c r="M68" s="406">
        <f ca="1"/>
        <v>-6.2916889381119402E-5</v>
      </c>
      <c r="N68" s="406" t="str">
        <f ca="1"/>
        <v>NESTLE S.A.</v>
      </c>
      <c r="O68" s="406">
        <f ca="1"/>
        <v>0.86545678446291996</v>
      </c>
      <c r="P68" s="406">
        <f ca="1"/>
        <v>0.78156967969969604</v>
      </c>
      <c r="Q68" s="406">
        <f ca="1"/>
        <v>1.1073315750880399</v>
      </c>
      <c r="R68" s="444">
        <f ca="1"/>
        <v>1.1073315750880399</v>
      </c>
      <c r="S68" s="436"/>
      <c r="T68" s="415" cm="1">
        <f t="array" aca="1" ref="T68:X68" ca="1">IF(AND($U$12,B92&lt;=$C$17,C92&lt;&gt;""),TRANSPOSE(INDEX(getcds(C92,$C$6,G92/10000,F92,D92,$C$13,$C$14,$C$15,$C$8,,,TRUE,TRUE,FALSE,$C$29:$C$31,$C$33),{1;2;3;4;5})),"")</f>
        <v>-3.1569679699695902E-2</v>
      </c>
      <c r="U68" s="416">
        <f ca="1"/>
        <v>2.2776161572029802E-2</v>
      </c>
      <c r="V68" s="416">
        <f ca="1"/>
        <v>5.4345841271725703E-2</v>
      </c>
      <c r="W68" s="417">
        <f ca="1"/>
        <v>4.1909667858761202E-3</v>
      </c>
      <c r="X68" s="418">
        <f ca="1"/>
        <v>5.4345841271725703</v>
      </c>
      <c r="Y68" s="419">
        <f t="shared" ca="1" si="5"/>
        <v>3.9753070007372632E-2</v>
      </c>
      <c r="Z68" s="420">
        <f t="shared" ca="1" si="3"/>
        <v>-9.0542234547213128E-4</v>
      </c>
      <c r="AA68" s="419">
        <f t="shared" ca="1" si="0"/>
        <v>1.2559396587157301E-2</v>
      </c>
      <c r="AB68" s="421">
        <f t="shared" ca="1" si="1"/>
        <v>3.9814184465823141E-3</v>
      </c>
      <c r="AC68" s="420">
        <f t="shared" ca="1" si="4"/>
        <v>-1.4302742295814726E-5</v>
      </c>
      <c r="AD68" s="221"/>
      <c r="AE68" s="221">
        <f t="shared" ca="1" si="2"/>
        <v>5.6201493283876405E-3</v>
      </c>
    </row>
    <row r="69" spans="1:31" customFormat="1" ht="15">
      <c r="A69" s="221"/>
      <c r="B69" s="269">
        <v>31</v>
      </c>
      <c r="C69" s="68" t="s">
        <v>542</v>
      </c>
      <c r="D69" s="248">
        <v>1</v>
      </c>
      <c r="E69" s="240"/>
      <c r="F69" s="226">
        <v>0.4</v>
      </c>
      <c r="G69" s="428">
        <v>100</v>
      </c>
      <c r="H69" s="379">
        <v>55</v>
      </c>
      <c r="I69" s="406">
        <f ca="1"/>
        <v>5.8930122650702203E-5</v>
      </c>
      <c r="J69" s="406">
        <f ca="1"/>
        <v>6.0115522663934003E-4</v>
      </c>
      <c r="K69" s="406">
        <f ca="1"/>
        <v>9.8028129906050102E-2</v>
      </c>
      <c r="L69" s="406">
        <f ca="1"/>
        <v>9.8028129906050102E-2</v>
      </c>
      <c r="M69" s="406">
        <f ca="1"/>
        <v>-2.4827983402582601E-4</v>
      </c>
      <c r="N69" s="406" t="str">
        <f ca="1"/>
        <v>NEXT PLC</v>
      </c>
      <c r="O69" s="406">
        <f ca="1"/>
        <v>0.86476450107725</v>
      </c>
      <c r="P69" s="406">
        <f ca="1"/>
        <v>0.75835123964149997</v>
      </c>
      <c r="Q69" s="406">
        <f ca="1"/>
        <v>1.14032186653516</v>
      </c>
      <c r="R69" s="444">
        <f ca="1"/>
        <v>1.14032186653516</v>
      </c>
      <c r="S69" s="436"/>
      <c r="T69" s="415" cm="1">
        <f t="array" aca="1" ref="T69:X69" ca="1">IF(AND($U$12,B93&lt;=$C$17,C93&lt;&gt;""),TRANSPOSE(INDEX(getcds(C93,$C$6,G93/10000,F93,D93,$C$13,$C$14,$C$15,$C$8,,,TRUE,TRUE,FALSE,$C$29:$C$31,$C$33),{1;2;3;4;5})),"")</f>
        <v>-8.3512396415003996E-3</v>
      </c>
      <c r="U69" s="416">
        <f ca="1"/>
        <v>4.53695401297044E-2</v>
      </c>
      <c r="V69" s="416">
        <f ca="1"/>
        <v>5.3720779771204798E-2</v>
      </c>
      <c r="W69" s="417">
        <f ca="1"/>
        <v>8.4454358858772893E-3</v>
      </c>
      <c r="X69" s="418">
        <f ca="1"/>
        <v>5.3720779771204796</v>
      </c>
      <c r="Y69" s="419">
        <f t="shared" ca="1" si="5"/>
        <v>3.9753070007372632E-2</v>
      </c>
      <c r="Z69" s="420">
        <f t="shared" ca="1" si="3"/>
        <v>-1.80357850497844E-3</v>
      </c>
      <c r="AA69" s="419">
        <f t="shared" ca="1" si="0"/>
        <v>3.2676043302016698E-2</v>
      </c>
      <c r="AB69" s="421">
        <f t="shared" ca="1" si="1"/>
        <v>8.0231640915834242E-3</v>
      </c>
      <c r="AC69" s="420">
        <f t="shared" ca="1" si="4"/>
        <v>-7.4124852893540336E-5</v>
      </c>
      <c r="AD69" s="221"/>
      <c r="AE69" s="221">
        <f t="shared" ca="1" si="2"/>
        <v>6.7651408076430716E-3</v>
      </c>
    </row>
    <row r="70" spans="1:31" customFormat="1" ht="15">
      <c r="A70" s="221"/>
      <c r="B70" s="269">
        <v>32</v>
      </c>
      <c r="C70" s="68" t="s">
        <v>527</v>
      </c>
      <c r="D70" s="248">
        <v>1</v>
      </c>
      <c r="E70" s="240"/>
      <c r="F70" s="226">
        <v>0.4</v>
      </c>
      <c r="G70" s="428">
        <v>100</v>
      </c>
      <c r="H70" s="379">
        <v>56</v>
      </c>
      <c r="I70" s="406">
        <f ca="1"/>
        <v>3.45627427243666E-5</v>
      </c>
      <c r="J70" s="406">
        <f ca="1"/>
        <v>6.0984376990199198E-4</v>
      </c>
      <c r="K70" s="406">
        <f ca="1"/>
        <v>5.6674749222938199E-2</v>
      </c>
      <c r="L70" s="406">
        <f ca="1"/>
        <v>5.6674749222938199E-2</v>
      </c>
      <c r="M70" s="406">
        <f ca="1"/>
        <v>-1.14362022605512E-4</v>
      </c>
      <c r="N70" s="406" t="str">
        <f ca="1"/>
        <v>PERNOD RICARD</v>
      </c>
      <c r="O70" s="406">
        <f ca="1"/>
        <v>0.86530200009979996</v>
      </c>
      <c r="P70" s="406">
        <f ca="1"/>
        <v>0.77364515050465499</v>
      </c>
      <c r="Q70" s="406">
        <f ca="1"/>
        <v>1.11847401814043</v>
      </c>
      <c r="R70" s="444">
        <f ca="1"/>
        <v>1.11847401814043</v>
      </c>
      <c r="S70" s="436"/>
      <c r="T70" s="415" cm="1">
        <f t="array" aca="1" ref="T70:X70" ca="1">IF(AND($U$12,B94&lt;=$C$17,C94&lt;&gt;""),TRANSPOSE(INDEX(getcds(C94,$C$6,G94/10000,F94,D94,$C$13,$C$14,$C$15,$C$8,,,TRUE,TRUE,FALSE,$C$29:$C$31,$C$33),{1;2;3;4;5})),"")</f>
        <v>-2.3645150504654901E-2</v>
      </c>
      <c r="U70" s="416">
        <f ca="1"/>
        <v>3.0432313807999999E-2</v>
      </c>
      <c r="V70" s="416">
        <f ca="1"/>
        <v>5.4077464312654901E-2</v>
      </c>
      <c r="W70" s="417">
        <f ca="1"/>
        <v>5.6275408240394099E-3</v>
      </c>
      <c r="X70" s="418">
        <f ca="1"/>
        <v>5.4077464312654904</v>
      </c>
      <c r="Y70" s="419">
        <f t="shared" ca="1" si="5"/>
        <v>3.9753070007372632E-2</v>
      </c>
      <c r="Z70" s="420">
        <f t="shared" ca="1" si="3"/>
        <v>-1.2097779012957559E-3</v>
      </c>
      <c r="AA70" s="419">
        <f t="shared" ca="1" si="0"/>
        <v>1.8891583074312733E-2</v>
      </c>
      <c r="AB70" s="421">
        <f t="shared" ca="1" si="1"/>
        <v>5.3461637828374391E-3</v>
      </c>
      <c r="AC70" s="420">
        <f t="shared" ca="1" si="4"/>
        <v>-2.8745729222369335E-5</v>
      </c>
      <c r="AD70" s="221"/>
      <c r="AE70" s="221">
        <f t="shared" ca="1" si="2"/>
        <v>6.5768419723556022E-3</v>
      </c>
    </row>
    <row r="71" spans="1:31" customFormat="1" ht="15">
      <c r="A71" s="221"/>
      <c r="B71" s="269">
        <v>33</v>
      </c>
      <c r="C71" s="68" t="s">
        <v>528</v>
      </c>
      <c r="D71" s="248">
        <v>1</v>
      </c>
      <c r="E71" s="240"/>
      <c r="F71" s="226">
        <v>0.4</v>
      </c>
      <c r="G71" s="428">
        <v>100</v>
      </c>
      <c r="H71" s="379">
        <v>57</v>
      </c>
      <c r="I71" s="406">
        <f ca="1"/>
        <v>2.2838158110145599E-5</v>
      </c>
      <c r="J71" s="406">
        <f ca="1"/>
        <v>6.1903782000080805E-4</v>
      </c>
      <c r="K71" s="406">
        <f ca="1"/>
        <v>3.6892993242506202E-2</v>
      </c>
      <c r="L71" s="406">
        <f ca="1"/>
        <v>3.6892993242506202E-2</v>
      </c>
      <c r="M71" s="406">
        <f ca="1"/>
        <v>-6.2348994740952797E-5</v>
      </c>
      <c r="N71" s="406" t="str">
        <f ca="1"/>
        <v>SODEXO</v>
      </c>
      <c r="O71" s="406">
        <f ca="1"/>
        <v>0.86546393502508001</v>
      </c>
      <c r="P71" s="406">
        <f ca="1"/>
        <v>0.78142323445438899</v>
      </c>
      <c r="Q71" s="406">
        <f ca="1"/>
        <v>1.1075482489708299</v>
      </c>
      <c r="R71" s="444">
        <f ca="1"/>
        <v>1.1075482489708299</v>
      </c>
      <c r="S71" s="436"/>
      <c r="T71" s="415" cm="1">
        <f t="array" aca="1" ref="T71:X71" ca="1">IF(AND($U$12,B95&lt;=$C$17,C95&lt;&gt;""),TRANSPOSE(INDEX(getcds(C95,$C$6,G95/10000,F95,D95,$C$13,$C$14,$C$15,$C$8,,,TRUE,TRUE,FALSE,$C$29:$C$31,$C$33),{1;2;3;4;5})),"")</f>
        <v>-3.1423234454388799E-2</v>
      </c>
      <c r="U71" s="416">
        <f ca="1"/>
        <v>2.2966233205034901E-2</v>
      </c>
      <c r="V71" s="416">
        <f ca="1"/>
        <v>5.43894676594237E-2</v>
      </c>
      <c r="W71" s="417">
        <f ca="1"/>
        <v>4.2225515698820597E-3</v>
      </c>
      <c r="X71" s="418">
        <f ca="1"/>
        <v>5.4389467659423696</v>
      </c>
      <c r="Y71" s="419">
        <f t="shared" ca="1" si="5"/>
        <v>3.9753070007372632E-2</v>
      </c>
      <c r="Z71" s="420">
        <f t="shared" ca="1" si="3"/>
        <v>-9.1297827640539851E-4</v>
      </c>
      <c r="AA71" s="419">
        <f t="shared" ca="1" si="0"/>
        <v>1.2297664414168734E-2</v>
      </c>
      <c r="AB71" s="421">
        <f t="shared" ca="1" si="1"/>
        <v>4.0114239913879562E-3</v>
      </c>
      <c r="AC71" s="420">
        <f t="shared" ca="1" si="4"/>
        <v>-1.4121551440652938E-5</v>
      </c>
      <c r="AD71" s="221"/>
      <c r="AE71" s="221">
        <f t="shared" ca="1" si="2"/>
        <v>4.5931830719145939E-3</v>
      </c>
    </row>
    <row r="72" spans="1:31" customFormat="1" ht="15">
      <c r="A72" s="221"/>
      <c r="B72" s="269">
        <v>34</v>
      </c>
      <c r="C72" s="68" t="s">
        <v>529</v>
      </c>
      <c r="D72" s="248">
        <v>1</v>
      </c>
      <c r="E72" s="240"/>
      <c r="F72" s="226">
        <v>0.4</v>
      </c>
      <c r="G72" s="428">
        <v>100</v>
      </c>
      <c r="H72" s="379">
        <v>58</v>
      </c>
      <c r="I72" s="406">
        <f ca="1"/>
        <v>8.6479667087679905E-5</v>
      </c>
      <c r="J72" s="406">
        <f ca="1"/>
        <v>5.8607227963208201E-4</v>
      </c>
      <c r="K72" s="406">
        <f ca="1"/>
        <v>0.14755802329018</v>
      </c>
      <c r="L72" s="406">
        <f ca="1"/>
        <v>0.14755802329018</v>
      </c>
      <c r="M72" s="406">
        <f ca="1"/>
        <v>-4.1416880999822298E-4</v>
      </c>
      <c r="N72" s="406" t="str">
        <f ca="1"/>
        <v>SUEDZUCKER AG</v>
      </c>
      <c r="O72" s="406">
        <f ca="1"/>
        <v>0.86379235284820999</v>
      </c>
      <c r="P72" s="406">
        <f ca="1"/>
        <v>0.74349532328061996</v>
      </c>
      <c r="Q72" s="406">
        <f ca="1"/>
        <v>1.1617993090215899</v>
      </c>
      <c r="R72" s="444">
        <f ca="1"/>
        <v>1.1617993090215899</v>
      </c>
      <c r="S72" s="436"/>
      <c r="T72" s="415" cm="1">
        <f t="array" aca="1" ref="T72:X72" ca="1">IF(AND($U$12,B96&lt;=$C$17,C96&lt;&gt;""),TRANSPOSE(INDEX(getcds(C96,$C$6,G96/10000,F96,D96,$C$13,$C$14,$C$15,$C$8,,,TRUE,TRUE,FALSE,$C$29:$C$31,$C$33),{1;2;3;4;5})),"")</f>
        <v>6.5046767193803999E-3</v>
      </c>
      <c r="U72" s="416">
        <f ca="1"/>
        <v>5.9581018016608298E-2</v>
      </c>
      <c r="V72" s="416">
        <f ca="1"/>
        <v>5.3076341297227901E-2</v>
      </c>
      <c r="W72" s="417">
        <f ca="1"/>
        <v>1.12255322353427E-2</v>
      </c>
      <c r="X72" s="418">
        <f ca="1"/>
        <v>5.30763412972279</v>
      </c>
      <c r="Y72" s="419">
        <f t="shared" ca="1" si="5"/>
        <v>3.9753070007372632E-2</v>
      </c>
      <c r="Z72" s="420">
        <f t="shared" ca="1" si="3"/>
        <v>-2.3685283803247591E-3</v>
      </c>
      <c r="AA72" s="419">
        <f t="shared" ca="1" si="0"/>
        <v>4.9186007763393332E-2</v>
      </c>
      <c r="AB72" s="421">
        <f t="shared" ca="1" si="1"/>
        <v>1.0664255623575565E-2</v>
      </c>
      <c r="AC72" s="420">
        <f t="shared" ca="1" si="4"/>
        <v>-1.4652762073578854E-4</v>
      </c>
      <c r="AD72" s="221"/>
      <c r="AE72" s="221">
        <f t="shared" ca="1" si="2"/>
        <v>1.1597340051930997E-2</v>
      </c>
    </row>
    <row r="73" spans="1:31" customFormat="1" ht="15">
      <c r="A73" s="221"/>
      <c r="B73" s="269">
        <v>35</v>
      </c>
      <c r="C73" s="68" t="s">
        <v>543</v>
      </c>
      <c r="D73" s="248">
        <v>1</v>
      </c>
      <c r="E73" s="240"/>
      <c r="F73" s="226">
        <v>0.4</v>
      </c>
      <c r="G73" s="428">
        <v>100</v>
      </c>
      <c r="H73" s="379">
        <v>59</v>
      </c>
      <c r="I73" s="406">
        <f ca="1"/>
        <v>6.11018502241744E-5</v>
      </c>
      <c r="J73" s="406">
        <f ca="1"/>
        <v>5.9938180138240798E-4</v>
      </c>
      <c r="K73" s="406">
        <f ca="1"/>
        <v>0.101941450479894</v>
      </c>
      <c r="L73" s="406">
        <f ca="1"/>
        <v>0.101941450479894</v>
      </c>
      <c r="M73" s="406">
        <f ca="1"/>
        <v>-2.57692506209066E-4</v>
      </c>
      <c r="N73" s="406" t="str">
        <f ca="1"/>
        <v>TESCO PLC</v>
      </c>
      <c r="O73" s="406">
        <f ca="1"/>
        <v>0.86470812973335998</v>
      </c>
      <c r="P73" s="406">
        <f ca="1"/>
        <v>0.75760552431587502</v>
      </c>
      <c r="Q73" s="406">
        <f ca="1"/>
        <v>1.14136988443187</v>
      </c>
      <c r="R73" s="444">
        <f ca="1"/>
        <v>1.14136988443187</v>
      </c>
      <c r="S73" s="436"/>
      <c r="T73" s="415" cm="1">
        <f t="array" aca="1" ref="T73:X73" ca="1">IF(AND($U$12,B97&lt;=$C$17,C97&lt;&gt;""),TRANSPOSE(INDEX(getcds(C97,$C$6,G97/10000,F97,D97,$C$13,$C$14,$C$15,$C$8,,,TRUE,TRUE,FALSE,$C$29:$C$31,$C$33),{1;2;3;4;5})),"")</f>
        <v>-7.6055243158751002E-3</v>
      </c>
      <c r="U73" s="416">
        <f ca="1"/>
        <v>4.5981192037906203E-2</v>
      </c>
      <c r="V73" s="416">
        <f ca="1"/>
        <v>5.3586716353781302E-2</v>
      </c>
      <c r="W73" s="417">
        <f ca="1"/>
        <v>8.5807071540522899E-3</v>
      </c>
      <c r="X73" s="418">
        <f ca="1"/>
        <v>5.3586716353781298</v>
      </c>
      <c r="Y73" s="419">
        <f t="shared" ca="1" si="5"/>
        <v>3.9753070007372632E-2</v>
      </c>
      <c r="Z73" s="420">
        <f t="shared" ca="1" si="3"/>
        <v>-1.8278935461053302E-3</v>
      </c>
      <c r="AA73" s="419">
        <f t="shared" ca="1" si="0"/>
        <v>3.3980483493297998E-2</v>
      </c>
      <c r="AB73" s="421">
        <f t="shared" ca="1" si="1"/>
        <v>8.1516717963496747E-3</v>
      </c>
      <c r="AC73" s="420">
        <f t="shared" ca="1" si="4"/>
        <v>-7.8123156852311993E-5</v>
      </c>
      <c r="AD73" s="221"/>
      <c r="AE73" s="221">
        <f t="shared" ca="1" si="2"/>
        <v>8.9177129040034081E-3</v>
      </c>
    </row>
    <row r="74" spans="1:31" customFormat="1" ht="15">
      <c r="A74" s="221"/>
      <c r="B74" s="269">
        <v>36</v>
      </c>
      <c r="C74" s="68" t="s">
        <v>530</v>
      </c>
      <c r="D74" s="248">
        <v>1</v>
      </c>
      <c r="E74" s="240"/>
      <c r="F74" s="226">
        <v>0.4</v>
      </c>
      <c r="G74" s="428">
        <v>100</v>
      </c>
      <c r="H74" s="379">
        <v>60</v>
      </c>
      <c r="I74" s="406">
        <f ca="1"/>
        <v>2.1808750778564699E-5</v>
      </c>
      <c r="J74" s="406">
        <f ca="1"/>
        <v>6.2015759522658295E-4</v>
      </c>
      <c r="K74" s="406">
        <f ca="1"/>
        <v>3.5166465663613401E-2</v>
      </c>
      <c r="L74" s="406">
        <f ca="1"/>
        <v>3.5166465663613401E-2</v>
      </c>
      <c r="M74" s="406">
        <f ca="1"/>
        <v>-5.6913235929458799E-5</v>
      </c>
      <c r="N74" s="406" t="str">
        <f ca="1"/>
        <v>UNILEVER PLC</v>
      </c>
      <c r="O74" s="406">
        <f ca="1"/>
        <v>0.86547374422130996</v>
      </c>
      <c r="P74" s="406">
        <f ca="1"/>
        <v>0.78263566863525702</v>
      </c>
      <c r="Q74" s="406">
        <f ca="1"/>
        <v>1.10584500413903</v>
      </c>
      <c r="R74" s="444">
        <f ca="1"/>
        <v>1.10584500413903</v>
      </c>
      <c r="S74" s="436"/>
      <c r="T74" s="415" cm="1">
        <f t="array" aca="1" ref="T74:X74" ca="1">IF(AND($U$12,B98&lt;=$C$17,C98&lt;&gt;""),TRANSPOSE(INDEX(getcds(C98,$C$6,G98/10000,F98,D98,$C$13,$C$14,$C$15,$C$8,,,TRUE,TRUE,FALSE,$C$29:$C$31,$C$33),{1;2;3;4;5})),"")</f>
        <v>-3.2635668635256597E-2</v>
      </c>
      <c r="U74" s="416">
        <f ca="1"/>
        <v>2.1748021527502801E-2</v>
      </c>
      <c r="V74" s="416">
        <f ca="1"/>
        <v>5.4383690162759402E-2</v>
      </c>
      <c r="W74" s="417">
        <f ca="1"/>
        <v>3.9989970269423396E-3</v>
      </c>
      <c r="X74" s="418">
        <f ca="1"/>
        <v>5.4383690162759404</v>
      </c>
      <c r="Y74" s="419">
        <f t="shared" ca="1" si="5"/>
        <v>3.9753070007372632E-2</v>
      </c>
      <c r="Z74" s="420">
        <f t="shared" ca="1" si="3"/>
        <v>-8.6455062230466674E-4</v>
      </c>
      <c r="AA74" s="419">
        <f t="shared" ca="1" si="0"/>
        <v>1.1722155221204468E-2</v>
      </c>
      <c r="AB74" s="421">
        <f t="shared" ca="1" si="1"/>
        <v>3.7990471755952227E-3</v>
      </c>
      <c r="AC74" s="420">
        <f t="shared" ca="1" si="4"/>
        <v>-1.2746684204974218E-5</v>
      </c>
      <c r="AD74" s="221"/>
      <c r="AE74" s="221">
        <f t="shared" ca="1" si="2"/>
        <v>5.2970918444800912E-3</v>
      </c>
    </row>
    <row r="75" spans="1:31" customFormat="1" ht="15">
      <c r="A75" s="221"/>
      <c r="B75" s="269">
        <v>37</v>
      </c>
      <c r="C75" s="68" t="s">
        <v>546</v>
      </c>
      <c r="D75" s="248">
        <v>1</v>
      </c>
      <c r="E75" s="240"/>
      <c r="F75" s="226">
        <v>0.4</v>
      </c>
      <c r="G75" s="428">
        <v>100</v>
      </c>
      <c r="H75" s="379">
        <v>61</v>
      </c>
      <c r="I75" s="406">
        <f ca="1"/>
        <v>5.8486536258133299E-5</v>
      </c>
      <c r="J75" s="406">
        <f ca="1"/>
        <v>6.0065851212123898E-4</v>
      </c>
      <c r="K75" s="406">
        <f ca="1"/>
        <v>9.7370694126329399E-2</v>
      </c>
      <c r="L75" s="406">
        <f ca="1"/>
        <v>9.7370694126329399E-2</v>
      </c>
      <c r="M75" s="406">
        <f ca="1"/>
        <v>-2.4272455704785699E-4</v>
      </c>
      <c r="N75" s="406" t="str">
        <f ca="1"/>
        <v>BP P.L.C.</v>
      </c>
      <c r="O75" s="406">
        <f ca="1"/>
        <v>0.86478278003672004</v>
      </c>
      <c r="P75" s="406">
        <f ca="1"/>
        <v>0.759056692499395</v>
      </c>
      <c r="Q75" s="406">
        <f ca="1"/>
        <v>1.13928615422544</v>
      </c>
      <c r="R75" s="444">
        <f ca="1"/>
        <v>1.13928615422544</v>
      </c>
      <c r="S75" s="436"/>
      <c r="T75" s="415" cm="1">
        <f t="array" aca="1" ref="T75:X75" ca="1">IF(AND($U$12,B99&lt;=$C$17,C99&lt;&gt;""),TRANSPOSE(INDEX(getcds(C99,$C$6,G99/10000,F99,D99,$C$13,$C$14,$C$15,$C$8,,,TRUE,TRUE,FALSE,$C$29:$C$31,$C$33),{1;2;3;4;5})),"")</f>
        <v>-9.0566924993947008E-3</v>
      </c>
      <c r="U75" s="416">
        <f ca="1"/>
        <v>4.4572995425006201E-2</v>
      </c>
      <c r="V75" s="416">
        <f ca="1"/>
        <v>5.3629687924400898E-2</v>
      </c>
      <c r="W75" s="417">
        <f ca="1"/>
        <v>8.3112539248482199E-3</v>
      </c>
      <c r="X75" s="418">
        <f ca="1"/>
        <v>5.3629687924400899</v>
      </c>
      <c r="Y75" s="419">
        <f t="shared" ca="1" si="5"/>
        <v>3.9753070007372632E-2</v>
      </c>
      <c r="Z75" s="420">
        <f t="shared" ca="1" si="3"/>
        <v>-1.7719134075685722E-3</v>
      </c>
      <c r="AA75" s="419">
        <f t="shared" ca="1" si="0"/>
        <v>3.24568980421098E-2</v>
      </c>
      <c r="AB75" s="421">
        <f t="shared" ca="1" si="1"/>
        <v>7.8956912286058077E-3</v>
      </c>
      <c r="AC75" s="420">
        <f t="shared" ca="1" si="4"/>
        <v>-7.2335058397042875E-5</v>
      </c>
      <c r="AD75" s="221"/>
      <c r="AE75" s="221">
        <f t="shared" ca="1" si="2"/>
        <v>8.4229801267197667E-3</v>
      </c>
    </row>
    <row r="76" spans="1:31" customFormat="1" ht="15">
      <c r="A76" s="221"/>
      <c r="B76" s="269">
        <v>38</v>
      </c>
      <c r="C76" s="68" t="s">
        <v>547</v>
      </c>
      <c r="D76" s="248">
        <v>1</v>
      </c>
      <c r="E76" s="240"/>
      <c r="F76" s="226">
        <v>0.4</v>
      </c>
      <c r="G76" s="428">
        <v>100</v>
      </c>
      <c r="H76" s="379">
        <v>62</v>
      </c>
      <c r="I76" s="406">
        <f ca="1"/>
        <v>7.5127480500540805E-5</v>
      </c>
      <c r="J76" s="406">
        <f ca="1"/>
        <v>5.9179987080703602E-4</v>
      </c>
      <c r="K76" s="406">
        <f ca="1"/>
        <v>0.12694744322618701</v>
      </c>
      <c r="L76" s="406">
        <f ca="1"/>
        <v>0.12694744322618701</v>
      </c>
      <c r="M76" s="406">
        <f ca="1"/>
        <v>-3.4259946831063801E-4</v>
      </c>
      <c r="N76" s="406" t="str">
        <f ca="1"/>
        <v>CENTRICA PLC</v>
      </c>
      <c r="O76" s="406">
        <f ca="1"/>
        <v>0.86424768802882002</v>
      </c>
      <c r="P76" s="406">
        <f ca="1"/>
        <v>0.74972296579822995</v>
      </c>
      <c r="Q76" s="406">
        <f ca="1"/>
        <v>1.15275605450962</v>
      </c>
      <c r="R76" s="444">
        <f ca="1"/>
        <v>1.15275605450962</v>
      </c>
      <c r="S76" s="436"/>
      <c r="T76" s="415" cm="1">
        <f t="array" aca="1" ref="T76:X76" ca="1">IF(AND($U$12,B100&lt;=$C$17,C100&lt;&gt;""),TRANSPOSE(INDEX(getcds(C100,$C$6,G100/10000,F100,D100,$C$13,$C$14,$C$15,$C$8,,,TRUE,TRUE,FALSE,$C$29:$C$31,$C$33),{1;2;3;4;5})),"")</f>
        <v>2.770342017702E-4</v>
      </c>
      <c r="U76" s="416">
        <f ca="1"/>
        <v>5.3564547140807703E-2</v>
      </c>
      <c r="V76" s="416">
        <f ca="1"/>
        <v>5.3287512939037503E-2</v>
      </c>
      <c r="W76" s="417">
        <f ca="1"/>
        <v>1.0051988577903299E-2</v>
      </c>
      <c r="X76" s="418">
        <f ca="1"/>
        <v>5.3287512939037498</v>
      </c>
      <c r="Y76" s="419">
        <f t="shared" ca="1" si="5"/>
        <v>3.9753070007372632E-2</v>
      </c>
      <c r="Z76" s="420">
        <f t="shared" ca="1" si="3"/>
        <v>-2.1293551924017489E-3</v>
      </c>
      <c r="AA76" s="419">
        <f t="shared" ca="1" si="0"/>
        <v>4.2315814408729002E-2</v>
      </c>
      <c r="AB76" s="421">
        <f t="shared" ca="1" si="1"/>
        <v>9.5493891490081341E-3</v>
      </c>
      <c r="AC76" s="420">
        <f t="shared" ca="1" si="4"/>
        <v>-1.1333137178490225E-4</v>
      </c>
      <c r="AD76" s="221"/>
      <c r="AE76" s="221">
        <f t="shared" ca="1" si="2"/>
        <v>1.0308682319495303E-2</v>
      </c>
    </row>
    <row r="77" spans="1:31" customFormat="1" ht="15">
      <c r="A77" s="221"/>
      <c r="B77" s="269">
        <v>39</v>
      </c>
      <c r="C77" s="68" t="s">
        <v>548</v>
      </c>
      <c r="D77" s="248">
        <v>1</v>
      </c>
      <c r="E77" s="240"/>
      <c r="F77" s="226">
        <v>0.4</v>
      </c>
      <c r="G77" s="428">
        <v>100</v>
      </c>
      <c r="H77" s="379">
        <v>63</v>
      </c>
      <c r="I77" s="406">
        <f ca="1"/>
        <v>4.2901709334692798E-5</v>
      </c>
      <c r="J77" s="406">
        <f ca="1"/>
        <v>6.0238678022593302E-4</v>
      </c>
      <c r="K77" s="406">
        <f ca="1"/>
        <v>7.1219539908564999E-2</v>
      </c>
      <c r="L77" s="406">
        <f ca="1"/>
        <v>7.1219539908564999E-2</v>
      </c>
      <c r="M77" s="406">
        <f ca="1"/>
        <v>-1.5874690490644399E-4</v>
      </c>
      <c r="N77" s="406" t="str">
        <f ca="1"/>
        <v>E.ON SE</v>
      </c>
      <c r="O77" s="406">
        <f ca="1"/>
        <v>0.86514532962950996</v>
      </c>
      <c r="P77" s="406">
        <f ca="1"/>
        <v>0.76802129813300601</v>
      </c>
      <c r="Q77" s="406">
        <f ca="1"/>
        <v>1.126460075694</v>
      </c>
      <c r="R77" s="444">
        <f ca="1"/>
        <v>1.126460075694</v>
      </c>
      <c r="S77" s="436"/>
      <c r="T77" s="415" cm="1">
        <f t="array" aca="1" ref="T77:X77" ca="1">IF(AND($U$12,B101&lt;=$C$17,C101&lt;&gt;""),TRANSPOSE(INDEX(getcds(C101,$C$6,G101/10000,F101,D101,$C$13,$C$14,$C$15,$C$8,,,TRUE,TRUE,FALSE,$C$29:$C$31,$C$33),{1;2;3;4;5})),"")</f>
        <v>-1.8021298133006299E-2</v>
      </c>
      <c r="U77" s="416">
        <f ca="1"/>
        <v>3.5930671020751599E-2</v>
      </c>
      <c r="V77" s="416">
        <f ca="1"/>
        <v>5.3951969153757898E-2</v>
      </c>
      <c r="W77" s="417">
        <f ca="1"/>
        <v>6.6597515501895096E-3</v>
      </c>
      <c r="X77" s="418">
        <f ca="1"/>
        <v>5.3951969153757897</v>
      </c>
      <c r="Y77" s="419">
        <f t="shared" ca="1" si="5"/>
        <v>3.9753070007372632E-2</v>
      </c>
      <c r="Z77" s="420">
        <f t="shared" ca="1" si="3"/>
        <v>-1.4283544804998124E-3</v>
      </c>
      <c r="AA77" s="419">
        <f t="shared" ca="1" si="0"/>
        <v>2.3739846636188333E-2</v>
      </c>
      <c r="AB77" s="421">
        <f t="shared" ca="1" si="1"/>
        <v>6.3267639726800337E-3</v>
      </c>
      <c r="AC77" s="420">
        <f t="shared" ca="1" si="4"/>
        <v>-4.2649430978398996E-5</v>
      </c>
      <c r="AD77" s="221"/>
      <c r="AE77" s="221">
        <f t="shared" ca="1" si="2"/>
        <v>6.9505275340821845E-3</v>
      </c>
    </row>
    <row r="78" spans="1:31" customFormat="1" ht="15">
      <c r="A78" s="221"/>
      <c r="B78" s="269">
        <v>40</v>
      </c>
      <c r="C78" s="68" t="s">
        <v>564</v>
      </c>
      <c r="D78" s="248">
        <v>1</v>
      </c>
      <c r="E78" s="240"/>
      <c r="F78" s="226">
        <v>0.4</v>
      </c>
      <c r="G78" s="428">
        <v>100</v>
      </c>
      <c r="H78" s="379">
        <v>64</v>
      </c>
      <c r="I78" s="406">
        <f ca="1"/>
        <v>6.9631704537185304E-5</v>
      </c>
      <c r="J78" s="406">
        <f ca="1"/>
        <v>5.9396370466841604E-4</v>
      </c>
      <c r="K78" s="406">
        <f ca="1"/>
        <v>0.117232255085448</v>
      </c>
      <c r="L78" s="406">
        <f ca="1"/>
        <v>0.117232255085448</v>
      </c>
      <c r="M78" s="406">
        <f ca="1"/>
        <v>-3.0650101530063103E-4</v>
      </c>
      <c r="N78" s="406" t="str">
        <f ca="1"/>
        <v>EDP - ENERGIAS DE PORTUGAL S.A.</v>
      </c>
      <c r="O78" s="406">
        <f ca="1"/>
        <v>0.86443499416403002</v>
      </c>
      <c r="P78" s="406">
        <f ca="1"/>
        <v>0.75315775509587501</v>
      </c>
      <c r="Q78" s="406">
        <f ca="1"/>
        <v>1.14774758450703</v>
      </c>
      <c r="R78" s="444">
        <f ca="1"/>
        <v>1.14774758450703</v>
      </c>
      <c r="S78" s="436"/>
      <c r="T78" s="415" cm="1">
        <f t="array" aca="1" ref="T78:X78" ca="1">IF(AND($U$12,B102&lt;=$C$17,C102&lt;&gt;""),TRANSPOSE(INDEX(getcds(C102,$C$6,G102/10000,F102,D102,$C$13,$C$14,$C$15,$C$8,,,TRUE,TRUE,FALSE,$C$29:$C$31,$C$33),{1;2;3;4;5})),"")</f>
        <v>-3.1577550958747E-3</v>
      </c>
      <c r="U78" s="416">
        <f ca="1"/>
        <v>5.0145949165754398E-2</v>
      </c>
      <c r="V78" s="416">
        <f ca="1"/>
        <v>5.3303704261629101E-2</v>
      </c>
      <c r="W78" s="417">
        <f ca="1"/>
        <v>9.4075918100596598E-3</v>
      </c>
      <c r="X78" s="418">
        <f ca="1"/>
        <v>5.3303704261629097</v>
      </c>
      <c r="Y78" s="419">
        <f t="shared" ca="1" si="5"/>
        <v>3.9753070007372632E-2</v>
      </c>
      <c r="Z78" s="420">
        <f t="shared" ca="1" si="3"/>
        <v>-1.9934554277723842E-3</v>
      </c>
      <c r="AA78" s="419">
        <f t="shared" ca="1" si="0"/>
        <v>3.9077418361816003E-2</v>
      </c>
      <c r="AB78" s="421">
        <f t="shared" ca="1" si="1"/>
        <v>8.9372122195566766E-3</v>
      </c>
      <c r="AC78" s="420">
        <f t="shared" ca="1" si="4"/>
        <v>-9.7978711735027213E-5</v>
      </c>
      <c r="AD78" s="221"/>
      <c r="AE78" s="221">
        <f t="shared" ca="1" si="2"/>
        <v>1.1767060986388999E-2</v>
      </c>
    </row>
    <row r="79" spans="1:31" customFormat="1" ht="15">
      <c r="A79" s="221"/>
      <c r="B79" s="269">
        <v>41</v>
      </c>
      <c r="C79" s="68" t="s">
        <v>549</v>
      </c>
      <c r="D79" s="248">
        <v>1</v>
      </c>
      <c r="E79" s="240"/>
      <c r="F79" s="226">
        <v>0.4</v>
      </c>
      <c r="G79" s="428">
        <v>100</v>
      </c>
      <c r="H79" s="379">
        <v>65</v>
      </c>
      <c r="I79" s="406">
        <f ca="1"/>
        <v>7.9131911373275796E-5</v>
      </c>
      <c r="J79" s="406">
        <f ca="1"/>
        <v>5.8947511331494402E-4</v>
      </c>
      <c r="K79" s="406">
        <f ca="1"/>
        <v>0.134241309914295</v>
      </c>
      <c r="L79" s="406">
        <f ca="1"/>
        <v>0.134241309914295</v>
      </c>
      <c r="M79" s="406">
        <f ca="1"/>
        <v>-3.6652285372996502E-4</v>
      </c>
      <c r="N79" s="406" t="str">
        <f ca="1"/>
        <v>ELECTRICITE DE FRANCE</v>
      </c>
      <c r="O79" s="406">
        <f ca="1"/>
        <v>0.86409398890350997</v>
      </c>
      <c r="P79" s="406">
        <f ca="1"/>
        <v>0.74767696625466495</v>
      </c>
      <c r="Q79" s="406">
        <f ca="1"/>
        <v>1.15570497407726</v>
      </c>
      <c r="R79" s="444">
        <f ca="1"/>
        <v>1.15570497407726</v>
      </c>
      <c r="S79" s="436"/>
      <c r="T79" s="415" cm="1">
        <f t="array" aca="1" ref="T79:X79" ca="1">IF(AND($U$12,B103&lt;=$C$17,C103&lt;&gt;""),TRANSPOSE(INDEX(getcds(C103,$C$6,G103/10000,F103,D103,$C$13,$C$14,$C$15,$C$8,,,TRUE,TRUE,FALSE,$C$29:$C$31,$C$33),{1;2;3;4;5})),"")</f>
        <v>2.3230337453346E-3</v>
      </c>
      <c r="U79" s="416">
        <f ca="1"/>
        <v>5.5496767373511301E-2</v>
      </c>
      <c r="V79" s="416">
        <f ca="1"/>
        <v>5.3173733628176699E-2</v>
      </c>
      <c r="W79" s="417">
        <f ca="1"/>
        <v>1.04368761767941E-2</v>
      </c>
      <c r="X79" s="418">
        <f ca="1"/>
        <v>5.31737336281767</v>
      </c>
      <c r="Y79" s="419">
        <f t="shared" ca="1" si="5"/>
        <v>3.9753070007372632E-2</v>
      </c>
      <c r="Z79" s="420">
        <f t="shared" ca="1" si="3"/>
        <v>-2.2061668785820668E-3</v>
      </c>
      <c r="AA79" s="419">
        <f t="shared" ca="1" si="0"/>
        <v>4.4747103304765001E-2</v>
      </c>
      <c r="AB79" s="421">
        <f t="shared" ca="1" si="1"/>
        <v>9.9150323679543934E-3</v>
      </c>
      <c r="AC79" s="420">
        <f t="shared" ca="1" si="4"/>
        <v>-1.2416597913715135E-4</v>
      </c>
      <c r="AD79" s="221"/>
      <c r="AE79" s="221">
        <f t="shared" ca="1" si="2"/>
        <v>1.1750091112586906E-2</v>
      </c>
    </row>
    <row r="80" spans="1:31" customFormat="1" ht="15">
      <c r="A80" s="221"/>
      <c r="B80" s="269">
        <v>42</v>
      </c>
      <c r="C80" s="68" t="s">
        <v>550</v>
      </c>
      <c r="D80" s="248">
        <v>1</v>
      </c>
      <c r="E80" s="240"/>
      <c r="F80" s="226">
        <v>0.4</v>
      </c>
      <c r="G80" s="428">
        <v>100</v>
      </c>
      <c r="H80" s="379">
        <v>66</v>
      </c>
      <c r="I80" s="406">
        <f ca="1"/>
        <v>7.6904417057699405E-5</v>
      </c>
      <c r="J80" s="406">
        <f ca="1"/>
        <v>5.9138802847058796E-4</v>
      </c>
      <c r="K80" s="406">
        <f ca="1"/>
        <v>0.13004053743966501</v>
      </c>
      <c r="L80" s="406">
        <f ca="1"/>
        <v>0.13004053743966501</v>
      </c>
      <c r="M80" s="406">
        <f ca="1"/>
        <v>-3.5489493355237703E-4</v>
      </c>
      <c r="N80" s="406" t="str">
        <f ca="1"/>
        <v>ENEL S.P.A.</v>
      </c>
      <c r="O80" s="406">
        <f ca="1"/>
        <v>0.86417996807993003</v>
      </c>
      <c r="P80" s="406">
        <f ca="1"/>
        <v>0.74856006635137595</v>
      </c>
      <c r="Q80" s="406">
        <f ca="1"/>
        <v>1.15445641161718</v>
      </c>
      <c r="R80" s="444">
        <f ca="1"/>
        <v>1.15445641161718</v>
      </c>
      <c r="S80" s="436"/>
      <c r="T80" s="415" cm="1">
        <f t="array" aca="1" ref="T80:X80" ca="1">IF(AND($U$12,B104&lt;=$C$17,C104&lt;&gt;""),TRANSPOSE(INDEX(getcds(C104,$C$6,G104/10000,F104,D104,$C$13,$C$14,$C$15,$C$8,,,TRUE,TRUE,FALSE,$C$29:$C$31,$C$33),{1;2;3;4;5})),"")</f>
        <v>1.4399336486245E-3</v>
      </c>
      <c r="U80" s="416">
        <f ca="1"/>
        <v>5.4754232234122797E-2</v>
      </c>
      <c r="V80" s="416">
        <f ca="1"/>
        <v>5.3314298585498299E-2</v>
      </c>
      <c r="W80" s="417">
        <f ca="1"/>
        <v>1.0270083952490801E-2</v>
      </c>
      <c r="X80" s="418">
        <f ca="1"/>
        <v>5.3314298585498303</v>
      </c>
      <c r="Y80" s="419">
        <f t="shared" ref="Y80:Y143" ca="1" si="6">IF($U$12,IF(T80="","",$U$13*D104/$C$18),"")</f>
        <v>3.9753070007372632E-2</v>
      </c>
      <c r="Z80" s="420">
        <f t="shared" ref="Z80:Z143" ca="1" si="7">IF($U$12,IF(Y80="","",Y80*($Z$10-W80)*X80),"")</f>
        <v>-2.1766488272030272E-3</v>
      </c>
      <c r="AA80" s="419">
        <f t="shared" ref="AA80:AA143" ca="1" si="8">IF($U$12,IF(OR(T80="",L80=""),"",L80/($C$20-$C$19)),"")</f>
        <v>4.3346845813221672E-2</v>
      </c>
      <c r="AB80" s="421">
        <f t="shared" ref="AB80:AB143" ca="1" si="9">IF($U$12,IF(W80="","",W80*$AC$10),"")</f>
        <v>9.7565797548662611E-3</v>
      </c>
      <c r="AC80" s="420">
        <f t="shared" ref="AC80:AC143" ca="1" si="10">IF($U$12,IF(AA80="","",AA80*(AB80-W80)*X80),"")</f>
        <v>-1.1867116311369282E-4</v>
      </c>
      <c r="AD80" s="221"/>
      <c r="AE80" s="221">
        <f t="shared" ref="AE80:AE109" ca="1" si="11">X80*W80</f>
        <v>9.517086919266211E-3</v>
      </c>
    </row>
    <row r="81" spans="1:31" customFormat="1" ht="15">
      <c r="A81" s="221"/>
      <c r="B81" s="269">
        <v>43</v>
      </c>
      <c r="C81" s="68" t="s">
        <v>565</v>
      </c>
      <c r="D81" s="248">
        <v>1</v>
      </c>
      <c r="E81" s="240"/>
      <c r="F81" s="226">
        <v>0.4</v>
      </c>
      <c r="G81" s="428">
        <v>100</v>
      </c>
      <c r="H81" s="379">
        <v>67</v>
      </c>
      <c r="I81" s="406">
        <f ca="1"/>
        <v>4.3172778383730998E-5</v>
      </c>
      <c r="J81" s="406">
        <f ca="1"/>
        <v>6.0330193037401903E-4</v>
      </c>
      <c r="K81" s="406">
        <f ca="1"/>
        <v>7.1560815920091406E-2</v>
      </c>
      <c r="L81" s="406">
        <f ca="1"/>
        <v>7.1560815920091406E-2</v>
      </c>
      <c r="M81" s="406">
        <f ca="1"/>
        <v>-1.5822177516002799E-4</v>
      </c>
      <c r="N81" s="406" t="str">
        <f ca="1"/>
        <v>ENGIE</v>
      </c>
      <c r="O81" s="406">
        <f ca="1"/>
        <v>0.86514189973286004</v>
      </c>
      <c r="P81" s="406">
        <f ca="1"/>
        <v>0.76820674976329495</v>
      </c>
      <c r="Q81" s="406">
        <f ca="1"/>
        <v>1.1261836738605</v>
      </c>
      <c r="R81" s="444">
        <f ca="1"/>
        <v>1.1261836738605</v>
      </c>
      <c r="S81" s="436"/>
      <c r="T81" s="415" cm="1">
        <f t="array" aca="1" ref="T81:X81" ca="1">IF(AND($U$12,B105&lt;=$C$17,C105&lt;&gt;""),TRANSPOSE(INDEX(getcds(C105,$C$6,G105/10000,F105,D105,$C$13,$C$14,$C$15,$C$8,,,TRUE,TRUE,FALSE,$C$29:$C$31,$C$33),{1;2;3;4;5})),"")</f>
        <v>-1.8206749763294498E-2</v>
      </c>
      <c r="U81" s="416">
        <f ca="1"/>
        <v>3.5655989112948698E-2</v>
      </c>
      <c r="V81" s="416">
        <f ca="1"/>
        <v>5.3862738876243203E-2</v>
      </c>
      <c r="W81" s="417">
        <f ca="1"/>
        <v>6.6197876039822403E-3</v>
      </c>
      <c r="X81" s="418">
        <f ca="1"/>
        <v>5.3862738876243199</v>
      </c>
      <c r="Y81" s="419">
        <f t="shared" ca="1" si="6"/>
        <v>3.9753070007372632E-2</v>
      </c>
      <c r="Z81" s="420">
        <f t="shared" ca="1" si="7"/>
        <v>-1.4174350313891663E-3</v>
      </c>
      <c r="AA81" s="419">
        <f t="shared" ca="1" si="8"/>
        <v>2.3853605306697136E-2</v>
      </c>
      <c r="AB81" s="421">
        <f t="shared" ca="1" si="9"/>
        <v>6.2887982237831283E-3</v>
      </c>
      <c r="AC81" s="420">
        <f t="shared" ca="1" si="10"/>
        <v>-4.2526194556008435E-5</v>
      </c>
      <c r="AD81" s="221"/>
      <c r="AE81" s="221">
        <f t="shared" ca="1" si="11"/>
        <v>7.7057286314236358E-3</v>
      </c>
    </row>
    <row r="82" spans="1:31" customFormat="1" ht="15">
      <c r="A82" s="221"/>
      <c r="B82" s="269">
        <v>44</v>
      </c>
      <c r="C82" s="68" t="s">
        <v>551</v>
      </c>
      <c r="D82" s="248">
        <v>1</v>
      </c>
      <c r="E82" s="240"/>
      <c r="F82" s="226">
        <v>0.4</v>
      </c>
      <c r="G82" s="428">
        <v>100</v>
      </c>
      <c r="H82" s="379">
        <v>68</v>
      </c>
      <c r="I82" s="406">
        <f ca="1"/>
        <v>6.01690855071357E-5</v>
      </c>
      <c r="J82" s="406">
        <f ca="1"/>
        <v>5.8048264799191696E-4</v>
      </c>
      <c r="K82" s="406">
        <f ca="1"/>
        <v>0.103653547122004</v>
      </c>
      <c r="L82" s="406">
        <f ca="1"/>
        <v>0.103653547122004</v>
      </c>
      <c r="M82" s="406">
        <f ca="1"/>
        <v>-2.6082955536994097E-4</v>
      </c>
      <c r="N82" s="406" t="str">
        <f ca="1"/>
        <v>ENI S.P.A.</v>
      </c>
      <c r="O82" s="406">
        <f ca="1"/>
        <v>0.86468506928549005</v>
      </c>
      <c r="P82" s="406">
        <f ca="1"/>
        <v>0.75739587752437998</v>
      </c>
      <c r="Q82" s="406">
        <f ca="1"/>
        <v>1.1416553680115</v>
      </c>
      <c r="R82" s="444">
        <f ca="1"/>
        <v>1.1416553680115</v>
      </c>
      <c r="S82" s="436"/>
      <c r="T82" s="415" cm="1">
        <f t="array" aca="1" ref="T82:X82" ca="1">IF(AND($U$12,B106&lt;=$C$17,C106&lt;&gt;""),TRANSPOSE(INDEX(getcds(C106,$C$6,G106/10000,F106,D106,$C$13,$C$14,$C$15,$C$8,,,TRUE,TRUE,FALSE,$C$29:$C$31,$C$33),{1;2;3;4;5})),"")</f>
        <v>-7.3958775243799998E-3</v>
      </c>
      <c r="U82" s="416">
        <f ca="1"/>
        <v>4.6098331348613297E-2</v>
      </c>
      <c r="V82" s="416">
        <f ca="1"/>
        <v>5.3494208872993297E-2</v>
      </c>
      <c r="W82" s="417">
        <f ca="1"/>
        <v>8.6174433307464396E-3</v>
      </c>
      <c r="X82" s="418">
        <f ca="1"/>
        <v>5.3494208872993303</v>
      </c>
      <c r="Y82" s="419">
        <f t="shared" ca="1" si="6"/>
        <v>3.9753070007372632E-2</v>
      </c>
      <c r="Z82" s="420">
        <f t="shared" ca="1" si="7"/>
        <v>-1.8325501933244854E-3</v>
      </c>
      <c r="AA82" s="419">
        <f t="shared" ca="1" si="8"/>
        <v>3.4551182374001337E-2</v>
      </c>
      <c r="AB82" s="421">
        <f t="shared" ca="1" si="9"/>
        <v>8.1865711642091169E-3</v>
      </c>
      <c r="AC82" s="420">
        <f t="shared" ca="1" si="10"/>
        <v>-7.9637592678154204E-5</v>
      </c>
      <c r="AD82" s="221"/>
      <c r="AE82" s="221">
        <f t="shared" ca="1" si="11"/>
        <v>9.9342976220002238E-3</v>
      </c>
    </row>
    <row r="83" spans="1:31" customFormat="1" ht="15">
      <c r="A83" s="221"/>
      <c r="B83" s="269">
        <v>45</v>
      </c>
      <c r="C83" s="68" t="s">
        <v>626</v>
      </c>
      <c r="D83" s="248">
        <v>1</v>
      </c>
      <c r="E83" s="240"/>
      <c r="F83" s="226">
        <v>0.4</v>
      </c>
      <c r="G83" s="428">
        <v>100</v>
      </c>
      <c r="H83" s="379">
        <v>69</v>
      </c>
      <c r="I83" s="406">
        <f ca="1"/>
        <v>2.2953533437774999E-5</v>
      </c>
      <c r="J83" s="406">
        <f ca="1"/>
        <v>6.1917347379851105E-4</v>
      </c>
      <c r="K83" s="406">
        <f ca="1"/>
        <v>3.7071248057445799E-2</v>
      </c>
      <c r="L83" s="406">
        <f ca="1"/>
        <v>3.7071248057445799E-2</v>
      </c>
      <c r="M83" s="406">
        <f ca="1"/>
        <v>-6.1924622385101097E-5</v>
      </c>
      <c r="N83" s="406" t="str">
        <f ca="1"/>
        <v>EQUINOR ASA</v>
      </c>
      <c r="O83" s="406">
        <f ca="1"/>
        <v>0.86546217272266002</v>
      </c>
      <c r="P83" s="406">
        <f ca="1"/>
        <v>0.78164301259124302</v>
      </c>
      <c r="Q83" s="406">
        <f ca="1"/>
        <v>1.1072345799568399</v>
      </c>
      <c r="R83" s="444">
        <f ca="1"/>
        <v>1.1072345799568399</v>
      </c>
      <c r="S83" s="436"/>
      <c r="T83" s="415" cm="1">
        <f t="array" aca="1" ref="T83:X83" ca="1">IF(AND($U$12,B107&lt;=$C$17,C107&lt;&gt;""),TRANSPOSE(INDEX(getcds(C107,$C$6,G107/10000,F107,D107,$C$13,$C$14,$C$15,$C$8,,,TRUE,TRUE,FALSE,$C$29:$C$31,$C$33),{1;2;3;4;5})),"")</f>
        <v>-3.16430125912434E-2</v>
      </c>
      <c r="U83" s="416">
        <f ca="1"/>
        <v>2.2713134109586999E-2</v>
      </c>
      <c r="V83" s="416">
        <f ca="1"/>
        <v>5.4356146700830402E-2</v>
      </c>
      <c r="W83" s="417">
        <f ca="1"/>
        <v>4.1785769389793802E-3</v>
      </c>
      <c r="X83" s="418">
        <f ca="1"/>
        <v>5.4356146700830399</v>
      </c>
      <c r="Y83" s="419">
        <f t="shared" ca="1" si="6"/>
        <v>3.9753070007372632E-2</v>
      </c>
      <c r="Z83" s="420">
        <f t="shared" ca="1" si="7"/>
        <v>-9.0291681034525533E-4</v>
      </c>
      <c r="AA83" s="419">
        <f t="shared" ca="1" si="8"/>
        <v>1.2357082685815266E-2</v>
      </c>
      <c r="AB83" s="421">
        <f t="shared" ca="1" si="9"/>
        <v>3.9696480920304112E-3</v>
      </c>
      <c r="AC83" s="420">
        <f t="shared" ca="1" si="10"/>
        <v>-1.4033403812308884E-5</v>
      </c>
      <c r="AD83" s="221"/>
      <c r="AE83" s="221">
        <f t="shared" ca="1" si="11"/>
        <v>5.1283451214144005E-3</v>
      </c>
    </row>
    <row r="84" spans="1:31" customFormat="1" ht="15">
      <c r="A84" s="221"/>
      <c r="B84" s="269">
        <v>46</v>
      </c>
      <c r="C84" s="68" t="s">
        <v>566</v>
      </c>
      <c r="D84" s="248">
        <v>1</v>
      </c>
      <c r="E84" s="240"/>
      <c r="F84" s="226">
        <v>0.4</v>
      </c>
      <c r="G84" s="428">
        <v>100</v>
      </c>
      <c r="H84" s="379">
        <v>70</v>
      </c>
      <c r="I84" s="406">
        <f ca="1"/>
        <v>4.7496494122922802E-5</v>
      </c>
      <c r="J84" s="406">
        <f ca="1"/>
        <v>5.9931975388495496E-4</v>
      </c>
      <c r="K84" s="406">
        <f ca="1"/>
        <v>7.9250673476116099E-2</v>
      </c>
      <c r="L84" s="406">
        <f ca="1"/>
        <v>7.9250673476116099E-2</v>
      </c>
      <c r="M84" s="406">
        <f ca="1"/>
        <v>-1.8346327560842701E-4</v>
      </c>
      <c r="N84" s="406" t="str">
        <f ca="1"/>
        <v>FORTUM OYJ</v>
      </c>
      <c r="O84" s="406">
        <f ca="1"/>
        <v>0.86504653116444996</v>
      </c>
      <c r="P84" s="406">
        <f ca="1"/>
        <v>0.76523987325548004</v>
      </c>
      <c r="Q84" s="406">
        <f ca="1"/>
        <v>1.1304253233491</v>
      </c>
      <c r="R84" s="444">
        <f ca="1"/>
        <v>1.1304253233491</v>
      </c>
      <c r="S84" s="436"/>
      <c r="T84" s="415" cm="1">
        <f t="array" aca="1" ref="T84:X84" ca="1">IF(AND($U$12,B108&lt;=$C$17,C108&lt;&gt;""),TRANSPOSE(INDEX(getcds(C108,$C$6,G108/10000,F108,D108,$C$13,$C$14,$C$15,$C$8,,,TRUE,TRUE,FALSE,$C$29:$C$31,$C$33),{1;2;3;4;5})),"")</f>
        <v>-1.52398732554796E-2</v>
      </c>
      <c r="U84" s="416">
        <f ca="1"/>
        <v>3.8578178608253903E-2</v>
      </c>
      <c r="V84" s="416">
        <f ca="1"/>
        <v>5.38180518637335E-2</v>
      </c>
      <c r="W84" s="417">
        <f ca="1"/>
        <v>7.1682599559592499E-3</v>
      </c>
      <c r="X84" s="418">
        <f ca="1"/>
        <v>5.3818051863733496</v>
      </c>
      <c r="Y84" s="419">
        <f t="shared" ca="1" si="6"/>
        <v>3.9753070007372632E-2</v>
      </c>
      <c r="Z84" s="420">
        <f t="shared" ca="1" si="7"/>
        <v>-1.5336010349708423E-3</v>
      </c>
      <c r="AA84" s="419">
        <f t="shared" ca="1" si="8"/>
        <v>2.6416891158705366E-2</v>
      </c>
      <c r="AB84" s="421">
        <f t="shared" ca="1" si="9"/>
        <v>6.8098469581612869E-3</v>
      </c>
      <c r="AC84" s="420">
        <f t="shared" ca="1" si="10"/>
        <v>-5.0955777269766998E-5</v>
      </c>
      <c r="AD84" s="221"/>
      <c r="AE84" s="221">
        <f t="shared" ca="1" si="11"/>
        <v>7.4322587689610101E-3</v>
      </c>
    </row>
    <row r="85" spans="1:31" customFormat="1" ht="15">
      <c r="A85" s="221"/>
      <c r="B85" s="269">
        <v>47</v>
      </c>
      <c r="C85" s="68" t="s">
        <v>552</v>
      </c>
      <c r="D85" s="248">
        <v>1</v>
      </c>
      <c r="E85" s="240"/>
      <c r="F85" s="226">
        <v>0.4</v>
      </c>
      <c r="G85" s="428">
        <v>100</v>
      </c>
      <c r="H85" s="379">
        <v>71</v>
      </c>
      <c r="I85" s="406">
        <f ca="1"/>
        <v>4.0651627117886897E-5</v>
      </c>
      <c r="J85" s="406">
        <f ca="1"/>
        <v>6.0440309255688804E-4</v>
      </c>
      <c r="K85" s="406">
        <f ca="1"/>
        <v>6.7259131560549801E-2</v>
      </c>
      <c r="L85" s="406">
        <f ca="1"/>
        <v>6.7259131560549801E-2</v>
      </c>
      <c r="M85" s="406">
        <f ca="1"/>
        <v>-1.4675336952850001E-4</v>
      </c>
      <c r="N85" s="406" t="str">
        <f ca="1"/>
        <v>IBERDROLA, S.A.</v>
      </c>
      <c r="O85" s="406">
        <f ca="1"/>
        <v>0.86519139481038998</v>
      </c>
      <c r="P85" s="406">
        <f ca="1"/>
        <v>0.76943049239432904</v>
      </c>
      <c r="Q85" s="406">
        <f ca="1"/>
        <v>1.12445685914795</v>
      </c>
      <c r="R85" s="444">
        <f ca="1"/>
        <v>1.12445685914795</v>
      </c>
      <c r="S85" s="436"/>
      <c r="T85" s="415" cm="1">
        <f t="array" aca="1" ref="T85:X85" ca="1">IF(AND($U$12,B109&lt;=$C$17,C109&lt;&gt;""),TRANSPOSE(INDEX(getcds(C109,$C$6,G109/10000,F109,D109,$C$13,$C$14,$C$15,$C$8,,,TRUE,TRUE,FALSE,$C$29:$C$31,$C$33),{1;2;3;4;5})),"")</f>
        <v>-1.9430492394328699E-2</v>
      </c>
      <c r="U85" s="416">
        <f ca="1"/>
        <v>3.4562161259091097E-2</v>
      </c>
      <c r="V85" s="416">
        <f ca="1"/>
        <v>5.3992653653419799E-2</v>
      </c>
      <c r="W85" s="417">
        <f ca="1"/>
        <v>6.4012710842009102E-3</v>
      </c>
      <c r="X85" s="418">
        <f ca="1"/>
        <v>5.3992653653419804</v>
      </c>
      <c r="Y85" s="419">
        <f t="shared" ca="1" si="6"/>
        <v>3.9753070007372632E-2</v>
      </c>
      <c r="Z85" s="420">
        <f t="shared" ca="1" si="7"/>
        <v>-1.3739520161387502E-3</v>
      </c>
      <c r="AA85" s="419">
        <f t="shared" ca="1" si="8"/>
        <v>2.2419710520183267E-2</v>
      </c>
      <c r="AB85" s="421">
        <f t="shared" ca="1" si="9"/>
        <v>6.0812075299908645E-3</v>
      </c>
      <c r="AC85" s="420">
        <f t="shared" ca="1" si="10"/>
        <v>-3.8743682519035766E-5</v>
      </c>
      <c r="AD85" s="221"/>
      <c r="AE85" s="221">
        <f t="shared" ca="1" si="11"/>
        <v>6.6196424730244922E-3</v>
      </c>
    </row>
    <row r="86" spans="1:31" customFormat="1" ht="15">
      <c r="A86" s="221"/>
      <c r="B86" s="269">
        <v>48</v>
      </c>
      <c r="C86" s="68" t="s">
        <v>567</v>
      </c>
      <c r="D86" s="248">
        <v>1</v>
      </c>
      <c r="E86" s="240"/>
      <c r="F86" s="226">
        <v>0.4</v>
      </c>
      <c r="G86" s="428">
        <v>100</v>
      </c>
      <c r="H86" s="379">
        <v>72</v>
      </c>
      <c r="I86" s="406">
        <f ca="1"/>
        <v>6.4694322652929495E-5</v>
      </c>
      <c r="J86" s="406">
        <f ca="1"/>
        <v>5.9669558828301405E-4</v>
      </c>
      <c r="K86" s="406">
        <f ca="1"/>
        <v>0.108420983703075</v>
      </c>
      <c r="L86" s="406">
        <f ca="1"/>
        <v>0.108420983703075</v>
      </c>
      <c r="M86" s="406">
        <f ca="1"/>
        <v>-2.7715569467122903E-4</v>
      </c>
      <c r="N86" s="406" t="str">
        <f ca="1"/>
        <v>NATIONAL GRID PLC</v>
      </c>
      <c r="O86" s="406">
        <f ca="1"/>
        <v>0.86459732069171003</v>
      </c>
      <c r="P86" s="406">
        <f ca="1"/>
        <v>0.75586968990593995</v>
      </c>
      <c r="Q86" s="406">
        <f ca="1"/>
        <v>1.1438444115933499</v>
      </c>
      <c r="R86" s="444">
        <f ca="1"/>
        <v>1.1438444115933499</v>
      </c>
      <c r="S86" s="436"/>
      <c r="T86" s="415" cm="1">
        <f t="array" aca="1" ref="T86:X86" ca="1">IF(AND($U$12,B110&lt;=$C$17,C110&lt;&gt;""),TRANSPOSE(INDEX(getcds(C110,$C$6,G110/10000,F110,D110,$C$13,$C$14,$C$15,$C$8,,,TRUE,TRUE,FALSE,$C$29:$C$31,$C$33),{1;2;3;4;5})),"")</f>
        <v>-5.8696899059403999E-3</v>
      </c>
      <c r="U86" s="416">
        <f ca="1"/>
        <v>4.7549351377066201E-2</v>
      </c>
      <c r="V86" s="416">
        <f ca="1"/>
        <v>5.3419041283006598E-2</v>
      </c>
      <c r="W86" s="417">
        <f ca="1"/>
        <v>8.9011989423689597E-3</v>
      </c>
      <c r="X86" s="418">
        <f ca="1"/>
        <v>5.3419041283006603</v>
      </c>
      <c r="Y86" s="419">
        <f t="shared" ca="1" si="6"/>
        <v>3.9753070007372632E-2</v>
      </c>
      <c r="Z86" s="420">
        <f t="shared" ca="1" si="7"/>
        <v>-1.8902326940976736E-3</v>
      </c>
      <c r="AA86" s="419">
        <f t="shared" ca="1" si="8"/>
        <v>3.6140327901024998E-2</v>
      </c>
      <c r="AB86" s="421">
        <f t="shared" ca="1" si="9"/>
        <v>8.4561389952505107E-3</v>
      </c>
      <c r="AC86" s="420">
        <f t="shared" ca="1" si="10"/>
        <v>-8.5922457512411577E-5</v>
      </c>
      <c r="AD86" s="221"/>
      <c r="AE86" s="221">
        <f t="shared" ca="1" si="11"/>
        <v>1.0725328741982908E-2</v>
      </c>
    </row>
    <row r="87" spans="1:31" customFormat="1" ht="15">
      <c r="A87" s="221"/>
      <c r="B87" s="269">
        <v>49</v>
      </c>
      <c r="C87" s="68" t="s">
        <v>553</v>
      </c>
      <c r="D87" s="248">
        <v>1</v>
      </c>
      <c r="E87" s="240"/>
      <c r="F87" s="226">
        <v>0.4</v>
      </c>
      <c r="G87" s="428">
        <v>100</v>
      </c>
      <c r="H87" s="379">
        <v>73</v>
      </c>
      <c r="I87" s="406">
        <f ca="1"/>
        <v>4.8928942034338702E-5</v>
      </c>
      <c r="J87" s="406">
        <f ca="1"/>
        <v>5.8805593010710503E-4</v>
      </c>
      <c r="K87" s="406">
        <f ca="1"/>
        <v>8.3204572098145593E-2</v>
      </c>
      <c r="L87" s="406">
        <f ca="1"/>
        <v>8.3204572098145593E-2</v>
      </c>
      <c r="M87" s="406">
        <f ca="1"/>
        <v>-1.9417873365908301E-4</v>
      </c>
      <c r="N87" s="406" t="str">
        <f ca="1"/>
        <v>NATURGY ENERGY GROUP, S.A.</v>
      </c>
      <c r="O87" s="406">
        <f ca="1"/>
        <v>0.86499469482147995</v>
      </c>
      <c r="P87" s="406">
        <f ca="1"/>
        <v>0.76417861493050798</v>
      </c>
      <c r="Q87" s="406">
        <f ca="1"/>
        <v>1.13192737655992</v>
      </c>
      <c r="R87" s="444">
        <f ca="1"/>
        <v>1.13192737655992</v>
      </c>
      <c r="S87" s="436"/>
      <c r="T87" s="415" cm="1">
        <f t="array" aca="1" ref="T87:X87" ca="1">IF(AND($U$12,B111&lt;=$C$17,C111&lt;&gt;""),TRANSPOSE(INDEX(getcds(C111,$C$6,G111/10000,F111,D111,$C$13,$C$14,$C$15,$C$8,,,TRUE,TRUE,FALSE,$C$29:$C$31,$C$33),{1;2;3;4;5})),"")</f>
        <v>-1.4178614930508E-2</v>
      </c>
      <c r="U87" s="416">
        <f ca="1"/>
        <v>3.95690656687177E-2</v>
      </c>
      <c r="V87" s="416">
        <f ca="1"/>
        <v>5.3747680599225703E-2</v>
      </c>
      <c r="W87" s="417">
        <f ca="1"/>
        <v>7.3620043186175604E-3</v>
      </c>
      <c r="X87" s="418">
        <f ca="1"/>
        <v>5.3747680599225696</v>
      </c>
      <c r="Y87" s="419">
        <f t="shared" ca="1" si="6"/>
        <v>3.9753070007372632E-2</v>
      </c>
      <c r="Z87" s="420">
        <f t="shared" ca="1" si="7"/>
        <v>-1.572991837654859E-3</v>
      </c>
      <c r="AA87" s="419">
        <f t="shared" ca="1" si="8"/>
        <v>2.773485736604853E-2</v>
      </c>
      <c r="AB87" s="421">
        <f t="shared" ca="1" si="9"/>
        <v>6.9939041026866816E-3</v>
      </c>
      <c r="AC87" s="420">
        <f t="shared" ca="1" si="10"/>
        <v>-5.4872119621484741E-5</v>
      </c>
      <c r="AD87" s="221"/>
      <c r="AE87" s="221">
        <f t="shared" ca="1" si="11"/>
        <v>8.5737188826421461E-3</v>
      </c>
    </row>
    <row r="88" spans="1:31" customFormat="1" ht="15">
      <c r="A88" s="221"/>
      <c r="B88" s="269">
        <v>50</v>
      </c>
      <c r="C88" s="68" t="s">
        <v>554</v>
      </c>
      <c r="D88" s="248">
        <v>1</v>
      </c>
      <c r="E88" s="240"/>
      <c r="F88" s="226">
        <v>0.4</v>
      </c>
      <c r="G88" s="428">
        <v>100</v>
      </c>
      <c r="H88" s="379">
        <v>74</v>
      </c>
      <c r="I88" s="406">
        <f ca="1"/>
        <v>6.8536451993903605E-5</v>
      </c>
      <c r="J88" s="406">
        <f ca="1"/>
        <v>5.9460326563450503E-4</v>
      </c>
      <c r="K88" s="406">
        <f ca="1"/>
        <v>0.11526417017028601</v>
      </c>
      <c r="L88" s="406">
        <f ca="1"/>
        <v>0.11526417017028601</v>
      </c>
      <c r="M88" s="406">
        <f ca="1"/>
        <v>-3.0003209752022599E-4</v>
      </c>
      <c r="N88" s="406" t="str">
        <f ca="1"/>
        <v>REPSOL, S.A.</v>
      </c>
      <c r="O88" s="406">
        <f ca="1"/>
        <v>0.86447274887349002</v>
      </c>
      <c r="P88" s="406">
        <f ca="1"/>
        <v>0.75374061427146299</v>
      </c>
      <c r="Q88" s="406">
        <f ca="1"/>
        <v>1.1469101339445</v>
      </c>
      <c r="R88" s="444">
        <f ca="1"/>
        <v>1.1469101339445</v>
      </c>
      <c r="S88" s="436"/>
      <c r="T88" s="415" cm="1">
        <f t="array" aca="1" ref="T88:X88" ca="1">IF(AND($U$12,B112&lt;=$C$17,C112&lt;&gt;""),TRANSPOSE(INDEX(getcds(C112,$C$6,G112/10000,F112,D112,$C$13,$C$14,$C$15,$C$8,,,TRUE,TRUE,FALSE,$C$29:$C$31,$C$33),{1;2;3;4;5})),"")</f>
        <v>-3.7406142714632999E-3</v>
      </c>
      <c r="U88" s="416">
        <f ca="1"/>
        <v>4.9593156263188998E-2</v>
      </c>
      <c r="V88" s="416">
        <f ca="1"/>
        <v>5.3333770534652297E-2</v>
      </c>
      <c r="W88" s="417">
        <f ca="1"/>
        <v>9.2986405735118703E-3</v>
      </c>
      <c r="X88" s="418">
        <f ca="1"/>
        <v>5.3333770534652301</v>
      </c>
      <c r="Y88" s="419">
        <f t="shared" ca="1" si="6"/>
        <v>3.9753070007372632E-2</v>
      </c>
      <c r="Z88" s="420">
        <f t="shared" ca="1" si="7"/>
        <v>-1.9714802128171218E-3</v>
      </c>
      <c r="AA88" s="419">
        <f t="shared" ca="1" si="8"/>
        <v>3.8421390056762005E-2</v>
      </c>
      <c r="AB88" s="421">
        <f t="shared" ca="1" si="9"/>
        <v>8.8337085448362759E-3</v>
      </c>
      <c r="AC88" s="420">
        <f t="shared" ca="1" si="10"/>
        <v>-9.527190004669683E-5</v>
      </c>
      <c r="AD88" s="221"/>
      <c r="AE88" s="221">
        <f t="shared" ca="1" si="11"/>
        <v>1.1436059464610595E-2</v>
      </c>
    </row>
    <row r="89" spans="1:31" customFormat="1" ht="15">
      <c r="A89" s="221"/>
      <c r="B89" s="269">
        <v>51</v>
      </c>
      <c r="C89" s="68" t="s">
        <v>555</v>
      </c>
      <c r="D89" s="248">
        <v>1</v>
      </c>
      <c r="E89" s="240"/>
      <c r="F89" s="226">
        <v>0.4</v>
      </c>
      <c r="G89" s="428">
        <v>100</v>
      </c>
      <c r="H89" s="379">
        <v>75</v>
      </c>
      <c r="I89" s="406">
        <f ca="1"/>
        <v>3.0710397943556297E-5</v>
      </c>
      <c r="J89" s="406">
        <f ca="1"/>
        <v>6.1245522866048305E-4</v>
      </c>
      <c r="K89" s="406">
        <f ca="1"/>
        <v>5.0143090476545998E-2</v>
      </c>
      <c r="L89" s="406">
        <f ca="1"/>
        <v>5.0143090476545998E-2</v>
      </c>
      <c r="M89" s="406">
        <f ca="1"/>
        <v>-9.7124602121763094E-5</v>
      </c>
      <c r="N89" s="406" t="str">
        <f ca="1"/>
        <v>SHELL PLC</v>
      </c>
      <c r="O89" s="406">
        <f ca="1"/>
        <v>0.86536193517806004</v>
      </c>
      <c r="P89" s="406">
        <f ca="1"/>
        <v>0.77591626906484701</v>
      </c>
      <c r="Q89" s="406">
        <f ca="1"/>
        <v>1.11527747216979</v>
      </c>
      <c r="R89" s="444">
        <f ca="1"/>
        <v>1.11527747216979</v>
      </c>
      <c r="S89" s="436"/>
      <c r="T89" s="415" cm="1">
        <f t="array" aca="1" ref="T89:X89" ca="1">IF(AND($U$12,B113&lt;=$C$17,C113&lt;&gt;""),TRANSPOSE(INDEX(getcds(C113,$C$6,G113/10000,F113,D113,$C$13,$C$14,$C$15,$C$8,,,TRUE,TRUE,FALSE,$C$29:$C$31,$C$33),{1;2;3;4;5})),"")</f>
        <v>-2.5916269064847099E-2</v>
      </c>
      <c r="U89" s="416">
        <f ca="1"/>
        <v>2.8299109142858801E-2</v>
      </c>
      <c r="V89" s="416">
        <f ca="1"/>
        <v>5.4215378207705903E-2</v>
      </c>
      <c r="W89" s="417">
        <f ca="1"/>
        <v>5.2197568436101998E-3</v>
      </c>
      <c r="X89" s="418">
        <f ca="1"/>
        <v>5.42153782077059</v>
      </c>
      <c r="Y89" s="419">
        <f t="shared" ca="1" si="6"/>
        <v>3.9753070007372632E-2</v>
      </c>
      <c r="Z89" s="420">
        <f t="shared" ca="1" si="7"/>
        <v>-1.1249764669023455E-3</v>
      </c>
      <c r="AA89" s="419">
        <f t="shared" ca="1" si="8"/>
        <v>1.6714363492181999E-2</v>
      </c>
      <c r="AB89" s="421">
        <f t="shared" ca="1" si="9"/>
        <v>4.9587690014296897E-3</v>
      </c>
      <c r="AC89" s="420">
        <f t="shared" ca="1" si="10"/>
        <v>-2.365007983593367E-5</v>
      </c>
      <c r="AD89" s="221"/>
      <c r="AE89" s="221">
        <f t="shared" ca="1" si="11"/>
        <v>5.5658423651119672E-3</v>
      </c>
    </row>
    <row r="90" spans="1:31" customFormat="1" ht="15">
      <c r="A90" s="221"/>
      <c r="B90" s="269">
        <v>52</v>
      </c>
      <c r="C90" s="68" t="s">
        <v>556</v>
      </c>
      <c r="D90" s="248">
        <v>1</v>
      </c>
      <c r="E90" s="240"/>
      <c r="F90" s="226">
        <v>0.4</v>
      </c>
      <c r="G90" s="428">
        <v>100</v>
      </c>
      <c r="H90" s="379">
        <v>76</v>
      </c>
      <c r="I90" s="406">
        <f ca="1"/>
        <v>2.65886526790471E-5</v>
      </c>
      <c r="J90" s="406">
        <f ca="1"/>
        <v>6.1601269689817695E-4</v>
      </c>
      <c r="K90" s="406">
        <f ca="1"/>
        <v>4.3162507547213798E-2</v>
      </c>
      <c r="L90" s="406">
        <f ca="1"/>
        <v>4.3162507547213798E-2</v>
      </c>
      <c r="M90" s="406">
        <f ca="1"/>
        <v>-7.8226176448783501E-5</v>
      </c>
      <c r="N90" s="406" t="str">
        <f ca="1"/>
        <v>TOTALENERGIES SE</v>
      </c>
      <c r="O90" s="406">
        <f ca="1"/>
        <v>0.86541922524022996</v>
      </c>
      <c r="P90" s="406">
        <f ca="1"/>
        <v>0.77877667238504</v>
      </c>
      <c r="Q90" s="406">
        <f ca="1"/>
        <v>1.1112546843369699</v>
      </c>
      <c r="R90" s="444">
        <f ca="1"/>
        <v>1.1112546843369699</v>
      </c>
      <c r="S90" s="436"/>
      <c r="T90" s="415" cm="1">
        <f t="array" aca="1" ref="T90:X90" ca="1">IF(AND($U$12,B114&lt;=$C$17,C114&lt;&gt;""),TRANSPOSE(INDEX(getcds(C114,$C$6,G114/10000,F114,D114,$C$13,$C$14,$C$15,$C$8,,,TRUE,TRUE,FALSE,$C$29:$C$31,$C$33),{1;2;3;4;5})),"")</f>
        <v>-2.8776672385040301E-2</v>
      </c>
      <c r="U90" s="416">
        <f ca="1"/>
        <v>2.5514912937190701E-2</v>
      </c>
      <c r="V90" s="416">
        <f ca="1"/>
        <v>5.4291585322231002E-2</v>
      </c>
      <c r="W90" s="417">
        <f ca="1"/>
        <v>4.6996072753733003E-3</v>
      </c>
      <c r="X90" s="418">
        <f ca="1"/>
        <v>5.4291585322231004</v>
      </c>
      <c r="Y90" s="419">
        <f t="shared" ca="1" si="6"/>
        <v>3.9753070007372632E-2</v>
      </c>
      <c r="Z90" s="420">
        <f t="shared" ca="1" si="7"/>
        <v>-1.0142961202241601E-3</v>
      </c>
      <c r="AA90" s="419">
        <f t="shared" ca="1" si="8"/>
        <v>1.4387502515737933E-2</v>
      </c>
      <c r="AB90" s="421">
        <f t="shared" ca="1" si="9"/>
        <v>4.4646269116046348E-3</v>
      </c>
      <c r="AC90" s="420">
        <f t="shared" ca="1" si="10"/>
        <v>-1.8354793703633319E-5</v>
      </c>
      <c r="AD90" s="221"/>
      <c r="AE90" s="221">
        <f t="shared" ca="1" si="11"/>
        <v>5.0711318306803678E-3</v>
      </c>
    </row>
    <row r="91" spans="1:31" customFormat="1" ht="15">
      <c r="A91" s="221"/>
      <c r="B91" s="269">
        <v>53</v>
      </c>
      <c r="C91" s="68" t="s">
        <v>557</v>
      </c>
      <c r="D91" s="248">
        <v>1</v>
      </c>
      <c r="E91" s="240"/>
      <c r="F91" s="226">
        <v>0.4</v>
      </c>
      <c r="G91" s="428">
        <v>100</v>
      </c>
      <c r="H91" s="379">
        <v>77</v>
      </c>
      <c r="I91" s="406">
        <f ca="1"/>
        <v>4.2090983160445497E-5</v>
      </c>
      <c r="J91" s="406">
        <f ca="1"/>
        <v>6.0389674959226503E-4</v>
      </c>
      <c r="K91" s="406">
        <f ca="1"/>
        <v>6.9698972860615993E-2</v>
      </c>
      <c r="L91" s="406">
        <f ca="1"/>
        <v>6.9698972860615993E-2</v>
      </c>
      <c r="M91" s="406">
        <f ca="1"/>
        <v>-1.5321010957635001E-4</v>
      </c>
      <c r="N91" s="406" t="str">
        <f ca="1"/>
        <v>VEOLIA ENVIRONNEMENT</v>
      </c>
      <c r="O91" s="406">
        <f ca="1"/>
        <v>0.86516418537144002</v>
      </c>
      <c r="P91" s="406">
        <f ca="1"/>
        <v>0.76873430583443203</v>
      </c>
      <c r="Q91" s="406">
        <f ca="1"/>
        <v>1.1254398025496399</v>
      </c>
      <c r="R91" s="444">
        <f ca="1"/>
        <v>1.1254398025496399</v>
      </c>
      <c r="S91" s="436"/>
      <c r="T91" s="415" cm="1">
        <f t="array" aca="1" ref="T91:X91" ca="1">IF(AND($U$12,B115&lt;=$C$17,C115&lt;&gt;""),TRANSPOSE(INDEX(getcds(C115,$C$6,G115/10000,F115,D115,$C$13,$C$14,$C$15,$C$8,,,TRUE,TRUE,FALSE,$C$29:$C$31,$C$33),{1;2;3;4;5})),"")</f>
        <v>-1.8734305834432301E-2</v>
      </c>
      <c r="U91" s="416">
        <f ca="1"/>
        <v>3.5178171744728197E-2</v>
      </c>
      <c r="V91" s="416">
        <f ca="1"/>
        <v>5.3912477579160498E-2</v>
      </c>
      <c r="W91" s="417">
        <f ca="1"/>
        <v>6.5250519590897204E-3</v>
      </c>
      <c r="X91" s="418">
        <f ca="1"/>
        <v>5.3912477579160498</v>
      </c>
      <c r="Y91" s="419">
        <f t="shared" ca="1" si="6"/>
        <v>3.9753070007372632E-2</v>
      </c>
      <c r="Z91" s="420">
        <f t="shared" ca="1" si="7"/>
        <v>-1.3984403240995574E-3</v>
      </c>
      <c r="AA91" s="419">
        <f t="shared" ca="1" si="8"/>
        <v>2.3232990953538663E-2</v>
      </c>
      <c r="AB91" s="421">
        <f t="shared" ca="1" si="9"/>
        <v>6.1987993611352342E-3</v>
      </c>
      <c r="AC91" s="420">
        <f t="shared" ca="1" si="10"/>
        <v>-4.0864707295364991E-5</v>
      </c>
      <c r="AD91" s="221"/>
      <c r="AE91" s="221">
        <f t="shared" ca="1" si="11"/>
        <v>7.1928678896348644E-3</v>
      </c>
    </row>
    <row r="92" spans="1:31" customFormat="1" ht="15">
      <c r="A92" s="221"/>
      <c r="B92" s="269">
        <v>54</v>
      </c>
      <c r="C92" s="68" t="s">
        <v>558</v>
      </c>
      <c r="D92" s="248">
        <v>1</v>
      </c>
      <c r="E92" s="240"/>
      <c r="F92" s="226">
        <v>0.4</v>
      </c>
      <c r="G92" s="428">
        <v>100</v>
      </c>
      <c r="H92" s="379">
        <v>78</v>
      </c>
      <c r="I92" s="406">
        <f ca="1"/>
        <v>3.1831384826013199E-5</v>
      </c>
      <c r="J92" s="406">
        <f ca="1"/>
        <v>6.1179795886181002E-4</v>
      </c>
      <c r="K92" s="406">
        <f ca="1"/>
        <v>5.2029243257418499E-2</v>
      </c>
      <c r="L92" s="406">
        <f ca="1"/>
        <v>5.2029243257418499E-2</v>
      </c>
      <c r="M92" s="406">
        <f ca="1"/>
        <v>-1.01536186179549E-4</v>
      </c>
      <c r="N92" s="406" t="str">
        <f ca="1"/>
        <v>BERTELSMANN SE &amp; CO. KGAA</v>
      </c>
      <c r="O92" s="406">
        <f ca="1"/>
        <v>0.86534510083853999</v>
      </c>
      <c r="P92" s="406">
        <f ca="1"/>
        <v>0.77537799238062199</v>
      </c>
      <c r="Q92" s="406">
        <f ca="1"/>
        <v>1.11603000000257</v>
      </c>
      <c r="R92" s="444">
        <f ca="1"/>
        <v>1.11603000000257</v>
      </c>
      <c r="S92" s="436"/>
      <c r="T92" s="415" cm="1">
        <f t="array" aca="1" ref="T92:X92" ca="1">IF(AND($U$12,B116&lt;=$C$17,C116&lt;&gt;""),TRANSPOSE(INDEX(getcds(C116,$C$6,G116/10000,F116,D116,$C$13,$C$14,$C$15,$C$8,,,TRUE,TRUE,FALSE,$C$29:$C$31,$C$33),{1;2;3;4;5})),"")</f>
        <v>-2.5377992380621901E-2</v>
      </c>
      <c r="U92" s="416">
        <f ca="1"/>
        <v>2.8784241168196299E-2</v>
      </c>
      <c r="V92" s="416">
        <f ca="1"/>
        <v>5.4162233548818203E-2</v>
      </c>
      <c r="W92" s="417">
        <f ca="1"/>
        <v>5.3144487001726198E-3</v>
      </c>
      <c r="X92" s="418">
        <f ca="1"/>
        <v>5.4162233548818204</v>
      </c>
      <c r="Y92" s="419">
        <f t="shared" ca="1" si="6"/>
        <v>3.9753070007372632E-2</v>
      </c>
      <c r="Z92" s="420">
        <f t="shared" ca="1" si="7"/>
        <v>-1.144261954268404E-3</v>
      </c>
      <c r="AA92" s="419">
        <f t="shared" ca="1" si="8"/>
        <v>1.7343081085806168E-2</v>
      </c>
      <c r="AB92" s="421">
        <f t="shared" ca="1" si="9"/>
        <v>5.0487262651639888E-3</v>
      </c>
      <c r="AC92" s="420">
        <f t="shared" ca="1" si="10"/>
        <v>-2.4960371428671407E-5</v>
      </c>
      <c r="AD92" s="221"/>
      <c r="AE92" s="221">
        <f t="shared" ca="1" si="11"/>
        <v>6.1486650519107129E-3</v>
      </c>
    </row>
    <row r="93" spans="1:31" customFormat="1" ht="15">
      <c r="A93" s="221"/>
      <c r="B93" s="269">
        <v>55</v>
      </c>
      <c r="C93" s="68" t="s">
        <v>559</v>
      </c>
      <c r="D93" s="248">
        <v>1</v>
      </c>
      <c r="E93" s="240"/>
      <c r="F93" s="226">
        <v>0.4</v>
      </c>
      <c r="G93" s="428">
        <v>100</v>
      </c>
      <c r="H93" s="379">
        <v>79</v>
      </c>
      <c r="I93" s="406">
        <f ca="1"/>
        <v>8.7780225832352401E-5</v>
      </c>
      <c r="J93" s="406">
        <f ca="1"/>
        <v>5.8520801762301105E-4</v>
      </c>
      <c r="K93" s="406">
        <f ca="1"/>
        <v>0.14999833083097</v>
      </c>
      <c r="L93" s="406">
        <f ca="1"/>
        <v>0.14999833083097</v>
      </c>
      <c r="M93" s="406">
        <f ca="1"/>
        <v>-4.23670341591782E-4</v>
      </c>
      <c r="N93" s="406" t="str">
        <f ca="1"/>
        <v>BRITISH TELECOMMUNICATIONS PUBLIC LIMITED COMPANY</v>
      </c>
      <c r="O93" s="406">
        <f ca="1"/>
        <v>0.86373510527323005</v>
      </c>
      <c r="P93" s="406">
        <f ca="1"/>
        <v>0.74263504342049702</v>
      </c>
      <c r="Q93" s="406">
        <f ca="1"/>
        <v>1.1630680681253101</v>
      </c>
      <c r="R93" s="444">
        <f ca="1"/>
        <v>1.1630680681253101</v>
      </c>
      <c r="S93" s="436"/>
      <c r="T93" s="415" cm="1">
        <f t="array" aca="1" ref="T93:X93" ca="1">IF(AND($U$12,B117&lt;=$C$17,C117&lt;&gt;""),TRANSPOSE(INDEX(getcds(C117,$C$6,G117/10000,F117,D117,$C$13,$C$14,$C$15,$C$8,,,TRUE,TRUE,FALSE,$C$29:$C$31,$C$33),{1;2;3;4;5})),"")</f>
        <v>7.3649565795029003E-3</v>
      </c>
      <c r="U93" s="416">
        <f ca="1"/>
        <v>6.0404321734900901E-2</v>
      </c>
      <c r="V93" s="416">
        <f ca="1"/>
        <v>5.3039365155397998E-2</v>
      </c>
      <c r="W93" s="417">
        <f ca="1"/>
        <v>1.1388583094447799E-2</v>
      </c>
      <c r="X93" s="418">
        <f ca="1"/>
        <v>5.3039365155398004</v>
      </c>
      <c r="Y93" s="419">
        <f t="shared" ca="1" si="6"/>
        <v>3.9753070007372632E-2</v>
      </c>
      <c r="Z93" s="420">
        <f t="shared" ca="1" si="7"/>
        <v>-2.4012572306753772E-3</v>
      </c>
      <c r="AA93" s="419">
        <f t="shared" ca="1" si="8"/>
        <v>4.9999443610323331E-2</v>
      </c>
      <c r="AB93" s="421">
        <f t="shared" ca="1" si="9"/>
        <v>1.0819153939725408E-2</v>
      </c>
      <c r="AC93" s="420">
        <f t="shared" ca="1" si="10"/>
        <v>-1.5100912392020062E-4</v>
      </c>
      <c r="AD93" s="221"/>
      <c r="AE93" s="221">
        <f t="shared" ca="1" si="11"/>
        <v>1.0804656300387504E-2</v>
      </c>
    </row>
    <row r="94" spans="1:31" customFormat="1" ht="15">
      <c r="A94" s="221"/>
      <c r="B94" s="269">
        <v>56</v>
      </c>
      <c r="C94" s="68" t="s">
        <v>560</v>
      </c>
      <c r="D94" s="248">
        <v>1</v>
      </c>
      <c r="E94" s="240"/>
      <c r="F94" s="226">
        <v>0.4</v>
      </c>
      <c r="G94" s="428">
        <v>100</v>
      </c>
      <c r="H94" s="379">
        <v>80</v>
      </c>
      <c r="I94" s="406">
        <f ca="1"/>
        <v>3.02484005553793E-5</v>
      </c>
      <c r="J94" s="406">
        <f ca="1"/>
        <v>6.1311014572999496E-4</v>
      </c>
      <c r="K94" s="406">
        <f ca="1"/>
        <v>4.9335997399560703E-2</v>
      </c>
      <c r="L94" s="406">
        <f ca="1"/>
        <v>4.9335997399560703E-2</v>
      </c>
      <c r="M94" s="406">
        <f ca="1"/>
        <v>-9.3850523946805705E-5</v>
      </c>
      <c r="N94" s="406" t="str">
        <f ca="1"/>
        <v>DEUTSCHE TELEKOM AG</v>
      </c>
      <c r="O94" s="406">
        <f ca="1"/>
        <v>0.86536832968695998</v>
      </c>
      <c r="P94" s="406">
        <f ca="1"/>
        <v>0.77651658552020397</v>
      </c>
      <c r="Q94" s="406">
        <f ca="1"/>
        <v>1.1144234982530801</v>
      </c>
      <c r="R94" s="444">
        <f ca="1"/>
        <v>1.1144234982530801</v>
      </c>
      <c r="S94" s="436"/>
      <c r="T94" s="415" cm="1">
        <f t="array" aca="1" ref="T94:X94" ca="1">IF(AND($U$12,B118&lt;=$C$17,C118&lt;&gt;""),TRANSPOSE(INDEX(getcds(C118,$C$6,G118/10000,F118,D118,$C$13,$C$14,$C$15,$C$8,,,TRUE,TRUE,FALSE,$C$29:$C$31,$C$33),{1;2;3;4;5})),"")</f>
        <v>-2.6516585520204E-2</v>
      </c>
      <c r="U94" s="416">
        <f ca="1"/>
        <v>2.7677350541066899E-2</v>
      </c>
      <c r="V94" s="416">
        <f ca="1"/>
        <v>5.4193936061270903E-2</v>
      </c>
      <c r="W94" s="417">
        <f ca="1"/>
        <v>5.1070936257103204E-3</v>
      </c>
      <c r="X94" s="418">
        <f ca="1"/>
        <v>5.4193936061270902</v>
      </c>
      <c r="Y94" s="419">
        <f t="shared" ca="1" si="6"/>
        <v>3.9753070007372632E-2</v>
      </c>
      <c r="Z94" s="420">
        <f t="shared" ca="1" si="7"/>
        <v>-1.1002596536776265E-3</v>
      </c>
      <c r="AA94" s="419">
        <f t="shared" ca="1" si="8"/>
        <v>1.6445332466520236E-2</v>
      </c>
      <c r="AB94" s="421">
        <f t="shared" ca="1" si="9"/>
        <v>4.8517389444248044E-3</v>
      </c>
      <c r="AC94" s="420">
        <f t="shared" ca="1" si="10"/>
        <v>-2.275816157201347E-5</v>
      </c>
      <c r="AD94" s="221"/>
      <c r="AE94" s="221">
        <f t="shared" ca="1" si="11"/>
        <v>6.1343871024706577E-3</v>
      </c>
    </row>
    <row r="95" spans="1:31" customFormat="1" ht="15">
      <c r="A95" s="221"/>
      <c r="B95" s="269">
        <v>57</v>
      </c>
      <c r="C95" s="68" t="s">
        <v>568</v>
      </c>
      <c r="D95" s="248">
        <v>1</v>
      </c>
      <c r="E95" s="240"/>
      <c r="F95" s="226">
        <v>0.4</v>
      </c>
      <c r="G95" s="428">
        <v>100</v>
      </c>
      <c r="H95" s="379">
        <v>81</v>
      </c>
      <c r="I95" s="406">
        <f ca="1"/>
        <v>1.3485555379729101E-4</v>
      </c>
      <c r="J95" s="406">
        <f ca="1"/>
        <v>5.6197884157437299E-4</v>
      </c>
      <c r="K95" s="406">
        <f ca="1"/>
        <v>0.23996553574774401</v>
      </c>
      <c r="L95" s="406">
        <f ca="1"/>
        <v>0.23996553574774401</v>
      </c>
      <c r="M95" s="406">
        <f ca="1"/>
        <v>-7.3621558621653996E-4</v>
      </c>
      <c r="N95" s="406" t="str">
        <f ca="1"/>
        <v>ITV PLC</v>
      </c>
      <c r="O95" s="406">
        <f ca="1"/>
        <v>0.86084875069111</v>
      </c>
      <c r="P95" s="406">
        <f ca="1"/>
        <v>0.71685454824240002</v>
      </c>
      <c r="Q95" s="406">
        <f ca="1"/>
        <v>1.2008694829401001</v>
      </c>
      <c r="R95" s="444">
        <f ca="1"/>
        <v>1.2008694829401001</v>
      </c>
      <c r="S95" s="436"/>
      <c r="T95" s="415" cm="1">
        <f t="array" aca="1" ref="T95:X95" ca="1">IF(AND($U$12,B119&lt;=$C$17,C119&lt;&gt;""),TRANSPOSE(INDEX(getcds(C119,$C$6,G119/10000,F119,D119,$C$13,$C$14,$C$15,$C$8,,,TRUE,TRUE,FALSE,$C$29:$C$31,$C$33),{1;2;3;4;5})),"")</f>
        <v>3.3145451757599899E-2</v>
      </c>
      <c r="U95" s="416">
        <f ca="1"/>
        <v>8.5367440744075998E-2</v>
      </c>
      <c r="V95" s="416">
        <f ca="1"/>
        <v>5.2221988986476099E-2</v>
      </c>
      <c r="W95" s="417">
        <f ca="1"/>
        <v>1.6347029747599901E-2</v>
      </c>
      <c r="X95" s="418">
        <f ca="1"/>
        <v>5.2221988986476102</v>
      </c>
      <c r="Y95" s="419">
        <f t="shared" ca="1" si="6"/>
        <v>3.9753070007372632E-2</v>
      </c>
      <c r="Z95" s="420">
        <f t="shared" ca="1" si="7"/>
        <v>-3.3936178482494852E-3</v>
      </c>
      <c r="AA95" s="419">
        <f t="shared" ca="1" si="8"/>
        <v>7.9988511915914676E-2</v>
      </c>
      <c r="AB95" s="421">
        <f t="shared" ca="1" si="9"/>
        <v>1.5529678260219905E-2</v>
      </c>
      <c r="AC95" s="420">
        <f t="shared" ca="1" si="10"/>
        <v>-3.4142072755943348E-4</v>
      </c>
      <c r="AD95" s="221"/>
      <c r="AE95" s="221">
        <f t="shared" ca="1" si="11"/>
        <v>1.4222483708645496E-2</v>
      </c>
    </row>
    <row r="96" spans="1:31" customFormat="1" ht="15">
      <c r="A96" s="221"/>
      <c r="B96" s="269">
        <v>58</v>
      </c>
      <c r="C96" s="68" t="s">
        <v>561</v>
      </c>
      <c r="D96" s="248">
        <v>1</v>
      </c>
      <c r="E96" s="240"/>
      <c r="F96" s="226">
        <v>0.4</v>
      </c>
      <c r="G96" s="428">
        <v>100</v>
      </c>
      <c r="H96" s="379">
        <v>82</v>
      </c>
      <c r="I96" s="406">
        <f ca="1"/>
        <v>5.1067941574301001E-5</v>
      </c>
      <c r="J96" s="406">
        <f ca="1"/>
        <v>5.8603086335567902E-4</v>
      </c>
      <c r="K96" s="406">
        <f ca="1"/>
        <v>8.7142068391893507E-2</v>
      </c>
      <c r="L96" s="406">
        <f ca="1"/>
        <v>8.7142068391893507E-2</v>
      </c>
      <c r="M96" s="406">
        <f ca="1"/>
        <v>-2.0871644552436901E-4</v>
      </c>
      <c r="N96" s="406" t="str">
        <f ca="1"/>
        <v>KONINKLIJKE KPN N.V.</v>
      </c>
      <c r="O96" s="406">
        <f ca="1"/>
        <v>0.86493919444124001</v>
      </c>
      <c r="P96" s="406">
        <f ca="1"/>
        <v>0.76251282404031295</v>
      </c>
      <c r="Q96" s="406">
        <f ca="1"/>
        <v>1.1343274069257001</v>
      </c>
      <c r="R96" s="444">
        <f ca="1"/>
        <v>1.1343274069257001</v>
      </c>
      <c r="S96" s="436"/>
      <c r="T96" s="415" cm="1">
        <f t="array" aca="1" ref="T96:X96" ca="1">IF(AND($U$12,B120&lt;=$C$17,C120&lt;&gt;""),TRANSPOSE(INDEX(getcds(C120,$C$6,G120/10000,F120,D120,$C$13,$C$14,$C$15,$C$8,,,TRUE,TRUE,FALSE,$C$29:$C$31,$C$33),{1;2;3;4;5})),"")</f>
        <v>-1.2512824040313101E-2</v>
      </c>
      <c r="U96" s="416">
        <f ca="1"/>
        <v>4.1252771597277998E-2</v>
      </c>
      <c r="V96" s="416">
        <f ca="1"/>
        <v>5.3765595637591097E-2</v>
      </c>
      <c r="W96" s="417">
        <f ca="1"/>
        <v>7.6727080037099901E-3</v>
      </c>
      <c r="X96" s="418">
        <f ca="1"/>
        <v>5.3765595637591099</v>
      </c>
      <c r="Y96" s="419">
        <f t="shared" ca="1" si="6"/>
        <v>3.9753070007372632E-2</v>
      </c>
      <c r="Z96" s="420">
        <f t="shared" ca="1" si="7"/>
        <v>-1.6399243173047461E-3</v>
      </c>
      <c r="AA96" s="419">
        <f t="shared" ca="1" si="8"/>
        <v>2.9047356130631169E-2</v>
      </c>
      <c r="AB96" s="421">
        <f t="shared" ca="1" si="9"/>
        <v>7.2890726035244905E-3</v>
      </c>
      <c r="AC96" s="420">
        <f t="shared" ca="1" si="10"/>
        <v>-5.9914197398086052E-5</v>
      </c>
      <c r="AD96" s="221"/>
      <c r="AE96" s="221">
        <f t="shared" ca="1" si="11"/>
        <v>7.7968568906196184E-3</v>
      </c>
    </row>
    <row r="97" spans="1:31" customFormat="1" ht="15">
      <c r="A97" s="221"/>
      <c r="B97" s="269">
        <v>59</v>
      </c>
      <c r="C97" s="68" t="s">
        <v>562</v>
      </c>
      <c r="D97" s="248">
        <v>1</v>
      </c>
      <c r="E97" s="240"/>
      <c r="F97" s="226">
        <v>0.4</v>
      </c>
      <c r="G97" s="428">
        <v>100</v>
      </c>
      <c r="H97" s="379">
        <v>83</v>
      </c>
      <c r="I97" s="406">
        <f ca="1"/>
        <v>2.9938979154246999E-5</v>
      </c>
      <c r="J97" s="406">
        <f ca="1"/>
        <v>6.1301127359640595E-4</v>
      </c>
      <c r="K97" s="406">
        <f ca="1"/>
        <v>4.8839198304790402E-2</v>
      </c>
      <c r="L97" s="406">
        <f ca="1"/>
        <v>4.8839198304790402E-2</v>
      </c>
      <c r="M97" s="406">
        <f ca="1"/>
        <v>-9.4280308878857901E-5</v>
      </c>
      <c r="N97" s="406" t="str">
        <f ca="1"/>
        <v>ORANGE</v>
      </c>
      <c r="O97" s="406">
        <f ca="1"/>
        <v>0.86537311445705001</v>
      </c>
      <c r="P97" s="406">
        <f ca="1"/>
        <v>0.776249952452301</v>
      </c>
      <c r="Q97" s="406">
        <f ca="1"/>
        <v>1.11481245405967</v>
      </c>
      <c r="R97" s="444">
        <f ca="1"/>
        <v>1.11481245405967</v>
      </c>
      <c r="S97" s="436"/>
      <c r="T97" s="415" cm="1">
        <f t="array" aca="1" ref="T97:X97" ca="1">IF(AND($U$12,B121&lt;=$C$17,C121&lt;&gt;""),TRANSPOSE(INDEX(getcds(C121,$C$6,G121/10000,F121,D121,$C$13,$C$14,$C$15,$C$8,,,TRUE,TRUE,FALSE,$C$29:$C$31,$C$33),{1;2;3;4;5})),"")</f>
        <v>-2.6249952452301301E-2</v>
      </c>
      <c r="U97" s="416">
        <f ca="1"/>
        <v>2.7993325794266399E-2</v>
      </c>
      <c r="V97" s="416">
        <f ca="1"/>
        <v>5.4243278246567703E-2</v>
      </c>
      <c r="W97" s="417">
        <f ca="1"/>
        <v>5.1606994818823903E-3</v>
      </c>
      <c r="X97" s="418">
        <f ca="1"/>
        <v>5.4243278246567703</v>
      </c>
      <c r="Y97" s="419">
        <f t="shared" ca="1" si="6"/>
        <v>3.9753070007372632E-2</v>
      </c>
      <c r="Z97" s="420">
        <f t="shared" ca="1" si="7"/>
        <v>-1.1128206400386634E-3</v>
      </c>
      <c r="AA97" s="419">
        <f t="shared" ca="1" si="8"/>
        <v>1.6279732768263468E-2</v>
      </c>
      <c r="AB97" s="421">
        <f t="shared" ca="1" si="9"/>
        <v>4.9026645077882708E-3</v>
      </c>
      <c r="AC97" s="420">
        <f t="shared" ca="1" si="10"/>
        <v>-2.2786193161279704E-5</v>
      </c>
      <c r="AD97" s="221"/>
      <c r="AE97" s="221">
        <f t="shared" ca="1" si="11"/>
        <v>5.0368011794335883E-3</v>
      </c>
    </row>
    <row r="98" spans="1:31" customFormat="1" ht="15">
      <c r="A98" s="221"/>
      <c r="B98" s="269">
        <v>60</v>
      </c>
      <c r="C98" s="68" t="s">
        <v>563</v>
      </c>
      <c r="D98" s="248">
        <v>1</v>
      </c>
      <c r="E98" s="240"/>
      <c r="F98" s="226">
        <v>0.4</v>
      </c>
      <c r="G98" s="428">
        <v>100</v>
      </c>
      <c r="H98" s="379">
        <v>84</v>
      </c>
      <c r="I98" s="406">
        <f ca="1"/>
        <v>6.4546392907836002E-5</v>
      </c>
      <c r="J98" s="406">
        <f ca="1"/>
        <v>5.9763363766888696E-4</v>
      </c>
      <c r="K98" s="406">
        <f ca="1"/>
        <v>0.108003279667463</v>
      </c>
      <c r="L98" s="406">
        <f ca="1"/>
        <v>0.108003279667463</v>
      </c>
      <c r="M98" s="406">
        <f ca="1"/>
        <v>-2.7858895974614602E-4</v>
      </c>
      <c r="N98" s="406" t="str">
        <f ca="1"/>
        <v>PEARSON PLC</v>
      </c>
      <c r="O98" s="406">
        <f ca="1"/>
        <v>0.86460477342141995</v>
      </c>
      <c r="P98" s="406">
        <f ca="1"/>
        <v>0.755568741942928</v>
      </c>
      <c r="Q98" s="406">
        <f ca="1"/>
        <v>1.14430987602545</v>
      </c>
      <c r="R98" s="444">
        <f ca="1"/>
        <v>1.14430987602545</v>
      </c>
      <c r="S98" s="436"/>
      <c r="T98" s="415" cm="1">
        <f t="array" aca="1" ref="T98:X98" ca="1">IF(AND($U$12,B122&lt;=$C$17,C122&lt;&gt;""),TRANSPOSE(INDEX(getcds(C122,$C$6,G122/10000,F122,D122,$C$13,$C$14,$C$15,$C$8,,,TRUE,TRUE,FALSE,$C$29:$C$31,$C$33),{1;2;3;4;5})),"")</f>
        <v>-5.5687419429283997E-3</v>
      </c>
      <c r="U98" s="416">
        <f ca="1"/>
        <v>4.7962013322505298E-2</v>
      </c>
      <c r="V98" s="416">
        <f ca="1"/>
        <v>5.3530755265433702E-2</v>
      </c>
      <c r="W98" s="417">
        <f ca="1"/>
        <v>8.9597116806374895E-3</v>
      </c>
      <c r="X98" s="418">
        <f ca="1"/>
        <v>5.3530755265433703</v>
      </c>
      <c r="Y98" s="419">
        <f t="shared" ca="1" si="6"/>
        <v>3.9753070007372632E-2</v>
      </c>
      <c r="Z98" s="420">
        <f t="shared" ca="1" si="7"/>
        <v>-1.9066372733040926E-3</v>
      </c>
      <c r="AA98" s="419">
        <f t="shared" ca="1" si="8"/>
        <v>3.6001093222487665E-2</v>
      </c>
      <c r="AB98" s="421">
        <f t="shared" ca="1" si="9"/>
        <v>8.5117260966056148E-3</v>
      </c>
      <c r="AC98" s="420">
        <f t="shared" ca="1" si="10"/>
        <v>-8.6334245638085505E-5</v>
      </c>
      <c r="AD98" s="221"/>
      <c r="AE98" s="221">
        <f t="shared" ca="1" si="11"/>
        <v>8.9006601125011971E-3</v>
      </c>
    </row>
    <row r="99" spans="1:31" customFormat="1" ht="15">
      <c r="A99" s="221"/>
      <c r="B99" s="269">
        <v>61</v>
      </c>
      <c r="C99" s="68" t="s">
        <v>570</v>
      </c>
      <c r="D99" s="248">
        <v>1</v>
      </c>
      <c r="E99" s="240"/>
      <c r="F99" s="226">
        <v>0.4</v>
      </c>
      <c r="G99" s="428">
        <v>100</v>
      </c>
      <c r="H99" s="379">
        <v>85</v>
      </c>
      <c r="I99" s="406">
        <f ca="1"/>
        <v>5.0326418161832403E-5</v>
      </c>
      <c r="J99" s="406">
        <f ca="1"/>
        <v>5.8625377175113502E-4</v>
      </c>
      <c r="K99" s="406">
        <f ca="1"/>
        <v>8.5844084229100698E-2</v>
      </c>
      <c r="L99" s="406">
        <f ca="1"/>
        <v>8.5844084229100698E-2</v>
      </c>
      <c r="M99" s="406">
        <f ca="1"/>
        <v>-2.05625508729402E-4</v>
      </c>
      <c r="N99" s="406" t="str">
        <f ca="1"/>
        <v>PUBLICIS GROUPE SA</v>
      </c>
      <c r="O99" s="406">
        <f ca="1"/>
        <v>0.86495628399614</v>
      </c>
      <c r="P99" s="406">
        <f ca="1"/>
        <v>0.762775034646059</v>
      </c>
      <c r="Q99" s="406">
        <f ca="1"/>
        <v>1.1339598763841201</v>
      </c>
      <c r="R99" s="444">
        <f ca="1"/>
        <v>1.1339598763841201</v>
      </c>
      <c r="S99" s="436"/>
      <c r="T99" s="415" cm="1">
        <f t="array" aca="1" ref="T99:X99" ca="1">IF(AND($U$12,B123&lt;=$C$17,C123&lt;&gt;""),TRANSPOSE(INDEX(getcds(C123,$C$6,G123/10000,F123,D123,$C$13,$C$14,$C$15,$C$8,,,TRUE,TRUE,FALSE,$C$29:$C$31,$C$33),{1;2;3;4;5})),"")</f>
        <v>-1.2775034646058701E-2</v>
      </c>
      <c r="U99" s="416">
        <f ca="1"/>
        <v>4.1028218378770402E-2</v>
      </c>
      <c r="V99" s="416">
        <f ca="1"/>
        <v>5.3803253024829099E-2</v>
      </c>
      <c r="W99" s="417">
        <f ca="1"/>
        <v>7.6256018125589404E-3</v>
      </c>
      <c r="X99" s="418">
        <f ca="1"/>
        <v>5.3803253024829099</v>
      </c>
      <c r="Y99" s="419">
        <f t="shared" ca="1" si="6"/>
        <v>3.9753070007372632E-2</v>
      </c>
      <c r="Z99" s="420">
        <f t="shared" ca="1" si="7"/>
        <v>-1.6309976374890324E-3</v>
      </c>
      <c r="AA99" s="419">
        <f t="shared" ca="1" si="8"/>
        <v>2.8614694743033565E-2</v>
      </c>
      <c r="AB99" s="421">
        <f t="shared" ca="1" si="9"/>
        <v>7.244321721930993E-3</v>
      </c>
      <c r="AC99" s="420">
        <f t="shared" ca="1" si="10"/>
        <v>-5.8700497237951772E-5</v>
      </c>
      <c r="AD99" s="221"/>
      <c r="AE99" s="221">
        <f t="shared" ca="1" si="11"/>
        <v>7.1387063880763105E-3</v>
      </c>
    </row>
    <row r="100" spans="1:31" customFormat="1" ht="15">
      <c r="A100" s="221"/>
      <c r="B100" s="269">
        <v>62</v>
      </c>
      <c r="C100" s="68" t="s">
        <v>571</v>
      </c>
      <c r="D100" s="248">
        <v>1</v>
      </c>
      <c r="E100" s="240"/>
      <c r="F100" s="226">
        <v>0.4</v>
      </c>
      <c r="G100" s="428">
        <v>100</v>
      </c>
      <c r="H100" s="379">
        <v>86</v>
      </c>
      <c r="I100" s="406">
        <f ca="1"/>
        <v>1.81484529605261E-4</v>
      </c>
      <c r="J100" s="406">
        <f ca="1"/>
        <v>5.3111212973106696E-4</v>
      </c>
      <c r="K100" s="406">
        <f ca="1"/>
        <v>0.34170661795496399</v>
      </c>
      <c r="L100" s="406">
        <f ca="1"/>
        <v>0.34170661795496399</v>
      </c>
      <c r="M100" s="406">
        <f ca="1"/>
        <v>-1.0476071829557199E-3</v>
      </c>
      <c r="N100" s="406" t="str">
        <f ca="1"/>
        <v>SES</v>
      </c>
      <c r="O100" s="406">
        <f ca="1"/>
        <v>0.85573489583069995</v>
      </c>
      <c r="P100" s="406">
        <f ca="1"/>
        <v>0.68956994116578496</v>
      </c>
      <c r="Q100" s="406">
        <f ca="1"/>
        <v>1.24096896448821</v>
      </c>
      <c r="R100" s="444">
        <f ca="1"/>
        <v>1.24096896448821</v>
      </c>
      <c r="S100" s="436"/>
      <c r="T100" s="415" cm="1">
        <f t="array" aca="1" ref="T100:X100" ca="1">IF(AND($U$12,B124&lt;=$C$17,C124&lt;&gt;""),TRANSPOSE(INDEX(getcds(C124,$C$6,G124/10000,F124,D124,$C$13,$C$14,$C$15,$C$8,,,TRUE,TRUE,FALSE,$C$29:$C$31,$C$33),{1;2;3;4;5})),"")</f>
        <v>6.0430058834214699E-2</v>
      </c>
      <c r="U100" s="416">
        <f ca="1"/>
        <v>0.111121171072632</v>
      </c>
      <c r="V100" s="416">
        <f ca="1"/>
        <v>5.0691112238417303E-2</v>
      </c>
      <c r="W100" s="417">
        <f ca="1"/>
        <v>2.19212335586546E-2</v>
      </c>
      <c r="X100" s="418">
        <f ca="1"/>
        <v>5.0691112238417304</v>
      </c>
      <c r="Y100" s="419">
        <f t="shared" ca="1" si="6"/>
        <v>3.9753070007372632E-2</v>
      </c>
      <c r="Z100" s="420">
        <f t="shared" ca="1" si="7"/>
        <v>-4.4174076929515719E-3</v>
      </c>
      <c r="AA100" s="419">
        <f t="shared" ca="1" si="8"/>
        <v>0.113902205984988</v>
      </c>
      <c r="AB100" s="421">
        <f t="shared" ca="1" si="9"/>
        <v>2.082517188072187E-2</v>
      </c>
      <c r="AC100" s="420">
        <f t="shared" ca="1" si="10"/>
        <v>-6.3284732584040107E-4</v>
      </c>
      <c r="AD100" s="221"/>
      <c r="AE100" s="221">
        <f t="shared" ca="1" si="11"/>
        <v>2.6930660880305227E-2</v>
      </c>
    </row>
    <row r="101" spans="1:31" customFormat="1" ht="15">
      <c r="A101" s="221"/>
      <c r="B101" s="269">
        <v>63</v>
      </c>
      <c r="C101" s="68" t="s">
        <v>581</v>
      </c>
      <c r="D101" s="248">
        <v>1</v>
      </c>
      <c r="E101" s="240"/>
      <c r="F101" s="226">
        <v>0.4</v>
      </c>
      <c r="G101" s="428">
        <v>100</v>
      </c>
      <c r="H101" s="379">
        <v>87</v>
      </c>
      <c r="I101" s="406">
        <f ca="1"/>
        <v>1.2060054514231299E-5</v>
      </c>
      <c r="J101" s="406">
        <f ca="1"/>
        <v>6.2788145635825604E-4</v>
      </c>
      <c r="K101" s="406">
        <f ca="1"/>
        <v>1.9207534148532102E-2</v>
      </c>
      <c r="L101" s="406">
        <f ca="1"/>
        <v>1.9207534148532102E-2</v>
      </c>
      <c r="M101" s="406">
        <f ca="1"/>
        <v>-2.5072101184138101E-5</v>
      </c>
      <c r="N101" s="406" t="str">
        <f ca="1"/>
        <v>SKY LIMITED</v>
      </c>
      <c r="O101" s="406">
        <f ca="1"/>
        <v>0.86555652812308004</v>
      </c>
      <c r="P101" s="406">
        <f ca="1"/>
        <v>0.78915333135189303</v>
      </c>
      <c r="Q101" s="406">
        <f ca="1"/>
        <v>1.09681666887258</v>
      </c>
      <c r="R101" s="444">
        <f ca="1"/>
        <v>1.09681666887258</v>
      </c>
      <c r="S101" s="436"/>
      <c r="T101" s="415" cm="1">
        <f t="array" aca="1" ref="T101:X101" ca="1">IF(AND($U$12,B125&lt;=$C$17,C125&lt;&gt;""),TRANSPOSE(INDEX(getcds(C125,$C$6,G125/10000,F125,D125,$C$13,$C$14,$C$15,$C$8,,,TRUE,TRUE,FALSE,$C$29:$C$31,$C$33),{1;2;3;4;5})),"")</f>
        <v>-3.9153331351892702E-2</v>
      </c>
      <c r="U101" s="416">
        <f ca="1"/>
        <v>1.55883554264044E-2</v>
      </c>
      <c r="V101" s="416">
        <f ca="1"/>
        <v>5.4741686778297098E-2</v>
      </c>
      <c r="W101" s="417">
        <f ca="1"/>
        <v>2.8476205874943101E-3</v>
      </c>
      <c r="X101" s="418">
        <f ca="1"/>
        <v>5.4741686778297103</v>
      </c>
      <c r="Y101" s="419">
        <f t="shared" ca="1" si="6"/>
        <v>3.9753070007372632E-2</v>
      </c>
      <c r="Z101" s="420">
        <f t="shared" ca="1" si="7"/>
        <v>-6.1968498456566078E-4</v>
      </c>
      <c r="AA101" s="419">
        <f t="shared" ca="1" si="8"/>
        <v>6.4025113828440339E-3</v>
      </c>
      <c r="AB101" s="421">
        <f t="shared" ca="1" si="9"/>
        <v>2.7052395581195943E-3</v>
      </c>
      <c r="AC101" s="420">
        <f t="shared" ca="1" si="10"/>
        <v>-4.9902311528686437E-6</v>
      </c>
      <c r="AD101" s="221"/>
      <c r="AE101" s="221">
        <f t="shared" ca="1" si="11"/>
        <v>2.2694559358725492E-3</v>
      </c>
    </row>
    <row r="102" spans="1:31" customFormat="1" ht="15">
      <c r="A102" s="221"/>
      <c r="B102" s="269">
        <v>64</v>
      </c>
      <c r="C102" s="68" t="s">
        <v>627</v>
      </c>
      <c r="D102" s="248">
        <v>1</v>
      </c>
      <c r="E102" s="240"/>
      <c r="F102" s="226">
        <v>0.4</v>
      </c>
      <c r="G102" s="428">
        <v>100</v>
      </c>
      <c r="H102" s="379">
        <v>88</v>
      </c>
      <c r="I102" s="406">
        <f ca="1"/>
        <v>2.85228660744785E-5</v>
      </c>
      <c r="J102" s="406">
        <f ca="1"/>
        <v>6.1438394449876395E-4</v>
      </c>
      <c r="K102" s="406">
        <f ca="1"/>
        <v>4.6425148850119197E-2</v>
      </c>
      <c r="L102" s="406">
        <f ca="1"/>
        <v>4.6425148850119197E-2</v>
      </c>
      <c r="M102" s="406">
        <f ca="1"/>
        <v>-8.6853741632992896E-5</v>
      </c>
      <c r="N102" s="406" t="str">
        <f ca="1"/>
        <v>STMICROELECTRONICS N.V.</v>
      </c>
      <c r="O102" s="406">
        <f ca="1"/>
        <v>0.86539340582561997</v>
      </c>
      <c r="P102" s="406">
        <f ca="1"/>
        <v>0.77744380024976401</v>
      </c>
      <c r="Q102" s="406">
        <f ca="1"/>
        <v>1.11312664085507</v>
      </c>
      <c r="R102" s="444">
        <f ca="1"/>
        <v>1.11312664085507</v>
      </c>
      <c r="S102" s="436"/>
      <c r="T102" s="415" cm="1">
        <f t="array" aca="1" ref="T102:X102" ca="1">IF(AND($U$12,B126&lt;=$C$17,C126&lt;&gt;""),TRANSPOSE(INDEX(getcds(C126,$C$6,G126/10000,F126,D126,$C$13,$C$14,$C$15,$C$8,,,TRUE,TRUE,FALSE,$C$29:$C$31,$C$33),{1;2;3;4;5})),"")</f>
        <v>-2.7443800249764099E-2</v>
      </c>
      <c r="U102" s="416">
        <f ca="1"/>
        <v>2.68082096564266E-2</v>
      </c>
      <c r="V102" s="416">
        <f ca="1"/>
        <v>5.4252009906190703E-2</v>
      </c>
      <c r="W102" s="417">
        <f ca="1"/>
        <v>4.9414223920517903E-3</v>
      </c>
      <c r="X102" s="418">
        <f ca="1"/>
        <v>5.4252009906190697</v>
      </c>
      <c r="Y102" s="419">
        <f t="shared" ca="1" si="6"/>
        <v>3.9753070007372632E-2</v>
      </c>
      <c r="Z102" s="420">
        <f t="shared" ca="1" si="7"/>
        <v>-1.0657086352442507E-3</v>
      </c>
      <c r="AA102" s="419">
        <f t="shared" ca="1" si="8"/>
        <v>1.5475049616706399E-2</v>
      </c>
      <c r="AB102" s="421">
        <f t="shared" ca="1" si="9"/>
        <v>4.6943512724492006E-3</v>
      </c>
      <c r="AC102" s="420">
        <f t="shared" ca="1" si="10"/>
        <v>-2.0742918728413501E-5</v>
      </c>
      <c r="AD102" s="221"/>
      <c r="AE102" s="221">
        <f t="shared" ca="1" si="11"/>
        <v>5.3457047793058409E-3</v>
      </c>
    </row>
    <row r="103" spans="1:31" customFormat="1" ht="15">
      <c r="A103" s="221"/>
      <c r="B103" s="269">
        <v>65</v>
      </c>
      <c r="C103" s="68" t="s">
        <v>572</v>
      </c>
      <c r="D103" s="248">
        <v>1</v>
      </c>
      <c r="E103" s="240"/>
      <c r="F103" s="226">
        <v>0.4</v>
      </c>
      <c r="G103" s="428">
        <v>100</v>
      </c>
      <c r="H103" s="379">
        <v>89</v>
      </c>
      <c r="I103" s="406">
        <f ca="1"/>
        <v>8.5833665713632701E-5</v>
      </c>
      <c r="J103" s="406">
        <f ca="1"/>
        <v>5.8679520946989595E-4</v>
      </c>
      <c r="K103" s="406">
        <f ca="1"/>
        <v>0.14627533478191501</v>
      </c>
      <c r="L103" s="406">
        <f ca="1"/>
        <v>0.14627533478191501</v>
      </c>
      <c r="M103" s="406">
        <f ca="1"/>
        <v>-4.1044703705282802E-4</v>
      </c>
      <c r="N103" s="406" t="str">
        <f ca="1"/>
        <v>TELEFONICA, S.A.</v>
      </c>
      <c r="O103" s="406">
        <f ca="1"/>
        <v>0.86381994803850004</v>
      </c>
      <c r="P103" s="406">
        <f ca="1"/>
        <v>0.74378308934608095</v>
      </c>
      <c r="Q103" s="406">
        <f ca="1"/>
        <v>1.1613869156368599</v>
      </c>
      <c r="R103" s="444">
        <f ca="1"/>
        <v>1.1613869156368599</v>
      </c>
      <c r="S103" s="436"/>
      <c r="T103" s="415" cm="1">
        <f t="array" aca="1" ref="T103:X103" ca="1">IF(AND($U$12,B127&lt;=$C$17,C127&lt;&gt;""),TRANSPOSE(INDEX(getcds(C127,$C$6,G127/10000,F127,D127,$C$13,$C$14,$C$15,$C$8,,,TRUE,TRUE,FALSE,$C$29:$C$31,$C$33),{1;2;3;4;5})),"")</f>
        <v>6.2169106539185998E-3</v>
      </c>
      <c r="U103" s="416">
        <f ca="1"/>
        <v>5.9349285735401602E-2</v>
      </c>
      <c r="V103" s="416">
        <f ca="1"/>
        <v>5.3132375081483003E-2</v>
      </c>
      <c r="W103" s="417">
        <f ca="1"/>
        <v>1.1170079569073401E-2</v>
      </c>
      <c r="X103" s="418">
        <f ca="1"/>
        <v>5.3132375081483003</v>
      </c>
      <c r="Y103" s="419">
        <f t="shared" ca="1" si="6"/>
        <v>3.9753070007372632E-2</v>
      </c>
      <c r="Z103" s="420">
        <f t="shared" ca="1" si="7"/>
        <v>-2.3593163107269895E-3</v>
      </c>
      <c r="AA103" s="419">
        <f t="shared" ca="1" si="8"/>
        <v>4.8758444927305002E-2</v>
      </c>
      <c r="AB103" s="421">
        <f t="shared" ca="1" si="9"/>
        <v>1.061157559061973E-2</v>
      </c>
      <c r="AC103" s="420">
        <f t="shared" ca="1" si="10"/>
        <v>-1.4468894400022399E-4</v>
      </c>
      <c r="AD103" s="221"/>
      <c r="AE103" s="221">
        <f t="shared" ca="1" si="11"/>
        <v>1.1079386380570305E-2</v>
      </c>
    </row>
    <row r="104" spans="1:31" customFormat="1" ht="15">
      <c r="A104" s="221"/>
      <c r="B104" s="269">
        <v>66</v>
      </c>
      <c r="C104" s="68" t="s">
        <v>582</v>
      </c>
      <c r="D104" s="248">
        <v>1</v>
      </c>
      <c r="E104" s="240"/>
      <c r="F104" s="226">
        <v>0.4</v>
      </c>
      <c r="G104" s="428">
        <v>100</v>
      </c>
      <c r="H104" s="379">
        <v>90</v>
      </c>
      <c r="I104" s="406">
        <f ca="1"/>
        <v>2.09039089224117E-5</v>
      </c>
      <c r="J104" s="406">
        <f ca="1"/>
        <v>6.2032519981229802E-4</v>
      </c>
      <c r="K104" s="406">
        <f ca="1"/>
        <v>3.3698306837666697E-2</v>
      </c>
      <c r="L104" s="406">
        <f ca="1"/>
        <v>3.3698306837666697E-2</v>
      </c>
      <c r="M104" s="406">
        <f ca="1"/>
        <v>-5.5738380085514901E-5</v>
      </c>
      <c r="N104" s="406" t="str">
        <f ca="1"/>
        <v>TELEKOM AUSTRIA AKTIENGESELLSCHAFT</v>
      </c>
      <c r="O104" s="406">
        <f ca="1"/>
        <v>0.86548401030224997</v>
      </c>
      <c r="P104" s="406">
        <f ca="1"/>
        <v>0.78246625475918996</v>
      </c>
      <c r="Q104" s="406">
        <f ca="1"/>
        <v>1.1060975537770801</v>
      </c>
      <c r="R104" s="444">
        <f ca="1"/>
        <v>1.1060975537770801</v>
      </c>
      <c r="S104" s="436"/>
      <c r="T104" s="415" cm="1">
        <f t="array" aca="1" ref="T104:X104" ca="1">IF(AND($U$12,B128&lt;=$C$17,C128&lt;&gt;""),TRANSPOSE(INDEX(getcds(C128,$C$6,G128/10000,F128,D128,$C$13,$C$14,$C$15,$C$8,,,TRUE,TRUE,FALSE,$C$29:$C$31,$C$33),{1;2;3;4;5})),"")</f>
        <v>-3.24662547591896E-2</v>
      </c>
      <c r="U104" s="416">
        <f ca="1"/>
        <v>2.2008924587904901E-2</v>
      </c>
      <c r="V104" s="416">
        <f ca="1"/>
        <v>5.4475179347094498E-2</v>
      </c>
      <c r="W104" s="417">
        <f ca="1"/>
        <v>4.0401747826606799E-3</v>
      </c>
      <c r="X104" s="418">
        <f ca="1"/>
        <v>5.4475179347094498</v>
      </c>
      <c r="Y104" s="419">
        <f t="shared" ca="1" si="6"/>
        <v>3.9753070007372632E-2</v>
      </c>
      <c r="Z104" s="420">
        <f t="shared" ca="1" si="7"/>
        <v>-8.7492231992996857E-4</v>
      </c>
      <c r="AA104" s="419">
        <f t="shared" ca="1" si="8"/>
        <v>1.1232768945888899E-2</v>
      </c>
      <c r="AB104" s="421">
        <f t="shared" ca="1" si="9"/>
        <v>3.8381660435276455E-3</v>
      </c>
      <c r="AC104" s="420">
        <f t="shared" ca="1" si="10"/>
        <v>-1.2361058232171464E-5</v>
      </c>
      <c r="AD104" s="221"/>
      <c r="AE104" s="221">
        <f t="shared" ca="1" si="11"/>
        <v>3.7622868465247293E-3</v>
      </c>
    </row>
    <row r="105" spans="1:31" customFormat="1" ht="15">
      <c r="A105" s="221"/>
      <c r="B105" s="269">
        <v>67</v>
      </c>
      <c r="C105" s="68" t="s">
        <v>573</v>
      </c>
      <c r="D105" s="248">
        <v>1</v>
      </c>
      <c r="E105" s="240"/>
      <c r="F105" s="226">
        <v>0.4</v>
      </c>
      <c r="G105" s="428">
        <v>100</v>
      </c>
      <c r="H105" s="379">
        <v>91</v>
      </c>
      <c r="I105" s="406">
        <f ca="1"/>
        <v>2.1150464327597299E-5</v>
      </c>
      <c r="J105" s="406">
        <f ca="1"/>
        <v>6.2052406786044698E-4</v>
      </c>
      <c r="K105" s="406">
        <f ca="1"/>
        <v>3.4084841222232702E-2</v>
      </c>
      <c r="L105" s="406">
        <f ca="1"/>
        <v>3.4084841222232702E-2</v>
      </c>
      <c r="M105" s="406">
        <f ca="1"/>
        <v>-5.5344556134251298E-5</v>
      </c>
      <c r="N105" s="406" t="str">
        <f ca="1"/>
        <v>TELENOR ASA</v>
      </c>
      <c r="O105" s="406">
        <f ca="1"/>
        <v>0.86548210376946999</v>
      </c>
      <c r="P105" s="406">
        <f ca="1"/>
        <v>0.78272583653396699</v>
      </c>
      <c r="Q105" s="406">
        <f ca="1"/>
        <v>1.10572829383269</v>
      </c>
      <c r="R105" s="444">
        <f ca="1"/>
        <v>1.10572829383269</v>
      </c>
      <c r="S105" s="436"/>
      <c r="T105" s="415" cm="1">
        <f t="array" aca="1" ref="T105:X105" ca="1">IF(AND($U$12,B129&lt;=$C$17,C129&lt;&gt;""),TRANSPOSE(INDEX(getcds(C129,$C$6,G129/10000,F129,D129,$C$13,$C$14,$C$15,$C$8,,,TRUE,TRUE,FALSE,$C$29:$C$31,$C$33),{1;2;3;4;5})),"")</f>
        <v>-3.2725836533967302E-2</v>
      </c>
      <c r="U105" s="416">
        <f ca="1"/>
        <v>2.1693645771019E-2</v>
      </c>
      <c r="V105" s="416">
        <f ca="1"/>
        <v>5.4419482304986298E-2</v>
      </c>
      <c r="W105" s="417">
        <f ca="1"/>
        <v>3.9863748885812702E-3</v>
      </c>
      <c r="X105" s="418">
        <f ca="1"/>
        <v>5.44194823049863</v>
      </c>
      <c r="Y105" s="419">
        <f t="shared" ca="1" si="6"/>
        <v>3.9753070007372632E-2</v>
      </c>
      <c r="Z105" s="420">
        <f t="shared" ca="1" si="7"/>
        <v>-8.6238901905046224E-4</v>
      </c>
      <c r="AA105" s="419">
        <f t="shared" ca="1" si="8"/>
        <v>1.1361613740744235E-2</v>
      </c>
      <c r="AB105" s="421">
        <f t="shared" ca="1" si="9"/>
        <v>3.7870561441522067E-3</v>
      </c>
      <c r="AC105" s="420">
        <f t="shared" ca="1" si="10"/>
        <v>-1.2323741193942385E-5</v>
      </c>
      <c r="AD105" s="221"/>
      <c r="AE105" s="221">
        <f t="shared" ca="1" si="11"/>
        <v>4.4500089317189642E-3</v>
      </c>
    </row>
    <row r="106" spans="1:31" customFormat="1" ht="15">
      <c r="A106" s="221"/>
      <c r="B106" s="269">
        <v>68</v>
      </c>
      <c r="C106" s="68" t="s">
        <v>574</v>
      </c>
      <c r="D106" s="248">
        <v>1</v>
      </c>
      <c r="E106" s="240"/>
      <c r="F106" s="226">
        <v>0.4</v>
      </c>
      <c r="G106" s="428">
        <v>100</v>
      </c>
      <c r="H106" s="379">
        <v>92</v>
      </c>
      <c r="I106" s="406">
        <f ca="1"/>
        <v>2.4134949567873299E-5</v>
      </c>
      <c r="J106" s="406">
        <f ca="1"/>
        <v>6.1786207352479698E-4</v>
      </c>
      <c r="K106" s="406">
        <f ca="1"/>
        <v>3.9062034395779599E-2</v>
      </c>
      <c r="L106" s="406">
        <f ca="1"/>
        <v>3.9062034395779599E-2</v>
      </c>
      <c r="M106" s="406">
        <f ca="1"/>
        <v>-6.8047927362409094E-5</v>
      </c>
      <c r="N106" s="406" t="str">
        <f ca="1"/>
        <v>TELIA COMPANY AB</v>
      </c>
      <c r="O106" s="406">
        <f ca="1"/>
        <v>0.86544903876490997</v>
      </c>
      <c r="P106" s="406">
        <f ca="1"/>
        <v>0.780399481025708</v>
      </c>
      <c r="Q106" s="406">
        <f ca="1"/>
        <v>1.1089820788033</v>
      </c>
      <c r="R106" s="444">
        <f ca="1"/>
        <v>1.1089820788033</v>
      </c>
      <c r="S106" s="436"/>
      <c r="T106" s="415" cm="1">
        <f t="array" aca="1" ref="T106:X106" ca="1">IF(AND($U$12,B130&lt;=$C$17,C130&lt;&gt;""),TRANSPOSE(INDEX(getcds(C130,$C$6,G130/10000,F130,D130,$C$13,$C$14,$C$15,$C$8,,,TRUE,TRUE,FALSE,$C$29:$C$31,$C$33),{1;2;3;4;5})),"")</f>
        <v>-3.0399481025708001E-2</v>
      </c>
      <c r="U106" s="416">
        <f ca="1"/>
        <v>2.3970534524661E-2</v>
      </c>
      <c r="V106" s="416">
        <f ca="1"/>
        <v>5.4370015550369001E-2</v>
      </c>
      <c r="W106" s="417">
        <f ca="1"/>
        <v>4.4087783095177599E-3</v>
      </c>
      <c r="X106" s="418">
        <f ca="1"/>
        <v>5.4370015550369004</v>
      </c>
      <c r="Y106" s="419">
        <f t="shared" ca="1" si="6"/>
        <v>3.9753070007372632E-2</v>
      </c>
      <c r="Z106" s="420">
        <f t="shared" ca="1" si="7"/>
        <v>-9.5290233707299207E-4</v>
      </c>
      <c r="AA106" s="419">
        <f t="shared" ca="1" si="8"/>
        <v>1.3020678131926533E-2</v>
      </c>
      <c r="AB106" s="421">
        <f t="shared" ca="1" si="9"/>
        <v>4.1883393940418713E-3</v>
      </c>
      <c r="AC106" s="420">
        <f t="shared" ca="1" si="10"/>
        <v>-1.5605630734792222E-5</v>
      </c>
      <c r="AD106" s="221"/>
      <c r="AE106" s="221">
        <f t="shared" ca="1" si="11"/>
        <v>4.6160876953705594E-3</v>
      </c>
    </row>
    <row r="107" spans="1:31" customFormat="1" ht="15">
      <c r="A107" s="221"/>
      <c r="B107" s="269">
        <v>69</v>
      </c>
      <c r="C107" s="68" t="s">
        <v>583</v>
      </c>
      <c r="D107" s="248">
        <v>1</v>
      </c>
      <c r="E107" s="240"/>
      <c r="F107" s="226">
        <v>0.4</v>
      </c>
      <c r="G107" s="428">
        <v>100</v>
      </c>
      <c r="H107" s="379">
        <v>93</v>
      </c>
      <c r="I107" s="406">
        <f ca="1"/>
        <v>6.8479865604764698E-5</v>
      </c>
      <c r="J107" s="406">
        <f ca="1"/>
        <v>5.9585576418463404E-4</v>
      </c>
      <c r="K107" s="406">
        <f ca="1"/>
        <v>0.11492691641319</v>
      </c>
      <c r="L107" s="406">
        <f ca="1"/>
        <v>0.11492691641319</v>
      </c>
      <c r="M107" s="406">
        <f ca="1"/>
        <v>-3.03128712421587E-4</v>
      </c>
      <c r="N107" s="406" t="str">
        <f ca="1"/>
        <v>VIVENDI SE</v>
      </c>
      <c r="O107" s="406">
        <f ca="1"/>
        <v>0.86447767058597003</v>
      </c>
      <c r="P107" s="406">
        <f ca="1"/>
        <v>0.75322560463126897</v>
      </c>
      <c r="Q107" s="406">
        <f ca="1"/>
        <v>1.14770085518955</v>
      </c>
      <c r="R107" s="444">
        <f ca="1"/>
        <v>1.14770085518955</v>
      </c>
      <c r="S107" s="436"/>
      <c r="T107" s="415" cm="1">
        <f t="array" aca="1" ref="T107:X107" ca="1">IF(AND($U$12,B131&lt;=$C$17,C131&lt;&gt;""),TRANSPOSE(INDEX(getcds(C131,$C$6,G131/10000,F131,D131,$C$13,$C$14,$C$15,$C$8,,,TRUE,TRUE,FALSE,$C$29:$C$31,$C$33),{1;2;3;4;5})),"")</f>
        <v>-3.2256046312692001E-3</v>
      </c>
      <c r="U107" s="416">
        <f ca="1"/>
        <v>5.0264068769747303E-2</v>
      </c>
      <c r="V107" s="416">
        <f ca="1"/>
        <v>5.3489673401016499E-2</v>
      </c>
      <c r="W107" s="417">
        <f ca="1"/>
        <v>9.3969668487061796E-3</v>
      </c>
      <c r="X107" s="418">
        <f ca="1"/>
        <v>5.34896734010165</v>
      </c>
      <c r="Y107" s="419">
        <f t="shared" ca="1" si="6"/>
        <v>3.9753070007372632E-2</v>
      </c>
      <c r="Z107" s="420">
        <f t="shared" ca="1" si="7"/>
        <v>-1.9981510446591558E-3</v>
      </c>
      <c r="AA107" s="419">
        <f t="shared" ca="1" si="8"/>
        <v>3.8308972137729998E-2</v>
      </c>
      <c r="AB107" s="421">
        <f t="shared" ca="1" si="9"/>
        <v>8.9271185062708702E-3</v>
      </c>
      <c r="AC107" s="420">
        <f t="shared" ca="1" si="10"/>
        <v>-9.6278240501459733E-5</v>
      </c>
      <c r="AD107" s="221"/>
      <c r="AE107" s="221">
        <f t="shared" ca="1" si="11"/>
        <v>8.6874582853228334E-3</v>
      </c>
    </row>
    <row r="108" spans="1:31" customFormat="1" ht="15">
      <c r="A108" s="221"/>
      <c r="B108" s="269">
        <v>70</v>
      </c>
      <c r="C108" s="68" t="s">
        <v>575</v>
      </c>
      <c r="D108" s="248">
        <v>1</v>
      </c>
      <c r="E108" s="240"/>
      <c r="F108" s="226">
        <v>0.4</v>
      </c>
      <c r="G108" s="428">
        <v>100</v>
      </c>
      <c r="H108" s="379">
        <v>94</v>
      </c>
      <c r="I108" s="406">
        <f ca="1"/>
        <v>7.7605730296550406E-5</v>
      </c>
      <c r="J108" s="406">
        <f ca="1"/>
        <v>5.9028532866962403E-4</v>
      </c>
      <c r="K108" s="406">
        <f ca="1"/>
        <v>0.131471555411104</v>
      </c>
      <c r="L108" s="406">
        <f ca="1"/>
        <v>0.131471555411104</v>
      </c>
      <c r="M108" s="406">
        <f ca="1"/>
        <v>-3.5793469737889402E-4</v>
      </c>
      <c r="N108" s="406" t="str">
        <f ca="1"/>
        <v>VODAFONE GROUP PUBLIC LIMITED COMPANY</v>
      </c>
      <c r="O108" s="406">
        <f ca="1"/>
        <v>0.86415488932361995</v>
      </c>
      <c r="P108" s="406">
        <f ca="1"/>
        <v>0.74837449203677597</v>
      </c>
      <c r="Q108" s="406">
        <f ca="1"/>
        <v>1.15470917103513</v>
      </c>
      <c r="R108" s="444">
        <f ca="1"/>
        <v>1.15470917103513</v>
      </c>
      <c r="S108" s="436"/>
      <c r="T108" s="415" cm="1">
        <f t="array" aca="1" ref="T108:X108" ca="1">IF(AND($U$12,B132&lt;=$C$17,C132&lt;&gt;""),TRANSPOSE(INDEX(getcds(C132,$C$6,G132/10000,F132,D132,$C$13,$C$14,$C$15,$C$8,,,TRUE,TRUE,FALSE,$C$29:$C$31,$C$33),{1;2;3;4;5})),"")</f>
        <v>1.6255079632242E-3</v>
      </c>
      <c r="U108" s="416">
        <f ca="1"/>
        <v>5.4839722727579303E-2</v>
      </c>
      <c r="V108" s="416">
        <f ca="1"/>
        <v>5.3214214764355103E-2</v>
      </c>
      <c r="W108" s="417">
        <f ca="1"/>
        <v>1.03054649909657E-2</v>
      </c>
      <c r="X108" s="418">
        <f ca="1"/>
        <v>5.3214214764355097</v>
      </c>
      <c r="Y108" s="419">
        <f t="shared" ca="1" si="6"/>
        <v>3.9753070007372632E-2</v>
      </c>
      <c r="Z108" s="420">
        <f t="shared" ca="1" si="7"/>
        <v>-2.180047336774358E-3</v>
      </c>
      <c r="AA108" s="419">
        <f t="shared" ca="1" si="8"/>
        <v>4.3823851803701332E-2</v>
      </c>
      <c r="AB108" s="421">
        <f t="shared" ca="1" si="9"/>
        <v>9.7901917414174155E-3</v>
      </c>
      <c r="AC108" s="420">
        <f t="shared" ca="1" si="10"/>
        <v>-1.2016439408847501E-4</v>
      </c>
      <c r="AD108" s="221"/>
      <c r="AE108" s="221">
        <f t="shared" ca="1" si="11"/>
        <v>1.0694161397582702E-2</v>
      </c>
    </row>
    <row r="109" spans="1:31" customFormat="1" ht="15">
      <c r="A109" s="221"/>
      <c r="B109" s="269">
        <v>71</v>
      </c>
      <c r="C109" s="68" t="s">
        <v>576</v>
      </c>
      <c r="D109" s="248">
        <v>1</v>
      </c>
      <c r="E109" s="240"/>
      <c r="F109" s="226">
        <v>0.4</v>
      </c>
      <c r="G109" s="428">
        <v>100</v>
      </c>
      <c r="H109" s="379">
        <v>95</v>
      </c>
      <c r="I109" s="406">
        <f ca="1"/>
        <v>7.4110575099748402E-5</v>
      </c>
      <c r="J109" s="406">
        <f ca="1"/>
        <v>5.9186357782875195E-4</v>
      </c>
      <c r="K109" s="406">
        <f ca="1"/>
        <v>0.125215637312272</v>
      </c>
      <c r="L109" s="406">
        <f ca="1"/>
        <v>0.125215637312272</v>
      </c>
      <c r="M109" s="406">
        <f ca="1"/>
        <v>-3.3539153896493999E-4</v>
      </c>
      <c r="N109" s="406" t="str">
        <f ca="1"/>
        <v>WPP 2005 LIMITED</v>
      </c>
      <c r="O109" s="406">
        <f ca="1"/>
        <v>0.86428371051473996</v>
      </c>
      <c r="P109" s="406">
        <f ca="1"/>
        <v>0.75043089834811905</v>
      </c>
      <c r="Q109" s="406">
        <f ca="1"/>
        <v>1.15171658365512</v>
      </c>
      <c r="R109" s="444">
        <f ca="1"/>
        <v>1.15171658365512</v>
      </c>
      <c r="S109" s="436"/>
      <c r="T109" s="415" cm="1">
        <f t="array" aca="1" ref="T109:X109" ca="1">IF(AND($U$12,B133&lt;=$C$17,C133&lt;&gt;""),TRANSPOSE(INDEX(getcds(C133,$C$6,G133/10000,F133,D133,$C$13,$C$14,$C$15,$C$8,,,TRUE,TRUE,FALSE,$C$29:$C$31,$C$33),{1;2;3;4;5})),"")</f>
        <v>-4.3089834811860201E-4</v>
      </c>
      <c r="U109" s="416">
        <f ca="1"/>
        <v>5.2821515889638598E-2</v>
      </c>
      <c r="V109" s="416">
        <f ca="1"/>
        <v>5.3252414237757201E-2</v>
      </c>
      <c r="W109" s="417">
        <f ca="1"/>
        <v>9.9190837909817996E-3</v>
      </c>
      <c r="X109" s="418">
        <f ca="1"/>
        <v>5.3252414237757204</v>
      </c>
      <c r="Y109" s="419">
        <f t="shared" ca="1" si="6"/>
        <v>3.9753070007372632E-2</v>
      </c>
      <c r="Z109" s="420">
        <f t="shared" ca="1" si="7"/>
        <v>-2.0998174190563486E-3</v>
      </c>
      <c r="AA109" s="419">
        <f t="shared" ca="1" si="8"/>
        <v>4.1738545770757335E-2</v>
      </c>
      <c r="AB109" s="421">
        <f t="shared" ca="1" si="9"/>
        <v>9.4231296014327098E-3</v>
      </c>
      <c r="AC109" s="420">
        <f t="shared" ca="1" si="10"/>
        <v>-1.1023466293202327E-4</v>
      </c>
      <c r="AD109" s="221"/>
      <c r="AE109" s="221">
        <f t="shared" ca="1" si="11"/>
        <v>1.099726411943321E-2</v>
      </c>
    </row>
    <row r="110" spans="1:31" customFormat="1" ht="15">
      <c r="A110" s="221"/>
      <c r="B110" s="269">
        <v>72</v>
      </c>
      <c r="C110" s="68" t="s">
        <v>577</v>
      </c>
      <c r="D110" s="248">
        <v>1</v>
      </c>
      <c r="E110" s="240"/>
      <c r="F110" s="226">
        <v>0.4</v>
      </c>
      <c r="G110" s="428">
        <v>100</v>
      </c>
      <c r="H110" s="379">
        <v>96</v>
      </c>
      <c r="I110" s="406"/>
      <c r="J110" s="406"/>
      <c r="K110" s="406"/>
      <c r="L110" s="406"/>
      <c r="M110" s="406"/>
      <c r="N110" s="406"/>
      <c r="O110" s="406"/>
      <c r="P110" s="406"/>
      <c r="Q110" s="406"/>
      <c r="R110" s="444"/>
      <c r="S110" s="436"/>
      <c r="T110" s="415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6"/>
      <c r="V110" s="416"/>
      <c r="W110" s="417"/>
      <c r="X110" s="418"/>
      <c r="Y110" s="419" t="str">
        <f t="shared" ca="1" si="6"/>
        <v/>
      </c>
      <c r="Z110" s="420" t="str">
        <f t="shared" ca="1" si="7"/>
        <v/>
      </c>
      <c r="AA110" s="419" t="str">
        <f t="shared" ca="1" si="8"/>
        <v/>
      </c>
      <c r="AB110" s="421" t="str">
        <f t="shared" ca="1" si="9"/>
        <v/>
      </c>
      <c r="AC110" s="420" t="str">
        <f t="shared" ca="1" si="10"/>
        <v/>
      </c>
      <c r="AD110" s="221"/>
    </row>
    <row r="111" spans="1:31" customFormat="1" ht="15">
      <c r="A111" s="221"/>
      <c r="B111" s="269">
        <v>73</v>
      </c>
      <c r="C111" s="68" t="s">
        <v>578</v>
      </c>
      <c r="D111" s="248">
        <v>1</v>
      </c>
      <c r="E111" s="240"/>
      <c r="F111" s="226">
        <v>0.4</v>
      </c>
      <c r="G111" s="428">
        <v>100</v>
      </c>
      <c r="H111" s="379">
        <v>97</v>
      </c>
      <c r="I111" s="406"/>
      <c r="J111" s="406"/>
      <c r="K111" s="406"/>
      <c r="L111" s="406"/>
      <c r="M111" s="406"/>
      <c r="N111" s="406"/>
      <c r="O111" s="406"/>
      <c r="P111" s="406"/>
      <c r="Q111" s="406"/>
      <c r="R111" s="444"/>
      <c r="S111" s="436"/>
      <c r="T111" s="415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6"/>
      <c r="V111" s="416"/>
      <c r="W111" s="417"/>
      <c r="X111" s="418"/>
      <c r="Y111" s="419" t="str">
        <f t="shared" ca="1" si="6"/>
        <v/>
      </c>
      <c r="Z111" s="420" t="str">
        <f t="shared" ca="1" si="7"/>
        <v/>
      </c>
      <c r="AA111" s="419" t="str">
        <f t="shared" ca="1" si="8"/>
        <v/>
      </c>
      <c r="AB111" s="421" t="str">
        <f t="shared" ca="1" si="9"/>
        <v/>
      </c>
      <c r="AC111" s="420" t="str">
        <f t="shared" ca="1" si="10"/>
        <v/>
      </c>
      <c r="AD111" s="221"/>
    </row>
    <row r="112" spans="1:31" customFormat="1" ht="15">
      <c r="A112" s="221"/>
      <c r="B112" s="269">
        <v>74</v>
      </c>
      <c r="C112" s="68" t="s">
        <v>579</v>
      </c>
      <c r="D112" s="248">
        <v>1</v>
      </c>
      <c r="E112" s="240"/>
      <c r="F112" s="226">
        <v>0.4</v>
      </c>
      <c r="G112" s="428">
        <v>100</v>
      </c>
      <c r="H112" s="379">
        <v>98</v>
      </c>
      <c r="I112" s="406"/>
      <c r="J112" s="406"/>
      <c r="K112" s="406"/>
      <c r="L112" s="406"/>
      <c r="M112" s="406"/>
      <c r="N112" s="406"/>
      <c r="O112" s="406"/>
      <c r="P112" s="406"/>
      <c r="Q112" s="406"/>
      <c r="R112" s="444"/>
      <c r="S112" s="436"/>
      <c r="T112" s="415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6"/>
      <c r="V112" s="416"/>
      <c r="W112" s="417"/>
      <c r="X112" s="418"/>
      <c r="Y112" s="419" t="str">
        <f t="shared" ca="1" si="6"/>
        <v/>
      </c>
      <c r="Z112" s="420" t="str">
        <f t="shared" ca="1" si="7"/>
        <v/>
      </c>
      <c r="AA112" s="419" t="str">
        <f t="shared" ca="1" si="8"/>
        <v/>
      </c>
      <c r="AB112" s="421" t="str">
        <f t="shared" ca="1" si="9"/>
        <v/>
      </c>
      <c r="AC112" s="420" t="str">
        <f t="shared" ca="1" si="10"/>
        <v/>
      </c>
      <c r="AD112" s="221"/>
    </row>
    <row r="113" spans="1:30" customFormat="1" ht="15">
      <c r="A113" s="221"/>
      <c r="B113" s="269">
        <v>75</v>
      </c>
      <c r="C113" s="68" t="s">
        <v>584</v>
      </c>
      <c r="D113" s="248">
        <v>1</v>
      </c>
      <c r="E113" s="240"/>
      <c r="F113" s="226">
        <v>0.4</v>
      </c>
      <c r="G113" s="428">
        <v>100</v>
      </c>
      <c r="H113" s="379">
        <v>99</v>
      </c>
      <c r="I113" s="406"/>
      <c r="J113" s="406"/>
      <c r="K113" s="406"/>
      <c r="L113" s="406"/>
      <c r="M113" s="406"/>
      <c r="N113" s="406"/>
      <c r="O113" s="406"/>
      <c r="P113" s="406"/>
      <c r="Q113" s="406"/>
      <c r="R113" s="444"/>
      <c r="S113" s="436"/>
      <c r="T113" s="415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6"/>
      <c r="V113" s="416"/>
      <c r="W113" s="417"/>
      <c r="X113" s="418"/>
      <c r="Y113" s="419" t="str">
        <f t="shared" ca="1" si="6"/>
        <v/>
      </c>
      <c r="Z113" s="420" t="str">
        <f t="shared" ca="1" si="7"/>
        <v/>
      </c>
      <c r="AA113" s="419" t="str">
        <f t="shared" ca="1" si="8"/>
        <v/>
      </c>
      <c r="AB113" s="421" t="str">
        <f t="shared" ca="1" si="9"/>
        <v/>
      </c>
      <c r="AC113" s="420" t="str">
        <f t="shared" ca="1" si="10"/>
        <v/>
      </c>
      <c r="AD113" s="221"/>
    </row>
    <row r="114" spans="1:30" customFormat="1" ht="15">
      <c r="A114" s="221"/>
      <c r="B114" s="269">
        <v>76</v>
      </c>
      <c r="C114" s="68" t="s">
        <v>585</v>
      </c>
      <c r="D114" s="248">
        <v>1</v>
      </c>
      <c r="E114" s="240"/>
      <c r="F114" s="226">
        <v>0.4</v>
      </c>
      <c r="G114" s="428">
        <v>100</v>
      </c>
      <c r="H114" s="379">
        <v>100</v>
      </c>
      <c r="I114" s="406"/>
      <c r="J114" s="406"/>
      <c r="K114" s="406"/>
      <c r="L114" s="406"/>
      <c r="M114" s="406"/>
      <c r="N114" s="406"/>
      <c r="O114" s="406"/>
      <c r="P114" s="406"/>
      <c r="Q114" s="406"/>
      <c r="R114" s="444"/>
      <c r="S114" s="436"/>
      <c r="T114" s="415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6"/>
      <c r="V114" s="416"/>
      <c r="W114" s="417"/>
      <c r="X114" s="418"/>
      <c r="Y114" s="419" t="str">
        <f t="shared" ca="1" si="6"/>
        <v/>
      </c>
      <c r="Z114" s="420" t="str">
        <f t="shared" ca="1" si="7"/>
        <v/>
      </c>
      <c r="AA114" s="419" t="str">
        <f t="shared" ca="1" si="8"/>
        <v/>
      </c>
      <c r="AB114" s="421" t="str">
        <f t="shared" ca="1" si="9"/>
        <v/>
      </c>
      <c r="AC114" s="420" t="str">
        <f t="shared" ca="1" si="10"/>
        <v/>
      </c>
      <c r="AD114" s="221"/>
    </row>
    <row r="115" spans="1:30" customFormat="1" ht="15">
      <c r="A115" s="221"/>
      <c r="B115" s="269">
        <v>77</v>
      </c>
      <c r="C115" s="68" t="s">
        <v>580</v>
      </c>
      <c r="D115" s="248">
        <v>1</v>
      </c>
      <c r="E115" s="240"/>
      <c r="F115" s="226">
        <v>0.4</v>
      </c>
      <c r="G115" s="428">
        <v>100</v>
      </c>
      <c r="H115" s="379">
        <v>101</v>
      </c>
      <c r="I115" s="397"/>
      <c r="J115" s="397"/>
      <c r="K115" s="406"/>
      <c r="L115" s="406"/>
      <c r="M115" s="406"/>
      <c r="N115" s="406"/>
      <c r="O115" s="406"/>
      <c r="P115" s="406"/>
      <c r="Q115" s="406"/>
      <c r="R115" s="444"/>
      <c r="S115" s="436"/>
      <c r="T115" s="415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6"/>
      <c r="V115" s="416"/>
      <c r="W115" s="417"/>
      <c r="X115" s="418"/>
      <c r="Y115" s="419" t="str">
        <f t="shared" ca="1" si="6"/>
        <v/>
      </c>
      <c r="Z115" s="420" t="str">
        <f t="shared" ca="1" si="7"/>
        <v/>
      </c>
      <c r="AA115" s="419" t="str">
        <f t="shared" ca="1" si="8"/>
        <v/>
      </c>
      <c r="AB115" s="421" t="str">
        <f t="shared" ca="1" si="9"/>
        <v/>
      </c>
      <c r="AC115" s="420" t="str">
        <f t="shared" ca="1" si="10"/>
        <v/>
      </c>
      <c r="AD115" s="221"/>
    </row>
    <row r="116" spans="1:30" customFormat="1" ht="15">
      <c r="A116" s="221"/>
      <c r="B116" s="269">
        <v>78</v>
      </c>
      <c r="C116" s="68" t="s">
        <v>588</v>
      </c>
      <c r="D116" s="248">
        <v>1</v>
      </c>
      <c r="E116" s="240"/>
      <c r="F116" s="226">
        <v>0.4</v>
      </c>
      <c r="G116" s="428">
        <v>100</v>
      </c>
      <c r="H116" s="379">
        <v>102</v>
      </c>
      <c r="I116" s="397"/>
      <c r="J116" s="397"/>
      <c r="K116" s="406"/>
      <c r="L116" s="406"/>
      <c r="M116" s="406"/>
      <c r="N116" s="406"/>
      <c r="O116" s="406"/>
      <c r="P116" s="406"/>
      <c r="Q116" s="406"/>
      <c r="R116" s="444"/>
      <c r="S116" s="436"/>
      <c r="T116" s="415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6"/>
      <c r="V116" s="416"/>
      <c r="W116" s="417"/>
      <c r="X116" s="418"/>
      <c r="Y116" s="419" t="str">
        <f t="shared" ca="1" si="6"/>
        <v/>
      </c>
      <c r="Z116" s="420" t="str">
        <f t="shared" ca="1" si="7"/>
        <v/>
      </c>
      <c r="AA116" s="419" t="str">
        <f t="shared" ca="1" si="8"/>
        <v/>
      </c>
      <c r="AB116" s="421" t="str">
        <f t="shared" ca="1" si="9"/>
        <v/>
      </c>
      <c r="AC116" s="420" t="str">
        <f t="shared" ca="1" si="10"/>
        <v/>
      </c>
      <c r="AD116" s="221"/>
    </row>
    <row r="117" spans="1:30" customFormat="1" ht="15">
      <c r="A117" s="221"/>
      <c r="B117" s="269">
        <v>79</v>
      </c>
      <c r="C117" s="68" t="s">
        <v>589</v>
      </c>
      <c r="D117" s="248">
        <v>1</v>
      </c>
      <c r="E117" s="240"/>
      <c r="F117" s="226">
        <v>0.4</v>
      </c>
      <c r="G117" s="428">
        <v>100</v>
      </c>
      <c r="H117" s="379">
        <v>103</v>
      </c>
      <c r="I117" s="397"/>
      <c r="J117" s="397"/>
      <c r="K117" s="406"/>
      <c r="L117" s="406"/>
      <c r="M117" s="406"/>
      <c r="N117" s="406"/>
      <c r="O117" s="406"/>
      <c r="P117" s="406"/>
      <c r="Q117" s="406"/>
      <c r="R117" s="444"/>
      <c r="S117" s="436"/>
      <c r="T117" s="415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6"/>
      <c r="V117" s="416"/>
      <c r="W117" s="417"/>
      <c r="X117" s="418"/>
      <c r="Y117" s="419" t="str">
        <f t="shared" ca="1" si="6"/>
        <v/>
      </c>
      <c r="Z117" s="420" t="str">
        <f t="shared" ca="1" si="7"/>
        <v/>
      </c>
      <c r="AA117" s="419" t="str">
        <f t="shared" ca="1" si="8"/>
        <v/>
      </c>
      <c r="AB117" s="421" t="str">
        <f t="shared" ca="1" si="9"/>
        <v/>
      </c>
      <c r="AC117" s="420" t="str">
        <f t="shared" ca="1" si="10"/>
        <v/>
      </c>
      <c r="AD117" s="221"/>
    </row>
    <row r="118" spans="1:30" customFormat="1" ht="15">
      <c r="A118" s="221"/>
      <c r="B118" s="269">
        <v>80</v>
      </c>
      <c r="C118" s="68" t="s">
        <v>590</v>
      </c>
      <c r="D118" s="248">
        <v>1</v>
      </c>
      <c r="E118" s="240"/>
      <c r="F118" s="226">
        <v>0.4</v>
      </c>
      <c r="G118" s="428">
        <v>100</v>
      </c>
      <c r="H118" s="379">
        <v>104</v>
      </c>
      <c r="I118" s="397"/>
      <c r="J118" s="397"/>
      <c r="K118" s="406"/>
      <c r="L118" s="406"/>
      <c r="M118" s="406"/>
      <c r="N118" s="406"/>
      <c r="O118" s="406"/>
      <c r="P118" s="406"/>
      <c r="Q118" s="406"/>
      <c r="R118" s="444"/>
      <c r="S118" s="436"/>
      <c r="T118" s="415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6"/>
      <c r="V118" s="416"/>
      <c r="W118" s="417"/>
      <c r="X118" s="418"/>
      <c r="Y118" s="419" t="str">
        <f t="shared" ca="1" si="6"/>
        <v/>
      </c>
      <c r="Z118" s="420" t="str">
        <f t="shared" ca="1" si="7"/>
        <v/>
      </c>
      <c r="AA118" s="419" t="str">
        <f t="shared" ca="1" si="8"/>
        <v/>
      </c>
      <c r="AB118" s="421" t="str">
        <f t="shared" ca="1" si="9"/>
        <v/>
      </c>
      <c r="AC118" s="420" t="str">
        <f t="shared" ca="1" si="10"/>
        <v/>
      </c>
      <c r="AD118" s="221"/>
    </row>
    <row r="119" spans="1:30" customFormat="1" ht="15">
      <c r="A119" s="221"/>
      <c r="B119" s="269">
        <v>81</v>
      </c>
      <c r="C119" s="68" t="s">
        <v>591</v>
      </c>
      <c r="D119" s="248">
        <v>1</v>
      </c>
      <c r="E119" s="240"/>
      <c r="F119" s="226">
        <v>0.4</v>
      </c>
      <c r="G119" s="428">
        <v>100</v>
      </c>
      <c r="H119" s="379">
        <v>105</v>
      </c>
      <c r="I119" s="397"/>
      <c r="J119" s="397"/>
      <c r="K119" s="406"/>
      <c r="L119" s="406"/>
      <c r="M119" s="406"/>
      <c r="N119" s="406"/>
      <c r="O119" s="406"/>
      <c r="P119" s="406"/>
      <c r="Q119" s="406"/>
      <c r="R119" s="444"/>
      <c r="S119" s="436"/>
      <c r="T119" s="415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6"/>
      <c r="V119" s="416"/>
      <c r="W119" s="417"/>
      <c r="X119" s="418"/>
      <c r="Y119" s="419" t="str">
        <f t="shared" ca="1" si="6"/>
        <v/>
      </c>
      <c r="Z119" s="420" t="str">
        <f t="shared" ca="1" si="7"/>
        <v/>
      </c>
      <c r="AA119" s="419" t="str">
        <f t="shared" ca="1" si="8"/>
        <v/>
      </c>
      <c r="AB119" s="421" t="str">
        <f t="shared" ca="1" si="9"/>
        <v/>
      </c>
      <c r="AC119" s="420" t="str">
        <f t="shared" ca="1" si="10"/>
        <v/>
      </c>
      <c r="AD119" s="221"/>
    </row>
    <row r="120" spans="1:30" customFormat="1" ht="15">
      <c r="A120" s="221"/>
      <c r="B120" s="269">
        <v>82</v>
      </c>
      <c r="C120" s="68" t="s">
        <v>601</v>
      </c>
      <c r="D120" s="248">
        <v>1</v>
      </c>
      <c r="E120" s="240"/>
      <c r="F120" s="226">
        <v>0.4</v>
      </c>
      <c r="G120" s="428">
        <v>100</v>
      </c>
      <c r="H120" s="379">
        <v>106</v>
      </c>
      <c r="I120" s="397"/>
      <c r="J120" s="397"/>
      <c r="K120" s="406"/>
      <c r="L120" s="406"/>
      <c r="M120" s="406"/>
      <c r="N120" s="406"/>
      <c r="O120" s="406"/>
      <c r="P120" s="406"/>
      <c r="Q120" s="406"/>
      <c r="R120" s="444"/>
      <c r="S120" s="436"/>
      <c r="T120" s="415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6"/>
      <c r="V120" s="416"/>
      <c r="W120" s="417"/>
      <c r="X120" s="418"/>
      <c r="Y120" s="419" t="str">
        <f t="shared" ca="1" si="6"/>
        <v/>
      </c>
      <c r="Z120" s="420" t="str">
        <f t="shared" ca="1" si="7"/>
        <v/>
      </c>
      <c r="AA120" s="419" t="str">
        <f t="shared" ca="1" si="8"/>
        <v/>
      </c>
      <c r="AB120" s="421" t="str">
        <f t="shared" ca="1" si="9"/>
        <v/>
      </c>
      <c r="AC120" s="420" t="str">
        <f t="shared" ca="1" si="10"/>
        <v/>
      </c>
      <c r="AD120" s="221"/>
    </row>
    <row r="121" spans="1:30" customFormat="1" ht="15">
      <c r="A121" s="221"/>
      <c r="B121" s="269">
        <v>83</v>
      </c>
      <c r="C121" s="68" t="s">
        <v>592</v>
      </c>
      <c r="D121" s="248">
        <v>1</v>
      </c>
      <c r="E121" s="240"/>
      <c r="F121" s="226">
        <v>0.4</v>
      </c>
      <c r="G121" s="428">
        <v>100</v>
      </c>
      <c r="H121" s="379">
        <v>107</v>
      </c>
      <c r="I121" s="397"/>
      <c r="J121" s="397"/>
      <c r="K121" s="406"/>
      <c r="L121" s="406"/>
      <c r="M121" s="406"/>
      <c r="N121" s="406"/>
      <c r="O121" s="406"/>
      <c r="P121" s="406"/>
      <c r="Q121" s="406"/>
      <c r="R121" s="444"/>
      <c r="S121" s="436"/>
      <c r="T121" s="415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6"/>
      <c r="V121" s="416"/>
      <c r="W121" s="417"/>
      <c r="X121" s="418"/>
      <c r="Y121" s="419" t="str">
        <f t="shared" ca="1" si="6"/>
        <v/>
      </c>
      <c r="Z121" s="420" t="str">
        <f t="shared" ca="1" si="7"/>
        <v/>
      </c>
      <c r="AA121" s="419" t="str">
        <f t="shared" ca="1" si="8"/>
        <v/>
      </c>
      <c r="AB121" s="421" t="str">
        <f t="shared" ca="1" si="9"/>
        <v/>
      </c>
      <c r="AC121" s="420" t="str">
        <f t="shared" ca="1" si="10"/>
        <v/>
      </c>
      <c r="AD121" s="221"/>
    </row>
    <row r="122" spans="1:30" customFormat="1" ht="15">
      <c r="A122" s="221"/>
      <c r="B122" s="269">
        <v>84</v>
      </c>
      <c r="C122" s="68" t="s">
        <v>593</v>
      </c>
      <c r="D122" s="248">
        <v>1</v>
      </c>
      <c r="E122" s="240"/>
      <c r="F122" s="226">
        <v>0.4</v>
      </c>
      <c r="G122" s="428">
        <v>100</v>
      </c>
      <c r="H122" s="379">
        <v>108</v>
      </c>
      <c r="I122" s="397"/>
      <c r="J122" s="397"/>
      <c r="K122" s="406"/>
      <c r="L122" s="406"/>
      <c r="M122" s="406"/>
      <c r="N122" s="406"/>
      <c r="O122" s="406"/>
      <c r="P122" s="406"/>
      <c r="Q122" s="406"/>
      <c r="R122" s="444"/>
      <c r="S122" s="436"/>
      <c r="T122" s="415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6"/>
      <c r="V122" s="416"/>
      <c r="W122" s="417"/>
      <c r="X122" s="418"/>
      <c r="Y122" s="419" t="str">
        <f t="shared" ca="1" si="6"/>
        <v/>
      </c>
      <c r="Z122" s="420" t="str">
        <f t="shared" ca="1" si="7"/>
        <v/>
      </c>
      <c r="AA122" s="419" t="str">
        <f t="shared" ca="1" si="8"/>
        <v/>
      </c>
      <c r="AB122" s="421" t="str">
        <f t="shared" ca="1" si="9"/>
        <v/>
      </c>
      <c r="AC122" s="420" t="str">
        <f t="shared" ca="1" si="10"/>
        <v/>
      </c>
      <c r="AD122" s="221"/>
    </row>
    <row r="123" spans="1:30" customFormat="1" ht="15">
      <c r="A123" s="221"/>
      <c r="B123" s="269">
        <v>85</v>
      </c>
      <c r="C123" s="68" t="s">
        <v>602</v>
      </c>
      <c r="D123" s="248">
        <v>1</v>
      </c>
      <c r="E123" s="240"/>
      <c r="F123" s="226">
        <v>0.4</v>
      </c>
      <c r="G123" s="428">
        <v>100</v>
      </c>
      <c r="H123" s="379">
        <v>109</v>
      </c>
      <c r="I123" s="397"/>
      <c r="J123" s="397"/>
      <c r="K123" s="406"/>
      <c r="L123" s="406"/>
      <c r="M123" s="406"/>
      <c r="N123" s="406"/>
      <c r="O123" s="406"/>
      <c r="P123" s="406"/>
      <c r="Q123" s="406"/>
      <c r="R123" s="444"/>
      <c r="S123" s="436"/>
      <c r="T123" s="415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6"/>
      <c r="V123" s="416"/>
      <c r="W123" s="417"/>
      <c r="X123" s="418"/>
      <c r="Y123" s="419" t="str">
        <f t="shared" ca="1" si="6"/>
        <v/>
      </c>
      <c r="Z123" s="420" t="str">
        <f t="shared" ca="1" si="7"/>
        <v/>
      </c>
      <c r="AA123" s="419" t="str">
        <f t="shared" ca="1" si="8"/>
        <v/>
      </c>
      <c r="AB123" s="421" t="str">
        <f t="shared" ca="1" si="9"/>
        <v/>
      </c>
      <c r="AC123" s="420" t="str">
        <f t="shared" ca="1" si="10"/>
        <v/>
      </c>
      <c r="AD123" s="221"/>
    </row>
    <row r="124" spans="1:30" customFormat="1" ht="15">
      <c r="A124" s="221"/>
      <c r="B124" s="269">
        <v>86</v>
      </c>
      <c r="C124" s="68" t="s">
        <v>594</v>
      </c>
      <c r="D124" s="248">
        <v>1</v>
      </c>
      <c r="E124" s="240"/>
      <c r="F124" s="226">
        <v>0.4</v>
      </c>
      <c r="G124" s="428">
        <v>100</v>
      </c>
      <c r="H124" s="379">
        <v>110</v>
      </c>
      <c r="I124" s="397"/>
      <c r="J124" s="397"/>
      <c r="K124" s="406"/>
      <c r="L124" s="406"/>
      <c r="M124" s="406"/>
      <c r="N124" s="406"/>
      <c r="O124" s="406"/>
      <c r="P124" s="406"/>
      <c r="Q124" s="406"/>
      <c r="R124" s="444"/>
      <c r="S124" s="436"/>
      <c r="T124" s="415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6"/>
      <c r="V124" s="416"/>
      <c r="W124" s="417"/>
      <c r="X124" s="418"/>
      <c r="Y124" s="419" t="str">
        <f t="shared" ca="1" si="6"/>
        <v/>
      </c>
      <c r="Z124" s="420" t="str">
        <f t="shared" ca="1" si="7"/>
        <v/>
      </c>
      <c r="AA124" s="419" t="str">
        <f t="shared" ca="1" si="8"/>
        <v/>
      </c>
      <c r="AB124" s="421" t="str">
        <f t="shared" ca="1" si="9"/>
        <v/>
      </c>
      <c r="AC124" s="420" t="str">
        <f t="shared" ca="1" si="10"/>
        <v/>
      </c>
      <c r="AD124" s="221"/>
    </row>
    <row r="125" spans="1:30" customFormat="1" ht="15">
      <c r="A125" s="221"/>
      <c r="B125" s="269">
        <v>87</v>
      </c>
      <c r="C125" s="68" t="s">
        <v>628</v>
      </c>
      <c r="D125" s="248">
        <v>1</v>
      </c>
      <c r="E125" s="240"/>
      <c r="F125" s="226">
        <v>0.4</v>
      </c>
      <c r="G125" s="428">
        <v>100</v>
      </c>
      <c r="H125" s="379">
        <v>111</v>
      </c>
      <c r="I125" s="397"/>
      <c r="J125" s="397"/>
      <c r="K125" s="406"/>
      <c r="L125" s="406"/>
      <c r="M125" s="406"/>
      <c r="N125" s="406"/>
      <c r="O125" s="406"/>
      <c r="P125" s="406"/>
      <c r="Q125" s="406"/>
      <c r="R125" s="444"/>
      <c r="S125" s="436"/>
      <c r="T125" s="415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6"/>
      <c r="V125" s="416"/>
      <c r="W125" s="417"/>
      <c r="X125" s="418"/>
      <c r="Y125" s="419" t="str">
        <f t="shared" ca="1" si="6"/>
        <v/>
      </c>
      <c r="Z125" s="420" t="str">
        <f t="shared" ca="1" si="7"/>
        <v/>
      </c>
      <c r="AA125" s="419" t="str">
        <f t="shared" ca="1" si="8"/>
        <v/>
      </c>
      <c r="AB125" s="421" t="str">
        <f t="shared" ca="1" si="9"/>
        <v/>
      </c>
      <c r="AC125" s="420" t="str">
        <f t="shared" ca="1" si="10"/>
        <v/>
      </c>
      <c r="AD125" s="221"/>
    </row>
    <row r="126" spans="1:30" customFormat="1" ht="15">
      <c r="A126" s="221"/>
      <c r="B126" s="269">
        <v>88</v>
      </c>
      <c r="C126" s="68" t="s">
        <v>595</v>
      </c>
      <c r="D126" s="248">
        <v>1</v>
      </c>
      <c r="E126" s="240"/>
      <c r="F126" s="226">
        <v>0.4</v>
      </c>
      <c r="G126" s="428">
        <v>100</v>
      </c>
      <c r="H126" s="379">
        <v>112</v>
      </c>
      <c r="I126" s="397"/>
      <c r="J126" s="397"/>
      <c r="K126" s="406"/>
      <c r="L126" s="406"/>
      <c r="M126" s="406"/>
      <c r="N126" s="406"/>
      <c r="O126" s="406"/>
      <c r="P126" s="406"/>
      <c r="Q126" s="406"/>
      <c r="R126" s="444"/>
      <c r="S126" s="436"/>
      <c r="T126" s="415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6"/>
      <c r="V126" s="416"/>
      <c r="W126" s="417"/>
      <c r="X126" s="418"/>
      <c r="Y126" s="419" t="str">
        <f t="shared" ca="1" si="6"/>
        <v/>
      </c>
      <c r="Z126" s="420" t="str">
        <f t="shared" ca="1" si="7"/>
        <v/>
      </c>
      <c r="AA126" s="419" t="str">
        <f t="shared" ca="1" si="8"/>
        <v/>
      </c>
      <c r="AB126" s="421" t="str">
        <f t="shared" ca="1" si="9"/>
        <v/>
      </c>
      <c r="AC126" s="420" t="str">
        <f t="shared" ca="1" si="10"/>
        <v/>
      </c>
      <c r="AD126" s="221"/>
    </row>
    <row r="127" spans="1:30" customFormat="1" ht="15">
      <c r="A127" s="221"/>
      <c r="B127" s="269">
        <v>89</v>
      </c>
      <c r="C127" s="68" t="s">
        <v>603</v>
      </c>
      <c r="D127" s="248">
        <v>1</v>
      </c>
      <c r="E127" s="240"/>
      <c r="F127" s="226">
        <v>0.4</v>
      </c>
      <c r="G127" s="428">
        <v>100</v>
      </c>
      <c r="H127" s="379">
        <v>113</v>
      </c>
      <c r="I127" s="397"/>
      <c r="J127" s="397"/>
      <c r="K127" s="406"/>
      <c r="L127" s="406"/>
      <c r="M127" s="406"/>
      <c r="N127" s="406"/>
      <c r="O127" s="406"/>
      <c r="P127" s="406"/>
      <c r="Q127" s="406"/>
      <c r="R127" s="444"/>
      <c r="S127" s="436"/>
      <c r="T127" s="415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6"/>
      <c r="V127" s="416"/>
      <c r="W127" s="417"/>
      <c r="X127" s="418"/>
      <c r="Y127" s="419" t="str">
        <f t="shared" ca="1" si="6"/>
        <v/>
      </c>
      <c r="Z127" s="420" t="str">
        <f t="shared" ca="1" si="7"/>
        <v/>
      </c>
      <c r="AA127" s="419" t="str">
        <f t="shared" ca="1" si="8"/>
        <v/>
      </c>
      <c r="AB127" s="421" t="str">
        <f t="shared" ca="1" si="9"/>
        <v/>
      </c>
      <c r="AC127" s="420" t="str">
        <f t="shared" ca="1" si="10"/>
        <v/>
      </c>
      <c r="AD127" s="221"/>
    </row>
    <row r="128" spans="1:30" customFormat="1" ht="15">
      <c r="A128" s="221"/>
      <c r="B128" s="269">
        <v>90</v>
      </c>
      <c r="C128" s="68" t="s">
        <v>596</v>
      </c>
      <c r="D128" s="248">
        <v>1</v>
      </c>
      <c r="E128" s="240"/>
      <c r="F128" s="226">
        <v>0.4</v>
      </c>
      <c r="G128" s="428">
        <v>100</v>
      </c>
      <c r="H128" s="379">
        <v>114</v>
      </c>
      <c r="I128" s="397"/>
      <c r="J128" s="397"/>
      <c r="K128" s="406"/>
      <c r="L128" s="406"/>
      <c r="M128" s="406"/>
      <c r="N128" s="406"/>
      <c r="O128" s="406"/>
      <c r="P128" s="406"/>
      <c r="Q128" s="406"/>
      <c r="R128" s="444"/>
      <c r="S128" s="436"/>
      <c r="T128" s="415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6"/>
      <c r="V128" s="416"/>
      <c r="W128" s="417"/>
      <c r="X128" s="418"/>
      <c r="Y128" s="419" t="str">
        <f t="shared" ca="1" si="6"/>
        <v/>
      </c>
      <c r="Z128" s="420" t="str">
        <f t="shared" ca="1" si="7"/>
        <v/>
      </c>
      <c r="AA128" s="419" t="str">
        <f t="shared" ca="1" si="8"/>
        <v/>
      </c>
      <c r="AB128" s="421" t="str">
        <f t="shared" ca="1" si="9"/>
        <v/>
      </c>
      <c r="AC128" s="420" t="str">
        <f t="shared" ca="1" si="10"/>
        <v/>
      </c>
      <c r="AD128" s="221"/>
    </row>
    <row r="129" spans="1:30" customFormat="1" ht="15">
      <c r="A129" s="221"/>
      <c r="B129" s="269">
        <v>91</v>
      </c>
      <c r="C129" s="68" t="s">
        <v>604</v>
      </c>
      <c r="D129" s="248">
        <v>1</v>
      </c>
      <c r="E129" s="240"/>
      <c r="F129" s="226">
        <v>0.4</v>
      </c>
      <c r="G129" s="428">
        <v>100</v>
      </c>
      <c r="H129" s="379">
        <v>115</v>
      </c>
      <c r="I129" s="397"/>
      <c r="J129" s="397"/>
      <c r="K129" s="406"/>
      <c r="L129" s="406"/>
      <c r="M129" s="406"/>
      <c r="N129" s="406"/>
      <c r="O129" s="406"/>
      <c r="P129" s="406"/>
      <c r="Q129" s="406"/>
      <c r="R129" s="444"/>
      <c r="S129" s="436"/>
      <c r="T129" s="415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6"/>
      <c r="V129" s="416"/>
      <c r="W129" s="417"/>
      <c r="X129" s="418"/>
      <c r="Y129" s="419" t="str">
        <f t="shared" ca="1" si="6"/>
        <v/>
      </c>
      <c r="Z129" s="420" t="str">
        <f t="shared" ca="1" si="7"/>
        <v/>
      </c>
      <c r="AA129" s="419" t="str">
        <f t="shared" ca="1" si="8"/>
        <v/>
      </c>
      <c r="AB129" s="421" t="str">
        <f t="shared" ca="1" si="9"/>
        <v/>
      </c>
      <c r="AC129" s="420" t="str">
        <f t="shared" ca="1" si="10"/>
        <v/>
      </c>
      <c r="AD129" s="221"/>
    </row>
    <row r="130" spans="1:30" customFormat="1" ht="15">
      <c r="A130" s="221"/>
      <c r="B130" s="269">
        <v>92</v>
      </c>
      <c r="C130" s="68" t="s">
        <v>597</v>
      </c>
      <c r="D130" s="248">
        <v>1</v>
      </c>
      <c r="E130" s="240"/>
      <c r="F130" s="226">
        <v>0.4</v>
      </c>
      <c r="G130" s="428">
        <v>100</v>
      </c>
      <c r="H130" s="379">
        <v>116</v>
      </c>
      <c r="I130" s="397"/>
      <c r="J130" s="397"/>
      <c r="K130" s="406"/>
      <c r="L130" s="406"/>
      <c r="M130" s="406"/>
      <c r="N130" s="406"/>
      <c r="O130" s="406"/>
      <c r="P130" s="406"/>
      <c r="Q130" s="406"/>
      <c r="R130" s="444"/>
      <c r="S130" s="436"/>
      <c r="T130" s="415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6"/>
      <c r="V130" s="416"/>
      <c r="W130" s="417"/>
      <c r="X130" s="418"/>
      <c r="Y130" s="419" t="str">
        <f t="shared" ca="1" si="6"/>
        <v/>
      </c>
      <c r="Z130" s="420" t="str">
        <f t="shared" ca="1" si="7"/>
        <v/>
      </c>
      <c r="AA130" s="419" t="str">
        <f t="shared" ca="1" si="8"/>
        <v/>
      </c>
      <c r="AB130" s="421" t="str">
        <f t="shared" ca="1" si="9"/>
        <v/>
      </c>
      <c r="AC130" s="420" t="str">
        <f t="shared" ca="1" si="10"/>
        <v/>
      </c>
      <c r="AD130" s="221"/>
    </row>
    <row r="131" spans="1:30" customFormat="1" ht="15">
      <c r="A131" s="221"/>
      <c r="B131" s="269">
        <v>93</v>
      </c>
      <c r="C131" s="68" t="s">
        <v>598</v>
      </c>
      <c r="D131" s="248">
        <v>1</v>
      </c>
      <c r="E131" s="240"/>
      <c r="F131" s="226">
        <v>0.4</v>
      </c>
      <c r="G131" s="428">
        <v>100</v>
      </c>
      <c r="H131" s="379">
        <v>117</v>
      </c>
      <c r="I131" s="397"/>
      <c r="J131" s="397"/>
      <c r="K131" s="406"/>
      <c r="L131" s="406"/>
      <c r="M131" s="406"/>
      <c r="N131" s="406"/>
      <c r="O131" s="406"/>
      <c r="P131" s="406"/>
      <c r="Q131" s="406"/>
      <c r="R131" s="444"/>
      <c r="S131" s="436"/>
      <c r="T131" s="415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6"/>
      <c r="V131" s="416"/>
      <c r="W131" s="417"/>
      <c r="X131" s="418"/>
      <c r="Y131" s="419" t="str">
        <f t="shared" ca="1" si="6"/>
        <v/>
      </c>
      <c r="Z131" s="420" t="str">
        <f t="shared" ca="1" si="7"/>
        <v/>
      </c>
      <c r="AA131" s="419" t="str">
        <f t="shared" ca="1" si="8"/>
        <v/>
      </c>
      <c r="AB131" s="421" t="str">
        <f t="shared" ca="1" si="9"/>
        <v/>
      </c>
      <c r="AC131" s="420" t="str">
        <f t="shared" ca="1" si="10"/>
        <v/>
      </c>
      <c r="AD131" s="221"/>
    </row>
    <row r="132" spans="1:30" customFormat="1" ht="15">
      <c r="A132" s="221"/>
      <c r="B132" s="269">
        <v>94</v>
      </c>
      <c r="C132" s="68" t="s">
        <v>599</v>
      </c>
      <c r="D132" s="248">
        <v>1</v>
      </c>
      <c r="E132" s="240"/>
      <c r="F132" s="226">
        <v>0.4</v>
      </c>
      <c r="G132" s="428">
        <v>100</v>
      </c>
      <c r="H132" s="379">
        <v>118</v>
      </c>
      <c r="I132" s="397"/>
      <c r="J132" s="397"/>
      <c r="K132" s="406"/>
      <c r="L132" s="406"/>
      <c r="M132" s="406"/>
      <c r="N132" s="406"/>
      <c r="O132" s="406"/>
      <c r="P132" s="406"/>
      <c r="Q132" s="406"/>
      <c r="R132" s="444"/>
      <c r="S132" s="436"/>
      <c r="T132" s="415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6"/>
      <c r="V132" s="416"/>
      <c r="W132" s="417"/>
      <c r="X132" s="418"/>
      <c r="Y132" s="419" t="str">
        <f t="shared" ca="1" si="6"/>
        <v/>
      </c>
      <c r="Z132" s="420" t="str">
        <f t="shared" ca="1" si="7"/>
        <v/>
      </c>
      <c r="AA132" s="419" t="str">
        <f t="shared" ca="1" si="8"/>
        <v/>
      </c>
      <c r="AB132" s="421" t="str">
        <f t="shared" ca="1" si="9"/>
        <v/>
      </c>
      <c r="AC132" s="420" t="str">
        <f t="shared" ca="1" si="10"/>
        <v/>
      </c>
      <c r="AD132" s="221"/>
    </row>
    <row r="133" spans="1:30" customFormat="1" ht="15">
      <c r="A133" s="221"/>
      <c r="B133" s="269">
        <v>95</v>
      </c>
      <c r="C133" s="68" t="s">
        <v>600</v>
      </c>
      <c r="D133" s="248">
        <v>1</v>
      </c>
      <c r="E133" s="240"/>
      <c r="F133" s="226">
        <v>0.4</v>
      </c>
      <c r="G133" s="428">
        <v>100</v>
      </c>
      <c r="H133" s="379">
        <v>119</v>
      </c>
      <c r="I133" s="397"/>
      <c r="J133" s="397"/>
      <c r="K133" s="406"/>
      <c r="L133" s="406"/>
      <c r="M133" s="406"/>
      <c r="N133" s="406"/>
      <c r="O133" s="406"/>
      <c r="P133" s="406"/>
      <c r="Q133" s="406"/>
      <c r="R133" s="444"/>
      <c r="S133" s="436"/>
      <c r="T133" s="415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6"/>
      <c r="V133" s="416"/>
      <c r="W133" s="417"/>
      <c r="X133" s="418"/>
      <c r="Y133" s="419" t="str">
        <f t="shared" ca="1" si="6"/>
        <v/>
      </c>
      <c r="Z133" s="420" t="str">
        <f t="shared" ca="1" si="7"/>
        <v/>
      </c>
      <c r="AA133" s="419" t="str">
        <f t="shared" ca="1" si="8"/>
        <v/>
      </c>
      <c r="AB133" s="421" t="str">
        <f t="shared" ca="1" si="9"/>
        <v/>
      </c>
      <c r="AC133" s="420" t="str">
        <f t="shared" ca="1" si="10"/>
        <v/>
      </c>
      <c r="AD133" s="221"/>
    </row>
    <row r="134" spans="1:30" customFormat="1" ht="15">
      <c r="A134" s="221"/>
      <c r="B134" s="269">
        <v>96</v>
      </c>
      <c r="C134" s="247"/>
      <c r="D134" s="248"/>
      <c r="E134" s="240"/>
      <c r="F134" s="226"/>
      <c r="G134" s="428"/>
      <c r="H134" s="379">
        <v>120</v>
      </c>
      <c r="I134" s="397"/>
      <c r="J134" s="397"/>
      <c r="K134" s="406"/>
      <c r="L134" s="406"/>
      <c r="M134" s="406"/>
      <c r="N134" s="406"/>
      <c r="O134" s="406"/>
      <c r="P134" s="406"/>
      <c r="Q134" s="406"/>
      <c r="R134" s="444"/>
      <c r="S134" s="436"/>
      <c r="T134" s="415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6"/>
      <c r="V134" s="416"/>
      <c r="W134" s="417"/>
      <c r="X134" s="418"/>
      <c r="Y134" s="419" t="str">
        <f t="shared" ca="1" si="6"/>
        <v/>
      </c>
      <c r="Z134" s="420" t="str">
        <f t="shared" ca="1" si="7"/>
        <v/>
      </c>
      <c r="AA134" s="419" t="str">
        <f t="shared" ca="1" si="8"/>
        <v/>
      </c>
      <c r="AB134" s="421" t="str">
        <f t="shared" ca="1" si="9"/>
        <v/>
      </c>
      <c r="AC134" s="420" t="str">
        <f t="shared" ca="1" si="10"/>
        <v/>
      </c>
      <c r="AD134" s="221"/>
    </row>
    <row r="135" spans="1:30" customFormat="1" ht="15">
      <c r="A135" s="221"/>
      <c r="B135" s="269">
        <v>97</v>
      </c>
      <c r="C135" s="247"/>
      <c r="D135" s="248"/>
      <c r="E135" s="240"/>
      <c r="F135" s="226"/>
      <c r="G135" s="428"/>
      <c r="H135" s="379">
        <v>121</v>
      </c>
      <c r="I135" s="397"/>
      <c r="J135" s="397"/>
      <c r="K135" s="406"/>
      <c r="L135" s="406"/>
      <c r="M135" s="406"/>
      <c r="N135" s="406"/>
      <c r="O135" s="406"/>
      <c r="P135" s="406"/>
      <c r="Q135" s="406"/>
      <c r="R135" s="444"/>
      <c r="S135" s="436"/>
      <c r="T135" s="415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6"/>
      <c r="V135" s="416"/>
      <c r="W135" s="417"/>
      <c r="X135" s="418"/>
      <c r="Y135" s="419" t="str">
        <f t="shared" ca="1" si="6"/>
        <v/>
      </c>
      <c r="Z135" s="420" t="str">
        <f t="shared" ca="1" si="7"/>
        <v/>
      </c>
      <c r="AA135" s="419" t="str">
        <f t="shared" ca="1" si="8"/>
        <v/>
      </c>
      <c r="AB135" s="421" t="str">
        <f t="shared" ca="1" si="9"/>
        <v/>
      </c>
      <c r="AC135" s="420" t="str">
        <f t="shared" ca="1" si="10"/>
        <v/>
      </c>
      <c r="AD135" s="221"/>
    </row>
    <row r="136" spans="1:30" customFormat="1" ht="15">
      <c r="A136" s="221"/>
      <c r="B136" s="269">
        <v>98</v>
      </c>
      <c r="C136" s="247"/>
      <c r="D136" s="248"/>
      <c r="E136" s="240"/>
      <c r="F136" s="226"/>
      <c r="G136" s="428"/>
      <c r="H136" s="379">
        <v>122</v>
      </c>
      <c r="I136" s="397"/>
      <c r="J136" s="397"/>
      <c r="K136" s="406"/>
      <c r="L136" s="406"/>
      <c r="M136" s="406"/>
      <c r="N136" s="406"/>
      <c r="O136" s="406"/>
      <c r="P136" s="406"/>
      <c r="Q136" s="406"/>
      <c r="R136" s="444"/>
      <c r="S136" s="436"/>
      <c r="T136" s="415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6"/>
      <c r="V136" s="416"/>
      <c r="W136" s="417"/>
      <c r="X136" s="418"/>
      <c r="Y136" s="419" t="str">
        <f t="shared" ca="1" si="6"/>
        <v/>
      </c>
      <c r="Z136" s="420" t="str">
        <f t="shared" ca="1" si="7"/>
        <v/>
      </c>
      <c r="AA136" s="419" t="str">
        <f t="shared" ca="1" si="8"/>
        <v/>
      </c>
      <c r="AB136" s="421" t="str">
        <f t="shared" ca="1" si="9"/>
        <v/>
      </c>
      <c r="AC136" s="420" t="str">
        <f t="shared" ca="1" si="10"/>
        <v/>
      </c>
      <c r="AD136" s="221"/>
    </row>
    <row r="137" spans="1:30" customFormat="1" ht="15">
      <c r="A137" s="221"/>
      <c r="B137" s="269">
        <v>99</v>
      </c>
      <c r="C137" s="247"/>
      <c r="D137" s="248"/>
      <c r="E137" s="240"/>
      <c r="F137" s="226"/>
      <c r="G137" s="428"/>
      <c r="H137" s="379">
        <v>123</v>
      </c>
      <c r="I137" s="397"/>
      <c r="J137" s="397"/>
      <c r="K137" s="406"/>
      <c r="L137" s="406"/>
      <c r="M137" s="406"/>
      <c r="N137" s="406"/>
      <c r="O137" s="406"/>
      <c r="P137" s="406"/>
      <c r="Q137" s="406"/>
      <c r="R137" s="444"/>
      <c r="S137" s="436"/>
      <c r="T137" s="415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6"/>
      <c r="V137" s="416"/>
      <c r="W137" s="417"/>
      <c r="X137" s="418"/>
      <c r="Y137" s="419" t="str">
        <f t="shared" ca="1" si="6"/>
        <v/>
      </c>
      <c r="Z137" s="420" t="str">
        <f t="shared" ca="1" si="7"/>
        <v/>
      </c>
      <c r="AA137" s="419" t="str">
        <f t="shared" ca="1" si="8"/>
        <v/>
      </c>
      <c r="AB137" s="421" t="str">
        <f t="shared" ca="1" si="9"/>
        <v/>
      </c>
      <c r="AC137" s="420" t="str">
        <f t="shared" ca="1" si="10"/>
        <v/>
      </c>
      <c r="AD137" s="221"/>
    </row>
    <row r="138" spans="1:30" customFormat="1" ht="15">
      <c r="A138" s="221"/>
      <c r="B138" s="269">
        <v>100</v>
      </c>
      <c r="C138" s="247"/>
      <c r="D138" s="248"/>
      <c r="E138" s="240"/>
      <c r="F138" s="226"/>
      <c r="G138" s="428"/>
      <c r="H138" s="379">
        <v>124</v>
      </c>
      <c r="I138" s="397"/>
      <c r="J138" s="397"/>
      <c r="K138" s="406"/>
      <c r="L138" s="406"/>
      <c r="M138" s="406"/>
      <c r="N138" s="406"/>
      <c r="O138" s="406"/>
      <c r="P138" s="406"/>
      <c r="Q138" s="406"/>
      <c r="R138" s="444"/>
      <c r="S138" s="436"/>
      <c r="T138" s="415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6"/>
      <c r="V138" s="416"/>
      <c r="W138" s="417"/>
      <c r="X138" s="418"/>
      <c r="Y138" s="419" t="str">
        <f t="shared" ca="1" si="6"/>
        <v/>
      </c>
      <c r="Z138" s="420" t="str">
        <f t="shared" ca="1" si="7"/>
        <v/>
      </c>
      <c r="AA138" s="419" t="str">
        <f t="shared" ca="1" si="8"/>
        <v/>
      </c>
      <c r="AB138" s="421" t="str">
        <f t="shared" ca="1" si="9"/>
        <v/>
      </c>
      <c r="AC138" s="420" t="str">
        <f t="shared" ca="1" si="10"/>
        <v/>
      </c>
      <c r="AD138" s="221"/>
    </row>
    <row r="139" spans="1:30" customFormat="1" ht="15">
      <c r="A139" s="221"/>
      <c r="B139" s="269">
        <v>101</v>
      </c>
      <c r="C139" s="247"/>
      <c r="D139" s="248"/>
      <c r="E139" s="240"/>
      <c r="F139" s="226"/>
      <c r="G139" s="232"/>
      <c r="H139" s="379">
        <v>125</v>
      </c>
      <c r="I139" s="397"/>
      <c r="J139" s="397"/>
      <c r="K139" s="406"/>
      <c r="L139" s="406"/>
      <c r="M139" s="406"/>
      <c r="N139" s="406"/>
      <c r="O139" s="406"/>
      <c r="P139" s="406"/>
      <c r="Q139" s="406"/>
      <c r="R139" s="444"/>
      <c r="S139" s="436"/>
      <c r="T139" s="415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6"/>
      <c r="V139" s="416"/>
      <c r="W139" s="417"/>
      <c r="X139" s="418"/>
      <c r="Y139" s="419" t="str">
        <f t="shared" ca="1" si="6"/>
        <v/>
      </c>
      <c r="Z139" s="420" t="str">
        <f t="shared" ca="1" si="7"/>
        <v/>
      </c>
      <c r="AA139" s="419" t="str">
        <f t="shared" ca="1" si="8"/>
        <v/>
      </c>
      <c r="AB139" s="421" t="str">
        <f t="shared" ca="1" si="9"/>
        <v/>
      </c>
      <c r="AC139" s="420" t="str">
        <f t="shared" ca="1" si="10"/>
        <v/>
      </c>
      <c r="AD139" s="221"/>
    </row>
    <row r="140" spans="1:30" customFormat="1" ht="15">
      <c r="A140" s="221"/>
      <c r="B140" s="269">
        <v>102</v>
      </c>
      <c r="C140" s="247"/>
      <c r="D140" s="248"/>
      <c r="E140" s="240"/>
      <c r="F140" s="226"/>
      <c r="G140" s="232"/>
      <c r="H140" s="379">
        <v>126</v>
      </c>
      <c r="I140" s="397"/>
      <c r="J140" s="397"/>
      <c r="K140" s="406"/>
      <c r="L140" s="406"/>
      <c r="M140" s="397"/>
      <c r="N140" s="397"/>
      <c r="O140" s="397"/>
      <c r="P140" s="397"/>
      <c r="Q140" s="397"/>
      <c r="R140" s="445"/>
      <c r="S140" s="436"/>
      <c r="T140" s="415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6"/>
      <c r="V140" s="416"/>
      <c r="W140" s="417"/>
      <c r="X140" s="418"/>
      <c r="Y140" s="419" t="str">
        <f t="shared" ca="1" si="6"/>
        <v/>
      </c>
      <c r="Z140" s="420" t="str">
        <f t="shared" ca="1" si="7"/>
        <v/>
      </c>
      <c r="AA140" s="419" t="str">
        <f t="shared" ca="1" si="8"/>
        <v/>
      </c>
      <c r="AB140" s="421" t="str">
        <f t="shared" ca="1" si="9"/>
        <v/>
      </c>
      <c r="AC140" s="420" t="str">
        <f t="shared" ca="1" si="10"/>
        <v/>
      </c>
      <c r="AD140" s="221"/>
    </row>
    <row r="141" spans="1:30" customFormat="1" ht="15">
      <c r="A141" s="221"/>
      <c r="B141" s="269">
        <v>103</v>
      </c>
      <c r="C141" s="247"/>
      <c r="D141" s="248"/>
      <c r="E141" s="240"/>
      <c r="F141" s="226"/>
      <c r="G141" s="232"/>
      <c r="H141" s="379">
        <v>127</v>
      </c>
      <c r="I141" s="397"/>
      <c r="J141" s="397"/>
      <c r="K141" s="406"/>
      <c r="L141" s="406"/>
      <c r="M141" s="397"/>
      <c r="N141" s="397"/>
      <c r="O141" s="397"/>
      <c r="P141" s="397"/>
      <c r="Q141" s="397"/>
      <c r="R141" s="445"/>
      <c r="S141" s="436"/>
      <c r="T141" s="415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6"/>
      <c r="V141" s="416"/>
      <c r="W141" s="417"/>
      <c r="X141" s="418"/>
      <c r="Y141" s="419" t="str">
        <f t="shared" ca="1" si="6"/>
        <v/>
      </c>
      <c r="Z141" s="420" t="str">
        <f t="shared" ca="1" si="7"/>
        <v/>
      </c>
      <c r="AA141" s="419" t="str">
        <f t="shared" ca="1" si="8"/>
        <v/>
      </c>
      <c r="AB141" s="421" t="str">
        <f t="shared" ca="1" si="9"/>
        <v/>
      </c>
      <c r="AC141" s="420" t="str">
        <f t="shared" ca="1" si="10"/>
        <v/>
      </c>
      <c r="AD141" s="221"/>
    </row>
    <row r="142" spans="1:30" customFormat="1" ht="15">
      <c r="A142" s="221"/>
      <c r="B142" s="269">
        <v>104</v>
      </c>
      <c r="C142" s="247"/>
      <c r="D142" s="248"/>
      <c r="E142" s="240"/>
      <c r="F142" s="226"/>
      <c r="G142" s="232"/>
      <c r="H142" s="379">
        <v>128</v>
      </c>
      <c r="I142" s="397"/>
      <c r="J142" s="397"/>
      <c r="K142" s="406"/>
      <c r="L142" s="406"/>
      <c r="M142" s="397"/>
      <c r="N142" s="397"/>
      <c r="O142" s="397"/>
      <c r="P142" s="397"/>
      <c r="Q142" s="397"/>
      <c r="R142" s="445"/>
      <c r="S142" s="436"/>
      <c r="T142" s="415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6"/>
      <c r="V142" s="416"/>
      <c r="W142" s="417"/>
      <c r="X142" s="418"/>
      <c r="Y142" s="419" t="str">
        <f t="shared" ca="1" si="6"/>
        <v/>
      </c>
      <c r="Z142" s="420" t="str">
        <f t="shared" ca="1" si="7"/>
        <v/>
      </c>
      <c r="AA142" s="419" t="str">
        <f t="shared" ca="1" si="8"/>
        <v/>
      </c>
      <c r="AB142" s="421" t="str">
        <f t="shared" ca="1" si="9"/>
        <v/>
      </c>
      <c r="AC142" s="420" t="str">
        <f t="shared" ca="1" si="10"/>
        <v/>
      </c>
      <c r="AD142" s="221"/>
    </row>
    <row r="143" spans="1:30" customFormat="1" ht="15">
      <c r="A143" s="221"/>
      <c r="B143" s="269">
        <v>105</v>
      </c>
      <c r="C143" s="247"/>
      <c r="D143" s="248"/>
      <c r="E143" s="240"/>
      <c r="F143" s="226"/>
      <c r="G143" s="232"/>
      <c r="H143" s="379">
        <v>129</v>
      </c>
      <c r="I143" s="397"/>
      <c r="J143" s="397"/>
      <c r="K143" s="406"/>
      <c r="L143" s="406"/>
      <c r="M143" s="397"/>
      <c r="N143" s="397"/>
      <c r="O143" s="397"/>
      <c r="P143" s="397"/>
      <c r="Q143" s="397"/>
      <c r="R143" s="445"/>
      <c r="S143" s="436"/>
      <c r="T143" s="415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6"/>
      <c r="V143" s="416"/>
      <c r="W143" s="417"/>
      <c r="X143" s="418"/>
      <c r="Y143" s="419" t="str">
        <f t="shared" ca="1" si="6"/>
        <v/>
      </c>
      <c r="Z143" s="420" t="str">
        <f t="shared" ca="1" si="7"/>
        <v/>
      </c>
      <c r="AA143" s="419" t="str">
        <f t="shared" ca="1" si="8"/>
        <v/>
      </c>
      <c r="AB143" s="421" t="str">
        <f t="shared" ca="1" si="9"/>
        <v/>
      </c>
      <c r="AC143" s="420" t="str">
        <f t="shared" ca="1" si="10"/>
        <v/>
      </c>
      <c r="AD143" s="221"/>
    </row>
    <row r="144" spans="1:30" customFormat="1" ht="15">
      <c r="A144" s="221"/>
      <c r="B144" s="269">
        <v>106</v>
      </c>
      <c r="C144" s="247"/>
      <c r="D144" s="248"/>
      <c r="E144" s="240"/>
      <c r="F144" s="226"/>
      <c r="G144" s="232"/>
      <c r="H144" s="379">
        <v>130</v>
      </c>
      <c r="I144" s="397"/>
      <c r="J144" s="397"/>
      <c r="K144" s="406"/>
      <c r="L144" s="406"/>
      <c r="M144" s="397"/>
      <c r="N144" s="397"/>
      <c r="O144" s="397"/>
      <c r="P144" s="397"/>
      <c r="Q144" s="397"/>
      <c r="R144" s="445"/>
      <c r="S144" s="436"/>
      <c r="T144" s="415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6"/>
      <c r="V144" s="416"/>
      <c r="W144" s="417"/>
      <c r="X144" s="418"/>
      <c r="Y144" s="419" t="str">
        <f t="shared" ref="Y144:Y207" ca="1" si="12">IF($U$12,IF(T144="","",$U$13*D168/$C$18),"")</f>
        <v/>
      </c>
      <c r="Z144" s="420" t="str">
        <f t="shared" ref="Z144:Z207" ca="1" si="13">IF($U$12,IF(Y144="","",Y144*($Z$10-W144)*X144),"")</f>
        <v/>
      </c>
      <c r="AA144" s="419" t="str">
        <f t="shared" ref="AA144:AA207" ca="1" si="14">IF($U$12,IF(OR(T144="",L144=""),"",L144/($C$20-$C$19)),"")</f>
        <v/>
      </c>
      <c r="AB144" s="421" t="str">
        <f t="shared" ref="AB144:AB207" ca="1" si="15">IF($U$12,IF(W144="","",W144*$AC$10),"")</f>
        <v/>
      </c>
      <c r="AC144" s="420" t="str">
        <f t="shared" ref="AC144:AC207" ca="1" si="16">IF($U$12,IF(AA144="","",AA144*(AB144-W144)*X144),"")</f>
        <v/>
      </c>
      <c r="AD144" s="221"/>
    </row>
    <row r="145" spans="1:30" customFormat="1" ht="15">
      <c r="A145" s="221"/>
      <c r="B145" s="269">
        <v>107</v>
      </c>
      <c r="C145" s="247"/>
      <c r="D145" s="248"/>
      <c r="E145" s="240"/>
      <c r="F145" s="226"/>
      <c r="G145" s="232"/>
      <c r="H145" s="379">
        <v>131</v>
      </c>
      <c r="I145" s="397"/>
      <c r="J145" s="397"/>
      <c r="K145" s="406"/>
      <c r="L145" s="406"/>
      <c r="M145" s="397"/>
      <c r="N145" s="397"/>
      <c r="O145" s="397"/>
      <c r="P145" s="397"/>
      <c r="Q145" s="397"/>
      <c r="R145" s="445"/>
      <c r="S145" s="436"/>
      <c r="T145" s="415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6"/>
      <c r="V145" s="416"/>
      <c r="W145" s="417"/>
      <c r="X145" s="418"/>
      <c r="Y145" s="419" t="str">
        <f t="shared" ca="1" si="12"/>
        <v/>
      </c>
      <c r="Z145" s="420" t="str">
        <f t="shared" ca="1" si="13"/>
        <v/>
      </c>
      <c r="AA145" s="419" t="str">
        <f t="shared" ca="1" si="14"/>
        <v/>
      </c>
      <c r="AB145" s="421" t="str">
        <f t="shared" ca="1" si="15"/>
        <v/>
      </c>
      <c r="AC145" s="420" t="str">
        <f t="shared" ca="1" si="16"/>
        <v/>
      </c>
      <c r="AD145" s="221"/>
    </row>
    <row r="146" spans="1:30" customFormat="1" ht="15">
      <c r="A146" s="221"/>
      <c r="B146" s="269">
        <v>108</v>
      </c>
      <c r="C146" s="247"/>
      <c r="D146" s="248"/>
      <c r="E146" s="240"/>
      <c r="F146" s="226"/>
      <c r="G146" s="232"/>
      <c r="H146" s="379">
        <v>132</v>
      </c>
      <c r="I146" s="397"/>
      <c r="J146" s="397"/>
      <c r="K146" s="406"/>
      <c r="L146" s="406"/>
      <c r="M146" s="397"/>
      <c r="N146" s="397"/>
      <c r="O146" s="397"/>
      <c r="P146" s="397"/>
      <c r="Q146" s="397"/>
      <c r="R146" s="445"/>
      <c r="S146" s="436"/>
      <c r="T146" s="415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6"/>
      <c r="V146" s="416"/>
      <c r="W146" s="417"/>
      <c r="X146" s="418"/>
      <c r="Y146" s="419" t="str">
        <f t="shared" ca="1" si="12"/>
        <v/>
      </c>
      <c r="Z146" s="420" t="str">
        <f t="shared" ca="1" si="13"/>
        <v/>
      </c>
      <c r="AA146" s="419" t="str">
        <f t="shared" ca="1" si="14"/>
        <v/>
      </c>
      <c r="AB146" s="421" t="str">
        <f t="shared" ca="1" si="15"/>
        <v/>
      </c>
      <c r="AC146" s="420" t="str">
        <f t="shared" ca="1" si="16"/>
        <v/>
      </c>
      <c r="AD146" s="221"/>
    </row>
    <row r="147" spans="1:30" customFormat="1" ht="15">
      <c r="A147" s="221"/>
      <c r="B147" s="269">
        <v>109</v>
      </c>
      <c r="C147" s="247"/>
      <c r="D147" s="248"/>
      <c r="E147" s="240"/>
      <c r="F147" s="226"/>
      <c r="G147" s="232"/>
      <c r="H147" s="379">
        <v>133</v>
      </c>
      <c r="I147" s="397"/>
      <c r="J147" s="397"/>
      <c r="K147" s="406"/>
      <c r="L147" s="406"/>
      <c r="M147" s="397"/>
      <c r="N147" s="397"/>
      <c r="O147" s="397"/>
      <c r="P147" s="397"/>
      <c r="Q147" s="397"/>
      <c r="R147" s="445"/>
      <c r="S147" s="436"/>
      <c r="T147" s="415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6"/>
      <c r="V147" s="416"/>
      <c r="W147" s="417"/>
      <c r="X147" s="418"/>
      <c r="Y147" s="419" t="str">
        <f t="shared" ca="1" si="12"/>
        <v/>
      </c>
      <c r="Z147" s="420" t="str">
        <f t="shared" ca="1" si="13"/>
        <v/>
      </c>
      <c r="AA147" s="419" t="str">
        <f t="shared" ca="1" si="14"/>
        <v/>
      </c>
      <c r="AB147" s="421" t="str">
        <f t="shared" ca="1" si="15"/>
        <v/>
      </c>
      <c r="AC147" s="420" t="str">
        <f t="shared" ca="1" si="16"/>
        <v/>
      </c>
      <c r="AD147" s="221"/>
    </row>
    <row r="148" spans="1:30" customFormat="1" ht="15">
      <c r="A148" s="221"/>
      <c r="B148" s="269">
        <v>110</v>
      </c>
      <c r="C148" s="247"/>
      <c r="D148" s="248"/>
      <c r="E148" s="240"/>
      <c r="F148" s="226"/>
      <c r="G148" s="232"/>
      <c r="H148" s="379">
        <v>134</v>
      </c>
      <c r="I148" s="397"/>
      <c r="J148" s="397"/>
      <c r="K148" s="406"/>
      <c r="L148" s="406"/>
      <c r="M148" s="397"/>
      <c r="N148" s="397"/>
      <c r="O148" s="397"/>
      <c r="P148" s="397"/>
      <c r="Q148" s="397"/>
      <c r="R148" s="445"/>
      <c r="S148" s="436"/>
      <c r="T148" s="415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6"/>
      <c r="V148" s="416"/>
      <c r="W148" s="417"/>
      <c r="X148" s="418"/>
      <c r="Y148" s="419" t="str">
        <f t="shared" ca="1" si="12"/>
        <v/>
      </c>
      <c r="Z148" s="420" t="str">
        <f t="shared" ca="1" si="13"/>
        <v/>
      </c>
      <c r="AA148" s="419" t="str">
        <f t="shared" ca="1" si="14"/>
        <v/>
      </c>
      <c r="AB148" s="421" t="str">
        <f t="shared" ca="1" si="15"/>
        <v/>
      </c>
      <c r="AC148" s="420" t="str">
        <f t="shared" ca="1" si="16"/>
        <v/>
      </c>
      <c r="AD148" s="221"/>
    </row>
    <row r="149" spans="1:30" customFormat="1" ht="15">
      <c r="A149" s="221"/>
      <c r="B149" s="269">
        <v>111</v>
      </c>
      <c r="C149" s="247"/>
      <c r="D149" s="248"/>
      <c r="E149" s="240"/>
      <c r="F149" s="226"/>
      <c r="G149" s="232"/>
      <c r="H149" s="379">
        <v>135</v>
      </c>
      <c r="I149" s="397"/>
      <c r="J149" s="397"/>
      <c r="K149" s="406"/>
      <c r="L149" s="406"/>
      <c r="M149" s="397"/>
      <c r="N149" s="397"/>
      <c r="O149" s="397"/>
      <c r="P149" s="397"/>
      <c r="Q149" s="397"/>
      <c r="R149" s="445"/>
      <c r="S149" s="436"/>
      <c r="T149" s="415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6"/>
      <c r="V149" s="416"/>
      <c r="W149" s="417"/>
      <c r="X149" s="418"/>
      <c r="Y149" s="419" t="str">
        <f t="shared" ca="1" si="12"/>
        <v/>
      </c>
      <c r="Z149" s="420" t="str">
        <f t="shared" ca="1" si="13"/>
        <v/>
      </c>
      <c r="AA149" s="419" t="str">
        <f t="shared" ca="1" si="14"/>
        <v/>
      </c>
      <c r="AB149" s="421" t="str">
        <f t="shared" ca="1" si="15"/>
        <v/>
      </c>
      <c r="AC149" s="420" t="str">
        <f t="shared" ca="1" si="16"/>
        <v/>
      </c>
      <c r="AD149" s="221"/>
    </row>
    <row r="150" spans="1:30" customFormat="1" ht="15">
      <c r="A150" s="221"/>
      <c r="B150" s="269">
        <v>112</v>
      </c>
      <c r="C150" s="247"/>
      <c r="D150" s="248"/>
      <c r="E150" s="240"/>
      <c r="F150" s="226"/>
      <c r="G150" s="232"/>
      <c r="H150" s="379">
        <v>136</v>
      </c>
      <c r="I150" s="397"/>
      <c r="J150" s="397"/>
      <c r="K150" s="406"/>
      <c r="L150" s="406"/>
      <c r="M150" s="397"/>
      <c r="N150" s="397"/>
      <c r="O150" s="397"/>
      <c r="P150" s="397"/>
      <c r="Q150" s="397"/>
      <c r="R150" s="445"/>
      <c r="S150" s="436"/>
      <c r="T150" s="415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6"/>
      <c r="V150" s="416"/>
      <c r="W150" s="417"/>
      <c r="X150" s="418"/>
      <c r="Y150" s="419" t="str">
        <f t="shared" ca="1" si="12"/>
        <v/>
      </c>
      <c r="Z150" s="420" t="str">
        <f t="shared" ca="1" si="13"/>
        <v/>
      </c>
      <c r="AA150" s="419" t="str">
        <f t="shared" ca="1" si="14"/>
        <v/>
      </c>
      <c r="AB150" s="421" t="str">
        <f t="shared" ca="1" si="15"/>
        <v/>
      </c>
      <c r="AC150" s="420" t="str">
        <f t="shared" ca="1" si="16"/>
        <v/>
      </c>
      <c r="AD150" s="221"/>
    </row>
    <row r="151" spans="1:30" customFormat="1" ht="15">
      <c r="A151" s="221"/>
      <c r="B151" s="269">
        <v>113</v>
      </c>
      <c r="C151" s="247"/>
      <c r="D151" s="248"/>
      <c r="E151" s="240"/>
      <c r="F151" s="226"/>
      <c r="G151" s="232"/>
      <c r="H151" s="379">
        <v>137</v>
      </c>
      <c r="I151" s="397"/>
      <c r="J151" s="397"/>
      <c r="K151" s="406"/>
      <c r="L151" s="406"/>
      <c r="M151" s="397"/>
      <c r="N151" s="397"/>
      <c r="O151" s="397"/>
      <c r="P151" s="397"/>
      <c r="Q151" s="397"/>
      <c r="R151" s="445"/>
      <c r="S151" s="436"/>
      <c r="T151" s="415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6"/>
      <c r="V151" s="416"/>
      <c r="W151" s="417"/>
      <c r="X151" s="418"/>
      <c r="Y151" s="419" t="str">
        <f t="shared" ca="1" si="12"/>
        <v/>
      </c>
      <c r="Z151" s="420" t="str">
        <f t="shared" ca="1" si="13"/>
        <v/>
      </c>
      <c r="AA151" s="419" t="str">
        <f t="shared" ca="1" si="14"/>
        <v/>
      </c>
      <c r="AB151" s="421" t="str">
        <f t="shared" ca="1" si="15"/>
        <v/>
      </c>
      <c r="AC151" s="420" t="str">
        <f t="shared" ca="1" si="16"/>
        <v/>
      </c>
      <c r="AD151" s="221"/>
    </row>
    <row r="152" spans="1:30" customFormat="1" ht="15">
      <c r="A152" s="221"/>
      <c r="B152" s="269">
        <v>114</v>
      </c>
      <c r="C152" s="247"/>
      <c r="D152" s="248"/>
      <c r="E152" s="240"/>
      <c r="F152" s="226"/>
      <c r="G152" s="232"/>
      <c r="H152" s="379">
        <v>138</v>
      </c>
      <c r="I152" s="397"/>
      <c r="J152" s="397"/>
      <c r="K152" s="406"/>
      <c r="L152" s="406"/>
      <c r="M152" s="397"/>
      <c r="N152" s="397"/>
      <c r="O152" s="397"/>
      <c r="P152" s="397"/>
      <c r="Q152" s="397"/>
      <c r="R152" s="445"/>
      <c r="S152" s="436"/>
      <c r="T152" s="415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6"/>
      <c r="V152" s="416"/>
      <c r="W152" s="417"/>
      <c r="X152" s="418"/>
      <c r="Y152" s="419" t="str">
        <f t="shared" ca="1" si="12"/>
        <v/>
      </c>
      <c r="Z152" s="420" t="str">
        <f t="shared" ca="1" si="13"/>
        <v/>
      </c>
      <c r="AA152" s="419" t="str">
        <f t="shared" ca="1" si="14"/>
        <v/>
      </c>
      <c r="AB152" s="421" t="str">
        <f t="shared" ca="1" si="15"/>
        <v/>
      </c>
      <c r="AC152" s="420" t="str">
        <f t="shared" ca="1" si="16"/>
        <v/>
      </c>
      <c r="AD152" s="221"/>
    </row>
    <row r="153" spans="1:30" customFormat="1" ht="15">
      <c r="A153" s="221"/>
      <c r="B153" s="269">
        <v>115</v>
      </c>
      <c r="C153" s="247"/>
      <c r="D153" s="248"/>
      <c r="E153" s="240"/>
      <c r="F153" s="226"/>
      <c r="G153" s="232"/>
      <c r="H153" s="379">
        <v>139</v>
      </c>
      <c r="I153" s="397"/>
      <c r="J153" s="397"/>
      <c r="K153" s="406"/>
      <c r="L153" s="406"/>
      <c r="M153" s="397"/>
      <c r="N153" s="397"/>
      <c r="O153" s="397"/>
      <c r="P153" s="397"/>
      <c r="Q153" s="397"/>
      <c r="R153" s="445"/>
      <c r="S153" s="436"/>
      <c r="T153" s="415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6"/>
      <c r="V153" s="416"/>
      <c r="W153" s="417"/>
      <c r="X153" s="418"/>
      <c r="Y153" s="419" t="str">
        <f t="shared" ca="1" si="12"/>
        <v/>
      </c>
      <c r="Z153" s="420" t="str">
        <f t="shared" ca="1" si="13"/>
        <v/>
      </c>
      <c r="AA153" s="419" t="str">
        <f t="shared" ca="1" si="14"/>
        <v/>
      </c>
      <c r="AB153" s="421" t="str">
        <f t="shared" ca="1" si="15"/>
        <v/>
      </c>
      <c r="AC153" s="420" t="str">
        <f t="shared" ca="1" si="16"/>
        <v/>
      </c>
      <c r="AD153" s="221"/>
    </row>
    <row r="154" spans="1:30" customFormat="1" ht="15">
      <c r="A154" s="221"/>
      <c r="B154" s="269">
        <v>116</v>
      </c>
      <c r="C154" s="247"/>
      <c r="D154" s="248"/>
      <c r="E154" s="240"/>
      <c r="F154" s="226"/>
      <c r="G154" s="232"/>
      <c r="H154" s="379">
        <v>140</v>
      </c>
      <c r="I154" s="397"/>
      <c r="J154" s="397"/>
      <c r="K154" s="406"/>
      <c r="L154" s="406"/>
      <c r="M154" s="397"/>
      <c r="N154" s="397"/>
      <c r="O154" s="397"/>
      <c r="P154" s="397"/>
      <c r="Q154" s="397"/>
      <c r="R154" s="445"/>
      <c r="S154" s="436"/>
      <c r="T154" s="415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6"/>
      <c r="V154" s="416"/>
      <c r="W154" s="417"/>
      <c r="X154" s="418"/>
      <c r="Y154" s="419" t="str">
        <f t="shared" ca="1" si="12"/>
        <v/>
      </c>
      <c r="Z154" s="420" t="str">
        <f t="shared" ca="1" si="13"/>
        <v/>
      </c>
      <c r="AA154" s="419" t="str">
        <f t="shared" ca="1" si="14"/>
        <v/>
      </c>
      <c r="AB154" s="421" t="str">
        <f t="shared" ca="1" si="15"/>
        <v/>
      </c>
      <c r="AC154" s="420" t="str">
        <f t="shared" ca="1" si="16"/>
        <v/>
      </c>
      <c r="AD154" s="221"/>
    </row>
    <row r="155" spans="1:30" customFormat="1" ht="15">
      <c r="A155" s="221"/>
      <c r="B155" s="269">
        <v>117</v>
      </c>
      <c r="C155" s="247"/>
      <c r="D155" s="248"/>
      <c r="E155" s="240"/>
      <c r="F155" s="226"/>
      <c r="G155" s="232"/>
      <c r="H155" s="379">
        <v>141</v>
      </c>
      <c r="I155" s="397"/>
      <c r="J155" s="397"/>
      <c r="K155" s="406"/>
      <c r="L155" s="406"/>
      <c r="M155" s="397"/>
      <c r="N155" s="397"/>
      <c r="O155" s="397"/>
      <c r="P155" s="397"/>
      <c r="Q155" s="397"/>
      <c r="R155" s="445"/>
      <c r="S155" s="436"/>
      <c r="T155" s="415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6"/>
      <c r="V155" s="416"/>
      <c r="W155" s="417"/>
      <c r="X155" s="418"/>
      <c r="Y155" s="419" t="str">
        <f t="shared" ca="1" si="12"/>
        <v/>
      </c>
      <c r="Z155" s="420" t="str">
        <f t="shared" ca="1" si="13"/>
        <v/>
      </c>
      <c r="AA155" s="419" t="str">
        <f t="shared" ca="1" si="14"/>
        <v/>
      </c>
      <c r="AB155" s="421" t="str">
        <f t="shared" ca="1" si="15"/>
        <v/>
      </c>
      <c r="AC155" s="420" t="str">
        <f t="shared" ca="1" si="16"/>
        <v/>
      </c>
      <c r="AD155" s="221"/>
    </row>
    <row r="156" spans="1:30" customFormat="1" ht="15">
      <c r="A156" s="221"/>
      <c r="B156" s="269">
        <v>118</v>
      </c>
      <c r="C156" s="247"/>
      <c r="D156" s="248"/>
      <c r="E156" s="240"/>
      <c r="F156" s="226"/>
      <c r="G156" s="232"/>
      <c r="H156" s="379">
        <v>142</v>
      </c>
      <c r="I156" s="397"/>
      <c r="J156" s="397"/>
      <c r="K156" s="406"/>
      <c r="L156" s="406"/>
      <c r="M156" s="397"/>
      <c r="N156" s="397"/>
      <c r="O156" s="397"/>
      <c r="P156" s="397"/>
      <c r="Q156" s="397"/>
      <c r="R156" s="445"/>
      <c r="S156" s="436"/>
      <c r="T156" s="415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6"/>
      <c r="V156" s="416"/>
      <c r="W156" s="417"/>
      <c r="X156" s="418"/>
      <c r="Y156" s="419" t="str">
        <f t="shared" ca="1" si="12"/>
        <v/>
      </c>
      <c r="Z156" s="420" t="str">
        <f t="shared" ca="1" si="13"/>
        <v/>
      </c>
      <c r="AA156" s="419" t="str">
        <f t="shared" ca="1" si="14"/>
        <v/>
      </c>
      <c r="AB156" s="421" t="str">
        <f t="shared" ca="1" si="15"/>
        <v/>
      </c>
      <c r="AC156" s="420" t="str">
        <f t="shared" ca="1" si="16"/>
        <v/>
      </c>
      <c r="AD156" s="221"/>
    </row>
    <row r="157" spans="1:30" customFormat="1" ht="15">
      <c r="A157" s="221"/>
      <c r="B157" s="269">
        <v>119</v>
      </c>
      <c r="C157" s="247"/>
      <c r="D157" s="248"/>
      <c r="E157" s="240"/>
      <c r="F157" s="226"/>
      <c r="G157" s="232"/>
      <c r="H157" s="379">
        <v>143</v>
      </c>
      <c r="I157" s="397"/>
      <c r="J157" s="397"/>
      <c r="K157" s="406"/>
      <c r="L157" s="406"/>
      <c r="M157" s="397"/>
      <c r="N157" s="397"/>
      <c r="O157" s="397"/>
      <c r="P157" s="397"/>
      <c r="Q157" s="397"/>
      <c r="R157" s="445"/>
      <c r="S157" s="436"/>
      <c r="T157" s="415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6"/>
      <c r="V157" s="416"/>
      <c r="W157" s="417"/>
      <c r="X157" s="418"/>
      <c r="Y157" s="419" t="str">
        <f t="shared" ca="1" si="12"/>
        <v/>
      </c>
      <c r="Z157" s="420" t="str">
        <f t="shared" ca="1" si="13"/>
        <v/>
      </c>
      <c r="AA157" s="419" t="str">
        <f t="shared" ca="1" si="14"/>
        <v/>
      </c>
      <c r="AB157" s="421" t="str">
        <f t="shared" ca="1" si="15"/>
        <v/>
      </c>
      <c r="AC157" s="420" t="str">
        <f t="shared" ca="1" si="16"/>
        <v/>
      </c>
      <c r="AD157" s="221"/>
    </row>
    <row r="158" spans="1:30" customFormat="1" ht="15">
      <c r="A158" s="221"/>
      <c r="B158" s="269">
        <v>120</v>
      </c>
      <c r="C158" s="247"/>
      <c r="D158" s="248"/>
      <c r="E158" s="240"/>
      <c r="F158" s="226"/>
      <c r="G158" s="232"/>
      <c r="H158" s="379">
        <v>144</v>
      </c>
      <c r="I158" s="397"/>
      <c r="J158" s="397"/>
      <c r="K158" s="406"/>
      <c r="L158" s="406"/>
      <c r="M158" s="397"/>
      <c r="N158" s="397"/>
      <c r="O158" s="397"/>
      <c r="P158" s="397"/>
      <c r="Q158" s="397"/>
      <c r="R158" s="445"/>
      <c r="S158" s="436"/>
      <c r="T158" s="415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6"/>
      <c r="V158" s="416"/>
      <c r="W158" s="417"/>
      <c r="X158" s="418"/>
      <c r="Y158" s="419" t="str">
        <f t="shared" ca="1" si="12"/>
        <v/>
      </c>
      <c r="Z158" s="420" t="str">
        <f t="shared" ca="1" si="13"/>
        <v/>
      </c>
      <c r="AA158" s="419" t="str">
        <f t="shared" ca="1" si="14"/>
        <v/>
      </c>
      <c r="AB158" s="421" t="str">
        <f t="shared" ca="1" si="15"/>
        <v/>
      </c>
      <c r="AC158" s="420" t="str">
        <f t="shared" ca="1" si="16"/>
        <v/>
      </c>
      <c r="AD158" s="221"/>
    </row>
    <row r="159" spans="1:30" customFormat="1" ht="15">
      <c r="A159" s="221"/>
      <c r="B159" s="269">
        <v>121</v>
      </c>
      <c r="C159" s="247"/>
      <c r="D159" s="248"/>
      <c r="E159" s="240"/>
      <c r="F159" s="226"/>
      <c r="G159" s="232"/>
      <c r="H159" s="379">
        <v>145</v>
      </c>
      <c r="I159" s="397"/>
      <c r="J159" s="397"/>
      <c r="K159" s="406"/>
      <c r="L159" s="406"/>
      <c r="M159" s="397"/>
      <c r="N159" s="397"/>
      <c r="O159" s="397"/>
      <c r="P159" s="397"/>
      <c r="Q159" s="397"/>
      <c r="R159" s="445"/>
      <c r="S159" s="436"/>
      <c r="T159" s="415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6"/>
      <c r="V159" s="416"/>
      <c r="W159" s="417"/>
      <c r="X159" s="418"/>
      <c r="Y159" s="419" t="str">
        <f t="shared" ca="1" si="12"/>
        <v/>
      </c>
      <c r="Z159" s="420" t="str">
        <f t="shared" ca="1" si="13"/>
        <v/>
      </c>
      <c r="AA159" s="419" t="str">
        <f t="shared" ca="1" si="14"/>
        <v/>
      </c>
      <c r="AB159" s="421" t="str">
        <f t="shared" ca="1" si="15"/>
        <v/>
      </c>
      <c r="AC159" s="420" t="str">
        <f t="shared" ca="1" si="16"/>
        <v/>
      </c>
      <c r="AD159" s="221"/>
    </row>
    <row r="160" spans="1:30" customFormat="1" ht="15">
      <c r="A160" s="221"/>
      <c r="B160" s="269">
        <v>122</v>
      </c>
      <c r="C160" s="247"/>
      <c r="D160" s="248"/>
      <c r="E160" s="240"/>
      <c r="F160" s="226"/>
      <c r="G160" s="232"/>
      <c r="H160" s="379">
        <v>146</v>
      </c>
      <c r="I160" s="397"/>
      <c r="J160" s="397"/>
      <c r="K160" s="406"/>
      <c r="L160" s="406"/>
      <c r="M160" s="397"/>
      <c r="N160" s="397"/>
      <c r="O160" s="397"/>
      <c r="P160" s="397"/>
      <c r="Q160" s="397"/>
      <c r="R160" s="445"/>
      <c r="S160" s="436"/>
      <c r="T160" s="415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6"/>
      <c r="V160" s="416"/>
      <c r="W160" s="417"/>
      <c r="X160" s="418"/>
      <c r="Y160" s="419" t="str">
        <f t="shared" ca="1" si="12"/>
        <v/>
      </c>
      <c r="Z160" s="420" t="str">
        <f t="shared" ca="1" si="13"/>
        <v/>
      </c>
      <c r="AA160" s="419" t="str">
        <f t="shared" ca="1" si="14"/>
        <v/>
      </c>
      <c r="AB160" s="421" t="str">
        <f t="shared" ca="1" si="15"/>
        <v/>
      </c>
      <c r="AC160" s="420" t="str">
        <f t="shared" ca="1" si="16"/>
        <v/>
      </c>
      <c r="AD160" s="221"/>
    </row>
    <row r="161" spans="1:30" customFormat="1" ht="15">
      <c r="A161" s="221"/>
      <c r="B161" s="269">
        <v>123</v>
      </c>
      <c r="C161" s="247"/>
      <c r="D161" s="248"/>
      <c r="E161" s="240"/>
      <c r="F161" s="226"/>
      <c r="G161" s="232"/>
      <c r="H161" s="379">
        <v>147</v>
      </c>
      <c r="I161" s="397"/>
      <c r="J161" s="397"/>
      <c r="K161" s="406"/>
      <c r="L161" s="406"/>
      <c r="M161" s="397"/>
      <c r="N161" s="397"/>
      <c r="O161" s="397"/>
      <c r="P161" s="397"/>
      <c r="Q161" s="397"/>
      <c r="R161" s="445"/>
      <c r="S161" s="436"/>
      <c r="T161" s="415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6"/>
      <c r="V161" s="416"/>
      <c r="W161" s="417"/>
      <c r="X161" s="418"/>
      <c r="Y161" s="419" t="str">
        <f t="shared" ca="1" si="12"/>
        <v/>
      </c>
      <c r="Z161" s="420" t="str">
        <f t="shared" ca="1" si="13"/>
        <v/>
      </c>
      <c r="AA161" s="419" t="str">
        <f t="shared" ca="1" si="14"/>
        <v/>
      </c>
      <c r="AB161" s="421" t="str">
        <f t="shared" ca="1" si="15"/>
        <v/>
      </c>
      <c r="AC161" s="420" t="str">
        <f t="shared" ca="1" si="16"/>
        <v/>
      </c>
      <c r="AD161" s="221"/>
    </row>
    <row r="162" spans="1:30" customFormat="1" ht="15">
      <c r="A162" s="221"/>
      <c r="B162" s="269">
        <v>124</v>
      </c>
      <c r="C162" s="247"/>
      <c r="D162" s="248"/>
      <c r="E162" s="240"/>
      <c r="F162" s="226"/>
      <c r="G162" s="232"/>
      <c r="H162" s="379">
        <v>148</v>
      </c>
      <c r="I162" s="397"/>
      <c r="J162" s="397"/>
      <c r="K162" s="406"/>
      <c r="L162" s="406"/>
      <c r="M162" s="397"/>
      <c r="N162" s="397"/>
      <c r="O162" s="397"/>
      <c r="P162" s="397"/>
      <c r="Q162" s="397"/>
      <c r="R162" s="445"/>
      <c r="S162" s="436"/>
      <c r="T162" s="415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6"/>
      <c r="V162" s="416"/>
      <c r="W162" s="417"/>
      <c r="X162" s="418"/>
      <c r="Y162" s="419" t="str">
        <f t="shared" ca="1" si="12"/>
        <v/>
      </c>
      <c r="Z162" s="420" t="str">
        <f t="shared" ca="1" si="13"/>
        <v/>
      </c>
      <c r="AA162" s="419" t="str">
        <f t="shared" ca="1" si="14"/>
        <v/>
      </c>
      <c r="AB162" s="421" t="str">
        <f t="shared" ca="1" si="15"/>
        <v/>
      </c>
      <c r="AC162" s="420" t="str">
        <f t="shared" ca="1" si="16"/>
        <v/>
      </c>
      <c r="AD162" s="221"/>
    </row>
    <row r="163" spans="1:30" customFormat="1" ht="15">
      <c r="A163" s="221"/>
      <c r="B163" s="269">
        <v>125</v>
      </c>
      <c r="C163" s="247"/>
      <c r="D163" s="248"/>
      <c r="E163" s="240"/>
      <c r="F163" s="226"/>
      <c r="G163" s="232"/>
      <c r="H163" s="379">
        <v>149</v>
      </c>
      <c r="I163" s="397"/>
      <c r="J163" s="397"/>
      <c r="K163" s="406"/>
      <c r="L163" s="406"/>
      <c r="M163" s="406"/>
      <c r="N163" s="406"/>
      <c r="O163" s="406"/>
      <c r="P163" s="406"/>
      <c r="Q163" s="406"/>
      <c r="R163" s="444"/>
      <c r="S163" s="436"/>
      <c r="T163" s="415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6"/>
      <c r="V163" s="416"/>
      <c r="W163" s="417"/>
      <c r="X163" s="418"/>
      <c r="Y163" s="419" t="str">
        <f t="shared" ca="1" si="12"/>
        <v/>
      </c>
      <c r="Z163" s="420" t="str">
        <f t="shared" ca="1" si="13"/>
        <v/>
      </c>
      <c r="AA163" s="419" t="str">
        <f t="shared" ca="1" si="14"/>
        <v/>
      </c>
      <c r="AB163" s="421" t="str">
        <f t="shared" ca="1" si="15"/>
        <v/>
      </c>
      <c r="AC163" s="420" t="str">
        <f t="shared" ca="1" si="16"/>
        <v/>
      </c>
      <c r="AD163" s="221"/>
    </row>
    <row r="164" spans="1:30" customFormat="1" ht="15">
      <c r="A164" s="221"/>
      <c r="B164" s="269">
        <v>126</v>
      </c>
      <c r="C164" s="247"/>
      <c r="D164" s="248"/>
      <c r="E164" s="240"/>
      <c r="F164" s="226"/>
      <c r="G164" s="232"/>
      <c r="H164" s="379">
        <v>150</v>
      </c>
      <c r="I164" s="397"/>
      <c r="J164" s="397"/>
      <c r="K164" s="406"/>
      <c r="L164" s="406"/>
      <c r="M164" s="406"/>
      <c r="N164" s="406"/>
      <c r="O164" s="406"/>
      <c r="P164" s="406"/>
      <c r="Q164" s="406"/>
      <c r="R164" s="444"/>
      <c r="S164" s="436"/>
      <c r="T164" s="415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6"/>
      <c r="V164" s="416"/>
      <c r="W164" s="417"/>
      <c r="X164" s="418"/>
      <c r="Y164" s="419" t="str">
        <f t="shared" ca="1" si="12"/>
        <v/>
      </c>
      <c r="Z164" s="420" t="str">
        <f t="shared" ca="1" si="13"/>
        <v/>
      </c>
      <c r="AA164" s="419" t="str">
        <f t="shared" ca="1" si="14"/>
        <v/>
      </c>
      <c r="AB164" s="421" t="str">
        <f t="shared" ca="1" si="15"/>
        <v/>
      </c>
      <c r="AC164" s="420" t="str">
        <f t="shared" ca="1" si="16"/>
        <v/>
      </c>
      <c r="AD164" s="221"/>
    </row>
    <row r="165" spans="1:30" customFormat="1" ht="15">
      <c r="A165" s="221"/>
      <c r="B165" s="269">
        <v>127</v>
      </c>
      <c r="C165" s="247"/>
      <c r="D165" s="248"/>
      <c r="E165" s="240"/>
      <c r="F165" s="226"/>
      <c r="G165" s="232"/>
      <c r="H165" s="379">
        <v>151</v>
      </c>
      <c r="I165" s="397"/>
      <c r="J165" s="397"/>
      <c r="K165" s="406"/>
      <c r="L165" s="406"/>
      <c r="M165" s="406"/>
      <c r="N165" s="406"/>
      <c r="O165" s="406"/>
      <c r="P165" s="406"/>
      <c r="Q165" s="406"/>
      <c r="R165" s="444"/>
      <c r="S165" s="436"/>
      <c r="T165" s="415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6"/>
      <c r="V165" s="416"/>
      <c r="W165" s="417"/>
      <c r="X165" s="418"/>
      <c r="Y165" s="419" t="str">
        <f t="shared" ca="1" si="12"/>
        <v/>
      </c>
      <c r="Z165" s="420" t="str">
        <f t="shared" ca="1" si="13"/>
        <v/>
      </c>
      <c r="AA165" s="419" t="str">
        <f t="shared" ca="1" si="14"/>
        <v/>
      </c>
      <c r="AB165" s="421" t="str">
        <f t="shared" ca="1" si="15"/>
        <v/>
      </c>
      <c r="AC165" s="420" t="str">
        <f t="shared" ca="1" si="16"/>
        <v/>
      </c>
      <c r="AD165" s="221"/>
    </row>
    <row r="166" spans="1:30" customFormat="1" ht="15">
      <c r="A166" s="221"/>
      <c r="B166" s="269">
        <v>128</v>
      </c>
      <c r="C166" s="247"/>
      <c r="D166" s="248"/>
      <c r="E166" s="240"/>
      <c r="F166" s="226"/>
      <c r="G166" s="232"/>
      <c r="H166" s="379">
        <v>152</v>
      </c>
      <c r="I166" s="397"/>
      <c r="J166" s="397"/>
      <c r="K166" s="406"/>
      <c r="L166" s="406"/>
      <c r="M166" s="406"/>
      <c r="N166" s="406"/>
      <c r="O166" s="406"/>
      <c r="P166" s="406"/>
      <c r="Q166" s="406"/>
      <c r="R166" s="444"/>
      <c r="S166" s="436"/>
      <c r="T166" s="415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6"/>
      <c r="V166" s="416"/>
      <c r="W166" s="417"/>
      <c r="X166" s="418"/>
      <c r="Y166" s="419" t="str">
        <f t="shared" ca="1" si="12"/>
        <v/>
      </c>
      <c r="Z166" s="420" t="str">
        <f t="shared" ca="1" si="13"/>
        <v/>
      </c>
      <c r="AA166" s="419" t="str">
        <f t="shared" ca="1" si="14"/>
        <v/>
      </c>
      <c r="AB166" s="421" t="str">
        <f t="shared" ca="1" si="15"/>
        <v/>
      </c>
      <c r="AC166" s="420" t="str">
        <f t="shared" ca="1" si="16"/>
        <v/>
      </c>
      <c r="AD166" s="221"/>
    </row>
    <row r="167" spans="1:30" customFormat="1" ht="15">
      <c r="A167" s="221"/>
      <c r="B167" s="269">
        <v>129</v>
      </c>
      <c r="C167" s="247"/>
      <c r="D167" s="248"/>
      <c r="E167" s="240"/>
      <c r="F167" s="226"/>
      <c r="G167" s="232"/>
      <c r="H167" s="379">
        <v>153</v>
      </c>
      <c r="I167" s="397"/>
      <c r="J167" s="397"/>
      <c r="K167" s="406"/>
      <c r="L167" s="406"/>
      <c r="M167" s="406"/>
      <c r="N167" s="406"/>
      <c r="O167" s="406"/>
      <c r="P167" s="406"/>
      <c r="Q167" s="406"/>
      <c r="R167" s="444"/>
      <c r="S167" s="436"/>
      <c r="T167" s="415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6"/>
      <c r="V167" s="416"/>
      <c r="W167" s="417"/>
      <c r="X167" s="418"/>
      <c r="Y167" s="419" t="str">
        <f t="shared" ca="1" si="12"/>
        <v/>
      </c>
      <c r="Z167" s="420" t="str">
        <f t="shared" ca="1" si="13"/>
        <v/>
      </c>
      <c r="AA167" s="419" t="str">
        <f t="shared" ca="1" si="14"/>
        <v/>
      </c>
      <c r="AB167" s="421" t="str">
        <f t="shared" ca="1" si="15"/>
        <v/>
      </c>
      <c r="AC167" s="420" t="str">
        <f t="shared" ca="1" si="16"/>
        <v/>
      </c>
      <c r="AD167" s="221"/>
    </row>
    <row r="168" spans="1:30" customFormat="1" ht="15">
      <c r="A168" s="221"/>
      <c r="B168" s="269">
        <v>130</v>
      </c>
      <c r="C168" s="247"/>
      <c r="D168" s="248"/>
      <c r="E168" s="240"/>
      <c r="F168" s="226"/>
      <c r="G168" s="232"/>
      <c r="H168" s="379">
        <v>154</v>
      </c>
      <c r="I168" s="397"/>
      <c r="J168" s="397"/>
      <c r="K168" s="406"/>
      <c r="L168" s="406"/>
      <c r="M168" s="406"/>
      <c r="N168" s="406"/>
      <c r="O168" s="406"/>
      <c r="P168" s="406"/>
      <c r="Q168" s="406"/>
      <c r="R168" s="444"/>
      <c r="S168" s="436"/>
      <c r="T168" s="415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6"/>
      <c r="V168" s="416"/>
      <c r="W168" s="417"/>
      <c r="X168" s="418"/>
      <c r="Y168" s="419" t="str">
        <f t="shared" ca="1" si="12"/>
        <v/>
      </c>
      <c r="Z168" s="420" t="str">
        <f t="shared" ca="1" si="13"/>
        <v/>
      </c>
      <c r="AA168" s="419" t="str">
        <f t="shared" ca="1" si="14"/>
        <v/>
      </c>
      <c r="AB168" s="421" t="str">
        <f t="shared" ca="1" si="15"/>
        <v/>
      </c>
      <c r="AC168" s="420" t="str">
        <f t="shared" ca="1" si="16"/>
        <v/>
      </c>
      <c r="AD168" s="221"/>
    </row>
    <row r="169" spans="1:30" customFormat="1" ht="15">
      <c r="A169" s="221"/>
      <c r="B169" s="269">
        <v>131</v>
      </c>
      <c r="C169" s="247"/>
      <c r="D169" s="248"/>
      <c r="E169" s="240"/>
      <c r="F169" s="226"/>
      <c r="G169" s="232"/>
      <c r="H169" s="379">
        <v>155</v>
      </c>
      <c r="I169" s="397"/>
      <c r="J169" s="397"/>
      <c r="K169" s="406"/>
      <c r="L169" s="406"/>
      <c r="M169" s="406"/>
      <c r="N169" s="406"/>
      <c r="O169" s="406"/>
      <c r="P169" s="406"/>
      <c r="Q169" s="406"/>
      <c r="R169" s="444"/>
      <c r="S169" s="436"/>
      <c r="T169" s="415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6"/>
      <c r="V169" s="416"/>
      <c r="W169" s="417"/>
      <c r="X169" s="418"/>
      <c r="Y169" s="419" t="str">
        <f t="shared" ca="1" si="12"/>
        <v/>
      </c>
      <c r="Z169" s="420" t="str">
        <f t="shared" ca="1" si="13"/>
        <v/>
      </c>
      <c r="AA169" s="419" t="str">
        <f t="shared" ca="1" si="14"/>
        <v/>
      </c>
      <c r="AB169" s="421" t="str">
        <f t="shared" ca="1" si="15"/>
        <v/>
      </c>
      <c r="AC169" s="420" t="str">
        <f t="shared" ca="1" si="16"/>
        <v/>
      </c>
      <c r="AD169" s="221"/>
    </row>
    <row r="170" spans="1:30" customFormat="1" ht="15">
      <c r="A170" s="221"/>
      <c r="B170" s="269">
        <v>132</v>
      </c>
      <c r="C170" s="247"/>
      <c r="D170" s="248"/>
      <c r="E170" s="240"/>
      <c r="F170" s="226"/>
      <c r="G170" s="232"/>
      <c r="H170" s="379">
        <v>156</v>
      </c>
      <c r="I170" s="397"/>
      <c r="J170" s="397"/>
      <c r="K170" s="406"/>
      <c r="L170" s="406"/>
      <c r="M170" s="406"/>
      <c r="N170" s="406"/>
      <c r="O170" s="406"/>
      <c r="P170" s="406"/>
      <c r="Q170" s="406"/>
      <c r="R170" s="444"/>
      <c r="S170" s="436"/>
      <c r="T170" s="415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6"/>
      <c r="V170" s="416"/>
      <c r="W170" s="417"/>
      <c r="X170" s="418"/>
      <c r="Y170" s="419" t="str">
        <f t="shared" ca="1" si="12"/>
        <v/>
      </c>
      <c r="Z170" s="420" t="str">
        <f t="shared" ca="1" si="13"/>
        <v/>
      </c>
      <c r="AA170" s="419" t="str">
        <f t="shared" ca="1" si="14"/>
        <v/>
      </c>
      <c r="AB170" s="421" t="str">
        <f t="shared" ca="1" si="15"/>
        <v/>
      </c>
      <c r="AC170" s="420" t="str">
        <f t="shared" ca="1" si="16"/>
        <v/>
      </c>
      <c r="AD170" s="221"/>
    </row>
    <row r="171" spans="1:30" customFormat="1" ht="15">
      <c r="A171" s="221"/>
      <c r="B171" s="269">
        <v>133</v>
      </c>
      <c r="C171" s="247"/>
      <c r="D171" s="248"/>
      <c r="E171" s="240"/>
      <c r="F171" s="226"/>
      <c r="G171" s="232"/>
      <c r="H171" s="379">
        <v>157</v>
      </c>
      <c r="I171" s="397"/>
      <c r="J171" s="397"/>
      <c r="K171" s="406"/>
      <c r="L171" s="406"/>
      <c r="M171" s="406"/>
      <c r="N171" s="406"/>
      <c r="O171" s="406"/>
      <c r="P171" s="406"/>
      <c r="Q171" s="406"/>
      <c r="R171" s="444"/>
      <c r="S171" s="436"/>
      <c r="T171" s="415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6"/>
      <c r="V171" s="416"/>
      <c r="W171" s="417"/>
      <c r="X171" s="418"/>
      <c r="Y171" s="419" t="str">
        <f t="shared" ca="1" si="12"/>
        <v/>
      </c>
      <c r="Z171" s="420" t="str">
        <f t="shared" ca="1" si="13"/>
        <v/>
      </c>
      <c r="AA171" s="419" t="str">
        <f t="shared" ca="1" si="14"/>
        <v/>
      </c>
      <c r="AB171" s="421" t="str">
        <f t="shared" ca="1" si="15"/>
        <v/>
      </c>
      <c r="AC171" s="420" t="str">
        <f t="shared" ca="1" si="16"/>
        <v/>
      </c>
      <c r="AD171" s="221"/>
    </row>
    <row r="172" spans="1:30" customFormat="1" ht="15">
      <c r="A172" s="221"/>
      <c r="B172" s="269">
        <v>134</v>
      </c>
      <c r="C172" s="247"/>
      <c r="D172" s="248"/>
      <c r="E172" s="240"/>
      <c r="F172" s="226"/>
      <c r="G172" s="232"/>
      <c r="H172" s="379">
        <v>158</v>
      </c>
      <c r="I172" s="397"/>
      <c r="J172" s="397"/>
      <c r="K172" s="406"/>
      <c r="L172" s="406"/>
      <c r="M172" s="406"/>
      <c r="N172" s="406"/>
      <c r="O172" s="406"/>
      <c r="P172" s="406"/>
      <c r="Q172" s="406"/>
      <c r="R172" s="444"/>
      <c r="S172" s="436"/>
      <c r="T172" s="415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6"/>
      <c r="V172" s="416"/>
      <c r="W172" s="417"/>
      <c r="X172" s="418"/>
      <c r="Y172" s="419" t="str">
        <f t="shared" ca="1" si="12"/>
        <v/>
      </c>
      <c r="Z172" s="420" t="str">
        <f t="shared" ca="1" si="13"/>
        <v/>
      </c>
      <c r="AA172" s="419" t="str">
        <f t="shared" ca="1" si="14"/>
        <v/>
      </c>
      <c r="AB172" s="421" t="str">
        <f t="shared" ca="1" si="15"/>
        <v/>
      </c>
      <c r="AC172" s="420" t="str">
        <f t="shared" ca="1" si="16"/>
        <v/>
      </c>
      <c r="AD172" s="221"/>
    </row>
    <row r="173" spans="1:30" customFormat="1" ht="15">
      <c r="A173" s="221"/>
      <c r="B173" s="269">
        <v>135</v>
      </c>
      <c r="C173" s="247"/>
      <c r="D173" s="248"/>
      <c r="E173" s="240"/>
      <c r="F173" s="226"/>
      <c r="G173" s="232"/>
      <c r="H173" s="379">
        <v>159</v>
      </c>
      <c r="I173" s="397"/>
      <c r="J173" s="397"/>
      <c r="K173" s="406"/>
      <c r="L173" s="406"/>
      <c r="M173" s="406"/>
      <c r="N173" s="406"/>
      <c r="O173" s="406"/>
      <c r="P173" s="406"/>
      <c r="Q173" s="406"/>
      <c r="R173" s="444"/>
      <c r="S173" s="436"/>
      <c r="T173" s="415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6"/>
      <c r="V173" s="416"/>
      <c r="W173" s="417"/>
      <c r="X173" s="418"/>
      <c r="Y173" s="419" t="str">
        <f t="shared" ca="1" si="12"/>
        <v/>
      </c>
      <c r="Z173" s="420" t="str">
        <f t="shared" ca="1" si="13"/>
        <v/>
      </c>
      <c r="AA173" s="419" t="str">
        <f t="shared" ca="1" si="14"/>
        <v/>
      </c>
      <c r="AB173" s="421" t="str">
        <f t="shared" ca="1" si="15"/>
        <v/>
      </c>
      <c r="AC173" s="420" t="str">
        <f t="shared" ca="1" si="16"/>
        <v/>
      </c>
      <c r="AD173" s="221"/>
    </row>
    <row r="174" spans="1:30" customFormat="1" ht="15">
      <c r="A174" s="221"/>
      <c r="B174" s="269">
        <v>136</v>
      </c>
      <c r="C174" s="247"/>
      <c r="D174" s="248"/>
      <c r="E174" s="240"/>
      <c r="F174" s="226"/>
      <c r="G174" s="232"/>
      <c r="H174" s="379">
        <v>160</v>
      </c>
      <c r="I174" s="397"/>
      <c r="J174" s="397"/>
      <c r="K174" s="406"/>
      <c r="L174" s="406"/>
      <c r="M174" s="406"/>
      <c r="N174" s="406"/>
      <c r="O174" s="406"/>
      <c r="P174" s="406"/>
      <c r="Q174" s="406"/>
      <c r="R174" s="444"/>
      <c r="S174" s="436"/>
      <c r="T174" s="415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6"/>
      <c r="V174" s="416"/>
      <c r="W174" s="417"/>
      <c r="X174" s="418"/>
      <c r="Y174" s="419" t="str">
        <f t="shared" ca="1" si="12"/>
        <v/>
      </c>
      <c r="Z174" s="420" t="str">
        <f t="shared" ca="1" si="13"/>
        <v/>
      </c>
      <c r="AA174" s="419" t="str">
        <f t="shared" ca="1" si="14"/>
        <v/>
      </c>
      <c r="AB174" s="421" t="str">
        <f t="shared" ca="1" si="15"/>
        <v/>
      </c>
      <c r="AC174" s="420" t="str">
        <f t="shared" ca="1" si="16"/>
        <v/>
      </c>
      <c r="AD174" s="221"/>
    </row>
    <row r="175" spans="1:30" customFormat="1" ht="15">
      <c r="A175" s="221"/>
      <c r="B175" s="269">
        <v>137</v>
      </c>
      <c r="C175" s="247"/>
      <c r="D175" s="248"/>
      <c r="E175" s="240"/>
      <c r="F175" s="226"/>
      <c r="G175" s="232"/>
      <c r="H175" s="379">
        <v>161</v>
      </c>
      <c r="I175" s="397"/>
      <c r="J175" s="397"/>
      <c r="K175" s="406"/>
      <c r="L175" s="406"/>
      <c r="M175" s="406"/>
      <c r="N175" s="406"/>
      <c r="O175" s="406"/>
      <c r="P175" s="406"/>
      <c r="Q175" s="406"/>
      <c r="R175" s="444"/>
      <c r="S175" s="436"/>
      <c r="T175" s="415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6"/>
      <c r="V175" s="416"/>
      <c r="W175" s="417"/>
      <c r="X175" s="418"/>
      <c r="Y175" s="419" t="str">
        <f t="shared" ca="1" si="12"/>
        <v/>
      </c>
      <c r="Z175" s="420" t="str">
        <f t="shared" ca="1" si="13"/>
        <v/>
      </c>
      <c r="AA175" s="419" t="str">
        <f t="shared" ca="1" si="14"/>
        <v/>
      </c>
      <c r="AB175" s="421" t="str">
        <f t="shared" ca="1" si="15"/>
        <v/>
      </c>
      <c r="AC175" s="420" t="str">
        <f t="shared" ca="1" si="16"/>
        <v/>
      </c>
      <c r="AD175" s="221"/>
    </row>
    <row r="176" spans="1:30" customFormat="1" ht="15">
      <c r="A176" s="221"/>
      <c r="B176" s="269">
        <v>138</v>
      </c>
      <c r="C176" s="247"/>
      <c r="D176" s="248"/>
      <c r="E176" s="240"/>
      <c r="F176" s="226"/>
      <c r="G176" s="232"/>
      <c r="H176" s="379">
        <v>162</v>
      </c>
      <c r="I176" s="397"/>
      <c r="J176" s="397"/>
      <c r="K176" s="406"/>
      <c r="L176" s="406"/>
      <c r="M176" s="406"/>
      <c r="N176" s="406"/>
      <c r="O176" s="406"/>
      <c r="P176" s="406"/>
      <c r="Q176" s="406"/>
      <c r="R176" s="444"/>
      <c r="S176" s="436"/>
      <c r="T176" s="415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6"/>
      <c r="V176" s="416"/>
      <c r="W176" s="417"/>
      <c r="X176" s="418"/>
      <c r="Y176" s="419" t="str">
        <f t="shared" ca="1" si="12"/>
        <v/>
      </c>
      <c r="Z176" s="420" t="str">
        <f t="shared" ca="1" si="13"/>
        <v/>
      </c>
      <c r="AA176" s="419" t="str">
        <f t="shared" ca="1" si="14"/>
        <v/>
      </c>
      <c r="AB176" s="421" t="str">
        <f t="shared" ca="1" si="15"/>
        <v/>
      </c>
      <c r="AC176" s="420" t="str">
        <f t="shared" ca="1" si="16"/>
        <v/>
      </c>
      <c r="AD176" s="221"/>
    </row>
    <row r="177" spans="1:30" customFormat="1" ht="15">
      <c r="A177" s="221"/>
      <c r="B177" s="269">
        <v>139</v>
      </c>
      <c r="C177" s="247"/>
      <c r="D177" s="248"/>
      <c r="E177" s="240"/>
      <c r="F177" s="226"/>
      <c r="G177" s="232"/>
      <c r="H177" s="379">
        <v>163</v>
      </c>
      <c r="I177" s="397"/>
      <c r="J177" s="397"/>
      <c r="K177" s="406"/>
      <c r="L177" s="406"/>
      <c r="M177" s="406"/>
      <c r="N177" s="406"/>
      <c r="O177" s="406"/>
      <c r="P177" s="406"/>
      <c r="Q177" s="406"/>
      <c r="R177" s="444"/>
      <c r="S177" s="436"/>
      <c r="T177" s="415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6"/>
      <c r="V177" s="416"/>
      <c r="W177" s="417"/>
      <c r="X177" s="418"/>
      <c r="Y177" s="419" t="str">
        <f t="shared" ca="1" si="12"/>
        <v/>
      </c>
      <c r="Z177" s="420" t="str">
        <f t="shared" ca="1" si="13"/>
        <v/>
      </c>
      <c r="AA177" s="419" t="str">
        <f t="shared" ca="1" si="14"/>
        <v/>
      </c>
      <c r="AB177" s="421" t="str">
        <f t="shared" ca="1" si="15"/>
        <v/>
      </c>
      <c r="AC177" s="420" t="str">
        <f t="shared" ca="1" si="16"/>
        <v/>
      </c>
      <c r="AD177" s="221"/>
    </row>
    <row r="178" spans="1:30" customFormat="1" ht="15">
      <c r="A178" s="221"/>
      <c r="B178" s="269">
        <v>140</v>
      </c>
      <c r="C178" s="247"/>
      <c r="D178" s="248"/>
      <c r="E178" s="240"/>
      <c r="F178" s="226"/>
      <c r="G178" s="232"/>
      <c r="H178" s="379">
        <v>164</v>
      </c>
      <c r="I178" s="397"/>
      <c r="J178" s="397"/>
      <c r="K178" s="406"/>
      <c r="L178" s="406"/>
      <c r="M178" s="406"/>
      <c r="N178" s="406"/>
      <c r="O178" s="406"/>
      <c r="P178" s="406"/>
      <c r="Q178" s="406"/>
      <c r="R178" s="444"/>
      <c r="S178" s="436"/>
      <c r="T178" s="415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6"/>
      <c r="V178" s="416"/>
      <c r="W178" s="417"/>
      <c r="X178" s="418"/>
      <c r="Y178" s="419" t="str">
        <f t="shared" ca="1" si="12"/>
        <v/>
      </c>
      <c r="Z178" s="420" t="str">
        <f t="shared" ca="1" si="13"/>
        <v/>
      </c>
      <c r="AA178" s="419" t="str">
        <f t="shared" ca="1" si="14"/>
        <v/>
      </c>
      <c r="AB178" s="421" t="str">
        <f t="shared" ca="1" si="15"/>
        <v/>
      </c>
      <c r="AC178" s="420" t="str">
        <f t="shared" ca="1" si="16"/>
        <v/>
      </c>
      <c r="AD178" s="221"/>
    </row>
    <row r="179" spans="1:30" customFormat="1" ht="15">
      <c r="A179" s="221"/>
      <c r="B179" s="269">
        <v>141</v>
      </c>
      <c r="C179" s="247"/>
      <c r="D179" s="248"/>
      <c r="E179" s="240"/>
      <c r="F179" s="226"/>
      <c r="G179" s="232"/>
      <c r="H179" s="379">
        <v>165</v>
      </c>
      <c r="I179" s="397"/>
      <c r="J179" s="397"/>
      <c r="K179" s="406"/>
      <c r="L179" s="406"/>
      <c r="M179" s="406"/>
      <c r="N179" s="406"/>
      <c r="O179" s="406"/>
      <c r="P179" s="406"/>
      <c r="Q179" s="406"/>
      <c r="R179" s="444"/>
      <c r="S179" s="436"/>
      <c r="T179" s="415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6"/>
      <c r="V179" s="416"/>
      <c r="W179" s="417"/>
      <c r="X179" s="418"/>
      <c r="Y179" s="419" t="str">
        <f t="shared" ca="1" si="12"/>
        <v/>
      </c>
      <c r="Z179" s="420" t="str">
        <f t="shared" ca="1" si="13"/>
        <v/>
      </c>
      <c r="AA179" s="419" t="str">
        <f t="shared" ca="1" si="14"/>
        <v/>
      </c>
      <c r="AB179" s="421" t="str">
        <f t="shared" ca="1" si="15"/>
        <v/>
      </c>
      <c r="AC179" s="420" t="str">
        <f t="shared" ca="1" si="16"/>
        <v/>
      </c>
      <c r="AD179" s="221"/>
    </row>
    <row r="180" spans="1:30" customFormat="1" ht="15">
      <c r="A180" s="221"/>
      <c r="B180" s="269">
        <v>142</v>
      </c>
      <c r="C180" s="247"/>
      <c r="D180" s="248"/>
      <c r="E180" s="240"/>
      <c r="F180" s="226"/>
      <c r="G180" s="232"/>
      <c r="H180" s="379">
        <v>166</v>
      </c>
      <c r="I180" s="397"/>
      <c r="J180" s="397"/>
      <c r="K180" s="406"/>
      <c r="L180" s="406"/>
      <c r="M180" s="406"/>
      <c r="N180" s="406"/>
      <c r="O180" s="406"/>
      <c r="P180" s="406"/>
      <c r="Q180" s="406"/>
      <c r="R180" s="444"/>
      <c r="S180" s="436"/>
      <c r="T180" s="415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6"/>
      <c r="V180" s="416"/>
      <c r="W180" s="417"/>
      <c r="X180" s="418"/>
      <c r="Y180" s="419" t="str">
        <f t="shared" ca="1" si="12"/>
        <v/>
      </c>
      <c r="Z180" s="420" t="str">
        <f t="shared" ca="1" si="13"/>
        <v/>
      </c>
      <c r="AA180" s="419" t="str">
        <f t="shared" ca="1" si="14"/>
        <v/>
      </c>
      <c r="AB180" s="421" t="str">
        <f t="shared" ca="1" si="15"/>
        <v/>
      </c>
      <c r="AC180" s="420" t="str">
        <f t="shared" ca="1" si="16"/>
        <v/>
      </c>
      <c r="AD180" s="221"/>
    </row>
    <row r="181" spans="1:30" customFormat="1" ht="15">
      <c r="A181" s="221"/>
      <c r="B181" s="269">
        <v>143</v>
      </c>
      <c r="C181" s="247"/>
      <c r="D181" s="248"/>
      <c r="E181" s="240"/>
      <c r="F181" s="226"/>
      <c r="G181" s="232"/>
      <c r="H181" s="379">
        <v>167</v>
      </c>
      <c r="I181" s="397"/>
      <c r="J181" s="397"/>
      <c r="K181" s="406"/>
      <c r="L181" s="406"/>
      <c r="M181" s="406"/>
      <c r="N181" s="406"/>
      <c r="O181" s="406"/>
      <c r="P181" s="406"/>
      <c r="Q181" s="406"/>
      <c r="R181" s="444"/>
      <c r="S181" s="436"/>
      <c r="T181" s="415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6"/>
      <c r="V181" s="416"/>
      <c r="W181" s="417"/>
      <c r="X181" s="418"/>
      <c r="Y181" s="419" t="str">
        <f t="shared" ca="1" si="12"/>
        <v/>
      </c>
      <c r="Z181" s="420" t="str">
        <f t="shared" ca="1" si="13"/>
        <v/>
      </c>
      <c r="AA181" s="419" t="str">
        <f t="shared" ca="1" si="14"/>
        <v/>
      </c>
      <c r="AB181" s="421" t="str">
        <f t="shared" ca="1" si="15"/>
        <v/>
      </c>
      <c r="AC181" s="420" t="str">
        <f t="shared" ca="1" si="16"/>
        <v/>
      </c>
      <c r="AD181" s="221"/>
    </row>
    <row r="182" spans="1:30" customFormat="1" ht="15">
      <c r="A182" s="221"/>
      <c r="B182" s="269">
        <v>144</v>
      </c>
      <c r="C182" s="247"/>
      <c r="D182" s="248"/>
      <c r="E182" s="240"/>
      <c r="F182" s="226"/>
      <c r="G182" s="232"/>
      <c r="H182" s="379">
        <v>168</v>
      </c>
      <c r="I182" s="397"/>
      <c r="J182" s="397"/>
      <c r="K182" s="406"/>
      <c r="L182" s="406"/>
      <c r="M182" s="406"/>
      <c r="N182" s="406"/>
      <c r="O182" s="406"/>
      <c r="P182" s="406"/>
      <c r="Q182" s="406"/>
      <c r="R182" s="444"/>
      <c r="S182" s="436"/>
      <c r="T182" s="415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6"/>
      <c r="V182" s="416"/>
      <c r="W182" s="417"/>
      <c r="X182" s="418"/>
      <c r="Y182" s="419" t="str">
        <f t="shared" ca="1" si="12"/>
        <v/>
      </c>
      <c r="Z182" s="420" t="str">
        <f t="shared" ca="1" si="13"/>
        <v/>
      </c>
      <c r="AA182" s="419" t="str">
        <f t="shared" ca="1" si="14"/>
        <v/>
      </c>
      <c r="AB182" s="421" t="str">
        <f t="shared" ca="1" si="15"/>
        <v/>
      </c>
      <c r="AC182" s="420" t="str">
        <f t="shared" ca="1" si="16"/>
        <v/>
      </c>
      <c r="AD182" s="221"/>
    </row>
    <row r="183" spans="1:30" customFormat="1" ht="15">
      <c r="A183" s="221"/>
      <c r="B183" s="269">
        <v>145</v>
      </c>
      <c r="C183" s="247"/>
      <c r="D183" s="248"/>
      <c r="E183" s="240"/>
      <c r="F183" s="226"/>
      <c r="G183" s="232"/>
      <c r="H183" s="379">
        <v>169</v>
      </c>
      <c r="I183" s="397"/>
      <c r="J183" s="397"/>
      <c r="K183" s="406"/>
      <c r="L183" s="406"/>
      <c r="M183" s="406"/>
      <c r="N183" s="406"/>
      <c r="O183" s="406"/>
      <c r="P183" s="406"/>
      <c r="Q183" s="406"/>
      <c r="R183" s="444"/>
      <c r="S183" s="436"/>
      <c r="T183" s="415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6"/>
      <c r="V183" s="416"/>
      <c r="W183" s="417"/>
      <c r="X183" s="418"/>
      <c r="Y183" s="419" t="str">
        <f t="shared" ca="1" si="12"/>
        <v/>
      </c>
      <c r="Z183" s="420" t="str">
        <f t="shared" ca="1" si="13"/>
        <v/>
      </c>
      <c r="AA183" s="419" t="str">
        <f t="shared" ca="1" si="14"/>
        <v/>
      </c>
      <c r="AB183" s="421" t="str">
        <f t="shared" ca="1" si="15"/>
        <v/>
      </c>
      <c r="AC183" s="420" t="str">
        <f t="shared" ca="1" si="16"/>
        <v/>
      </c>
      <c r="AD183" s="221"/>
    </row>
    <row r="184" spans="1:30" customFormat="1" ht="15">
      <c r="A184" s="221"/>
      <c r="B184" s="269">
        <v>146</v>
      </c>
      <c r="C184" s="247"/>
      <c r="D184" s="248"/>
      <c r="E184" s="240"/>
      <c r="F184" s="226"/>
      <c r="G184" s="232"/>
      <c r="H184" s="379">
        <v>170</v>
      </c>
      <c r="I184" s="397"/>
      <c r="J184" s="397"/>
      <c r="K184" s="406"/>
      <c r="L184" s="406"/>
      <c r="M184" s="406"/>
      <c r="N184" s="406"/>
      <c r="O184" s="406"/>
      <c r="P184" s="406"/>
      <c r="Q184" s="406"/>
      <c r="R184" s="444"/>
      <c r="S184" s="436"/>
      <c r="T184" s="415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6"/>
      <c r="V184" s="416"/>
      <c r="W184" s="417"/>
      <c r="X184" s="418"/>
      <c r="Y184" s="419" t="str">
        <f t="shared" ca="1" si="12"/>
        <v/>
      </c>
      <c r="Z184" s="420" t="str">
        <f t="shared" ca="1" si="13"/>
        <v/>
      </c>
      <c r="AA184" s="419" t="str">
        <f t="shared" ca="1" si="14"/>
        <v/>
      </c>
      <c r="AB184" s="421" t="str">
        <f t="shared" ca="1" si="15"/>
        <v/>
      </c>
      <c r="AC184" s="420" t="str">
        <f t="shared" ca="1" si="16"/>
        <v/>
      </c>
      <c r="AD184" s="221"/>
    </row>
    <row r="185" spans="1:30" customFormat="1" ht="15">
      <c r="A185" s="221"/>
      <c r="B185" s="269">
        <v>147</v>
      </c>
      <c r="C185" s="247"/>
      <c r="D185" s="248"/>
      <c r="E185" s="240"/>
      <c r="F185" s="226"/>
      <c r="G185" s="232"/>
      <c r="H185" s="379">
        <v>171</v>
      </c>
      <c r="I185" s="397"/>
      <c r="J185" s="397"/>
      <c r="K185" s="406"/>
      <c r="L185" s="406"/>
      <c r="M185" s="406"/>
      <c r="N185" s="406"/>
      <c r="O185" s="406"/>
      <c r="P185" s="406"/>
      <c r="Q185" s="406"/>
      <c r="R185" s="444"/>
      <c r="S185" s="436"/>
      <c r="T185" s="415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6"/>
      <c r="V185" s="416"/>
      <c r="W185" s="417"/>
      <c r="X185" s="418"/>
      <c r="Y185" s="419" t="str">
        <f t="shared" ca="1" si="12"/>
        <v/>
      </c>
      <c r="Z185" s="420" t="str">
        <f t="shared" ca="1" si="13"/>
        <v/>
      </c>
      <c r="AA185" s="419" t="str">
        <f t="shared" ca="1" si="14"/>
        <v/>
      </c>
      <c r="AB185" s="421" t="str">
        <f t="shared" ca="1" si="15"/>
        <v/>
      </c>
      <c r="AC185" s="420" t="str">
        <f t="shared" ca="1" si="16"/>
        <v/>
      </c>
      <c r="AD185" s="221"/>
    </row>
    <row r="186" spans="1:30" customFormat="1" ht="15">
      <c r="A186" s="221"/>
      <c r="B186" s="269">
        <v>148</v>
      </c>
      <c r="C186" s="247"/>
      <c r="D186" s="248"/>
      <c r="E186" s="240"/>
      <c r="F186" s="226"/>
      <c r="G186" s="232"/>
      <c r="H186" s="379">
        <v>172</v>
      </c>
      <c r="I186" s="397"/>
      <c r="J186" s="397"/>
      <c r="K186" s="406"/>
      <c r="L186" s="406"/>
      <c r="M186" s="406"/>
      <c r="N186" s="406"/>
      <c r="O186" s="406"/>
      <c r="P186" s="406"/>
      <c r="Q186" s="406"/>
      <c r="R186" s="444"/>
      <c r="S186" s="436"/>
      <c r="T186" s="415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6"/>
      <c r="V186" s="416"/>
      <c r="W186" s="417"/>
      <c r="X186" s="418"/>
      <c r="Y186" s="419" t="str">
        <f t="shared" ca="1" si="12"/>
        <v/>
      </c>
      <c r="Z186" s="420" t="str">
        <f t="shared" ca="1" si="13"/>
        <v/>
      </c>
      <c r="AA186" s="419" t="str">
        <f t="shared" ca="1" si="14"/>
        <v/>
      </c>
      <c r="AB186" s="421" t="str">
        <f t="shared" ca="1" si="15"/>
        <v/>
      </c>
      <c r="AC186" s="420" t="str">
        <f t="shared" ca="1" si="16"/>
        <v/>
      </c>
      <c r="AD186" s="221"/>
    </row>
    <row r="187" spans="1:30" customFormat="1" ht="15">
      <c r="A187" s="221"/>
      <c r="B187" s="269">
        <v>149</v>
      </c>
      <c r="C187" s="247"/>
      <c r="D187" s="248"/>
      <c r="E187" s="240"/>
      <c r="F187" s="226"/>
      <c r="G187" s="232"/>
      <c r="H187" s="379">
        <v>173</v>
      </c>
      <c r="I187" s="397"/>
      <c r="J187" s="397"/>
      <c r="K187" s="406"/>
      <c r="L187" s="406"/>
      <c r="M187" s="406"/>
      <c r="N187" s="406"/>
      <c r="O187" s="406"/>
      <c r="P187" s="406"/>
      <c r="Q187" s="406"/>
      <c r="R187" s="444"/>
      <c r="S187" s="436"/>
      <c r="T187" s="415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6"/>
      <c r="V187" s="416"/>
      <c r="W187" s="417"/>
      <c r="X187" s="418"/>
      <c r="Y187" s="419" t="str">
        <f t="shared" ca="1" si="12"/>
        <v/>
      </c>
      <c r="Z187" s="420" t="str">
        <f t="shared" ca="1" si="13"/>
        <v/>
      </c>
      <c r="AA187" s="419" t="str">
        <f t="shared" ca="1" si="14"/>
        <v/>
      </c>
      <c r="AB187" s="421" t="str">
        <f t="shared" ca="1" si="15"/>
        <v/>
      </c>
      <c r="AC187" s="420" t="str">
        <f t="shared" ca="1" si="16"/>
        <v/>
      </c>
      <c r="AD187" s="221"/>
    </row>
    <row r="188" spans="1:30" customFormat="1" ht="15">
      <c r="A188" s="221"/>
      <c r="B188" s="269">
        <v>150</v>
      </c>
      <c r="C188" s="247"/>
      <c r="D188" s="248"/>
      <c r="E188" s="240"/>
      <c r="F188" s="226"/>
      <c r="G188" s="232"/>
      <c r="H188" s="379">
        <v>174</v>
      </c>
      <c r="I188" s="397"/>
      <c r="J188" s="397"/>
      <c r="K188" s="406"/>
      <c r="L188" s="406"/>
      <c r="M188" s="406"/>
      <c r="N188" s="406"/>
      <c r="O188" s="406"/>
      <c r="P188" s="406"/>
      <c r="Q188" s="406"/>
      <c r="R188" s="444"/>
      <c r="S188" s="436"/>
      <c r="T188" s="415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6"/>
      <c r="V188" s="416"/>
      <c r="W188" s="417"/>
      <c r="X188" s="418"/>
      <c r="Y188" s="419" t="str">
        <f t="shared" ca="1" si="12"/>
        <v/>
      </c>
      <c r="Z188" s="420" t="str">
        <f t="shared" ca="1" si="13"/>
        <v/>
      </c>
      <c r="AA188" s="419" t="str">
        <f t="shared" ca="1" si="14"/>
        <v/>
      </c>
      <c r="AB188" s="421" t="str">
        <f t="shared" ca="1" si="15"/>
        <v/>
      </c>
      <c r="AC188" s="420" t="str">
        <f t="shared" ca="1" si="16"/>
        <v/>
      </c>
      <c r="AD188" s="221"/>
    </row>
    <row r="189" spans="1:30" customFormat="1" ht="15">
      <c r="A189" s="221"/>
      <c r="B189" s="269">
        <v>151</v>
      </c>
      <c r="C189" s="247"/>
      <c r="D189" s="248"/>
      <c r="E189" s="240"/>
      <c r="F189" s="226"/>
      <c r="G189" s="232"/>
      <c r="H189" s="379">
        <v>175</v>
      </c>
      <c r="I189" s="397"/>
      <c r="J189" s="397"/>
      <c r="K189" s="406"/>
      <c r="L189" s="406"/>
      <c r="M189" s="406"/>
      <c r="N189" s="406"/>
      <c r="O189" s="406"/>
      <c r="P189" s="406"/>
      <c r="Q189" s="406"/>
      <c r="R189" s="444"/>
      <c r="S189" s="436"/>
      <c r="T189" s="415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6"/>
      <c r="V189" s="416"/>
      <c r="W189" s="417"/>
      <c r="X189" s="418"/>
      <c r="Y189" s="419" t="str">
        <f t="shared" ca="1" si="12"/>
        <v/>
      </c>
      <c r="Z189" s="420" t="str">
        <f t="shared" ca="1" si="13"/>
        <v/>
      </c>
      <c r="AA189" s="419" t="str">
        <f t="shared" ca="1" si="14"/>
        <v/>
      </c>
      <c r="AB189" s="421" t="str">
        <f t="shared" ca="1" si="15"/>
        <v/>
      </c>
      <c r="AC189" s="420" t="str">
        <f t="shared" ca="1" si="16"/>
        <v/>
      </c>
      <c r="AD189" s="221"/>
    </row>
    <row r="190" spans="1:30" customFormat="1" ht="15">
      <c r="A190" s="221"/>
      <c r="B190" s="269">
        <v>152</v>
      </c>
      <c r="C190" s="247"/>
      <c r="D190" s="248"/>
      <c r="E190" s="240"/>
      <c r="F190" s="226"/>
      <c r="G190" s="232"/>
      <c r="H190" s="379">
        <v>176</v>
      </c>
      <c r="I190" s="397"/>
      <c r="J190" s="397"/>
      <c r="K190" s="406"/>
      <c r="L190" s="406"/>
      <c r="M190" s="406"/>
      <c r="N190" s="406"/>
      <c r="O190" s="406"/>
      <c r="P190" s="406"/>
      <c r="Q190" s="406"/>
      <c r="R190" s="444"/>
      <c r="S190" s="436"/>
      <c r="T190" s="415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6"/>
      <c r="V190" s="416"/>
      <c r="W190" s="417"/>
      <c r="X190" s="418"/>
      <c r="Y190" s="419" t="str">
        <f t="shared" ca="1" si="12"/>
        <v/>
      </c>
      <c r="Z190" s="420" t="str">
        <f t="shared" ca="1" si="13"/>
        <v/>
      </c>
      <c r="AA190" s="419" t="str">
        <f t="shared" ca="1" si="14"/>
        <v/>
      </c>
      <c r="AB190" s="421" t="str">
        <f t="shared" ca="1" si="15"/>
        <v/>
      </c>
      <c r="AC190" s="420" t="str">
        <f t="shared" ca="1" si="16"/>
        <v/>
      </c>
      <c r="AD190" s="221"/>
    </row>
    <row r="191" spans="1:30" customFormat="1" ht="15">
      <c r="A191" s="221"/>
      <c r="B191" s="269">
        <v>153</v>
      </c>
      <c r="C191" s="247"/>
      <c r="D191" s="248"/>
      <c r="E191" s="240"/>
      <c r="F191" s="226"/>
      <c r="G191" s="232"/>
      <c r="H191" s="379">
        <v>177</v>
      </c>
      <c r="I191" s="397"/>
      <c r="J191" s="397"/>
      <c r="K191" s="406"/>
      <c r="L191" s="406"/>
      <c r="M191" s="406"/>
      <c r="N191" s="406"/>
      <c r="O191" s="406"/>
      <c r="P191" s="406"/>
      <c r="Q191" s="406"/>
      <c r="R191" s="444"/>
      <c r="S191" s="436"/>
      <c r="T191" s="415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6"/>
      <c r="V191" s="416"/>
      <c r="W191" s="417"/>
      <c r="X191" s="418"/>
      <c r="Y191" s="419" t="str">
        <f t="shared" ca="1" si="12"/>
        <v/>
      </c>
      <c r="Z191" s="420" t="str">
        <f t="shared" ca="1" si="13"/>
        <v/>
      </c>
      <c r="AA191" s="419" t="str">
        <f t="shared" ca="1" si="14"/>
        <v/>
      </c>
      <c r="AB191" s="421" t="str">
        <f t="shared" ca="1" si="15"/>
        <v/>
      </c>
      <c r="AC191" s="420" t="str">
        <f t="shared" ca="1" si="16"/>
        <v/>
      </c>
      <c r="AD191" s="221"/>
    </row>
    <row r="192" spans="1:30" customFormat="1" ht="15">
      <c r="A192" s="221"/>
      <c r="B192" s="269">
        <v>154</v>
      </c>
      <c r="C192" s="247"/>
      <c r="D192" s="248"/>
      <c r="E192" s="240"/>
      <c r="F192" s="226"/>
      <c r="G192" s="232"/>
      <c r="H192" s="379">
        <v>178</v>
      </c>
      <c r="I192" s="397"/>
      <c r="J192" s="397"/>
      <c r="K192" s="406"/>
      <c r="L192" s="406"/>
      <c r="M192" s="406"/>
      <c r="N192" s="406"/>
      <c r="O192" s="406"/>
      <c r="P192" s="406"/>
      <c r="Q192" s="406"/>
      <c r="R192" s="444"/>
      <c r="S192" s="436"/>
      <c r="T192" s="415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6"/>
      <c r="V192" s="416"/>
      <c r="W192" s="417"/>
      <c r="X192" s="418"/>
      <c r="Y192" s="419" t="str">
        <f t="shared" ca="1" si="12"/>
        <v/>
      </c>
      <c r="Z192" s="420" t="str">
        <f t="shared" ca="1" si="13"/>
        <v/>
      </c>
      <c r="AA192" s="419" t="str">
        <f t="shared" ca="1" si="14"/>
        <v/>
      </c>
      <c r="AB192" s="421" t="str">
        <f t="shared" ca="1" si="15"/>
        <v/>
      </c>
      <c r="AC192" s="420" t="str">
        <f t="shared" ca="1" si="16"/>
        <v/>
      </c>
      <c r="AD192" s="221"/>
    </row>
    <row r="193" spans="1:30" customFormat="1" ht="15">
      <c r="A193" s="221"/>
      <c r="B193" s="269">
        <v>155</v>
      </c>
      <c r="C193" s="247"/>
      <c r="D193" s="248"/>
      <c r="E193" s="240"/>
      <c r="F193" s="226"/>
      <c r="G193" s="232"/>
      <c r="H193" s="379">
        <v>179</v>
      </c>
      <c r="I193" s="397"/>
      <c r="J193" s="397"/>
      <c r="K193" s="406"/>
      <c r="L193" s="406"/>
      <c r="M193" s="406"/>
      <c r="N193" s="406"/>
      <c r="O193" s="406"/>
      <c r="P193" s="406"/>
      <c r="Q193" s="406"/>
      <c r="R193" s="444"/>
      <c r="S193" s="436"/>
      <c r="T193" s="415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6"/>
      <c r="V193" s="416"/>
      <c r="W193" s="417"/>
      <c r="X193" s="418"/>
      <c r="Y193" s="419" t="str">
        <f t="shared" ca="1" si="12"/>
        <v/>
      </c>
      <c r="Z193" s="420" t="str">
        <f t="shared" ca="1" si="13"/>
        <v/>
      </c>
      <c r="AA193" s="419" t="str">
        <f t="shared" ca="1" si="14"/>
        <v/>
      </c>
      <c r="AB193" s="421" t="str">
        <f t="shared" ca="1" si="15"/>
        <v/>
      </c>
      <c r="AC193" s="420" t="str">
        <f t="shared" ca="1" si="16"/>
        <v/>
      </c>
      <c r="AD193" s="221"/>
    </row>
    <row r="194" spans="1:30" customFormat="1" ht="15">
      <c r="A194" s="221"/>
      <c r="B194" s="269">
        <v>156</v>
      </c>
      <c r="C194" s="247"/>
      <c r="D194" s="248"/>
      <c r="E194" s="240"/>
      <c r="F194" s="226"/>
      <c r="G194" s="232"/>
      <c r="H194" s="379">
        <v>180</v>
      </c>
      <c r="I194" s="397"/>
      <c r="J194" s="397"/>
      <c r="K194" s="406"/>
      <c r="L194" s="406"/>
      <c r="M194" s="406"/>
      <c r="N194" s="406"/>
      <c r="O194" s="406"/>
      <c r="P194" s="406"/>
      <c r="Q194" s="406"/>
      <c r="R194" s="444"/>
      <c r="S194" s="436"/>
      <c r="T194" s="415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6"/>
      <c r="V194" s="416"/>
      <c r="W194" s="417"/>
      <c r="X194" s="418"/>
      <c r="Y194" s="419" t="str">
        <f t="shared" ca="1" si="12"/>
        <v/>
      </c>
      <c r="Z194" s="420" t="str">
        <f t="shared" ca="1" si="13"/>
        <v/>
      </c>
      <c r="AA194" s="419" t="str">
        <f t="shared" ca="1" si="14"/>
        <v/>
      </c>
      <c r="AB194" s="421" t="str">
        <f t="shared" ca="1" si="15"/>
        <v/>
      </c>
      <c r="AC194" s="420" t="str">
        <f t="shared" ca="1" si="16"/>
        <v/>
      </c>
      <c r="AD194" s="221"/>
    </row>
    <row r="195" spans="1:30" customFormat="1" ht="15">
      <c r="A195" s="221"/>
      <c r="B195" s="269">
        <v>157</v>
      </c>
      <c r="C195" s="247"/>
      <c r="D195" s="248"/>
      <c r="E195" s="240"/>
      <c r="F195" s="226"/>
      <c r="G195" s="232"/>
      <c r="H195" s="379">
        <v>181</v>
      </c>
      <c r="I195" s="397"/>
      <c r="J195" s="397"/>
      <c r="K195" s="406"/>
      <c r="L195" s="406"/>
      <c r="M195" s="406"/>
      <c r="N195" s="406"/>
      <c r="O195" s="406"/>
      <c r="P195" s="406"/>
      <c r="Q195" s="406"/>
      <c r="R195" s="444"/>
      <c r="S195" s="436"/>
      <c r="T195" s="415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6"/>
      <c r="V195" s="416"/>
      <c r="W195" s="417"/>
      <c r="X195" s="418"/>
      <c r="Y195" s="419" t="str">
        <f t="shared" ca="1" si="12"/>
        <v/>
      </c>
      <c r="Z195" s="420" t="str">
        <f t="shared" ca="1" si="13"/>
        <v/>
      </c>
      <c r="AA195" s="419" t="str">
        <f t="shared" ca="1" si="14"/>
        <v/>
      </c>
      <c r="AB195" s="421" t="str">
        <f t="shared" ca="1" si="15"/>
        <v/>
      </c>
      <c r="AC195" s="420" t="str">
        <f t="shared" ca="1" si="16"/>
        <v/>
      </c>
      <c r="AD195" s="221"/>
    </row>
    <row r="196" spans="1:30" customFormat="1" ht="15">
      <c r="A196" s="221"/>
      <c r="B196" s="269">
        <v>158</v>
      </c>
      <c r="C196" s="247"/>
      <c r="D196" s="248"/>
      <c r="E196" s="240"/>
      <c r="F196" s="226"/>
      <c r="G196" s="232"/>
      <c r="H196" s="379">
        <v>182</v>
      </c>
      <c r="I196" s="397"/>
      <c r="J196" s="397"/>
      <c r="K196" s="406"/>
      <c r="L196" s="406"/>
      <c r="M196" s="406"/>
      <c r="N196" s="406"/>
      <c r="O196" s="406"/>
      <c r="P196" s="406"/>
      <c r="Q196" s="406"/>
      <c r="R196" s="444"/>
      <c r="S196" s="436"/>
      <c r="T196" s="415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6"/>
      <c r="V196" s="416"/>
      <c r="W196" s="417"/>
      <c r="X196" s="418"/>
      <c r="Y196" s="419" t="str">
        <f t="shared" ca="1" si="12"/>
        <v/>
      </c>
      <c r="Z196" s="420" t="str">
        <f t="shared" ca="1" si="13"/>
        <v/>
      </c>
      <c r="AA196" s="419" t="str">
        <f t="shared" ca="1" si="14"/>
        <v/>
      </c>
      <c r="AB196" s="421" t="str">
        <f t="shared" ca="1" si="15"/>
        <v/>
      </c>
      <c r="AC196" s="420" t="str">
        <f t="shared" ca="1" si="16"/>
        <v/>
      </c>
      <c r="AD196" s="221"/>
    </row>
    <row r="197" spans="1:30" customFormat="1" ht="15">
      <c r="A197" s="221"/>
      <c r="B197" s="269">
        <v>159</v>
      </c>
      <c r="C197" s="247"/>
      <c r="D197" s="248"/>
      <c r="E197" s="240"/>
      <c r="F197" s="226"/>
      <c r="G197" s="232"/>
      <c r="H197" s="379">
        <v>183</v>
      </c>
      <c r="I197" s="397"/>
      <c r="J197" s="397"/>
      <c r="K197" s="406"/>
      <c r="L197" s="406"/>
      <c r="M197" s="406"/>
      <c r="N197" s="406"/>
      <c r="O197" s="406"/>
      <c r="P197" s="406"/>
      <c r="Q197" s="406"/>
      <c r="R197" s="444"/>
      <c r="S197" s="436"/>
      <c r="T197" s="415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6"/>
      <c r="V197" s="416"/>
      <c r="W197" s="417"/>
      <c r="X197" s="418"/>
      <c r="Y197" s="419" t="str">
        <f t="shared" ca="1" si="12"/>
        <v/>
      </c>
      <c r="Z197" s="420" t="str">
        <f t="shared" ca="1" si="13"/>
        <v/>
      </c>
      <c r="AA197" s="419" t="str">
        <f t="shared" ca="1" si="14"/>
        <v/>
      </c>
      <c r="AB197" s="421" t="str">
        <f t="shared" ca="1" si="15"/>
        <v/>
      </c>
      <c r="AC197" s="420" t="str">
        <f t="shared" ca="1" si="16"/>
        <v/>
      </c>
      <c r="AD197" s="221"/>
    </row>
    <row r="198" spans="1:30" customFormat="1" ht="15">
      <c r="A198" s="221"/>
      <c r="B198" s="269">
        <v>160</v>
      </c>
      <c r="C198" s="247"/>
      <c r="D198" s="248"/>
      <c r="E198" s="240"/>
      <c r="F198" s="226"/>
      <c r="G198" s="232"/>
      <c r="H198" s="379">
        <v>184</v>
      </c>
      <c r="I198" s="397"/>
      <c r="J198" s="397"/>
      <c r="K198" s="406"/>
      <c r="L198" s="406"/>
      <c r="M198" s="406"/>
      <c r="N198" s="406"/>
      <c r="O198" s="406"/>
      <c r="P198" s="406"/>
      <c r="Q198" s="406"/>
      <c r="R198" s="444"/>
      <c r="S198" s="436"/>
      <c r="T198" s="415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6"/>
      <c r="V198" s="416"/>
      <c r="W198" s="417"/>
      <c r="X198" s="418"/>
      <c r="Y198" s="419" t="str">
        <f t="shared" ca="1" si="12"/>
        <v/>
      </c>
      <c r="Z198" s="420" t="str">
        <f t="shared" ca="1" si="13"/>
        <v/>
      </c>
      <c r="AA198" s="419" t="str">
        <f t="shared" ca="1" si="14"/>
        <v/>
      </c>
      <c r="AB198" s="421" t="str">
        <f t="shared" ca="1" si="15"/>
        <v/>
      </c>
      <c r="AC198" s="420" t="str">
        <f t="shared" ca="1" si="16"/>
        <v/>
      </c>
      <c r="AD198" s="221"/>
    </row>
    <row r="199" spans="1:30" customFormat="1" ht="15">
      <c r="A199" s="221"/>
      <c r="B199" s="269">
        <v>161</v>
      </c>
      <c r="C199" s="247"/>
      <c r="D199" s="248"/>
      <c r="E199" s="240"/>
      <c r="F199" s="226"/>
      <c r="G199" s="232"/>
      <c r="H199" s="379">
        <v>185</v>
      </c>
      <c r="I199" s="397"/>
      <c r="J199" s="397"/>
      <c r="K199" s="406"/>
      <c r="L199" s="406"/>
      <c r="M199" s="406"/>
      <c r="N199" s="406"/>
      <c r="O199" s="406"/>
      <c r="P199" s="406"/>
      <c r="Q199" s="406"/>
      <c r="R199" s="444"/>
      <c r="S199" s="436"/>
      <c r="T199" s="415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6"/>
      <c r="V199" s="416"/>
      <c r="W199" s="417"/>
      <c r="X199" s="418"/>
      <c r="Y199" s="419" t="str">
        <f t="shared" ca="1" si="12"/>
        <v/>
      </c>
      <c r="Z199" s="420" t="str">
        <f t="shared" ca="1" si="13"/>
        <v/>
      </c>
      <c r="AA199" s="419" t="str">
        <f t="shared" ca="1" si="14"/>
        <v/>
      </c>
      <c r="AB199" s="421" t="str">
        <f t="shared" ca="1" si="15"/>
        <v/>
      </c>
      <c r="AC199" s="420" t="str">
        <f t="shared" ca="1" si="16"/>
        <v/>
      </c>
      <c r="AD199" s="221"/>
    </row>
    <row r="200" spans="1:30" customFormat="1" ht="15">
      <c r="A200" s="221"/>
      <c r="B200" s="269">
        <v>162</v>
      </c>
      <c r="C200" s="247"/>
      <c r="D200" s="248"/>
      <c r="E200" s="240"/>
      <c r="F200" s="226"/>
      <c r="G200" s="232"/>
      <c r="H200" s="379">
        <v>186</v>
      </c>
      <c r="I200" s="397"/>
      <c r="J200" s="397"/>
      <c r="K200" s="406"/>
      <c r="L200" s="406"/>
      <c r="M200" s="406"/>
      <c r="N200" s="406"/>
      <c r="O200" s="406"/>
      <c r="P200" s="406"/>
      <c r="Q200" s="406"/>
      <c r="R200" s="444"/>
      <c r="S200" s="436"/>
      <c r="T200" s="415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6"/>
      <c r="V200" s="416"/>
      <c r="W200" s="417"/>
      <c r="X200" s="418"/>
      <c r="Y200" s="419" t="str">
        <f t="shared" ca="1" si="12"/>
        <v/>
      </c>
      <c r="Z200" s="420" t="str">
        <f t="shared" ca="1" si="13"/>
        <v/>
      </c>
      <c r="AA200" s="419" t="str">
        <f t="shared" ca="1" si="14"/>
        <v/>
      </c>
      <c r="AB200" s="421" t="str">
        <f t="shared" ca="1" si="15"/>
        <v/>
      </c>
      <c r="AC200" s="420" t="str">
        <f t="shared" ca="1" si="16"/>
        <v/>
      </c>
      <c r="AD200" s="221"/>
    </row>
    <row r="201" spans="1:30" customFormat="1" ht="15">
      <c r="A201" s="221"/>
      <c r="B201" s="269">
        <v>163</v>
      </c>
      <c r="C201" s="247"/>
      <c r="D201" s="248"/>
      <c r="E201" s="240"/>
      <c r="F201" s="226"/>
      <c r="G201" s="232"/>
      <c r="H201" s="379">
        <v>187</v>
      </c>
      <c r="I201" s="397"/>
      <c r="J201" s="397"/>
      <c r="K201" s="406"/>
      <c r="L201" s="406"/>
      <c r="M201" s="406"/>
      <c r="N201" s="406"/>
      <c r="O201" s="406"/>
      <c r="P201" s="406"/>
      <c r="Q201" s="406"/>
      <c r="R201" s="444"/>
      <c r="S201" s="436"/>
      <c r="T201" s="415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6"/>
      <c r="V201" s="416"/>
      <c r="W201" s="417"/>
      <c r="X201" s="418"/>
      <c r="Y201" s="419" t="str">
        <f t="shared" ca="1" si="12"/>
        <v/>
      </c>
      <c r="Z201" s="420" t="str">
        <f t="shared" ca="1" si="13"/>
        <v/>
      </c>
      <c r="AA201" s="419" t="str">
        <f t="shared" ca="1" si="14"/>
        <v/>
      </c>
      <c r="AB201" s="421" t="str">
        <f t="shared" ca="1" si="15"/>
        <v/>
      </c>
      <c r="AC201" s="420" t="str">
        <f t="shared" ca="1" si="16"/>
        <v/>
      </c>
      <c r="AD201" s="221"/>
    </row>
    <row r="202" spans="1:30" customFormat="1" ht="15">
      <c r="A202" s="221"/>
      <c r="B202" s="269">
        <v>164</v>
      </c>
      <c r="C202" s="247"/>
      <c r="D202" s="248"/>
      <c r="E202" s="240"/>
      <c r="F202" s="226"/>
      <c r="G202" s="232"/>
      <c r="H202" s="379">
        <v>188</v>
      </c>
      <c r="I202" s="397"/>
      <c r="J202" s="397"/>
      <c r="K202" s="406"/>
      <c r="L202" s="406"/>
      <c r="M202" s="406"/>
      <c r="N202" s="406"/>
      <c r="O202" s="406"/>
      <c r="P202" s="406"/>
      <c r="Q202" s="406"/>
      <c r="R202" s="444"/>
      <c r="S202" s="436"/>
      <c r="T202" s="415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6"/>
      <c r="V202" s="416"/>
      <c r="W202" s="417"/>
      <c r="X202" s="418"/>
      <c r="Y202" s="419" t="str">
        <f t="shared" ca="1" si="12"/>
        <v/>
      </c>
      <c r="Z202" s="420" t="str">
        <f t="shared" ca="1" si="13"/>
        <v/>
      </c>
      <c r="AA202" s="419" t="str">
        <f t="shared" ca="1" si="14"/>
        <v/>
      </c>
      <c r="AB202" s="421" t="str">
        <f t="shared" ca="1" si="15"/>
        <v/>
      </c>
      <c r="AC202" s="420" t="str">
        <f t="shared" ca="1" si="16"/>
        <v/>
      </c>
      <c r="AD202" s="221"/>
    </row>
    <row r="203" spans="1:30" customFormat="1" ht="15">
      <c r="A203" s="221"/>
      <c r="B203" s="269">
        <v>165</v>
      </c>
      <c r="C203" s="247"/>
      <c r="D203" s="248"/>
      <c r="E203" s="240"/>
      <c r="F203" s="226"/>
      <c r="G203" s="232"/>
      <c r="H203" s="379">
        <v>189</v>
      </c>
      <c r="I203" s="397"/>
      <c r="J203" s="397"/>
      <c r="K203" s="406"/>
      <c r="L203" s="406"/>
      <c r="M203" s="406"/>
      <c r="N203" s="406"/>
      <c r="O203" s="406"/>
      <c r="P203" s="406"/>
      <c r="Q203" s="406"/>
      <c r="R203" s="444"/>
      <c r="S203" s="436"/>
      <c r="T203" s="415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6"/>
      <c r="V203" s="416"/>
      <c r="W203" s="417"/>
      <c r="X203" s="418"/>
      <c r="Y203" s="419" t="str">
        <f t="shared" ca="1" si="12"/>
        <v/>
      </c>
      <c r="Z203" s="420" t="str">
        <f t="shared" ca="1" si="13"/>
        <v/>
      </c>
      <c r="AA203" s="419" t="str">
        <f t="shared" ca="1" si="14"/>
        <v/>
      </c>
      <c r="AB203" s="421" t="str">
        <f t="shared" ca="1" si="15"/>
        <v/>
      </c>
      <c r="AC203" s="420" t="str">
        <f t="shared" ca="1" si="16"/>
        <v/>
      </c>
      <c r="AD203" s="221"/>
    </row>
    <row r="204" spans="1:30" customFormat="1" ht="15">
      <c r="A204" s="221"/>
      <c r="B204" s="269">
        <v>166</v>
      </c>
      <c r="C204" s="247"/>
      <c r="D204" s="248"/>
      <c r="E204" s="240"/>
      <c r="F204" s="226"/>
      <c r="G204" s="232"/>
      <c r="H204" s="379">
        <v>190</v>
      </c>
      <c r="I204" s="397"/>
      <c r="J204" s="397"/>
      <c r="K204" s="406"/>
      <c r="L204" s="406"/>
      <c r="M204" s="406"/>
      <c r="N204" s="406"/>
      <c r="O204" s="406"/>
      <c r="P204" s="406"/>
      <c r="Q204" s="406"/>
      <c r="R204" s="444"/>
      <c r="S204" s="436"/>
      <c r="T204" s="415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6"/>
      <c r="V204" s="416"/>
      <c r="W204" s="417"/>
      <c r="X204" s="418"/>
      <c r="Y204" s="419" t="str">
        <f t="shared" ca="1" si="12"/>
        <v/>
      </c>
      <c r="Z204" s="420" t="str">
        <f t="shared" ca="1" si="13"/>
        <v/>
      </c>
      <c r="AA204" s="419" t="str">
        <f t="shared" ca="1" si="14"/>
        <v/>
      </c>
      <c r="AB204" s="421" t="str">
        <f t="shared" ca="1" si="15"/>
        <v/>
      </c>
      <c r="AC204" s="420" t="str">
        <f t="shared" ca="1" si="16"/>
        <v/>
      </c>
      <c r="AD204" s="221"/>
    </row>
    <row r="205" spans="1:30" customFormat="1" ht="15">
      <c r="A205" s="221"/>
      <c r="B205" s="269">
        <v>167</v>
      </c>
      <c r="C205" s="247"/>
      <c r="D205" s="248"/>
      <c r="E205" s="240"/>
      <c r="F205" s="226"/>
      <c r="G205" s="232"/>
      <c r="H205" s="379">
        <v>191</v>
      </c>
      <c r="I205" s="397"/>
      <c r="J205" s="397"/>
      <c r="K205" s="406"/>
      <c r="L205" s="406"/>
      <c r="M205" s="406"/>
      <c r="N205" s="406"/>
      <c r="O205" s="406"/>
      <c r="P205" s="406"/>
      <c r="Q205" s="406"/>
      <c r="R205" s="444"/>
      <c r="S205" s="436"/>
      <c r="T205" s="415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6"/>
      <c r="V205" s="416"/>
      <c r="W205" s="417"/>
      <c r="X205" s="418"/>
      <c r="Y205" s="419" t="str">
        <f t="shared" ca="1" si="12"/>
        <v/>
      </c>
      <c r="Z205" s="420" t="str">
        <f t="shared" ca="1" si="13"/>
        <v/>
      </c>
      <c r="AA205" s="419" t="str">
        <f t="shared" ca="1" si="14"/>
        <v/>
      </c>
      <c r="AB205" s="421" t="str">
        <f t="shared" ca="1" si="15"/>
        <v/>
      </c>
      <c r="AC205" s="420" t="str">
        <f t="shared" ca="1" si="16"/>
        <v/>
      </c>
      <c r="AD205" s="221"/>
    </row>
    <row r="206" spans="1:30" customFormat="1" ht="15">
      <c r="A206" s="221"/>
      <c r="B206" s="269">
        <v>168</v>
      </c>
      <c r="C206" s="247"/>
      <c r="D206" s="248"/>
      <c r="E206" s="240"/>
      <c r="F206" s="226"/>
      <c r="G206" s="232"/>
      <c r="H206" s="379">
        <v>192</v>
      </c>
      <c r="I206" s="397"/>
      <c r="J206" s="397"/>
      <c r="K206" s="406"/>
      <c r="L206" s="406"/>
      <c r="M206" s="406"/>
      <c r="N206" s="406"/>
      <c r="O206" s="406"/>
      <c r="P206" s="406"/>
      <c r="Q206" s="406"/>
      <c r="R206" s="444"/>
      <c r="S206" s="436"/>
      <c r="T206" s="415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6"/>
      <c r="V206" s="416"/>
      <c r="W206" s="417"/>
      <c r="X206" s="418"/>
      <c r="Y206" s="419" t="str">
        <f t="shared" ca="1" si="12"/>
        <v/>
      </c>
      <c r="Z206" s="420" t="str">
        <f t="shared" ca="1" si="13"/>
        <v/>
      </c>
      <c r="AA206" s="419" t="str">
        <f t="shared" ca="1" si="14"/>
        <v/>
      </c>
      <c r="AB206" s="421" t="str">
        <f t="shared" ca="1" si="15"/>
        <v/>
      </c>
      <c r="AC206" s="420" t="str">
        <f t="shared" ca="1" si="16"/>
        <v/>
      </c>
      <c r="AD206" s="221"/>
    </row>
    <row r="207" spans="1:30" customFormat="1" ht="15">
      <c r="A207" s="221"/>
      <c r="B207" s="269">
        <v>169</v>
      </c>
      <c r="C207" s="247"/>
      <c r="D207" s="248"/>
      <c r="E207" s="240"/>
      <c r="F207" s="226"/>
      <c r="G207" s="232"/>
      <c r="H207" s="379">
        <v>193</v>
      </c>
      <c r="I207" s="397"/>
      <c r="J207" s="397"/>
      <c r="K207" s="406"/>
      <c r="L207" s="406"/>
      <c r="M207" s="406"/>
      <c r="N207" s="406"/>
      <c r="O207" s="406"/>
      <c r="P207" s="406"/>
      <c r="Q207" s="406"/>
      <c r="R207" s="444"/>
      <c r="S207" s="436"/>
      <c r="T207" s="415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6"/>
      <c r="V207" s="416"/>
      <c r="W207" s="417"/>
      <c r="X207" s="418"/>
      <c r="Y207" s="419" t="str">
        <f t="shared" ca="1" si="12"/>
        <v/>
      </c>
      <c r="Z207" s="420" t="str">
        <f t="shared" ca="1" si="13"/>
        <v/>
      </c>
      <c r="AA207" s="419" t="str">
        <f t="shared" ca="1" si="14"/>
        <v/>
      </c>
      <c r="AB207" s="421" t="str">
        <f t="shared" ca="1" si="15"/>
        <v/>
      </c>
      <c r="AC207" s="420" t="str">
        <f t="shared" ca="1" si="16"/>
        <v/>
      </c>
      <c r="AD207" s="221"/>
    </row>
    <row r="208" spans="1:30" customFormat="1" ht="15">
      <c r="A208" s="221"/>
      <c r="B208" s="269">
        <v>170</v>
      </c>
      <c r="C208" s="247"/>
      <c r="D208" s="248"/>
      <c r="E208" s="240"/>
      <c r="F208" s="226"/>
      <c r="G208" s="232"/>
      <c r="H208" s="379">
        <v>194</v>
      </c>
      <c r="I208" s="397"/>
      <c r="J208" s="397"/>
      <c r="K208" s="406"/>
      <c r="L208" s="406"/>
      <c r="M208" s="406"/>
      <c r="N208" s="406"/>
      <c r="O208" s="406"/>
      <c r="P208" s="406"/>
      <c r="Q208" s="406"/>
      <c r="R208" s="444"/>
      <c r="S208" s="436"/>
      <c r="T208" s="415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6"/>
      <c r="V208" s="416"/>
      <c r="W208" s="417"/>
      <c r="X208" s="418"/>
      <c r="Y208" s="419" t="str">
        <f t="shared" ref="Y208:Y271" ca="1" si="17">IF($U$12,IF(T208="","",$U$13*D232/$C$18),"")</f>
        <v/>
      </c>
      <c r="Z208" s="420" t="str">
        <f t="shared" ref="Z208:Z271" ca="1" si="18">IF($U$12,IF(Y208="","",Y208*($Z$10-W208)*X208),"")</f>
        <v/>
      </c>
      <c r="AA208" s="419" t="str">
        <f t="shared" ref="AA208:AA271" ca="1" si="19">IF($U$12,IF(OR(T208="",L208=""),"",L208/($C$20-$C$19)),"")</f>
        <v/>
      </c>
      <c r="AB208" s="421" t="str">
        <f t="shared" ref="AB208:AB271" ca="1" si="20">IF($U$12,IF(W208="","",W208*$AC$10),"")</f>
        <v/>
      </c>
      <c r="AC208" s="420" t="str">
        <f t="shared" ref="AC208:AC271" ca="1" si="21">IF($U$12,IF(AA208="","",AA208*(AB208-W208)*X208),"")</f>
        <v/>
      </c>
      <c r="AD208" s="221"/>
    </row>
    <row r="209" spans="1:30" customFormat="1" ht="15">
      <c r="A209" s="221"/>
      <c r="B209" s="269">
        <v>171</v>
      </c>
      <c r="C209" s="247"/>
      <c r="D209" s="248"/>
      <c r="E209" s="240"/>
      <c r="F209" s="226"/>
      <c r="G209" s="232"/>
      <c r="H209" s="379">
        <v>195</v>
      </c>
      <c r="I209" s="397"/>
      <c r="J209" s="397"/>
      <c r="K209" s="406"/>
      <c r="L209" s="406"/>
      <c r="M209" s="406"/>
      <c r="N209" s="406"/>
      <c r="O209" s="406"/>
      <c r="P209" s="406"/>
      <c r="Q209" s="406"/>
      <c r="R209" s="444"/>
      <c r="S209" s="436"/>
      <c r="T209" s="415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6"/>
      <c r="V209" s="416"/>
      <c r="W209" s="417"/>
      <c r="X209" s="418"/>
      <c r="Y209" s="419" t="str">
        <f t="shared" ca="1" si="17"/>
        <v/>
      </c>
      <c r="Z209" s="420" t="str">
        <f t="shared" ca="1" si="18"/>
        <v/>
      </c>
      <c r="AA209" s="419" t="str">
        <f t="shared" ca="1" si="19"/>
        <v/>
      </c>
      <c r="AB209" s="421" t="str">
        <f t="shared" ca="1" si="20"/>
        <v/>
      </c>
      <c r="AC209" s="420" t="str">
        <f t="shared" ca="1" si="21"/>
        <v/>
      </c>
      <c r="AD209" s="221"/>
    </row>
    <row r="210" spans="1:30" customFormat="1" ht="15">
      <c r="A210" s="221"/>
      <c r="B210" s="269">
        <v>172</v>
      </c>
      <c r="C210" s="247"/>
      <c r="D210" s="248"/>
      <c r="E210" s="240"/>
      <c r="F210" s="226"/>
      <c r="G210" s="232"/>
      <c r="H210" s="379">
        <v>196</v>
      </c>
      <c r="I210" s="397"/>
      <c r="J210" s="397"/>
      <c r="K210" s="406"/>
      <c r="L210" s="406"/>
      <c r="M210" s="406"/>
      <c r="N210" s="406"/>
      <c r="O210" s="406"/>
      <c r="P210" s="406"/>
      <c r="Q210" s="406"/>
      <c r="R210" s="444"/>
      <c r="S210" s="436"/>
      <c r="T210" s="415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6"/>
      <c r="V210" s="416"/>
      <c r="W210" s="417"/>
      <c r="X210" s="418"/>
      <c r="Y210" s="419" t="str">
        <f t="shared" ca="1" si="17"/>
        <v/>
      </c>
      <c r="Z210" s="420" t="str">
        <f t="shared" ca="1" si="18"/>
        <v/>
      </c>
      <c r="AA210" s="419" t="str">
        <f t="shared" ca="1" si="19"/>
        <v/>
      </c>
      <c r="AB210" s="421" t="str">
        <f t="shared" ca="1" si="20"/>
        <v/>
      </c>
      <c r="AC210" s="420" t="str">
        <f t="shared" ca="1" si="21"/>
        <v/>
      </c>
      <c r="AD210" s="221"/>
    </row>
    <row r="211" spans="1:30" customFormat="1" ht="15">
      <c r="A211" s="221"/>
      <c r="B211" s="269">
        <v>173</v>
      </c>
      <c r="C211" s="247"/>
      <c r="D211" s="248"/>
      <c r="E211" s="240"/>
      <c r="F211" s="226"/>
      <c r="G211" s="232"/>
      <c r="H211" s="379">
        <v>197</v>
      </c>
      <c r="I211" s="397"/>
      <c r="J211" s="397"/>
      <c r="K211" s="406"/>
      <c r="L211" s="406"/>
      <c r="M211" s="406"/>
      <c r="N211" s="406"/>
      <c r="O211" s="406"/>
      <c r="P211" s="406"/>
      <c r="Q211" s="406"/>
      <c r="R211" s="444"/>
      <c r="S211" s="436"/>
      <c r="T211" s="415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6"/>
      <c r="V211" s="416"/>
      <c r="W211" s="417"/>
      <c r="X211" s="418"/>
      <c r="Y211" s="419" t="str">
        <f t="shared" ca="1" si="17"/>
        <v/>
      </c>
      <c r="Z211" s="420" t="str">
        <f t="shared" ca="1" si="18"/>
        <v/>
      </c>
      <c r="AA211" s="419" t="str">
        <f t="shared" ca="1" si="19"/>
        <v/>
      </c>
      <c r="AB211" s="421" t="str">
        <f t="shared" ca="1" si="20"/>
        <v/>
      </c>
      <c r="AC211" s="420" t="str">
        <f t="shared" ca="1" si="21"/>
        <v/>
      </c>
      <c r="AD211" s="221"/>
    </row>
    <row r="212" spans="1:30" customFormat="1" ht="15">
      <c r="A212" s="221"/>
      <c r="B212" s="269">
        <v>174</v>
      </c>
      <c r="C212" s="247"/>
      <c r="D212" s="248"/>
      <c r="E212" s="240"/>
      <c r="F212" s="226"/>
      <c r="G212" s="232"/>
      <c r="H212" s="379">
        <v>198</v>
      </c>
      <c r="I212" s="397"/>
      <c r="J212" s="397"/>
      <c r="K212" s="406"/>
      <c r="L212" s="406"/>
      <c r="M212" s="406"/>
      <c r="N212" s="406"/>
      <c r="O212" s="406"/>
      <c r="P212" s="406"/>
      <c r="Q212" s="406"/>
      <c r="R212" s="444"/>
      <c r="S212" s="436"/>
      <c r="T212" s="415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6"/>
      <c r="V212" s="416"/>
      <c r="W212" s="417"/>
      <c r="X212" s="418"/>
      <c r="Y212" s="419" t="str">
        <f t="shared" ca="1" si="17"/>
        <v/>
      </c>
      <c r="Z212" s="420" t="str">
        <f t="shared" ca="1" si="18"/>
        <v/>
      </c>
      <c r="AA212" s="419" t="str">
        <f t="shared" ca="1" si="19"/>
        <v/>
      </c>
      <c r="AB212" s="421" t="str">
        <f t="shared" ca="1" si="20"/>
        <v/>
      </c>
      <c r="AC212" s="420" t="str">
        <f t="shared" ca="1" si="21"/>
        <v/>
      </c>
      <c r="AD212" s="221"/>
    </row>
    <row r="213" spans="1:30" customFormat="1" ht="15">
      <c r="A213" s="221"/>
      <c r="B213" s="269">
        <v>175</v>
      </c>
      <c r="C213" s="247"/>
      <c r="D213" s="248"/>
      <c r="E213" s="240"/>
      <c r="F213" s="226"/>
      <c r="G213" s="232"/>
      <c r="H213" s="379">
        <v>199</v>
      </c>
      <c r="I213" s="397"/>
      <c r="J213" s="397"/>
      <c r="K213" s="406"/>
      <c r="L213" s="406"/>
      <c r="M213" s="406"/>
      <c r="N213" s="406"/>
      <c r="O213" s="406"/>
      <c r="P213" s="406"/>
      <c r="Q213" s="406"/>
      <c r="R213" s="444"/>
      <c r="S213" s="436"/>
      <c r="T213" s="415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6"/>
      <c r="V213" s="416"/>
      <c r="W213" s="417"/>
      <c r="X213" s="418"/>
      <c r="Y213" s="419" t="str">
        <f t="shared" ca="1" si="17"/>
        <v/>
      </c>
      <c r="Z213" s="420" t="str">
        <f t="shared" ca="1" si="18"/>
        <v/>
      </c>
      <c r="AA213" s="419" t="str">
        <f t="shared" ca="1" si="19"/>
        <v/>
      </c>
      <c r="AB213" s="421" t="str">
        <f t="shared" ca="1" si="20"/>
        <v/>
      </c>
      <c r="AC213" s="420" t="str">
        <f t="shared" ca="1" si="21"/>
        <v/>
      </c>
      <c r="AD213" s="221"/>
    </row>
    <row r="214" spans="1:30" customFormat="1" ht="15">
      <c r="A214" s="221"/>
      <c r="B214" s="269">
        <v>176</v>
      </c>
      <c r="C214" s="247"/>
      <c r="D214" s="248"/>
      <c r="E214" s="240"/>
      <c r="F214" s="226"/>
      <c r="G214" s="232"/>
      <c r="H214" s="379">
        <v>200</v>
      </c>
      <c r="I214" s="397"/>
      <c r="J214" s="397"/>
      <c r="K214" s="406"/>
      <c r="L214" s="406"/>
      <c r="M214" s="406"/>
      <c r="N214" s="406"/>
      <c r="O214" s="406"/>
      <c r="P214" s="406"/>
      <c r="Q214" s="406"/>
      <c r="R214" s="444"/>
      <c r="S214" s="436"/>
      <c r="T214" s="415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6"/>
      <c r="V214" s="416"/>
      <c r="W214" s="417"/>
      <c r="X214" s="418"/>
      <c r="Y214" s="419" t="str">
        <f t="shared" ca="1" si="17"/>
        <v/>
      </c>
      <c r="Z214" s="420" t="str">
        <f t="shared" ca="1" si="18"/>
        <v/>
      </c>
      <c r="AA214" s="419" t="str">
        <f t="shared" ca="1" si="19"/>
        <v/>
      </c>
      <c r="AB214" s="421" t="str">
        <f t="shared" ca="1" si="20"/>
        <v/>
      </c>
      <c r="AC214" s="420" t="str">
        <f t="shared" ca="1" si="21"/>
        <v/>
      </c>
      <c r="AD214" s="221"/>
    </row>
    <row r="215" spans="1:30" customFormat="1" ht="15">
      <c r="A215" s="221"/>
      <c r="B215" s="269">
        <v>177</v>
      </c>
      <c r="C215" s="247"/>
      <c r="D215" s="248"/>
      <c r="E215" s="240"/>
      <c r="F215" s="226"/>
      <c r="G215" s="232"/>
      <c r="H215" s="379">
        <v>201</v>
      </c>
      <c r="I215" s="397"/>
      <c r="J215" s="397"/>
      <c r="K215" s="406"/>
      <c r="L215" s="406"/>
      <c r="M215" s="406"/>
      <c r="N215" s="406"/>
      <c r="O215" s="406"/>
      <c r="P215" s="406"/>
      <c r="Q215" s="406"/>
      <c r="R215" s="444"/>
      <c r="S215" s="436"/>
      <c r="T215" s="415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6"/>
      <c r="V215" s="416"/>
      <c r="W215" s="417"/>
      <c r="X215" s="418"/>
      <c r="Y215" s="419" t="str">
        <f t="shared" ca="1" si="17"/>
        <v/>
      </c>
      <c r="Z215" s="420" t="str">
        <f t="shared" ca="1" si="18"/>
        <v/>
      </c>
      <c r="AA215" s="419" t="str">
        <f t="shared" ca="1" si="19"/>
        <v/>
      </c>
      <c r="AB215" s="421" t="str">
        <f t="shared" ca="1" si="20"/>
        <v/>
      </c>
      <c r="AC215" s="420" t="str">
        <f t="shared" ca="1" si="21"/>
        <v/>
      </c>
      <c r="AD215" s="221"/>
    </row>
    <row r="216" spans="1:30" customFormat="1" ht="15">
      <c r="A216" s="221"/>
      <c r="B216" s="269">
        <v>178</v>
      </c>
      <c r="C216" s="247"/>
      <c r="D216" s="248"/>
      <c r="E216" s="240"/>
      <c r="F216" s="226"/>
      <c r="G216" s="232"/>
      <c r="H216" s="379">
        <v>202</v>
      </c>
      <c r="I216" s="397"/>
      <c r="J216" s="397"/>
      <c r="K216" s="406"/>
      <c r="L216" s="406"/>
      <c r="M216" s="406"/>
      <c r="N216" s="406"/>
      <c r="O216" s="406"/>
      <c r="P216" s="406"/>
      <c r="Q216" s="406"/>
      <c r="R216" s="444"/>
      <c r="S216" s="436"/>
      <c r="T216" s="415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6"/>
      <c r="V216" s="416"/>
      <c r="W216" s="417"/>
      <c r="X216" s="418"/>
      <c r="Y216" s="419" t="str">
        <f t="shared" ca="1" si="17"/>
        <v/>
      </c>
      <c r="Z216" s="420" t="str">
        <f t="shared" ca="1" si="18"/>
        <v/>
      </c>
      <c r="AA216" s="419" t="str">
        <f t="shared" ca="1" si="19"/>
        <v/>
      </c>
      <c r="AB216" s="421" t="str">
        <f t="shared" ca="1" si="20"/>
        <v/>
      </c>
      <c r="AC216" s="420" t="str">
        <f t="shared" ca="1" si="21"/>
        <v/>
      </c>
      <c r="AD216" s="221"/>
    </row>
    <row r="217" spans="1:30" customFormat="1" ht="15">
      <c r="A217" s="221"/>
      <c r="B217" s="269">
        <v>179</v>
      </c>
      <c r="C217" s="247"/>
      <c r="D217" s="248"/>
      <c r="E217" s="240"/>
      <c r="F217" s="226"/>
      <c r="G217" s="232"/>
      <c r="H217" s="379">
        <v>203</v>
      </c>
      <c r="I217" s="397"/>
      <c r="J217" s="397"/>
      <c r="K217" s="406"/>
      <c r="L217" s="406"/>
      <c r="M217" s="406"/>
      <c r="N217" s="406"/>
      <c r="O217" s="406"/>
      <c r="P217" s="406"/>
      <c r="Q217" s="406"/>
      <c r="R217" s="444"/>
      <c r="S217" s="436"/>
      <c r="T217" s="415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6"/>
      <c r="V217" s="416"/>
      <c r="W217" s="417"/>
      <c r="X217" s="418"/>
      <c r="Y217" s="419" t="str">
        <f t="shared" ca="1" si="17"/>
        <v/>
      </c>
      <c r="Z217" s="420" t="str">
        <f t="shared" ca="1" si="18"/>
        <v/>
      </c>
      <c r="AA217" s="419" t="str">
        <f t="shared" ca="1" si="19"/>
        <v/>
      </c>
      <c r="AB217" s="421" t="str">
        <f t="shared" ca="1" si="20"/>
        <v/>
      </c>
      <c r="AC217" s="420" t="str">
        <f t="shared" ca="1" si="21"/>
        <v/>
      </c>
      <c r="AD217" s="221"/>
    </row>
    <row r="218" spans="1:30" customFormat="1" ht="15">
      <c r="A218" s="221"/>
      <c r="B218" s="269">
        <v>180</v>
      </c>
      <c r="C218" s="247"/>
      <c r="D218" s="248"/>
      <c r="E218" s="240"/>
      <c r="F218" s="226"/>
      <c r="G218" s="232"/>
      <c r="H218" s="379">
        <v>204</v>
      </c>
      <c r="I218" s="397"/>
      <c r="J218" s="397"/>
      <c r="K218" s="406"/>
      <c r="L218" s="406"/>
      <c r="M218" s="406"/>
      <c r="N218" s="406"/>
      <c r="O218" s="406"/>
      <c r="P218" s="406"/>
      <c r="Q218" s="406"/>
      <c r="R218" s="444"/>
      <c r="S218" s="436"/>
      <c r="T218" s="415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6"/>
      <c r="V218" s="416"/>
      <c r="W218" s="417"/>
      <c r="X218" s="418"/>
      <c r="Y218" s="419" t="str">
        <f t="shared" ca="1" si="17"/>
        <v/>
      </c>
      <c r="Z218" s="420" t="str">
        <f t="shared" ca="1" si="18"/>
        <v/>
      </c>
      <c r="AA218" s="419" t="str">
        <f t="shared" ca="1" si="19"/>
        <v/>
      </c>
      <c r="AB218" s="421" t="str">
        <f t="shared" ca="1" si="20"/>
        <v/>
      </c>
      <c r="AC218" s="420" t="str">
        <f t="shared" ca="1" si="21"/>
        <v/>
      </c>
      <c r="AD218" s="221"/>
    </row>
    <row r="219" spans="1:30" customFormat="1" ht="15">
      <c r="A219" s="221"/>
      <c r="B219" s="269">
        <v>181</v>
      </c>
      <c r="C219" s="247"/>
      <c r="D219" s="248"/>
      <c r="E219" s="240"/>
      <c r="F219" s="226"/>
      <c r="G219" s="232"/>
      <c r="H219" s="379">
        <v>205</v>
      </c>
      <c r="I219" s="397"/>
      <c r="J219" s="397"/>
      <c r="K219" s="406"/>
      <c r="L219" s="406"/>
      <c r="M219" s="406"/>
      <c r="N219" s="406"/>
      <c r="O219" s="406"/>
      <c r="P219" s="406"/>
      <c r="Q219" s="406"/>
      <c r="R219" s="444"/>
      <c r="S219" s="436"/>
      <c r="T219" s="415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6"/>
      <c r="V219" s="416"/>
      <c r="W219" s="417"/>
      <c r="X219" s="418"/>
      <c r="Y219" s="419" t="str">
        <f t="shared" ca="1" si="17"/>
        <v/>
      </c>
      <c r="Z219" s="420" t="str">
        <f t="shared" ca="1" si="18"/>
        <v/>
      </c>
      <c r="AA219" s="419" t="str">
        <f t="shared" ca="1" si="19"/>
        <v/>
      </c>
      <c r="AB219" s="421" t="str">
        <f t="shared" ca="1" si="20"/>
        <v/>
      </c>
      <c r="AC219" s="420" t="str">
        <f t="shared" ca="1" si="21"/>
        <v/>
      </c>
      <c r="AD219" s="221"/>
    </row>
    <row r="220" spans="1:30" customFormat="1" ht="15">
      <c r="A220" s="221"/>
      <c r="B220" s="269">
        <v>182</v>
      </c>
      <c r="C220" s="247"/>
      <c r="D220" s="248"/>
      <c r="E220" s="240"/>
      <c r="F220" s="226"/>
      <c r="G220" s="232"/>
      <c r="H220" s="379">
        <v>206</v>
      </c>
      <c r="I220" s="397"/>
      <c r="J220" s="397"/>
      <c r="K220" s="406"/>
      <c r="L220" s="406"/>
      <c r="M220" s="406"/>
      <c r="N220" s="406"/>
      <c r="O220" s="406"/>
      <c r="P220" s="406"/>
      <c r="Q220" s="406"/>
      <c r="R220" s="444"/>
      <c r="S220" s="436"/>
      <c r="T220" s="415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6"/>
      <c r="V220" s="416"/>
      <c r="W220" s="417"/>
      <c r="X220" s="418"/>
      <c r="Y220" s="419" t="str">
        <f t="shared" ca="1" si="17"/>
        <v/>
      </c>
      <c r="Z220" s="420" t="str">
        <f t="shared" ca="1" si="18"/>
        <v/>
      </c>
      <c r="AA220" s="419" t="str">
        <f t="shared" ca="1" si="19"/>
        <v/>
      </c>
      <c r="AB220" s="421" t="str">
        <f t="shared" ca="1" si="20"/>
        <v/>
      </c>
      <c r="AC220" s="420" t="str">
        <f t="shared" ca="1" si="21"/>
        <v/>
      </c>
      <c r="AD220" s="221"/>
    </row>
    <row r="221" spans="1:30" customFormat="1" ht="15">
      <c r="A221" s="221"/>
      <c r="B221" s="269">
        <v>183</v>
      </c>
      <c r="C221" s="247"/>
      <c r="D221" s="248"/>
      <c r="E221" s="240"/>
      <c r="F221" s="226"/>
      <c r="G221" s="232"/>
      <c r="H221" s="379">
        <v>207</v>
      </c>
      <c r="I221" s="397"/>
      <c r="J221" s="397"/>
      <c r="K221" s="406"/>
      <c r="L221" s="406"/>
      <c r="M221" s="406"/>
      <c r="N221" s="406"/>
      <c r="O221" s="406"/>
      <c r="P221" s="406"/>
      <c r="Q221" s="406"/>
      <c r="R221" s="444"/>
      <c r="S221" s="436"/>
      <c r="T221" s="415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6"/>
      <c r="V221" s="416"/>
      <c r="W221" s="417"/>
      <c r="X221" s="418"/>
      <c r="Y221" s="419" t="str">
        <f t="shared" ca="1" si="17"/>
        <v/>
      </c>
      <c r="Z221" s="420" t="str">
        <f t="shared" ca="1" si="18"/>
        <v/>
      </c>
      <c r="AA221" s="419" t="str">
        <f t="shared" ca="1" si="19"/>
        <v/>
      </c>
      <c r="AB221" s="421" t="str">
        <f t="shared" ca="1" si="20"/>
        <v/>
      </c>
      <c r="AC221" s="420" t="str">
        <f t="shared" ca="1" si="21"/>
        <v/>
      </c>
      <c r="AD221" s="221"/>
    </row>
    <row r="222" spans="1:30" customFormat="1" ht="15">
      <c r="A222" s="221"/>
      <c r="B222" s="269">
        <v>184</v>
      </c>
      <c r="C222" s="247"/>
      <c r="D222" s="248"/>
      <c r="E222" s="240"/>
      <c r="F222" s="226"/>
      <c r="G222" s="232"/>
      <c r="H222" s="379">
        <v>208</v>
      </c>
      <c r="I222" s="397"/>
      <c r="J222" s="397"/>
      <c r="K222" s="406"/>
      <c r="L222" s="406"/>
      <c r="M222" s="406"/>
      <c r="N222" s="406"/>
      <c r="O222" s="406"/>
      <c r="P222" s="406"/>
      <c r="Q222" s="406"/>
      <c r="R222" s="444"/>
      <c r="S222" s="436"/>
      <c r="T222" s="415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6"/>
      <c r="V222" s="416"/>
      <c r="W222" s="417"/>
      <c r="X222" s="418"/>
      <c r="Y222" s="419" t="str">
        <f t="shared" ca="1" si="17"/>
        <v/>
      </c>
      <c r="Z222" s="420" t="str">
        <f t="shared" ca="1" si="18"/>
        <v/>
      </c>
      <c r="AA222" s="419" t="str">
        <f t="shared" ca="1" si="19"/>
        <v/>
      </c>
      <c r="AB222" s="421" t="str">
        <f t="shared" ca="1" si="20"/>
        <v/>
      </c>
      <c r="AC222" s="420" t="str">
        <f t="shared" ca="1" si="21"/>
        <v/>
      </c>
      <c r="AD222" s="221"/>
    </row>
    <row r="223" spans="1:30" customFormat="1" ht="15">
      <c r="A223" s="221"/>
      <c r="B223" s="269">
        <v>185</v>
      </c>
      <c r="C223" s="247"/>
      <c r="D223" s="248"/>
      <c r="E223" s="240"/>
      <c r="F223" s="226"/>
      <c r="G223" s="232"/>
      <c r="H223" s="379">
        <v>209</v>
      </c>
      <c r="I223" s="397"/>
      <c r="J223" s="397"/>
      <c r="K223" s="406"/>
      <c r="L223" s="406"/>
      <c r="M223" s="406"/>
      <c r="N223" s="406"/>
      <c r="O223" s="406"/>
      <c r="P223" s="406"/>
      <c r="Q223" s="406"/>
      <c r="R223" s="444"/>
      <c r="S223" s="436"/>
      <c r="T223" s="415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6"/>
      <c r="V223" s="416"/>
      <c r="W223" s="417"/>
      <c r="X223" s="418"/>
      <c r="Y223" s="419" t="str">
        <f t="shared" ca="1" si="17"/>
        <v/>
      </c>
      <c r="Z223" s="420" t="str">
        <f t="shared" ca="1" si="18"/>
        <v/>
      </c>
      <c r="AA223" s="419" t="str">
        <f t="shared" ca="1" si="19"/>
        <v/>
      </c>
      <c r="AB223" s="421" t="str">
        <f t="shared" ca="1" si="20"/>
        <v/>
      </c>
      <c r="AC223" s="420" t="str">
        <f t="shared" ca="1" si="21"/>
        <v/>
      </c>
      <c r="AD223" s="221"/>
    </row>
    <row r="224" spans="1:30" customFormat="1" ht="15">
      <c r="A224" s="221"/>
      <c r="B224" s="269">
        <v>186</v>
      </c>
      <c r="C224" s="247"/>
      <c r="D224" s="248"/>
      <c r="E224" s="240"/>
      <c r="F224" s="226"/>
      <c r="G224" s="232"/>
      <c r="H224" s="379">
        <v>210</v>
      </c>
      <c r="I224" s="397"/>
      <c r="J224" s="397"/>
      <c r="K224" s="406"/>
      <c r="L224" s="406"/>
      <c r="M224" s="406"/>
      <c r="N224" s="406"/>
      <c r="O224" s="406"/>
      <c r="P224" s="406"/>
      <c r="Q224" s="406"/>
      <c r="R224" s="444"/>
      <c r="S224" s="436"/>
      <c r="T224" s="415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6"/>
      <c r="V224" s="416"/>
      <c r="W224" s="417"/>
      <c r="X224" s="418"/>
      <c r="Y224" s="419" t="str">
        <f t="shared" ca="1" si="17"/>
        <v/>
      </c>
      <c r="Z224" s="420" t="str">
        <f t="shared" ca="1" si="18"/>
        <v/>
      </c>
      <c r="AA224" s="419" t="str">
        <f t="shared" ca="1" si="19"/>
        <v/>
      </c>
      <c r="AB224" s="421" t="str">
        <f t="shared" ca="1" si="20"/>
        <v/>
      </c>
      <c r="AC224" s="420" t="str">
        <f t="shared" ca="1" si="21"/>
        <v/>
      </c>
      <c r="AD224" s="221"/>
    </row>
    <row r="225" spans="1:30" customFormat="1" ht="15">
      <c r="A225" s="221"/>
      <c r="B225" s="269">
        <v>187</v>
      </c>
      <c r="C225" s="247"/>
      <c r="D225" s="248"/>
      <c r="E225" s="240"/>
      <c r="F225" s="226"/>
      <c r="G225" s="232"/>
      <c r="H225" s="379">
        <v>211</v>
      </c>
      <c r="I225" s="397"/>
      <c r="J225" s="397"/>
      <c r="K225" s="406"/>
      <c r="L225" s="406"/>
      <c r="M225" s="406"/>
      <c r="N225" s="406"/>
      <c r="O225" s="406"/>
      <c r="P225" s="406"/>
      <c r="Q225" s="406"/>
      <c r="R225" s="444"/>
      <c r="S225" s="436"/>
      <c r="T225" s="415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6"/>
      <c r="V225" s="416"/>
      <c r="W225" s="417"/>
      <c r="X225" s="418"/>
      <c r="Y225" s="419" t="str">
        <f t="shared" ca="1" si="17"/>
        <v/>
      </c>
      <c r="Z225" s="420" t="str">
        <f t="shared" ca="1" si="18"/>
        <v/>
      </c>
      <c r="AA225" s="419" t="str">
        <f t="shared" ca="1" si="19"/>
        <v/>
      </c>
      <c r="AB225" s="421" t="str">
        <f t="shared" ca="1" si="20"/>
        <v/>
      </c>
      <c r="AC225" s="420" t="str">
        <f t="shared" ca="1" si="21"/>
        <v/>
      </c>
      <c r="AD225" s="221"/>
    </row>
    <row r="226" spans="1:30" customFormat="1" ht="15">
      <c r="A226" s="221"/>
      <c r="B226" s="269">
        <v>188</v>
      </c>
      <c r="C226" s="247"/>
      <c r="D226" s="248"/>
      <c r="E226" s="240"/>
      <c r="F226" s="226"/>
      <c r="G226" s="232"/>
      <c r="H226" s="379">
        <v>212</v>
      </c>
      <c r="I226" s="397"/>
      <c r="J226" s="397"/>
      <c r="K226" s="406"/>
      <c r="L226" s="406"/>
      <c r="M226" s="406"/>
      <c r="N226" s="406"/>
      <c r="O226" s="406"/>
      <c r="P226" s="406"/>
      <c r="Q226" s="406"/>
      <c r="R226" s="444"/>
      <c r="S226" s="436"/>
      <c r="T226" s="415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6"/>
      <c r="V226" s="416"/>
      <c r="W226" s="417"/>
      <c r="X226" s="418"/>
      <c r="Y226" s="419" t="str">
        <f t="shared" ca="1" si="17"/>
        <v/>
      </c>
      <c r="Z226" s="420" t="str">
        <f t="shared" ca="1" si="18"/>
        <v/>
      </c>
      <c r="AA226" s="419" t="str">
        <f t="shared" ca="1" si="19"/>
        <v/>
      </c>
      <c r="AB226" s="421" t="str">
        <f t="shared" ca="1" si="20"/>
        <v/>
      </c>
      <c r="AC226" s="420" t="str">
        <f t="shared" ca="1" si="21"/>
        <v/>
      </c>
      <c r="AD226" s="221"/>
    </row>
    <row r="227" spans="1:30" customFormat="1" ht="15">
      <c r="A227" s="221"/>
      <c r="B227" s="269">
        <v>189</v>
      </c>
      <c r="C227" s="247"/>
      <c r="D227" s="248"/>
      <c r="E227" s="240"/>
      <c r="F227" s="226"/>
      <c r="G227" s="232"/>
      <c r="H227" s="379">
        <v>213</v>
      </c>
      <c r="I227" s="397"/>
      <c r="J227" s="397"/>
      <c r="K227" s="406"/>
      <c r="L227" s="406"/>
      <c r="M227" s="406"/>
      <c r="N227" s="406"/>
      <c r="O227" s="406"/>
      <c r="P227" s="406"/>
      <c r="Q227" s="406"/>
      <c r="R227" s="444"/>
      <c r="S227" s="436"/>
      <c r="T227" s="415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6"/>
      <c r="V227" s="416"/>
      <c r="W227" s="417"/>
      <c r="X227" s="418"/>
      <c r="Y227" s="419" t="str">
        <f t="shared" ca="1" si="17"/>
        <v/>
      </c>
      <c r="Z227" s="420" t="str">
        <f t="shared" ca="1" si="18"/>
        <v/>
      </c>
      <c r="AA227" s="419" t="str">
        <f t="shared" ca="1" si="19"/>
        <v/>
      </c>
      <c r="AB227" s="421" t="str">
        <f t="shared" ca="1" si="20"/>
        <v/>
      </c>
      <c r="AC227" s="420" t="str">
        <f t="shared" ca="1" si="21"/>
        <v/>
      </c>
      <c r="AD227" s="221"/>
    </row>
    <row r="228" spans="1:30" customFormat="1" ht="15">
      <c r="A228" s="221"/>
      <c r="B228" s="269">
        <v>190</v>
      </c>
      <c r="C228" s="247"/>
      <c r="D228" s="248"/>
      <c r="E228" s="240"/>
      <c r="F228" s="226"/>
      <c r="G228" s="232"/>
      <c r="H228" s="379">
        <v>214</v>
      </c>
      <c r="I228" s="397"/>
      <c r="J228" s="397"/>
      <c r="K228" s="406"/>
      <c r="L228" s="406"/>
      <c r="M228" s="406"/>
      <c r="N228" s="406"/>
      <c r="O228" s="406"/>
      <c r="P228" s="406"/>
      <c r="Q228" s="406"/>
      <c r="R228" s="444"/>
      <c r="S228" s="436"/>
      <c r="T228" s="415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6"/>
      <c r="V228" s="416"/>
      <c r="W228" s="417"/>
      <c r="X228" s="418"/>
      <c r="Y228" s="419" t="str">
        <f t="shared" ca="1" si="17"/>
        <v/>
      </c>
      <c r="Z228" s="420" t="str">
        <f t="shared" ca="1" si="18"/>
        <v/>
      </c>
      <c r="AA228" s="419" t="str">
        <f t="shared" ca="1" si="19"/>
        <v/>
      </c>
      <c r="AB228" s="421" t="str">
        <f t="shared" ca="1" si="20"/>
        <v/>
      </c>
      <c r="AC228" s="420" t="str">
        <f t="shared" ca="1" si="21"/>
        <v/>
      </c>
      <c r="AD228" s="221"/>
    </row>
    <row r="229" spans="1:30" customFormat="1" ht="15">
      <c r="A229" s="221"/>
      <c r="B229" s="269">
        <v>191</v>
      </c>
      <c r="C229" s="247"/>
      <c r="D229" s="248"/>
      <c r="E229" s="240"/>
      <c r="F229" s="226"/>
      <c r="G229" s="232"/>
      <c r="H229" s="379">
        <v>215</v>
      </c>
      <c r="I229" s="397"/>
      <c r="J229" s="397"/>
      <c r="K229" s="406"/>
      <c r="L229" s="406"/>
      <c r="M229" s="406"/>
      <c r="N229" s="406"/>
      <c r="O229" s="406"/>
      <c r="P229" s="406"/>
      <c r="Q229" s="406"/>
      <c r="R229" s="444"/>
      <c r="S229" s="436"/>
      <c r="T229" s="415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6"/>
      <c r="V229" s="416"/>
      <c r="W229" s="417"/>
      <c r="X229" s="418"/>
      <c r="Y229" s="419" t="str">
        <f t="shared" ca="1" si="17"/>
        <v/>
      </c>
      <c r="Z229" s="420" t="str">
        <f t="shared" ca="1" si="18"/>
        <v/>
      </c>
      <c r="AA229" s="419" t="str">
        <f t="shared" ca="1" si="19"/>
        <v/>
      </c>
      <c r="AB229" s="421" t="str">
        <f t="shared" ca="1" si="20"/>
        <v/>
      </c>
      <c r="AC229" s="420" t="str">
        <f t="shared" ca="1" si="21"/>
        <v/>
      </c>
      <c r="AD229" s="221"/>
    </row>
    <row r="230" spans="1:30" customFormat="1" ht="15">
      <c r="A230" s="221"/>
      <c r="B230" s="269">
        <v>192</v>
      </c>
      <c r="C230" s="247"/>
      <c r="D230" s="248"/>
      <c r="E230" s="240"/>
      <c r="F230" s="226"/>
      <c r="G230" s="232"/>
      <c r="H230" s="379">
        <v>216</v>
      </c>
      <c r="I230" s="397"/>
      <c r="J230" s="397"/>
      <c r="K230" s="406"/>
      <c r="L230" s="406"/>
      <c r="M230" s="406"/>
      <c r="N230" s="406"/>
      <c r="O230" s="406"/>
      <c r="P230" s="406"/>
      <c r="Q230" s="406"/>
      <c r="R230" s="444"/>
      <c r="S230" s="436"/>
      <c r="T230" s="415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6"/>
      <c r="V230" s="416"/>
      <c r="W230" s="417"/>
      <c r="X230" s="418"/>
      <c r="Y230" s="419" t="str">
        <f t="shared" ca="1" si="17"/>
        <v/>
      </c>
      <c r="Z230" s="420" t="str">
        <f t="shared" ca="1" si="18"/>
        <v/>
      </c>
      <c r="AA230" s="419" t="str">
        <f t="shared" ca="1" si="19"/>
        <v/>
      </c>
      <c r="AB230" s="421" t="str">
        <f t="shared" ca="1" si="20"/>
        <v/>
      </c>
      <c r="AC230" s="420" t="str">
        <f t="shared" ca="1" si="21"/>
        <v/>
      </c>
      <c r="AD230" s="221"/>
    </row>
    <row r="231" spans="1:30" customFormat="1" ht="15">
      <c r="A231" s="221"/>
      <c r="B231" s="269">
        <v>193</v>
      </c>
      <c r="C231" s="247"/>
      <c r="D231" s="248"/>
      <c r="E231" s="240"/>
      <c r="F231" s="226"/>
      <c r="G231" s="232"/>
      <c r="H231" s="379">
        <v>217</v>
      </c>
      <c r="I231" s="397"/>
      <c r="J231" s="397"/>
      <c r="K231" s="406"/>
      <c r="L231" s="406"/>
      <c r="M231" s="406"/>
      <c r="N231" s="406"/>
      <c r="O231" s="406"/>
      <c r="P231" s="406"/>
      <c r="Q231" s="406"/>
      <c r="R231" s="444"/>
      <c r="S231" s="436"/>
      <c r="T231" s="415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6"/>
      <c r="V231" s="416"/>
      <c r="W231" s="417"/>
      <c r="X231" s="418"/>
      <c r="Y231" s="419" t="str">
        <f t="shared" ca="1" si="17"/>
        <v/>
      </c>
      <c r="Z231" s="420" t="str">
        <f t="shared" ca="1" si="18"/>
        <v/>
      </c>
      <c r="AA231" s="419" t="str">
        <f t="shared" ca="1" si="19"/>
        <v/>
      </c>
      <c r="AB231" s="421" t="str">
        <f t="shared" ca="1" si="20"/>
        <v/>
      </c>
      <c r="AC231" s="420" t="str">
        <f t="shared" ca="1" si="21"/>
        <v/>
      </c>
      <c r="AD231" s="221"/>
    </row>
    <row r="232" spans="1:30" customFormat="1" ht="15">
      <c r="A232" s="221"/>
      <c r="B232" s="269">
        <v>194</v>
      </c>
      <c r="C232" s="247"/>
      <c r="D232" s="248"/>
      <c r="E232" s="240"/>
      <c r="F232" s="226"/>
      <c r="G232" s="232"/>
      <c r="H232" s="379">
        <v>218</v>
      </c>
      <c r="I232" s="397"/>
      <c r="J232" s="397"/>
      <c r="K232" s="406"/>
      <c r="L232" s="406"/>
      <c r="M232" s="406"/>
      <c r="N232" s="406"/>
      <c r="O232" s="406"/>
      <c r="P232" s="406"/>
      <c r="Q232" s="406"/>
      <c r="R232" s="444"/>
      <c r="S232" s="436"/>
      <c r="T232" s="415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6"/>
      <c r="V232" s="416"/>
      <c r="W232" s="417"/>
      <c r="X232" s="418"/>
      <c r="Y232" s="419" t="str">
        <f t="shared" ca="1" si="17"/>
        <v/>
      </c>
      <c r="Z232" s="420" t="str">
        <f t="shared" ca="1" si="18"/>
        <v/>
      </c>
      <c r="AA232" s="419" t="str">
        <f t="shared" ca="1" si="19"/>
        <v/>
      </c>
      <c r="AB232" s="421" t="str">
        <f t="shared" ca="1" si="20"/>
        <v/>
      </c>
      <c r="AC232" s="420" t="str">
        <f t="shared" ca="1" si="21"/>
        <v/>
      </c>
      <c r="AD232" s="221"/>
    </row>
    <row r="233" spans="1:30" customFormat="1" ht="15">
      <c r="A233" s="221"/>
      <c r="B233" s="269">
        <v>195</v>
      </c>
      <c r="C233" s="247"/>
      <c r="D233" s="248"/>
      <c r="E233" s="240"/>
      <c r="F233" s="226"/>
      <c r="G233" s="232"/>
      <c r="H233" s="379">
        <v>219</v>
      </c>
      <c r="I233" s="397"/>
      <c r="J233" s="397"/>
      <c r="K233" s="406"/>
      <c r="L233" s="406"/>
      <c r="M233" s="406"/>
      <c r="N233" s="406"/>
      <c r="O233" s="406"/>
      <c r="P233" s="406"/>
      <c r="Q233" s="406"/>
      <c r="R233" s="444"/>
      <c r="S233" s="436"/>
      <c r="T233" s="415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6"/>
      <c r="V233" s="416"/>
      <c r="W233" s="417"/>
      <c r="X233" s="418"/>
      <c r="Y233" s="419" t="str">
        <f t="shared" ca="1" si="17"/>
        <v/>
      </c>
      <c r="Z233" s="420" t="str">
        <f t="shared" ca="1" si="18"/>
        <v/>
      </c>
      <c r="AA233" s="419" t="str">
        <f t="shared" ca="1" si="19"/>
        <v/>
      </c>
      <c r="AB233" s="421" t="str">
        <f t="shared" ca="1" si="20"/>
        <v/>
      </c>
      <c r="AC233" s="420" t="str">
        <f t="shared" ca="1" si="21"/>
        <v/>
      </c>
      <c r="AD233" s="221"/>
    </row>
    <row r="234" spans="1:30" customFormat="1" ht="15">
      <c r="A234" s="221"/>
      <c r="B234" s="269">
        <v>196</v>
      </c>
      <c r="C234" s="247"/>
      <c r="D234" s="248"/>
      <c r="E234" s="240"/>
      <c r="F234" s="226"/>
      <c r="G234" s="232"/>
      <c r="H234" s="379">
        <v>220</v>
      </c>
      <c r="I234" s="397"/>
      <c r="J234" s="397"/>
      <c r="K234" s="406"/>
      <c r="L234" s="406"/>
      <c r="M234" s="406"/>
      <c r="N234" s="406"/>
      <c r="O234" s="406"/>
      <c r="P234" s="406"/>
      <c r="Q234" s="406"/>
      <c r="R234" s="444"/>
      <c r="S234" s="436"/>
      <c r="T234" s="415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6"/>
      <c r="V234" s="416"/>
      <c r="W234" s="417"/>
      <c r="X234" s="418"/>
      <c r="Y234" s="419" t="str">
        <f t="shared" ca="1" si="17"/>
        <v/>
      </c>
      <c r="Z234" s="420" t="str">
        <f t="shared" ca="1" si="18"/>
        <v/>
      </c>
      <c r="AA234" s="419" t="str">
        <f t="shared" ca="1" si="19"/>
        <v/>
      </c>
      <c r="AB234" s="421" t="str">
        <f t="shared" ca="1" si="20"/>
        <v/>
      </c>
      <c r="AC234" s="420" t="str">
        <f t="shared" ca="1" si="21"/>
        <v/>
      </c>
      <c r="AD234" s="221"/>
    </row>
    <row r="235" spans="1:30" customFormat="1" ht="15">
      <c r="A235" s="221"/>
      <c r="B235" s="269">
        <v>197</v>
      </c>
      <c r="C235" s="247"/>
      <c r="D235" s="248"/>
      <c r="E235" s="240"/>
      <c r="F235" s="226"/>
      <c r="G235" s="232"/>
      <c r="H235" s="379">
        <v>221</v>
      </c>
      <c r="I235" s="397"/>
      <c r="J235" s="397"/>
      <c r="K235" s="406"/>
      <c r="L235" s="406"/>
      <c r="M235" s="406"/>
      <c r="N235" s="406"/>
      <c r="O235" s="406"/>
      <c r="P235" s="406"/>
      <c r="Q235" s="406"/>
      <c r="R235" s="444"/>
      <c r="S235" s="436"/>
      <c r="T235" s="415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6"/>
      <c r="V235" s="416"/>
      <c r="W235" s="417"/>
      <c r="X235" s="418"/>
      <c r="Y235" s="419" t="str">
        <f t="shared" ca="1" si="17"/>
        <v/>
      </c>
      <c r="Z235" s="420" t="str">
        <f t="shared" ca="1" si="18"/>
        <v/>
      </c>
      <c r="AA235" s="419" t="str">
        <f t="shared" ca="1" si="19"/>
        <v/>
      </c>
      <c r="AB235" s="421" t="str">
        <f t="shared" ca="1" si="20"/>
        <v/>
      </c>
      <c r="AC235" s="420" t="str">
        <f t="shared" ca="1" si="21"/>
        <v/>
      </c>
      <c r="AD235" s="221"/>
    </row>
    <row r="236" spans="1:30" customFormat="1" ht="15">
      <c r="A236" s="221"/>
      <c r="B236" s="269">
        <v>198</v>
      </c>
      <c r="C236" s="247"/>
      <c r="D236" s="248"/>
      <c r="E236" s="240"/>
      <c r="F236" s="226"/>
      <c r="G236" s="232"/>
      <c r="H236" s="379">
        <v>222</v>
      </c>
      <c r="I236" s="397"/>
      <c r="J236" s="397"/>
      <c r="K236" s="406"/>
      <c r="L236" s="406"/>
      <c r="M236" s="406"/>
      <c r="N236" s="406"/>
      <c r="O236" s="406"/>
      <c r="P236" s="406"/>
      <c r="Q236" s="406"/>
      <c r="R236" s="444"/>
      <c r="S236" s="436"/>
      <c r="T236" s="415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6"/>
      <c r="V236" s="416"/>
      <c r="W236" s="417"/>
      <c r="X236" s="418"/>
      <c r="Y236" s="419" t="str">
        <f t="shared" ca="1" si="17"/>
        <v/>
      </c>
      <c r="Z236" s="420" t="str">
        <f t="shared" ca="1" si="18"/>
        <v/>
      </c>
      <c r="AA236" s="419" t="str">
        <f t="shared" ca="1" si="19"/>
        <v/>
      </c>
      <c r="AB236" s="421" t="str">
        <f t="shared" ca="1" si="20"/>
        <v/>
      </c>
      <c r="AC236" s="420" t="str">
        <f t="shared" ca="1" si="21"/>
        <v/>
      </c>
      <c r="AD236" s="221"/>
    </row>
    <row r="237" spans="1:30" customFormat="1" ht="15">
      <c r="A237" s="221"/>
      <c r="B237" s="269">
        <v>199</v>
      </c>
      <c r="C237" s="247"/>
      <c r="D237" s="248"/>
      <c r="E237" s="240"/>
      <c r="F237" s="226"/>
      <c r="G237" s="232"/>
      <c r="H237" s="379">
        <v>223</v>
      </c>
      <c r="I237" s="397"/>
      <c r="J237" s="397"/>
      <c r="K237" s="406"/>
      <c r="L237" s="406"/>
      <c r="M237" s="406"/>
      <c r="N237" s="406"/>
      <c r="O237" s="406"/>
      <c r="P237" s="406"/>
      <c r="Q237" s="406"/>
      <c r="R237" s="444"/>
      <c r="S237" s="436"/>
      <c r="T237" s="415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6"/>
      <c r="V237" s="416"/>
      <c r="W237" s="417"/>
      <c r="X237" s="418"/>
      <c r="Y237" s="419" t="str">
        <f t="shared" ca="1" si="17"/>
        <v/>
      </c>
      <c r="Z237" s="420" t="str">
        <f t="shared" ca="1" si="18"/>
        <v/>
      </c>
      <c r="AA237" s="419" t="str">
        <f t="shared" ca="1" si="19"/>
        <v/>
      </c>
      <c r="AB237" s="421" t="str">
        <f t="shared" ca="1" si="20"/>
        <v/>
      </c>
      <c r="AC237" s="420" t="str">
        <f t="shared" ca="1" si="21"/>
        <v/>
      </c>
      <c r="AD237" s="221"/>
    </row>
    <row r="238" spans="1:30" customFormat="1" ht="15">
      <c r="A238" s="221"/>
      <c r="B238" s="269">
        <v>200</v>
      </c>
      <c r="C238" s="247"/>
      <c r="D238" s="248"/>
      <c r="E238" s="240"/>
      <c r="F238" s="226"/>
      <c r="G238" s="232"/>
      <c r="H238" s="379">
        <v>224</v>
      </c>
      <c r="I238" s="397"/>
      <c r="J238" s="397"/>
      <c r="K238" s="406"/>
      <c r="L238" s="406"/>
      <c r="M238" s="406"/>
      <c r="N238" s="406"/>
      <c r="O238" s="406"/>
      <c r="P238" s="406"/>
      <c r="Q238" s="406"/>
      <c r="R238" s="444"/>
      <c r="S238" s="436"/>
      <c r="T238" s="415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6"/>
      <c r="V238" s="416"/>
      <c r="W238" s="417"/>
      <c r="X238" s="418"/>
      <c r="Y238" s="419" t="str">
        <f t="shared" ca="1" si="17"/>
        <v/>
      </c>
      <c r="Z238" s="420" t="str">
        <f t="shared" ca="1" si="18"/>
        <v/>
      </c>
      <c r="AA238" s="419" t="str">
        <f t="shared" ca="1" si="19"/>
        <v/>
      </c>
      <c r="AB238" s="421" t="str">
        <f t="shared" ca="1" si="20"/>
        <v/>
      </c>
      <c r="AC238" s="420" t="str">
        <f t="shared" ca="1" si="21"/>
        <v/>
      </c>
      <c r="AD238" s="221"/>
    </row>
    <row r="239" spans="1:30" customFormat="1" ht="15">
      <c r="A239" s="221"/>
      <c r="B239" s="269">
        <v>201</v>
      </c>
      <c r="C239" s="247"/>
      <c r="D239" s="248"/>
      <c r="E239" s="240"/>
      <c r="F239" s="226"/>
      <c r="G239" s="232"/>
      <c r="H239" s="379">
        <v>225</v>
      </c>
      <c r="I239" s="397"/>
      <c r="J239" s="397"/>
      <c r="K239" s="406"/>
      <c r="L239" s="406"/>
      <c r="M239" s="406"/>
      <c r="N239" s="406"/>
      <c r="O239" s="406"/>
      <c r="P239" s="406"/>
      <c r="Q239" s="406"/>
      <c r="R239" s="444"/>
      <c r="S239" s="436"/>
      <c r="T239" s="415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6"/>
      <c r="V239" s="416"/>
      <c r="W239" s="417"/>
      <c r="X239" s="418"/>
      <c r="Y239" s="419" t="str">
        <f t="shared" ca="1" si="17"/>
        <v/>
      </c>
      <c r="Z239" s="420" t="str">
        <f t="shared" ca="1" si="18"/>
        <v/>
      </c>
      <c r="AA239" s="419" t="str">
        <f t="shared" ca="1" si="19"/>
        <v/>
      </c>
      <c r="AB239" s="421" t="str">
        <f t="shared" ca="1" si="20"/>
        <v/>
      </c>
      <c r="AC239" s="420" t="str">
        <f t="shared" ca="1" si="21"/>
        <v/>
      </c>
      <c r="AD239" s="221"/>
    </row>
    <row r="240" spans="1:30" customFormat="1" ht="15">
      <c r="A240" s="221"/>
      <c r="B240" s="269">
        <v>202</v>
      </c>
      <c r="C240" s="247"/>
      <c r="D240" s="248"/>
      <c r="E240" s="240"/>
      <c r="F240" s="226"/>
      <c r="G240" s="232"/>
      <c r="H240" s="379">
        <v>226</v>
      </c>
      <c r="I240" s="397"/>
      <c r="J240" s="397"/>
      <c r="K240" s="406"/>
      <c r="L240" s="406"/>
      <c r="M240" s="406"/>
      <c r="N240" s="406"/>
      <c r="O240" s="406"/>
      <c r="P240" s="406"/>
      <c r="Q240" s="406"/>
      <c r="R240" s="444"/>
      <c r="S240" s="436"/>
      <c r="T240" s="415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6"/>
      <c r="V240" s="416"/>
      <c r="W240" s="417"/>
      <c r="X240" s="418"/>
      <c r="Y240" s="419" t="str">
        <f t="shared" ca="1" si="17"/>
        <v/>
      </c>
      <c r="Z240" s="420" t="str">
        <f t="shared" ca="1" si="18"/>
        <v/>
      </c>
      <c r="AA240" s="419" t="str">
        <f t="shared" ca="1" si="19"/>
        <v/>
      </c>
      <c r="AB240" s="421" t="str">
        <f t="shared" ca="1" si="20"/>
        <v/>
      </c>
      <c r="AC240" s="420" t="str">
        <f t="shared" ca="1" si="21"/>
        <v/>
      </c>
      <c r="AD240" s="221"/>
    </row>
    <row r="241" spans="1:30" customFormat="1" ht="15">
      <c r="A241" s="221"/>
      <c r="B241" s="269">
        <v>203</v>
      </c>
      <c r="C241" s="247"/>
      <c r="D241" s="248"/>
      <c r="E241" s="240"/>
      <c r="F241" s="226"/>
      <c r="G241" s="232"/>
      <c r="H241" s="379">
        <v>227</v>
      </c>
      <c r="I241" s="397"/>
      <c r="J241" s="397"/>
      <c r="K241" s="406"/>
      <c r="L241" s="406"/>
      <c r="M241" s="406"/>
      <c r="N241" s="406"/>
      <c r="O241" s="406"/>
      <c r="P241" s="406"/>
      <c r="Q241" s="406"/>
      <c r="R241" s="444"/>
      <c r="S241" s="436"/>
      <c r="T241" s="415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6"/>
      <c r="V241" s="416"/>
      <c r="W241" s="417"/>
      <c r="X241" s="418"/>
      <c r="Y241" s="419" t="str">
        <f t="shared" ca="1" si="17"/>
        <v/>
      </c>
      <c r="Z241" s="420" t="str">
        <f t="shared" ca="1" si="18"/>
        <v/>
      </c>
      <c r="AA241" s="419" t="str">
        <f t="shared" ca="1" si="19"/>
        <v/>
      </c>
      <c r="AB241" s="421" t="str">
        <f t="shared" ca="1" si="20"/>
        <v/>
      </c>
      <c r="AC241" s="420" t="str">
        <f t="shared" ca="1" si="21"/>
        <v/>
      </c>
      <c r="AD241" s="221"/>
    </row>
    <row r="242" spans="1:30" customFormat="1" ht="15">
      <c r="A242" s="221"/>
      <c r="B242" s="269">
        <v>204</v>
      </c>
      <c r="C242" s="247"/>
      <c r="D242" s="248"/>
      <c r="E242" s="240"/>
      <c r="F242" s="226"/>
      <c r="G242" s="232"/>
      <c r="H242" s="379">
        <v>228</v>
      </c>
      <c r="I242" s="397"/>
      <c r="J242" s="397"/>
      <c r="K242" s="406"/>
      <c r="L242" s="406"/>
      <c r="M242" s="406"/>
      <c r="N242" s="406"/>
      <c r="O242" s="406"/>
      <c r="P242" s="406"/>
      <c r="Q242" s="406"/>
      <c r="R242" s="444"/>
      <c r="S242" s="436"/>
      <c r="T242" s="415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6"/>
      <c r="V242" s="416"/>
      <c r="W242" s="417"/>
      <c r="X242" s="418"/>
      <c r="Y242" s="419" t="str">
        <f t="shared" ca="1" si="17"/>
        <v/>
      </c>
      <c r="Z242" s="420" t="str">
        <f t="shared" ca="1" si="18"/>
        <v/>
      </c>
      <c r="AA242" s="419" t="str">
        <f t="shared" ca="1" si="19"/>
        <v/>
      </c>
      <c r="AB242" s="421" t="str">
        <f t="shared" ca="1" si="20"/>
        <v/>
      </c>
      <c r="AC242" s="420" t="str">
        <f t="shared" ca="1" si="21"/>
        <v/>
      </c>
      <c r="AD242" s="221"/>
    </row>
    <row r="243" spans="1:30" customFormat="1" ht="15">
      <c r="A243" s="221"/>
      <c r="B243" s="269">
        <v>205</v>
      </c>
      <c r="C243" s="247"/>
      <c r="D243" s="248"/>
      <c r="E243" s="240"/>
      <c r="F243" s="226"/>
      <c r="G243" s="232"/>
      <c r="H243" s="379">
        <v>229</v>
      </c>
      <c r="I243" s="397"/>
      <c r="J243" s="397"/>
      <c r="K243" s="406"/>
      <c r="L243" s="406"/>
      <c r="M243" s="406"/>
      <c r="N243" s="406"/>
      <c r="O243" s="406"/>
      <c r="P243" s="406"/>
      <c r="Q243" s="406"/>
      <c r="R243" s="444"/>
      <c r="S243" s="436"/>
      <c r="T243" s="415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6"/>
      <c r="V243" s="416"/>
      <c r="W243" s="417"/>
      <c r="X243" s="418"/>
      <c r="Y243" s="419" t="str">
        <f t="shared" ca="1" si="17"/>
        <v/>
      </c>
      <c r="Z243" s="420" t="str">
        <f t="shared" ca="1" si="18"/>
        <v/>
      </c>
      <c r="AA243" s="419" t="str">
        <f t="shared" ca="1" si="19"/>
        <v/>
      </c>
      <c r="AB243" s="421" t="str">
        <f t="shared" ca="1" si="20"/>
        <v/>
      </c>
      <c r="AC243" s="420" t="str">
        <f t="shared" ca="1" si="21"/>
        <v/>
      </c>
      <c r="AD243" s="221"/>
    </row>
    <row r="244" spans="1:30" customFormat="1" ht="15">
      <c r="A244" s="221"/>
      <c r="B244" s="269">
        <v>206</v>
      </c>
      <c r="C244" s="247"/>
      <c r="D244" s="248"/>
      <c r="E244" s="240"/>
      <c r="F244" s="226"/>
      <c r="G244" s="232"/>
      <c r="H244" s="379">
        <v>230</v>
      </c>
      <c r="I244" s="397"/>
      <c r="J244" s="397"/>
      <c r="K244" s="406"/>
      <c r="L244" s="406"/>
      <c r="M244" s="406"/>
      <c r="N244" s="406"/>
      <c r="O244" s="406"/>
      <c r="P244" s="406"/>
      <c r="Q244" s="406"/>
      <c r="R244" s="444"/>
      <c r="S244" s="436"/>
      <c r="T244" s="415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6"/>
      <c r="V244" s="416"/>
      <c r="W244" s="417"/>
      <c r="X244" s="418"/>
      <c r="Y244" s="419" t="str">
        <f t="shared" ca="1" si="17"/>
        <v/>
      </c>
      <c r="Z244" s="420" t="str">
        <f t="shared" ca="1" si="18"/>
        <v/>
      </c>
      <c r="AA244" s="419" t="str">
        <f t="shared" ca="1" si="19"/>
        <v/>
      </c>
      <c r="AB244" s="421" t="str">
        <f t="shared" ca="1" si="20"/>
        <v/>
      </c>
      <c r="AC244" s="420" t="str">
        <f t="shared" ca="1" si="21"/>
        <v/>
      </c>
      <c r="AD244" s="221"/>
    </row>
    <row r="245" spans="1:30" customFormat="1" ht="15">
      <c r="A245" s="221"/>
      <c r="B245" s="269">
        <v>207</v>
      </c>
      <c r="C245" s="247"/>
      <c r="D245" s="248"/>
      <c r="E245" s="240"/>
      <c r="F245" s="226"/>
      <c r="G245" s="232"/>
      <c r="H245" s="379">
        <v>231</v>
      </c>
      <c r="I245" s="397"/>
      <c r="J245" s="397"/>
      <c r="K245" s="406"/>
      <c r="L245" s="406"/>
      <c r="M245" s="406"/>
      <c r="N245" s="406"/>
      <c r="O245" s="406"/>
      <c r="P245" s="406"/>
      <c r="Q245" s="406"/>
      <c r="R245" s="444"/>
      <c r="S245" s="436"/>
      <c r="T245" s="415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6"/>
      <c r="V245" s="416"/>
      <c r="W245" s="417"/>
      <c r="X245" s="418"/>
      <c r="Y245" s="419" t="str">
        <f t="shared" ca="1" si="17"/>
        <v/>
      </c>
      <c r="Z245" s="420" t="str">
        <f t="shared" ca="1" si="18"/>
        <v/>
      </c>
      <c r="AA245" s="419" t="str">
        <f t="shared" ca="1" si="19"/>
        <v/>
      </c>
      <c r="AB245" s="421" t="str">
        <f t="shared" ca="1" si="20"/>
        <v/>
      </c>
      <c r="AC245" s="420" t="str">
        <f t="shared" ca="1" si="21"/>
        <v/>
      </c>
      <c r="AD245" s="221"/>
    </row>
    <row r="246" spans="1:30" customFormat="1" ht="15">
      <c r="A246" s="221"/>
      <c r="B246" s="269">
        <v>208</v>
      </c>
      <c r="C246" s="247"/>
      <c r="D246" s="248"/>
      <c r="E246" s="240"/>
      <c r="F246" s="226"/>
      <c r="G246" s="232"/>
      <c r="H246" s="379">
        <v>232</v>
      </c>
      <c r="I246" s="397"/>
      <c r="J246" s="397"/>
      <c r="K246" s="406"/>
      <c r="L246" s="406"/>
      <c r="M246" s="406"/>
      <c r="N246" s="406"/>
      <c r="O246" s="406"/>
      <c r="P246" s="406"/>
      <c r="Q246" s="406"/>
      <c r="R246" s="444"/>
      <c r="S246" s="436"/>
      <c r="T246" s="415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6"/>
      <c r="V246" s="416"/>
      <c r="W246" s="417"/>
      <c r="X246" s="418"/>
      <c r="Y246" s="419" t="str">
        <f t="shared" ca="1" si="17"/>
        <v/>
      </c>
      <c r="Z246" s="420" t="str">
        <f t="shared" ca="1" si="18"/>
        <v/>
      </c>
      <c r="AA246" s="419" t="str">
        <f t="shared" ca="1" si="19"/>
        <v/>
      </c>
      <c r="AB246" s="421" t="str">
        <f t="shared" ca="1" si="20"/>
        <v/>
      </c>
      <c r="AC246" s="420" t="str">
        <f t="shared" ca="1" si="21"/>
        <v/>
      </c>
      <c r="AD246" s="221"/>
    </row>
    <row r="247" spans="1:30" customFormat="1" ht="15">
      <c r="A247" s="221"/>
      <c r="B247" s="269">
        <v>209</v>
      </c>
      <c r="C247" s="247"/>
      <c r="D247" s="248"/>
      <c r="E247" s="240"/>
      <c r="F247" s="226"/>
      <c r="G247" s="232"/>
      <c r="H247" s="379">
        <v>233</v>
      </c>
      <c r="I247" s="397"/>
      <c r="J247" s="397"/>
      <c r="K247" s="406"/>
      <c r="L247" s="406"/>
      <c r="M247" s="406"/>
      <c r="N247" s="406"/>
      <c r="O247" s="406"/>
      <c r="P247" s="406"/>
      <c r="Q247" s="406"/>
      <c r="R247" s="444"/>
      <c r="S247" s="436"/>
      <c r="T247" s="415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6"/>
      <c r="V247" s="416"/>
      <c r="W247" s="417"/>
      <c r="X247" s="418"/>
      <c r="Y247" s="419" t="str">
        <f t="shared" ca="1" si="17"/>
        <v/>
      </c>
      <c r="Z247" s="420" t="str">
        <f t="shared" ca="1" si="18"/>
        <v/>
      </c>
      <c r="AA247" s="419" t="str">
        <f t="shared" ca="1" si="19"/>
        <v/>
      </c>
      <c r="AB247" s="421" t="str">
        <f t="shared" ca="1" si="20"/>
        <v/>
      </c>
      <c r="AC247" s="420" t="str">
        <f t="shared" ca="1" si="21"/>
        <v/>
      </c>
      <c r="AD247" s="221"/>
    </row>
    <row r="248" spans="1:30" customFormat="1" ht="15">
      <c r="A248" s="221"/>
      <c r="B248" s="269">
        <v>210</v>
      </c>
      <c r="C248" s="247"/>
      <c r="D248" s="248"/>
      <c r="E248" s="240"/>
      <c r="F248" s="226"/>
      <c r="G248" s="232"/>
      <c r="H248" s="379">
        <v>234</v>
      </c>
      <c r="I248" s="397"/>
      <c r="J248" s="397"/>
      <c r="K248" s="406"/>
      <c r="L248" s="406"/>
      <c r="M248" s="406"/>
      <c r="N248" s="406"/>
      <c r="O248" s="406"/>
      <c r="P248" s="406"/>
      <c r="Q248" s="406"/>
      <c r="R248" s="444"/>
      <c r="S248" s="436"/>
      <c r="T248" s="415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6"/>
      <c r="V248" s="416"/>
      <c r="W248" s="417"/>
      <c r="X248" s="418"/>
      <c r="Y248" s="419" t="str">
        <f t="shared" ca="1" si="17"/>
        <v/>
      </c>
      <c r="Z248" s="420" t="str">
        <f t="shared" ca="1" si="18"/>
        <v/>
      </c>
      <c r="AA248" s="419" t="str">
        <f t="shared" ca="1" si="19"/>
        <v/>
      </c>
      <c r="AB248" s="421" t="str">
        <f t="shared" ca="1" si="20"/>
        <v/>
      </c>
      <c r="AC248" s="420" t="str">
        <f t="shared" ca="1" si="21"/>
        <v/>
      </c>
      <c r="AD248" s="221"/>
    </row>
    <row r="249" spans="1:30" customFormat="1" ht="15">
      <c r="A249" s="221"/>
      <c r="B249" s="269">
        <v>211</v>
      </c>
      <c r="C249" s="247"/>
      <c r="D249" s="248"/>
      <c r="E249" s="240"/>
      <c r="F249" s="226"/>
      <c r="G249" s="232"/>
      <c r="H249" s="379">
        <v>235</v>
      </c>
      <c r="I249" s="397"/>
      <c r="J249" s="397"/>
      <c r="K249" s="406"/>
      <c r="L249" s="406"/>
      <c r="M249" s="406"/>
      <c r="N249" s="406"/>
      <c r="O249" s="406"/>
      <c r="P249" s="406"/>
      <c r="Q249" s="406"/>
      <c r="R249" s="444"/>
      <c r="S249" s="436"/>
      <c r="T249" s="415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6"/>
      <c r="V249" s="416"/>
      <c r="W249" s="417"/>
      <c r="X249" s="418"/>
      <c r="Y249" s="419" t="str">
        <f t="shared" ca="1" si="17"/>
        <v/>
      </c>
      <c r="Z249" s="420" t="str">
        <f t="shared" ca="1" si="18"/>
        <v/>
      </c>
      <c r="AA249" s="419" t="str">
        <f t="shared" ca="1" si="19"/>
        <v/>
      </c>
      <c r="AB249" s="421" t="str">
        <f t="shared" ca="1" si="20"/>
        <v/>
      </c>
      <c r="AC249" s="420" t="str">
        <f t="shared" ca="1" si="21"/>
        <v/>
      </c>
      <c r="AD249" s="221"/>
    </row>
    <row r="250" spans="1:30" customFormat="1" ht="15">
      <c r="A250" s="221"/>
      <c r="B250" s="269">
        <v>212</v>
      </c>
      <c r="C250" s="247"/>
      <c r="D250" s="248"/>
      <c r="E250" s="240"/>
      <c r="F250" s="226"/>
      <c r="G250" s="232"/>
      <c r="H250" s="379">
        <v>236</v>
      </c>
      <c r="I250" s="397"/>
      <c r="J250" s="397"/>
      <c r="K250" s="406"/>
      <c r="L250" s="406"/>
      <c r="M250" s="406"/>
      <c r="N250" s="406"/>
      <c r="O250" s="406"/>
      <c r="P250" s="406"/>
      <c r="Q250" s="406"/>
      <c r="R250" s="444"/>
      <c r="S250" s="436"/>
      <c r="T250" s="415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6"/>
      <c r="V250" s="416"/>
      <c r="W250" s="417"/>
      <c r="X250" s="418"/>
      <c r="Y250" s="419" t="str">
        <f t="shared" ca="1" si="17"/>
        <v/>
      </c>
      <c r="Z250" s="420" t="str">
        <f t="shared" ca="1" si="18"/>
        <v/>
      </c>
      <c r="AA250" s="419" t="str">
        <f t="shared" ca="1" si="19"/>
        <v/>
      </c>
      <c r="AB250" s="421" t="str">
        <f t="shared" ca="1" si="20"/>
        <v/>
      </c>
      <c r="AC250" s="420" t="str">
        <f t="shared" ca="1" si="21"/>
        <v/>
      </c>
      <c r="AD250" s="221"/>
    </row>
    <row r="251" spans="1:30" customFormat="1" ht="15">
      <c r="A251" s="221"/>
      <c r="B251" s="269">
        <v>213</v>
      </c>
      <c r="C251" s="247"/>
      <c r="D251" s="248"/>
      <c r="E251" s="240"/>
      <c r="F251" s="226"/>
      <c r="G251" s="232"/>
      <c r="H251" s="379">
        <v>237</v>
      </c>
      <c r="I251" s="397"/>
      <c r="J251" s="397"/>
      <c r="K251" s="406"/>
      <c r="L251" s="406"/>
      <c r="M251" s="406"/>
      <c r="N251" s="406"/>
      <c r="O251" s="406"/>
      <c r="P251" s="406"/>
      <c r="Q251" s="406"/>
      <c r="R251" s="444"/>
      <c r="S251" s="436"/>
      <c r="T251" s="415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6"/>
      <c r="V251" s="416"/>
      <c r="W251" s="417"/>
      <c r="X251" s="418"/>
      <c r="Y251" s="419" t="str">
        <f t="shared" ca="1" si="17"/>
        <v/>
      </c>
      <c r="Z251" s="420" t="str">
        <f t="shared" ca="1" si="18"/>
        <v/>
      </c>
      <c r="AA251" s="419" t="str">
        <f t="shared" ca="1" si="19"/>
        <v/>
      </c>
      <c r="AB251" s="421" t="str">
        <f t="shared" ca="1" si="20"/>
        <v/>
      </c>
      <c r="AC251" s="420" t="str">
        <f t="shared" ca="1" si="21"/>
        <v/>
      </c>
      <c r="AD251" s="221"/>
    </row>
    <row r="252" spans="1:30" customFormat="1" ht="15">
      <c r="A252" s="221"/>
      <c r="B252" s="269">
        <v>214</v>
      </c>
      <c r="C252" s="247"/>
      <c r="D252" s="248"/>
      <c r="E252" s="240"/>
      <c r="F252" s="226"/>
      <c r="G252" s="232"/>
      <c r="H252" s="379">
        <v>238</v>
      </c>
      <c r="I252" s="397"/>
      <c r="J252" s="397"/>
      <c r="K252" s="406"/>
      <c r="L252" s="406"/>
      <c r="M252" s="406"/>
      <c r="N252" s="406"/>
      <c r="O252" s="406"/>
      <c r="P252" s="406"/>
      <c r="Q252" s="406"/>
      <c r="R252" s="444"/>
      <c r="S252" s="436"/>
      <c r="T252" s="415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6"/>
      <c r="V252" s="416"/>
      <c r="W252" s="417"/>
      <c r="X252" s="418"/>
      <c r="Y252" s="419" t="str">
        <f t="shared" ca="1" si="17"/>
        <v/>
      </c>
      <c r="Z252" s="420" t="str">
        <f t="shared" ca="1" si="18"/>
        <v/>
      </c>
      <c r="AA252" s="419" t="str">
        <f t="shared" ca="1" si="19"/>
        <v/>
      </c>
      <c r="AB252" s="421" t="str">
        <f t="shared" ca="1" si="20"/>
        <v/>
      </c>
      <c r="AC252" s="420" t="str">
        <f t="shared" ca="1" si="21"/>
        <v/>
      </c>
      <c r="AD252" s="221"/>
    </row>
    <row r="253" spans="1:30" customFormat="1" ht="15">
      <c r="A253" s="221"/>
      <c r="B253" s="269">
        <v>215</v>
      </c>
      <c r="C253" s="247"/>
      <c r="D253" s="248"/>
      <c r="E253" s="240"/>
      <c r="F253" s="226"/>
      <c r="G253" s="232"/>
      <c r="H253" s="379">
        <v>239</v>
      </c>
      <c r="I253" s="397"/>
      <c r="J253" s="397"/>
      <c r="K253" s="406"/>
      <c r="L253" s="406"/>
      <c r="M253" s="406"/>
      <c r="N253" s="406"/>
      <c r="O253" s="406"/>
      <c r="P253" s="406"/>
      <c r="Q253" s="406"/>
      <c r="R253" s="444"/>
      <c r="S253" s="436"/>
      <c r="T253" s="415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6"/>
      <c r="V253" s="416"/>
      <c r="W253" s="417"/>
      <c r="X253" s="418"/>
      <c r="Y253" s="419" t="str">
        <f t="shared" ca="1" si="17"/>
        <v/>
      </c>
      <c r="Z253" s="420" t="str">
        <f t="shared" ca="1" si="18"/>
        <v/>
      </c>
      <c r="AA253" s="419" t="str">
        <f t="shared" ca="1" si="19"/>
        <v/>
      </c>
      <c r="AB253" s="421" t="str">
        <f t="shared" ca="1" si="20"/>
        <v/>
      </c>
      <c r="AC253" s="420" t="str">
        <f t="shared" ca="1" si="21"/>
        <v/>
      </c>
      <c r="AD253" s="221"/>
    </row>
    <row r="254" spans="1:30" customFormat="1" ht="15">
      <c r="A254" s="221"/>
      <c r="B254" s="269">
        <v>216</v>
      </c>
      <c r="C254" s="247"/>
      <c r="D254" s="248"/>
      <c r="E254" s="240"/>
      <c r="F254" s="226"/>
      <c r="G254" s="232"/>
      <c r="H254" s="379">
        <v>240</v>
      </c>
      <c r="I254" s="397"/>
      <c r="J254" s="397"/>
      <c r="K254" s="406"/>
      <c r="L254" s="406"/>
      <c r="M254" s="406"/>
      <c r="N254" s="406"/>
      <c r="O254" s="406"/>
      <c r="P254" s="406"/>
      <c r="Q254" s="406"/>
      <c r="R254" s="444"/>
      <c r="S254" s="436"/>
      <c r="T254" s="415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6"/>
      <c r="V254" s="416"/>
      <c r="W254" s="417"/>
      <c r="X254" s="418"/>
      <c r="Y254" s="419" t="str">
        <f t="shared" ca="1" si="17"/>
        <v/>
      </c>
      <c r="Z254" s="420" t="str">
        <f t="shared" ca="1" si="18"/>
        <v/>
      </c>
      <c r="AA254" s="419" t="str">
        <f t="shared" ca="1" si="19"/>
        <v/>
      </c>
      <c r="AB254" s="421" t="str">
        <f t="shared" ca="1" si="20"/>
        <v/>
      </c>
      <c r="AC254" s="420" t="str">
        <f t="shared" ca="1" si="21"/>
        <v/>
      </c>
      <c r="AD254" s="221"/>
    </row>
    <row r="255" spans="1:30" customFormat="1" ht="15">
      <c r="A255" s="221"/>
      <c r="B255" s="269">
        <v>217</v>
      </c>
      <c r="C255" s="247"/>
      <c r="D255" s="248"/>
      <c r="E255" s="240"/>
      <c r="F255" s="226"/>
      <c r="G255" s="232"/>
      <c r="H255" s="379">
        <v>241</v>
      </c>
      <c r="I255" s="397"/>
      <c r="J255" s="397"/>
      <c r="K255" s="406"/>
      <c r="L255" s="406"/>
      <c r="M255" s="406"/>
      <c r="N255" s="406"/>
      <c r="O255" s="406"/>
      <c r="P255" s="406"/>
      <c r="Q255" s="406"/>
      <c r="R255" s="444"/>
      <c r="S255" s="436"/>
      <c r="T255" s="415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6"/>
      <c r="V255" s="416"/>
      <c r="W255" s="417"/>
      <c r="X255" s="418"/>
      <c r="Y255" s="419" t="str">
        <f t="shared" ca="1" si="17"/>
        <v/>
      </c>
      <c r="Z255" s="420" t="str">
        <f t="shared" ca="1" si="18"/>
        <v/>
      </c>
      <c r="AA255" s="419" t="str">
        <f t="shared" ca="1" si="19"/>
        <v/>
      </c>
      <c r="AB255" s="421" t="str">
        <f t="shared" ca="1" si="20"/>
        <v/>
      </c>
      <c r="AC255" s="420" t="str">
        <f t="shared" ca="1" si="21"/>
        <v/>
      </c>
      <c r="AD255" s="221"/>
    </row>
    <row r="256" spans="1:30" customFormat="1" ht="15">
      <c r="A256" s="221"/>
      <c r="B256" s="269">
        <v>218</v>
      </c>
      <c r="C256" s="247"/>
      <c r="D256" s="248"/>
      <c r="E256" s="240"/>
      <c r="F256" s="226"/>
      <c r="G256" s="232"/>
      <c r="H256" s="379">
        <v>242</v>
      </c>
      <c r="I256" s="397"/>
      <c r="J256" s="397"/>
      <c r="K256" s="406"/>
      <c r="L256" s="406"/>
      <c r="M256" s="406"/>
      <c r="N256" s="406"/>
      <c r="O256" s="406"/>
      <c r="P256" s="406"/>
      <c r="Q256" s="406"/>
      <c r="R256" s="444"/>
      <c r="S256" s="436"/>
      <c r="T256" s="415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6"/>
      <c r="V256" s="416"/>
      <c r="W256" s="417"/>
      <c r="X256" s="418"/>
      <c r="Y256" s="419" t="str">
        <f t="shared" ca="1" si="17"/>
        <v/>
      </c>
      <c r="Z256" s="420" t="str">
        <f t="shared" ca="1" si="18"/>
        <v/>
      </c>
      <c r="AA256" s="419" t="str">
        <f t="shared" ca="1" si="19"/>
        <v/>
      </c>
      <c r="AB256" s="421" t="str">
        <f t="shared" ca="1" si="20"/>
        <v/>
      </c>
      <c r="AC256" s="420" t="str">
        <f t="shared" ca="1" si="21"/>
        <v/>
      </c>
      <c r="AD256" s="221"/>
    </row>
    <row r="257" spans="1:30" customFormat="1" ht="15">
      <c r="A257" s="221"/>
      <c r="B257" s="269">
        <v>219</v>
      </c>
      <c r="C257" s="247"/>
      <c r="D257" s="248"/>
      <c r="E257" s="240"/>
      <c r="F257" s="226"/>
      <c r="G257" s="232"/>
      <c r="H257" s="379">
        <v>243</v>
      </c>
      <c r="I257" s="397"/>
      <c r="J257" s="397"/>
      <c r="K257" s="406"/>
      <c r="L257" s="406"/>
      <c r="M257" s="406"/>
      <c r="N257" s="406"/>
      <c r="O257" s="406"/>
      <c r="P257" s="406"/>
      <c r="Q257" s="406"/>
      <c r="R257" s="444"/>
      <c r="S257" s="436"/>
      <c r="T257" s="415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6"/>
      <c r="V257" s="416"/>
      <c r="W257" s="417"/>
      <c r="X257" s="418"/>
      <c r="Y257" s="419" t="str">
        <f t="shared" ca="1" si="17"/>
        <v/>
      </c>
      <c r="Z257" s="420" t="str">
        <f t="shared" ca="1" si="18"/>
        <v/>
      </c>
      <c r="AA257" s="419" t="str">
        <f t="shared" ca="1" si="19"/>
        <v/>
      </c>
      <c r="AB257" s="421" t="str">
        <f t="shared" ca="1" si="20"/>
        <v/>
      </c>
      <c r="AC257" s="420" t="str">
        <f t="shared" ca="1" si="21"/>
        <v/>
      </c>
      <c r="AD257" s="221"/>
    </row>
    <row r="258" spans="1:30" customFormat="1" ht="15">
      <c r="A258" s="221"/>
      <c r="B258" s="269">
        <v>220</v>
      </c>
      <c r="C258" s="247"/>
      <c r="D258" s="248"/>
      <c r="E258" s="240"/>
      <c r="F258" s="226"/>
      <c r="G258" s="232"/>
      <c r="H258" s="379">
        <v>244</v>
      </c>
      <c r="I258" s="397"/>
      <c r="J258" s="397"/>
      <c r="K258" s="406"/>
      <c r="L258" s="406"/>
      <c r="M258" s="406"/>
      <c r="N258" s="406"/>
      <c r="O258" s="406"/>
      <c r="P258" s="406"/>
      <c r="Q258" s="406"/>
      <c r="R258" s="444"/>
      <c r="S258" s="436"/>
      <c r="T258" s="415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6"/>
      <c r="V258" s="416"/>
      <c r="W258" s="417"/>
      <c r="X258" s="418"/>
      <c r="Y258" s="419" t="str">
        <f t="shared" ca="1" si="17"/>
        <v/>
      </c>
      <c r="Z258" s="420" t="str">
        <f t="shared" ca="1" si="18"/>
        <v/>
      </c>
      <c r="AA258" s="419" t="str">
        <f t="shared" ca="1" si="19"/>
        <v/>
      </c>
      <c r="AB258" s="421" t="str">
        <f t="shared" ca="1" si="20"/>
        <v/>
      </c>
      <c r="AC258" s="420" t="str">
        <f t="shared" ca="1" si="21"/>
        <v/>
      </c>
      <c r="AD258" s="221"/>
    </row>
    <row r="259" spans="1:30" customFormat="1" ht="15">
      <c r="A259" s="221"/>
      <c r="B259" s="269">
        <v>221</v>
      </c>
      <c r="C259" s="247"/>
      <c r="D259" s="248"/>
      <c r="E259" s="240"/>
      <c r="F259" s="226"/>
      <c r="G259" s="232"/>
      <c r="H259" s="379">
        <v>245</v>
      </c>
      <c r="I259" s="397"/>
      <c r="J259" s="397"/>
      <c r="K259" s="406"/>
      <c r="L259" s="406"/>
      <c r="M259" s="406"/>
      <c r="N259" s="406"/>
      <c r="O259" s="406"/>
      <c r="P259" s="406"/>
      <c r="Q259" s="406"/>
      <c r="R259" s="444"/>
      <c r="S259" s="436"/>
      <c r="T259" s="415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6"/>
      <c r="V259" s="416"/>
      <c r="W259" s="417"/>
      <c r="X259" s="418"/>
      <c r="Y259" s="419" t="str">
        <f t="shared" ca="1" si="17"/>
        <v/>
      </c>
      <c r="Z259" s="420" t="str">
        <f t="shared" ca="1" si="18"/>
        <v/>
      </c>
      <c r="AA259" s="419" t="str">
        <f t="shared" ca="1" si="19"/>
        <v/>
      </c>
      <c r="AB259" s="421" t="str">
        <f t="shared" ca="1" si="20"/>
        <v/>
      </c>
      <c r="AC259" s="420" t="str">
        <f t="shared" ca="1" si="21"/>
        <v/>
      </c>
      <c r="AD259" s="221"/>
    </row>
    <row r="260" spans="1:30" customFormat="1" ht="15">
      <c r="A260" s="221"/>
      <c r="B260" s="269">
        <v>222</v>
      </c>
      <c r="C260" s="247"/>
      <c r="D260" s="248"/>
      <c r="E260" s="240"/>
      <c r="F260" s="226"/>
      <c r="G260" s="232"/>
      <c r="H260" s="379">
        <v>246</v>
      </c>
      <c r="I260" s="397"/>
      <c r="J260" s="397"/>
      <c r="K260" s="406"/>
      <c r="L260" s="406"/>
      <c r="M260" s="406"/>
      <c r="N260" s="406"/>
      <c r="O260" s="406"/>
      <c r="P260" s="406"/>
      <c r="Q260" s="406"/>
      <c r="R260" s="444"/>
      <c r="S260" s="436"/>
      <c r="T260" s="415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6"/>
      <c r="V260" s="416"/>
      <c r="W260" s="417"/>
      <c r="X260" s="418"/>
      <c r="Y260" s="419" t="str">
        <f t="shared" ca="1" si="17"/>
        <v/>
      </c>
      <c r="Z260" s="420" t="str">
        <f t="shared" ca="1" si="18"/>
        <v/>
      </c>
      <c r="AA260" s="419" t="str">
        <f t="shared" ca="1" si="19"/>
        <v/>
      </c>
      <c r="AB260" s="421" t="str">
        <f t="shared" ca="1" si="20"/>
        <v/>
      </c>
      <c r="AC260" s="420" t="str">
        <f t="shared" ca="1" si="21"/>
        <v/>
      </c>
      <c r="AD260" s="221"/>
    </row>
    <row r="261" spans="1:30" customFormat="1" ht="15">
      <c r="A261" s="221"/>
      <c r="B261" s="269">
        <v>223</v>
      </c>
      <c r="C261" s="247"/>
      <c r="D261" s="248"/>
      <c r="E261" s="240"/>
      <c r="F261" s="226"/>
      <c r="G261" s="232"/>
      <c r="H261" s="379">
        <v>247</v>
      </c>
      <c r="I261" s="397"/>
      <c r="J261" s="397"/>
      <c r="K261" s="406"/>
      <c r="L261" s="406"/>
      <c r="M261" s="406"/>
      <c r="N261" s="406"/>
      <c r="O261" s="406"/>
      <c r="P261" s="406"/>
      <c r="Q261" s="406"/>
      <c r="R261" s="444"/>
      <c r="S261" s="436"/>
      <c r="T261" s="415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6"/>
      <c r="V261" s="416"/>
      <c r="W261" s="417"/>
      <c r="X261" s="418"/>
      <c r="Y261" s="419" t="str">
        <f t="shared" ca="1" si="17"/>
        <v/>
      </c>
      <c r="Z261" s="420" t="str">
        <f t="shared" ca="1" si="18"/>
        <v/>
      </c>
      <c r="AA261" s="419" t="str">
        <f t="shared" ca="1" si="19"/>
        <v/>
      </c>
      <c r="AB261" s="421" t="str">
        <f t="shared" ca="1" si="20"/>
        <v/>
      </c>
      <c r="AC261" s="420" t="str">
        <f t="shared" ca="1" si="21"/>
        <v/>
      </c>
      <c r="AD261" s="221"/>
    </row>
    <row r="262" spans="1:30" customFormat="1" ht="15">
      <c r="A262" s="221"/>
      <c r="B262" s="269">
        <v>224</v>
      </c>
      <c r="C262" s="247"/>
      <c r="D262" s="248"/>
      <c r="E262" s="240"/>
      <c r="F262" s="226"/>
      <c r="G262" s="232"/>
      <c r="H262" s="379">
        <v>248</v>
      </c>
      <c r="I262" s="397"/>
      <c r="J262" s="397"/>
      <c r="K262" s="406"/>
      <c r="L262" s="406"/>
      <c r="M262" s="406"/>
      <c r="N262" s="406"/>
      <c r="O262" s="406"/>
      <c r="P262" s="406"/>
      <c r="Q262" s="406"/>
      <c r="R262" s="444"/>
      <c r="S262" s="436"/>
      <c r="T262" s="415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6"/>
      <c r="V262" s="416"/>
      <c r="W262" s="417"/>
      <c r="X262" s="418"/>
      <c r="Y262" s="419" t="str">
        <f t="shared" ca="1" si="17"/>
        <v/>
      </c>
      <c r="Z262" s="420" t="str">
        <f t="shared" ca="1" si="18"/>
        <v/>
      </c>
      <c r="AA262" s="419" t="str">
        <f t="shared" ca="1" si="19"/>
        <v/>
      </c>
      <c r="AB262" s="421" t="str">
        <f t="shared" ca="1" si="20"/>
        <v/>
      </c>
      <c r="AC262" s="420" t="str">
        <f t="shared" ca="1" si="21"/>
        <v/>
      </c>
      <c r="AD262" s="221"/>
    </row>
    <row r="263" spans="1:30" customFormat="1" ht="15">
      <c r="A263" s="221"/>
      <c r="B263" s="269">
        <v>225</v>
      </c>
      <c r="C263" s="247"/>
      <c r="D263" s="248"/>
      <c r="E263" s="240"/>
      <c r="F263" s="226"/>
      <c r="G263" s="232"/>
      <c r="H263" s="379">
        <v>249</v>
      </c>
      <c r="I263" s="397"/>
      <c r="J263" s="397"/>
      <c r="K263" s="406"/>
      <c r="L263" s="406"/>
      <c r="M263" s="406"/>
      <c r="N263" s="406"/>
      <c r="O263" s="406"/>
      <c r="P263" s="406"/>
      <c r="Q263" s="406"/>
      <c r="R263" s="444"/>
      <c r="S263" s="436"/>
      <c r="T263" s="415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6"/>
      <c r="V263" s="416"/>
      <c r="W263" s="417"/>
      <c r="X263" s="418"/>
      <c r="Y263" s="419" t="str">
        <f t="shared" ca="1" si="17"/>
        <v/>
      </c>
      <c r="Z263" s="420" t="str">
        <f t="shared" ca="1" si="18"/>
        <v/>
      </c>
      <c r="AA263" s="419" t="str">
        <f t="shared" ca="1" si="19"/>
        <v/>
      </c>
      <c r="AB263" s="421" t="str">
        <f t="shared" ca="1" si="20"/>
        <v/>
      </c>
      <c r="AC263" s="420" t="str">
        <f t="shared" ca="1" si="21"/>
        <v/>
      </c>
      <c r="AD263" s="221"/>
    </row>
    <row r="264" spans="1:30" customFormat="1" ht="15">
      <c r="A264" s="221"/>
      <c r="B264" s="269">
        <v>226</v>
      </c>
      <c r="C264" s="247"/>
      <c r="D264" s="248"/>
      <c r="E264" s="240"/>
      <c r="F264" s="226"/>
      <c r="G264" s="232"/>
      <c r="H264" s="379">
        <v>250</v>
      </c>
      <c r="I264" s="397"/>
      <c r="J264" s="397"/>
      <c r="K264" s="406"/>
      <c r="L264" s="406"/>
      <c r="M264" s="406"/>
      <c r="N264" s="406"/>
      <c r="O264" s="406"/>
      <c r="P264" s="406"/>
      <c r="Q264" s="406"/>
      <c r="R264" s="444"/>
      <c r="S264" s="436"/>
      <c r="T264" s="415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6"/>
      <c r="V264" s="416"/>
      <c r="W264" s="417"/>
      <c r="X264" s="418"/>
      <c r="Y264" s="419" t="str">
        <f t="shared" ca="1" si="17"/>
        <v/>
      </c>
      <c r="Z264" s="420" t="str">
        <f t="shared" ca="1" si="18"/>
        <v/>
      </c>
      <c r="AA264" s="419" t="str">
        <f t="shared" ca="1" si="19"/>
        <v/>
      </c>
      <c r="AB264" s="421" t="str">
        <f t="shared" ca="1" si="20"/>
        <v/>
      </c>
      <c r="AC264" s="420" t="str">
        <f t="shared" ca="1" si="21"/>
        <v/>
      </c>
      <c r="AD264" s="221"/>
    </row>
    <row r="265" spans="1:30" customFormat="1" ht="15">
      <c r="A265" s="221"/>
      <c r="B265" s="269">
        <v>227</v>
      </c>
      <c r="C265" s="247"/>
      <c r="D265" s="248"/>
      <c r="E265" s="240"/>
      <c r="F265" s="226"/>
      <c r="G265" s="232"/>
      <c r="H265" s="379">
        <v>251</v>
      </c>
      <c r="I265" s="397"/>
      <c r="J265" s="397"/>
      <c r="K265" s="406"/>
      <c r="L265" s="406"/>
      <c r="M265" s="406"/>
      <c r="N265" s="406"/>
      <c r="O265" s="406"/>
      <c r="P265" s="406"/>
      <c r="Q265" s="406"/>
      <c r="R265" s="444"/>
      <c r="S265" s="436"/>
      <c r="T265" s="415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6"/>
      <c r="V265" s="416"/>
      <c r="W265" s="417"/>
      <c r="X265" s="418"/>
      <c r="Y265" s="419" t="str">
        <f t="shared" ca="1" si="17"/>
        <v/>
      </c>
      <c r="Z265" s="420" t="str">
        <f t="shared" ca="1" si="18"/>
        <v/>
      </c>
      <c r="AA265" s="419" t="str">
        <f t="shared" ca="1" si="19"/>
        <v/>
      </c>
      <c r="AB265" s="421" t="str">
        <f t="shared" ca="1" si="20"/>
        <v/>
      </c>
      <c r="AC265" s="420" t="str">
        <f t="shared" ca="1" si="21"/>
        <v/>
      </c>
      <c r="AD265" s="221"/>
    </row>
    <row r="266" spans="1:30" customFormat="1" ht="15">
      <c r="A266" s="221"/>
      <c r="B266" s="269">
        <v>228</v>
      </c>
      <c r="C266" s="247"/>
      <c r="D266" s="248"/>
      <c r="E266" s="240"/>
      <c r="F266" s="226"/>
      <c r="G266" s="232"/>
      <c r="H266" s="379">
        <v>252</v>
      </c>
      <c r="I266" s="397"/>
      <c r="J266" s="397"/>
      <c r="K266" s="406"/>
      <c r="L266" s="406"/>
      <c r="M266" s="406"/>
      <c r="N266" s="406"/>
      <c r="O266" s="406"/>
      <c r="P266" s="406"/>
      <c r="Q266" s="406"/>
      <c r="R266" s="444"/>
      <c r="S266" s="436"/>
      <c r="T266" s="415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6"/>
      <c r="V266" s="416"/>
      <c r="W266" s="417"/>
      <c r="X266" s="418"/>
      <c r="Y266" s="419" t="str">
        <f t="shared" ca="1" si="17"/>
        <v/>
      </c>
      <c r="Z266" s="420" t="str">
        <f t="shared" ca="1" si="18"/>
        <v/>
      </c>
      <c r="AA266" s="419" t="str">
        <f t="shared" ca="1" si="19"/>
        <v/>
      </c>
      <c r="AB266" s="421" t="str">
        <f t="shared" ca="1" si="20"/>
        <v/>
      </c>
      <c r="AC266" s="420" t="str">
        <f t="shared" ca="1" si="21"/>
        <v/>
      </c>
      <c r="AD266" s="221"/>
    </row>
    <row r="267" spans="1:30" customFormat="1" ht="15">
      <c r="A267" s="221"/>
      <c r="B267" s="269">
        <v>229</v>
      </c>
      <c r="C267" s="247"/>
      <c r="D267" s="248"/>
      <c r="E267" s="240"/>
      <c r="F267" s="226"/>
      <c r="G267" s="232"/>
      <c r="H267" s="379">
        <v>253</v>
      </c>
      <c r="I267" s="397"/>
      <c r="J267" s="397"/>
      <c r="K267" s="406"/>
      <c r="L267" s="406"/>
      <c r="M267" s="406"/>
      <c r="N267" s="406"/>
      <c r="O267" s="406"/>
      <c r="P267" s="406"/>
      <c r="Q267" s="406"/>
      <c r="R267" s="444"/>
      <c r="S267" s="436"/>
      <c r="T267" s="415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6"/>
      <c r="V267" s="416"/>
      <c r="W267" s="417"/>
      <c r="X267" s="418"/>
      <c r="Y267" s="419" t="str">
        <f t="shared" ca="1" si="17"/>
        <v/>
      </c>
      <c r="Z267" s="420" t="str">
        <f t="shared" ca="1" si="18"/>
        <v/>
      </c>
      <c r="AA267" s="419" t="str">
        <f t="shared" ca="1" si="19"/>
        <v/>
      </c>
      <c r="AB267" s="421" t="str">
        <f t="shared" ca="1" si="20"/>
        <v/>
      </c>
      <c r="AC267" s="420" t="str">
        <f t="shared" ca="1" si="21"/>
        <v/>
      </c>
      <c r="AD267" s="221"/>
    </row>
    <row r="268" spans="1:30" customFormat="1" ht="15">
      <c r="A268" s="221"/>
      <c r="B268" s="269">
        <v>230</v>
      </c>
      <c r="C268" s="247"/>
      <c r="D268" s="248"/>
      <c r="E268" s="240"/>
      <c r="F268" s="226"/>
      <c r="G268" s="232"/>
      <c r="H268" s="379">
        <v>254</v>
      </c>
      <c r="I268" s="397"/>
      <c r="J268" s="397"/>
      <c r="K268" s="406"/>
      <c r="L268" s="406"/>
      <c r="M268" s="406"/>
      <c r="N268" s="406"/>
      <c r="O268" s="406"/>
      <c r="P268" s="406"/>
      <c r="Q268" s="406"/>
      <c r="R268" s="444"/>
      <c r="S268" s="436"/>
      <c r="T268" s="415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6"/>
      <c r="V268" s="416"/>
      <c r="W268" s="417"/>
      <c r="X268" s="418"/>
      <c r="Y268" s="419" t="str">
        <f t="shared" ca="1" si="17"/>
        <v/>
      </c>
      <c r="Z268" s="420" t="str">
        <f t="shared" ca="1" si="18"/>
        <v/>
      </c>
      <c r="AA268" s="419" t="str">
        <f t="shared" ca="1" si="19"/>
        <v/>
      </c>
      <c r="AB268" s="421" t="str">
        <f t="shared" ca="1" si="20"/>
        <v/>
      </c>
      <c r="AC268" s="420" t="str">
        <f t="shared" ca="1" si="21"/>
        <v/>
      </c>
      <c r="AD268" s="221"/>
    </row>
    <row r="269" spans="1:30" customFormat="1" ht="15">
      <c r="A269" s="221"/>
      <c r="B269" s="269">
        <v>231</v>
      </c>
      <c r="C269" s="247"/>
      <c r="D269" s="248"/>
      <c r="E269" s="240"/>
      <c r="F269" s="226"/>
      <c r="G269" s="232"/>
      <c r="H269" s="379">
        <v>255</v>
      </c>
      <c r="I269" s="397"/>
      <c r="J269" s="397"/>
      <c r="K269" s="406"/>
      <c r="L269" s="406"/>
      <c r="M269" s="406"/>
      <c r="N269" s="406"/>
      <c r="O269" s="406"/>
      <c r="P269" s="406"/>
      <c r="Q269" s="406"/>
      <c r="R269" s="444"/>
      <c r="S269" s="436"/>
      <c r="T269" s="415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6"/>
      <c r="V269" s="416"/>
      <c r="W269" s="417"/>
      <c r="X269" s="418"/>
      <c r="Y269" s="419" t="str">
        <f t="shared" ca="1" si="17"/>
        <v/>
      </c>
      <c r="Z269" s="420" t="str">
        <f t="shared" ca="1" si="18"/>
        <v/>
      </c>
      <c r="AA269" s="419" t="str">
        <f t="shared" ca="1" si="19"/>
        <v/>
      </c>
      <c r="AB269" s="421" t="str">
        <f t="shared" ca="1" si="20"/>
        <v/>
      </c>
      <c r="AC269" s="420" t="str">
        <f t="shared" ca="1" si="21"/>
        <v/>
      </c>
      <c r="AD269" s="221"/>
    </row>
    <row r="270" spans="1:30" customFormat="1" ht="15">
      <c r="A270" s="221"/>
      <c r="B270" s="269">
        <v>232</v>
      </c>
      <c r="C270" s="247"/>
      <c r="D270" s="248"/>
      <c r="E270" s="240"/>
      <c r="F270" s="226"/>
      <c r="G270" s="232"/>
      <c r="H270" s="379">
        <v>256</v>
      </c>
      <c r="I270" s="397"/>
      <c r="J270" s="397"/>
      <c r="K270" s="406"/>
      <c r="L270" s="406"/>
      <c r="M270" s="406"/>
      <c r="N270" s="406"/>
      <c r="O270" s="406"/>
      <c r="P270" s="406"/>
      <c r="Q270" s="406"/>
      <c r="R270" s="444"/>
      <c r="S270" s="436"/>
      <c r="T270" s="415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6"/>
      <c r="V270" s="416"/>
      <c r="W270" s="417"/>
      <c r="X270" s="418"/>
      <c r="Y270" s="419" t="str">
        <f t="shared" ca="1" si="17"/>
        <v/>
      </c>
      <c r="Z270" s="420" t="str">
        <f t="shared" ca="1" si="18"/>
        <v/>
      </c>
      <c r="AA270" s="419" t="str">
        <f t="shared" ca="1" si="19"/>
        <v/>
      </c>
      <c r="AB270" s="421" t="str">
        <f t="shared" ca="1" si="20"/>
        <v/>
      </c>
      <c r="AC270" s="420" t="str">
        <f t="shared" ca="1" si="21"/>
        <v/>
      </c>
      <c r="AD270" s="221"/>
    </row>
    <row r="271" spans="1:30" customFormat="1" ht="15">
      <c r="A271" s="221"/>
      <c r="B271" s="269">
        <v>233</v>
      </c>
      <c r="C271" s="247"/>
      <c r="D271" s="248"/>
      <c r="E271" s="240"/>
      <c r="F271" s="226"/>
      <c r="G271" s="232"/>
      <c r="H271" s="379">
        <v>257</v>
      </c>
      <c r="I271" s="397"/>
      <c r="J271" s="397"/>
      <c r="K271" s="406"/>
      <c r="L271" s="406"/>
      <c r="M271" s="406"/>
      <c r="N271" s="406"/>
      <c r="O271" s="406"/>
      <c r="P271" s="406"/>
      <c r="Q271" s="406"/>
      <c r="R271" s="444"/>
      <c r="S271" s="436"/>
      <c r="T271" s="415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6"/>
      <c r="V271" s="416"/>
      <c r="W271" s="417"/>
      <c r="X271" s="418"/>
      <c r="Y271" s="419" t="str">
        <f t="shared" ca="1" si="17"/>
        <v/>
      </c>
      <c r="Z271" s="420" t="str">
        <f t="shared" ca="1" si="18"/>
        <v/>
      </c>
      <c r="AA271" s="419" t="str">
        <f t="shared" ca="1" si="19"/>
        <v/>
      </c>
      <c r="AB271" s="421" t="str">
        <f t="shared" ca="1" si="20"/>
        <v/>
      </c>
      <c r="AC271" s="420" t="str">
        <f t="shared" ca="1" si="21"/>
        <v/>
      </c>
      <c r="AD271" s="221"/>
    </row>
    <row r="272" spans="1:30" customFormat="1" ht="15">
      <c r="A272" s="221"/>
      <c r="B272" s="269">
        <v>234</v>
      </c>
      <c r="C272" s="247"/>
      <c r="D272" s="248"/>
      <c r="E272" s="240"/>
      <c r="F272" s="226"/>
      <c r="G272" s="232"/>
      <c r="H272" s="379">
        <v>258</v>
      </c>
      <c r="I272" s="397"/>
      <c r="J272" s="397"/>
      <c r="K272" s="406"/>
      <c r="L272" s="406"/>
      <c r="M272" s="406"/>
      <c r="N272" s="406"/>
      <c r="O272" s="406"/>
      <c r="P272" s="406"/>
      <c r="Q272" s="406"/>
      <c r="R272" s="444"/>
      <c r="S272" s="436"/>
      <c r="T272" s="415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6"/>
      <c r="V272" s="416"/>
      <c r="W272" s="417"/>
      <c r="X272" s="418"/>
      <c r="Y272" s="419" t="str">
        <f t="shared" ref="Y272:Y314" ca="1" si="22">IF($U$12,IF(T272="","",$U$13*D296/$C$18),"")</f>
        <v/>
      </c>
      <c r="Z272" s="420" t="str">
        <f t="shared" ref="Z272:Z314" ca="1" si="23">IF($U$12,IF(Y272="","",Y272*($Z$10-W272)*X272),"")</f>
        <v/>
      </c>
      <c r="AA272" s="419" t="str">
        <f t="shared" ref="AA272:AA313" ca="1" si="24">IF($U$12,IF(OR(T272="",L272=""),"",L272/($C$20-$C$19)),"")</f>
        <v/>
      </c>
      <c r="AB272" s="421" t="str">
        <f t="shared" ref="AB272:AB313" ca="1" si="25">IF($U$12,IF(W272="","",W272*$AC$10),"")</f>
        <v/>
      </c>
      <c r="AC272" s="420" t="str">
        <f t="shared" ref="AC272:AC313" ca="1" si="26">IF($U$12,IF(AA272="","",AA272*(AB272-W272)*X272),"")</f>
        <v/>
      </c>
      <c r="AD272" s="221"/>
    </row>
    <row r="273" spans="1:30" customFormat="1" ht="15">
      <c r="A273" s="221"/>
      <c r="B273" s="269">
        <v>235</v>
      </c>
      <c r="C273" s="247"/>
      <c r="D273" s="248"/>
      <c r="E273" s="240"/>
      <c r="F273" s="226"/>
      <c r="G273" s="232"/>
      <c r="H273" s="379">
        <v>259</v>
      </c>
      <c r="I273" s="397"/>
      <c r="J273" s="397"/>
      <c r="K273" s="406"/>
      <c r="L273" s="406"/>
      <c r="M273" s="406"/>
      <c r="N273" s="406"/>
      <c r="O273" s="406"/>
      <c r="P273" s="406"/>
      <c r="Q273" s="406"/>
      <c r="R273" s="444"/>
      <c r="S273" s="436"/>
      <c r="T273" s="415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6"/>
      <c r="V273" s="416"/>
      <c r="W273" s="417"/>
      <c r="X273" s="418"/>
      <c r="Y273" s="419" t="str">
        <f t="shared" ca="1" si="22"/>
        <v/>
      </c>
      <c r="Z273" s="420" t="str">
        <f t="shared" ca="1" si="23"/>
        <v/>
      </c>
      <c r="AA273" s="419" t="str">
        <f t="shared" ca="1" si="24"/>
        <v/>
      </c>
      <c r="AB273" s="421" t="str">
        <f t="shared" ca="1" si="25"/>
        <v/>
      </c>
      <c r="AC273" s="420" t="str">
        <f t="shared" ca="1" si="26"/>
        <v/>
      </c>
      <c r="AD273" s="221"/>
    </row>
    <row r="274" spans="1:30" customFormat="1" ht="15">
      <c r="A274" s="221"/>
      <c r="B274" s="269">
        <v>236</v>
      </c>
      <c r="C274" s="247"/>
      <c r="D274" s="248"/>
      <c r="E274" s="240"/>
      <c r="F274" s="226"/>
      <c r="G274" s="232"/>
      <c r="H274" s="379">
        <v>260</v>
      </c>
      <c r="I274" s="397"/>
      <c r="J274" s="397"/>
      <c r="K274" s="406"/>
      <c r="L274" s="406"/>
      <c r="M274" s="406"/>
      <c r="N274" s="406"/>
      <c r="O274" s="406"/>
      <c r="P274" s="406"/>
      <c r="Q274" s="406"/>
      <c r="R274" s="444"/>
      <c r="S274" s="436"/>
      <c r="T274" s="415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6"/>
      <c r="V274" s="416"/>
      <c r="W274" s="417"/>
      <c r="X274" s="418"/>
      <c r="Y274" s="419" t="str">
        <f t="shared" ca="1" si="22"/>
        <v/>
      </c>
      <c r="Z274" s="420" t="str">
        <f t="shared" ca="1" si="23"/>
        <v/>
      </c>
      <c r="AA274" s="419" t="str">
        <f t="shared" ca="1" si="24"/>
        <v/>
      </c>
      <c r="AB274" s="421" t="str">
        <f t="shared" ca="1" si="25"/>
        <v/>
      </c>
      <c r="AC274" s="420" t="str">
        <f t="shared" ca="1" si="26"/>
        <v/>
      </c>
      <c r="AD274" s="221"/>
    </row>
    <row r="275" spans="1:30" customFormat="1" ht="15">
      <c r="A275" s="221"/>
      <c r="B275" s="269">
        <v>237</v>
      </c>
      <c r="C275" s="247"/>
      <c r="D275" s="248"/>
      <c r="E275" s="240"/>
      <c r="F275" s="226"/>
      <c r="G275" s="232"/>
      <c r="H275" s="379">
        <v>261</v>
      </c>
      <c r="I275" s="397"/>
      <c r="J275" s="397"/>
      <c r="K275" s="406"/>
      <c r="L275" s="406"/>
      <c r="M275" s="406"/>
      <c r="N275" s="406"/>
      <c r="O275" s="406"/>
      <c r="P275" s="406"/>
      <c r="Q275" s="406"/>
      <c r="R275" s="444"/>
      <c r="S275" s="436"/>
      <c r="T275" s="415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6"/>
      <c r="V275" s="416"/>
      <c r="W275" s="417"/>
      <c r="X275" s="418"/>
      <c r="Y275" s="419" t="str">
        <f t="shared" ca="1" si="22"/>
        <v/>
      </c>
      <c r="Z275" s="420" t="str">
        <f t="shared" ca="1" si="23"/>
        <v/>
      </c>
      <c r="AA275" s="419" t="str">
        <f t="shared" ca="1" si="24"/>
        <v/>
      </c>
      <c r="AB275" s="421" t="str">
        <f t="shared" ca="1" si="25"/>
        <v/>
      </c>
      <c r="AC275" s="420" t="str">
        <f t="shared" ca="1" si="26"/>
        <v/>
      </c>
      <c r="AD275" s="221"/>
    </row>
    <row r="276" spans="1:30" customFormat="1" ht="15">
      <c r="A276" s="221"/>
      <c r="B276" s="269">
        <v>238</v>
      </c>
      <c r="C276" s="247"/>
      <c r="D276" s="248"/>
      <c r="E276" s="240"/>
      <c r="F276" s="226"/>
      <c r="G276" s="232"/>
      <c r="H276" s="379">
        <v>262</v>
      </c>
      <c r="I276" s="397"/>
      <c r="J276" s="397"/>
      <c r="K276" s="406"/>
      <c r="L276" s="406"/>
      <c r="M276" s="406"/>
      <c r="N276" s="406"/>
      <c r="O276" s="406"/>
      <c r="P276" s="406"/>
      <c r="Q276" s="406"/>
      <c r="R276" s="444"/>
      <c r="S276" s="436"/>
      <c r="T276" s="415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6"/>
      <c r="V276" s="416"/>
      <c r="W276" s="417"/>
      <c r="X276" s="418"/>
      <c r="Y276" s="419" t="str">
        <f t="shared" ca="1" si="22"/>
        <v/>
      </c>
      <c r="Z276" s="420" t="str">
        <f t="shared" ca="1" si="23"/>
        <v/>
      </c>
      <c r="AA276" s="419" t="str">
        <f t="shared" ca="1" si="24"/>
        <v/>
      </c>
      <c r="AB276" s="421" t="str">
        <f t="shared" ca="1" si="25"/>
        <v/>
      </c>
      <c r="AC276" s="420" t="str">
        <f t="shared" ca="1" si="26"/>
        <v/>
      </c>
      <c r="AD276" s="221"/>
    </row>
    <row r="277" spans="1:30" customFormat="1" ht="15">
      <c r="A277" s="221"/>
      <c r="B277" s="269">
        <v>239</v>
      </c>
      <c r="C277" s="247"/>
      <c r="D277" s="248"/>
      <c r="E277" s="240"/>
      <c r="F277" s="226"/>
      <c r="G277" s="232"/>
      <c r="H277" s="379">
        <v>263</v>
      </c>
      <c r="I277" s="397"/>
      <c r="J277" s="397"/>
      <c r="K277" s="406"/>
      <c r="L277" s="406"/>
      <c r="M277" s="406"/>
      <c r="N277" s="406"/>
      <c r="O277" s="406"/>
      <c r="P277" s="406"/>
      <c r="Q277" s="406"/>
      <c r="R277" s="444"/>
      <c r="S277" s="436"/>
      <c r="T277" s="415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6"/>
      <c r="V277" s="416"/>
      <c r="W277" s="417"/>
      <c r="X277" s="418"/>
      <c r="Y277" s="419" t="str">
        <f t="shared" ca="1" si="22"/>
        <v/>
      </c>
      <c r="Z277" s="420" t="str">
        <f t="shared" ca="1" si="23"/>
        <v/>
      </c>
      <c r="AA277" s="419" t="str">
        <f t="shared" ca="1" si="24"/>
        <v/>
      </c>
      <c r="AB277" s="421" t="str">
        <f t="shared" ca="1" si="25"/>
        <v/>
      </c>
      <c r="AC277" s="420" t="str">
        <f t="shared" ca="1" si="26"/>
        <v/>
      </c>
      <c r="AD277" s="221"/>
    </row>
    <row r="278" spans="1:30" customFormat="1" ht="15">
      <c r="A278" s="221"/>
      <c r="B278" s="269">
        <v>240</v>
      </c>
      <c r="C278" s="247"/>
      <c r="D278" s="248"/>
      <c r="E278" s="240"/>
      <c r="F278" s="226"/>
      <c r="G278" s="232"/>
      <c r="H278" s="379">
        <v>264</v>
      </c>
      <c r="I278" s="397"/>
      <c r="J278" s="397"/>
      <c r="K278" s="406"/>
      <c r="L278" s="406"/>
      <c r="M278" s="406"/>
      <c r="N278" s="406"/>
      <c r="O278" s="406"/>
      <c r="P278" s="406"/>
      <c r="Q278" s="406"/>
      <c r="R278" s="444"/>
      <c r="S278" s="436"/>
      <c r="T278" s="415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6"/>
      <c r="V278" s="416"/>
      <c r="W278" s="417"/>
      <c r="X278" s="418"/>
      <c r="Y278" s="419" t="str">
        <f t="shared" ca="1" si="22"/>
        <v/>
      </c>
      <c r="Z278" s="420" t="str">
        <f t="shared" ca="1" si="23"/>
        <v/>
      </c>
      <c r="AA278" s="419" t="str">
        <f t="shared" ca="1" si="24"/>
        <v/>
      </c>
      <c r="AB278" s="421" t="str">
        <f t="shared" ca="1" si="25"/>
        <v/>
      </c>
      <c r="AC278" s="420" t="str">
        <f t="shared" ca="1" si="26"/>
        <v/>
      </c>
      <c r="AD278" s="221"/>
    </row>
    <row r="279" spans="1:30" customFormat="1" ht="15">
      <c r="A279" s="221"/>
      <c r="B279" s="269">
        <v>241</v>
      </c>
      <c r="C279" s="247"/>
      <c r="D279" s="248"/>
      <c r="E279" s="240"/>
      <c r="F279" s="226"/>
      <c r="G279" s="232"/>
      <c r="H279" s="379">
        <v>265</v>
      </c>
      <c r="I279" s="397"/>
      <c r="J279" s="397"/>
      <c r="K279" s="406"/>
      <c r="L279" s="406"/>
      <c r="M279" s="406"/>
      <c r="N279" s="406"/>
      <c r="O279" s="406"/>
      <c r="P279" s="406"/>
      <c r="Q279" s="406"/>
      <c r="R279" s="444"/>
      <c r="S279" s="436"/>
      <c r="T279" s="415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6"/>
      <c r="V279" s="416"/>
      <c r="W279" s="417"/>
      <c r="X279" s="418"/>
      <c r="Y279" s="419" t="str">
        <f t="shared" ca="1" si="22"/>
        <v/>
      </c>
      <c r="Z279" s="420" t="str">
        <f t="shared" ca="1" si="23"/>
        <v/>
      </c>
      <c r="AA279" s="419" t="str">
        <f t="shared" ca="1" si="24"/>
        <v/>
      </c>
      <c r="AB279" s="421" t="str">
        <f t="shared" ca="1" si="25"/>
        <v/>
      </c>
      <c r="AC279" s="420" t="str">
        <f t="shared" ca="1" si="26"/>
        <v/>
      </c>
      <c r="AD279" s="221"/>
    </row>
    <row r="280" spans="1:30" customFormat="1" ht="15">
      <c r="A280" s="221"/>
      <c r="B280" s="269">
        <v>242</v>
      </c>
      <c r="C280" s="247"/>
      <c r="D280" s="248"/>
      <c r="E280" s="240"/>
      <c r="F280" s="226"/>
      <c r="G280" s="232"/>
      <c r="H280" s="379">
        <v>266</v>
      </c>
      <c r="I280" s="397"/>
      <c r="J280" s="397"/>
      <c r="K280" s="406"/>
      <c r="L280" s="406"/>
      <c r="M280" s="406"/>
      <c r="N280" s="406"/>
      <c r="O280" s="406"/>
      <c r="P280" s="406"/>
      <c r="Q280" s="406"/>
      <c r="R280" s="444"/>
      <c r="S280" s="436"/>
      <c r="T280" s="415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6"/>
      <c r="V280" s="416"/>
      <c r="W280" s="417"/>
      <c r="X280" s="418"/>
      <c r="Y280" s="419" t="str">
        <f t="shared" ca="1" si="22"/>
        <v/>
      </c>
      <c r="Z280" s="420" t="str">
        <f t="shared" ca="1" si="23"/>
        <v/>
      </c>
      <c r="AA280" s="419" t="str">
        <f t="shared" ca="1" si="24"/>
        <v/>
      </c>
      <c r="AB280" s="421" t="str">
        <f t="shared" ca="1" si="25"/>
        <v/>
      </c>
      <c r="AC280" s="420" t="str">
        <f t="shared" ca="1" si="26"/>
        <v/>
      </c>
      <c r="AD280" s="221"/>
    </row>
    <row r="281" spans="1:30" customFormat="1" ht="15">
      <c r="A281" s="221"/>
      <c r="B281" s="269">
        <v>243</v>
      </c>
      <c r="C281" s="247"/>
      <c r="D281" s="248"/>
      <c r="E281" s="240"/>
      <c r="F281" s="226"/>
      <c r="G281" s="232"/>
      <c r="H281" s="379">
        <v>267</v>
      </c>
      <c r="I281" s="397"/>
      <c r="J281" s="397"/>
      <c r="K281" s="406"/>
      <c r="L281" s="406"/>
      <c r="M281" s="406"/>
      <c r="N281" s="406"/>
      <c r="O281" s="406"/>
      <c r="P281" s="406"/>
      <c r="Q281" s="406"/>
      <c r="R281" s="444"/>
      <c r="S281" s="436"/>
      <c r="T281" s="415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6"/>
      <c r="V281" s="416"/>
      <c r="W281" s="417"/>
      <c r="X281" s="418"/>
      <c r="Y281" s="419" t="str">
        <f t="shared" ca="1" si="22"/>
        <v/>
      </c>
      <c r="Z281" s="420" t="str">
        <f t="shared" ca="1" si="23"/>
        <v/>
      </c>
      <c r="AA281" s="419" t="str">
        <f t="shared" ca="1" si="24"/>
        <v/>
      </c>
      <c r="AB281" s="421" t="str">
        <f t="shared" ca="1" si="25"/>
        <v/>
      </c>
      <c r="AC281" s="420" t="str">
        <f t="shared" ca="1" si="26"/>
        <v/>
      </c>
      <c r="AD281" s="221"/>
    </row>
    <row r="282" spans="1:30" customFormat="1" ht="15">
      <c r="A282" s="221"/>
      <c r="B282" s="269">
        <v>244</v>
      </c>
      <c r="C282" s="247"/>
      <c r="D282" s="248"/>
      <c r="E282" s="240"/>
      <c r="F282" s="226"/>
      <c r="G282" s="232"/>
      <c r="H282" s="379">
        <v>268</v>
      </c>
      <c r="I282" s="397"/>
      <c r="J282" s="397"/>
      <c r="K282" s="406"/>
      <c r="L282" s="406"/>
      <c r="M282" s="406"/>
      <c r="N282" s="406"/>
      <c r="O282" s="406"/>
      <c r="P282" s="406"/>
      <c r="Q282" s="406"/>
      <c r="R282" s="444"/>
      <c r="S282" s="436"/>
      <c r="T282" s="415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6"/>
      <c r="V282" s="416"/>
      <c r="W282" s="417"/>
      <c r="X282" s="418"/>
      <c r="Y282" s="419" t="str">
        <f t="shared" ca="1" si="22"/>
        <v/>
      </c>
      <c r="Z282" s="420" t="str">
        <f t="shared" ca="1" si="23"/>
        <v/>
      </c>
      <c r="AA282" s="419" t="str">
        <f t="shared" ca="1" si="24"/>
        <v/>
      </c>
      <c r="AB282" s="421" t="str">
        <f t="shared" ca="1" si="25"/>
        <v/>
      </c>
      <c r="AC282" s="420" t="str">
        <f t="shared" ca="1" si="26"/>
        <v/>
      </c>
      <c r="AD282" s="221"/>
    </row>
    <row r="283" spans="1:30" customFormat="1" ht="15">
      <c r="A283" s="221"/>
      <c r="B283" s="269">
        <v>245</v>
      </c>
      <c r="C283" s="247"/>
      <c r="D283" s="248"/>
      <c r="E283" s="240"/>
      <c r="F283" s="226"/>
      <c r="G283" s="232"/>
      <c r="H283" s="379">
        <v>269</v>
      </c>
      <c r="I283" s="397"/>
      <c r="J283" s="397"/>
      <c r="K283" s="406"/>
      <c r="L283" s="406"/>
      <c r="M283" s="406"/>
      <c r="N283" s="406"/>
      <c r="O283" s="406"/>
      <c r="P283" s="406"/>
      <c r="Q283" s="406"/>
      <c r="R283" s="444"/>
      <c r="S283" s="436"/>
      <c r="T283" s="415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6"/>
      <c r="V283" s="416"/>
      <c r="W283" s="417"/>
      <c r="X283" s="418"/>
      <c r="Y283" s="419" t="str">
        <f t="shared" ca="1" si="22"/>
        <v/>
      </c>
      <c r="Z283" s="420" t="str">
        <f t="shared" ca="1" si="23"/>
        <v/>
      </c>
      <c r="AA283" s="419" t="str">
        <f t="shared" ca="1" si="24"/>
        <v/>
      </c>
      <c r="AB283" s="421" t="str">
        <f t="shared" ca="1" si="25"/>
        <v/>
      </c>
      <c r="AC283" s="420" t="str">
        <f t="shared" ca="1" si="26"/>
        <v/>
      </c>
      <c r="AD283" s="221"/>
    </row>
    <row r="284" spans="1:30" customFormat="1" ht="15">
      <c r="A284" s="221"/>
      <c r="B284" s="269">
        <v>246</v>
      </c>
      <c r="C284" s="247"/>
      <c r="D284" s="248"/>
      <c r="E284" s="240"/>
      <c r="F284" s="226"/>
      <c r="G284" s="232"/>
      <c r="H284" s="379">
        <v>270</v>
      </c>
      <c r="I284" s="397"/>
      <c r="J284" s="397"/>
      <c r="K284" s="406"/>
      <c r="L284" s="406"/>
      <c r="M284" s="406"/>
      <c r="N284" s="406"/>
      <c r="O284" s="406"/>
      <c r="P284" s="406"/>
      <c r="Q284" s="406"/>
      <c r="R284" s="444"/>
      <c r="S284" s="436"/>
      <c r="T284" s="415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6"/>
      <c r="V284" s="416"/>
      <c r="W284" s="417"/>
      <c r="X284" s="418"/>
      <c r="Y284" s="419" t="str">
        <f t="shared" ca="1" si="22"/>
        <v/>
      </c>
      <c r="Z284" s="420" t="str">
        <f t="shared" ca="1" si="23"/>
        <v/>
      </c>
      <c r="AA284" s="419" t="str">
        <f t="shared" ca="1" si="24"/>
        <v/>
      </c>
      <c r="AB284" s="421" t="str">
        <f t="shared" ca="1" si="25"/>
        <v/>
      </c>
      <c r="AC284" s="420" t="str">
        <f t="shared" ca="1" si="26"/>
        <v/>
      </c>
      <c r="AD284" s="221"/>
    </row>
    <row r="285" spans="1:30" customFormat="1" ht="15">
      <c r="A285" s="221"/>
      <c r="B285" s="269">
        <v>247</v>
      </c>
      <c r="C285" s="247"/>
      <c r="D285" s="248"/>
      <c r="E285" s="240"/>
      <c r="F285" s="226"/>
      <c r="G285" s="232"/>
      <c r="H285" s="379">
        <v>271</v>
      </c>
      <c r="I285" s="397"/>
      <c r="J285" s="397"/>
      <c r="K285" s="406"/>
      <c r="L285" s="406"/>
      <c r="M285" s="406"/>
      <c r="N285" s="406"/>
      <c r="O285" s="406"/>
      <c r="P285" s="406"/>
      <c r="Q285" s="406"/>
      <c r="R285" s="444"/>
      <c r="S285" s="436"/>
      <c r="T285" s="415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6"/>
      <c r="V285" s="416"/>
      <c r="W285" s="417"/>
      <c r="X285" s="418"/>
      <c r="Y285" s="419" t="str">
        <f t="shared" ca="1" si="22"/>
        <v/>
      </c>
      <c r="Z285" s="420" t="str">
        <f t="shared" ca="1" si="23"/>
        <v/>
      </c>
      <c r="AA285" s="419" t="str">
        <f t="shared" ca="1" si="24"/>
        <v/>
      </c>
      <c r="AB285" s="421" t="str">
        <f t="shared" ca="1" si="25"/>
        <v/>
      </c>
      <c r="AC285" s="420" t="str">
        <f t="shared" ca="1" si="26"/>
        <v/>
      </c>
      <c r="AD285" s="221"/>
    </row>
    <row r="286" spans="1:30" customFormat="1" ht="15">
      <c r="A286" s="221"/>
      <c r="B286" s="269">
        <v>248</v>
      </c>
      <c r="C286" s="247"/>
      <c r="D286" s="248"/>
      <c r="E286" s="240"/>
      <c r="F286" s="226"/>
      <c r="G286" s="232"/>
      <c r="H286" s="379">
        <v>272</v>
      </c>
      <c r="I286" s="397"/>
      <c r="J286" s="397"/>
      <c r="K286" s="406"/>
      <c r="L286" s="406"/>
      <c r="M286" s="406"/>
      <c r="N286" s="406"/>
      <c r="O286" s="406"/>
      <c r="P286" s="406"/>
      <c r="Q286" s="406"/>
      <c r="R286" s="444"/>
      <c r="S286" s="436"/>
      <c r="T286" s="415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6"/>
      <c r="V286" s="416"/>
      <c r="W286" s="417"/>
      <c r="X286" s="418"/>
      <c r="Y286" s="419" t="str">
        <f t="shared" ca="1" si="22"/>
        <v/>
      </c>
      <c r="Z286" s="420" t="str">
        <f t="shared" ca="1" si="23"/>
        <v/>
      </c>
      <c r="AA286" s="419" t="str">
        <f t="shared" ca="1" si="24"/>
        <v/>
      </c>
      <c r="AB286" s="421" t="str">
        <f t="shared" ca="1" si="25"/>
        <v/>
      </c>
      <c r="AC286" s="420" t="str">
        <f t="shared" ca="1" si="26"/>
        <v/>
      </c>
      <c r="AD286" s="221"/>
    </row>
    <row r="287" spans="1:30" customFormat="1" ht="15">
      <c r="A287" s="221"/>
      <c r="B287" s="269">
        <v>249</v>
      </c>
      <c r="C287" s="247"/>
      <c r="D287" s="248"/>
      <c r="E287" s="240"/>
      <c r="F287" s="226"/>
      <c r="G287" s="232"/>
      <c r="H287" s="379">
        <v>273</v>
      </c>
      <c r="I287" s="397"/>
      <c r="J287" s="397"/>
      <c r="K287" s="406"/>
      <c r="L287" s="406"/>
      <c r="M287" s="406"/>
      <c r="N287" s="406"/>
      <c r="O287" s="406"/>
      <c r="P287" s="406"/>
      <c r="Q287" s="406"/>
      <c r="R287" s="444"/>
      <c r="S287" s="436"/>
      <c r="T287" s="415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6"/>
      <c r="V287" s="416"/>
      <c r="W287" s="417"/>
      <c r="X287" s="418"/>
      <c r="Y287" s="419" t="str">
        <f t="shared" ca="1" si="22"/>
        <v/>
      </c>
      <c r="Z287" s="420" t="str">
        <f t="shared" ca="1" si="23"/>
        <v/>
      </c>
      <c r="AA287" s="419" t="str">
        <f t="shared" ca="1" si="24"/>
        <v/>
      </c>
      <c r="AB287" s="421" t="str">
        <f t="shared" ca="1" si="25"/>
        <v/>
      </c>
      <c r="AC287" s="420" t="str">
        <f t="shared" ca="1" si="26"/>
        <v/>
      </c>
      <c r="AD287" s="221"/>
    </row>
    <row r="288" spans="1:30" customFormat="1" ht="15">
      <c r="A288" s="221"/>
      <c r="B288" s="269">
        <v>250</v>
      </c>
      <c r="C288" s="247"/>
      <c r="D288" s="248"/>
      <c r="E288" s="240"/>
      <c r="F288" s="226"/>
      <c r="G288" s="232"/>
      <c r="H288" s="379">
        <v>274</v>
      </c>
      <c r="I288" s="397"/>
      <c r="J288" s="397"/>
      <c r="K288" s="406"/>
      <c r="L288" s="406"/>
      <c r="M288" s="406"/>
      <c r="N288" s="406"/>
      <c r="O288" s="406"/>
      <c r="P288" s="406"/>
      <c r="Q288" s="406"/>
      <c r="R288" s="444"/>
      <c r="S288" s="436"/>
      <c r="T288" s="415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6"/>
      <c r="V288" s="416"/>
      <c r="W288" s="417"/>
      <c r="X288" s="418"/>
      <c r="Y288" s="419" t="str">
        <f t="shared" ca="1" si="22"/>
        <v/>
      </c>
      <c r="Z288" s="420" t="str">
        <f t="shared" ca="1" si="23"/>
        <v/>
      </c>
      <c r="AA288" s="419" t="str">
        <f t="shared" ca="1" si="24"/>
        <v/>
      </c>
      <c r="AB288" s="421" t="str">
        <f t="shared" ca="1" si="25"/>
        <v/>
      </c>
      <c r="AC288" s="420" t="str">
        <f t="shared" ca="1" si="26"/>
        <v/>
      </c>
      <c r="AD288" s="221"/>
    </row>
    <row r="289" spans="1:30" customFormat="1" ht="15">
      <c r="A289" s="221"/>
      <c r="B289" s="269">
        <v>251</v>
      </c>
      <c r="C289" s="247"/>
      <c r="D289" s="248"/>
      <c r="E289" s="240"/>
      <c r="F289" s="226"/>
      <c r="G289" s="232"/>
      <c r="H289" s="379">
        <v>275</v>
      </c>
      <c r="I289" s="397"/>
      <c r="J289" s="397"/>
      <c r="K289" s="406"/>
      <c r="L289" s="406"/>
      <c r="M289" s="406"/>
      <c r="N289" s="406"/>
      <c r="O289" s="406"/>
      <c r="P289" s="406"/>
      <c r="Q289" s="406"/>
      <c r="R289" s="444"/>
      <c r="S289" s="436"/>
      <c r="T289" s="415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6"/>
      <c r="V289" s="416"/>
      <c r="W289" s="417"/>
      <c r="X289" s="418"/>
      <c r="Y289" s="419" t="str">
        <f t="shared" ca="1" si="22"/>
        <v/>
      </c>
      <c r="Z289" s="420" t="str">
        <f t="shared" ca="1" si="23"/>
        <v/>
      </c>
      <c r="AA289" s="419" t="str">
        <f t="shared" ca="1" si="24"/>
        <v/>
      </c>
      <c r="AB289" s="421" t="str">
        <f t="shared" ca="1" si="25"/>
        <v/>
      </c>
      <c r="AC289" s="420" t="str">
        <f t="shared" ca="1" si="26"/>
        <v/>
      </c>
      <c r="AD289" s="221"/>
    </row>
    <row r="290" spans="1:30" customFormat="1" ht="15">
      <c r="A290" s="221"/>
      <c r="B290" s="269">
        <v>252</v>
      </c>
      <c r="C290" s="247"/>
      <c r="D290" s="248"/>
      <c r="E290" s="240"/>
      <c r="F290" s="226"/>
      <c r="G290" s="232"/>
      <c r="H290" s="379">
        <v>276</v>
      </c>
      <c r="I290" s="397"/>
      <c r="J290" s="397"/>
      <c r="K290" s="406"/>
      <c r="L290" s="406"/>
      <c r="M290" s="406"/>
      <c r="N290" s="406"/>
      <c r="O290" s="406"/>
      <c r="P290" s="406"/>
      <c r="Q290" s="406"/>
      <c r="R290" s="444"/>
      <c r="S290" s="436"/>
      <c r="T290" s="415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6"/>
      <c r="V290" s="416"/>
      <c r="W290" s="417"/>
      <c r="X290" s="418"/>
      <c r="Y290" s="419" t="str">
        <f t="shared" ca="1" si="22"/>
        <v/>
      </c>
      <c r="Z290" s="420" t="str">
        <f t="shared" ca="1" si="23"/>
        <v/>
      </c>
      <c r="AA290" s="419" t="str">
        <f t="shared" ca="1" si="24"/>
        <v/>
      </c>
      <c r="AB290" s="421" t="str">
        <f t="shared" ca="1" si="25"/>
        <v/>
      </c>
      <c r="AC290" s="420" t="str">
        <f t="shared" ca="1" si="26"/>
        <v/>
      </c>
      <c r="AD290" s="221"/>
    </row>
    <row r="291" spans="1:30" customFormat="1" ht="15">
      <c r="A291" s="221"/>
      <c r="B291" s="269">
        <v>253</v>
      </c>
      <c r="C291" s="247"/>
      <c r="D291" s="248"/>
      <c r="E291" s="240"/>
      <c r="F291" s="226"/>
      <c r="G291" s="232"/>
      <c r="H291" s="379">
        <v>277</v>
      </c>
      <c r="I291" s="397"/>
      <c r="J291" s="397"/>
      <c r="K291" s="406"/>
      <c r="L291" s="406"/>
      <c r="M291" s="406"/>
      <c r="N291" s="406"/>
      <c r="O291" s="406"/>
      <c r="P291" s="406"/>
      <c r="Q291" s="406"/>
      <c r="R291" s="444"/>
      <c r="S291" s="436"/>
      <c r="T291" s="415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6"/>
      <c r="V291" s="416"/>
      <c r="W291" s="417"/>
      <c r="X291" s="418"/>
      <c r="Y291" s="419" t="str">
        <f t="shared" ca="1" si="22"/>
        <v/>
      </c>
      <c r="Z291" s="420" t="str">
        <f t="shared" ca="1" si="23"/>
        <v/>
      </c>
      <c r="AA291" s="419" t="str">
        <f t="shared" ca="1" si="24"/>
        <v/>
      </c>
      <c r="AB291" s="421" t="str">
        <f t="shared" ca="1" si="25"/>
        <v/>
      </c>
      <c r="AC291" s="420" t="str">
        <f t="shared" ca="1" si="26"/>
        <v/>
      </c>
      <c r="AD291" s="221"/>
    </row>
    <row r="292" spans="1:30" customFormat="1" ht="15">
      <c r="A292" s="221"/>
      <c r="B292" s="269">
        <v>254</v>
      </c>
      <c r="C292" s="247"/>
      <c r="D292" s="248"/>
      <c r="E292" s="240"/>
      <c r="F292" s="226"/>
      <c r="G292" s="232"/>
      <c r="H292" s="379">
        <v>278</v>
      </c>
      <c r="I292" s="397"/>
      <c r="J292" s="397"/>
      <c r="K292" s="406"/>
      <c r="L292" s="406"/>
      <c r="M292" s="406"/>
      <c r="N292" s="406"/>
      <c r="O292" s="406"/>
      <c r="P292" s="406"/>
      <c r="Q292" s="406"/>
      <c r="R292" s="444"/>
      <c r="S292" s="436"/>
      <c r="T292" s="415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6"/>
      <c r="V292" s="416"/>
      <c r="W292" s="417"/>
      <c r="X292" s="418"/>
      <c r="Y292" s="419" t="str">
        <f t="shared" ca="1" si="22"/>
        <v/>
      </c>
      <c r="Z292" s="420" t="str">
        <f t="shared" ca="1" si="23"/>
        <v/>
      </c>
      <c r="AA292" s="419" t="str">
        <f t="shared" ca="1" si="24"/>
        <v/>
      </c>
      <c r="AB292" s="421" t="str">
        <f t="shared" ca="1" si="25"/>
        <v/>
      </c>
      <c r="AC292" s="420" t="str">
        <f t="shared" ca="1" si="26"/>
        <v/>
      </c>
      <c r="AD292" s="221"/>
    </row>
    <row r="293" spans="1:30" customFormat="1" ht="15">
      <c r="A293" s="221"/>
      <c r="B293" s="269">
        <v>255</v>
      </c>
      <c r="C293" s="247"/>
      <c r="D293" s="248"/>
      <c r="E293" s="240"/>
      <c r="F293" s="226"/>
      <c r="G293" s="232"/>
      <c r="H293" s="379">
        <v>279</v>
      </c>
      <c r="I293" s="397"/>
      <c r="J293" s="397"/>
      <c r="K293" s="406"/>
      <c r="L293" s="406"/>
      <c r="M293" s="406"/>
      <c r="N293" s="406"/>
      <c r="O293" s="406"/>
      <c r="P293" s="406"/>
      <c r="Q293" s="406"/>
      <c r="R293" s="444"/>
      <c r="S293" s="436"/>
      <c r="T293" s="415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6"/>
      <c r="V293" s="416"/>
      <c r="W293" s="417"/>
      <c r="X293" s="418"/>
      <c r="Y293" s="419" t="str">
        <f t="shared" ca="1" si="22"/>
        <v/>
      </c>
      <c r="Z293" s="420" t="str">
        <f t="shared" ca="1" si="23"/>
        <v/>
      </c>
      <c r="AA293" s="419" t="str">
        <f t="shared" ca="1" si="24"/>
        <v/>
      </c>
      <c r="AB293" s="421" t="str">
        <f t="shared" ca="1" si="25"/>
        <v/>
      </c>
      <c r="AC293" s="420" t="str">
        <f t="shared" ca="1" si="26"/>
        <v/>
      </c>
      <c r="AD293" s="221"/>
    </row>
    <row r="294" spans="1:30" customFormat="1" ht="15">
      <c r="A294" s="221"/>
      <c r="B294" s="269">
        <v>256</v>
      </c>
      <c r="C294" s="247"/>
      <c r="D294" s="248"/>
      <c r="E294" s="240"/>
      <c r="F294" s="226"/>
      <c r="G294" s="232"/>
      <c r="H294" s="379">
        <v>280</v>
      </c>
      <c r="I294" s="397"/>
      <c r="J294" s="397"/>
      <c r="K294" s="406"/>
      <c r="L294" s="406"/>
      <c r="M294" s="406"/>
      <c r="N294" s="406"/>
      <c r="O294" s="406"/>
      <c r="P294" s="406"/>
      <c r="Q294" s="406"/>
      <c r="R294" s="444"/>
      <c r="S294" s="436"/>
      <c r="T294" s="415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6"/>
      <c r="V294" s="416"/>
      <c r="W294" s="417"/>
      <c r="X294" s="418"/>
      <c r="Y294" s="419" t="str">
        <f t="shared" ca="1" si="22"/>
        <v/>
      </c>
      <c r="Z294" s="420" t="str">
        <f t="shared" ca="1" si="23"/>
        <v/>
      </c>
      <c r="AA294" s="419" t="str">
        <f t="shared" ca="1" si="24"/>
        <v/>
      </c>
      <c r="AB294" s="421" t="str">
        <f t="shared" ca="1" si="25"/>
        <v/>
      </c>
      <c r="AC294" s="420" t="str">
        <f t="shared" ca="1" si="26"/>
        <v/>
      </c>
      <c r="AD294" s="221"/>
    </row>
    <row r="295" spans="1:30" customFormat="1" ht="15">
      <c r="A295" s="221"/>
      <c r="B295" s="269">
        <v>257</v>
      </c>
      <c r="C295" s="247"/>
      <c r="D295" s="248"/>
      <c r="E295" s="240"/>
      <c r="F295" s="226"/>
      <c r="G295" s="232"/>
      <c r="H295" s="379">
        <v>281</v>
      </c>
      <c r="I295" s="397"/>
      <c r="J295" s="397"/>
      <c r="K295" s="406"/>
      <c r="L295" s="406"/>
      <c r="M295" s="406"/>
      <c r="N295" s="406"/>
      <c r="O295" s="406"/>
      <c r="P295" s="406"/>
      <c r="Q295" s="406"/>
      <c r="R295" s="444"/>
      <c r="S295" s="436"/>
      <c r="T295" s="415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6"/>
      <c r="V295" s="416"/>
      <c r="W295" s="417"/>
      <c r="X295" s="418"/>
      <c r="Y295" s="419" t="str">
        <f t="shared" ca="1" si="22"/>
        <v/>
      </c>
      <c r="Z295" s="420" t="str">
        <f t="shared" ca="1" si="23"/>
        <v/>
      </c>
      <c r="AA295" s="419" t="str">
        <f t="shared" ca="1" si="24"/>
        <v/>
      </c>
      <c r="AB295" s="421" t="str">
        <f t="shared" ca="1" si="25"/>
        <v/>
      </c>
      <c r="AC295" s="420" t="str">
        <f t="shared" ca="1" si="26"/>
        <v/>
      </c>
      <c r="AD295" s="221"/>
    </row>
    <row r="296" spans="1:30" customFormat="1" ht="15">
      <c r="A296" s="221"/>
      <c r="B296" s="269">
        <v>258</v>
      </c>
      <c r="C296" s="247"/>
      <c r="D296" s="248"/>
      <c r="E296" s="240"/>
      <c r="F296" s="226"/>
      <c r="G296" s="232"/>
      <c r="H296" s="379">
        <v>282</v>
      </c>
      <c r="I296" s="397"/>
      <c r="J296" s="397"/>
      <c r="K296" s="406"/>
      <c r="L296" s="406"/>
      <c r="M296" s="406"/>
      <c r="N296" s="406"/>
      <c r="O296" s="406"/>
      <c r="P296" s="406"/>
      <c r="Q296" s="406"/>
      <c r="R296" s="444"/>
      <c r="S296" s="436"/>
      <c r="T296" s="415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6"/>
      <c r="V296" s="416"/>
      <c r="W296" s="417"/>
      <c r="X296" s="418"/>
      <c r="Y296" s="419" t="str">
        <f t="shared" ca="1" si="22"/>
        <v/>
      </c>
      <c r="Z296" s="420" t="str">
        <f t="shared" ca="1" si="23"/>
        <v/>
      </c>
      <c r="AA296" s="419" t="str">
        <f t="shared" ca="1" si="24"/>
        <v/>
      </c>
      <c r="AB296" s="421" t="str">
        <f t="shared" ca="1" si="25"/>
        <v/>
      </c>
      <c r="AC296" s="420" t="str">
        <f t="shared" ca="1" si="26"/>
        <v/>
      </c>
      <c r="AD296" s="221"/>
    </row>
    <row r="297" spans="1:30" customFormat="1" ht="15">
      <c r="A297" s="221"/>
      <c r="B297" s="269">
        <v>259</v>
      </c>
      <c r="C297" s="247"/>
      <c r="D297" s="248"/>
      <c r="E297" s="240"/>
      <c r="F297" s="226"/>
      <c r="G297" s="232"/>
      <c r="H297" s="379">
        <v>283</v>
      </c>
      <c r="I297" s="397"/>
      <c r="J297" s="397"/>
      <c r="K297" s="406"/>
      <c r="L297" s="406"/>
      <c r="M297" s="406"/>
      <c r="N297" s="406"/>
      <c r="O297" s="406"/>
      <c r="P297" s="406"/>
      <c r="Q297" s="406"/>
      <c r="R297" s="444"/>
      <c r="S297" s="436"/>
      <c r="T297" s="415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6"/>
      <c r="V297" s="416"/>
      <c r="W297" s="417"/>
      <c r="X297" s="418"/>
      <c r="Y297" s="419" t="str">
        <f t="shared" ca="1" si="22"/>
        <v/>
      </c>
      <c r="Z297" s="420" t="str">
        <f t="shared" ca="1" si="23"/>
        <v/>
      </c>
      <c r="AA297" s="419" t="str">
        <f t="shared" ca="1" si="24"/>
        <v/>
      </c>
      <c r="AB297" s="421" t="str">
        <f t="shared" ca="1" si="25"/>
        <v/>
      </c>
      <c r="AC297" s="420" t="str">
        <f t="shared" ca="1" si="26"/>
        <v/>
      </c>
      <c r="AD297" s="221"/>
    </row>
    <row r="298" spans="1:30" customFormat="1" ht="15">
      <c r="A298" s="221"/>
      <c r="B298" s="269">
        <v>260</v>
      </c>
      <c r="C298" s="247"/>
      <c r="D298" s="248"/>
      <c r="E298" s="240"/>
      <c r="F298" s="226"/>
      <c r="G298" s="232"/>
      <c r="H298" s="379">
        <v>284</v>
      </c>
      <c r="I298" s="397"/>
      <c r="J298" s="397"/>
      <c r="K298" s="406"/>
      <c r="L298" s="406"/>
      <c r="M298" s="406"/>
      <c r="N298" s="406"/>
      <c r="O298" s="406"/>
      <c r="P298" s="406"/>
      <c r="Q298" s="406"/>
      <c r="R298" s="444"/>
      <c r="S298" s="436"/>
      <c r="T298" s="415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6"/>
      <c r="V298" s="416"/>
      <c r="W298" s="417"/>
      <c r="X298" s="418"/>
      <c r="Y298" s="419" t="str">
        <f t="shared" ca="1" si="22"/>
        <v/>
      </c>
      <c r="Z298" s="420" t="str">
        <f t="shared" ca="1" si="23"/>
        <v/>
      </c>
      <c r="AA298" s="419" t="str">
        <f t="shared" ca="1" si="24"/>
        <v/>
      </c>
      <c r="AB298" s="421" t="str">
        <f t="shared" ca="1" si="25"/>
        <v/>
      </c>
      <c r="AC298" s="420" t="str">
        <f t="shared" ca="1" si="26"/>
        <v/>
      </c>
      <c r="AD298" s="221"/>
    </row>
    <row r="299" spans="1:30" customFormat="1" ht="15">
      <c r="A299" s="221"/>
      <c r="B299" s="269">
        <v>261</v>
      </c>
      <c r="C299" s="247"/>
      <c r="D299" s="248"/>
      <c r="E299" s="240"/>
      <c r="F299" s="226"/>
      <c r="G299" s="232"/>
      <c r="H299" s="379">
        <v>285</v>
      </c>
      <c r="I299" s="397"/>
      <c r="J299" s="397"/>
      <c r="K299" s="406"/>
      <c r="L299" s="406"/>
      <c r="M299" s="406"/>
      <c r="N299" s="406"/>
      <c r="O299" s="406"/>
      <c r="P299" s="406"/>
      <c r="Q299" s="406"/>
      <c r="R299" s="444"/>
      <c r="S299" s="436"/>
      <c r="T299" s="415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6"/>
      <c r="V299" s="416"/>
      <c r="W299" s="417"/>
      <c r="X299" s="418"/>
      <c r="Y299" s="419" t="str">
        <f t="shared" ca="1" si="22"/>
        <v/>
      </c>
      <c r="Z299" s="420" t="str">
        <f t="shared" ca="1" si="23"/>
        <v/>
      </c>
      <c r="AA299" s="419" t="str">
        <f t="shared" ca="1" si="24"/>
        <v/>
      </c>
      <c r="AB299" s="421" t="str">
        <f t="shared" ca="1" si="25"/>
        <v/>
      </c>
      <c r="AC299" s="420" t="str">
        <f t="shared" ca="1" si="26"/>
        <v/>
      </c>
      <c r="AD299" s="221"/>
    </row>
    <row r="300" spans="1:30" customFormat="1" ht="15">
      <c r="A300" s="221"/>
      <c r="B300" s="269">
        <v>262</v>
      </c>
      <c r="C300" s="247"/>
      <c r="D300" s="248"/>
      <c r="E300" s="240"/>
      <c r="F300" s="226"/>
      <c r="G300" s="232"/>
      <c r="H300" s="379">
        <v>286</v>
      </c>
      <c r="I300" s="397"/>
      <c r="J300" s="397"/>
      <c r="K300" s="406"/>
      <c r="L300" s="406"/>
      <c r="M300" s="406"/>
      <c r="N300" s="406"/>
      <c r="O300" s="406"/>
      <c r="P300" s="406"/>
      <c r="Q300" s="406"/>
      <c r="R300" s="444"/>
      <c r="S300" s="436"/>
      <c r="T300" s="415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6"/>
      <c r="V300" s="416"/>
      <c r="W300" s="417"/>
      <c r="X300" s="418"/>
      <c r="Y300" s="419" t="str">
        <f t="shared" ca="1" si="22"/>
        <v/>
      </c>
      <c r="Z300" s="420" t="str">
        <f t="shared" ca="1" si="23"/>
        <v/>
      </c>
      <c r="AA300" s="419" t="str">
        <f t="shared" ca="1" si="24"/>
        <v/>
      </c>
      <c r="AB300" s="421" t="str">
        <f t="shared" ca="1" si="25"/>
        <v/>
      </c>
      <c r="AC300" s="420" t="str">
        <f t="shared" ca="1" si="26"/>
        <v/>
      </c>
      <c r="AD300" s="221"/>
    </row>
    <row r="301" spans="1:30" customFormat="1" ht="15">
      <c r="A301" s="221"/>
      <c r="B301" s="269">
        <v>263</v>
      </c>
      <c r="C301" s="247"/>
      <c r="D301" s="248"/>
      <c r="E301" s="240"/>
      <c r="F301" s="226"/>
      <c r="G301" s="232"/>
      <c r="H301" s="379">
        <v>287</v>
      </c>
      <c r="I301" s="397"/>
      <c r="J301" s="397"/>
      <c r="K301" s="406"/>
      <c r="L301" s="406"/>
      <c r="M301" s="406"/>
      <c r="N301" s="406"/>
      <c r="O301" s="406"/>
      <c r="P301" s="406"/>
      <c r="Q301" s="406"/>
      <c r="R301" s="444"/>
      <c r="S301" s="436"/>
      <c r="T301" s="415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6"/>
      <c r="V301" s="416"/>
      <c r="W301" s="417"/>
      <c r="X301" s="418"/>
      <c r="Y301" s="419" t="str">
        <f t="shared" ca="1" si="22"/>
        <v/>
      </c>
      <c r="Z301" s="420" t="str">
        <f t="shared" ca="1" si="23"/>
        <v/>
      </c>
      <c r="AA301" s="419" t="str">
        <f t="shared" ca="1" si="24"/>
        <v/>
      </c>
      <c r="AB301" s="421" t="str">
        <f t="shared" ca="1" si="25"/>
        <v/>
      </c>
      <c r="AC301" s="420" t="str">
        <f t="shared" ca="1" si="26"/>
        <v/>
      </c>
      <c r="AD301" s="221"/>
    </row>
    <row r="302" spans="1:30" customFormat="1" ht="15">
      <c r="A302" s="221"/>
      <c r="B302" s="269">
        <v>264</v>
      </c>
      <c r="C302" s="247"/>
      <c r="D302" s="248"/>
      <c r="E302" s="240"/>
      <c r="F302" s="226"/>
      <c r="G302" s="232"/>
      <c r="H302" s="379">
        <v>288</v>
      </c>
      <c r="I302" s="397"/>
      <c r="J302" s="397"/>
      <c r="K302" s="406"/>
      <c r="L302" s="406"/>
      <c r="M302" s="406"/>
      <c r="N302" s="406"/>
      <c r="O302" s="406"/>
      <c r="P302" s="406"/>
      <c r="Q302" s="406"/>
      <c r="R302" s="444"/>
      <c r="S302" s="436"/>
      <c r="T302" s="415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6"/>
      <c r="V302" s="416"/>
      <c r="W302" s="417"/>
      <c r="X302" s="418"/>
      <c r="Y302" s="419" t="str">
        <f t="shared" ca="1" si="22"/>
        <v/>
      </c>
      <c r="Z302" s="420" t="str">
        <f t="shared" ca="1" si="23"/>
        <v/>
      </c>
      <c r="AA302" s="419" t="str">
        <f t="shared" ca="1" si="24"/>
        <v/>
      </c>
      <c r="AB302" s="421" t="str">
        <f t="shared" ca="1" si="25"/>
        <v/>
      </c>
      <c r="AC302" s="420" t="str">
        <f t="shared" ca="1" si="26"/>
        <v/>
      </c>
      <c r="AD302" s="221"/>
    </row>
    <row r="303" spans="1:30" customFormat="1" ht="15">
      <c r="A303" s="221"/>
      <c r="B303" s="269">
        <v>265</v>
      </c>
      <c r="C303" s="247"/>
      <c r="D303" s="248"/>
      <c r="E303" s="240"/>
      <c r="F303" s="226"/>
      <c r="G303" s="232"/>
      <c r="H303" s="379">
        <v>289</v>
      </c>
      <c r="I303" s="397"/>
      <c r="J303" s="397"/>
      <c r="K303" s="406"/>
      <c r="L303" s="406"/>
      <c r="M303" s="406"/>
      <c r="N303" s="406"/>
      <c r="O303" s="406"/>
      <c r="P303" s="406"/>
      <c r="Q303" s="406"/>
      <c r="R303" s="444"/>
      <c r="S303" s="436"/>
      <c r="T303" s="415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6"/>
      <c r="V303" s="416"/>
      <c r="W303" s="417"/>
      <c r="X303" s="418"/>
      <c r="Y303" s="419" t="str">
        <f t="shared" ca="1" si="22"/>
        <v/>
      </c>
      <c r="Z303" s="420" t="str">
        <f t="shared" ca="1" si="23"/>
        <v/>
      </c>
      <c r="AA303" s="419" t="str">
        <f t="shared" ca="1" si="24"/>
        <v/>
      </c>
      <c r="AB303" s="421" t="str">
        <f t="shared" ca="1" si="25"/>
        <v/>
      </c>
      <c r="AC303" s="420" t="str">
        <f t="shared" ca="1" si="26"/>
        <v/>
      </c>
      <c r="AD303" s="221"/>
    </row>
    <row r="304" spans="1:30" customFormat="1" ht="15">
      <c r="A304" s="221"/>
      <c r="B304" s="269">
        <v>266</v>
      </c>
      <c r="C304" s="247"/>
      <c r="D304" s="248"/>
      <c r="E304" s="240"/>
      <c r="F304" s="226"/>
      <c r="G304" s="232"/>
      <c r="H304" s="379">
        <v>290</v>
      </c>
      <c r="I304" s="397"/>
      <c r="J304" s="397"/>
      <c r="K304" s="406"/>
      <c r="L304" s="406"/>
      <c r="M304" s="406"/>
      <c r="N304" s="406"/>
      <c r="O304" s="406"/>
      <c r="P304" s="406"/>
      <c r="Q304" s="406"/>
      <c r="R304" s="444"/>
      <c r="S304" s="436"/>
      <c r="T304" s="415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6"/>
      <c r="V304" s="416"/>
      <c r="W304" s="417"/>
      <c r="X304" s="418"/>
      <c r="Y304" s="419" t="str">
        <f t="shared" ca="1" si="22"/>
        <v/>
      </c>
      <c r="Z304" s="420" t="str">
        <f t="shared" ca="1" si="23"/>
        <v/>
      </c>
      <c r="AA304" s="419" t="str">
        <f t="shared" ca="1" si="24"/>
        <v/>
      </c>
      <c r="AB304" s="421" t="str">
        <f t="shared" ca="1" si="25"/>
        <v/>
      </c>
      <c r="AC304" s="420" t="str">
        <f t="shared" ca="1" si="26"/>
        <v/>
      </c>
      <c r="AD304" s="221"/>
    </row>
    <row r="305" spans="1:30" customFormat="1" ht="15">
      <c r="A305" s="221"/>
      <c r="B305" s="269">
        <v>267</v>
      </c>
      <c r="C305" s="247"/>
      <c r="D305" s="248"/>
      <c r="E305" s="240"/>
      <c r="F305" s="226"/>
      <c r="G305" s="232"/>
      <c r="H305" s="379">
        <v>291</v>
      </c>
      <c r="I305" s="397"/>
      <c r="J305" s="397"/>
      <c r="K305" s="406"/>
      <c r="L305" s="406"/>
      <c r="M305" s="406"/>
      <c r="N305" s="406"/>
      <c r="O305" s="406"/>
      <c r="P305" s="406"/>
      <c r="Q305" s="406"/>
      <c r="R305" s="444"/>
      <c r="S305" s="436"/>
      <c r="T305" s="415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6"/>
      <c r="V305" s="416"/>
      <c r="W305" s="417"/>
      <c r="X305" s="418"/>
      <c r="Y305" s="419" t="str">
        <f t="shared" ca="1" si="22"/>
        <v/>
      </c>
      <c r="Z305" s="420" t="str">
        <f t="shared" ca="1" si="23"/>
        <v/>
      </c>
      <c r="AA305" s="419" t="str">
        <f t="shared" ca="1" si="24"/>
        <v/>
      </c>
      <c r="AB305" s="421" t="str">
        <f t="shared" ca="1" si="25"/>
        <v/>
      </c>
      <c r="AC305" s="420" t="str">
        <f t="shared" ca="1" si="26"/>
        <v/>
      </c>
      <c r="AD305" s="221"/>
    </row>
    <row r="306" spans="1:30" customFormat="1" ht="15">
      <c r="A306" s="221"/>
      <c r="B306" s="269">
        <v>268</v>
      </c>
      <c r="C306" s="247"/>
      <c r="D306" s="248"/>
      <c r="E306" s="240"/>
      <c r="F306" s="226"/>
      <c r="G306" s="232"/>
      <c r="H306" s="379">
        <v>292</v>
      </c>
      <c r="I306" s="397"/>
      <c r="J306" s="397"/>
      <c r="K306" s="406"/>
      <c r="L306" s="406"/>
      <c r="M306" s="406"/>
      <c r="N306" s="406"/>
      <c r="O306" s="406"/>
      <c r="P306" s="406"/>
      <c r="Q306" s="406"/>
      <c r="R306" s="444"/>
      <c r="S306" s="436"/>
      <c r="T306" s="415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6"/>
      <c r="V306" s="416"/>
      <c r="W306" s="417"/>
      <c r="X306" s="418"/>
      <c r="Y306" s="419" t="str">
        <f t="shared" ca="1" si="22"/>
        <v/>
      </c>
      <c r="Z306" s="420" t="str">
        <f t="shared" ca="1" si="23"/>
        <v/>
      </c>
      <c r="AA306" s="419" t="str">
        <f t="shared" ca="1" si="24"/>
        <v/>
      </c>
      <c r="AB306" s="421" t="str">
        <f t="shared" ca="1" si="25"/>
        <v/>
      </c>
      <c r="AC306" s="420" t="str">
        <f t="shared" ca="1" si="26"/>
        <v/>
      </c>
      <c r="AD306" s="221"/>
    </row>
    <row r="307" spans="1:30" customFormat="1" ht="15">
      <c r="A307" s="221"/>
      <c r="B307" s="269">
        <v>269</v>
      </c>
      <c r="C307" s="247"/>
      <c r="D307" s="248"/>
      <c r="E307" s="240"/>
      <c r="F307" s="226"/>
      <c r="G307" s="232"/>
      <c r="H307" s="379">
        <v>293</v>
      </c>
      <c r="I307" s="397"/>
      <c r="J307" s="397"/>
      <c r="K307" s="406"/>
      <c r="L307" s="406"/>
      <c r="M307" s="406"/>
      <c r="N307" s="406"/>
      <c r="O307" s="406"/>
      <c r="P307" s="406"/>
      <c r="Q307" s="406"/>
      <c r="R307" s="444"/>
      <c r="S307" s="436"/>
      <c r="T307" s="415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6"/>
      <c r="V307" s="416"/>
      <c r="W307" s="417"/>
      <c r="X307" s="418"/>
      <c r="Y307" s="419" t="str">
        <f t="shared" ca="1" si="22"/>
        <v/>
      </c>
      <c r="Z307" s="420" t="str">
        <f t="shared" ca="1" si="23"/>
        <v/>
      </c>
      <c r="AA307" s="419" t="str">
        <f t="shared" ca="1" si="24"/>
        <v/>
      </c>
      <c r="AB307" s="421" t="str">
        <f t="shared" ca="1" si="25"/>
        <v/>
      </c>
      <c r="AC307" s="420" t="str">
        <f t="shared" ca="1" si="26"/>
        <v/>
      </c>
      <c r="AD307" s="221"/>
    </row>
    <row r="308" spans="1:30" customFormat="1" ht="15">
      <c r="A308" s="221"/>
      <c r="B308" s="269">
        <v>270</v>
      </c>
      <c r="C308" s="247"/>
      <c r="D308" s="248"/>
      <c r="E308" s="240"/>
      <c r="F308" s="226"/>
      <c r="G308" s="232"/>
      <c r="H308" s="379">
        <v>294</v>
      </c>
      <c r="I308" s="397"/>
      <c r="J308" s="397"/>
      <c r="K308" s="406"/>
      <c r="L308" s="406"/>
      <c r="M308" s="406"/>
      <c r="N308" s="406"/>
      <c r="O308" s="406"/>
      <c r="P308" s="406"/>
      <c r="Q308" s="406"/>
      <c r="R308" s="444"/>
      <c r="S308" s="436"/>
      <c r="T308" s="415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6"/>
      <c r="V308" s="416"/>
      <c r="W308" s="417"/>
      <c r="X308" s="418"/>
      <c r="Y308" s="419" t="str">
        <f t="shared" ca="1" si="22"/>
        <v/>
      </c>
      <c r="Z308" s="420" t="str">
        <f t="shared" ca="1" si="23"/>
        <v/>
      </c>
      <c r="AA308" s="419" t="str">
        <f t="shared" ca="1" si="24"/>
        <v/>
      </c>
      <c r="AB308" s="421" t="str">
        <f t="shared" ca="1" si="25"/>
        <v/>
      </c>
      <c r="AC308" s="420" t="str">
        <f t="shared" ca="1" si="26"/>
        <v/>
      </c>
      <c r="AD308" s="221"/>
    </row>
    <row r="309" spans="1:30" customFormat="1" ht="15">
      <c r="A309" s="221"/>
      <c r="B309" s="269">
        <v>271</v>
      </c>
      <c r="C309" s="247"/>
      <c r="D309" s="248"/>
      <c r="E309" s="240"/>
      <c r="F309" s="226"/>
      <c r="G309" s="232"/>
      <c r="H309" s="379">
        <v>295</v>
      </c>
      <c r="I309" s="397"/>
      <c r="J309" s="397"/>
      <c r="K309" s="406"/>
      <c r="L309" s="406"/>
      <c r="M309" s="406"/>
      <c r="N309" s="406"/>
      <c r="O309" s="406"/>
      <c r="P309" s="406"/>
      <c r="Q309" s="406"/>
      <c r="R309" s="444"/>
      <c r="S309" s="436"/>
      <c r="T309" s="415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6"/>
      <c r="V309" s="416"/>
      <c r="W309" s="417"/>
      <c r="X309" s="418"/>
      <c r="Y309" s="419" t="str">
        <f t="shared" ca="1" si="22"/>
        <v/>
      </c>
      <c r="Z309" s="420" t="str">
        <f t="shared" ca="1" si="23"/>
        <v/>
      </c>
      <c r="AA309" s="419" t="str">
        <f t="shared" ca="1" si="24"/>
        <v/>
      </c>
      <c r="AB309" s="421" t="str">
        <f t="shared" ca="1" si="25"/>
        <v/>
      </c>
      <c r="AC309" s="420" t="str">
        <f t="shared" ca="1" si="26"/>
        <v/>
      </c>
      <c r="AD309" s="221"/>
    </row>
    <row r="310" spans="1:30" customFormat="1" ht="15">
      <c r="A310" s="221"/>
      <c r="B310" s="269">
        <v>272</v>
      </c>
      <c r="C310" s="247"/>
      <c r="D310" s="248"/>
      <c r="E310" s="240"/>
      <c r="F310" s="226"/>
      <c r="G310" s="232"/>
      <c r="H310" s="379">
        <v>296</v>
      </c>
      <c r="I310" s="397"/>
      <c r="J310" s="397"/>
      <c r="K310" s="406"/>
      <c r="L310" s="406"/>
      <c r="M310" s="406"/>
      <c r="N310" s="406"/>
      <c r="O310" s="406"/>
      <c r="P310" s="406"/>
      <c r="Q310" s="406"/>
      <c r="R310" s="444"/>
      <c r="S310" s="436"/>
      <c r="T310" s="415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6"/>
      <c r="V310" s="416"/>
      <c r="W310" s="417"/>
      <c r="X310" s="418"/>
      <c r="Y310" s="419" t="str">
        <f t="shared" ca="1" si="22"/>
        <v/>
      </c>
      <c r="Z310" s="420" t="str">
        <f t="shared" ca="1" si="23"/>
        <v/>
      </c>
      <c r="AA310" s="419" t="str">
        <f t="shared" ca="1" si="24"/>
        <v/>
      </c>
      <c r="AB310" s="421" t="str">
        <f t="shared" ca="1" si="25"/>
        <v/>
      </c>
      <c r="AC310" s="420" t="str">
        <f t="shared" ca="1" si="26"/>
        <v/>
      </c>
      <c r="AD310" s="221"/>
    </row>
    <row r="311" spans="1:30" customFormat="1" ht="15">
      <c r="A311" s="221"/>
      <c r="B311" s="269">
        <v>273</v>
      </c>
      <c r="C311" s="247"/>
      <c r="D311" s="248"/>
      <c r="E311" s="240"/>
      <c r="F311" s="226"/>
      <c r="G311" s="232"/>
      <c r="H311" s="379">
        <v>297</v>
      </c>
      <c r="I311" s="397"/>
      <c r="J311" s="397"/>
      <c r="K311" s="406"/>
      <c r="L311" s="406"/>
      <c r="M311" s="406"/>
      <c r="N311" s="406"/>
      <c r="O311" s="406"/>
      <c r="P311" s="406"/>
      <c r="Q311" s="406"/>
      <c r="R311" s="444"/>
      <c r="S311" s="436"/>
      <c r="T311" s="415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6"/>
      <c r="V311" s="416"/>
      <c r="W311" s="417"/>
      <c r="X311" s="418"/>
      <c r="Y311" s="419" t="str">
        <f t="shared" ca="1" si="22"/>
        <v/>
      </c>
      <c r="Z311" s="420" t="str">
        <f t="shared" ca="1" si="23"/>
        <v/>
      </c>
      <c r="AA311" s="419" t="str">
        <f t="shared" ca="1" si="24"/>
        <v/>
      </c>
      <c r="AB311" s="421" t="str">
        <f t="shared" ca="1" si="25"/>
        <v/>
      </c>
      <c r="AC311" s="420" t="str">
        <f t="shared" ca="1" si="26"/>
        <v/>
      </c>
      <c r="AD311" s="221"/>
    </row>
    <row r="312" spans="1:30" customFormat="1" ht="15">
      <c r="A312" s="221"/>
      <c r="B312" s="269">
        <v>274</v>
      </c>
      <c r="C312" s="247"/>
      <c r="D312" s="248"/>
      <c r="E312" s="240"/>
      <c r="F312" s="226"/>
      <c r="G312" s="232"/>
      <c r="H312" s="379">
        <v>298</v>
      </c>
      <c r="I312" s="397"/>
      <c r="J312" s="397"/>
      <c r="K312" s="406"/>
      <c r="L312" s="406"/>
      <c r="M312" s="406"/>
      <c r="N312" s="406"/>
      <c r="O312" s="406"/>
      <c r="P312" s="406"/>
      <c r="Q312" s="406"/>
      <c r="R312" s="444"/>
      <c r="S312" s="436"/>
      <c r="T312" s="415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6"/>
      <c r="V312" s="416"/>
      <c r="W312" s="417"/>
      <c r="X312" s="418"/>
      <c r="Y312" s="419" t="str">
        <f t="shared" ca="1" si="22"/>
        <v/>
      </c>
      <c r="Z312" s="420" t="str">
        <f t="shared" ca="1" si="23"/>
        <v/>
      </c>
      <c r="AA312" s="419" t="str">
        <f t="shared" ca="1" si="24"/>
        <v/>
      </c>
      <c r="AB312" s="421" t="str">
        <f t="shared" ca="1" si="25"/>
        <v/>
      </c>
      <c r="AC312" s="420" t="str">
        <f t="shared" ca="1" si="26"/>
        <v/>
      </c>
      <c r="AD312" s="221"/>
    </row>
    <row r="313" spans="1:30" customFormat="1" ht="15">
      <c r="A313" s="221"/>
      <c r="B313" s="269">
        <v>275</v>
      </c>
      <c r="C313" s="247"/>
      <c r="D313" s="248"/>
      <c r="E313" s="240"/>
      <c r="F313" s="226"/>
      <c r="G313" s="232"/>
      <c r="H313" s="379">
        <v>299</v>
      </c>
      <c r="I313" s="397"/>
      <c r="J313" s="397"/>
      <c r="K313" s="406"/>
      <c r="L313" s="406"/>
      <c r="M313" s="406"/>
      <c r="N313" s="406"/>
      <c r="O313" s="406"/>
      <c r="P313" s="406"/>
      <c r="Q313" s="406"/>
      <c r="R313" s="444"/>
      <c r="S313" s="436"/>
      <c r="T313" s="415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6"/>
      <c r="V313" s="416"/>
      <c r="W313" s="417"/>
      <c r="X313" s="418"/>
      <c r="Y313" s="419" t="str">
        <f t="shared" ca="1" si="22"/>
        <v/>
      </c>
      <c r="Z313" s="420" t="str">
        <f t="shared" ca="1" si="23"/>
        <v/>
      </c>
      <c r="AA313" s="419" t="str">
        <f t="shared" ca="1" si="24"/>
        <v/>
      </c>
      <c r="AB313" s="421" t="str">
        <f t="shared" ca="1" si="25"/>
        <v/>
      </c>
      <c r="AC313" s="420" t="str">
        <f t="shared" ca="1" si="26"/>
        <v/>
      </c>
      <c r="AD313" s="221"/>
    </row>
    <row r="314" spans="1:30" customFormat="1" ht="15.75" thickBot="1">
      <c r="A314" s="221"/>
      <c r="B314" s="269">
        <v>276</v>
      </c>
      <c r="C314" s="247"/>
      <c r="D314" s="248"/>
      <c r="E314" s="240"/>
      <c r="F314" s="226"/>
      <c r="G314" s="232"/>
      <c r="H314" s="382">
        <v>300</v>
      </c>
      <c r="I314" s="407"/>
      <c r="J314" s="407"/>
      <c r="K314" s="408"/>
      <c r="L314" s="408"/>
      <c r="M314" s="408"/>
      <c r="N314" s="408"/>
      <c r="O314" s="408"/>
      <c r="P314" s="408"/>
      <c r="Q314" s="408"/>
      <c r="R314" s="409"/>
      <c r="S314" s="446"/>
      <c r="T314" s="423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2"/>
      <c r="V314" s="422"/>
      <c r="W314" s="423"/>
      <c r="X314" s="424"/>
      <c r="Y314" s="419" t="str">
        <f t="shared" ca="1" si="22"/>
        <v/>
      </c>
      <c r="Z314" s="420" t="str">
        <f t="shared" ca="1" si="23"/>
        <v/>
      </c>
      <c r="AA314" s="423"/>
      <c r="AB314" s="423"/>
      <c r="AC314" s="409"/>
      <c r="AD314" s="221"/>
    </row>
    <row r="315" spans="1:30" customFormat="1" ht="15">
      <c r="A315" s="221"/>
      <c r="B315" s="269">
        <v>277</v>
      </c>
      <c r="C315" s="247"/>
      <c r="D315" s="248"/>
      <c r="E315" s="240"/>
      <c r="F315" s="226"/>
      <c r="G315" s="232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69">
        <v>278</v>
      </c>
      <c r="C316" s="247"/>
      <c r="D316" s="248"/>
      <c r="E316" s="240"/>
      <c r="F316" s="226"/>
      <c r="G316" s="232"/>
      <c r="S316" s="437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69">
        <v>279</v>
      </c>
      <c r="C317" s="247"/>
      <c r="D317" s="248"/>
      <c r="E317" s="240"/>
      <c r="F317" s="226"/>
      <c r="G317" s="232"/>
      <c r="S317" s="437"/>
    </row>
    <row r="318" spans="1:30" customFormat="1" ht="15">
      <c r="A318" s="221"/>
      <c r="B318" s="269">
        <v>280</v>
      </c>
      <c r="C318" s="247"/>
      <c r="D318" s="248"/>
      <c r="E318" s="240"/>
      <c r="F318" s="226"/>
      <c r="G318" s="232"/>
      <c r="S318" s="437"/>
    </row>
    <row r="319" spans="1:30" customFormat="1" ht="15">
      <c r="A319" s="221"/>
      <c r="B319" s="269">
        <v>281</v>
      </c>
      <c r="C319" s="247"/>
      <c r="D319" s="248"/>
      <c r="E319" s="240"/>
      <c r="F319" s="226"/>
      <c r="G319" s="232"/>
      <c r="S319" s="437"/>
    </row>
    <row r="320" spans="1:30" customFormat="1" ht="15">
      <c r="A320" s="221"/>
      <c r="B320" s="269">
        <v>282</v>
      </c>
      <c r="C320" s="247"/>
      <c r="D320" s="248"/>
      <c r="E320" s="240"/>
      <c r="F320" s="226"/>
      <c r="G320" s="232"/>
      <c r="S320" s="437"/>
    </row>
    <row r="321" spans="1:19" customFormat="1" ht="15">
      <c r="A321" s="221"/>
      <c r="B321" s="269">
        <v>283</v>
      </c>
      <c r="C321" s="247"/>
      <c r="D321" s="248"/>
      <c r="E321" s="240"/>
      <c r="F321" s="226"/>
      <c r="G321" s="232"/>
      <c r="S321" s="437"/>
    </row>
    <row r="322" spans="1:19" customFormat="1" ht="15">
      <c r="A322" s="221"/>
      <c r="B322" s="269">
        <v>284</v>
      </c>
      <c r="C322" s="247"/>
      <c r="D322" s="248"/>
      <c r="E322" s="240"/>
      <c r="F322" s="226"/>
      <c r="G322" s="232"/>
      <c r="S322" s="437"/>
    </row>
    <row r="323" spans="1:19" customFormat="1" ht="15">
      <c r="A323" s="221"/>
      <c r="B323" s="269">
        <v>285</v>
      </c>
      <c r="C323" s="247"/>
      <c r="D323" s="248"/>
      <c r="E323" s="240"/>
      <c r="F323" s="226"/>
      <c r="G323" s="232"/>
      <c r="S323" s="437"/>
    </row>
    <row r="324" spans="1:19" customFormat="1" ht="15">
      <c r="A324" s="221"/>
      <c r="B324" s="269">
        <v>286</v>
      </c>
      <c r="C324" s="247"/>
      <c r="D324" s="248"/>
      <c r="E324" s="240"/>
      <c r="F324" s="226"/>
      <c r="G324" s="232"/>
      <c r="S324" s="437"/>
    </row>
    <row r="325" spans="1:19" customFormat="1" ht="15">
      <c r="A325" s="221"/>
      <c r="B325" s="269">
        <v>287</v>
      </c>
      <c r="C325" s="247"/>
      <c r="D325" s="248"/>
      <c r="E325" s="240"/>
      <c r="F325" s="226"/>
      <c r="G325" s="232"/>
      <c r="S325" s="437"/>
    </row>
    <row r="326" spans="1:19" customFormat="1" ht="15">
      <c r="A326" s="221"/>
      <c r="B326" s="269">
        <v>288</v>
      </c>
      <c r="C326" s="247"/>
      <c r="D326" s="248"/>
      <c r="E326" s="240"/>
      <c r="F326" s="226"/>
      <c r="G326" s="232"/>
      <c r="S326" s="437"/>
    </row>
    <row r="327" spans="1:19" customFormat="1" ht="15">
      <c r="A327" s="221"/>
      <c r="B327" s="269">
        <v>289</v>
      </c>
      <c r="C327" s="247"/>
      <c r="D327" s="248"/>
      <c r="E327" s="240"/>
      <c r="F327" s="226"/>
      <c r="G327" s="232"/>
      <c r="S327" s="437"/>
    </row>
    <row r="328" spans="1:19" customFormat="1" ht="15">
      <c r="A328" s="221"/>
      <c r="B328" s="269">
        <v>290</v>
      </c>
      <c r="C328" s="247"/>
      <c r="D328" s="248"/>
      <c r="E328" s="240"/>
      <c r="F328" s="226"/>
      <c r="G328" s="232"/>
    </row>
    <row r="329" spans="1:19" customFormat="1" ht="15">
      <c r="A329" s="221"/>
      <c r="B329" s="269">
        <v>291</v>
      </c>
      <c r="C329" s="247"/>
      <c r="D329" s="248"/>
      <c r="E329" s="240"/>
      <c r="F329" s="226"/>
      <c r="G329" s="232"/>
    </row>
    <row r="330" spans="1:19" customFormat="1" ht="15">
      <c r="A330" s="221"/>
      <c r="B330" s="269">
        <v>292</v>
      </c>
      <c r="C330" s="247"/>
      <c r="D330" s="248"/>
      <c r="E330" s="240"/>
      <c r="F330" s="226"/>
      <c r="G330" s="232"/>
    </row>
    <row r="331" spans="1:19" customFormat="1" ht="15">
      <c r="A331" s="221"/>
      <c r="B331" s="269">
        <v>293</v>
      </c>
      <c r="C331" s="247"/>
      <c r="D331" s="248"/>
      <c r="E331" s="240"/>
      <c r="F331" s="226"/>
      <c r="G331" s="232"/>
    </row>
    <row r="332" spans="1:19" customFormat="1" ht="15">
      <c r="A332" s="221"/>
      <c r="B332" s="269">
        <v>294</v>
      </c>
      <c r="C332" s="247"/>
      <c r="D332" s="248"/>
      <c r="E332" s="240"/>
      <c r="F332" s="226"/>
      <c r="G332" s="232"/>
    </row>
    <row r="333" spans="1:19" customFormat="1" ht="15">
      <c r="A333" s="221"/>
      <c r="B333" s="269">
        <v>295</v>
      </c>
      <c r="C333" s="247"/>
      <c r="D333" s="248"/>
      <c r="E333" s="240"/>
      <c r="F333" s="226"/>
      <c r="G333" s="232"/>
    </row>
    <row r="334" spans="1:19" customFormat="1" ht="15">
      <c r="A334" s="221"/>
      <c r="B334" s="269">
        <v>296</v>
      </c>
      <c r="C334" s="247"/>
      <c r="D334" s="248"/>
      <c r="E334" s="240"/>
      <c r="F334" s="226"/>
      <c r="G334" s="232"/>
    </row>
    <row r="335" spans="1:19" customFormat="1" ht="15">
      <c r="A335" s="221"/>
      <c r="B335" s="269">
        <v>297</v>
      </c>
      <c r="C335" s="247"/>
      <c r="D335" s="248"/>
      <c r="E335" s="240"/>
      <c r="F335" s="226"/>
      <c r="G335" s="232"/>
    </row>
    <row r="336" spans="1:19" customFormat="1" ht="15">
      <c r="A336" s="221"/>
      <c r="B336" s="269">
        <v>298</v>
      </c>
      <c r="C336" s="247"/>
      <c r="D336" s="248"/>
      <c r="E336" s="240"/>
      <c r="F336" s="226"/>
      <c r="G336" s="232"/>
    </row>
    <row r="337" spans="1:7" customFormat="1" ht="15">
      <c r="A337" s="221"/>
      <c r="B337" s="269">
        <v>299</v>
      </c>
      <c r="C337" s="247"/>
      <c r="D337" s="248"/>
      <c r="E337" s="240"/>
      <c r="F337" s="226"/>
      <c r="G337" s="232"/>
    </row>
    <row r="338" spans="1:7" customFormat="1" ht="15.75" thickBot="1">
      <c r="A338" s="221"/>
      <c r="B338" s="432">
        <v>300</v>
      </c>
      <c r="C338" s="433"/>
      <c r="D338" s="433"/>
      <c r="E338" s="433"/>
      <c r="F338" s="433"/>
      <c r="G338" s="433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abSelected="1" topLeftCell="A2" zoomScale="130" zoomScaleNormal="130" workbookViewId="0">
      <selection activeCell="G36" sqref="G36"/>
    </sheetView>
  </sheetViews>
  <sheetFormatPr defaultColWidth="9.140625" defaultRowHeight="11.25"/>
  <cols>
    <col min="1" max="1" width="2.85546875" style="274" customWidth="1"/>
    <col min="2" max="2" width="17" style="274" bestFit="1" customWidth="1"/>
    <col min="3" max="3" width="10.42578125" style="274" bestFit="1" customWidth="1"/>
    <col min="4" max="4" width="10.5703125" style="275" customWidth="1"/>
    <col min="5" max="5" width="9.85546875" style="275" customWidth="1"/>
    <col min="6" max="13" width="12.42578125" style="275" customWidth="1"/>
    <col min="14" max="14" width="9.85546875" style="275" customWidth="1"/>
    <col min="15" max="15" width="9.85546875" style="79" bestFit="1" customWidth="1"/>
    <col min="16" max="16" width="9.140625" style="79"/>
    <col min="17" max="17" width="9.7109375" style="79" bestFit="1" customWidth="1"/>
    <col min="18" max="20" width="9.140625" style="79"/>
    <col min="21" max="21" width="10.140625" style="79" customWidth="1"/>
    <col min="22" max="22" width="27.85546875" style="79" customWidth="1"/>
    <col min="23" max="27" width="9.140625" style="79"/>
    <col min="28" max="28" width="18.85546875" style="79" customWidth="1"/>
    <col min="29" max="31" width="9.140625" style="79"/>
    <col min="32" max="38" width="9.140625" style="274"/>
    <col min="39" max="39" width="20.5703125" style="274" bestFit="1" customWidth="1"/>
    <col min="40" max="16384" width="9.140625" style="274"/>
  </cols>
  <sheetData>
    <row r="1" spans="1:228" s="481" customFormat="1" ht="29.25" customHeight="1">
      <c r="A1" s="480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480"/>
      <c r="EF1" s="480"/>
      <c r="EG1" s="480"/>
      <c r="EH1" s="480"/>
      <c r="EI1" s="480"/>
      <c r="EJ1" s="480"/>
      <c r="EK1" s="480"/>
      <c r="EL1" s="480"/>
      <c r="EM1" s="480"/>
      <c r="EN1" s="480"/>
      <c r="EO1" s="480"/>
      <c r="EP1" s="480"/>
      <c r="EQ1" s="480"/>
      <c r="ER1" s="480"/>
      <c r="ES1" s="480"/>
      <c r="ET1" s="480"/>
      <c r="EU1" s="480"/>
      <c r="EV1" s="480"/>
      <c r="EW1" s="480"/>
      <c r="EX1" s="480"/>
      <c r="EY1" s="480"/>
      <c r="EZ1" s="480"/>
      <c r="FA1" s="480"/>
      <c r="FB1" s="480"/>
      <c r="FC1" s="480"/>
      <c r="FD1" s="480"/>
      <c r="FE1" s="480"/>
      <c r="FF1" s="480"/>
      <c r="FG1" s="480"/>
      <c r="FH1" s="480"/>
      <c r="FI1" s="480"/>
      <c r="FJ1" s="480"/>
      <c r="FK1" s="480"/>
      <c r="FL1" s="480"/>
      <c r="FM1" s="480"/>
      <c r="FN1" s="480"/>
      <c r="FO1" s="480"/>
      <c r="FP1" s="480"/>
      <c r="FQ1" s="480"/>
      <c r="FR1" s="480"/>
      <c r="FS1" s="480"/>
      <c r="FT1" s="480"/>
      <c r="FU1" s="480"/>
      <c r="FV1" s="480"/>
      <c r="FW1" s="480"/>
      <c r="FX1" s="480"/>
      <c r="FY1" s="480"/>
      <c r="FZ1" s="480"/>
      <c r="GA1" s="480"/>
      <c r="GB1" s="480"/>
      <c r="GC1" s="480"/>
      <c r="GD1" s="480"/>
      <c r="GE1" s="480"/>
      <c r="GF1" s="480"/>
      <c r="GG1" s="480"/>
      <c r="GH1" s="480"/>
      <c r="GI1" s="480"/>
      <c r="GJ1" s="480"/>
      <c r="GK1" s="480"/>
      <c r="GL1" s="480"/>
      <c r="GM1" s="480"/>
      <c r="GN1" s="480"/>
      <c r="GO1" s="480"/>
      <c r="GP1" s="480"/>
      <c r="GQ1" s="480"/>
      <c r="GR1" s="480"/>
      <c r="GS1" s="480"/>
      <c r="GT1" s="480"/>
      <c r="GU1" s="480"/>
      <c r="GV1" s="480"/>
      <c r="GW1" s="480"/>
      <c r="GX1" s="480"/>
      <c r="GY1" s="480"/>
      <c r="GZ1" s="480"/>
      <c r="HA1" s="480"/>
      <c r="HB1" s="480"/>
      <c r="HC1" s="480"/>
      <c r="HD1" s="480"/>
      <c r="HE1" s="480"/>
      <c r="HF1" s="480"/>
      <c r="HG1" s="480"/>
      <c r="HH1" s="480"/>
      <c r="HI1" s="480"/>
      <c r="HJ1" s="480"/>
      <c r="HK1" s="480"/>
      <c r="HL1" s="480"/>
      <c r="HM1" s="480"/>
      <c r="HN1" s="480"/>
      <c r="HO1" s="480"/>
      <c r="HP1" s="480"/>
      <c r="HQ1" s="480"/>
      <c r="HR1" s="480"/>
      <c r="HS1" s="480"/>
      <c r="HT1" s="480"/>
    </row>
    <row r="2" spans="1:228" s="481" customFormat="1" ht="54.75" customHeight="1">
      <c r="A2" s="480"/>
      <c r="B2" s="480"/>
      <c r="C2" s="482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480"/>
      <c r="DW2" s="480"/>
      <c r="DX2" s="480"/>
      <c r="DY2" s="480"/>
      <c r="DZ2" s="480"/>
      <c r="EA2" s="480"/>
      <c r="EB2" s="480"/>
      <c r="EC2" s="480"/>
      <c r="ED2" s="480"/>
      <c r="EE2" s="480"/>
      <c r="EF2" s="480"/>
      <c r="EG2" s="480"/>
      <c r="EH2" s="480"/>
      <c r="EI2" s="480"/>
      <c r="EJ2" s="480"/>
      <c r="EK2" s="480"/>
      <c r="EL2" s="480"/>
      <c r="EM2" s="480"/>
      <c r="EN2" s="480"/>
      <c r="EO2" s="480"/>
      <c r="EP2" s="480"/>
      <c r="EQ2" s="480"/>
      <c r="ER2" s="480"/>
      <c r="ES2" s="480"/>
      <c r="ET2" s="480"/>
      <c r="EU2" s="480"/>
      <c r="EV2" s="480"/>
      <c r="EW2" s="480"/>
      <c r="EX2" s="480"/>
      <c r="EY2" s="480"/>
      <c r="EZ2" s="480"/>
      <c r="FA2" s="480"/>
      <c r="FB2" s="480"/>
      <c r="FC2" s="480"/>
      <c r="FD2" s="480"/>
      <c r="FE2" s="480"/>
      <c r="FF2" s="480"/>
      <c r="FG2" s="480"/>
      <c r="FH2" s="480"/>
      <c r="FI2" s="480"/>
      <c r="FJ2" s="480"/>
      <c r="FK2" s="480"/>
      <c r="FL2" s="480"/>
      <c r="FM2" s="480"/>
      <c r="FN2" s="480"/>
      <c r="FO2" s="480"/>
      <c r="FP2" s="480"/>
      <c r="FQ2" s="480"/>
      <c r="FR2" s="480"/>
      <c r="FS2" s="480"/>
      <c r="FT2" s="480"/>
      <c r="FU2" s="480"/>
      <c r="FV2" s="480"/>
      <c r="FW2" s="480"/>
      <c r="FX2" s="480"/>
      <c r="FY2" s="480"/>
      <c r="FZ2" s="480"/>
      <c r="GA2" s="480"/>
      <c r="GB2" s="480"/>
      <c r="GC2" s="480"/>
      <c r="GD2" s="480"/>
      <c r="GE2" s="480"/>
      <c r="GF2" s="480"/>
      <c r="GG2" s="480"/>
      <c r="GH2" s="480"/>
      <c r="GI2" s="480"/>
      <c r="GJ2" s="480"/>
      <c r="GK2" s="480"/>
      <c r="GL2" s="480"/>
      <c r="GM2" s="480"/>
      <c r="GN2" s="480"/>
      <c r="GO2" s="480"/>
      <c r="GP2" s="480"/>
      <c r="GQ2" s="480"/>
      <c r="GR2" s="480"/>
      <c r="GS2" s="480"/>
      <c r="GT2" s="480"/>
      <c r="GU2" s="480"/>
      <c r="GV2" s="480"/>
      <c r="GW2" s="480"/>
      <c r="GX2" s="480"/>
      <c r="GY2" s="480"/>
      <c r="GZ2" s="480"/>
      <c r="HA2" s="480"/>
      <c r="HB2" s="480"/>
      <c r="HC2" s="480"/>
      <c r="HD2" s="480"/>
      <c r="HE2" s="480"/>
      <c r="HF2" s="480"/>
      <c r="HG2" s="480"/>
      <c r="HH2" s="480"/>
      <c r="HI2" s="480"/>
      <c r="HJ2" s="480"/>
      <c r="HK2" s="480"/>
      <c r="HL2" s="480"/>
      <c r="HM2" s="480"/>
      <c r="HN2" s="480"/>
      <c r="HO2" s="480"/>
      <c r="HP2" s="480"/>
      <c r="HQ2" s="480"/>
      <c r="HR2" s="480"/>
      <c r="HS2" s="480"/>
      <c r="HT2" s="480"/>
    </row>
    <row r="3" spans="1:228" s="481" customFormat="1" ht="36.75" customHeight="1">
      <c r="A3" s="480"/>
      <c r="B3" s="480"/>
      <c r="C3" s="480"/>
      <c r="D3" s="480"/>
      <c r="E3" s="480"/>
      <c r="F3" s="480"/>
      <c r="G3" s="480"/>
      <c r="H3" s="480"/>
      <c r="I3" s="483"/>
      <c r="J3" s="483"/>
      <c r="K3" s="483"/>
      <c r="L3" s="483"/>
      <c r="M3" s="483"/>
      <c r="N3" s="483"/>
      <c r="O3" s="483"/>
      <c r="P3" s="483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3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480"/>
      <c r="EU3" s="480"/>
      <c r="EV3" s="480"/>
      <c r="EW3" s="480"/>
      <c r="EX3" s="480"/>
      <c r="EY3" s="480"/>
      <c r="EZ3" s="480"/>
      <c r="FA3" s="480"/>
      <c r="FB3" s="480"/>
      <c r="FC3" s="480"/>
      <c r="FD3" s="480"/>
      <c r="FE3" s="480"/>
      <c r="FF3" s="480"/>
      <c r="FG3" s="480"/>
      <c r="FH3" s="480"/>
      <c r="FI3" s="480"/>
      <c r="FJ3" s="480"/>
      <c r="FK3" s="480"/>
      <c r="FL3" s="480"/>
      <c r="FM3" s="480"/>
      <c r="FN3" s="480"/>
      <c r="FO3" s="480"/>
      <c r="FP3" s="480"/>
      <c r="FQ3" s="480"/>
      <c r="FR3" s="480"/>
      <c r="FS3" s="480"/>
      <c r="FT3" s="480"/>
      <c r="FU3" s="480"/>
      <c r="FV3" s="480"/>
      <c r="FW3" s="480"/>
      <c r="FX3" s="480"/>
      <c r="FY3" s="480"/>
      <c r="FZ3" s="480"/>
      <c r="GA3" s="480"/>
      <c r="GB3" s="480"/>
      <c r="GC3" s="480"/>
      <c r="GD3" s="480"/>
      <c r="GE3" s="480"/>
      <c r="GF3" s="480"/>
      <c r="GG3" s="480"/>
      <c r="GH3" s="480"/>
      <c r="GI3" s="480"/>
      <c r="GJ3" s="480"/>
      <c r="GK3" s="480"/>
      <c r="GL3" s="480"/>
      <c r="GM3" s="480"/>
      <c r="GN3" s="480"/>
      <c r="GO3" s="480"/>
      <c r="GP3" s="480"/>
      <c r="GQ3" s="480"/>
      <c r="GR3" s="480"/>
      <c r="GS3" s="480"/>
      <c r="GT3" s="480"/>
      <c r="GU3" s="480"/>
      <c r="GV3" s="480"/>
      <c r="GW3" s="480"/>
      <c r="GX3" s="480"/>
      <c r="GY3" s="480"/>
      <c r="GZ3" s="480"/>
      <c r="HA3" s="480"/>
      <c r="HB3" s="480"/>
      <c r="HC3" s="480"/>
      <c r="HD3" s="480"/>
      <c r="HE3" s="480"/>
      <c r="HF3" s="480"/>
      <c r="HG3" s="480"/>
      <c r="HH3" s="480"/>
      <c r="HI3" s="480"/>
      <c r="HJ3" s="480"/>
      <c r="HK3" s="480"/>
      <c r="HL3" s="480"/>
      <c r="HM3" s="480"/>
      <c r="HN3" s="480"/>
      <c r="HO3" s="480"/>
      <c r="HP3" s="480"/>
      <c r="HQ3" s="480"/>
      <c r="HR3" s="480"/>
      <c r="HS3" s="480"/>
      <c r="HT3" s="480"/>
    </row>
    <row r="4" spans="1:228"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</row>
    <row r="5" spans="1:228"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</row>
    <row r="6" spans="1:228"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</row>
    <row r="7" spans="1:228" ht="12" thickBot="1">
      <c r="D7" s="274"/>
      <c r="E7" s="274"/>
      <c r="F7" s="274"/>
      <c r="G7" s="274"/>
      <c r="H7" s="274"/>
      <c r="I7" s="274"/>
      <c r="J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641"/>
      <c r="AC7" s="274"/>
      <c r="AD7" s="274"/>
      <c r="AE7" s="274"/>
    </row>
    <row r="8" spans="1:228" ht="12" thickBot="1">
      <c r="B8" s="471" t="s">
        <v>638</v>
      </c>
      <c r="C8" s="479" t="s">
        <v>639</v>
      </c>
      <c r="D8" s="274"/>
      <c r="E8" s="274"/>
      <c r="F8" s="274"/>
      <c r="G8" s="274"/>
      <c r="H8" s="274"/>
      <c r="I8" s="274"/>
      <c r="J8" s="274"/>
      <c r="M8" s="471" t="s">
        <v>616</v>
      </c>
      <c r="N8" s="145" t="b">
        <v>1</v>
      </c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C8" s="274"/>
      <c r="AD8" s="274"/>
      <c r="AE8" s="274"/>
    </row>
    <row r="9" spans="1:228" ht="12" thickBot="1">
      <c r="B9" s="471" t="s">
        <v>640</v>
      </c>
      <c r="C9" s="542">
        <v>45412</v>
      </c>
      <c r="D9" s="274"/>
      <c r="E9" s="274"/>
      <c r="F9" s="274"/>
      <c r="G9" s="274"/>
      <c r="H9" s="274"/>
      <c r="I9" s="274"/>
      <c r="J9" s="274"/>
      <c r="M9" s="468" t="s">
        <v>610</v>
      </c>
      <c r="N9" s="484"/>
      <c r="O9" s="274"/>
      <c r="P9" s="274"/>
      <c r="Q9" s="468" t="s">
        <v>611</v>
      </c>
      <c r="R9" s="486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</row>
    <row r="10" spans="1:228" ht="12" thickBot="1">
      <c r="B10" s="471" t="s">
        <v>641</v>
      </c>
      <c r="C10" s="471" t="s">
        <v>82</v>
      </c>
      <c r="D10" s="471" t="s">
        <v>432</v>
      </c>
      <c r="E10" s="471" t="s">
        <v>642</v>
      </c>
      <c r="F10" s="471" t="s">
        <v>643</v>
      </c>
      <c r="G10" s="471" t="s">
        <v>644</v>
      </c>
      <c r="H10" s="471" t="s">
        <v>645</v>
      </c>
      <c r="I10" s="471" t="s">
        <v>646</v>
      </c>
      <c r="J10" s="471" t="s">
        <v>647</v>
      </c>
      <c r="M10" s="469" t="s">
        <v>613</v>
      </c>
      <c r="N10" s="496">
        <f ca="1">MAX(MAX(N11,0)+0.5*MIN(N11,0),0)</f>
        <v>2.24963640493199E-2</v>
      </c>
      <c r="O10" s="274"/>
      <c r="P10" s="274"/>
      <c r="Q10" s="469" t="s">
        <v>613</v>
      </c>
      <c r="R10" s="496">
        <f ca="1">MAX(MAX(R11,0)+0.5*MIN(R11,0),0)</f>
        <v>10.968509352200755</v>
      </c>
      <c r="S10" s="274"/>
      <c r="T10" s="274"/>
      <c r="U10" s="274"/>
      <c r="W10" s="274"/>
      <c r="X10" s="274"/>
      <c r="Y10" s="274"/>
      <c r="Z10" s="274"/>
      <c r="AA10" s="274"/>
      <c r="AB10" s="274"/>
      <c r="AC10" s="274"/>
      <c r="AD10" s="274"/>
      <c r="AE10" s="274"/>
    </row>
    <row r="11" spans="1:228" ht="12" thickBot="1">
      <c r="B11" s="547" t="s">
        <v>648</v>
      </c>
      <c r="C11" s="548" t="s">
        <v>66</v>
      </c>
      <c r="D11" s="548" t="s">
        <v>55</v>
      </c>
      <c r="E11" s="548">
        <v>0.12</v>
      </c>
      <c r="F11" s="548">
        <v>1</v>
      </c>
      <c r="G11" s="548" t="s">
        <v>434</v>
      </c>
      <c r="H11" s="548">
        <v>100</v>
      </c>
      <c r="I11" s="548">
        <v>9.4748000000000001</v>
      </c>
      <c r="J11" s="562">
        <v>46376</v>
      </c>
      <c r="M11" s="469" t="s">
        <v>612</v>
      </c>
      <c r="N11" s="496">
        <f ca="1">15%*SUM(O14:O313)-N12*SUM(D403:D527)</f>
        <v>2.24963640493199E-2</v>
      </c>
      <c r="O11" s="274"/>
      <c r="P11" s="274"/>
      <c r="Q11" s="469" t="s">
        <v>612</v>
      </c>
      <c r="R11" s="496">
        <f ca="1">15%*SUM(S14:S313)-R12*SUM(E403:E527)</f>
        <v>10.968509352200755</v>
      </c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</row>
    <row r="12" spans="1:228" ht="12" thickBot="1">
      <c r="B12" s="535" t="s">
        <v>648</v>
      </c>
      <c r="C12" s="536" t="s">
        <v>66</v>
      </c>
      <c r="D12" s="536" t="s">
        <v>57</v>
      </c>
      <c r="E12" s="536">
        <v>0.12</v>
      </c>
      <c r="F12" s="536">
        <v>1</v>
      </c>
      <c r="G12" s="536" t="s">
        <v>434</v>
      </c>
      <c r="H12" s="536">
        <v>100</v>
      </c>
      <c r="I12" s="536">
        <v>22.439800000000002</v>
      </c>
      <c r="J12" s="541">
        <v>47107</v>
      </c>
      <c r="M12" s="469" t="s">
        <v>609</v>
      </c>
      <c r="N12" s="496">
        <f ca="1">SUM(O14:O313)/(SUM(O14:O313)+SUM(P14:P313))</f>
        <v>1</v>
      </c>
      <c r="O12" s="274"/>
      <c r="P12" s="274"/>
      <c r="Q12" s="469" t="s">
        <v>609</v>
      </c>
      <c r="R12" s="496">
        <f ca="1">SUM(S14:S313)/(SUM(S14:S313)+SUM(T14:T313))</f>
        <v>1</v>
      </c>
      <c r="S12" s="274"/>
      <c r="T12" s="274"/>
      <c r="U12" s="274"/>
      <c r="V12" s="479" t="s">
        <v>620</v>
      </c>
      <c r="W12" s="507">
        <f ca="1">-('CDO Bespoke'!$C$20-'CDO Bespoke'!$C$19)*INDEX(GETCDO(W13,'CDO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X12" s="508">
        <f ca="1">-('CDO Bespoke'!$C$20-'CDO Bespoke'!$C$19)*INDEX(GETCDO(X13,'CDO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Y12" s="508">
        <f ca="1">-('CDO Bespoke'!$C$20-'CDO Bespoke'!$C$19)*INDEX(GETCDO(Y13,'CDO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Z12" s="508">
        <f ca="1">-('CDO Bespoke'!$C$20-'CDO Bespoke'!$C$19)*INDEX(GETCDO(Z13,'CDO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AA12" s="508">
        <f ca="1">-('CDO Bespoke'!$C$20-'CDO Bespoke'!$C$19)*INDEX(GETCDO(AA13,'CDO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AB12" s="479"/>
      <c r="AC12" s="521"/>
      <c r="AD12" s="522"/>
      <c r="AE12" s="522"/>
      <c r="AF12" s="522"/>
      <c r="AG12" s="522"/>
      <c r="AH12" s="522"/>
      <c r="AI12" s="522"/>
      <c r="AJ12" s="522"/>
      <c r="AK12" s="522"/>
      <c r="AL12" s="523"/>
      <c r="AO12" s="565"/>
    </row>
    <row r="13" spans="1:228" ht="12" thickBot="1">
      <c r="B13" s="552" t="s">
        <v>648</v>
      </c>
      <c r="C13" s="553" t="s">
        <v>66</v>
      </c>
      <c r="D13" s="553" t="s">
        <v>59</v>
      </c>
      <c r="E13" s="553">
        <v>0.12</v>
      </c>
      <c r="F13" s="553">
        <v>1</v>
      </c>
      <c r="G13" s="553" t="s">
        <v>434</v>
      </c>
      <c r="H13" s="553">
        <v>100</v>
      </c>
      <c r="I13" s="553">
        <v>37.011200000000002</v>
      </c>
      <c r="J13" s="563">
        <v>47837</v>
      </c>
      <c r="M13" s="471" t="s">
        <v>607</v>
      </c>
      <c r="N13" s="479" t="s">
        <v>608</v>
      </c>
      <c r="O13" s="485" t="s">
        <v>614</v>
      </c>
      <c r="P13" s="479" t="s">
        <v>615</v>
      </c>
      <c r="Q13" s="485" t="s">
        <v>607</v>
      </c>
      <c r="R13" s="479" t="s">
        <v>608</v>
      </c>
      <c r="S13" s="485" t="s">
        <v>614</v>
      </c>
      <c r="T13" s="479" t="s">
        <v>615</v>
      </c>
      <c r="U13" s="274"/>
      <c r="V13" s="479" t="s">
        <v>618</v>
      </c>
      <c r="W13" s="477" t="s">
        <v>84</v>
      </c>
      <c r="X13" s="504" t="s">
        <v>53</v>
      </c>
      <c r="Y13" s="504" t="s">
        <v>55</v>
      </c>
      <c r="Z13" s="504" t="s">
        <v>57</v>
      </c>
      <c r="AA13" s="505" t="s">
        <v>62</v>
      </c>
      <c r="AB13" s="479"/>
      <c r="AC13" s="466" t="s">
        <v>83</v>
      </c>
      <c r="AD13" s="466" t="s">
        <v>84</v>
      </c>
      <c r="AE13" s="466" t="s">
        <v>53</v>
      </c>
      <c r="AF13" s="466" t="s">
        <v>54</v>
      </c>
      <c r="AG13" s="466" t="s">
        <v>55</v>
      </c>
      <c r="AH13" s="466" t="s">
        <v>57</v>
      </c>
      <c r="AI13" s="466" t="s">
        <v>62</v>
      </c>
      <c r="AJ13" s="466" t="s">
        <v>63</v>
      </c>
      <c r="AK13" s="466" t="s">
        <v>64</v>
      </c>
      <c r="AL13" s="478" t="s">
        <v>617</v>
      </c>
      <c r="AM13" s="479" t="s">
        <v>685</v>
      </c>
    </row>
    <row r="14" spans="1:228" ht="12" thickBot="1">
      <c r="B14" s="557" t="s">
        <v>649</v>
      </c>
      <c r="C14" s="558" t="s">
        <v>66</v>
      </c>
      <c r="D14" s="558" t="s">
        <v>55</v>
      </c>
      <c r="E14" s="558">
        <v>0.06</v>
      </c>
      <c r="F14" s="558">
        <v>0.12</v>
      </c>
      <c r="G14" s="558" t="s">
        <v>434</v>
      </c>
      <c r="H14" s="558">
        <v>100</v>
      </c>
      <c r="I14" s="558">
        <v>35.963500000000003</v>
      </c>
      <c r="J14" s="564">
        <v>46376</v>
      </c>
      <c r="M14" s="489">
        <f ca="1">IF('CDO Bespoke'!O15&lt;&gt;"",'CDO Bespoke'!O15,"")</f>
        <v>0.86505932932287</v>
      </c>
      <c r="N14" s="490">
        <f ca="1">IF(M14&lt;&gt;"",ABS(MIN(-0.75*('CDO Bespoke'!Q15)+'CDO Bespoke'!T15,0)),"")</f>
        <v>0.86298030735196107</v>
      </c>
      <c r="O14" s="490">
        <f ca="1">IF(M14&lt;&gt;"",IF($N$8,MAX(M14-N14,0),M14),0)</f>
        <v>2.079021970908923E-3</v>
      </c>
      <c r="P14" s="490">
        <f ca="1">IF(M14&lt;&gt;"",IF($N$8,0,N14),0)</f>
        <v>0</v>
      </c>
      <c r="Q14" s="489">
        <f ca="1">IF('CDO Bespoke'!O15&lt;&gt;"",'CDO Bespoke'!O15,"")</f>
        <v>0.86505932932287</v>
      </c>
      <c r="R14" s="490">
        <f ca="1">IF(Q14&lt;&gt;"",ABS(MIN(-0.75*'CDO Bespoke'!K15+'CDO Bespoke'!T15,0)),"")</f>
        <v>7.4747748592575505E-2</v>
      </c>
      <c r="S14" s="490">
        <f ca="1">IF(Q14&lt;&gt;"",IF($N$8,MAX(Q14-R14,0),Q14),0)</f>
        <v>0.79031158073029451</v>
      </c>
      <c r="T14" s="491">
        <f ca="1">IF(Q14&lt;&gt;"",IF($N$8,0,R14),0)</f>
        <v>0</v>
      </c>
      <c r="U14" s="274"/>
      <c r="V14" s="474" t="str">
        <f ca="1">IF('CDO Bespoke'!C39&lt;&gt;"",'CDO Bespoke'!C39,"")</f>
        <v>Airbus SE</v>
      </c>
      <c r="W14" s="509" cm="1">
        <f t="array" aca="1" ref="W14" ca="1">IF($V14&lt;&gt;"",-TRANSPOSE(INDEX(getcds('CDO Bespoke'!$C39,W$13,'CDO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X14" s="510" cm="1">
        <f t="array" aca="1" ref="X14" ca="1">IF($V14&lt;&gt;"",-TRANSPOSE(INDEX(getcds('CDO Bespoke'!$C39,X$13,'CDO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Y14" s="510" cm="1">
        <f t="array" aca="1" ref="Y14" ca="1">IF($V14&lt;&gt;"",-TRANSPOSE(INDEX(getcds('CDO Bespoke'!$C39,Y$13,'CDO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Z14" s="510" cm="1">
        <f t="array" aca="1" ref="Z14" ca="1">IF($V14&lt;&gt;"",-TRANSPOSE(INDEX(getcds('CDO Bespoke'!$C39,Z$13,'CDO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AA14" s="511" cm="1">
        <f t="array" aca="1" ref="AA14" ca="1">IF($V14&lt;&gt;"",-TRANSPOSE(INDEX(getcds('CDO Bespoke'!$C39,AA$13,'CDO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AB14" s="479"/>
      <c r="AC14" s="512" cm="1">
        <f t="array" aca="1" ref="AC14:AL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1.2149250333154139E-4</v>
      </c>
      <c r="AD14" s="513">
        <f ca="1"/>
        <v>1.7582518770002935E-4</v>
      </c>
      <c r="AE14" s="513">
        <f ca="1"/>
        <v>2.5970470370411324E-4</v>
      </c>
      <c r="AF14" s="513">
        <f ca="1"/>
        <v>3.7237790583519333E-4</v>
      </c>
      <c r="AG14" s="513">
        <f ca="1"/>
        <v>1.7045606539549192E-3</v>
      </c>
      <c r="AH14" s="513">
        <f ca="1"/>
        <v>3.0158204537338545E-3</v>
      </c>
      <c r="AI14" s="513">
        <f ca="1"/>
        <v>0</v>
      </c>
      <c r="AJ14" s="513">
        <f ca="1"/>
        <v>0</v>
      </c>
      <c r="AK14" s="513">
        <f ca="1"/>
        <v>0</v>
      </c>
      <c r="AL14" s="514">
        <f ca="1"/>
        <v>0</v>
      </c>
      <c r="AM14" s="466" t="str" cm="1">
        <f t="array" aca="1" ref="AM14:AM25" ca="1">'IRS Strip'!F21:F32</f>
        <v>6-month EURIBOR Swaps</v>
      </c>
      <c r="AN14" s="478" t="str" cm="1">
        <f t="array" aca="1" ref="AN14:AN16" ca="1">'IRS Strip'!B21:B23</f>
        <v>EUR</v>
      </c>
    </row>
    <row r="15" spans="1:228" ht="12" thickBot="1">
      <c r="B15" s="535" t="s">
        <v>649</v>
      </c>
      <c r="C15" s="536" t="s">
        <v>66</v>
      </c>
      <c r="D15" s="536" t="s">
        <v>57</v>
      </c>
      <c r="E15" s="536">
        <v>0.06</v>
      </c>
      <c r="F15" s="536">
        <v>0.12</v>
      </c>
      <c r="G15" s="536" t="s">
        <v>434</v>
      </c>
      <c r="H15" s="536">
        <v>100</v>
      </c>
      <c r="I15" s="536">
        <v>92.850899999999996</v>
      </c>
      <c r="J15" s="541">
        <v>47107</v>
      </c>
      <c r="M15" s="487">
        <f ca="1">IF('CDO Bespoke'!O16&lt;&gt;"",'CDO Bespoke'!O16,"")</f>
        <v>0.86489895897536995</v>
      </c>
      <c r="N15" s="488">
        <f ca="1">IF(M15&lt;&gt;"",ABS(MIN(-0.75*('CDO Bespoke'!Q16)+'CDO Bespoke'!T16,0)),"")</f>
        <v>0.8633131994285751</v>
      </c>
      <c r="O15" s="488">
        <f ca="1">IF(M15&lt;&gt;"",IF($N$8,MAX(M15-N15,0),M15),0)</f>
        <v>1.5857595467948515E-3</v>
      </c>
      <c r="P15" s="488">
        <f ca="1">IF(M15&lt;&gt;"",IF($N$8,0,N15),0)</f>
        <v>0</v>
      </c>
      <c r="Q15" s="487">
        <f ca="1">IF('CDO Bespoke'!O16&lt;&gt;"",'CDO Bespoke'!O16,"")</f>
        <v>0.86489895897536995</v>
      </c>
      <c r="R15" s="488">
        <f ca="1">IF(Q15&lt;&gt;"",ABS(MIN(-0.75*('CDO Bespoke'!K16)+'CDO Bespoke'!T16,0)),"")</f>
        <v>7.9222318460669405E-2</v>
      </c>
      <c r="S15" s="488">
        <f ca="1">IF(Q15&lt;&gt;"",IF($N$8,MAX(Q15-R15,0),Q15),0)</f>
        <v>0.78567664051470054</v>
      </c>
      <c r="T15" s="492">
        <f ca="1">IF(Q15&lt;&gt;"",IF($N$8,0,R15),0)</f>
        <v>0</v>
      </c>
      <c r="U15" s="274"/>
      <c r="V15" s="497" t="str">
        <f ca="1">IF('CDO Bespoke'!C40&lt;&gt;"",'CDO Bespoke'!C40,"")</f>
        <v>Aktiebolaget Volvo</v>
      </c>
      <c r="W15" s="499" cm="1">
        <f t="array" aca="1" ref="W15" ca="1">IF($V15&lt;&gt;"",-TRANSPOSE(INDEX(getcds('CDO Bespoke'!$C40,W$13,'CDO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X15" s="524" cm="1">
        <f t="array" aca="1" ref="X15" ca="1">IF($V15&lt;&gt;"",-TRANSPOSE(INDEX(getcds('CDO Bespoke'!$C40,X$13,'CDO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Y15" s="524" cm="1">
        <f t="array" aca="1" ref="Y15" ca="1">IF($V15&lt;&gt;"",-TRANSPOSE(INDEX(getcds('CDO Bespoke'!$C40,Y$13,'CDO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Z15" s="524" cm="1">
        <f t="array" aca="1" ref="Z15" ca="1">IF($V15&lt;&gt;"",-TRANSPOSE(INDEX(getcds('CDO Bespoke'!$C40,Z$13,'CDO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AA15" s="500" cm="1">
        <f t="array" aca="1" ref="AA15" ca="1">IF($V15&lt;&gt;"",-TRANSPOSE(INDEX(getcds('CDO Bespoke'!$C40,AA$13,'CDO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AB15" s="479" t="s">
        <v>621</v>
      </c>
      <c r="AC15" s="515">
        <f ca="1"/>
        <v>1.2149250333154139E-4</v>
      </c>
      <c r="AD15" s="516">
        <f ca="1"/>
        <v>1.7582518770002935E-4</v>
      </c>
      <c r="AE15" s="516">
        <f ca="1"/>
        <v>2.5970470370411324E-4</v>
      </c>
      <c r="AF15" s="516">
        <f ca="1"/>
        <v>3.7237790583519333E-4</v>
      </c>
      <c r="AG15" s="516">
        <f ca="1"/>
        <v>1.7045606539549192E-3</v>
      </c>
      <c r="AH15" s="516">
        <f ca="1"/>
        <v>3.0158204537338545E-3</v>
      </c>
      <c r="AI15" s="516">
        <f ca="1"/>
        <v>0</v>
      </c>
      <c r="AJ15" s="516">
        <f ca="1"/>
        <v>0</v>
      </c>
      <c r="AK15" s="516">
        <f ca="1"/>
        <v>0</v>
      </c>
      <c r="AL15" s="517">
        <f ca="1"/>
        <v>0</v>
      </c>
      <c r="AM15" s="466" t="str">
        <f ca="1"/>
        <v>3-month EURIBOR Swaps</v>
      </c>
      <c r="AN15" s="478" t="str">
        <f ca="1"/>
        <v>EUR</v>
      </c>
    </row>
    <row r="16" spans="1:228" ht="12" thickBot="1">
      <c r="B16" s="552" t="s">
        <v>649</v>
      </c>
      <c r="C16" s="553" t="s">
        <v>66</v>
      </c>
      <c r="D16" s="553" t="s">
        <v>59</v>
      </c>
      <c r="E16" s="553">
        <v>0.06</v>
      </c>
      <c r="F16" s="553">
        <v>0.12</v>
      </c>
      <c r="G16" s="553" t="s">
        <v>434</v>
      </c>
      <c r="H16" s="553">
        <v>100</v>
      </c>
      <c r="I16" s="553">
        <v>155.51650000000001</v>
      </c>
      <c r="J16" s="563">
        <v>47837</v>
      </c>
      <c r="M16" s="487">
        <f ca="1">IF('CDO Bespoke'!O17&lt;&gt;"",'CDO Bespoke'!O17,"")</f>
        <v>0.86494355908168996</v>
      </c>
      <c r="N16" s="488">
        <f ca="1">IF(M16&lt;&gt;"",ABS(MIN(-0.75*('CDO Bespoke'!Q17)+'CDO Bespoke'!T17,0)),"")</f>
        <v>0.86321686233369521</v>
      </c>
      <c r="O16" s="488">
        <f t="shared" ref="O16:O79" ca="1" si="0">IF(M16&lt;&gt;"",IF($N$8,MAX(M16-N16,0),M16),0)</f>
        <v>1.7266967479947493E-3</v>
      </c>
      <c r="P16" s="488">
        <f t="shared" ref="P16:P79" ca="1" si="1">IF(M16&lt;&gt;"",IF($N$8,0,N16),0)</f>
        <v>0</v>
      </c>
      <c r="Q16" s="487">
        <f ca="1">IF('CDO Bespoke'!O17&lt;&gt;"",'CDO Bespoke'!O17,"")</f>
        <v>0.86494355908168996</v>
      </c>
      <c r="R16" s="488">
        <f ca="1">IF(Q16&lt;&gt;"",ABS(MIN(-0.75*('CDO Bespoke'!K17)+'CDO Bespoke'!T17,0)),"")</f>
        <v>7.8143374650168199E-2</v>
      </c>
      <c r="S16" s="488">
        <f t="shared" ref="S16:S79" ca="1" si="2">IF(Q16&lt;&gt;"",IF($N$8,MAX(Q16-R16,0),Q16),0)</f>
        <v>0.78680018443152178</v>
      </c>
      <c r="T16" s="492">
        <f t="shared" ref="T16:T79" ca="1" si="3">IF(Q16&lt;&gt;"",IF($N$8,0,R16),0)</f>
        <v>0</v>
      </c>
      <c r="U16" s="274"/>
      <c r="V16" s="497" t="str">
        <f ca="1">IF('CDO Bespoke'!C41&lt;&gt;"",'CDO Bespoke'!C41,"")</f>
        <v>Akzo Nobel N.V.</v>
      </c>
      <c r="W16" s="499" cm="1">
        <f t="array" aca="1" ref="W16" ca="1">IF($V16&lt;&gt;"",-TRANSPOSE(INDEX(getcds('CDO Bespoke'!$C41,W$13,'CDO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X16" s="524" cm="1">
        <f t="array" aca="1" ref="X16" ca="1">IF($V16&lt;&gt;"",-TRANSPOSE(INDEX(getcds('CDO Bespoke'!$C41,X$13,'CDO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Y16" s="524" cm="1">
        <f t="array" aca="1" ref="Y16" ca="1">IF($V16&lt;&gt;"",-TRANSPOSE(INDEX(getcds('CDO Bespoke'!$C41,Y$13,'CDO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Z16" s="524" cm="1">
        <f t="array" aca="1" ref="Z16" ca="1">IF($V16&lt;&gt;"",-TRANSPOSE(INDEX(getcds('CDO Bespoke'!$C41,Z$13,'CDO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AA16" s="500" cm="1">
        <f t="array" aca="1" ref="AA16" ca="1">IF($V16&lt;&gt;"",-TRANSPOSE(INDEX(getcds('CDO Bespoke'!$C41,AA$13,'CDO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AB16" s="525" t="str">
        <f ca="1">'CDO Bespoke'!C8</f>
        <v>EUR</v>
      </c>
      <c r="AC16" s="515">
        <f ca="1"/>
        <v>0</v>
      </c>
      <c r="AD16" s="516">
        <f ca="1"/>
        <v>0</v>
      </c>
      <c r="AE16" s="516">
        <f ca="1"/>
        <v>0</v>
      </c>
      <c r="AF16" s="516">
        <f ca="1"/>
        <v>0</v>
      </c>
      <c r="AG16" s="516">
        <f ca="1"/>
        <v>0</v>
      </c>
      <c r="AH16" s="516">
        <f ca="1"/>
        <v>0</v>
      </c>
      <c r="AI16" s="516">
        <f ca="1"/>
        <v>0</v>
      </c>
      <c r="AJ16" s="516">
        <f ca="1"/>
        <v>0</v>
      </c>
      <c r="AK16" s="516">
        <f ca="1"/>
        <v>0</v>
      </c>
      <c r="AL16" s="517">
        <f ca="1"/>
        <v>0</v>
      </c>
      <c r="AM16" s="332" t="str">
        <f ca="1"/>
        <v>1-month Term SOFR Swaps</v>
      </c>
      <c r="AN16" s="477" t="str">
        <f ca="1"/>
        <v>USD</v>
      </c>
    </row>
    <row r="17" spans="2:39" ht="12" thickBot="1">
      <c r="B17" s="557" t="s">
        <v>650</v>
      </c>
      <c r="C17" s="558" t="s">
        <v>66</v>
      </c>
      <c r="D17" s="558" t="s">
        <v>55</v>
      </c>
      <c r="E17" s="558">
        <v>0.03</v>
      </c>
      <c r="F17" s="558">
        <v>0.06</v>
      </c>
      <c r="G17" s="558" t="s">
        <v>651</v>
      </c>
      <c r="H17" s="558">
        <v>100</v>
      </c>
      <c r="I17" s="558">
        <v>-6.1151900000000004E-3</v>
      </c>
      <c r="J17" s="564">
        <v>46376</v>
      </c>
      <c r="K17" s="274"/>
      <c r="L17" s="274"/>
      <c r="M17" s="487">
        <f ca="1">IF('CDO Bespoke'!O18&lt;&gt;"",'CDO Bespoke'!O18,"")</f>
        <v>0.85688368395340997</v>
      </c>
      <c r="N17" s="488">
        <f ca="1">IF(M17&lt;&gt;"",ABS(MIN(-0.75*('CDO Bespoke'!Q18)+'CDO Bespoke'!T18,0)),"")</f>
        <v>0.86968523104835549</v>
      </c>
      <c r="O17" s="488">
        <f t="shared" ca="1" si="0"/>
        <v>0</v>
      </c>
      <c r="P17" s="488">
        <f t="shared" ca="1" si="1"/>
        <v>0</v>
      </c>
      <c r="Q17" s="487">
        <f ca="1">IF('CDO Bespoke'!O18&lt;&gt;"",'CDO Bespoke'!O18,"")</f>
        <v>0.85688368395340997</v>
      </c>
      <c r="R17" s="488">
        <f ca="1">IF(Q17&lt;&gt;"",ABS(MIN(-0.75*('CDO Bespoke'!K18)+'CDO Bespoke'!T18,0)),"")</f>
        <v>0.1865754789050881</v>
      </c>
      <c r="S17" s="488">
        <f t="shared" ca="1" si="2"/>
        <v>0.67030820504832189</v>
      </c>
      <c r="T17" s="492">
        <f t="shared" ca="1" si="3"/>
        <v>0</v>
      </c>
      <c r="U17" s="274"/>
      <c r="V17" s="497" t="str">
        <f ca="1">IF('CDO Bespoke'!C42&lt;&gt;"",'CDO Bespoke'!C42,"")</f>
        <v>ALSTOM</v>
      </c>
      <c r="W17" s="499" cm="1">
        <f t="array" aca="1" ref="W17" ca="1">IF($V17&lt;&gt;"",-TRANSPOSE(INDEX(getcds('CDO Bespoke'!$C42,W$13,'CDO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X17" s="524" cm="1">
        <f t="array" aca="1" ref="X17" ca="1">IF($V17&lt;&gt;"",-TRANSPOSE(INDEX(getcds('CDO Bespoke'!$C42,X$13,'CDO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Y17" s="524" cm="1">
        <f t="array" aca="1" ref="Y17" ca="1">IF($V17&lt;&gt;"",-TRANSPOSE(INDEX(getcds('CDO Bespoke'!$C42,Y$13,'CDO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Z17" s="524" cm="1">
        <f t="array" aca="1" ref="Z17" ca="1">IF($V17&lt;&gt;"",-TRANSPOSE(INDEX(getcds('CDO Bespoke'!$C42,Z$13,'CDO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AA17" s="500" cm="1">
        <f t="array" aca="1" ref="AA17" ca="1">IF($V17&lt;&gt;"",-TRANSPOSE(INDEX(getcds('CDO Bespoke'!$C42,AA$13,'CDO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AB17" s="479"/>
      <c r="AC17" s="515"/>
      <c r="AD17" s="516"/>
      <c r="AE17" s="516"/>
      <c r="AF17" s="516"/>
      <c r="AG17" s="516"/>
      <c r="AH17" s="516"/>
      <c r="AI17" s="516"/>
      <c r="AJ17" s="516"/>
      <c r="AK17" s="516"/>
      <c r="AL17" s="517"/>
      <c r="AM17" s="534">
        <f ca="1"/>
        <v>0</v>
      </c>
    </row>
    <row r="18" spans="2:39" ht="12" thickBot="1">
      <c r="B18" s="535" t="s">
        <v>650</v>
      </c>
      <c r="C18" s="536" t="s">
        <v>66</v>
      </c>
      <c r="D18" s="536" t="s">
        <v>57</v>
      </c>
      <c r="E18" s="536">
        <v>0.03</v>
      </c>
      <c r="F18" s="536">
        <v>0.06</v>
      </c>
      <c r="G18" s="536" t="s">
        <v>651</v>
      </c>
      <c r="H18" s="536">
        <v>100</v>
      </c>
      <c r="I18" s="536">
        <v>3.497422E-2</v>
      </c>
      <c r="J18" s="541">
        <v>47107</v>
      </c>
      <c r="K18" s="274"/>
      <c r="L18" s="274"/>
      <c r="M18" s="487">
        <f ca="1">IF('CDO Bespoke'!O19&lt;&gt;"",'CDO Bespoke'!O19,"")</f>
        <v>0.86018439214482001</v>
      </c>
      <c r="N18" s="488">
        <f ca="1">IF(M18&lt;&gt;"",ABS(MIN(-0.75*('CDO Bespoke'!Q19)+'CDO Bespoke'!T19,0)),"")</f>
        <v>0.86796119384639348</v>
      </c>
      <c r="O18" s="488">
        <f t="shared" ca="1" si="0"/>
        <v>0</v>
      </c>
      <c r="P18" s="488">
        <f t="shared" ca="1" si="1"/>
        <v>0</v>
      </c>
      <c r="Q18" s="487">
        <f ca="1">IF('CDO Bespoke'!O19&lt;&gt;"",'CDO Bespoke'!O19,"")</f>
        <v>0.86018439214482001</v>
      </c>
      <c r="R18" s="488">
        <f ca="1">IF(Q18&lt;&gt;"",ABS(MIN(-0.75*('CDO Bespoke'!K19)+'CDO Bespoke'!T19,0)),"")</f>
        <v>0.1538309327183921</v>
      </c>
      <c r="S18" s="488">
        <f t="shared" ca="1" si="2"/>
        <v>0.70635345942642791</v>
      </c>
      <c r="T18" s="492">
        <f t="shared" ca="1" si="3"/>
        <v>0</v>
      </c>
      <c r="U18" s="274"/>
      <c r="V18" s="497" t="str">
        <f ca="1">IF('CDO Bespoke'!C43&lt;&gt;"",'CDO Bespoke'!C43,"")</f>
        <v>Anglo American plc</v>
      </c>
      <c r="W18" s="499" cm="1">
        <f t="array" aca="1" ref="W18" ca="1">IF($V18&lt;&gt;"",-TRANSPOSE(INDEX(getcds('CDO Bespoke'!$C43,W$13,'CDO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X18" s="524" cm="1">
        <f t="array" aca="1" ref="X18" ca="1">IF($V18&lt;&gt;"",-TRANSPOSE(INDEX(getcds('CDO Bespoke'!$C43,X$13,'CDO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Y18" s="524" cm="1">
        <f t="array" aca="1" ref="Y18" ca="1">IF($V18&lt;&gt;"",-TRANSPOSE(INDEX(getcds('CDO Bespoke'!$C43,Y$13,'CDO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Z18" s="524" cm="1">
        <f t="array" aca="1" ref="Z18" ca="1">IF($V18&lt;&gt;"",-TRANSPOSE(INDEX(getcds('CDO Bespoke'!$C43,Z$13,'CDO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AA18" s="500" cm="1">
        <f t="array" aca="1" ref="AA18" ca="1">IF($V18&lt;&gt;"",-TRANSPOSE(INDEX(getcds('CDO Bespoke'!$C43,AA$13,'CDO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AB18" s="479"/>
      <c r="AC18" s="515"/>
      <c r="AD18" s="516"/>
      <c r="AE18" s="516"/>
      <c r="AF18" s="516"/>
      <c r="AG18" s="516"/>
      <c r="AH18" s="516"/>
      <c r="AI18" s="516"/>
      <c r="AJ18" s="516"/>
      <c r="AK18" s="516"/>
      <c r="AL18" s="517"/>
      <c r="AM18" s="534">
        <f ca="1"/>
        <v>0</v>
      </c>
    </row>
    <row r="19" spans="2:39" ht="12" thickBot="1">
      <c r="B19" s="552" t="s">
        <v>650</v>
      </c>
      <c r="C19" s="553" t="s">
        <v>66</v>
      </c>
      <c r="D19" s="553" t="s">
        <v>59</v>
      </c>
      <c r="E19" s="553">
        <v>0.03</v>
      </c>
      <c r="F19" s="553">
        <v>0.06</v>
      </c>
      <c r="G19" s="553" t="s">
        <v>651</v>
      </c>
      <c r="H19" s="553">
        <v>100</v>
      </c>
      <c r="I19" s="553">
        <v>0.10563547</v>
      </c>
      <c r="J19" s="563">
        <v>47837</v>
      </c>
      <c r="K19" s="274"/>
      <c r="L19" s="274"/>
      <c r="M19" s="487">
        <f ca="1">IF('CDO Bespoke'!O20&lt;&gt;"",'CDO Bespoke'!O20,"")</f>
        <v>0.85500480366515996</v>
      </c>
      <c r="N19" s="488">
        <f ca="1">IF(M19&lt;&gt;"",ABS(MIN(-0.75*('CDO Bespoke'!Q20)+'CDO Bespoke'!T20,0)),"")</f>
        <v>0.8706800713043078</v>
      </c>
      <c r="O19" s="488">
        <f t="shared" ca="1" si="0"/>
        <v>0</v>
      </c>
      <c r="P19" s="488">
        <f t="shared" ca="1" si="1"/>
        <v>0</v>
      </c>
      <c r="Q19" s="487">
        <f ca="1">IF('CDO Bespoke'!O20&lt;&gt;"",'CDO Bespoke'!O20,"")</f>
        <v>0.85500480366515996</v>
      </c>
      <c r="R19" s="488">
        <f ca="1">IF(Q19&lt;&gt;"",ABS(MIN(-0.75*('CDO Bespoke'!K20)+'CDO Bespoke'!T20,0)),"")</f>
        <v>0.20010829001866276</v>
      </c>
      <c r="S19" s="488">
        <f t="shared" ca="1" si="2"/>
        <v>0.65489651364649726</v>
      </c>
      <c r="T19" s="492">
        <f t="shared" ca="1" si="3"/>
        <v>0</v>
      </c>
      <c r="U19" s="274"/>
      <c r="V19" s="497" t="str">
        <f ca="1">IF('CDO Bespoke'!C44&lt;&gt;"",'CDO Bespoke'!C44,"")</f>
        <v>ArcelorMittal</v>
      </c>
      <c r="W19" s="499" cm="1">
        <f t="array" aca="1" ref="W19" ca="1">IF($V19&lt;&gt;"",-TRANSPOSE(INDEX(getcds('CDO Bespoke'!$C44,W$13,'CDO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X19" s="524" cm="1">
        <f t="array" aca="1" ref="X19" ca="1">IF($V19&lt;&gt;"",-TRANSPOSE(INDEX(getcds('CDO Bespoke'!$C44,X$13,'CDO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Y19" s="524" cm="1">
        <f t="array" aca="1" ref="Y19" ca="1">IF($V19&lt;&gt;"",-TRANSPOSE(INDEX(getcds('CDO Bespoke'!$C44,Y$13,'CDO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Z19" s="524" cm="1">
        <f t="array" aca="1" ref="Z19" ca="1">IF($V19&lt;&gt;"",-TRANSPOSE(INDEX(getcds('CDO Bespoke'!$C44,Z$13,'CDO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AA19" s="500" cm="1">
        <f t="array" aca="1" ref="AA19" ca="1">IF($V19&lt;&gt;"",-TRANSPOSE(INDEX(getcds('CDO Bespoke'!$C44,AA$13,'CDO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AB19" s="479"/>
      <c r="AC19" s="515"/>
      <c r="AD19" s="516"/>
      <c r="AE19" s="516"/>
      <c r="AF19" s="516"/>
      <c r="AG19" s="516"/>
      <c r="AH19" s="516"/>
      <c r="AI19" s="516"/>
      <c r="AJ19" s="516"/>
      <c r="AK19" s="516"/>
      <c r="AL19" s="517"/>
      <c r="AM19" s="534">
        <f ca="1"/>
        <v>0</v>
      </c>
    </row>
    <row r="20" spans="2:39" ht="12" thickBot="1">
      <c r="B20" s="535" t="s">
        <v>652</v>
      </c>
      <c r="C20" s="536" t="s">
        <v>66</v>
      </c>
      <c r="D20" s="536" t="s">
        <v>55</v>
      </c>
      <c r="E20" s="536">
        <v>0</v>
      </c>
      <c r="F20" s="536">
        <v>0.03</v>
      </c>
      <c r="G20" s="536" t="s">
        <v>651</v>
      </c>
      <c r="H20" s="536">
        <v>100</v>
      </c>
      <c r="I20" s="536">
        <v>0.1057844</v>
      </c>
      <c r="J20" s="541">
        <v>46376</v>
      </c>
      <c r="K20" s="583"/>
      <c r="L20" s="274"/>
      <c r="M20" s="487">
        <f ca="1">IF('CDO Bespoke'!O21&lt;&gt;"",'CDO Bespoke'!O21,"")</f>
        <v>0.86539384780893003</v>
      </c>
      <c r="N20" s="488">
        <f ca="1">IF(M20&lt;&gt;"",ABS(MIN(-0.75*('CDO Bespoke'!Q21)+'CDO Bespoke'!T21,0)),"")</f>
        <v>0.86224933674836479</v>
      </c>
      <c r="O20" s="488">
        <f t="shared" ca="1" si="0"/>
        <v>3.144511060565236E-3</v>
      </c>
      <c r="P20" s="488">
        <f t="shared" ca="1" si="1"/>
        <v>0</v>
      </c>
      <c r="Q20" s="487">
        <f ca="1">IF('CDO Bespoke'!O21&lt;&gt;"",'CDO Bespoke'!O21,"")</f>
        <v>0.86539384780893003</v>
      </c>
      <c r="R20" s="488">
        <f ca="1">IF(Q20&lt;&gt;"",ABS(MIN(-0.75*('CDO Bespoke'!K21)+'CDO Bespoke'!T21,0)),"")</f>
        <v>6.259565318792297E-2</v>
      </c>
      <c r="S20" s="488">
        <f t="shared" ca="1" si="2"/>
        <v>0.8027981946210071</v>
      </c>
      <c r="T20" s="492">
        <f t="shared" ca="1" si="3"/>
        <v>0</v>
      </c>
      <c r="U20" s="274"/>
      <c r="V20" s="497" t="str">
        <f ca="1">IF('CDO Bespoke'!C45&lt;&gt;"",'CDO Bespoke'!C45,"")</f>
        <v>ASTRAZENECA PLC</v>
      </c>
      <c r="W20" s="499" cm="1">
        <f t="array" aca="1" ref="W20" ca="1">IF($V20&lt;&gt;"",-TRANSPOSE(INDEX(getcds('CDO Bespoke'!$C45,W$13,'CDO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X20" s="524" cm="1">
        <f t="array" aca="1" ref="X20" ca="1">IF($V20&lt;&gt;"",-TRANSPOSE(INDEX(getcds('CDO Bespoke'!$C45,X$13,'CDO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Y20" s="524" cm="1">
        <f t="array" aca="1" ref="Y20" ca="1">IF($V20&lt;&gt;"",-TRANSPOSE(INDEX(getcds('CDO Bespoke'!$C45,Y$13,'CDO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Z20" s="524" cm="1">
        <f t="array" aca="1" ref="Z20" ca="1">IF($V20&lt;&gt;"",-TRANSPOSE(INDEX(getcds('CDO Bespoke'!$C45,Z$13,'CDO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AA20" s="500" cm="1">
        <f t="array" aca="1" ref="AA20" ca="1">IF($V20&lt;&gt;"",-TRANSPOSE(INDEX(getcds('CDO Bespoke'!$C45,AA$13,'CDO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AB20" s="479"/>
      <c r="AC20" s="515"/>
      <c r="AD20" s="516"/>
      <c r="AE20" s="516"/>
      <c r="AF20" s="516"/>
      <c r="AG20" s="516"/>
      <c r="AH20" s="516"/>
      <c r="AI20" s="516"/>
      <c r="AJ20" s="516"/>
      <c r="AK20" s="516"/>
      <c r="AL20" s="517"/>
      <c r="AM20" s="534">
        <f ca="1"/>
        <v>0</v>
      </c>
    </row>
    <row r="21" spans="2:39" ht="12" thickBot="1">
      <c r="B21" s="535" t="s">
        <v>652</v>
      </c>
      <c r="C21" s="536" t="s">
        <v>66</v>
      </c>
      <c r="D21" s="536" t="s">
        <v>57</v>
      </c>
      <c r="E21" s="536">
        <v>0</v>
      </c>
      <c r="F21" s="536">
        <v>0.03</v>
      </c>
      <c r="G21" s="536" t="s">
        <v>651</v>
      </c>
      <c r="H21" s="536">
        <v>100</v>
      </c>
      <c r="I21" s="536">
        <v>0.25752876000000002</v>
      </c>
      <c r="J21" s="541">
        <v>47107</v>
      </c>
      <c r="K21" s="583"/>
      <c r="L21" s="274"/>
      <c r="M21" s="487">
        <f ca="1">IF('CDO Bespoke'!O22&lt;&gt;"",'CDO Bespoke'!O22,"")</f>
        <v>0.86526494090179995</v>
      </c>
      <c r="N21" s="488">
        <f ca="1">IF(M21&lt;&gt;"",ABS(MIN(-0.75*('CDO Bespoke'!Q22)+'CDO Bespoke'!T22,0)),"")</f>
        <v>0.86262427847643453</v>
      </c>
      <c r="O21" s="488">
        <f t="shared" ca="1" si="0"/>
        <v>2.6406624253654254E-3</v>
      </c>
      <c r="P21" s="488">
        <f t="shared" ca="1" si="1"/>
        <v>0</v>
      </c>
      <c r="Q21" s="487">
        <f ca="1">IF('CDO Bespoke'!O22&lt;&gt;"",'CDO Bespoke'!O22,"")</f>
        <v>0.86526494090179995</v>
      </c>
      <c r="R21" s="488">
        <f ca="1">IF(Q21&lt;&gt;"",ABS(MIN(-0.75*('CDO Bespoke'!K22)+'CDO Bespoke'!T22,0)),"")</f>
        <v>6.7042261783922308E-2</v>
      </c>
      <c r="S21" s="488">
        <f t="shared" ca="1" si="2"/>
        <v>0.7982226791178777</v>
      </c>
      <c r="T21" s="492">
        <f t="shared" ca="1" si="3"/>
        <v>0</v>
      </c>
      <c r="U21" s="274"/>
      <c r="V21" s="497" t="str">
        <f ca="1">IF('CDO Bespoke'!C46&lt;&gt;"",'CDO Bespoke'!C46,"")</f>
        <v>BAE SYSTEMS PLC</v>
      </c>
      <c r="W21" s="499" cm="1">
        <f t="array" aca="1" ref="W21" ca="1">IF($V21&lt;&gt;"",-TRANSPOSE(INDEX(getcds('CDO Bespoke'!$C46,W$13,'CDO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X21" s="524" cm="1">
        <f t="array" aca="1" ref="X21" ca="1">IF($V21&lt;&gt;"",-TRANSPOSE(INDEX(getcds('CDO Bespoke'!$C46,X$13,'CDO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Y21" s="524" cm="1">
        <f t="array" aca="1" ref="Y21" ca="1">IF($V21&lt;&gt;"",-TRANSPOSE(INDEX(getcds('CDO Bespoke'!$C46,Y$13,'CDO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Z21" s="524" cm="1">
        <f t="array" aca="1" ref="Z21" ca="1">IF($V21&lt;&gt;"",-TRANSPOSE(INDEX(getcds('CDO Bespoke'!$C46,Z$13,'CDO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AA21" s="500" cm="1">
        <f t="array" aca="1" ref="AA21" ca="1">IF($V21&lt;&gt;"",-TRANSPOSE(INDEX(getcds('CDO Bespoke'!$C46,AA$13,'CDO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AB21" s="479"/>
      <c r="AC21" s="515"/>
      <c r="AD21" s="516"/>
      <c r="AE21" s="516"/>
      <c r="AF21" s="516"/>
      <c r="AG21" s="516"/>
      <c r="AH21" s="516"/>
      <c r="AI21" s="516"/>
      <c r="AJ21" s="516"/>
      <c r="AK21" s="516"/>
      <c r="AL21" s="517"/>
      <c r="AM21" s="534">
        <f ca="1"/>
        <v>0</v>
      </c>
    </row>
    <row r="22" spans="2:39" ht="12" thickBot="1">
      <c r="B22" s="538" t="s">
        <v>652</v>
      </c>
      <c r="C22" s="539" t="s">
        <v>66</v>
      </c>
      <c r="D22" s="539" t="s">
        <v>59</v>
      </c>
      <c r="E22" s="539">
        <v>0</v>
      </c>
      <c r="F22" s="539">
        <v>0.03</v>
      </c>
      <c r="G22" s="539" t="s">
        <v>651</v>
      </c>
      <c r="H22" s="539">
        <v>100</v>
      </c>
      <c r="I22" s="539">
        <v>0.38828527000000002</v>
      </c>
      <c r="J22" s="542">
        <v>47837</v>
      </c>
      <c r="K22" s="583"/>
      <c r="L22" s="274"/>
      <c r="M22" s="487">
        <f ca="1">IF('CDO Bespoke'!O23&lt;&gt;"",'CDO Bespoke'!O23,"")</f>
        <v>0.86510123843452003</v>
      </c>
      <c r="N22" s="488">
        <f ca="1">IF(M22&lt;&gt;"",ABS(MIN(-0.75*('CDO Bespoke'!Q23)+'CDO Bespoke'!T23,0)),"")</f>
        <v>0.86297768636316063</v>
      </c>
      <c r="O22" s="488">
        <f t="shared" ca="1" si="0"/>
        <v>2.1235520713593914E-3</v>
      </c>
      <c r="P22" s="488">
        <f t="shared" ca="1" si="1"/>
        <v>0</v>
      </c>
      <c r="Q22" s="487">
        <f ca="1">IF('CDO Bespoke'!O23&lt;&gt;"",'CDO Bespoke'!O23,"")</f>
        <v>0.86510123843452003</v>
      </c>
      <c r="R22" s="488">
        <f ca="1">IF(Q22&lt;&gt;"",ABS(MIN(-0.75*('CDO Bespoke'!K23)+'CDO Bespoke'!T23,0)),"")</f>
        <v>7.2631913946919605E-2</v>
      </c>
      <c r="S22" s="488">
        <f t="shared" ca="1" si="2"/>
        <v>0.79246932448760043</v>
      </c>
      <c r="T22" s="492">
        <f t="shared" ca="1" si="3"/>
        <v>0</v>
      </c>
      <c r="U22" s="274"/>
      <c r="V22" s="497" t="str">
        <f ca="1">IF('CDO Bespoke'!C47&lt;&gt;"",'CDO Bespoke'!C47,"")</f>
        <v>BASF SE</v>
      </c>
      <c r="W22" s="499" cm="1">
        <f t="array" aca="1" ref="W22" ca="1">IF($V22&lt;&gt;"",-TRANSPOSE(INDEX(getcds('CDO Bespoke'!$C47,W$13,'CDO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X22" s="524" cm="1">
        <f t="array" aca="1" ref="X22" ca="1">IF($V22&lt;&gt;"",-TRANSPOSE(INDEX(getcds('CDO Bespoke'!$C47,X$13,'CDO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Y22" s="524" cm="1">
        <f t="array" aca="1" ref="Y22" ca="1">IF($V22&lt;&gt;"",-TRANSPOSE(INDEX(getcds('CDO Bespoke'!$C47,Y$13,'CDO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Z22" s="524" cm="1">
        <f t="array" aca="1" ref="Z22" ca="1">IF($V22&lt;&gt;"",-TRANSPOSE(INDEX(getcds('CDO Bespoke'!$C47,Z$13,'CDO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AA22" s="500" cm="1">
        <f t="array" aca="1" ref="AA22" ca="1">IF($V22&lt;&gt;"",-TRANSPOSE(INDEX(getcds('CDO Bespoke'!$C47,AA$13,'CDO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AB22" s="479"/>
      <c r="AC22" s="515"/>
      <c r="AD22" s="516"/>
      <c r="AE22" s="516"/>
      <c r="AF22" s="516"/>
      <c r="AG22" s="516"/>
      <c r="AH22" s="516"/>
      <c r="AI22" s="516"/>
      <c r="AJ22" s="516"/>
      <c r="AK22" s="516"/>
      <c r="AL22" s="517"/>
      <c r="AM22" s="534">
        <f ca="1"/>
        <v>0</v>
      </c>
    </row>
    <row r="23" spans="2:39" ht="12" thickBot="1">
      <c r="D23" s="274"/>
      <c r="E23" s="274"/>
      <c r="F23" s="274"/>
      <c r="G23" s="274"/>
      <c r="H23" s="274"/>
      <c r="I23" s="274"/>
      <c r="J23" s="274"/>
      <c r="K23" s="274"/>
      <c r="L23" s="584"/>
      <c r="M23" s="487">
        <f ca="1">IF('CDO Bespoke'!O24&lt;&gt;"",'CDO Bespoke'!O24,"")</f>
        <v>0.86076687416039999</v>
      </c>
      <c r="N23" s="488">
        <f ca="1">IF(M23&lt;&gt;"",ABS(MIN(-0.75*('CDO Bespoke'!Q24)+'CDO Bespoke'!T24,0)),"")</f>
        <v>0.86740106287885999</v>
      </c>
      <c r="O23" s="488">
        <f t="shared" ca="1" si="0"/>
        <v>0</v>
      </c>
      <c r="P23" s="488">
        <f t="shared" ca="1" si="1"/>
        <v>0</v>
      </c>
      <c r="Q23" s="487">
        <f ca="1">IF('CDO Bespoke'!O24&lt;&gt;"",'CDO Bespoke'!O24,"")</f>
        <v>0.86076687416039999</v>
      </c>
      <c r="R23" s="488">
        <f ca="1">IF(Q23&lt;&gt;"",ABS(MIN(-0.75*('CDO Bespoke'!K24)+'CDO Bespoke'!T24,0)),"")</f>
        <v>0.14867960181844475</v>
      </c>
      <c r="S23" s="488">
        <f t="shared" ca="1" si="2"/>
        <v>0.71208727234195524</v>
      </c>
      <c r="T23" s="492">
        <f t="shared" ca="1" si="3"/>
        <v>0</v>
      </c>
      <c r="U23" s="274"/>
      <c r="V23" s="497" t="str">
        <f ca="1">IF('CDO Bespoke'!C48&lt;&gt;"",'CDO Bespoke'!C48,"")</f>
        <v>Bayer Aktiengesellschaft</v>
      </c>
      <c r="W23" s="499" cm="1">
        <f t="array" aca="1" ref="W23" ca="1">IF($V23&lt;&gt;"",-TRANSPOSE(INDEX(getcds('CDO Bespoke'!$C48,W$13,'CDO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X23" s="524" cm="1">
        <f t="array" aca="1" ref="X23" ca="1">IF($V23&lt;&gt;"",-TRANSPOSE(INDEX(getcds('CDO Bespoke'!$C48,X$13,'CDO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Y23" s="524" cm="1">
        <f t="array" aca="1" ref="Y23" ca="1">IF($V23&lt;&gt;"",-TRANSPOSE(INDEX(getcds('CDO Bespoke'!$C48,Y$13,'CDO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Z23" s="524" cm="1">
        <f t="array" aca="1" ref="Z23" ca="1">IF($V23&lt;&gt;"",-TRANSPOSE(INDEX(getcds('CDO Bespoke'!$C48,Z$13,'CDO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AA23" s="500" cm="1">
        <f t="array" aca="1" ref="AA23" ca="1">IF($V23&lt;&gt;"",-TRANSPOSE(INDEX(getcds('CDO Bespoke'!$C48,AA$13,'CDO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AB23" s="479"/>
      <c r="AC23" s="515"/>
      <c r="AD23" s="516"/>
      <c r="AE23" s="516"/>
      <c r="AF23" s="516"/>
      <c r="AG23" s="516"/>
      <c r="AH23" s="516"/>
      <c r="AI23" s="516"/>
      <c r="AJ23" s="516"/>
      <c r="AK23" s="516"/>
      <c r="AL23" s="517"/>
      <c r="AM23" s="534">
        <f ca="1"/>
        <v>0</v>
      </c>
    </row>
    <row r="24" spans="2:39" ht="12" thickBot="1">
      <c r="B24" s="471" t="s">
        <v>653</v>
      </c>
      <c r="C24" s="471" t="s">
        <v>82</v>
      </c>
      <c r="D24" s="471" t="s">
        <v>432</v>
      </c>
      <c r="E24" s="471" t="s">
        <v>654</v>
      </c>
      <c r="F24" s="471" t="s">
        <v>655</v>
      </c>
      <c r="G24" s="471" t="s">
        <v>656</v>
      </c>
      <c r="H24" s="471" t="s">
        <v>657</v>
      </c>
      <c r="I24" s="471" t="s">
        <v>85</v>
      </c>
      <c r="J24" s="479" t="s">
        <v>671</v>
      </c>
      <c r="K24" s="274"/>
      <c r="L24" s="274"/>
      <c r="M24" s="487">
        <f ca="1">IF('CDO Bespoke'!O25&lt;&gt;"",'CDO Bespoke'!O25,"")</f>
        <v>0.86484815376124002</v>
      </c>
      <c r="N24" s="488">
        <f ca="1">IF(M24&lt;&gt;"",ABS(MIN(-0.75*('CDO Bespoke'!Q25)+'CDO Bespoke'!T25,0)),"")</f>
        <v>0.86341529930089522</v>
      </c>
      <c r="O24" s="488">
        <f t="shared" ca="1" si="0"/>
        <v>1.4328544603448012E-3</v>
      </c>
      <c r="P24" s="488">
        <f t="shared" ca="1" si="1"/>
        <v>0</v>
      </c>
      <c r="Q24" s="487">
        <f ca="1">IF('CDO Bespoke'!O25&lt;&gt;"",'CDO Bespoke'!O25,"")</f>
        <v>0.86484815376124002</v>
      </c>
      <c r="R24" s="488">
        <f ca="1">IF(Q24&lt;&gt;"",ABS(MIN(-0.75*('CDO Bespoke'!K25)+'CDO Bespoke'!T25,0)),"")</f>
        <v>8.048349635982105E-2</v>
      </c>
      <c r="S24" s="488">
        <f t="shared" ca="1" si="2"/>
        <v>0.78436465740141892</v>
      </c>
      <c r="T24" s="492">
        <f t="shared" ca="1" si="3"/>
        <v>0</v>
      </c>
      <c r="U24" s="274"/>
      <c r="V24" s="497" t="str">
        <f ca="1">IF('CDO Bespoke'!C49&lt;&gt;"",'CDO Bespoke'!C49,"")</f>
        <v>Bayerische Motoren Werke Aktiengesellschaft</v>
      </c>
      <c r="W24" s="499" cm="1">
        <f t="array" aca="1" ref="W24" ca="1">IF($V24&lt;&gt;"",-TRANSPOSE(INDEX(getcds('CDO Bespoke'!$C49,W$13,'CDO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X24" s="524" cm="1">
        <f t="array" aca="1" ref="X24" ca="1">IF($V24&lt;&gt;"",-TRANSPOSE(INDEX(getcds('CDO Bespoke'!$C49,X$13,'CDO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Y24" s="524" cm="1">
        <f t="array" aca="1" ref="Y24" ca="1">IF($V24&lt;&gt;"",-TRANSPOSE(INDEX(getcds('CDO Bespoke'!$C49,Y$13,'CDO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Z24" s="524" cm="1">
        <f t="array" aca="1" ref="Z24" ca="1">IF($V24&lt;&gt;"",-TRANSPOSE(INDEX(getcds('CDO Bespoke'!$C49,Z$13,'CDO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AA24" s="500" cm="1">
        <f t="array" aca="1" ref="AA24" ca="1">IF($V24&lt;&gt;"",-TRANSPOSE(INDEX(getcds('CDO Bespoke'!$C49,AA$13,'CDO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AB24" s="479"/>
      <c r="AC24" s="515"/>
      <c r="AD24" s="516"/>
      <c r="AE24" s="516"/>
      <c r="AF24" s="516"/>
      <c r="AG24" s="516"/>
      <c r="AH24" s="516"/>
      <c r="AI24" s="516"/>
      <c r="AJ24" s="516"/>
      <c r="AK24" s="516"/>
      <c r="AL24" s="517"/>
      <c r="AM24" s="534">
        <f ca="1"/>
        <v>0</v>
      </c>
    </row>
    <row r="25" spans="2:39" ht="12" thickBot="1">
      <c r="B25" s="547" t="s">
        <v>510</v>
      </c>
      <c r="C25" s="548" t="s">
        <v>66</v>
      </c>
      <c r="D25" s="548" t="s">
        <v>55</v>
      </c>
      <c r="E25" s="548" t="s">
        <v>658</v>
      </c>
      <c r="F25" s="548" t="s">
        <v>659</v>
      </c>
      <c r="G25" s="549">
        <v>0.01</v>
      </c>
      <c r="H25" s="549">
        <v>3.0899999999999999E-3</v>
      </c>
      <c r="I25" s="550">
        <v>0.4</v>
      </c>
      <c r="J25" s="551">
        <v>1</v>
      </c>
      <c r="K25" s="274"/>
      <c r="L25" s="397"/>
      <c r="M25" s="487">
        <f ca="1">IF('CDO Bespoke'!O26&lt;&gt;"",'CDO Bespoke'!O26,"")</f>
        <v>0.86532751994205004</v>
      </c>
      <c r="N25" s="488">
        <f ca="1">IF(M25&lt;&gt;"",ABS(MIN(-0.75*('CDO Bespoke'!Q26)+'CDO Bespoke'!T26,0)),"")</f>
        <v>0.86244322188365941</v>
      </c>
      <c r="O25" s="488">
        <f t="shared" ca="1" si="0"/>
        <v>2.884298058390633E-3</v>
      </c>
      <c r="P25" s="488">
        <f t="shared" ca="1" si="1"/>
        <v>0</v>
      </c>
      <c r="Q25" s="487">
        <f ca="1">IF('CDO Bespoke'!O26&lt;&gt;"",'CDO Bespoke'!O26,"")</f>
        <v>0.86532751994205004</v>
      </c>
      <c r="R25" s="488">
        <f ca="1">IF(Q25&lt;&gt;"",ABS(MIN(-0.75*('CDO Bespoke'!K26)+'CDO Bespoke'!T26,0)),"")</f>
        <v>6.5090287873004707E-2</v>
      </c>
      <c r="S25" s="488">
        <f t="shared" ca="1" si="2"/>
        <v>0.80023723206904529</v>
      </c>
      <c r="T25" s="492">
        <f t="shared" ca="1" si="3"/>
        <v>0</v>
      </c>
      <c r="U25" s="274"/>
      <c r="V25" s="497" t="str">
        <f ca="1">IF('CDO Bespoke'!C50&lt;&gt;"",'CDO Bespoke'!C50,"")</f>
        <v>BOUYGUES</v>
      </c>
      <c r="W25" s="499" cm="1">
        <f t="array" aca="1" ref="W25" ca="1">IF($V25&lt;&gt;"",-TRANSPOSE(INDEX(getcds('CDO Bespoke'!$C50,W$13,'CDO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X25" s="524" cm="1">
        <f t="array" aca="1" ref="X25" ca="1">IF($V25&lt;&gt;"",-TRANSPOSE(INDEX(getcds('CDO Bespoke'!$C50,X$13,'CDO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Y25" s="524" cm="1">
        <f t="array" aca="1" ref="Y25" ca="1">IF($V25&lt;&gt;"",-TRANSPOSE(INDEX(getcds('CDO Bespoke'!$C50,Y$13,'CDO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Z25" s="524" cm="1">
        <f t="array" aca="1" ref="Z25" ca="1">IF($V25&lt;&gt;"",-TRANSPOSE(INDEX(getcds('CDO Bespoke'!$C50,Z$13,'CDO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AA25" s="500" cm="1">
        <f t="array" aca="1" ref="AA25" ca="1">IF($V25&lt;&gt;"",-TRANSPOSE(INDEX(getcds('CDO Bespoke'!$C50,AA$13,'CDO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AB25" s="479"/>
      <c r="AC25" s="515"/>
      <c r="AD25" s="516"/>
      <c r="AE25" s="516"/>
      <c r="AF25" s="516"/>
      <c r="AG25" s="516"/>
      <c r="AH25" s="516"/>
      <c r="AI25" s="516"/>
      <c r="AJ25" s="516"/>
      <c r="AK25" s="516"/>
      <c r="AL25" s="517"/>
      <c r="AM25" s="534">
        <f ca="1"/>
        <v>0</v>
      </c>
    </row>
    <row r="26" spans="2:39" ht="12" thickBot="1">
      <c r="B26" s="535" t="s">
        <v>510</v>
      </c>
      <c r="C26" s="536" t="s">
        <v>66</v>
      </c>
      <c r="D26" s="536" t="s">
        <v>57</v>
      </c>
      <c r="E26" s="536" t="s">
        <v>658</v>
      </c>
      <c r="F26" s="536" t="s">
        <v>659</v>
      </c>
      <c r="G26" s="543">
        <v>0.01</v>
      </c>
      <c r="H26" s="543">
        <v>4.5950000000000001E-3</v>
      </c>
      <c r="I26" s="545">
        <v>0.4</v>
      </c>
      <c r="J26" s="537">
        <v>1</v>
      </c>
      <c r="K26" s="274"/>
      <c r="L26" s="274"/>
      <c r="M26" s="487">
        <f ca="1">IF('CDO Bespoke'!O27&lt;&gt;"",'CDO Bespoke'!O27,"")</f>
        <v>0.86246733472426995</v>
      </c>
      <c r="N26" s="488">
        <f ca="1">IF(M26&lt;&gt;"",ABS(MIN(-0.75*('CDO Bespoke'!Q27)+'CDO Bespoke'!T27,0)),"")</f>
        <v>0.86615177551246758</v>
      </c>
      <c r="O26" s="488">
        <f t="shared" ca="1" si="0"/>
        <v>0</v>
      </c>
      <c r="P26" s="488">
        <f t="shared" ca="1" si="1"/>
        <v>0</v>
      </c>
      <c r="Q26" s="487">
        <f ca="1">IF('CDO Bespoke'!O27&lt;&gt;"",'CDO Bespoke'!O27,"")</f>
        <v>0.86246733472426995</v>
      </c>
      <c r="R26" s="488">
        <f ca="1">IF(Q26&lt;&gt;"",ABS(MIN(-0.75*('CDO Bespoke'!K27)+'CDO Bespoke'!T27,0)),"")</f>
        <v>0.12630747081523824</v>
      </c>
      <c r="S26" s="488">
        <f t="shared" ca="1" si="2"/>
        <v>0.73615986390903165</v>
      </c>
      <c r="T26" s="492">
        <f t="shared" ca="1" si="3"/>
        <v>0</v>
      </c>
      <c r="U26" s="274"/>
      <c r="V26" s="497" t="str">
        <f ca="1">IF('CDO Bespoke'!C51&lt;&gt;"",'CDO Bespoke'!C51,"")</f>
        <v>CNH Industrial N.V</v>
      </c>
      <c r="W26" s="499" cm="1">
        <f t="array" aca="1" ref="W26" ca="1">IF($V26&lt;&gt;"",-TRANSPOSE(INDEX(getcds('CDO Bespoke'!$C51,W$13,'CDO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X26" s="524" cm="1">
        <f t="array" aca="1" ref="X26" ca="1">IF($V26&lt;&gt;"",-TRANSPOSE(INDEX(getcds('CDO Bespoke'!$C51,X$13,'CDO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Y26" s="524" cm="1">
        <f t="array" aca="1" ref="Y26" ca="1">IF($V26&lt;&gt;"",-TRANSPOSE(INDEX(getcds('CDO Bespoke'!$C51,Y$13,'CDO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Z26" s="524" cm="1">
        <f t="array" aca="1" ref="Z26" ca="1">IF($V26&lt;&gt;"",-TRANSPOSE(INDEX(getcds('CDO Bespoke'!$C51,Z$13,'CDO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AA26" s="500" cm="1">
        <f t="array" aca="1" ref="AA26" ca="1">IF($V26&lt;&gt;"",-TRANSPOSE(INDEX(getcds('CDO Bespoke'!$C51,AA$13,'CDO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AB26" s="479"/>
      <c r="AC26" s="515"/>
      <c r="AD26" s="516"/>
      <c r="AE26" s="516"/>
      <c r="AF26" s="516"/>
      <c r="AG26" s="516"/>
      <c r="AH26" s="516"/>
      <c r="AI26" s="516"/>
      <c r="AJ26" s="516"/>
      <c r="AK26" s="516"/>
      <c r="AL26" s="517"/>
      <c r="AM26" s="534"/>
    </row>
    <row r="27" spans="2:39" ht="12" thickBot="1">
      <c r="B27" s="552" t="s">
        <v>510</v>
      </c>
      <c r="C27" s="553" t="s">
        <v>66</v>
      </c>
      <c r="D27" s="553" t="s">
        <v>59</v>
      </c>
      <c r="E27" s="553" t="s">
        <v>658</v>
      </c>
      <c r="F27" s="553" t="s">
        <v>659</v>
      </c>
      <c r="G27" s="554">
        <v>0.01</v>
      </c>
      <c r="H27" s="554">
        <v>6.3160000000000004E-3</v>
      </c>
      <c r="I27" s="555">
        <v>0.4</v>
      </c>
      <c r="J27" s="556">
        <v>1</v>
      </c>
      <c r="K27" s="274"/>
      <c r="L27" s="274"/>
      <c r="M27" s="487">
        <f ca="1">IF('CDO Bespoke'!O28&lt;&gt;"",'CDO Bespoke'!O28,"")</f>
        <v>0.85939076159742001</v>
      </c>
      <c r="N27" s="488">
        <f ca="1">IF(M27&lt;&gt;"",ABS(MIN(-0.75*('CDO Bespoke'!Q28)+'CDO Bespoke'!T28,0)),"")</f>
        <v>0.85782446286951564</v>
      </c>
      <c r="O27" s="488">
        <f t="shared" ca="1" si="0"/>
        <v>1.5662987279043694E-3</v>
      </c>
      <c r="P27" s="488">
        <f t="shared" ca="1" si="1"/>
        <v>0</v>
      </c>
      <c r="Q27" s="487">
        <f ca="1">IF('CDO Bespoke'!O28&lt;&gt;"",'CDO Bespoke'!O28,"")</f>
        <v>0.85939076159742001</v>
      </c>
      <c r="R27" s="488">
        <f ca="1">IF(Q27&lt;&gt;"",ABS(MIN(-0.75*('CDO Bespoke'!K28)+'CDO Bespoke'!T28,0)),"")</f>
        <v>8.5601992213039074E-2</v>
      </c>
      <c r="S27" s="488">
        <f t="shared" ca="1" si="2"/>
        <v>0.7737887693843809</v>
      </c>
      <c r="T27" s="492">
        <f t="shared" ca="1" si="3"/>
        <v>0</v>
      </c>
      <c r="U27" s="274"/>
      <c r="V27" s="497" t="str">
        <f ca="1">IF('CDO Bespoke'!C52&lt;&gt;"",'CDO Bespoke'!C52,"")</f>
        <v>COMPAGNIE DE SAINT-GOBAIN</v>
      </c>
      <c r="W27" s="499" cm="1">
        <f t="array" aca="1" ref="W27" ca="1">IF($V27&lt;&gt;"",-TRANSPOSE(INDEX(getcds('CDO Bespoke'!$C52,W$13,'CDO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X27" s="524" cm="1">
        <f t="array" aca="1" ref="X27" ca="1">IF($V27&lt;&gt;"",-TRANSPOSE(INDEX(getcds('CDO Bespoke'!$C52,X$13,'CDO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Y27" s="524" cm="1">
        <f t="array" aca="1" ref="Y27" ca="1">IF($V27&lt;&gt;"",-TRANSPOSE(INDEX(getcds('CDO Bespoke'!$C52,Y$13,'CDO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Z27" s="524" cm="1">
        <f t="array" aca="1" ref="Z27" ca="1">IF($V27&lt;&gt;"",-TRANSPOSE(INDEX(getcds('CDO Bespoke'!$C52,Z$13,'CDO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AA27" s="500" cm="1">
        <f t="array" aca="1" ref="AA27" ca="1">IF($V27&lt;&gt;"",-TRANSPOSE(INDEX(getcds('CDO Bespoke'!$C52,AA$13,'CDO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AB27" s="479"/>
      <c r="AC27" s="515"/>
      <c r="AD27" s="516"/>
      <c r="AE27" s="516"/>
      <c r="AF27" s="516"/>
      <c r="AG27" s="516"/>
      <c r="AH27" s="516"/>
      <c r="AI27" s="516"/>
      <c r="AJ27" s="516"/>
      <c r="AK27" s="516"/>
      <c r="AL27" s="517"/>
      <c r="AM27" s="534"/>
    </row>
    <row r="28" spans="2:39" ht="12" thickBot="1">
      <c r="B28" s="557" t="s">
        <v>511</v>
      </c>
      <c r="C28" s="558" t="s">
        <v>66</v>
      </c>
      <c r="D28" s="558" t="s">
        <v>55</v>
      </c>
      <c r="E28" s="558" t="s">
        <v>658</v>
      </c>
      <c r="F28" s="558" t="s">
        <v>659</v>
      </c>
      <c r="G28" s="559">
        <v>0.01</v>
      </c>
      <c r="H28" s="559">
        <v>2.9420000000000002E-3</v>
      </c>
      <c r="I28" s="560">
        <v>0.4</v>
      </c>
      <c r="J28" s="561">
        <v>2</v>
      </c>
      <c r="K28" s="274"/>
      <c r="L28" s="274"/>
      <c r="M28" s="487">
        <f ca="1">IF('CDO Bespoke'!O29&lt;&gt;"",'CDO Bespoke'!O29,"")</f>
        <v>0.86227909294144001</v>
      </c>
      <c r="N28" s="488">
        <f ca="1">IF(M28&lt;&gt;"",ABS(MIN(-0.75*('CDO Bespoke'!Q29)+'CDO Bespoke'!T29,0)),"")</f>
        <v>0.86634785148909255</v>
      </c>
      <c r="O28" s="488">
        <f t="shared" ca="1" si="0"/>
        <v>0</v>
      </c>
      <c r="P28" s="488">
        <f t="shared" ca="1" si="1"/>
        <v>0</v>
      </c>
      <c r="Q28" s="487">
        <f ca="1">IF('CDO Bespoke'!O29&lt;&gt;"",'CDO Bespoke'!O29,"")</f>
        <v>0.86227909294144001</v>
      </c>
      <c r="R28" s="488">
        <f ca="1">IF(Q28&lt;&gt;"",ABS(MIN(-0.75*('CDO Bespoke'!K29)+'CDO Bespoke'!T29,0)),"")</f>
        <v>0.12906861581884299</v>
      </c>
      <c r="S28" s="488">
        <f t="shared" ca="1" si="2"/>
        <v>0.73321047712259702</v>
      </c>
      <c r="T28" s="492">
        <f t="shared" ca="1" si="3"/>
        <v>0</v>
      </c>
      <c r="U28" s="274"/>
      <c r="V28" s="497" t="str">
        <f ca="1">IF('CDO Bespoke'!C53&lt;&gt;"",'CDO Bespoke'!C53,"")</f>
        <v>Continental Aktiengesellschaft</v>
      </c>
      <c r="W28" s="499" cm="1">
        <f t="array" aca="1" ref="W28" ca="1">IF($V28&lt;&gt;"",-TRANSPOSE(INDEX(getcds('CDO Bespoke'!$C53,W$13,'CDO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X28" s="524" cm="1">
        <f t="array" aca="1" ref="X28" ca="1">IF($V28&lt;&gt;"",-TRANSPOSE(INDEX(getcds('CDO Bespoke'!$C53,X$13,'CDO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Y28" s="524" cm="1">
        <f t="array" aca="1" ref="Y28" ca="1">IF($V28&lt;&gt;"",-TRANSPOSE(INDEX(getcds('CDO Bespoke'!$C53,Y$13,'CDO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Z28" s="524" cm="1">
        <f t="array" aca="1" ref="Z28" ca="1">IF($V28&lt;&gt;"",-TRANSPOSE(INDEX(getcds('CDO Bespoke'!$C53,Z$13,'CDO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AA28" s="500" cm="1">
        <f t="array" aca="1" ref="AA28" ca="1">IF($V28&lt;&gt;"",-TRANSPOSE(INDEX(getcds('CDO Bespoke'!$C53,AA$13,'CDO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AB28" s="479"/>
      <c r="AC28" s="515"/>
      <c r="AD28" s="516"/>
      <c r="AE28" s="516"/>
      <c r="AF28" s="516"/>
      <c r="AG28" s="516"/>
      <c r="AH28" s="516"/>
      <c r="AI28" s="516"/>
      <c r="AJ28" s="516"/>
      <c r="AK28" s="516"/>
      <c r="AL28" s="517"/>
      <c r="AM28" s="534"/>
    </row>
    <row r="29" spans="2:39" ht="12" thickBot="1">
      <c r="B29" s="535" t="s">
        <v>511</v>
      </c>
      <c r="C29" s="536" t="s">
        <v>66</v>
      </c>
      <c r="D29" s="536" t="s">
        <v>57</v>
      </c>
      <c r="E29" s="536" t="s">
        <v>658</v>
      </c>
      <c r="F29" s="536" t="s">
        <v>659</v>
      </c>
      <c r="G29" s="543">
        <v>0.01</v>
      </c>
      <c r="H29" s="543">
        <v>4.9529999999999999E-3</v>
      </c>
      <c r="I29" s="545">
        <v>0.4</v>
      </c>
      <c r="J29" s="537">
        <v>2</v>
      </c>
      <c r="K29" s="274"/>
      <c r="L29" s="274"/>
      <c r="M29" s="487">
        <f ca="1">IF('CDO Bespoke'!O30&lt;&gt;"",'CDO Bespoke'!O30,"")</f>
        <v>0.85968564915255996</v>
      </c>
      <c r="N29" s="488">
        <f ca="1">IF(M29&lt;&gt;"",ABS(MIN(-0.75*('CDO Bespoke'!Q30)+'CDO Bespoke'!T30,0)),"")</f>
        <v>0.86828896473566708</v>
      </c>
      <c r="O29" s="488">
        <f t="shared" ca="1" si="0"/>
        <v>0</v>
      </c>
      <c r="P29" s="488">
        <f t="shared" ca="1" si="1"/>
        <v>0</v>
      </c>
      <c r="Q29" s="487">
        <f ca="1">IF('CDO Bespoke'!O30&lt;&gt;"",'CDO Bespoke'!O30,"")</f>
        <v>0.85968564915255996</v>
      </c>
      <c r="R29" s="488">
        <f ca="1">IF(Q29&lt;&gt;"",ABS(MIN(-0.75*('CDO Bespoke'!K30)+'CDO Bespoke'!T30,0)),"")</f>
        <v>0.15942252457091782</v>
      </c>
      <c r="S29" s="488">
        <f t="shared" ca="1" si="2"/>
        <v>0.70026312458164219</v>
      </c>
      <c r="T29" s="492">
        <f t="shared" ca="1" si="3"/>
        <v>0</v>
      </c>
      <c r="U29" s="274"/>
      <c r="V29" s="497" t="str">
        <f ca="1">IF('CDO Bespoke'!C54&lt;&gt;"",'CDO Bespoke'!C54,"")</f>
        <v>Glencore International AG</v>
      </c>
      <c r="W29" s="499" cm="1">
        <f t="array" aca="1" ref="W29" ca="1">IF($V29&lt;&gt;"",-TRANSPOSE(INDEX(getcds('CDO Bespoke'!$C54,W$13,'CDO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X29" s="524" cm="1">
        <f t="array" aca="1" ref="X29" ca="1">IF($V29&lt;&gt;"",-TRANSPOSE(INDEX(getcds('CDO Bespoke'!$C54,X$13,'CDO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Y29" s="524" cm="1">
        <f t="array" aca="1" ref="Y29" ca="1">IF($V29&lt;&gt;"",-TRANSPOSE(INDEX(getcds('CDO Bespoke'!$C54,Y$13,'CDO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Z29" s="524" cm="1">
        <f t="array" aca="1" ref="Z29" ca="1">IF($V29&lt;&gt;"",-TRANSPOSE(INDEX(getcds('CDO Bespoke'!$C54,Z$13,'CDO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AA29" s="500" cm="1">
        <f t="array" aca="1" ref="AA29" ca="1">IF($V29&lt;&gt;"",-TRANSPOSE(INDEX(getcds('CDO Bespoke'!$C54,AA$13,'CDO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AB29" s="479"/>
      <c r="AC29" s="515"/>
      <c r="AD29" s="516"/>
      <c r="AE29" s="516"/>
      <c r="AF29" s="516"/>
      <c r="AG29" s="516"/>
      <c r="AH29" s="516"/>
      <c r="AI29" s="516"/>
      <c r="AJ29" s="516"/>
      <c r="AK29" s="516"/>
      <c r="AL29" s="517"/>
      <c r="AM29" s="534"/>
    </row>
    <row r="30" spans="2:39" ht="12" thickBot="1">
      <c r="B30" s="552" t="s">
        <v>511</v>
      </c>
      <c r="C30" s="553" t="s">
        <v>66</v>
      </c>
      <c r="D30" s="553" t="s">
        <v>59</v>
      </c>
      <c r="E30" s="553" t="s">
        <v>658</v>
      </c>
      <c r="F30" s="553" t="s">
        <v>659</v>
      </c>
      <c r="G30" s="554">
        <v>0.01</v>
      </c>
      <c r="H30" s="554">
        <v>7.0489999999999997E-3</v>
      </c>
      <c r="I30" s="555">
        <v>0.4</v>
      </c>
      <c r="J30" s="556">
        <v>2</v>
      </c>
      <c r="K30" s="274"/>
      <c r="L30" s="274"/>
      <c r="M30" s="487">
        <f ca="1">IF('CDO Bespoke'!O31&lt;&gt;"",'CDO Bespoke'!O31,"")</f>
        <v>0.86548008721842995</v>
      </c>
      <c r="N30" s="488">
        <f ca="1">IF(M30&lt;&gt;"",ABS(MIN(-0.75*('CDO Bespoke'!Q31)+'CDO Bespoke'!T31,0)),"")</f>
        <v>0.86203273185331575</v>
      </c>
      <c r="O30" s="488">
        <f t="shared" ca="1" si="0"/>
        <v>3.4473553651142019E-3</v>
      </c>
      <c r="P30" s="488">
        <f t="shared" ca="1" si="1"/>
        <v>0</v>
      </c>
      <c r="Q30" s="487">
        <f ca="1">IF('CDO Bespoke'!O31&lt;&gt;"",'CDO Bespoke'!O31,"")</f>
        <v>0.86548008721842995</v>
      </c>
      <c r="R30" s="488">
        <f ca="1">IF(Q30&lt;&gt;"",ABS(MIN(-0.75*('CDO Bespoke'!K31)+'CDO Bespoke'!T31,0)),"")</f>
        <v>5.8311783853069704E-2</v>
      </c>
      <c r="S30" s="488">
        <f t="shared" ca="1" si="2"/>
        <v>0.80716830336536027</v>
      </c>
      <c r="T30" s="492">
        <f t="shared" ca="1" si="3"/>
        <v>0</v>
      </c>
      <c r="U30" s="274"/>
      <c r="V30" s="497" t="str">
        <f ca="1">IF('CDO Bespoke'!C55&lt;&gt;"",'CDO Bespoke'!C55,"")</f>
        <v>GSK PLC</v>
      </c>
      <c r="W30" s="499" cm="1">
        <f t="array" aca="1" ref="W30" ca="1">IF($V30&lt;&gt;"",-TRANSPOSE(INDEX(getcds('CDO Bespoke'!$C55,W$13,'CDO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X30" s="524" cm="1">
        <f t="array" aca="1" ref="X30" ca="1">IF($V30&lt;&gt;"",-TRANSPOSE(INDEX(getcds('CDO Bespoke'!$C55,X$13,'CDO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Y30" s="524" cm="1">
        <f t="array" aca="1" ref="Y30" ca="1">IF($V30&lt;&gt;"",-TRANSPOSE(INDEX(getcds('CDO Bespoke'!$C55,Y$13,'CDO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Z30" s="524" cm="1">
        <f t="array" aca="1" ref="Z30" ca="1">IF($V30&lt;&gt;"",-TRANSPOSE(INDEX(getcds('CDO Bespoke'!$C55,Z$13,'CDO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AA30" s="500" cm="1">
        <f t="array" aca="1" ref="AA30" ca="1">IF($V30&lt;&gt;"",-TRANSPOSE(INDEX(getcds('CDO Bespoke'!$C55,AA$13,'CDO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AB30" s="479"/>
      <c r="AC30" s="515"/>
      <c r="AD30" s="516"/>
      <c r="AE30" s="516"/>
      <c r="AF30" s="516"/>
      <c r="AG30" s="516"/>
      <c r="AH30" s="516"/>
      <c r="AI30" s="516"/>
      <c r="AJ30" s="516"/>
      <c r="AK30" s="516"/>
      <c r="AL30" s="517"/>
      <c r="AM30" s="534"/>
    </row>
    <row r="31" spans="2:39" ht="12" thickBot="1">
      <c r="B31" s="557" t="s">
        <v>531</v>
      </c>
      <c r="C31" s="558" t="s">
        <v>66</v>
      </c>
      <c r="D31" s="558" t="s">
        <v>55</v>
      </c>
      <c r="E31" s="558" t="s">
        <v>660</v>
      </c>
      <c r="F31" s="558" t="s">
        <v>661</v>
      </c>
      <c r="G31" s="559">
        <v>0.01</v>
      </c>
      <c r="H31" s="559">
        <v>3.0409999999999999E-3</v>
      </c>
      <c r="I31" s="560">
        <v>0.4</v>
      </c>
      <c r="J31" s="561">
        <v>3</v>
      </c>
      <c r="K31" s="274"/>
      <c r="L31" s="274"/>
      <c r="M31" s="487">
        <f ca="1">IF('CDO Bespoke'!O32&lt;&gt;"",'CDO Bespoke'!O32,"")</f>
        <v>0.86213098440685998</v>
      </c>
      <c r="N31" s="488">
        <f ca="1">IF(M31&lt;&gt;"",ABS(MIN(-0.75*('CDO Bespoke'!Q32)+'CDO Bespoke'!T32,0)),"")</f>
        <v>0.8664750565665873</v>
      </c>
      <c r="O31" s="488">
        <f t="shared" ca="1" si="0"/>
        <v>0</v>
      </c>
      <c r="P31" s="488">
        <f t="shared" ca="1" si="1"/>
        <v>0</v>
      </c>
      <c r="Q31" s="487">
        <f ca="1">IF('CDO Bespoke'!O32&lt;&gt;"",'CDO Bespoke'!O32,"")</f>
        <v>0.86213098440685998</v>
      </c>
      <c r="R31" s="488">
        <f ca="1">IF(Q31&lt;&gt;"",ABS(MIN(-0.75*('CDO Bespoke'!K32)+'CDO Bespoke'!T32,0)),"")</f>
        <v>0.13082767271823628</v>
      </c>
      <c r="S31" s="488">
        <f t="shared" ca="1" si="2"/>
        <v>0.73130331168862373</v>
      </c>
      <c r="T31" s="492">
        <f t="shared" ca="1" si="3"/>
        <v>0</v>
      </c>
      <c r="U31" s="274"/>
      <c r="V31" s="497" t="str">
        <f ca="1">IF('CDO Bespoke'!C56&lt;&gt;"",'CDO Bespoke'!C56,"")</f>
        <v>Heidelberg Materials AG</v>
      </c>
      <c r="W31" s="499" cm="1">
        <f t="array" aca="1" ref="W31" ca="1">IF($V31&lt;&gt;"",-TRANSPOSE(INDEX(getcds('CDO Bespoke'!$C56,W$13,'CDO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X31" s="524" cm="1">
        <f t="array" aca="1" ref="X31" ca="1">IF($V31&lt;&gt;"",-TRANSPOSE(INDEX(getcds('CDO Bespoke'!$C56,X$13,'CDO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Y31" s="524" cm="1">
        <f t="array" aca="1" ref="Y31" ca="1">IF($V31&lt;&gt;"",-TRANSPOSE(INDEX(getcds('CDO Bespoke'!$C56,Y$13,'CDO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Z31" s="524" cm="1">
        <f t="array" aca="1" ref="Z31" ca="1">IF($V31&lt;&gt;"",-TRANSPOSE(INDEX(getcds('CDO Bespoke'!$C56,Z$13,'CDO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AA31" s="500" cm="1">
        <f t="array" aca="1" ref="AA31" ca="1">IF($V31&lt;&gt;"",-TRANSPOSE(INDEX(getcds('CDO Bespoke'!$C56,AA$13,'CDO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AB31" s="479"/>
      <c r="AC31" s="515"/>
      <c r="AD31" s="516"/>
      <c r="AE31" s="516"/>
      <c r="AF31" s="516"/>
      <c r="AG31" s="516"/>
      <c r="AH31" s="516"/>
      <c r="AI31" s="516"/>
      <c r="AJ31" s="516"/>
      <c r="AK31" s="516"/>
      <c r="AL31" s="517"/>
      <c r="AM31" s="534"/>
    </row>
    <row r="32" spans="2:39" ht="12" thickBot="1">
      <c r="B32" s="535" t="s">
        <v>531</v>
      </c>
      <c r="C32" s="536" t="s">
        <v>66</v>
      </c>
      <c r="D32" s="536" t="s">
        <v>57</v>
      </c>
      <c r="E32" s="536" t="s">
        <v>660</v>
      </c>
      <c r="F32" s="536" t="s">
        <v>661</v>
      </c>
      <c r="G32" s="543">
        <v>0.01</v>
      </c>
      <c r="H32" s="543">
        <v>5.1590000000000004E-3</v>
      </c>
      <c r="I32" s="545">
        <v>0.4</v>
      </c>
      <c r="J32" s="537">
        <v>3</v>
      </c>
      <c r="K32" s="274"/>
      <c r="L32" s="274"/>
      <c r="M32" s="487">
        <f ca="1">IF('CDO Bespoke'!O33&lt;&gt;"",'CDO Bespoke'!O33,"")</f>
        <v>0.86351946478882002</v>
      </c>
      <c r="N32" s="488">
        <f ca="1">IF(M32&lt;&gt;"",ABS(MIN(-0.75*('CDO Bespoke'!Q33)+'CDO Bespoke'!T33,0)),"")</f>
        <v>0.86516396140724816</v>
      </c>
      <c r="O32" s="488">
        <f t="shared" ca="1" si="0"/>
        <v>0</v>
      </c>
      <c r="P32" s="488">
        <f t="shared" ca="1" si="1"/>
        <v>0</v>
      </c>
      <c r="Q32" s="487">
        <f ca="1">IF('CDO Bespoke'!O33&lt;&gt;"",'CDO Bespoke'!O33,"")</f>
        <v>0.86351946478882002</v>
      </c>
      <c r="R32" s="488">
        <f ca="1">IF(Q32&lt;&gt;"",ABS(MIN(-0.75*('CDO Bespoke'!K33)+'CDO Bespoke'!T33,0)),"")</f>
        <v>0.10902942197031559</v>
      </c>
      <c r="S32" s="488">
        <f t="shared" ca="1" si="2"/>
        <v>0.7544900428185044</v>
      </c>
      <c r="T32" s="492">
        <f t="shared" ca="1" si="3"/>
        <v>0</v>
      </c>
      <c r="U32" s="274"/>
      <c r="V32" s="497" t="str">
        <f ca="1">IF('CDO Bespoke'!C57&lt;&gt;"",'CDO Bespoke'!C57,"")</f>
        <v>Holcim AG</v>
      </c>
      <c r="W32" s="499" cm="1">
        <f t="array" aca="1" ref="W32" ca="1">IF($V32&lt;&gt;"",-TRANSPOSE(INDEX(getcds('CDO Bespoke'!$C57,W$13,'CDO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X32" s="524" cm="1">
        <f t="array" aca="1" ref="X32" ca="1">IF($V32&lt;&gt;"",-TRANSPOSE(INDEX(getcds('CDO Bespoke'!$C57,X$13,'CDO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Y32" s="524" cm="1">
        <f t="array" aca="1" ref="Y32" ca="1">IF($V32&lt;&gt;"",-TRANSPOSE(INDEX(getcds('CDO Bespoke'!$C57,Y$13,'CDO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Z32" s="524" cm="1">
        <f t="array" aca="1" ref="Z32" ca="1">IF($V32&lt;&gt;"",-TRANSPOSE(INDEX(getcds('CDO Bespoke'!$C57,Z$13,'CDO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AA32" s="500" cm="1">
        <f t="array" aca="1" ref="AA32" ca="1">IF($V32&lt;&gt;"",-TRANSPOSE(INDEX(getcds('CDO Bespoke'!$C57,AA$13,'CDO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AB32" s="479"/>
      <c r="AC32" s="515"/>
      <c r="AD32" s="516"/>
      <c r="AE32" s="516"/>
      <c r="AF32" s="516"/>
      <c r="AG32" s="516"/>
      <c r="AH32" s="516"/>
      <c r="AI32" s="516"/>
      <c r="AJ32" s="516"/>
      <c r="AK32" s="516"/>
      <c r="AL32" s="517"/>
      <c r="AM32" s="534"/>
    </row>
    <row r="33" spans="2:39" ht="12" thickBot="1">
      <c r="B33" s="552" t="s">
        <v>531</v>
      </c>
      <c r="C33" s="553" t="s">
        <v>66</v>
      </c>
      <c r="D33" s="553" t="s">
        <v>59</v>
      </c>
      <c r="E33" s="553" t="s">
        <v>660</v>
      </c>
      <c r="F33" s="553" t="s">
        <v>661</v>
      </c>
      <c r="G33" s="554">
        <v>0.01</v>
      </c>
      <c r="H33" s="554">
        <v>6.8450000000000004E-3</v>
      </c>
      <c r="I33" s="555">
        <v>0.4</v>
      </c>
      <c r="J33" s="556">
        <v>3</v>
      </c>
      <c r="K33" s="274"/>
      <c r="L33" s="274"/>
      <c r="M33" s="487">
        <f ca="1">IF('CDO Bespoke'!O34&lt;&gt;"",'CDO Bespoke'!O34,"")</f>
        <v>0.86553415422279001</v>
      </c>
      <c r="N33" s="488">
        <f ca="1">IF(M33&lt;&gt;"",ABS(MIN(-0.75*('CDO Bespoke'!Q34)+'CDO Bespoke'!T34,0)),"")</f>
        <v>0.86184213969445089</v>
      </c>
      <c r="O33" s="488">
        <f t="shared" ca="1" si="0"/>
        <v>3.6920145283391159E-3</v>
      </c>
      <c r="P33" s="488">
        <f t="shared" ca="1" si="1"/>
        <v>0</v>
      </c>
      <c r="Q33" s="487">
        <f ca="1">IF('CDO Bespoke'!O34&lt;&gt;"",'CDO Bespoke'!O34,"")</f>
        <v>0.86553415422279001</v>
      </c>
      <c r="R33" s="488">
        <f ca="1">IF(Q33&lt;&gt;"",ABS(MIN(-0.75*('CDO Bespoke'!K34)+'CDO Bespoke'!T34,0)),"")</f>
        <v>5.5442945594148349E-2</v>
      </c>
      <c r="S33" s="488">
        <f t="shared" ca="1" si="2"/>
        <v>0.8100912086286417</v>
      </c>
      <c r="T33" s="492">
        <f t="shared" ca="1" si="3"/>
        <v>0</v>
      </c>
      <c r="U33" s="274"/>
      <c r="V33" s="497" t="str">
        <f ca="1">IF('CDO Bespoke'!C58&lt;&gt;"",'CDO Bespoke'!C58,"")</f>
        <v>DSM B.V</v>
      </c>
      <c r="W33" s="499" cm="1">
        <f t="array" aca="1" ref="W33" ca="1">IF($V33&lt;&gt;"",-TRANSPOSE(INDEX(getcds('CDO Bespoke'!$C58,W$13,'CDO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X33" s="524" cm="1">
        <f t="array" aca="1" ref="X33" ca="1">IF($V33&lt;&gt;"",-TRANSPOSE(INDEX(getcds('CDO Bespoke'!$C58,X$13,'CDO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Y33" s="524" cm="1">
        <f t="array" aca="1" ref="Y33" ca="1">IF($V33&lt;&gt;"",-TRANSPOSE(INDEX(getcds('CDO Bespoke'!$C58,Y$13,'CDO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Z33" s="524" cm="1">
        <f t="array" aca="1" ref="Z33" ca="1">IF($V33&lt;&gt;"",-TRANSPOSE(INDEX(getcds('CDO Bespoke'!$C58,Z$13,'CDO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AA33" s="500" cm="1">
        <f t="array" aca="1" ref="AA33" ca="1">IF($V33&lt;&gt;"",-TRANSPOSE(INDEX(getcds('CDO Bespoke'!$C58,AA$13,'CDO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AB33" s="479"/>
      <c r="AC33" s="515"/>
      <c r="AD33" s="516"/>
      <c r="AE33" s="516"/>
      <c r="AF33" s="516"/>
      <c r="AG33" s="516"/>
      <c r="AH33" s="516"/>
      <c r="AI33" s="516"/>
      <c r="AJ33" s="516"/>
      <c r="AK33" s="516"/>
      <c r="AL33" s="517"/>
      <c r="AM33" s="534"/>
    </row>
    <row r="34" spans="2:39" ht="12" thickBot="1">
      <c r="B34" s="557" t="s">
        <v>622</v>
      </c>
      <c r="C34" s="558" t="s">
        <v>66</v>
      </c>
      <c r="D34" s="558" t="s">
        <v>55</v>
      </c>
      <c r="E34" s="558" t="s">
        <v>660</v>
      </c>
      <c r="F34" s="558" t="s">
        <v>659</v>
      </c>
      <c r="G34" s="559">
        <v>0.01</v>
      </c>
      <c r="H34" s="559">
        <v>9.8239999999999994E-3</v>
      </c>
      <c r="I34" s="560">
        <v>0.4</v>
      </c>
      <c r="J34" s="561">
        <v>4</v>
      </c>
      <c r="K34" s="274"/>
      <c r="L34" s="274"/>
      <c r="M34" s="487">
        <f ca="1">IF('CDO Bespoke'!O35&lt;&gt;"",'CDO Bespoke'!O35,"")</f>
        <v>0.86552583635364999</v>
      </c>
      <c r="N34" s="488">
        <f ca="1">IF(M34&lt;&gt;"",ABS(MIN(-0.75*('CDO Bespoke'!Q35)+'CDO Bespoke'!T35,0)),"")</f>
        <v>0.86187909758573145</v>
      </c>
      <c r="O34" s="488">
        <f t="shared" ca="1" si="0"/>
        <v>3.6467387679185448E-3</v>
      </c>
      <c r="P34" s="488">
        <f t="shared" ca="1" si="1"/>
        <v>0</v>
      </c>
      <c r="Q34" s="487">
        <f ca="1">IF('CDO Bespoke'!O35&lt;&gt;"",'CDO Bespoke'!O35,"")</f>
        <v>0.86552583635364999</v>
      </c>
      <c r="R34" s="488">
        <f ca="1">IF(Q34&lt;&gt;"",ABS(MIN(-0.75*('CDO Bespoke'!K35)+'CDO Bespoke'!T35,0)),"")</f>
        <v>5.5804644699007928E-2</v>
      </c>
      <c r="S34" s="488">
        <f t="shared" ca="1" si="2"/>
        <v>0.80972119165464207</v>
      </c>
      <c r="T34" s="492">
        <f t="shared" ca="1" si="3"/>
        <v>0</v>
      </c>
      <c r="U34" s="274"/>
      <c r="V34" s="497" t="str">
        <f ca="1">IF('CDO Bespoke'!C59&lt;&gt;"",'CDO Bespoke'!C59,"")</f>
        <v>L'AIR LIQUIDE SOCIETE ANONYME POUR L'ETUDE ET L'EXPLOITATION DES PROCEDES GEORGES CLAUDE</v>
      </c>
      <c r="W34" s="499" cm="1">
        <f t="array" aca="1" ref="W34" ca="1">IF($V34&lt;&gt;"",-TRANSPOSE(INDEX(getcds('CDO Bespoke'!$C59,W$13,'CDO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X34" s="524" cm="1">
        <f t="array" aca="1" ref="X34" ca="1">IF($V34&lt;&gt;"",-TRANSPOSE(INDEX(getcds('CDO Bespoke'!$C59,X$13,'CDO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Y34" s="524" cm="1">
        <f t="array" aca="1" ref="Y34" ca="1">IF($V34&lt;&gt;"",-TRANSPOSE(INDEX(getcds('CDO Bespoke'!$C59,Y$13,'CDO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Z34" s="524" cm="1">
        <f t="array" aca="1" ref="Z34" ca="1">IF($V34&lt;&gt;"",-TRANSPOSE(INDEX(getcds('CDO Bespoke'!$C59,Z$13,'CDO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AA34" s="500" cm="1">
        <f t="array" aca="1" ref="AA34" ca="1">IF($V34&lt;&gt;"",-TRANSPOSE(INDEX(getcds('CDO Bespoke'!$C59,AA$13,'CDO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AB34" s="479"/>
      <c r="AC34" s="515"/>
      <c r="AD34" s="516"/>
      <c r="AE34" s="516"/>
      <c r="AF34" s="516"/>
      <c r="AG34" s="516"/>
      <c r="AH34" s="516"/>
      <c r="AI34" s="516"/>
      <c r="AJ34" s="516"/>
      <c r="AK34" s="516"/>
      <c r="AL34" s="517"/>
      <c r="AM34" s="534"/>
    </row>
    <row r="35" spans="2:39" ht="12" thickBot="1">
      <c r="B35" s="535" t="s">
        <v>622</v>
      </c>
      <c r="C35" s="536" t="s">
        <v>66</v>
      </c>
      <c r="D35" s="536" t="s">
        <v>57</v>
      </c>
      <c r="E35" s="536" t="s">
        <v>660</v>
      </c>
      <c r="F35" s="536" t="s">
        <v>659</v>
      </c>
      <c r="G35" s="543">
        <v>0.01</v>
      </c>
      <c r="H35" s="543">
        <v>1.4659E-2</v>
      </c>
      <c r="I35" s="545">
        <v>0.4</v>
      </c>
      <c r="J35" s="537">
        <v>4</v>
      </c>
      <c r="K35" s="274"/>
      <c r="L35" s="274"/>
      <c r="M35" s="487">
        <f ca="1">IF('CDO Bespoke'!O36&lt;&gt;"",'CDO Bespoke'!O36,"")</f>
        <v>0.85424788339320001</v>
      </c>
      <c r="N35" s="488">
        <f ca="1">IF(M35&lt;&gt;"",ABS(MIN(-0.75*('CDO Bespoke'!Q36)+'CDO Bespoke'!T36,0)),"")</f>
        <v>0.87084331872749943</v>
      </c>
      <c r="O35" s="488">
        <f t="shared" ca="1" si="0"/>
        <v>0</v>
      </c>
      <c r="P35" s="488">
        <f t="shared" ca="1" si="1"/>
        <v>0</v>
      </c>
      <c r="Q35" s="487">
        <f ca="1">IF('CDO Bespoke'!O36&lt;&gt;"",'CDO Bespoke'!O36,"")</f>
        <v>0.85424788339320001</v>
      </c>
      <c r="R35" s="488">
        <f ca="1">IF(Q35&lt;&gt;"",ABS(MIN(-0.75*('CDO Bespoke'!K36)+'CDO Bespoke'!T36,0)),"")</f>
        <v>0.20652627038098073</v>
      </c>
      <c r="S35" s="488">
        <f t="shared" ca="1" si="2"/>
        <v>0.64772161301221931</v>
      </c>
      <c r="T35" s="492">
        <f t="shared" ca="1" si="3"/>
        <v>0</v>
      </c>
      <c r="U35" s="274"/>
      <c r="V35" s="497" t="str">
        <f ca="1">IF('CDO Bespoke'!C60&lt;&gt;"",'CDO Bespoke'!C60,"")</f>
        <v>LANXESS Aktiengesellschaft</v>
      </c>
      <c r="W35" s="499" cm="1">
        <f t="array" aca="1" ref="W35" ca="1">IF($V35&lt;&gt;"",-TRANSPOSE(INDEX(getcds('CDO Bespoke'!$C60,W$13,'CDO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X35" s="524" cm="1">
        <f t="array" aca="1" ref="X35" ca="1">IF($V35&lt;&gt;"",-TRANSPOSE(INDEX(getcds('CDO Bespoke'!$C60,X$13,'CDO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Y35" s="524" cm="1">
        <f t="array" aca="1" ref="Y35" ca="1">IF($V35&lt;&gt;"",-TRANSPOSE(INDEX(getcds('CDO Bespoke'!$C60,Y$13,'CDO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Z35" s="524" cm="1">
        <f t="array" aca="1" ref="Z35" ca="1">IF($V35&lt;&gt;"",-TRANSPOSE(INDEX(getcds('CDO Bespoke'!$C60,Z$13,'CDO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AA35" s="500" cm="1">
        <f t="array" aca="1" ref="AA35" ca="1">IF($V35&lt;&gt;"",-TRANSPOSE(INDEX(getcds('CDO Bespoke'!$C60,AA$13,'CDO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AB35" s="479"/>
      <c r="AC35" s="515"/>
      <c r="AD35" s="516"/>
      <c r="AE35" s="516"/>
      <c r="AF35" s="516"/>
      <c r="AG35" s="516"/>
      <c r="AH35" s="516"/>
      <c r="AI35" s="516"/>
      <c r="AJ35" s="516"/>
      <c r="AK35" s="516"/>
      <c r="AL35" s="517"/>
      <c r="AM35" s="534"/>
    </row>
    <row r="36" spans="2:39" ht="12" thickBot="1">
      <c r="B36" s="552" t="s">
        <v>622</v>
      </c>
      <c r="C36" s="553" t="s">
        <v>66</v>
      </c>
      <c r="D36" s="553" t="s">
        <v>59</v>
      </c>
      <c r="E36" s="553" t="s">
        <v>660</v>
      </c>
      <c r="F36" s="553" t="s">
        <v>659</v>
      </c>
      <c r="G36" s="554">
        <v>0.01</v>
      </c>
      <c r="H36" s="554">
        <v>1.8731999999999999E-2</v>
      </c>
      <c r="I36" s="555">
        <v>0.4</v>
      </c>
      <c r="J36" s="556">
        <v>4</v>
      </c>
      <c r="K36" s="274"/>
      <c r="L36" s="274"/>
      <c r="M36" s="487">
        <f ca="1">IF('CDO Bespoke'!O37&lt;&gt;"",'CDO Bespoke'!O37,"")</f>
        <v>0.86366811581175995</v>
      </c>
      <c r="N36" s="488">
        <f ca="1">IF(M36&lt;&gt;"",ABS(MIN(-0.75*('CDO Bespoke'!Q37)+'CDO Bespoke'!T37,0)),"")</f>
        <v>0.86502558125574969</v>
      </c>
      <c r="O36" s="488">
        <f t="shared" ca="1" si="0"/>
        <v>0</v>
      </c>
      <c r="P36" s="488">
        <f t="shared" ca="1" si="1"/>
        <v>0</v>
      </c>
      <c r="Q36" s="487">
        <f ca="1">IF('CDO Bespoke'!O37&lt;&gt;"",'CDO Bespoke'!O37,"")</f>
        <v>0.86366811581175995</v>
      </c>
      <c r="R36" s="488">
        <f ca="1">IF(Q36&lt;&gt;"",ABS(MIN(-0.75*('CDO Bespoke'!K37)+'CDO Bespoke'!T37,0)),"")</f>
        <v>0.10593161213646671</v>
      </c>
      <c r="S36" s="488">
        <f t="shared" ca="1" si="2"/>
        <v>0.75773650367529322</v>
      </c>
      <c r="T36" s="492">
        <f t="shared" ca="1" si="3"/>
        <v>0</v>
      </c>
      <c r="U36" s="274"/>
      <c r="V36" s="497" t="str">
        <f ca="1">IF('CDO Bespoke'!C61&lt;&gt;"",'CDO Bespoke'!C61,"")</f>
        <v>LEONARDO SOCIETA' PER AZIONI</v>
      </c>
      <c r="W36" s="499" cm="1">
        <f t="array" aca="1" ref="W36" ca="1">IF($V36&lt;&gt;"",-TRANSPOSE(INDEX(getcds('CDO Bespoke'!$C61,W$13,'CDO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X36" s="524" cm="1">
        <f t="array" aca="1" ref="X36" ca="1">IF($V36&lt;&gt;"",-TRANSPOSE(INDEX(getcds('CDO Bespoke'!$C61,X$13,'CDO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Y36" s="524" cm="1">
        <f t="array" aca="1" ref="Y36" ca="1">IF($V36&lt;&gt;"",-TRANSPOSE(INDEX(getcds('CDO Bespoke'!$C61,Y$13,'CDO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Z36" s="524" cm="1">
        <f t="array" aca="1" ref="Z36" ca="1">IF($V36&lt;&gt;"",-TRANSPOSE(INDEX(getcds('CDO Bespoke'!$C61,Z$13,'CDO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AA36" s="500" cm="1">
        <f t="array" aca="1" ref="AA36" ca="1">IF($V36&lt;&gt;"",-TRANSPOSE(INDEX(getcds('CDO Bespoke'!$C61,AA$13,'CDO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AB36" s="479"/>
      <c r="AC36" s="515"/>
      <c r="AD36" s="516"/>
      <c r="AE36" s="516"/>
      <c r="AF36" s="516"/>
      <c r="AG36" s="516"/>
      <c r="AH36" s="516"/>
      <c r="AI36" s="516"/>
      <c r="AJ36" s="516"/>
      <c r="AK36" s="516"/>
      <c r="AL36" s="517"/>
      <c r="AM36" s="534"/>
    </row>
    <row r="37" spans="2:39" ht="12" thickBot="1">
      <c r="B37" s="557" t="s">
        <v>512</v>
      </c>
      <c r="C37" s="558" t="s">
        <v>66</v>
      </c>
      <c r="D37" s="558" t="s">
        <v>55</v>
      </c>
      <c r="E37" s="558" t="s">
        <v>660</v>
      </c>
      <c r="F37" s="558" t="s">
        <v>661</v>
      </c>
      <c r="G37" s="559">
        <v>0.01</v>
      </c>
      <c r="H37" s="559">
        <v>4.7670000000000004E-3</v>
      </c>
      <c r="I37" s="560">
        <v>0.4</v>
      </c>
      <c r="J37" s="561">
        <v>5</v>
      </c>
      <c r="K37" s="274"/>
      <c r="L37" s="274"/>
      <c r="M37" s="487">
        <f ca="1">IF('CDO Bespoke'!O38&lt;&gt;"",'CDO Bespoke'!O38,"")</f>
        <v>0.86493633486577004</v>
      </c>
      <c r="N37" s="488">
        <f ca="1">IF(M37&lt;&gt;"",ABS(MIN(-0.75*('CDO Bespoke'!Q38)+'CDO Bespoke'!T38,0)),"")</f>
        <v>0.86326000922713919</v>
      </c>
      <c r="O37" s="488">
        <f t="shared" ca="1" si="0"/>
        <v>1.6763256386308489E-3</v>
      </c>
      <c r="P37" s="488">
        <f t="shared" ca="1" si="1"/>
        <v>0</v>
      </c>
      <c r="Q37" s="487">
        <f ca="1">IF('CDO Bespoke'!O38&lt;&gt;"",'CDO Bespoke'!O38,"")</f>
        <v>0.86493633486577004</v>
      </c>
      <c r="R37" s="488">
        <f ca="1">IF(Q37&lt;&gt;"",ABS(MIN(-0.75*('CDO Bespoke'!K38)+'CDO Bespoke'!T38,0)),"")</f>
        <v>7.8039379819574636E-2</v>
      </c>
      <c r="S37" s="488">
        <f t="shared" ca="1" si="2"/>
        <v>0.78689695504619539</v>
      </c>
      <c r="T37" s="492">
        <f t="shared" ca="1" si="3"/>
        <v>0</v>
      </c>
      <c r="U37" s="274"/>
      <c r="V37" s="497" t="str">
        <f ca="1">IF('CDO Bespoke'!C62&lt;&gt;"",'CDO Bespoke'!C62,"")</f>
        <v>Mercedes-Benz Group AG</v>
      </c>
      <c r="W37" s="499" cm="1">
        <f t="array" aca="1" ref="W37" ca="1">IF($V37&lt;&gt;"",-TRANSPOSE(INDEX(getcds('CDO Bespoke'!$C62,W$13,'CDO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X37" s="524" cm="1">
        <f t="array" aca="1" ref="X37" ca="1">IF($V37&lt;&gt;"",-TRANSPOSE(INDEX(getcds('CDO Bespoke'!$C62,X$13,'CDO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Y37" s="524" cm="1">
        <f t="array" aca="1" ref="Y37" ca="1">IF($V37&lt;&gt;"",-TRANSPOSE(INDEX(getcds('CDO Bespoke'!$C62,Y$13,'CDO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Z37" s="524" cm="1">
        <f t="array" aca="1" ref="Z37" ca="1">IF($V37&lt;&gt;"",-TRANSPOSE(INDEX(getcds('CDO Bespoke'!$C62,Z$13,'CDO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AA37" s="500" cm="1">
        <f t="array" aca="1" ref="AA37" ca="1">IF($V37&lt;&gt;"",-TRANSPOSE(INDEX(getcds('CDO Bespoke'!$C62,AA$13,'CDO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AB37" s="479"/>
      <c r="AC37" s="515"/>
      <c r="AD37" s="516"/>
      <c r="AE37" s="516"/>
      <c r="AF37" s="516"/>
      <c r="AG37" s="516"/>
      <c r="AH37" s="516"/>
      <c r="AI37" s="516"/>
      <c r="AJ37" s="516"/>
      <c r="AK37" s="516"/>
      <c r="AL37" s="517"/>
      <c r="AM37" s="534"/>
    </row>
    <row r="38" spans="2:39" ht="12" thickBot="1">
      <c r="B38" s="535" t="s">
        <v>512</v>
      </c>
      <c r="C38" s="536" t="s">
        <v>66</v>
      </c>
      <c r="D38" s="536" t="s">
        <v>57</v>
      </c>
      <c r="E38" s="536" t="s">
        <v>660</v>
      </c>
      <c r="F38" s="536" t="s">
        <v>661</v>
      </c>
      <c r="G38" s="543">
        <v>0.01</v>
      </c>
      <c r="H38" s="543">
        <v>1.0057999999999999E-2</v>
      </c>
      <c r="I38" s="545">
        <v>0.4</v>
      </c>
      <c r="J38" s="537">
        <v>5</v>
      </c>
      <c r="K38" s="274"/>
      <c r="L38" s="274"/>
      <c r="M38" s="487">
        <f ca="1">IF('CDO Bespoke'!O39&lt;&gt;"",'CDO Bespoke'!O39,"")</f>
        <v>0.86046451486428999</v>
      </c>
      <c r="N38" s="488">
        <f ca="1">IF(M38&lt;&gt;"",ABS(MIN(-0.75*('CDO Bespoke'!Q39)+'CDO Bespoke'!T39,0)),"")</f>
        <v>0.86758801069785652</v>
      </c>
      <c r="O38" s="488">
        <f t="shared" ca="1" si="0"/>
        <v>0</v>
      </c>
      <c r="P38" s="488">
        <f t="shared" ca="1" si="1"/>
        <v>0</v>
      </c>
      <c r="Q38" s="487">
        <f ca="1">IF('CDO Bespoke'!O39&lt;&gt;"",'CDO Bespoke'!O39,"")</f>
        <v>0.86046451486428999</v>
      </c>
      <c r="R38" s="488">
        <f ca="1">IF(Q38&lt;&gt;"",ABS(MIN(-0.75*('CDO Bespoke'!K39)+'CDO Bespoke'!T39,0)),"")</f>
        <v>0.15218426494361892</v>
      </c>
      <c r="S38" s="488">
        <f t="shared" ca="1" si="2"/>
        <v>0.70828024992067107</v>
      </c>
      <c r="T38" s="492">
        <f t="shared" ca="1" si="3"/>
        <v>0</v>
      </c>
      <c r="U38" s="274"/>
      <c r="V38" s="497" t="str">
        <f ca="1">IF('CDO Bespoke'!C63&lt;&gt;"",'CDO Bespoke'!C63,"")</f>
        <v>PostNL N.V.</v>
      </c>
      <c r="W38" s="499" cm="1">
        <f t="array" aca="1" ref="W38" ca="1">IF($V38&lt;&gt;"",-TRANSPOSE(INDEX(getcds('CDO Bespoke'!$C63,W$13,'CDO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X38" s="524" cm="1">
        <f t="array" aca="1" ref="X38" ca="1">IF($V38&lt;&gt;"",-TRANSPOSE(INDEX(getcds('CDO Bespoke'!$C63,X$13,'CDO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Y38" s="524" cm="1">
        <f t="array" aca="1" ref="Y38" ca="1">IF($V38&lt;&gt;"",-TRANSPOSE(INDEX(getcds('CDO Bespoke'!$C63,Y$13,'CDO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Z38" s="524" cm="1">
        <f t="array" aca="1" ref="Z38" ca="1">IF($V38&lt;&gt;"",-TRANSPOSE(INDEX(getcds('CDO Bespoke'!$C63,Z$13,'CDO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AA38" s="500" cm="1">
        <f t="array" aca="1" ref="AA38" ca="1">IF($V38&lt;&gt;"",-TRANSPOSE(INDEX(getcds('CDO Bespoke'!$C63,AA$13,'CDO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AB38" s="479"/>
      <c r="AC38" s="515"/>
      <c r="AD38" s="516"/>
      <c r="AE38" s="516"/>
      <c r="AF38" s="516"/>
      <c r="AG38" s="516"/>
      <c r="AH38" s="516"/>
      <c r="AI38" s="516"/>
      <c r="AJ38" s="516"/>
      <c r="AK38" s="516"/>
      <c r="AL38" s="517"/>
      <c r="AM38" s="534"/>
    </row>
    <row r="39" spans="2:39" ht="12" thickBot="1">
      <c r="B39" s="552" t="s">
        <v>512</v>
      </c>
      <c r="C39" s="553" t="s">
        <v>66</v>
      </c>
      <c r="D39" s="553" t="s">
        <v>59</v>
      </c>
      <c r="E39" s="553" t="s">
        <v>660</v>
      </c>
      <c r="F39" s="553" t="s">
        <v>661</v>
      </c>
      <c r="G39" s="554">
        <v>0.01</v>
      </c>
      <c r="H39" s="554">
        <v>1.5502E-2</v>
      </c>
      <c r="I39" s="555">
        <v>0.4</v>
      </c>
      <c r="J39" s="556">
        <v>5</v>
      </c>
      <c r="K39" s="274"/>
      <c r="L39" s="274"/>
      <c r="M39" s="487">
        <f ca="1">IF('CDO Bespoke'!O40&lt;&gt;"",'CDO Bespoke'!O40,"")</f>
        <v>0.86460043721105995</v>
      </c>
      <c r="N39" s="488">
        <f ca="1">IF(M39&lt;&gt;"",ABS(MIN(-0.75*('CDO Bespoke'!Q40)+'CDO Bespoke'!T40,0)),"")</f>
        <v>0.86378016991435425</v>
      </c>
      <c r="O39" s="488">
        <f t="shared" ca="1" si="0"/>
        <v>8.202672967057012E-4</v>
      </c>
      <c r="P39" s="488">
        <f t="shared" ca="1" si="1"/>
        <v>0</v>
      </c>
      <c r="Q39" s="487">
        <f ca="1">IF('CDO Bespoke'!O40&lt;&gt;"",'CDO Bespoke'!O40,"")</f>
        <v>0.86460043721105995</v>
      </c>
      <c r="R39" s="488">
        <f ca="1">IF(Q39&lt;&gt;"",ABS(MIN(-0.75*('CDO Bespoke'!K40)+'CDO Bespoke'!T40,0)),"")</f>
        <v>8.6939120379269291E-2</v>
      </c>
      <c r="S39" s="488">
        <f t="shared" ca="1" si="2"/>
        <v>0.77766131683179063</v>
      </c>
      <c r="T39" s="492">
        <f t="shared" ca="1" si="3"/>
        <v>0</v>
      </c>
      <c r="U39" s="274"/>
      <c r="V39" s="497" t="str">
        <f ca="1">IF('CDO Bespoke'!C64&lt;&gt;"",'CDO Bespoke'!C64,"")</f>
        <v>RENTOKIL INITIAL PLC</v>
      </c>
      <c r="W39" s="499" cm="1">
        <f t="array" aca="1" ref="W39" ca="1">IF($V39&lt;&gt;"",-TRANSPOSE(INDEX(getcds('CDO Bespoke'!$C64,W$13,'CDO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X39" s="524" cm="1">
        <f t="array" aca="1" ref="X39" ca="1">IF($V39&lt;&gt;"",-TRANSPOSE(INDEX(getcds('CDO Bespoke'!$C64,X$13,'CDO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Y39" s="524" cm="1">
        <f t="array" aca="1" ref="Y39" ca="1">IF($V39&lt;&gt;"",-TRANSPOSE(INDEX(getcds('CDO Bespoke'!$C64,Y$13,'CDO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Z39" s="524" cm="1">
        <f t="array" aca="1" ref="Z39" ca="1">IF($V39&lt;&gt;"",-TRANSPOSE(INDEX(getcds('CDO Bespoke'!$C64,Z$13,'CDO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AA39" s="500" cm="1">
        <f t="array" aca="1" ref="AA39" ca="1">IF($V39&lt;&gt;"",-TRANSPOSE(INDEX(getcds('CDO Bespoke'!$C64,AA$13,'CDO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AB39" s="479"/>
      <c r="AC39" s="515"/>
      <c r="AD39" s="516"/>
      <c r="AE39" s="516"/>
      <c r="AF39" s="516"/>
      <c r="AG39" s="516"/>
      <c r="AH39" s="516"/>
      <c r="AI39" s="516"/>
      <c r="AJ39" s="516"/>
      <c r="AK39" s="516"/>
      <c r="AL39" s="517"/>
      <c r="AM39" s="534"/>
    </row>
    <row r="40" spans="2:39" ht="12" thickBot="1">
      <c r="B40" s="557" t="s">
        <v>513</v>
      </c>
      <c r="C40" s="558" t="s">
        <v>66</v>
      </c>
      <c r="D40" s="558" t="s">
        <v>55</v>
      </c>
      <c r="E40" s="558" t="s">
        <v>660</v>
      </c>
      <c r="F40" s="558" t="s">
        <v>661</v>
      </c>
      <c r="G40" s="559">
        <v>0.01</v>
      </c>
      <c r="H40" s="559">
        <v>6.8230000000000001E-3</v>
      </c>
      <c r="I40" s="560">
        <v>0.4</v>
      </c>
      <c r="J40" s="561">
        <v>6</v>
      </c>
      <c r="K40" s="274"/>
      <c r="L40" s="274"/>
      <c r="M40" s="487">
        <f ca="1">IF('CDO Bespoke'!O41&lt;&gt;"",'CDO Bespoke'!O41,"")</f>
        <v>0.86539155717409999</v>
      </c>
      <c r="N40" s="488">
        <f ca="1">IF(M40&lt;&gt;"",ABS(MIN(-0.75*('CDO Bespoke'!Q41)+'CDO Bespoke'!T41,0)),"")</f>
        <v>0.86226957593399212</v>
      </c>
      <c r="O40" s="488">
        <f t="shared" ca="1" si="0"/>
        <v>3.1219812401078739E-3</v>
      </c>
      <c r="P40" s="488">
        <f t="shared" ca="1" si="1"/>
        <v>0</v>
      </c>
      <c r="Q40" s="487">
        <f ca="1">IF('CDO Bespoke'!O41&lt;&gt;"",'CDO Bespoke'!O41,"")</f>
        <v>0.86539155717409999</v>
      </c>
      <c r="R40" s="488">
        <f ca="1">IF(Q40&lt;&gt;"",ABS(MIN(-0.75*('CDO Bespoke'!K41)+'CDO Bespoke'!T41,0)),"")</f>
        <v>6.2621573309872169E-2</v>
      </c>
      <c r="S40" s="488">
        <f t="shared" ca="1" si="2"/>
        <v>0.80276998386422782</v>
      </c>
      <c r="T40" s="492">
        <f t="shared" ca="1" si="3"/>
        <v>0</v>
      </c>
      <c r="U40" s="274"/>
      <c r="V40" s="497" t="str">
        <f ca="1">IF('CDO Bespoke'!C65&lt;&gt;"",'CDO Bespoke'!C65,"")</f>
        <v>SANOFI</v>
      </c>
      <c r="W40" s="499" cm="1">
        <f t="array" aca="1" ref="W40" ca="1">IF($V40&lt;&gt;"",-TRANSPOSE(INDEX(getcds('CDO Bespoke'!$C65,W$13,'CDO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X40" s="524" cm="1">
        <f t="array" aca="1" ref="X40" ca="1">IF($V40&lt;&gt;"",-TRANSPOSE(INDEX(getcds('CDO Bespoke'!$C65,X$13,'CDO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Y40" s="524" cm="1">
        <f t="array" aca="1" ref="Y40" ca="1">IF($V40&lt;&gt;"",-TRANSPOSE(INDEX(getcds('CDO Bespoke'!$C65,Y$13,'CDO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Z40" s="524" cm="1">
        <f t="array" aca="1" ref="Z40" ca="1">IF($V40&lt;&gt;"",-TRANSPOSE(INDEX(getcds('CDO Bespoke'!$C65,Z$13,'CDO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AA40" s="500" cm="1">
        <f t="array" aca="1" ref="AA40" ca="1">IF($V40&lt;&gt;"",-TRANSPOSE(INDEX(getcds('CDO Bespoke'!$C65,AA$13,'CDO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AB40" s="479"/>
      <c r="AC40" s="515"/>
      <c r="AD40" s="516"/>
      <c r="AE40" s="516"/>
      <c r="AF40" s="516"/>
      <c r="AG40" s="516"/>
      <c r="AH40" s="516"/>
      <c r="AI40" s="516"/>
      <c r="AJ40" s="516"/>
      <c r="AK40" s="516"/>
      <c r="AL40" s="517"/>
      <c r="AM40" s="534"/>
    </row>
    <row r="41" spans="2:39" ht="12" thickBot="1">
      <c r="B41" s="535" t="s">
        <v>513</v>
      </c>
      <c r="C41" s="536" t="s">
        <v>66</v>
      </c>
      <c r="D41" s="536" t="s">
        <v>57</v>
      </c>
      <c r="E41" s="536" t="s">
        <v>660</v>
      </c>
      <c r="F41" s="536" t="s">
        <v>661</v>
      </c>
      <c r="G41" s="543">
        <v>0.01</v>
      </c>
      <c r="H41" s="543">
        <v>1.3924000000000001E-2</v>
      </c>
      <c r="I41" s="545">
        <v>0.4</v>
      </c>
      <c r="J41" s="537">
        <v>6</v>
      </c>
      <c r="K41" s="274"/>
      <c r="L41" s="274"/>
      <c r="M41" s="487">
        <f ca="1">IF('CDO Bespoke'!O42&lt;&gt;"",'CDO Bespoke'!O42,"")</f>
        <v>0.86535384973131002</v>
      </c>
      <c r="N41" s="488">
        <f ca="1">IF(M41&lt;&gt;"",ABS(MIN(-0.75*('CDO Bespoke'!Q42)+'CDO Bespoke'!T42,0)),"")</f>
        <v>0.86234759688580331</v>
      </c>
      <c r="O41" s="488">
        <f t="shared" ca="1" si="0"/>
        <v>3.0062528455067072E-3</v>
      </c>
      <c r="P41" s="488">
        <f t="shared" ca="1" si="1"/>
        <v>0</v>
      </c>
      <c r="Q41" s="487">
        <f ca="1">IF('CDO Bespoke'!O42&lt;&gt;"",'CDO Bespoke'!O42,"")</f>
        <v>0.86535384973131002</v>
      </c>
      <c r="R41" s="488">
        <f ca="1">IF(Q41&lt;&gt;"",ABS(MIN(-0.75*('CDO Bespoke'!K42)+'CDO Bespoke'!T42,0)),"")</f>
        <v>6.4300683076310594E-2</v>
      </c>
      <c r="S41" s="488">
        <f t="shared" ca="1" si="2"/>
        <v>0.80105316665499937</v>
      </c>
      <c r="T41" s="492">
        <f t="shared" ca="1" si="3"/>
        <v>0</v>
      </c>
      <c r="U41" s="274"/>
      <c r="V41" s="497" t="str">
        <f ca="1">IF('CDO Bespoke'!C66&lt;&gt;"",'CDO Bespoke'!C66,"")</f>
        <v>Siemens Aktiengesellschaft</v>
      </c>
      <c r="W41" s="499" cm="1">
        <f t="array" aca="1" ref="W41" ca="1">IF($V41&lt;&gt;"",-TRANSPOSE(INDEX(getcds('CDO Bespoke'!$C66,W$13,'CDO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X41" s="524" cm="1">
        <f t="array" aca="1" ref="X41" ca="1">IF($V41&lt;&gt;"",-TRANSPOSE(INDEX(getcds('CDO Bespoke'!$C66,X$13,'CDO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Y41" s="524" cm="1">
        <f t="array" aca="1" ref="Y41" ca="1">IF($V41&lt;&gt;"",-TRANSPOSE(INDEX(getcds('CDO Bespoke'!$C66,Y$13,'CDO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Z41" s="524" cm="1">
        <f t="array" aca="1" ref="Z41" ca="1">IF($V41&lt;&gt;"",-TRANSPOSE(INDEX(getcds('CDO Bespoke'!$C66,Z$13,'CDO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AA41" s="500" cm="1">
        <f t="array" aca="1" ref="AA41" ca="1">IF($V41&lt;&gt;"",-TRANSPOSE(INDEX(getcds('CDO Bespoke'!$C66,AA$13,'CDO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AB41" s="479"/>
      <c r="AC41" s="515"/>
      <c r="AD41" s="516"/>
      <c r="AE41" s="516"/>
      <c r="AF41" s="516"/>
      <c r="AG41" s="516"/>
      <c r="AH41" s="516"/>
      <c r="AI41" s="516"/>
      <c r="AJ41" s="516"/>
      <c r="AK41" s="516"/>
      <c r="AL41" s="517"/>
      <c r="AM41" s="534"/>
    </row>
    <row r="42" spans="2:39" ht="12" thickBot="1">
      <c r="B42" s="552" t="s">
        <v>513</v>
      </c>
      <c r="C42" s="553" t="s">
        <v>66</v>
      </c>
      <c r="D42" s="553" t="s">
        <v>59</v>
      </c>
      <c r="E42" s="553" t="s">
        <v>660</v>
      </c>
      <c r="F42" s="553" t="s">
        <v>661</v>
      </c>
      <c r="G42" s="554">
        <v>0.01</v>
      </c>
      <c r="H42" s="554">
        <v>2.0253E-2</v>
      </c>
      <c r="I42" s="555">
        <v>0.4</v>
      </c>
      <c r="J42" s="556">
        <v>6</v>
      </c>
      <c r="K42" s="274"/>
      <c r="L42" s="274"/>
      <c r="M42" s="487">
        <f ca="1">IF('CDO Bespoke'!O43&lt;&gt;"",'CDO Bespoke'!O43,"")</f>
        <v>0.86488369172978996</v>
      </c>
      <c r="N42" s="488">
        <f ca="1">IF(M42&lt;&gt;"",ABS(MIN(-0.75*('CDO Bespoke'!Q43)+'CDO Bespoke'!T43,0)),"")</f>
        <v>0.8633393979700249</v>
      </c>
      <c r="O42" s="488">
        <f t="shared" ca="1" si="0"/>
        <v>1.5442937597650586E-3</v>
      </c>
      <c r="P42" s="488">
        <f t="shared" ca="1" si="1"/>
        <v>0</v>
      </c>
      <c r="Q42" s="487">
        <f ca="1">IF('CDO Bespoke'!O43&lt;&gt;"",'CDO Bespoke'!O43,"")</f>
        <v>0.86488369172978996</v>
      </c>
      <c r="R42" s="488">
        <f ca="1">IF(Q42&lt;&gt;"",ABS(MIN(-0.75*('CDO Bespoke'!K43)+'CDO Bespoke'!T43,0)),"")</f>
        <v>7.9602518012489951E-2</v>
      </c>
      <c r="S42" s="488">
        <f t="shared" ca="1" si="2"/>
        <v>0.7852811737173</v>
      </c>
      <c r="T42" s="492">
        <f t="shared" ca="1" si="3"/>
        <v>0</v>
      </c>
      <c r="U42" s="274"/>
      <c r="V42" s="497" t="str">
        <f ca="1">IF('CDO Bespoke'!C67&lt;&gt;"",'CDO Bespoke'!C67,"")</f>
        <v>SMURFIT KAPPA ACQUISITIONS UNLIMITED COMPANY</v>
      </c>
      <c r="W42" s="499" cm="1">
        <f t="array" aca="1" ref="W42" ca="1">IF($V42&lt;&gt;"",-TRANSPOSE(INDEX(getcds('CDO Bespoke'!$C67,W$13,'CDO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X42" s="524" cm="1">
        <f t="array" aca="1" ref="X42" ca="1">IF($V42&lt;&gt;"",-TRANSPOSE(INDEX(getcds('CDO Bespoke'!$C67,X$13,'CDO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Y42" s="524" cm="1">
        <f t="array" aca="1" ref="Y42" ca="1">IF($V42&lt;&gt;"",-TRANSPOSE(INDEX(getcds('CDO Bespoke'!$C67,Y$13,'CDO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Z42" s="524" cm="1">
        <f t="array" aca="1" ref="Z42" ca="1">IF($V42&lt;&gt;"",-TRANSPOSE(INDEX(getcds('CDO Bespoke'!$C67,Z$13,'CDO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AA42" s="500" cm="1">
        <f t="array" aca="1" ref="AA42" ca="1">IF($V42&lt;&gt;"",-TRANSPOSE(INDEX(getcds('CDO Bespoke'!$C67,AA$13,'CDO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AB42" s="479"/>
      <c r="AC42" s="515"/>
      <c r="AD42" s="516"/>
      <c r="AE42" s="516"/>
      <c r="AF42" s="516"/>
      <c r="AG42" s="516"/>
      <c r="AH42" s="516"/>
      <c r="AI42" s="516"/>
      <c r="AJ42" s="516"/>
      <c r="AK42" s="516"/>
      <c r="AL42" s="517"/>
      <c r="AM42" s="534"/>
    </row>
    <row r="43" spans="2:39" ht="12" thickBot="1">
      <c r="B43" s="557" t="s">
        <v>514</v>
      </c>
      <c r="C43" s="558" t="s">
        <v>66</v>
      </c>
      <c r="D43" s="558" t="s">
        <v>55</v>
      </c>
      <c r="E43" s="558" t="s">
        <v>658</v>
      </c>
      <c r="F43" s="558" t="s">
        <v>662</v>
      </c>
      <c r="G43" s="559">
        <v>0.01</v>
      </c>
      <c r="H43" s="559">
        <v>2.196E-3</v>
      </c>
      <c r="I43" s="560">
        <v>0.4</v>
      </c>
      <c r="J43" s="561">
        <v>7</v>
      </c>
      <c r="K43" s="274"/>
      <c r="L43" s="274"/>
      <c r="M43" s="487">
        <f ca="1">IF('CDO Bespoke'!O44&lt;&gt;"",'CDO Bespoke'!O44,"")</f>
        <v>0.86359470522471005</v>
      </c>
      <c r="N43" s="488">
        <f ca="1">IF(M43&lt;&gt;"",ABS(MIN(-0.75*('CDO Bespoke'!Q44)+'CDO Bespoke'!T44,0)),"")</f>
        <v>0.86498099572426046</v>
      </c>
      <c r="O43" s="488">
        <f t="shared" ca="1" si="0"/>
        <v>0</v>
      </c>
      <c r="P43" s="488">
        <f t="shared" ca="1" si="1"/>
        <v>0</v>
      </c>
      <c r="Q43" s="487">
        <f ca="1">IF('CDO Bespoke'!O44&lt;&gt;"",'CDO Bespoke'!O44,"")</f>
        <v>0.86359470522471005</v>
      </c>
      <c r="R43" s="488">
        <f ca="1">IF(Q43&lt;&gt;"",ABS(MIN(-0.75*('CDO Bespoke'!K44)+'CDO Bespoke'!T44,0)),"")</f>
        <v>0.10826097090673791</v>
      </c>
      <c r="S43" s="488">
        <f t="shared" ca="1" si="2"/>
        <v>0.75533373431797213</v>
      </c>
      <c r="T43" s="492">
        <f t="shared" ca="1" si="3"/>
        <v>0</v>
      </c>
      <c r="U43" s="274"/>
      <c r="V43" s="497" t="str">
        <f ca="1">IF('CDO Bespoke'!C68&lt;&gt;"",'CDO Bespoke'!C68,"")</f>
        <v>Solvay</v>
      </c>
      <c r="W43" s="499" cm="1">
        <f t="array" aca="1" ref="W43" ca="1">IF($V43&lt;&gt;"",-TRANSPOSE(INDEX(getcds('CDO Bespoke'!$C68,W$13,'CDO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X43" s="524" cm="1">
        <f t="array" aca="1" ref="X43" ca="1">IF($V43&lt;&gt;"",-TRANSPOSE(INDEX(getcds('CDO Bespoke'!$C68,X$13,'CDO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Y43" s="524" cm="1">
        <f t="array" aca="1" ref="Y43" ca="1">IF($V43&lt;&gt;"",-TRANSPOSE(INDEX(getcds('CDO Bespoke'!$C68,Y$13,'CDO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Z43" s="524" cm="1">
        <f t="array" aca="1" ref="Z43" ca="1">IF($V43&lt;&gt;"",-TRANSPOSE(INDEX(getcds('CDO Bespoke'!$C68,Z$13,'CDO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AA43" s="500" cm="1">
        <f t="array" aca="1" ref="AA43" ca="1">IF($V43&lt;&gt;"",-TRANSPOSE(INDEX(getcds('CDO Bespoke'!$C68,AA$13,'CDO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AB43" s="479"/>
      <c r="AC43" s="515"/>
      <c r="AD43" s="516"/>
      <c r="AE43" s="516"/>
      <c r="AF43" s="516"/>
      <c r="AG43" s="516"/>
      <c r="AH43" s="516"/>
      <c r="AI43" s="516"/>
      <c r="AJ43" s="516"/>
      <c r="AK43" s="516"/>
      <c r="AL43" s="517"/>
      <c r="AM43" s="534"/>
    </row>
    <row r="44" spans="2:39" ht="12" thickBot="1">
      <c r="B44" s="535" t="s">
        <v>514</v>
      </c>
      <c r="C44" s="536" t="s">
        <v>66</v>
      </c>
      <c r="D44" s="536" t="s">
        <v>57</v>
      </c>
      <c r="E44" s="536" t="s">
        <v>658</v>
      </c>
      <c r="F44" s="536" t="s">
        <v>662</v>
      </c>
      <c r="G44" s="543">
        <v>0.01</v>
      </c>
      <c r="H44" s="543">
        <v>3.117E-3</v>
      </c>
      <c r="I44" s="545">
        <v>0.4</v>
      </c>
      <c r="J44" s="537">
        <v>7</v>
      </c>
      <c r="K44" s="274"/>
      <c r="L44" s="274"/>
      <c r="M44" s="487">
        <f ca="1">IF('CDO Bespoke'!O45&lt;&gt;"",'CDO Bespoke'!O45,"")</f>
        <v>0.86074892664809999</v>
      </c>
      <c r="N44" s="488">
        <f ca="1">IF(M44&lt;&gt;"",ABS(MIN(-0.75*('CDO Bespoke'!Q45)+'CDO Bespoke'!T45,0)),"")</f>
        <v>0.86753598204356297</v>
      </c>
      <c r="O44" s="488">
        <f t="shared" ca="1" si="0"/>
        <v>0</v>
      </c>
      <c r="P44" s="488">
        <f t="shared" ca="1" si="1"/>
        <v>0</v>
      </c>
      <c r="Q44" s="487">
        <f ca="1">IF('CDO Bespoke'!O45&lt;&gt;"",'CDO Bespoke'!O45,"")</f>
        <v>0.86074892664809999</v>
      </c>
      <c r="R44" s="488">
        <f ca="1">IF(Q44&lt;&gt;"",ABS(MIN(-0.75*('CDO Bespoke'!K45)+'CDO Bespoke'!T45,0)),"")</f>
        <v>0.14845270229846236</v>
      </c>
      <c r="S44" s="488">
        <f t="shared" ca="1" si="2"/>
        <v>0.71229622434963757</v>
      </c>
      <c r="T44" s="492">
        <f t="shared" ca="1" si="3"/>
        <v>0</v>
      </c>
      <c r="U44" s="274"/>
      <c r="V44" s="497" t="str">
        <f ca="1">IF('CDO Bespoke'!C69&lt;&gt;"",'CDO Bespoke'!C69,"")</f>
        <v>Stellantis N.V.</v>
      </c>
      <c r="W44" s="499" cm="1">
        <f t="array" aca="1" ref="W44" ca="1">IF($V44&lt;&gt;"",-TRANSPOSE(INDEX(getcds('CDO Bespoke'!$C69,W$13,'CDO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X44" s="524" cm="1">
        <f t="array" aca="1" ref="X44" ca="1">IF($V44&lt;&gt;"",-TRANSPOSE(INDEX(getcds('CDO Bespoke'!$C69,X$13,'CDO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Y44" s="524" cm="1">
        <f t="array" aca="1" ref="Y44" ca="1">IF($V44&lt;&gt;"",-TRANSPOSE(INDEX(getcds('CDO Bespoke'!$C69,Y$13,'CDO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Z44" s="524" cm="1">
        <f t="array" aca="1" ref="Z44" ca="1">IF($V44&lt;&gt;"",-TRANSPOSE(INDEX(getcds('CDO Bespoke'!$C69,Z$13,'CDO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AA44" s="500" cm="1">
        <f t="array" aca="1" ref="AA44" ca="1">IF($V44&lt;&gt;"",-TRANSPOSE(INDEX(getcds('CDO Bespoke'!$C69,AA$13,'CDO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AB44" s="479"/>
      <c r="AC44" s="515"/>
      <c r="AD44" s="516"/>
      <c r="AE44" s="516"/>
      <c r="AF44" s="516"/>
      <c r="AG44" s="516"/>
      <c r="AH44" s="516"/>
      <c r="AI44" s="516"/>
      <c r="AJ44" s="516"/>
      <c r="AK44" s="516"/>
      <c r="AL44" s="517"/>
      <c r="AM44" s="534"/>
    </row>
    <row r="45" spans="2:39" ht="12" thickBot="1">
      <c r="B45" s="552" t="s">
        <v>514</v>
      </c>
      <c r="C45" s="553" t="s">
        <v>66</v>
      </c>
      <c r="D45" s="553" t="s">
        <v>59</v>
      </c>
      <c r="E45" s="553" t="s">
        <v>658</v>
      </c>
      <c r="F45" s="553" t="s">
        <v>662</v>
      </c>
      <c r="G45" s="554">
        <v>0.01</v>
      </c>
      <c r="H45" s="554">
        <v>4.3610000000000003E-3</v>
      </c>
      <c r="I45" s="555">
        <v>0.4</v>
      </c>
      <c r="J45" s="556">
        <v>7</v>
      </c>
      <c r="K45" s="274"/>
      <c r="L45" s="274"/>
      <c r="M45" s="487">
        <f ca="1">IF('CDO Bespoke'!O46&lt;&gt;"",'CDO Bespoke'!O46,"")</f>
        <v>0.86321587618549001</v>
      </c>
      <c r="N45" s="488">
        <f ca="1">IF(M45&lt;&gt;"",ABS(MIN(-0.75*('CDO Bespoke'!Q46)+'CDO Bespoke'!T46,0)),"")</f>
        <v>0.86543283226038337</v>
      </c>
      <c r="O45" s="488">
        <f t="shared" ca="1" si="0"/>
        <v>0</v>
      </c>
      <c r="P45" s="488">
        <f t="shared" ca="1" si="1"/>
        <v>0</v>
      </c>
      <c r="Q45" s="487">
        <f ca="1">IF('CDO Bespoke'!O46&lt;&gt;"",'CDO Bespoke'!O46,"")</f>
        <v>0.86321587618549001</v>
      </c>
      <c r="R45" s="488">
        <f ca="1">IF(Q45&lt;&gt;"",ABS(MIN(-0.75*('CDO Bespoke'!K46)+'CDO Bespoke'!T46,0)),"")</f>
        <v>0.11469124876265814</v>
      </c>
      <c r="S45" s="488">
        <f t="shared" ca="1" si="2"/>
        <v>0.74852462742283188</v>
      </c>
      <c r="T45" s="492">
        <f t="shared" ca="1" si="3"/>
        <v>0</v>
      </c>
      <c r="U45" s="274"/>
      <c r="V45" s="497" t="str">
        <f ca="1">IF('CDO Bespoke'!C70&lt;&gt;"",'CDO Bespoke'!C70,"")</f>
        <v>Stora Enso Oyj</v>
      </c>
      <c r="W45" s="499" cm="1">
        <f t="array" aca="1" ref="W45" ca="1">IF($V45&lt;&gt;"",-TRANSPOSE(INDEX(getcds('CDO Bespoke'!$C70,W$13,'CDO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X45" s="524" cm="1">
        <f t="array" aca="1" ref="X45" ca="1">IF($V45&lt;&gt;"",-TRANSPOSE(INDEX(getcds('CDO Bespoke'!$C70,X$13,'CDO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Y45" s="524" cm="1">
        <f t="array" aca="1" ref="Y45" ca="1">IF($V45&lt;&gt;"",-TRANSPOSE(INDEX(getcds('CDO Bespoke'!$C70,Y$13,'CDO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Z45" s="524" cm="1">
        <f t="array" aca="1" ref="Z45" ca="1">IF($V45&lt;&gt;"",-TRANSPOSE(INDEX(getcds('CDO Bespoke'!$C70,Z$13,'CDO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AA45" s="500" cm="1">
        <f t="array" aca="1" ref="AA45" ca="1">IF($V45&lt;&gt;"",-TRANSPOSE(INDEX(getcds('CDO Bespoke'!$C70,AA$13,'CDO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AB45" s="479"/>
      <c r="AC45" s="515"/>
      <c r="AD45" s="516"/>
      <c r="AE45" s="516"/>
      <c r="AF45" s="516"/>
      <c r="AG45" s="516"/>
      <c r="AH45" s="516"/>
      <c r="AI45" s="516"/>
      <c r="AJ45" s="516"/>
      <c r="AK45" s="516"/>
      <c r="AL45" s="517"/>
      <c r="AM45" s="534"/>
    </row>
    <row r="46" spans="2:39" ht="12" thickBot="1">
      <c r="B46" s="557" t="s">
        <v>515</v>
      </c>
      <c r="C46" s="558" t="s">
        <v>66</v>
      </c>
      <c r="D46" s="558" t="s">
        <v>55</v>
      </c>
      <c r="E46" s="558" t="s">
        <v>660</v>
      </c>
      <c r="F46" s="558" t="s">
        <v>659</v>
      </c>
      <c r="G46" s="559">
        <v>0.01</v>
      </c>
      <c r="H46" s="559">
        <v>2.016E-3</v>
      </c>
      <c r="I46" s="560">
        <v>0.4</v>
      </c>
      <c r="J46" s="561">
        <v>8</v>
      </c>
      <c r="K46" s="274"/>
      <c r="L46" s="274"/>
      <c r="M46" s="487">
        <f ca="1">IF('CDO Bespoke'!O47&lt;&gt;"",'CDO Bespoke'!O47,"")</f>
        <v>0.85884119165414996</v>
      </c>
      <c r="N46" s="488">
        <f ca="1">IF(M46&lt;&gt;"",ABS(MIN(-0.75*('CDO Bespoke'!Q47)+'CDO Bespoke'!T47,0)),"")</f>
        <v>0.86875967937841359</v>
      </c>
      <c r="O46" s="488">
        <f t="shared" ca="1" si="0"/>
        <v>0</v>
      </c>
      <c r="P46" s="488">
        <f t="shared" ca="1" si="1"/>
        <v>0</v>
      </c>
      <c r="Q46" s="487">
        <f ca="1">IF('CDO Bespoke'!O47&lt;&gt;"",'CDO Bespoke'!O47,"")</f>
        <v>0.85884119165414996</v>
      </c>
      <c r="R46" s="488">
        <f ca="1">IF(Q46&lt;&gt;"",ABS(MIN(-0.75*('CDO Bespoke'!K47)+'CDO Bespoke'!T47,0)),"")</f>
        <v>0.16871728166095135</v>
      </c>
      <c r="S46" s="488">
        <f t="shared" ca="1" si="2"/>
        <v>0.69012390999319861</v>
      </c>
      <c r="T46" s="492">
        <f t="shared" ca="1" si="3"/>
        <v>0</v>
      </c>
      <c r="U46" s="274"/>
      <c r="V46" s="497" t="str">
        <f ca="1">IF('CDO Bespoke'!C71&lt;&gt;"",'CDO Bespoke'!C71,"")</f>
        <v>UNIBAIL-RODAMCO-WESTFIELD SE</v>
      </c>
      <c r="W46" s="499" cm="1">
        <f t="array" aca="1" ref="W46" ca="1">IF($V46&lt;&gt;"",-TRANSPOSE(INDEX(getcds('CDO Bespoke'!$C71,W$13,'CDO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X46" s="524" cm="1">
        <f t="array" aca="1" ref="X46" ca="1">IF($V46&lt;&gt;"",-TRANSPOSE(INDEX(getcds('CDO Bespoke'!$C71,X$13,'CDO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Y46" s="524" cm="1">
        <f t="array" aca="1" ref="Y46" ca="1">IF($V46&lt;&gt;"",-TRANSPOSE(INDEX(getcds('CDO Bespoke'!$C71,Y$13,'CDO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Z46" s="524" cm="1">
        <f t="array" aca="1" ref="Z46" ca="1">IF($V46&lt;&gt;"",-TRANSPOSE(INDEX(getcds('CDO Bespoke'!$C71,Z$13,'CDO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AA46" s="500" cm="1">
        <f t="array" aca="1" ref="AA46" ca="1">IF($V46&lt;&gt;"",-TRANSPOSE(INDEX(getcds('CDO Bespoke'!$C71,AA$13,'CDO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AB46" s="479"/>
      <c r="AC46" s="515"/>
      <c r="AD46" s="516"/>
      <c r="AE46" s="516"/>
      <c r="AF46" s="516"/>
      <c r="AG46" s="516"/>
      <c r="AH46" s="516"/>
      <c r="AI46" s="516"/>
      <c r="AJ46" s="516"/>
      <c r="AK46" s="516"/>
      <c r="AL46" s="517"/>
      <c r="AM46" s="534"/>
    </row>
    <row r="47" spans="2:39" ht="12" thickBot="1">
      <c r="B47" s="535" t="s">
        <v>515</v>
      </c>
      <c r="C47" s="536" t="s">
        <v>66</v>
      </c>
      <c r="D47" s="536" t="s">
        <v>57</v>
      </c>
      <c r="E47" s="536" t="s">
        <v>660</v>
      </c>
      <c r="F47" s="536" t="s">
        <v>659</v>
      </c>
      <c r="G47" s="543">
        <v>0.01</v>
      </c>
      <c r="H47" s="543">
        <v>3.4150000000000001E-3</v>
      </c>
      <c r="I47" s="545">
        <v>0.4</v>
      </c>
      <c r="J47" s="537">
        <v>8</v>
      </c>
      <c r="K47" s="274"/>
      <c r="L47" s="274"/>
      <c r="M47" s="487">
        <f ca="1">IF('CDO Bespoke'!O48&lt;&gt;"",'CDO Bespoke'!O48,"")</f>
        <v>0.86537467178988003</v>
      </c>
      <c r="N47" s="488">
        <f ca="1">IF(M47&lt;&gt;"",ABS(MIN(-0.75*('CDO Bespoke'!Q48)+'CDO Bespoke'!T48,0)),"")</f>
        <v>0.86233747719611586</v>
      </c>
      <c r="O47" s="488">
        <f t="shared" ca="1" si="0"/>
        <v>3.0371945937641698E-3</v>
      </c>
      <c r="P47" s="488">
        <f t="shared" ca="1" si="1"/>
        <v>0</v>
      </c>
      <c r="Q47" s="487">
        <f ca="1">IF('CDO Bespoke'!O48&lt;&gt;"",'CDO Bespoke'!O48,"")</f>
        <v>0.86537467178988003</v>
      </c>
      <c r="R47" s="488">
        <f ca="1">IF(Q47&lt;&gt;"",ABS(MIN(-0.75*('CDO Bespoke'!K48)+'CDO Bespoke'!T48,0)),"")</f>
        <v>6.3048287400745168E-2</v>
      </c>
      <c r="S47" s="488">
        <f t="shared" ca="1" si="2"/>
        <v>0.80232638438913484</v>
      </c>
      <c r="T47" s="492">
        <f t="shared" ca="1" si="3"/>
        <v>0</v>
      </c>
      <c r="U47" s="274"/>
      <c r="V47" s="497" t="str">
        <f ca="1">IF('CDO Bespoke'!C72&lt;&gt;"",'CDO Bespoke'!C72,"")</f>
        <v>VINCI</v>
      </c>
      <c r="W47" s="499" cm="1">
        <f t="array" aca="1" ref="W47" ca="1">IF($V47&lt;&gt;"",-TRANSPOSE(INDEX(getcds('CDO Bespoke'!$C72,W$13,'CDO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X47" s="524" cm="1">
        <f t="array" aca="1" ref="X47" ca="1">IF($V47&lt;&gt;"",-TRANSPOSE(INDEX(getcds('CDO Bespoke'!$C72,X$13,'CDO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Y47" s="524" cm="1">
        <f t="array" aca="1" ref="Y47" ca="1">IF($V47&lt;&gt;"",-TRANSPOSE(INDEX(getcds('CDO Bespoke'!$C72,Y$13,'CDO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Z47" s="524" cm="1">
        <f t="array" aca="1" ref="Z47" ca="1">IF($V47&lt;&gt;"",-TRANSPOSE(INDEX(getcds('CDO Bespoke'!$C72,Z$13,'CDO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AA47" s="500" cm="1">
        <f t="array" aca="1" ref="AA47" ca="1">IF($V47&lt;&gt;"",-TRANSPOSE(INDEX(getcds('CDO Bespoke'!$C72,AA$13,'CDO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AB47" s="479"/>
      <c r="AC47" s="515"/>
      <c r="AD47" s="516"/>
      <c r="AE47" s="516"/>
      <c r="AF47" s="516"/>
      <c r="AG47" s="516"/>
      <c r="AH47" s="516"/>
      <c r="AI47" s="516"/>
      <c r="AJ47" s="516"/>
      <c r="AK47" s="516"/>
      <c r="AL47" s="517"/>
      <c r="AM47" s="534"/>
    </row>
    <row r="48" spans="2:39" ht="12" thickBot="1">
      <c r="B48" s="552" t="s">
        <v>515</v>
      </c>
      <c r="C48" s="553" t="s">
        <v>66</v>
      </c>
      <c r="D48" s="553" t="s">
        <v>59</v>
      </c>
      <c r="E48" s="553" t="s">
        <v>660</v>
      </c>
      <c r="F48" s="553" t="s">
        <v>659</v>
      </c>
      <c r="G48" s="554">
        <v>0.01</v>
      </c>
      <c r="H48" s="554">
        <v>5.3829999999999998E-3</v>
      </c>
      <c r="I48" s="555">
        <v>0.4</v>
      </c>
      <c r="J48" s="556">
        <v>8</v>
      </c>
      <c r="K48" s="274"/>
      <c r="L48" s="274"/>
      <c r="M48" s="487">
        <f ca="1">IF('CDO Bespoke'!O49&lt;&gt;"",'CDO Bespoke'!O49,"")</f>
        <v>0.86271750387582002</v>
      </c>
      <c r="N48" s="488">
        <f ca="1">IF(M48&lt;&gt;"",ABS(MIN(-0.75*('CDO Bespoke'!Q49)+'CDO Bespoke'!T49,0)),"")</f>
        <v>0.86595761914590286</v>
      </c>
      <c r="O48" s="488">
        <f t="shared" ca="1" si="0"/>
        <v>0</v>
      </c>
      <c r="P48" s="488">
        <f t="shared" ca="1" si="1"/>
        <v>0</v>
      </c>
      <c r="Q48" s="487">
        <f ca="1">IF('CDO Bespoke'!O49&lt;&gt;"",'CDO Bespoke'!O49,"")</f>
        <v>0.86271750387582002</v>
      </c>
      <c r="R48" s="488">
        <f ca="1">IF(Q48&lt;&gt;"",ABS(MIN(-0.75*('CDO Bespoke'!K49)+'CDO Bespoke'!T49,0)),"")</f>
        <v>0.12246609528111366</v>
      </c>
      <c r="S48" s="488">
        <f t="shared" ca="1" si="2"/>
        <v>0.74025140859470639</v>
      </c>
      <c r="T48" s="492">
        <f t="shared" ca="1" si="3"/>
        <v>0</v>
      </c>
      <c r="U48" s="274"/>
      <c r="V48" s="497" t="str">
        <f ca="1">IF('CDO Bespoke'!C73&lt;&gt;"",'CDO Bespoke'!C73,"")</f>
        <v>VOLKSWAGEN AKTIENGESELLSCHAFT</v>
      </c>
      <c r="W48" s="499" cm="1">
        <f t="array" aca="1" ref="W48" ca="1">IF($V48&lt;&gt;"",-TRANSPOSE(INDEX(getcds('CDO Bespoke'!$C73,W$13,'CDO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X48" s="524" cm="1">
        <f t="array" aca="1" ref="X48" ca="1">IF($V48&lt;&gt;"",-TRANSPOSE(INDEX(getcds('CDO Bespoke'!$C73,X$13,'CDO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Y48" s="524" cm="1">
        <f t="array" aca="1" ref="Y48" ca="1">IF($V48&lt;&gt;"",-TRANSPOSE(INDEX(getcds('CDO Bespoke'!$C73,Y$13,'CDO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Z48" s="524" cm="1">
        <f t="array" aca="1" ref="Z48" ca="1">IF($V48&lt;&gt;"",-TRANSPOSE(INDEX(getcds('CDO Bespoke'!$C73,Z$13,'CDO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AA48" s="500" cm="1">
        <f t="array" aca="1" ref="AA48" ca="1">IF($V48&lt;&gt;"",-TRANSPOSE(INDEX(getcds('CDO Bespoke'!$C73,AA$13,'CDO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AB48" s="479"/>
      <c r="AC48" s="515"/>
      <c r="AD48" s="516"/>
      <c r="AE48" s="516"/>
      <c r="AF48" s="516"/>
      <c r="AG48" s="516"/>
      <c r="AH48" s="516"/>
      <c r="AI48" s="516"/>
      <c r="AJ48" s="516"/>
      <c r="AK48" s="516"/>
      <c r="AL48" s="517"/>
      <c r="AM48" s="534"/>
    </row>
    <row r="49" spans="2:39" ht="12" thickBot="1">
      <c r="B49" s="557" t="s">
        <v>532</v>
      </c>
      <c r="C49" s="558" t="s">
        <v>66</v>
      </c>
      <c r="D49" s="558" t="s">
        <v>55</v>
      </c>
      <c r="E49" s="558" t="s">
        <v>658</v>
      </c>
      <c r="F49" s="558" t="s">
        <v>661</v>
      </c>
      <c r="G49" s="559">
        <v>0.01</v>
      </c>
      <c r="H49" s="559">
        <v>2.222E-3</v>
      </c>
      <c r="I49" s="560">
        <v>0.4</v>
      </c>
      <c r="J49" s="561">
        <v>9</v>
      </c>
      <c r="K49" s="274"/>
      <c r="L49" s="274"/>
      <c r="M49" s="487">
        <f ca="1">IF('CDO Bespoke'!O50&lt;&gt;"",'CDO Bespoke'!O50,"")</f>
        <v>0.86384192233666002</v>
      </c>
      <c r="N49" s="488">
        <f ca="1">IF(M49&lt;&gt;"",ABS(MIN(-0.75*('CDO Bespoke'!Q50)+'CDO Bespoke'!T50,0)),"")</f>
        <v>0.86476370600798824</v>
      </c>
      <c r="O49" s="488">
        <f t="shared" ca="1" si="0"/>
        <v>0</v>
      </c>
      <c r="P49" s="488">
        <f t="shared" ca="1" si="1"/>
        <v>0</v>
      </c>
      <c r="Q49" s="487">
        <f ca="1">IF('CDO Bespoke'!O50&lt;&gt;"",'CDO Bespoke'!O50,"")</f>
        <v>0.86384192233666002</v>
      </c>
      <c r="R49" s="488">
        <f ca="1">IF(Q49&lt;&gt;"",ABS(MIN(-0.75*('CDO Bespoke'!K50)+'CDO Bespoke'!T50,0)),"")</f>
        <v>0.10331461190644919</v>
      </c>
      <c r="S49" s="488">
        <f t="shared" ca="1" si="2"/>
        <v>0.76052731043021082</v>
      </c>
      <c r="T49" s="492">
        <f t="shared" ca="1" si="3"/>
        <v>0</v>
      </c>
      <c r="U49" s="274"/>
      <c r="V49" s="497" t="str">
        <f ca="1">IF('CDO Bespoke'!C74&lt;&gt;"",'CDO Bespoke'!C74,"")</f>
        <v>WENDEL</v>
      </c>
      <c r="W49" s="499" cm="1">
        <f t="array" aca="1" ref="W49" ca="1">IF($V49&lt;&gt;"",-TRANSPOSE(INDEX(getcds('CDO Bespoke'!$C74,W$13,'CDO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X49" s="524" cm="1">
        <f t="array" aca="1" ref="X49" ca="1">IF($V49&lt;&gt;"",-TRANSPOSE(INDEX(getcds('CDO Bespoke'!$C74,X$13,'CDO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Y49" s="524" cm="1">
        <f t="array" aca="1" ref="Y49" ca="1">IF($V49&lt;&gt;"",-TRANSPOSE(INDEX(getcds('CDO Bespoke'!$C74,Y$13,'CDO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Z49" s="524" cm="1">
        <f t="array" aca="1" ref="Z49" ca="1">IF($V49&lt;&gt;"",-TRANSPOSE(INDEX(getcds('CDO Bespoke'!$C74,Z$13,'CDO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AA49" s="500" cm="1">
        <f t="array" aca="1" ref="AA49" ca="1">IF($V49&lt;&gt;"",-TRANSPOSE(INDEX(getcds('CDO Bespoke'!$C74,AA$13,'CDO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AB49" s="479"/>
      <c r="AC49" s="515"/>
      <c r="AD49" s="516"/>
      <c r="AE49" s="516"/>
      <c r="AF49" s="516"/>
      <c r="AG49" s="516"/>
      <c r="AH49" s="516"/>
      <c r="AI49" s="516"/>
      <c r="AJ49" s="516"/>
      <c r="AK49" s="516"/>
      <c r="AL49" s="517"/>
      <c r="AM49" s="534"/>
    </row>
    <row r="50" spans="2:39" ht="12" thickBot="1">
      <c r="B50" s="535" t="s">
        <v>532</v>
      </c>
      <c r="C50" s="536" t="s">
        <v>66</v>
      </c>
      <c r="D50" s="536" t="s">
        <v>57</v>
      </c>
      <c r="E50" s="536" t="s">
        <v>658</v>
      </c>
      <c r="F50" s="536" t="s">
        <v>661</v>
      </c>
      <c r="G50" s="543">
        <v>0.01</v>
      </c>
      <c r="H50" s="543">
        <v>4.2570000000000004E-3</v>
      </c>
      <c r="I50" s="545">
        <v>0.4</v>
      </c>
      <c r="J50" s="537">
        <v>9</v>
      </c>
      <c r="K50" s="274"/>
      <c r="L50" s="274"/>
      <c r="M50" s="487">
        <f ca="1">IF('CDO Bespoke'!O51&lt;&gt;"",'CDO Bespoke'!O51,"")</f>
        <v>0.85617093416548995</v>
      </c>
      <c r="N50" s="488">
        <f ca="1">IF(M50&lt;&gt;"",ABS(MIN(-0.75*('CDO Bespoke'!Q51)+'CDO Bespoke'!T51,0)),"")</f>
        <v>0.87002053455343242</v>
      </c>
      <c r="O50" s="488">
        <f t="shared" ca="1" si="0"/>
        <v>0</v>
      </c>
      <c r="P50" s="488">
        <f t="shared" ca="1" si="1"/>
        <v>0</v>
      </c>
      <c r="Q50" s="487">
        <f ca="1">IF('CDO Bespoke'!O51&lt;&gt;"",'CDO Bespoke'!O51,"")</f>
        <v>0.85617093416548995</v>
      </c>
      <c r="R50" s="488">
        <f ca="1">IF(Q50&lt;&gt;"",ABS(MIN(-0.75*('CDO Bespoke'!K51)+'CDO Bespoke'!T51,0)),"")</f>
        <v>0.1923623222285524</v>
      </c>
      <c r="S50" s="488">
        <f t="shared" ca="1" si="2"/>
        <v>0.66380861193693752</v>
      </c>
      <c r="T50" s="492">
        <f t="shared" ca="1" si="3"/>
        <v>0</v>
      </c>
      <c r="U50" s="274"/>
      <c r="V50" s="497" t="str">
        <f ca="1">IF('CDO Bespoke'!C75&lt;&gt;"",'CDO Bespoke'!C75,"")</f>
        <v>Aktiebolaget Electrolux</v>
      </c>
      <c r="W50" s="499" cm="1">
        <f t="array" aca="1" ref="W50" ca="1">IF($V50&lt;&gt;"",-TRANSPOSE(INDEX(getcds('CDO Bespoke'!$C75,W$13,'CDO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X50" s="524" cm="1">
        <f t="array" aca="1" ref="X50" ca="1">IF($V50&lt;&gt;"",-TRANSPOSE(INDEX(getcds('CDO Bespoke'!$C75,X$13,'CDO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Y50" s="524" cm="1">
        <f t="array" aca="1" ref="Y50" ca="1">IF($V50&lt;&gt;"",-TRANSPOSE(INDEX(getcds('CDO Bespoke'!$C75,Y$13,'CDO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Z50" s="524" cm="1">
        <f t="array" aca="1" ref="Z50" ca="1">IF($V50&lt;&gt;"",-TRANSPOSE(INDEX(getcds('CDO Bespoke'!$C75,Z$13,'CDO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AA50" s="500" cm="1">
        <f t="array" aca="1" ref="AA50" ca="1">IF($V50&lt;&gt;"",-TRANSPOSE(INDEX(getcds('CDO Bespoke'!$C75,AA$13,'CDO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AB50" s="479"/>
      <c r="AC50" s="515"/>
      <c r="AD50" s="516"/>
      <c r="AE50" s="516"/>
      <c r="AF50" s="516"/>
      <c r="AG50" s="516"/>
      <c r="AH50" s="516"/>
      <c r="AI50" s="516"/>
      <c r="AJ50" s="516"/>
      <c r="AK50" s="516"/>
      <c r="AL50" s="517"/>
      <c r="AM50" s="534"/>
    </row>
    <row r="51" spans="2:39" ht="12" thickBot="1">
      <c r="B51" s="552" t="s">
        <v>532</v>
      </c>
      <c r="C51" s="553" t="s">
        <v>66</v>
      </c>
      <c r="D51" s="553" t="s">
        <v>59</v>
      </c>
      <c r="E51" s="553" t="s">
        <v>658</v>
      </c>
      <c r="F51" s="553" t="s">
        <v>661</v>
      </c>
      <c r="G51" s="554">
        <v>0.01</v>
      </c>
      <c r="H51" s="554">
        <v>6.2550000000000001E-3</v>
      </c>
      <c r="I51" s="555">
        <v>0.4</v>
      </c>
      <c r="J51" s="556">
        <v>9</v>
      </c>
      <c r="K51" s="274"/>
      <c r="L51" s="274"/>
      <c r="M51" s="487">
        <f ca="1">IF('CDO Bespoke'!O52&lt;&gt;"",'CDO Bespoke'!O52,"")</f>
        <v>0.86519794723906995</v>
      </c>
      <c r="N51" s="488">
        <f ca="1">IF(M51&lt;&gt;"",ABS(MIN(-0.75*('CDO Bespoke'!Q52)+'CDO Bespoke'!T52,0)),"")</f>
        <v>0.86273556278313468</v>
      </c>
      <c r="O51" s="488">
        <f t="shared" ca="1" si="0"/>
        <v>2.4623844559352737E-3</v>
      </c>
      <c r="P51" s="488">
        <f t="shared" ca="1" si="1"/>
        <v>0</v>
      </c>
      <c r="Q51" s="487">
        <f ca="1">IF('CDO Bespoke'!O52&lt;&gt;"",'CDO Bespoke'!O52,"")</f>
        <v>0.86519794723906995</v>
      </c>
      <c r="R51" s="488">
        <f ca="1">IF(Q51&lt;&gt;"",ABS(MIN(-0.75*('CDO Bespoke'!K52)+'CDO Bespoke'!T52,0)),"")</f>
        <v>6.987978678744497E-2</v>
      </c>
      <c r="S51" s="488">
        <f t="shared" ca="1" si="2"/>
        <v>0.79531816045162496</v>
      </c>
      <c r="T51" s="492">
        <f t="shared" ca="1" si="3"/>
        <v>0</v>
      </c>
      <c r="U51" s="274"/>
      <c r="V51" s="497" t="str">
        <f ca="1">IF('CDO Bespoke'!C76&lt;&gt;"",'CDO Bespoke'!C76,"")</f>
        <v>Anheuser-Busch InBev</v>
      </c>
      <c r="W51" s="499" cm="1">
        <f t="array" aca="1" ref="W51" ca="1">IF($V51&lt;&gt;"",-TRANSPOSE(INDEX(getcds('CDO Bespoke'!$C76,W$13,'CDO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X51" s="524" cm="1">
        <f t="array" aca="1" ref="X51" ca="1">IF($V51&lt;&gt;"",-TRANSPOSE(INDEX(getcds('CDO Bespoke'!$C76,X$13,'CDO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Y51" s="524" cm="1">
        <f t="array" aca="1" ref="Y51" ca="1">IF($V51&lt;&gt;"",-TRANSPOSE(INDEX(getcds('CDO Bespoke'!$C76,Y$13,'CDO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Z51" s="524" cm="1">
        <f t="array" aca="1" ref="Z51" ca="1">IF($V51&lt;&gt;"",-TRANSPOSE(INDEX(getcds('CDO Bespoke'!$C76,Z$13,'CDO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AA51" s="500" cm="1">
        <f t="array" aca="1" ref="AA51" ca="1">IF($V51&lt;&gt;"",-TRANSPOSE(INDEX(getcds('CDO Bespoke'!$C76,AA$13,'CDO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AB51" s="479"/>
      <c r="AC51" s="515"/>
      <c r="AD51" s="516"/>
      <c r="AE51" s="516"/>
      <c r="AF51" s="516"/>
      <c r="AG51" s="516"/>
      <c r="AH51" s="516"/>
      <c r="AI51" s="516"/>
      <c r="AJ51" s="516"/>
      <c r="AK51" s="516"/>
      <c r="AL51" s="517"/>
      <c r="AM51" s="534"/>
    </row>
    <row r="52" spans="2:39" ht="12" thickBot="1">
      <c r="B52" s="557" t="s">
        <v>533</v>
      </c>
      <c r="C52" s="558" t="s">
        <v>66</v>
      </c>
      <c r="D52" s="558" t="s">
        <v>55</v>
      </c>
      <c r="E52" s="558" t="s">
        <v>660</v>
      </c>
      <c r="F52" s="558" t="s">
        <v>662</v>
      </c>
      <c r="G52" s="559">
        <v>0.01</v>
      </c>
      <c r="H52" s="559">
        <v>7.633E-3</v>
      </c>
      <c r="I52" s="560">
        <v>0.4</v>
      </c>
      <c r="J52" s="561">
        <v>10</v>
      </c>
      <c r="K52" s="274"/>
      <c r="L52" s="274"/>
      <c r="M52" s="487">
        <f ca="1">IF('CDO Bespoke'!O53&lt;&gt;"",'CDO Bespoke'!O53,"")</f>
        <v>0.86395387510402</v>
      </c>
      <c r="N52" s="488">
        <f ca="1">IF(M52&lt;&gt;"",ABS(MIN(-0.75*('CDO Bespoke'!Q53)+'CDO Bespoke'!T53,0)),"")</f>
        <v>0.86465284066714443</v>
      </c>
      <c r="O52" s="488">
        <f t="shared" ca="1" si="0"/>
        <v>0</v>
      </c>
      <c r="P52" s="488">
        <f t="shared" ca="1" si="1"/>
        <v>0</v>
      </c>
      <c r="Q52" s="487">
        <f ca="1">IF('CDO Bespoke'!O53&lt;&gt;"",'CDO Bespoke'!O53,"")</f>
        <v>0.86395387510402</v>
      </c>
      <c r="R52" s="488">
        <f ca="1">IF(Q52&lt;&gt;"",ABS(MIN(-0.75*('CDO Bespoke'!K53)+'CDO Bespoke'!T53,0)),"")</f>
        <v>0.10104388760627339</v>
      </c>
      <c r="S52" s="488">
        <f t="shared" ca="1" si="2"/>
        <v>0.76290998749774663</v>
      </c>
      <c r="T52" s="492">
        <f t="shared" ca="1" si="3"/>
        <v>0</v>
      </c>
      <c r="U52" s="274"/>
      <c r="V52" s="497" t="str">
        <f ca="1">IF('CDO Bespoke'!C77&lt;&gt;"",'CDO Bespoke'!C77,"")</f>
        <v>BRITISH AMERICAN TOBACCO p.l.c.</v>
      </c>
      <c r="W52" s="499" cm="1">
        <f t="array" aca="1" ref="W52" ca="1">IF($V52&lt;&gt;"",-TRANSPOSE(INDEX(getcds('CDO Bespoke'!$C77,W$13,'CDO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X52" s="524" cm="1">
        <f t="array" aca="1" ref="X52" ca="1">IF($V52&lt;&gt;"",-TRANSPOSE(INDEX(getcds('CDO Bespoke'!$C77,X$13,'CDO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Y52" s="524" cm="1">
        <f t="array" aca="1" ref="Y52" ca="1">IF($V52&lt;&gt;"",-TRANSPOSE(INDEX(getcds('CDO Bespoke'!$C77,Y$13,'CDO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Z52" s="524" cm="1">
        <f t="array" aca="1" ref="Z52" ca="1">IF($V52&lt;&gt;"",-TRANSPOSE(INDEX(getcds('CDO Bespoke'!$C77,Z$13,'CDO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AA52" s="500" cm="1">
        <f t="array" aca="1" ref="AA52" ca="1">IF($V52&lt;&gt;"",-TRANSPOSE(INDEX(getcds('CDO Bespoke'!$C77,AA$13,'CDO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AB52" s="479"/>
      <c r="AC52" s="515"/>
      <c r="AD52" s="516"/>
      <c r="AE52" s="516"/>
      <c r="AF52" s="516"/>
      <c r="AG52" s="516"/>
      <c r="AH52" s="516"/>
      <c r="AI52" s="516"/>
      <c r="AJ52" s="516"/>
      <c r="AK52" s="516"/>
      <c r="AL52" s="517"/>
      <c r="AM52" s="534"/>
    </row>
    <row r="53" spans="2:39" ht="12" thickBot="1">
      <c r="B53" s="535" t="s">
        <v>533</v>
      </c>
      <c r="C53" s="536" t="s">
        <v>66</v>
      </c>
      <c r="D53" s="536" t="s">
        <v>57</v>
      </c>
      <c r="E53" s="536" t="s">
        <v>660</v>
      </c>
      <c r="F53" s="536" t="s">
        <v>662</v>
      </c>
      <c r="G53" s="543">
        <v>0.01</v>
      </c>
      <c r="H53" s="543">
        <v>1.1407E-2</v>
      </c>
      <c r="I53" s="545">
        <v>0.4</v>
      </c>
      <c r="J53" s="537">
        <v>10</v>
      </c>
      <c r="K53" s="274"/>
      <c r="L53" s="274"/>
      <c r="M53" s="487">
        <f ca="1">IF('CDO Bespoke'!O54&lt;&gt;"",'CDO Bespoke'!O54,"")</f>
        <v>0.86542885230903999</v>
      </c>
      <c r="N53" s="488">
        <f ca="1">IF(M53&lt;&gt;"",ABS(MIN(-0.75*('CDO Bespoke'!Q54)+'CDO Bespoke'!T54,0)),"")</f>
        <v>0.86218889556594402</v>
      </c>
      <c r="O53" s="488">
        <f t="shared" ca="1" si="0"/>
        <v>3.2399567430959619E-3</v>
      </c>
      <c r="P53" s="488">
        <f t="shared" ca="1" si="1"/>
        <v>0</v>
      </c>
      <c r="Q53" s="487">
        <f ca="1">IF('CDO Bespoke'!O54&lt;&gt;"",'CDO Bespoke'!O54,"")</f>
        <v>0.86542885230903999</v>
      </c>
      <c r="R53" s="488">
        <f ca="1">IF(Q53&lt;&gt;"",ABS(MIN(-0.75*('CDO Bespoke'!K54)+'CDO Bespoke'!T54,0)),"")</f>
        <v>6.0744211028242324E-2</v>
      </c>
      <c r="S53" s="488">
        <f t="shared" ca="1" si="2"/>
        <v>0.80468464128079764</v>
      </c>
      <c r="T53" s="492">
        <f t="shared" ca="1" si="3"/>
        <v>0</v>
      </c>
      <c r="U53" s="274"/>
      <c r="V53" s="497" t="str">
        <f ca="1">IF('CDO Bespoke'!C78&lt;&gt;"",'CDO Bespoke'!C78,"")</f>
        <v>CARLSBERG BREWERIES A/S</v>
      </c>
      <c r="W53" s="499" cm="1">
        <f t="array" aca="1" ref="W53" ca="1">IF($V53&lt;&gt;"",-TRANSPOSE(INDEX(getcds('CDO Bespoke'!$C78,W$13,'CDO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X53" s="524" cm="1">
        <f t="array" aca="1" ref="X53" ca="1">IF($V53&lt;&gt;"",-TRANSPOSE(INDEX(getcds('CDO Bespoke'!$C78,X$13,'CDO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Y53" s="524" cm="1">
        <f t="array" aca="1" ref="Y53" ca="1">IF($V53&lt;&gt;"",-TRANSPOSE(INDEX(getcds('CDO Bespoke'!$C78,Y$13,'CDO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Z53" s="524" cm="1">
        <f t="array" aca="1" ref="Z53" ca="1">IF($V53&lt;&gt;"",-TRANSPOSE(INDEX(getcds('CDO Bespoke'!$C78,Z$13,'CDO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AA53" s="500" cm="1">
        <f t="array" aca="1" ref="AA53" ca="1">IF($V53&lt;&gt;"",-TRANSPOSE(INDEX(getcds('CDO Bespoke'!$C78,AA$13,'CDO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AB53" s="479"/>
      <c r="AC53" s="515"/>
      <c r="AD53" s="516"/>
      <c r="AE53" s="516"/>
      <c r="AF53" s="516"/>
      <c r="AG53" s="516"/>
      <c r="AH53" s="516"/>
      <c r="AI53" s="516"/>
      <c r="AJ53" s="516"/>
      <c r="AK53" s="516"/>
      <c r="AL53" s="517"/>
      <c r="AM53" s="534"/>
    </row>
    <row r="54" spans="2:39" ht="12" thickBot="1">
      <c r="B54" s="552" t="s">
        <v>533</v>
      </c>
      <c r="C54" s="553" t="s">
        <v>66</v>
      </c>
      <c r="D54" s="553" t="s">
        <v>59</v>
      </c>
      <c r="E54" s="553" t="s">
        <v>660</v>
      </c>
      <c r="F54" s="553" t="s">
        <v>662</v>
      </c>
      <c r="G54" s="554">
        <v>0.01</v>
      </c>
      <c r="H54" s="554">
        <v>1.4759E-2</v>
      </c>
      <c r="I54" s="555">
        <v>0.4</v>
      </c>
      <c r="J54" s="556">
        <v>10</v>
      </c>
      <c r="K54" s="274"/>
      <c r="L54" s="274"/>
      <c r="M54" s="487">
        <f ca="1">IF('CDO Bespoke'!O55&lt;&gt;"",'CDO Bespoke'!O55,"")</f>
        <v>0.86476040395835996</v>
      </c>
      <c r="N54" s="488">
        <f ca="1">IF(M54&lt;&gt;"",ABS(MIN(-0.75*('CDO Bespoke'!Q55)+'CDO Bespoke'!T55,0)),"")</f>
        <v>0.86356329454023228</v>
      </c>
      <c r="O54" s="488">
        <f t="shared" ca="1" si="0"/>
        <v>1.1971094181276731E-3</v>
      </c>
      <c r="P54" s="488">
        <f t="shared" ca="1" si="1"/>
        <v>0</v>
      </c>
      <c r="Q54" s="487">
        <f ca="1">IF('CDO Bespoke'!O55&lt;&gt;"",'CDO Bespoke'!O55,"")</f>
        <v>0.86476040395835996</v>
      </c>
      <c r="R54" s="488">
        <f ca="1">IF(Q54&lt;&gt;"",ABS(MIN(-0.75*('CDO Bespoke'!K55)+'CDO Bespoke'!T55,0)),"")</f>
        <v>8.2576513715583569E-2</v>
      </c>
      <c r="S54" s="488">
        <f t="shared" ca="1" si="2"/>
        <v>0.78218389024277635</v>
      </c>
      <c r="T54" s="492">
        <f t="shared" ca="1" si="3"/>
        <v>0</v>
      </c>
      <c r="U54" s="274"/>
      <c r="V54" s="497" t="str">
        <f ca="1">IF('CDO Bespoke'!C79&lt;&gt;"",'CDO Bespoke'!C79,"")</f>
        <v>Carrefour</v>
      </c>
      <c r="W54" s="499" cm="1">
        <f t="array" aca="1" ref="W54" ca="1">IF($V54&lt;&gt;"",-TRANSPOSE(INDEX(getcds('CDO Bespoke'!$C79,W$13,'CDO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X54" s="524" cm="1">
        <f t="array" aca="1" ref="X54" ca="1">IF($V54&lt;&gt;"",-TRANSPOSE(INDEX(getcds('CDO Bespoke'!$C79,X$13,'CDO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Y54" s="524" cm="1">
        <f t="array" aca="1" ref="Y54" ca="1">IF($V54&lt;&gt;"",-TRANSPOSE(INDEX(getcds('CDO Bespoke'!$C79,Y$13,'CDO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Z54" s="524" cm="1">
        <f t="array" aca="1" ref="Z54" ca="1">IF($V54&lt;&gt;"",-TRANSPOSE(INDEX(getcds('CDO Bespoke'!$C79,Z$13,'CDO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AA54" s="500" cm="1">
        <f t="array" aca="1" ref="AA54" ca="1">IF($V54&lt;&gt;"",-TRANSPOSE(INDEX(getcds('CDO Bespoke'!$C79,AA$13,'CDO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AB54" s="479"/>
      <c r="AC54" s="515"/>
      <c r="AD54" s="516"/>
      <c r="AE54" s="516"/>
      <c r="AF54" s="516"/>
      <c r="AG54" s="516"/>
      <c r="AH54" s="516"/>
      <c r="AI54" s="516"/>
      <c r="AJ54" s="516"/>
      <c r="AK54" s="516"/>
      <c r="AL54" s="517"/>
      <c r="AM54" s="534"/>
    </row>
    <row r="55" spans="2:39" ht="12" thickBot="1">
      <c r="B55" s="557" t="s">
        <v>534</v>
      </c>
      <c r="C55" s="558" t="s">
        <v>66</v>
      </c>
      <c r="D55" s="558" t="s">
        <v>55</v>
      </c>
      <c r="E55" s="558" t="s">
        <v>658</v>
      </c>
      <c r="F55" s="558" t="s">
        <v>663</v>
      </c>
      <c r="G55" s="559">
        <v>0.01</v>
      </c>
      <c r="H55" s="559">
        <v>2.836E-3</v>
      </c>
      <c r="I55" s="560">
        <v>0.4</v>
      </c>
      <c r="J55" s="561">
        <v>11</v>
      </c>
      <c r="K55" s="274"/>
      <c r="L55" s="274"/>
      <c r="M55" s="487">
        <f ca="1">IF('CDO Bespoke'!O56&lt;&gt;"",'CDO Bespoke'!O56,"")</f>
        <v>0.86550473067344003</v>
      </c>
      <c r="N55" s="488">
        <f ca="1">IF(M55&lt;&gt;"",ABS(MIN(-0.75*('CDO Bespoke'!Q56)+'CDO Bespoke'!T56,0)),"")</f>
        <v>0.86195849980930261</v>
      </c>
      <c r="O55" s="488">
        <f t="shared" ca="1" si="0"/>
        <v>3.5462308641374118E-3</v>
      </c>
      <c r="P55" s="488">
        <f t="shared" ca="1" si="1"/>
        <v>0</v>
      </c>
      <c r="Q55" s="487">
        <f ca="1">IF('CDO Bespoke'!O56&lt;&gt;"",'CDO Bespoke'!O56,"")</f>
        <v>0.86550473067344003</v>
      </c>
      <c r="R55" s="488">
        <f ca="1">IF(Q55&lt;&gt;"",ABS(MIN(-0.75*('CDO Bespoke'!K56)+'CDO Bespoke'!T56,0)),"")</f>
        <v>5.6904728912850748E-2</v>
      </c>
      <c r="S55" s="488">
        <f t="shared" ca="1" si="2"/>
        <v>0.80860000176058933</v>
      </c>
      <c r="T55" s="492">
        <f t="shared" ca="1" si="3"/>
        <v>0</v>
      </c>
      <c r="U55" s="274"/>
      <c r="V55" s="497" t="str">
        <f ca="1">IF('CDO Bespoke'!C80&lt;&gt;"",'CDO Bespoke'!C80,"")</f>
        <v>COMPASS GROUP PLC</v>
      </c>
      <c r="W55" s="499" cm="1">
        <f t="array" aca="1" ref="W55" ca="1">IF($V55&lt;&gt;"",-TRANSPOSE(INDEX(getcds('CDO Bespoke'!$C80,W$13,'CDO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X55" s="524" cm="1">
        <f t="array" aca="1" ref="X55" ca="1">IF($V55&lt;&gt;"",-TRANSPOSE(INDEX(getcds('CDO Bespoke'!$C80,X$13,'CDO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Y55" s="524" cm="1">
        <f t="array" aca="1" ref="Y55" ca="1">IF($V55&lt;&gt;"",-TRANSPOSE(INDEX(getcds('CDO Bespoke'!$C80,Y$13,'CDO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Z55" s="524" cm="1">
        <f t="array" aca="1" ref="Z55" ca="1">IF($V55&lt;&gt;"",-TRANSPOSE(INDEX(getcds('CDO Bespoke'!$C80,Z$13,'CDO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AA55" s="500" cm="1">
        <f t="array" aca="1" ref="AA55" ca="1">IF($V55&lt;&gt;"",-TRANSPOSE(INDEX(getcds('CDO Bespoke'!$C80,AA$13,'CDO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AB55" s="479"/>
      <c r="AC55" s="515"/>
      <c r="AD55" s="516"/>
      <c r="AE55" s="516"/>
      <c r="AF55" s="516"/>
      <c r="AG55" s="516"/>
      <c r="AH55" s="516"/>
      <c r="AI55" s="516"/>
      <c r="AJ55" s="516"/>
      <c r="AK55" s="516"/>
      <c r="AL55" s="517"/>
      <c r="AM55" s="534"/>
    </row>
    <row r="56" spans="2:39" ht="12" thickBot="1">
      <c r="B56" s="535" t="s">
        <v>534</v>
      </c>
      <c r="C56" s="536" t="s">
        <v>66</v>
      </c>
      <c r="D56" s="536" t="s">
        <v>57</v>
      </c>
      <c r="E56" s="536" t="s">
        <v>658</v>
      </c>
      <c r="F56" s="536" t="s">
        <v>663</v>
      </c>
      <c r="G56" s="543">
        <v>0.01</v>
      </c>
      <c r="H56" s="543">
        <v>5.025E-3</v>
      </c>
      <c r="I56" s="545">
        <v>0.4</v>
      </c>
      <c r="J56" s="537">
        <v>11</v>
      </c>
      <c r="K56" s="274"/>
      <c r="L56" s="274"/>
      <c r="M56" s="487">
        <f ca="1">IF('CDO Bespoke'!O57&lt;&gt;"",'CDO Bespoke'!O57,"")</f>
        <v>0.86534015165434996</v>
      </c>
      <c r="N56" s="488">
        <f ca="1">IF(M56&lt;&gt;"",ABS(MIN(-0.75*('CDO Bespoke'!Q57)+'CDO Bespoke'!T57,0)),"")</f>
        <v>0.86240902053447421</v>
      </c>
      <c r="O56" s="488">
        <f t="shared" ca="1" si="0"/>
        <v>2.9311311198757517E-3</v>
      </c>
      <c r="P56" s="488">
        <f t="shared" ca="1" si="1"/>
        <v>0</v>
      </c>
      <c r="Q56" s="487">
        <f ca="1">IF('CDO Bespoke'!O57&lt;&gt;"",'CDO Bespoke'!O57,"")</f>
        <v>0.86534015165434996</v>
      </c>
      <c r="R56" s="488">
        <f ca="1">IF(Q56&lt;&gt;"",ABS(MIN(-0.75*('CDO Bespoke'!K57)+'CDO Bespoke'!T57,0)),"")</f>
        <v>6.4666346550517506E-2</v>
      </c>
      <c r="S56" s="488">
        <f t="shared" ca="1" si="2"/>
        <v>0.80067380510383246</v>
      </c>
      <c r="T56" s="492">
        <f t="shared" ca="1" si="3"/>
        <v>0</v>
      </c>
      <c r="U56" s="274"/>
      <c r="V56" s="497" t="str">
        <f ca="1">IF('CDO Bespoke'!C81&lt;&gt;"",'CDO Bespoke'!C81,"")</f>
        <v>DANONE</v>
      </c>
      <c r="W56" s="499" cm="1">
        <f t="array" aca="1" ref="W56" ca="1">IF($V56&lt;&gt;"",-TRANSPOSE(INDEX(getcds('CDO Bespoke'!$C81,W$13,'CDO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X56" s="524" cm="1">
        <f t="array" aca="1" ref="X56" ca="1">IF($V56&lt;&gt;"",-TRANSPOSE(INDEX(getcds('CDO Bespoke'!$C81,X$13,'CDO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Y56" s="524" cm="1">
        <f t="array" aca="1" ref="Y56" ca="1">IF($V56&lt;&gt;"",-TRANSPOSE(INDEX(getcds('CDO Bespoke'!$C81,Y$13,'CDO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Z56" s="524" cm="1">
        <f t="array" aca="1" ref="Z56" ca="1">IF($V56&lt;&gt;"",-TRANSPOSE(INDEX(getcds('CDO Bespoke'!$C81,Z$13,'CDO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AA56" s="500" cm="1">
        <f t="array" aca="1" ref="AA56" ca="1">IF($V56&lt;&gt;"",-TRANSPOSE(INDEX(getcds('CDO Bespoke'!$C81,AA$13,'CDO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AB56" s="479"/>
      <c r="AC56" s="515"/>
      <c r="AD56" s="516"/>
      <c r="AE56" s="516"/>
      <c r="AF56" s="516"/>
      <c r="AG56" s="516"/>
      <c r="AH56" s="516"/>
      <c r="AI56" s="516"/>
      <c r="AJ56" s="516"/>
      <c r="AK56" s="516"/>
      <c r="AL56" s="517"/>
      <c r="AM56" s="534"/>
    </row>
    <row r="57" spans="2:39" ht="12" thickBot="1">
      <c r="B57" s="552" t="s">
        <v>534</v>
      </c>
      <c r="C57" s="553" t="s">
        <v>66</v>
      </c>
      <c r="D57" s="553" t="s">
        <v>59</v>
      </c>
      <c r="E57" s="553" t="s">
        <v>658</v>
      </c>
      <c r="F57" s="553" t="s">
        <v>663</v>
      </c>
      <c r="G57" s="554">
        <v>0.01</v>
      </c>
      <c r="H57" s="554">
        <v>7.2620000000000002E-3</v>
      </c>
      <c r="I57" s="555">
        <v>0.4</v>
      </c>
      <c r="J57" s="556">
        <v>11</v>
      </c>
      <c r="K57" s="274"/>
      <c r="L57" s="274"/>
      <c r="M57" s="487">
        <f ca="1">IF('CDO Bespoke'!O58&lt;&gt;"",'CDO Bespoke'!O58,"")</f>
        <v>0.86384598980431004</v>
      </c>
      <c r="N57" s="488">
        <f ca="1">IF(M57&lt;&gt;"",ABS(MIN(-0.75*('CDO Bespoke'!Q58)+'CDO Bespoke'!T58,0)),"")</f>
        <v>0.86070109338567402</v>
      </c>
      <c r="O57" s="488">
        <f t="shared" ca="1" si="0"/>
        <v>3.1448964186360229E-3</v>
      </c>
      <c r="P57" s="488">
        <f t="shared" ca="1" si="1"/>
        <v>0</v>
      </c>
      <c r="Q57" s="487">
        <f ca="1">IF('CDO Bespoke'!O58&lt;&gt;"",'CDO Bespoke'!O58,"")</f>
        <v>0.86384598980431004</v>
      </c>
      <c r="R57" s="488">
        <f ca="1">IF(Q57&lt;&gt;"",ABS(MIN(-0.75*('CDO Bespoke'!K58)+'CDO Bespoke'!T58,0)),"")</f>
        <v>7.4202251497529154E-2</v>
      </c>
      <c r="S57" s="488">
        <f t="shared" ca="1" si="2"/>
        <v>0.78964373830678092</v>
      </c>
      <c r="T57" s="492">
        <f t="shared" ca="1" si="3"/>
        <v>0</v>
      </c>
      <c r="U57" s="274"/>
      <c r="V57" s="497" t="str">
        <f ca="1">IF('CDO Bespoke'!C82&lt;&gt;"",'CDO Bespoke'!C82,"")</f>
        <v>DIAGEO PLC</v>
      </c>
      <c r="W57" s="499" cm="1">
        <f t="array" aca="1" ref="W57" ca="1">IF($V57&lt;&gt;"",-TRANSPOSE(INDEX(getcds('CDO Bespoke'!$C82,W$13,'CDO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X57" s="524" cm="1">
        <f t="array" aca="1" ref="X57" ca="1">IF($V57&lt;&gt;"",-TRANSPOSE(INDEX(getcds('CDO Bespoke'!$C82,X$13,'CDO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Y57" s="524" cm="1">
        <f t="array" aca="1" ref="Y57" ca="1">IF($V57&lt;&gt;"",-TRANSPOSE(INDEX(getcds('CDO Bespoke'!$C82,Y$13,'CDO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Z57" s="524" cm="1">
        <f t="array" aca="1" ref="Z57" ca="1">IF($V57&lt;&gt;"",-TRANSPOSE(INDEX(getcds('CDO Bespoke'!$C82,Z$13,'CDO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AA57" s="500" cm="1">
        <f t="array" aca="1" ref="AA57" ca="1">IF($V57&lt;&gt;"",-TRANSPOSE(INDEX(getcds('CDO Bespoke'!$C82,AA$13,'CDO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AB57" s="479"/>
      <c r="AC57" s="515"/>
      <c r="AD57" s="516"/>
      <c r="AE57" s="516"/>
      <c r="AF57" s="516"/>
      <c r="AG57" s="516"/>
      <c r="AH57" s="516"/>
      <c r="AI57" s="516"/>
      <c r="AJ57" s="516"/>
      <c r="AK57" s="516"/>
      <c r="AL57" s="517"/>
      <c r="AM57" s="534"/>
    </row>
    <row r="58" spans="2:39" ht="12" thickBot="1">
      <c r="B58" s="557" t="s">
        <v>516</v>
      </c>
      <c r="C58" s="558" t="s">
        <v>66</v>
      </c>
      <c r="D58" s="558" t="s">
        <v>55</v>
      </c>
      <c r="E58" s="558" t="s">
        <v>658</v>
      </c>
      <c r="F58" s="558" t="s">
        <v>659</v>
      </c>
      <c r="G58" s="559">
        <v>0.01</v>
      </c>
      <c r="H58" s="559">
        <v>2.2030000000000001E-3</v>
      </c>
      <c r="I58" s="560">
        <v>0.4</v>
      </c>
      <c r="J58" s="561">
        <v>12</v>
      </c>
      <c r="K58" s="274"/>
      <c r="L58" s="274"/>
      <c r="M58" s="487">
        <f ca="1">IF('CDO Bespoke'!O59&lt;&gt;"",'CDO Bespoke'!O59,"")</f>
        <v>0.83884724450796</v>
      </c>
      <c r="N58" s="488">
        <f ca="1">IF(M58&lt;&gt;"",ABS(MIN(-0.75*('CDO Bespoke'!Q59)+'CDO Bespoke'!T59,0)),"")</f>
        <v>0.87503928595703506</v>
      </c>
      <c r="O58" s="488">
        <f t="shared" ca="1" si="0"/>
        <v>0</v>
      </c>
      <c r="P58" s="488">
        <f t="shared" ca="1" si="1"/>
        <v>0</v>
      </c>
      <c r="Q58" s="487">
        <f ca="1">IF('CDO Bespoke'!O59&lt;&gt;"",'CDO Bespoke'!O59,"")</f>
        <v>0.83884724450796</v>
      </c>
      <c r="R58" s="488">
        <f ca="1">IF(Q58&lt;&gt;"",ABS(MIN(-0.75*('CDO Bespoke'!K59)+'CDO Bespoke'!T59,0)),"")</f>
        <v>0.28220882891891275</v>
      </c>
      <c r="S58" s="488">
        <f t="shared" ca="1" si="2"/>
        <v>0.55663841558904725</v>
      </c>
      <c r="T58" s="492">
        <f t="shared" ca="1" si="3"/>
        <v>0</v>
      </c>
      <c r="U58" s="274"/>
      <c r="V58" s="497" t="str">
        <f ca="1">IF('CDO Bespoke'!C83&lt;&gt;"",'CDO Bespoke'!C83,"")</f>
        <v>ELO</v>
      </c>
      <c r="W58" s="499" cm="1">
        <f t="array" aca="1" ref="W58" ca="1">IF($V58&lt;&gt;"",-TRANSPOSE(INDEX(getcds('CDO Bespoke'!$C83,W$13,'CDO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X58" s="524" cm="1">
        <f t="array" aca="1" ref="X58" ca="1">IF($V58&lt;&gt;"",-TRANSPOSE(INDEX(getcds('CDO Bespoke'!$C83,X$13,'CDO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Y58" s="524" cm="1">
        <f t="array" aca="1" ref="Y58" ca="1">IF($V58&lt;&gt;"",-TRANSPOSE(INDEX(getcds('CDO Bespoke'!$C83,Y$13,'CDO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Z58" s="524" cm="1">
        <f t="array" aca="1" ref="Z58" ca="1">IF($V58&lt;&gt;"",-TRANSPOSE(INDEX(getcds('CDO Bespoke'!$C83,Z$13,'CDO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AA58" s="500" cm="1">
        <f t="array" aca="1" ref="AA58" ca="1">IF($V58&lt;&gt;"",-TRANSPOSE(INDEX(getcds('CDO Bespoke'!$C83,AA$13,'CDO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AB58" s="479"/>
      <c r="AC58" s="515"/>
      <c r="AD58" s="516"/>
      <c r="AE58" s="516"/>
      <c r="AF58" s="516"/>
      <c r="AG58" s="516"/>
      <c r="AH58" s="516"/>
      <c r="AI58" s="516"/>
      <c r="AJ58" s="516"/>
      <c r="AK58" s="516"/>
      <c r="AL58" s="517"/>
      <c r="AM58" s="534"/>
    </row>
    <row r="59" spans="2:39" ht="12" thickBot="1">
      <c r="B59" s="535" t="s">
        <v>516</v>
      </c>
      <c r="C59" s="536" t="s">
        <v>66</v>
      </c>
      <c r="D59" s="536" t="s">
        <v>57</v>
      </c>
      <c r="E59" s="536" t="s">
        <v>658</v>
      </c>
      <c r="F59" s="536" t="s">
        <v>659</v>
      </c>
      <c r="G59" s="543">
        <v>0.01</v>
      </c>
      <c r="H59" s="543">
        <v>3.3639999999999998E-3</v>
      </c>
      <c r="I59" s="545">
        <v>0.4</v>
      </c>
      <c r="J59" s="537">
        <v>12</v>
      </c>
      <c r="K59" s="274"/>
      <c r="L59" s="274"/>
      <c r="M59" s="487">
        <f ca="1">IF('CDO Bespoke'!O60&lt;&gt;"",'CDO Bespoke'!O60,"")</f>
        <v>0.86540487612119998</v>
      </c>
      <c r="N59" s="488">
        <f ca="1">IF(M59&lt;&gt;"",ABS(MIN(-0.75*('CDO Bespoke'!Q60)+'CDO Bespoke'!T60,0)),"")</f>
        <v>0.86225639089694517</v>
      </c>
      <c r="O59" s="488">
        <f t="shared" ca="1" si="0"/>
        <v>3.1484852242548156E-3</v>
      </c>
      <c r="P59" s="488">
        <f t="shared" ca="1" si="1"/>
        <v>0</v>
      </c>
      <c r="Q59" s="487">
        <f ca="1">IF('CDO Bespoke'!O60&lt;&gt;"",'CDO Bespoke'!O60,"")</f>
        <v>0.86540487612119998</v>
      </c>
      <c r="R59" s="488">
        <f ca="1">IF(Q59&lt;&gt;"",ABS(MIN(-0.75*('CDO Bespoke'!K60)+'CDO Bespoke'!T60,0)),"")</f>
        <v>6.1796275141645568E-2</v>
      </c>
      <c r="S59" s="488">
        <f t="shared" ca="1" si="2"/>
        <v>0.80360860097955444</v>
      </c>
      <c r="T59" s="492">
        <f t="shared" ca="1" si="3"/>
        <v>0</v>
      </c>
      <c r="U59" s="274"/>
      <c r="V59" s="497" t="str">
        <f ca="1">IF('CDO Bespoke'!C84&lt;&gt;"",'CDO Bespoke'!C84,"")</f>
        <v>Heineken N.V.</v>
      </c>
      <c r="W59" s="499" cm="1">
        <f t="array" aca="1" ref="W59" ca="1">IF($V59&lt;&gt;"",-TRANSPOSE(INDEX(getcds('CDO Bespoke'!$C84,W$13,'CDO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X59" s="524" cm="1">
        <f t="array" aca="1" ref="X59" ca="1">IF($V59&lt;&gt;"",-TRANSPOSE(INDEX(getcds('CDO Bespoke'!$C84,X$13,'CDO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Y59" s="524" cm="1">
        <f t="array" aca="1" ref="Y59" ca="1">IF($V59&lt;&gt;"",-TRANSPOSE(INDEX(getcds('CDO Bespoke'!$C84,Y$13,'CDO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Z59" s="524" cm="1">
        <f t="array" aca="1" ref="Z59" ca="1">IF($V59&lt;&gt;"",-TRANSPOSE(INDEX(getcds('CDO Bespoke'!$C84,Z$13,'CDO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AA59" s="500" cm="1">
        <f t="array" aca="1" ref="AA59" ca="1">IF($V59&lt;&gt;"",-TRANSPOSE(INDEX(getcds('CDO Bespoke'!$C84,AA$13,'CDO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AB59" s="479"/>
      <c r="AC59" s="515"/>
      <c r="AD59" s="516"/>
      <c r="AE59" s="516"/>
      <c r="AF59" s="516"/>
      <c r="AG59" s="516"/>
      <c r="AH59" s="516"/>
      <c r="AI59" s="516"/>
      <c r="AJ59" s="516"/>
      <c r="AK59" s="516"/>
      <c r="AL59" s="517"/>
      <c r="AM59" s="534"/>
    </row>
    <row r="60" spans="2:39" ht="12" thickBot="1">
      <c r="B60" s="552" t="s">
        <v>516</v>
      </c>
      <c r="C60" s="553" t="s">
        <v>66</v>
      </c>
      <c r="D60" s="553" t="s">
        <v>59</v>
      </c>
      <c r="E60" s="553" t="s">
        <v>658</v>
      </c>
      <c r="F60" s="553" t="s">
        <v>659</v>
      </c>
      <c r="G60" s="554">
        <v>0.01</v>
      </c>
      <c r="H60" s="554">
        <v>4.9129999999999998E-3</v>
      </c>
      <c r="I60" s="555">
        <v>0.4</v>
      </c>
      <c r="J60" s="556">
        <v>12</v>
      </c>
      <c r="K60" s="274"/>
      <c r="L60" s="274"/>
      <c r="M60" s="487">
        <f ca="1">IF('CDO Bespoke'!O61&lt;&gt;"",'CDO Bespoke'!O61,"")</f>
        <v>0.86553419871850001</v>
      </c>
      <c r="N60" s="488">
        <f ca="1">IF(M60&lt;&gt;"",ABS(MIN(-0.75*('CDO Bespoke'!Q61)+'CDO Bespoke'!T61,0)),"")</f>
        <v>0.86182470160060154</v>
      </c>
      <c r="O60" s="488">
        <f t="shared" ca="1" si="0"/>
        <v>3.7094971178984748E-3</v>
      </c>
      <c r="P60" s="488">
        <f t="shared" ca="1" si="1"/>
        <v>0</v>
      </c>
      <c r="Q60" s="487">
        <f ca="1">IF('CDO Bespoke'!O61&lt;&gt;"",'CDO Bespoke'!O61,"")</f>
        <v>0.86553419871850001</v>
      </c>
      <c r="R60" s="488">
        <f ca="1">IF(Q60&lt;&gt;"",ABS(MIN(-0.75*('CDO Bespoke'!K61)+'CDO Bespoke'!T61,0)),"")</f>
        <v>5.5763125083271775E-2</v>
      </c>
      <c r="S60" s="488">
        <f t="shared" ca="1" si="2"/>
        <v>0.80977107363522827</v>
      </c>
      <c r="T60" s="492">
        <f t="shared" ca="1" si="3"/>
        <v>0</v>
      </c>
      <c r="U60" s="274"/>
      <c r="V60" s="497" t="str">
        <f ca="1">IF('CDO Bespoke'!C85&lt;&gt;"",'CDO Bespoke'!C85,"")</f>
        <v>Henkel AG &amp; Co. KGaA</v>
      </c>
      <c r="W60" s="499" cm="1">
        <f t="array" aca="1" ref="W60" ca="1">IF($V60&lt;&gt;"",-TRANSPOSE(INDEX(getcds('CDO Bespoke'!$C85,W$13,'CDO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X60" s="524" cm="1">
        <f t="array" aca="1" ref="X60" ca="1">IF($V60&lt;&gt;"",-TRANSPOSE(INDEX(getcds('CDO Bespoke'!$C85,X$13,'CDO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Y60" s="524" cm="1">
        <f t="array" aca="1" ref="Y60" ca="1">IF($V60&lt;&gt;"",-TRANSPOSE(INDEX(getcds('CDO Bespoke'!$C85,Y$13,'CDO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Z60" s="524" cm="1">
        <f t="array" aca="1" ref="Z60" ca="1">IF($V60&lt;&gt;"",-TRANSPOSE(INDEX(getcds('CDO Bespoke'!$C85,Z$13,'CDO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AA60" s="500" cm="1">
        <f t="array" aca="1" ref="AA60" ca="1">IF($V60&lt;&gt;"",-TRANSPOSE(INDEX(getcds('CDO Bespoke'!$C85,AA$13,'CDO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AB60" s="479"/>
      <c r="AC60" s="515"/>
      <c r="AD60" s="516"/>
      <c r="AE60" s="516"/>
      <c r="AF60" s="516"/>
      <c r="AG60" s="516"/>
      <c r="AH60" s="516"/>
      <c r="AI60" s="516"/>
      <c r="AJ60" s="516"/>
      <c r="AK60" s="516"/>
      <c r="AL60" s="517"/>
      <c r="AM60" s="534"/>
    </row>
    <row r="61" spans="2:39" ht="12" thickBot="1">
      <c r="B61" s="557" t="s">
        <v>623</v>
      </c>
      <c r="C61" s="558" t="s">
        <v>66</v>
      </c>
      <c r="D61" s="558" t="s">
        <v>55</v>
      </c>
      <c r="E61" s="558" t="s">
        <v>660</v>
      </c>
      <c r="F61" s="558" t="s">
        <v>659</v>
      </c>
      <c r="G61" s="559">
        <v>0.01</v>
      </c>
      <c r="H61" s="559">
        <v>5.3819999999999996E-3</v>
      </c>
      <c r="I61" s="560">
        <v>0.4</v>
      </c>
      <c r="J61" s="561">
        <v>13</v>
      </c>
      <c r="K61" s="274"/>
      <c r="L61" s="274"/>
      <c r="M61" s="487">
        <f ca="1">IF('CDO Bespoke'!O62&lt;&gt;"",'CDO Bespoke'!O62,"")</f>
        <v>0.86335419294218996</v>
      </c>
      <c r="N61" s="488">
        <f ca="1">IF(M61&lt;&gt;"",ABS(MIN(-0.75*('CDO Bespoke'!Q62)+'CDO Bespoke'!T62,0)),"")</f>
        <v>0.86531263612480691</v>
      </c>
      <c r="O61" s="488">
        <f t="shared" ca="1" si="0"/>
        <v>0</v>
      </c>
      <c r="P61" s="488">
        <f t="shared" ca="1" si="1"/>
        <v>0</v>
      </c>
      <c r="Q61" s="487">
        <f ca="1">IF('CDO Bespoke'!O62&lt;&gt;"",'CDO Bespoke'!O62,"")</f>
        <v>0.86335419294218996</v>
      </c>
      <c r="R61" s="488">
        <f ca="1">IF(Q61&lt;&gt;"",ABS(MIN(-0.75*('CDO Bespoke'!K62)+'CDO Bespoke'!T62,0)),"")</f>
        <v>0.11215431395486666</v>
      </c>
      <c r="S61" s="488">
        <f t="shared" ca="1" si="2"/>
        <v>0.75119987898732332</v>
      </c>
      <c r="T61" s="492">
        <f t="shared" ca="1" si="3"/>
        <v>0</v>
      </c>
      <c r="U61" s="274"/>
      <c r="V61" s="497" t="str">
        <f ca="1">IF('CDO Bespoke'!C86&lt;&gt;"",'CDO Bespoke'!C86,"")</f>
        <v>IMPERIAL BRANDS PLC</v>
      </c>
      <c r="W61" s="499" cm="1">
        <f t="array" aca="1" ref="W61" ca="1">IF($V61&lt;&gt;"",-TRANSPOSE(INDEX(getcds('CDO Bespoke'!$C86,W$13,'CDO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X61" s="524" cm="1">
        <f t="array" aca="1" ref="X61" ca="1">IF($V61&lt;&gt;"",-TRANSPOSE(INDEX(getcds('CDO Bespoke'!$C86,X$13,'CDO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Y61" s="524" cm="1">
        <f t="array" aca="1" ref="Y61" ca="1">IF($V61&lt;&gt;"",-TRANSPOSE(INDEX(getcds('CDO Bespoke'!$C86,Y$13,'CDO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Z61" s="524" cm="1">
        <f t="array" aca="1" ref="Z61" ca="1">IF($V61&lt;&gt;"",-TRANSPOSE(INDEX(getcds('CDO Bespoke'!$C86,Z$13,'CDO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AA61" s="500" cm="1">
        <f t="array" aca="1" ref="AA61" ca="1">IF($V61&lt;&gt;"",-TRANSPOSE(INDEX(getcds('CDO Bespoke'!$C86,AA$13,'CDO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AB61" s="479"/>
      <c r="AC61" s="515"/>
      <c r="AD61" s="516"/>
      <c r="AE61" s="516"/>
      <c r="AF61" s="516"/>
      <c r="AG61" s="516"/>
      <c r="AH61" s="516"/>
      <c r="AI61" s="516"/>
      <c r="AJ61" s="516"/>
      <c r="AK61" s="516"/>
      <c r="AL61" s="517"/>
      <c r="AM61" s="534"/>
    </row>
    <row r="62" spans="2:39" ht="12" thickBot="1">
      <c r="B62" s="535" t="s">
        <v>623</v>
      </c>
      <c r="C62" s="536" t="s">
        <v>66</v>
      </c>
      <c r="D62" s="536" t="s">
        <v>57</v>
      </c>
      <c r="E62" s="536" t="s">
        <v>660</v>
      </c>
      <c r="F62" s="536" t="s">
        <v>659</v>
      </c>
      <c r="G62" s="543">
        <v>0.01</v>
      </c>
      <c r="H62" s="543">
        <v>8.8269999999999998E-3</v>
      </c>
      <c r="I62" s="545">
        <v>0.4</v>
      </c>
      <c r="J62" s="537">
        <v>13</v>
      </c>
      <c r="K62" s="274"/>
      <c r="L62" s="274"/>
      <c r="M62" s="487">
        <f ca="1">IF('CDO Bespoke'!O63&lt;&gt;"",'CDO Bespoke'!O63,"")</f>
        <v>0.86519796220890999</v>
      </c>
      <c r="N62" s="488">
        <f ca="1">IF(M62&lt;&gt;"",ABS(MIN(-0.75*('CDO Bespoke'!Q63)+'CDO Bespoke'!T63,0)),"")</f>
        <v>0.86271886210176618</v>
      </c>
      <c r="O62" s="488">
        <f t="shared" ca="1" si="0"/>
        <v>2.4791001071438057E-3</v>
      </c>
      <c r="P62" s="488">
        <f t="shared" ca="1" si="1"/>
        <v>0</v>
      </c>
      <c r="Q62" s="487">
        <f ca="1">IF('CDO Bespoke'!O63&lt;&gt;"",'CDO Bespoke'!O63,"")</f>
        <v>0.86519796220890999</v>
      </c>
      <c r="R62" s="488">
        <f ca="1">IF(Q62&lt;&gt;"",ABS(MIN(-0.75*('CDO Bespoke'!K63)+'CDO Bespoke'!T63,0)),"")</f>
        <v>7.0036659837532919E-2</v>
      </c>
      <c r="S62" s="488">
        <f t="shared" ca="1" si="2"/>
        <v>0.79516130237137705</v>
      </c>
      <c r="T62" s="492">
        <f t="shared" ca="1" si="3"/>
        <v>0</v>
      </c>
      <c r="U62" s="274"/>
      <c r="V62" s="497" t="str">
        <f ca="1">IF('CDO Bespoke'!C87&lt;&gt;"",'CDO Bespoke'!C87,"")</f>
        <v>Kering</v>
      </c>
      <c r="W62" s="499" cm="1">
        <f t="array" aca="1" ref="W62" ca="1">IF($V62&lt;&gt;"",-TRANSPOSE(INDEX(getcds('CDO Bespoke'!$C87,W$13,'CDO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X62" s="524" cm="1">
        <f t="array" aca="1" ref="X62" ca="1">IF($V62&lt;&gt;"",-TRANSPOSE(INDEX(getcds('CDO Bespoke'!$C87,X$13,'CDO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Y62" s="524" cm="1">
        <f t="array" aca="1" ref="Y62" ca="1">IF($V62&lt;&gt;"",-TRANSPOSE(INDEX(getcds('CDO Bespoke'!$C87,Y$13,'CDO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Z62" s="524" cm="1">
        <f t="array" aca="1" ref="Z62" ca="1">IF($V62&lt;&gt;"",-TRANSPOSE(INDEX(getcds('CDO Bespoke'!$C87,Z$13,'CDO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AA62" s="500" cm="1">
        <f t="array" aca="1" ref="AA62" ca="1">IF($V62&lt;&gt;"",-TRANSPOSE(INDEX(getcds('CDO Bespoke'!$C87,AA$13,'CDO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AB62" s="479"/>
      <c r="AC62" s="515"/>
      <c r="AD62" s="516"/>
      <c r="AE62" s="516"/>
      <c r="AF62" s="516"/>
      <c r="AG62" s="516"/>
      <c r="AH62" s="516"/>
      <c r="AI62" s="516"/>
      <c r="AJ62" s="516"/>
      <c r="AK62" s="516"/>
      <c r="AL62" s="517"/>
      <c r="AM62" s="534"/>
    </row>
    <row r="63" spans="2:39" ht="12" thickBot="1">
      <c r="B63" s="552" t="s">
        <v>623</v>
      </c>
      <c r="C63" s="553" t="s">
        <v>66</v>
      </c>
      <c r="D63" s="553" t="s">
        <v>59</v>
      </c>
      <c r="E63" s="553" t="s">
        <v>660</v>
      </c>
      <c r="F63" s="553" t="s">
        <v>659</v>
      </c>
      <c r="G63" s="554">
        <v>0.01</v>
      </c>
      <c r="H63" s="554">
        <v>1.2491E-2</v>
      </c>
      <c r="I63" s="555">
        <v>0.4</v>
      </c>
      <c r="J63" s="556">
        <v>13</v>
      </c>
      <c r="K63" s="274"/>
      <c r="L63" s="274"/>
      <c r="M63" s="487">
        <f ca="1">IF('CDO Bespoke'!O64&lt;&gt;"",'CDO Bespoke'!O64,"")</f>
        <v>0.86321897826660998</v>
      </c>
      <c r="N63" s="488">
        <f ca="1">IF(M63&lt;&gt;"",ABS(MIN(-0.75*('CDO Bespoke'!Q64)+'CDO Bespoke'!T64,0)),"")</f>
        <v>0.86027230480802153</v>
      </c>
      <c r="O63" s="488">
        <f t="shared" ca="1" si="0"/>
        <v>2.9466734585884558E-3</v>
      </c>
      <c r="P63" s="488">
        <f t="shared" ca="1" si="1"/>
        <v>0</v>
      </c>
      <c r="Q63" s="487">
        <f ca="1">IF('CDO Bespoke'!O64&lt;&gt;"",'CDO Bespoke'!O64,"")</f>
        <v>0.86321897826660998</v>
      </c>
      <c r="R63" s="488">
        <f ca="1">IF(Q63&lt;&gt;"",ABS(MIN(-0.75*('CDO Bespoke'!K64)+'CDO Bespoke'!T64,0)),"")</f>
        <v>7.6699203334700608E-2</v>
      </c>
      <c r="S63" s="488">
        <f t="shared" ca="1" si="2"/>
        <v>0.78651977493190939</v>
      </c>
      <c r="T63" s="492">
        <f t="shared" ca="1" si="3"/>
        <v>0</v>
      </c>
      <c r="U63" s="274"/>
      <c r="V63" s="497" t="str">
        <f ca="1">IF('CDO Bespoke'!C88&lt;&gt;"",'CDO Bespoke'!C88,"")</f>
        <v>Koninklijke Ahold Delhaize N.V.</v>
      </c>
      <c r="W63" s="499" cm="1">
        <f t="array" aca="1" ref="W63" ca="1">IF($V63&lt;&gt;"",-TRANSPOSE(INDEX(getcds('CDO Bespoke'!$C88,W$13,'CDO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X63" s="524" cm="1">
        <f t="array" aca="1" ref="X63" ca="1">IF($V63&lt;&gt;"",-TRANSPOSE(INDEX(getcds('CDO Bespoke'!$C88,X$13,'CDO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Y63" s="524" cm="1">
        <f t="array" aca="1" ref="Y63" ca="1">IF($V63&lt;&gt;"",-TRANSPOSE(INDEX(getcds('CDO Bespoke'!$C88,Y$13,'CDO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Z63" s="524" cm="1">
        <f t="array" aca="1" ref="Z63" ca="1">IF($V63&lt;&gt;"",-TRANSPOSE(INDEX(getcds('CDO Bespoke'!$C88,Z$13,'CDO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AA63" s="500" cm="1">
        <f t="array" aca="1" ref="AA63" ca="1">IF($V63&lt;&gt;"",-TRANSPOSE(INDEX(getcds('CDO Bespoke'!$C88,AA$13,'CDO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AB63" s="479"/>
      <c r="AC63" s="515"/>
      <c r="AD63" s="516"/>
      <c r="AE63" s="516"/>
      <c r="AF63" s="516"/>
      <c r="AG63" s="516"/>
      <c r="AH63" s="516"/>
      <c r="AI63" s="516"/>
      <c r="AJ63" s="516"/>
      <c r="AK63" s="516"/>
      <c r="AL63" s="517"/>
      <c r="AM63" s="534"/>
    </row>
    <row r="64" spans="2:39" ht="12" thickBot="1">
      <c r="B64" s="557" t="s">
        <v>518</v>
      </c>
      <c r="C64" s="558" t="s">
        <v>66</v>
      </c>
      <c r="D64" s="558" t="s">
        <v>55</v>
      </c>
      <c r="E64" s="558" t="s">
        <v>660</v>
      </c>
      <c r="F64" s="558" t="s">
        <v>659</v>
      </c>
      <c r="G64" s="559">
        <v>0.01</v>
      </c>
      <c r="H64" s="559">
        <v>2.905E-3</v>
      </c>
      <c r="I64" s="560">
        <v>0.4</v>
      </c>
      <c r="J64" s="561">
        <v>14</v>
      </c>
      <c r="K64" s="274"/>
      <c r="L64" s="274"/>
      <c r="M64" s="487">
        <f ca="1">IF('CDO Bespoke'!O65&lt;&gt;"",'CDO Bespoke'!O65,"")</f>
        <v>0.86494442667041005</v>
      </c>
      <c r="N64" s="488">
        <f ca="1">IF(M64&lt;&gt;"",ABS(MIN(-0.75*('CDO Bespoke'!Q65)+'CDO Bespoke'!T65,0)),"")</f>
        <v>0.86320544138874478</v>
      </c>
      <c r="O64" s="488">
        <f t="shared" ca="1" si="0"/>
        <v>1.7389852816652729E-3</v>
      </c>
      <c r="P64" s="488">
        <f t="shared" ca="1" si="1"/>
        <v>0</v>
      </c>
      <c r="Q64" s="487">
        <f ca="1">IF('CDO Bespoke'!O65&lt;&gt;"",'CDO Bespoke'!O65,"")</f>
        <v>0.86494442667041005</v>
      </c>
      <c r="R64" s="488">
        <f ca="1">IF(Q64&lt;&gt;"",ABS(MIN(-0.75*('CDO Bespoke'!K65)+'CDO Bespoke'!T65,0)),"")</f>
        <v>7.8122093524174221E-2</v>
      </c>
      <c r="S64" s="488">
        <f t="shared" ca="1" si="2"/>
        <v>0.78682233314623584</v>
      </c>
      <c r="T64" s="492">
        <f t="shared" ca="1" si="3"/>
        <v>0</v>
      </c>
      <c r="U64" s="274"/>
      <c r="V64" s="497" t="str">
        <f ca="1">IF('CDO Bespoke'!C89&lt;&gt;"",'CDO Bespoke'!C89,"")</f>
        <v>Koninklijke Philips N.V.</v>
      </c>
      <c r="W64" s="499" cm="1">
        <f t="array" aca="1" ref="W64" ca="1">IF($V64&lt;&gt;"",-TRANSPOSE(INDEX(getcds('CDO Bespoke'!$C89,W$13,'CDO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X64" s="524" cm="1">
        <f t="array" aca="1" ref="X64" ca="1">IF($V64&lt;&gt;"",-TRANSPOSE(INDEX(getcds('CDO Bespoke'!$C89,X$13,'CDO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Y64" s="524" cm="1">
        <f t="array" aca="1" ref="Y64" ca="1">IF($V64&lt;&gt;"",-TRANSPOSE(INDEX(getcds('CDO Bespoke'!$C89,Y$13,'CDO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Z64" s="524" cm="1">
        <f t="array" aca="1" ref="Z64" ca="1">IF($V64&lt;&gt;"",-TRANSPOSE(INDEX(getcds('CDO Bespoke'!$C89,Z$13,'CDO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AA64" s="500" cm="1">
        <f t="array" aca="1" ref="AA64" ca="1">IF($V64&lt;&gt;"",-TRANSPOSE(INDEX(getcds('CDO Bespoke'!$C89,AA$13,'CDO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AB64" s="479"/>
      <c r="AC64" s="515"/>
      <c r="AD64" s="516"/>
      <c r="AE64" s="516"/>
      <c r="AF64" s="516"/>
      <c r="AG64" s="516"/>
      <c r="AH64" s="516"/>
      <c r="AI64" s="516"/>
      <c r="AJ64" s="516"/>
      <c r="AK64" s="516"/>
      <c r="AL64" s="517"/>
      <c r="AM64" s="534"/>
    </row>
    <row r="65" spans="2:39" ht="12" thickBot="1">
      <c r="B65" s="535" t="s">
        <v>518</v>
      </c>
      <c r="C65" s="536" t="s">
        <v>66</v>
      </c>
      <c r="D65" s="536" t="s">
        <v>57</v>
      </c>
      <c r="E65" s="536" t="s">
        <v>660</v>
      </c>
      <c r="F65" s="536" t="s">
        <v>659</v>
      </c>
      <c r="G65" s="543">
        <v>0.01</v>
      </c>
      <c r="H65" s="543">
        <v>4.709E-2</v>
      </c>
      <c r="I65" s="545">
        <v>0.4</v>
      </c>
      <c r="J65" s="537">
        <v>14</v>
      </c>
      <c r="K65" s="274"/>
      <c r="L65" s="274"/>
      <c r="M65" s="487">
        <f ca="1">IF('CDO Bespoke'!O66&lt;&gt;"",'CDO Bespoke'!O66,"")</f>
        <v>0.86033518493951999</v>
      </c>
      <c r="N65" s="488">
        <f ca="1">IF(M65&lt;&gt;"",ABS(MIN(-0.75*('CDO Bespoke'!Q66)+'CDO Bespoke'!T66,0)),"")</f>
        <v>0.86779216131532499</v>
      </c>
      <c r="O65" s="488">
        <f t="shared" ca="1" si="0"/>
        <v>0</v>
      </c>
      <c r="P65" s="488">
        <f t="shared" ca="1" si="1"/>
        <v>0</v>
      </c>
      <c r="Q65" s="487">
        <f ca="1">IF('CDO Bespoke'!O66&lt;&gt;"",'CDO Bespoke'!O66,"")</f>
        <v>0.86033518493951999</v>
      </c>
      <c r="R65" s="488">
        <f ca="1">IF(Q65&lt;&gt;"",ABS(MIN(-0.75*('CDO Bespoke'!K66)+'CDO Bespoke'!T66,0)),"")</f>
        <v>0.15359574898583772</v>
      </c>
      <c r="S65" s="488">
        <f t="shared" ca="1" si="2"/>
        <v>0.70673943595368227</v>
      </c>
      <c r="T65" s="492">
        <f t="shared" ca="1" si="3"/>
        <v>0</v>
      </c>
      <c r="U65" s="274"/>
      <c r="V65" s="497" t="str">
        <f ca="1">IF('CDO Bespoke'!C90&lt;&gt;"",'CDO Bespoke'!C90,"")</f>
        <v>Louis Dreyfus Company B.V.</v>
      </c>
      <c r="W65" s="499" cm="1">
        <f t="array" aca="1" ref="W65" ca="1">IF($V65&lt;&gt;"",-TRANSPOSE(INDEX(getcds('CDO Bespoke'!$C90,W$13,'CDO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X65" s="524" cm="1">
        <f t="array" aca="1" ref="X65" ca="1">IF($V65&lt;&gt;"",-TRANSPOSE(INDEX(getcds('CDO Bespoke'!$C90,X$13,'CDO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Y65" s="524" cm="1">
        <f t="array" aca="1" ref="Y65" ca="1">IF($V65&lt;&gt;"",-TRANSPOSE(INDEX(getcds('CDO Bespoke'!$C90,Y$13,'CDO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Z65" s="524" cm="1">
        <f t="array" aca="1" ref="Z65" ca="1">IF($V65&lt;&gt;"",-TRANSPOSE(INDEX(getcds('CDO Bespoke'!$C90,Z$13,'CDO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AA65" s="500" cm="1">
        <f t="array" aca="1" ref="AA65" ca="1">IF($V65&lt;&gt;"",-TRANSPOSE(INDEX(getcds('CDO Bespoke'!$C90,AA$13,'CDO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AB65" s="479"/>
      <c r="AC65" s="515"/>
      <c r="AD65" s="516"/>
      <c r="AE65" s="516"/>
      <c r="AF65" s="516"/>
      <c r="AG65" s="516"/>
      <c r="AH65" s="516"/>
      <c r="AI65" s="516"/>
      <c r="AJ65" s="516"/>
      <c r="AK65" s="516"/>
      <c r="AL65" s="517"/>
      <c r="AM65" s="534"/>
    </row>
    <row r="66" spans="2:39" ht="12" thickBot="1">
      <c r="B66" s="552" t="s">
        <v>518</v>
      </c>
      <c r="C66" s="553" t="s">
        <v>66</v>
      </c>
      <c r="D66" s="553" t="s">
        <v>59</v>
      </c>
      <c r="E66" s="553" t="s">
        <v>660</v>
      </c>
      <c r="F66" s="553" t="s">
        <v>659</v>
      </c>
      <c r="G66" s="554">
        <v>0.01</v>
      </c>
      <c r="H66" s="554">
        <v>6.6230000000000004E-3</v>
      </c>
      <c r="I66" s="555">
        <v>0.4</v>
      </c>
      <c r="J66" s="556">
        <v>14</v>
      </c>
      <c r="K66" s="274"/>
      <c r="L66" s="274"/>
      <c r="M66" s="487">
        <f ca="1">IF('CDO Bespoke'!O67&lt;&gt;"",'CDO Bespoke'!O67,"")</f>
        <v>0.86541456702928998</v>
      </c>
      <c r="N66" s="488">
        <f ca="1">IF(M66&lt;&gt;"",ABS(MIN(-0.75*('CDO Bespoke'!Q67)+'CDO Bespoke'!T67,0)),"")</f>
        <v>0.86222781141611593</v>
      </c>
      <c r="O66" s="488">
        <f t="shared" ca="1" si="0"/>
        <v>3.1867556131740526E-3</v>
      </c>
      <c r="P66" s="488">
        <f t="shared" ca="1" si="1"/>
        <v>0</v>
      </c>
      <c r="Q66" s="487">
        <f ca="1">IF('CDO Bespoke'!O67&lt;&gt;"",'CDO Bespoke'!O67,"")</f>
        <v>0.86541456702928998</v>
      </c>
      <c r="R66" s="488">
        <f ca="1">IF(Q66&lt;&gt;"",ABS(MIN(-0.75*('CDO Bespoke'!K67)+'CDO Bespoke'!T67,0)),"")</f>
        <v>6.1397506922768651E-2</v>
      </c>
      <c r="S66" s="488">
        <f t="shared" ca="1" si="2"/>
        <v>0.8040170601065213</v>
      </c>
      <c r="T66" s="492">
        <f t="shared" ca="1" si="3"/>
        <v>0</v>
      </c>
      <c r="U66" s="274"/>
      <c r="V66" s="497" t="str">
        <f ca="1">IF('CDO Bespoke'!C91&lt;&gt;"",'CDO Bespoke'!C91,"")</f>
        <v>LVMH MOET HENNESSY LOUIS VUITTON</v>
      </c>
      <c r="W66" s="499" cm="1">
        <f t="array" aca="1" ref="W66" ca="1">IF($V66&lt;&gt;"",-TRANSPOSE(INDEX(getcds('CDO Bespoke'!$C91,W$13,'CDO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X66" s="524" cm="1">
        <f t="array" aca="1" ref="X66" ca="1">IF($V66&lt;&gt;"",-TRANSPOSE(INDEX(getcds('CDO Bespoke'!$C91,X$13,'CDO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Y66" s="524" cm="1">
        <f t="array" aca="1" ref="Y66" ca="1">IF($V66&lt;&gt;"",-TRANSPOSE(INDEX(getcds('CDO Bespoke'!$C91,Y$13,'CDO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Z66" s="524" cm="1">
        <f t="array" aca="1" ref="Z66" ca="1">IF($V66&lt;&gt;"",-TRANSPOSE(INDEX(getcds('CDO Bespoke'!$C91,Z$13,'CDO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AA66" s="500" cm="1">
        <f t="array" aca="1" ref="AA66" ca="1">IF($V66&lt;&gt;"",-TRANSPOSE(INDEX(getcds('CDO Bespoke'!$C91,AA$13,'CDO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AB66" s="479"/>
      <c r="AC66" s="515"/>
      <c r="AD66" s="516"/>
      <c r="AE66" s="516"/>
      <c r="AF66" s="516"/>
      <c r="AG66" s="516"/>
      <c r="AH66" s="516"/>
      <c r="AI66" s="516"/>
      <c r="AJ66" s="516"/>
      <c r="AK66" s="516"/>
      <c r="AL66" s="517"/>
      <c r="AM66" s="534"/>
    </row>
    <row r="67" spans="2:39" ht="12" thickBot="1">
      <c r="B67" s="557" t="s">
        <v>519</v>
      </c>
      <c r="C67" s="558" t="s">
        <v>66</v>
      </c>
      <c r="D67" s="558" t="s">
        <v>55</v>
      </c>
      <c r="E67" s="558" t="s">
        <v>660</v>
      </c>
      <c r="F67" s="558" t="s">
        <v>663</v>
      </c>
      <c r="G67" s="559">
        <v>0.01</v>
      </c>
      <c r="H67" s="559">
        <v>5.1570000000000001E-3</v>
      </c>
      <c r="I67" s="560">
        <v>0.4</v>
      </c>
      <c r="J67" s="561">
        <v>15</v>
      </c>
      <c r="K67" s="274"/>
      <c r="L67" s="274"/>
      <c r="M67" s="487">
        <f ca="1">IF('CDO Bespoke'!O68&lt;&gt;"",'CDO Bespoke'!O68,"")</f>
        <v>0.86545678446291996</v>
      </c>
      <c r="N67" s="488">
        <f ca="1">IF(M67&lt;&gt;"",ABS(MIN(-0.75*('CDO Bespoke'!Q68)+'CDO Bespoke'!T68,0)),"")</f>
        <v>0.86206836101572593</v>
      </c>
      <c r="O67" s="488">
        <f t="shared" ca="1" si="0"/>
        <v>3.3884234471940333E-3</v>
      </c>
      <c r="P67" s="488">
        <f t="shared" ca="1" si="1"/>
        <v>0</v>
      </c>
      <c r="Q67" s="487">
        <f ca="1">IF('CDO Bespoke'!O68&lt;&gt;"",'CDO Bespoke'!O68,"")</f>
        <v>0.86545678446291996</v>
      </c>
      <c r="R67" s="488">
        <f ca="1">IF(Q67&lt;&gt;"",ABS(MIN(-0.75*('CDO Bespoke'!K68)+'CDO Bespoke'!T68,0)),"")</f>
        <v>5.9828322020799823E-2</v>
      </c>
      <c r="S67" s="488">
        <f t="shared" ca="1" si="2"/>
        <v>0.80562846244212016</v>
      </c>
      <c r="T67" s="492">
        <f t="shared" ca="1" si="3"/>
        <v>0</v>
      </c>
      <c r="U67" s="274"/>
      <c r="V67" s="497" t="str">
        <f ca="1">IF('CDO Bespoke'!C92&lt;&gt;"",'CDO Bespoke'!C92,"")</f>
        <v>Nestle S.A.</v>
      </c>
      <c r="W67" s="499" cm="1">
        <f t="array" aca="1" ref="W67" ca="1">IF($V67&lt;&gt;"",-TRANSPOSE(INDEX(getcds('CDO Bespoke'!$C92,W$13,'CDO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X67" s="524" cm="1">
        <f t="array" aca="1" ref="X67" ca="1">IF($V67&lt;&gt;"",-TRANSPOSE(INDEX(getcds('CDO Bespoke'!$C92,X$13,'CDO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Y67" s="524" cm="1">
        <f t="array" aca="1" ref="Y67" ca="1">IF($V67&lt;&gt;"",-TRANSPOSE(INDEX(getcds('CDO Bespoke'!$C92,Y$13,'CDO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Z67" s="524" cm="1">
        <f t="array" aca="1" ref="Z67" ca="1">IF($V67&lt;&gt;"",-TRANSPOSE(INDEX(getcds('CDO Bespoke'!$C92,Z$13,'CDO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AA67" s="500" cm="1">
        <f t="array" aca="1" ref="AA67" ca="1">IF($V67&lt;&gt;"",-TRANSPOSE(INDEX(getcds('CDO Bespoke'!$C92,AA$13,'CDO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AB67" s="479"/>
      <c r="AC67" s="515"/>
      <c r="AD67" s="516"/>
      <c r="AE67" s="516"/>
      <c r="AF67" s="516"/>
      <c r="AG67" s="516"/>
      <c r="AH67" s="516"/>
      <c r="AI67" s="516"/>
      <c r="AJ67" s="516"/>
      <c r="AK67" s="516"/>
      <c r="AL67" s="517"/>
      <c r="AM67" s="534"/>
    </row>
    <row r="68" spans="2:39" ht="12" thickBot="1">
      <c r="B68" s="535" t="s">
        <v>519</v>
      </c>
      <c r="C68" s="536" t="s">
        <v>66</v>
      </c>
      <c r="D68" s="536" t="s">
        <v>57</v>
      </c>
      <c r="E68" s="536" t="s">
        <v>660</v>
      </c>
      <c r="F68" s="536" t="s">
        <v>663</v>
      </c>
      <c r="G68" s="543">
        <v>0.01</v>
      </c>
      <c r="H68" s="543">
        <v>9.7490000000000007E-3</v>
      </c>
      <c r="I68" s="545">
        <v>0.4</v>
      </c>
      <c r="J68" s="537">
        <v>15</v>
      </c>
      <c r="K68" s="274"/>
      <c r="L68" s="274"/>
      <c r="M68" s="487">
        <f ca="1">IF('CDO Bespoke'!O69&lt;&gt;"",'CDO Bespoke'!O69,"")</f>
        <v>0.86476450107725</v>
      </c>
      <c r="N68" s="488">
        <f ca="1">IF(M68&lt;&gt;"",ABS(MIN(-0.75*('CDO Bespoke'!Q69)+'CDO Bespoke'!T69,0)),"")</f>
        <v>0.86359263954287036</v>
      </c>
      <c r="O68" s="488">
        <f t="shared" ca="1" si="0"/>
        <v>1.1718615343796479E-3</v>
      </c>
      <c r="P68" s="488">
        <f t="shared" ca="1" si="1"/>
        <v>0</v>
      </c>
      <c r="Q68" s="487">
        <f ca="1">IF('CDO Bespoke'!O69&lt;&gt;"",'CDO Bespoke'!O69,"")</f>
        <v>0.86476450107725</v>
      </c>
      <c r="R68" s="488">
        <f ca="1">IF(Q68&lt;&gt;"",ABS(MIN(-0.75*('CDO Bespoke'!K69)+'CDO Bespoke'!T69,0)),"")</f>
        <v>8.1872337071037984E-2</v>
      </c>
      <c r="S68" s="488">
        <f t="shared" ca="1" si="2"/>
        <v>0.78289216400621198</v>
      </c>
      <c r="T68" s="492">
        <f t="shared" ca="1" si="3"/>
        <v>0</v>
      </c>
      <c r="U68" s="274"/>
      <c r="V68" s="497" t="str">
        <f ca="1">IF('CDO Bespoke'!C93&lt;&gt;"",'CDO Bespoke'!C93,"")</f>
        <v>NEXT PLC</v>
      </c>
      <c r="W68" s="499" cm="1">
        <f t="array" aca="1" ref="W68" ca="1">IF($V68&lt;&gt;"",-TRANSPOSE(INDEX(getcds('CDO Bespoke'!$C93,W$13,'CDO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X68" s="524" cm="1">
        <f t="array" aca="1" ref="X68" ca="1">IF($V68&lt;&gt;"",-TRANSPOSE(INDEX(getcds('CDO Bespoke'!$C93,X$13,'CDO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Y68" s="524" cm="1">
        <f t="array" aca="1" ref="Y68" ca="1">IF($V68&lt;&gt;"",-TRANSPOSE(INDEX(getcds('CDO Bespoke'!$C93,Y$13,'CDO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Z68" s="524" cm="1">
        <f t="array" aca="1" ref="Z68" ca="1">IF($V68&lt;&gt;"",-TRANSPOSE(INDEX(getcds('CDO Bespoke'!$C93,Z$13,'CDO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AA68" s="500" cm="1">
        <f t="array" aca="1" ref="AA68" ca="1">IF($V68&lt;&gt;"",-TRANSPOSE(INDEX(getcds('CDO Bespoke'!$C93,AA$13,'CDO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AB68" s="479"/>
      <c r="AC68" s="515"/>
      <c r="AD68" s="516"/>
      <c r="AE68" s="516"/>
      <c r="AF68" s="516"/>
      <c r="AG68" s="516"/>
      <c r="AH68" s="516"/>
      <c r="AI68" s="516"/>
      <c r="AJ68" s="516"/>
      <c r="AK68" s="516"/>
      <c r="AL68" s="517"/>
      <c r="AM68" s="534"/>
    </row>
    <row r="69" spans="2:39" ht="12" thickBot="1">
      <c r="B69" s="552" t="s">
        <v>519</v>
      </c>
      <c r="C69" s="553" t="s">
        <v>66</v>
      </c>
      <c r="D69" s="553" t="s">
        <v>59</v>
      </c>
      <c r="E69" s="553" t="s">
        <v>660</v>
      </c>
      <c r="F69" s="553" t="s">
        <v>663</v>
      </c>
      <c r="G69" s="554">
        <v>0.01</v>
      </c>
      <c r="H69" s="554">
        <v>1.2806E-2</v>
      </c>
      <c r="I69" s="555">
        <v>0.4</v>
      </c>
      <c r="J69" s="556">
        <v>15</v>
      </c>
      <c r="K69" s="274"/>
      <c r="L69" s="274"/>
      <c r="M69" s="487">
        <f ca="1">IF('CDO Bespoke'!O70&lt;&gt;"",'CDO Bespoke'!O70,"")</f>
        <v>0.86530200009979996</v>
      </c>
      <c r="N69" s="488">
        <f ca="1">IF(M69&lt;&gt;"",ABS(MIN(-0.75*('CDO Bespoke'!Q70)+'CDO Bespoke'!T70,0)),"")</f>
        <v>0.86250066410997739</v>
      </c>
      <c r="O69" s="488">
        <f t="shared" ca="1" si="0"/>
        <v>2.8013359898225731E-3</v>
      </c>
      <c r="P69" s="488">
        <f t="shared" ca="1" si="1"/>
        <v>0</v>
      </c>
      <c r="Q69" s="487">
        <f ca="1">IF('CDO Bespoke'!O70&lt;&gt;"",'CDO Bespoke'!O70,"")</f>
        <v>0.86530200009979996</v>
      </c>
      <c r="R69" s="488">
        <f ca="1">IF(Q69&lt;&gt;"",ABS(MIN(-0.75*('CDO Bespoke'!K70)+'CDO Bespoke'!T70,0)),"")</f>
        <v>6.6151212421858549E-2</v>
      </c>
      <c r="S69" s="488">
        <f t="shared" ca="1" si="2"/>
        <v>0.79915078767794145</v>
      </c>
      <c r="T69" s="492">
        <f t="shared" ca="1" si="3"/>
        <v>0</v>
      </c>
      <c r="U69" s="274"/>
      <c r="V69" s="497" t="str">
        <f ca="1">IF('CDO Bespoke'!C94&lt;&gt;"",'CDO Bespoke'!C94,"")</f>
        <v>PERNOD RICARD</v>
      </c>
      <c r="W69" s="499" cm="1">
        <f t="array" aca="1" ref="W69" ca="1">IF($V69&lt;&gt;"",-TRANSPOSE(INDEX(getcds('CDO Bespoke'!$C94,W$13,'CDO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X69" s="524" cm="1">
        <f t="array" aca="1" ref="X69" ca="1">IF($V69&lt;&gt;"",-TRANSPOSE(INDEX(getcds('CDO Bespoke'!$C94,X$13,'CDO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Y69" s="524" cm="1">
        <f t="array" aca="1" ref="Y69" ca="1">IF($V69&lt;&gt;"",-TRANSPOSE(INDEX(getcds('CDO Bespoke'!$C94,Y$13,'CDO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Z69" s="524" cm="1">
        <f t="array" aca="1" ref="Z69" ca="1">IF($V69&lt;&gt;"",-TRANSPOSE(INDEX(getcds('CDO Bespoke'!$C94,Z$13,'CDO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AA69" s="500" cm="1">
        <f t="array" aca="1" ref="AA69" ca="1">IF($V69&lt;&gt;"",-TRANSPOSE(INDEX(getcds('CDO Bespoke'!$C94,AA$13,'CDO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AB69" s="479"/>
      <c r="AC69" s="515"/>
      <c r="AD69" s="516"/>
      <c r="AE69" s="516"/>
      <c r="AF69" s="516"/>
      <c r="AG69" s="516"/>
      <c r="AH69" s="516"/>
      <c r="AI69" s="516"/>
      <c r="AJ69" s="516"/>
      <c r="AK69" s="516"/>
      <c r="AL69" s="517"/>
      <c r="AM69" s="534"/>
    </row>
    <row r="70" spans="2:39" ht="12" thickBot="1">
      <c r="B70" s="557" t="s">
        <v>535</v>
      </c>
      <c r="C70" s="558" t="s">
        <v>66</v>
      </c>
      <c r="D70" s="558" t="s">
        <v>55</v>
      </c>
      <c r="E70" s="558" t="s">
        <v>660</v>
      </c>
      <c r="F70" s="558" t="s">
        <v>661</v>
      </c>
      <c r="G70" s="559">
        <v>0.01</v>
      </c>
      <c r="H70" s="559">
        <v>5.1190000000000003E-3</v>
      </c>
      <c r="I70" s="560">
        <v>0.4</v>
      </c>
      <c r="J70" s="561">
        <v>16</v>
      </c>
      <c r="K70" s="274"/>
      <c r="L70" s="274"/>
      <c r="M70" s="487">
        <f ca="1">IF('CDO Bespoke'!O71&lt;&gt;"",'CDO Bespoke'!O71,"")</f>
        <v>0.86546393502508001</v>
      </c>
      <c r="N70" s="488">
        <f ca="1">IF(M70&lt;&gt;"",ABS(MIN(-0.75*('CDO Bespoke'!Q71)+'CDO Bespoke'!T71,0)),"")</f>
        <v>0.86208442118251116</v>
      </c>
      <c r="O70" s="488">
        <f t="shared" ca="1" si="0"/>
        <v>3.3795138425688487E-3</v>
      </c>
      <c r="P70" s="488">
        <f t="shared" ca="1" si="1"/>
        <v>0</v>
      </c>
      <c r="Q70" s="487">
        <f ca="1">IF('CDO Bespoke'!O71&lt;&gt;"",'CDO Bespoke'!O71,"")</f>
        <v>0.86546393502508001</v>
      </c>
      <c r="R70" s="488">
        <f ca="1">IF(Q70&lt;&gt;"",ABS(MIN(-0.75*('CDO Bespoke'!K71)+'CDO Bespoke'!T71,0)),"")</f>
        <v>5.9092979386268452E-2</v>
      </c>
      <c r="S70" s="488">
        <f t="shared" ca="1" si="2"/>
        <v>0.80637095563881156</v>
      </c>
      <c r="T70" s="492">
        <f t="shared" ca="1" si="3"/>
        <v>0</v>
      </c>
      <c r="U70" s="274"/>
      <c r="V70" s="497" t="str">
        <f ca="1">IF('CDO Bespoke'!C95&lt;&gt;"",'CDO Bespoke'!C95,"")</f>
        <v>SODEXO</v>
      </c>
      <c r="W70" s="499" cm="1">
        <f t="array" aca="1" ref="W70" ca="1">IF($V70&lt;&gt;"",-TRANSPOSE(INDEX(getcds('CDO Bespoke'!$C95,W$13,'CDO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X70" s="524" cm="1">
        <f t="array" aca="1" ref="X70" ca="1">IF($V70&lt;&gt;"",-TRANSPOSE(INDEX(getcds('CDO Bespoke'!$C95,X$13,'CDO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Y70" s="524" cm="1">
        <f t="array" aca="1" ref="Y70" ca="1">IF($V70&lt;&gt;"",-TRANSPOSE(INDEX(getcds('CDO Bespoke'!$C95,Y$13,'CDO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Z70" s="524" cm="1">
        <f t="array" aca="1" ref="Z70" ca="1">IF($V70&lt;&gt;"",-TRANSPOSE(INDEX(getcds('CDO Bespoke'!$C95,Z$13,'CDO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AA70" s="500" cm="1">
        <f t="array" aca="1" ref="AA70" ca="1">IF($V70&lt;&gt;"",-TRANSPOSE(INDEX(getcds('CDO Bespoke'!$C95,AA$13,'CDO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AB70" s="479"/>
      <c r="AC70" s="515"/>
      <c r="AD70" s="516"/>
      <c r="AE70" s="516"/>
      <c r="AF70" s="516"/>
      <c r="AG70" s="516"/>
      <c r="AH70" s="516"/>
      <c r="AI70" s="516"/>
      <c r="AJ70" s="516"/>
      <c r="AK70" s="516"/>
      <c r="AL70" s="517"/>
      <c r="AM70" s="534"/>
    </row>
    <row r="71" spans="2:39" ht="12" thickBot="1">
      <c r="B71" s="535" t="s">
        <v>535</v>
      </c>
      <c r="C71" s="536" t="s">
        <v>66</v>
      </c>
      <c r="D71" s="536" t="s">
        <v>57</v>
      </c>
      <c r="E71" s="536" t="s">
        <v>660</v>
      </c>
      <c r="F71" s="536" t="s">
        <v>661</v>
      </c>
      <c r="G71" s="543">
        <v>0.01</v>
      </c>
      <c r="H71" s="543">
        <v>1.0839E-2</v>
      </c>
      <c r="I71" s="545">
        <v>0.4</v>
      </c>
      <c r="J71" s="537">
        <v>16</v>
      </c>
      <c r="K71" s="274"/>
      <c r="L71" s="274"/>
      <c r="M71" s="487">
        <f ca="1">IF('CDO Bespoke'!O72&lt;&gt;"",'CDO Bespoke'!O72,"")</f>
        <v>0.86379235284820999</v>
      </c>
      <c r="N71" s="488">
        <f ca="1">IF(M71&lt;&gt;"",ABS(MIN(-0.75*('CDO Bespoke'!Q72)+'CDO Bespoke'!T72,0)),"")</f>
        <v>0.86484480504681205</v>
      </c>
      <c r="O71" s="488">
        <f t="shared" ca="1" si="0"/>
        <v>0</v>
      </c>
      <c r="P71" s="488">
        <f t="shared" ca="1" si="1"/>
        <v>0</v>
      </c>
      <c r="Q71" s="487">
        <f ca="1">IF('CDO Bespoke'!O72&lt;&gt;"",'CDO Bespoke'!O72,"")</f>
        <v>0.86379235284820999</v>
      </c>
      <c r="R71" s="488">
        <f ca="1">IF(Q71&lt;&gt;"",ABS(MIN(-0.75*('CDO Bespoke'!K72)+'CDO Bespoke'!T72,0)),"")</f>
        <v>0.1041638407482546</v>
      </c>
      <c r="S71" s="488">
        <f t="shared" ca="1" si="2"/>
        <v>0.75962851209995541</v>
      </c>
      <c r="T71" s="492">
        <f t="shared" ca="1" si="3"/>
        <v>0</v>
      </c>
      <c r="U71" s="274"/>
      <c r="V71" s="497" t="str">
        <f ca="1">IF('CDO Bespoke'!C96&lt;&gt;"",'CDO Bespoke'!C96,"")</f>
        <v>Suedzucker AG</v>
      </c>
      <c r="W71" s="499" cm="1">
        <f t="array" aca="1" ref="W71" ca="1">IF($V71&lt;&gt;"",-TRANSPOSE(INDEX(getcds('CDO Bespoke'!$C96,W$13,'CDO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X71" s="524" cm="1">
        <f t="array" aca="1" ref="X71" ca="1">IF($V71&lt;&gt;"",-TRANSPOSE(INDEX(getcds('CDO Bespoke'!$C96,X$13,'CDO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Y71" s="524" cm="1">
        <f t="array" aca="1" ref="Y71" ca="1">IF($V71&lt;&gt;"",-TRANSPOSE(INDEX(getcds('CDO Bespoke'!$C96,Y$13,'CDO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Z71" s="524" cm="1">
        <f t="array" aca="1" ref="Z71" ca="1">IF($V71&lt;&gt;"",-TRANSPOSE(INDEX(getcds('CDO Bespoke'!$C96,Z$13,'CDO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AA71" s="500" cm="1">
        <f t="array" aca="1" ref="AA71" ca="1">IF($V71&lt;&gt;"",-TRANSPOSE(INDEX(getcds('CDO Bespoke'!$C96,AA$13,'CDO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AB71" s="479"/>
      <c r="AC71" s="515"/>
      <c r="AD71" s="516"/>
      <c r="AE71" s="516"/>
      <c r="AF71" s="516"/>
      <c r="AG71" s="516"/>
      <c r="AH71" s="516"/>
      <c r="AI71" s="516"/>
      <c r="AJ71" s="516"/>
      <c r="AK71" s="516"/>
      <c r="AL71" s="517"/>
      <c r="AM71" s="534"/>
    </row>
    <row r="72" spans="2:39" ht="12" thickBot="1">
      <c r="B72" s="552" t="s">
        <v>535</v>
      </c>
      <c r="C72" s="553" t="s">
        <v>66</v>
      </c>
      <c r="D72" s="553" t="s">
        <v>59</v>
      </c>
      <c r="E72" s="553" t="s">
        <v>660</v>
      </c>
      <c r="F72" s="553" t="s">
        <v>661</v>
      </c>
      <c r="G72" s="554">
        <v>0.01</v>
      </c>
      <c r="H72" s="554">
        <v>1.6057999999999999E-2</v>
      </c>
      <c r="I72" s="555">
        <v>0.4</v>
      </c>
      <c r="J72" s="556">
        <v>16</v>
      </c>
      <c r="K72" s="274"/>
      <c r="L72" s="274"/>
      <c r="M72" s="487">
        <f ca="1">IF('CDO Bespoke'!O73&lt;&gt;"",'CDO Bespoke'!O73,"")</f>
        <v>0.86470812973335998</v>
      </c>
      <c r="N72" s="488">
        <f ca="1">IF(M72&lt;&gt;"",ABS(MIN(-0.75*('CDO Bespoke'!Q73)+'CDO Bespoke'!T73,0)),"")</f>
        <v>0.86363293763977766</v>
      </c>
      <c r="O72" s="488">
        <f t="shared" ca="1" si="0"/>
        <v>1.0751920935823112E-3</v>
      </c>
      <c r="P72" s="488">
        <f t="shared" ca="1" si="1"/>
        <v>0</v>
      </c>
      <c r="Q72" s="487">
        <f ca="1">IF('CDO Bespoke'!O73&lt;&gt;"",'CDO Bespoke'!O73,"")</f>
        <v>0.86470812973335998</v>
      </c>
      <c r="R72" s="488">
        <f ca="1">IF(Q72&lt;&gt;"",ABS(MIN(-0.75*('CDO Bespoke'!K73)+'CDO Bespoke'!T73,0)),"")</f>
        <v>8.4061612175795608E-2</v>
      </c>
      <c r="S72" s="488">
        <f t="shared" ca="1" si="2"/>
        <v>0.78064651755756431</v>
      </c>
      <c r="T72" s="492">
        <f t="shared" ca="1" si="3"/>
        <v>0</v>
      </c>
      <c r="U72" s="274"/>
      <c r="V72" s="497" t="str">
        <f ca="1">IF('CDO Bespoke'!C97&lt;&gt;"",'CDO Bespoke'!C97,"")</f>
        <v>TESCO PLC</v>
      </c>
      <c r="W72" s="499" cm="1">
        <f t="array" aca="1" ref="W72" ca="1">IF($V72&lt;&gt;"",-TRANSPOSE(INDEX(getcds('CDO Bespoke'!$C97,W$13,'CDO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X72" s="524" cm="1">
        <f t="array" aca="1" ref="X72" ca="1">IF($V72&lt;&gt;"",-TRANSPOSE(INDEX(getcds('CDO Bespoke'!$C97,X$13,'CDO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Y72" s="524" cm="1">
        <f t="array" aca="1" ref="Y72" ca="1">IF($V72&lt;&gt;"",-TRANSPOSE(INDEX(getcds('CDO Bespoke'!$C97,Y$13,'CDO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Z72" s="524" cm="1">
        <f t="array" aca="1" ref="Z72" ca="1">IF($V72&lt;&gt;"",-TRANSPOSE(INDEX(getcds('CDO Bespoke'!$C97,Z$13,'CDO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AA72" s="500" cm="1">
        <f t="array" aca="1" ref="AA72" ca="1">IF($V72&lt;&gt;"",-TRANSPOSE(INDEX(getcds('CDO Bespoke'!$C97,AA$13,'CDO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AB72" s="479"/>
      <c r="AC72" s="515"/>
      <c r="AD72" s="516"/>
      <c r="AE72" s="516"/>
      <c r="AF72" s="516"/>
      <c r="AG72" s="516"/>
      <c r="AH72" s="516"/>
      <c r="AI72" s="516"/>
      <c r="AJ72" s="516"/>
      <c r="AK72" s="516"/>
      <c r="AL72" s="517"/>
      <c r="AM72" s="534"/>
    </row>
    <row r="73" spans="2:39" ht="12" thickBot="1">
      <c r="B73" s="557" t="s">
        <v>521</v>
      </c>
      <c r="C73" s="558" t="s">
        <v>66</v>
      </c>
      <c r="D73" s="558" t="s">
        <v>55</v>
      </c>
      <c r="E73" s="558" t="s">
        <v>658</v>
      </c>
      <c r="F73" s="558" t="s">
        <v>662</v>
      </c>
      <c r="G73" s="559">
        <v>0.01</v>
      </c>
      <c r="H73" s="559">
        <v>1.5269999999999999E-3</v>
      </c>
      <c r="I73" s="560">
        <v>0.4</v>
      </c>
      <c r="J73" s="561">
        <v>17</v>
      </c>
      <c r="K73" s="274"/>
      <c r="L73" s="274"/>
      <c r="M73" s="487">
        <f ca="1">IF('CDO Bespoke'!O74&lt;&gt;"",'CDO Bespoke'!O74,"")</f>
        <v>0.86547374422130996</v>
      </c>
      <c r="N73" s="488">
        <f ca="1">IF(M73&lt;&gt;"",ABS(MIN(-0.75*('CDO Bespoke'!Q74)+'CDO Bespoke'!T74,0)),"")</f>
        <v>0.86201942173952906</v>
      </c>
      <c r="O73" s="488">
        <f t="shared" ca="1" si="0"/>
        <v>3.4543224817809026E-3</v>
      </c>
      <c r="P73" s="488">
        <f t="shared" ca="1" si="1"/>
        <v>0</v>
      </c>
      <c r="Q73" s="487">
        <f ca="1">IF('CDO Bespoke'!O74&lt;&gt;"",'CDO Bespoke'!O74,"")</f>
        <v>0.86547374422130996</v>
      </c>
      <c r="R73" s="488">
        <f ca="1">IF(Q73&lt;&gt;"",ABS(MIN(-0.75*('CDO Bespoke'!K74)+'CDO Bespoke'!T74,0)),"")</f>
        <v>5.901051788296665E-2</v>
      </c>
      <c r="S73" s="488">
        <f t="shared" ca="1" si="2"/>
        <v>0.80646322633834333</v>
      </c>
      <c r="T73" s="492">
        <f t="shared" ca="1" si="3"/>
        <v>0</v>
      </c>
      <c r="U73" s="274"/>
      <c r="V73" s="497" t="str">
        <f ca="1">IF('CDO Bespoke'!C98&lt;&gt;"",'CDO Bespoke'!C98,"")</f>
        <v>UNILEVER PLC</v>
      </c>
      <c r="W73" s="499" cm="1">
        <f t="array" aca="1" ref="W73" ca="1">IF($V73&lt;&gt;"",-TRANSPOSE(INDEX(getcds('CDO Bespoke'!$C98,W$13,'CDO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X73" s="524" cm="1">
        <f t="array" aca="1" ref="X73" ca="1">IF($V73&lt;&gt;"",-TRANSPOSE(INDEX(getcds('CDO Bespoke'!$C98,X$13,'CDO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Y73" s="524" cm="1">
        <f t="array" aca="1" ref="Y73" ca="1">IF($V73&lt;&gt;"",-TRANSPOSE(INDEX(getcds('CDO Bespoke'!$C98,Y$13,'CDO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Z73" s="524" cm="1">
        <f t="array" aca="1" ref="Z73" ca="1">IF($V73&lt;&gt;"",-TRANSPOSE(INDEX(getcds('CDO Bespoke'!$C98,Z$13,'CDO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AA73" s="500" cm="1">
        <f t="array" aca="1" ref="AA73" ca="1">IF($V73&lt;&gt;"",-TRANSPOSE(INDEX(getcds('CDO Bespoke'!$C98,AA$13,'CDO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AB73" s="479"/>
      <c r="AC73" s="515"/>
      <c r="AD73" s="516"/>
      <c r="AE73" s="516"/>
      <c r="AF73" s="516"/>
      <c r="AG73" s="516"/>
      <c r="AH73" s="516"/>
      <c r="AI73" s="516"/>
      <c r="AJ73" s="516"/>
      <c r="AK73" s="516"/>
      <c r="AL73" s="517"/>
      <c r="AM73" s="534"/>
    </row>
    <row r="74" spans="2:39" ht="12" thickBot="1">
      <c r="B74" s="535" t="s">
        <v>521</v>
      </c>
      <c r="C74" s="536" t="s">
        <v>66</v>
      </c>
      <c r="D74" s="536" t="s">
        <v>57</v>
      </c>
      <c r="E74" s="536" t="s">
        <v>658</v>
      </c>
      <c r="F74" s="536" t="s">
        <v>662</v>
      </c>
      <c r="G74" s="543">
        <v>0.01</v>
      </c>
      <c r="H74" s="543">
        <v>2.49E-3</v>
      </c>
      <c r="I74" s="545">
        <v>0.4</v>
      </c>
      <c r="J74" s="537">
        <v>17</v>
      </c>
      <c r="K74" s="274"/>
      <c r="L74" s="274"/>
      <c r="M74" s="487">
        <f ca="1">IF('CDO Bespoke'!O75&lt;&gt;"",'CDO Bespoke'!O75,"")</f>
        <v>0.86478278003672004</v>
      </c>
      <c r="N74" s="488">
        <f ca="1">IF(M74&lt;&gt;"",ABS(MIN(-0.75*('CDO Bespoke'!Q75)+'CDO Bespoke'!T75,0)),"")</f>
        <v>0.86352130816847472</v>
      </c>
      <c r="O74" s="488">
        <f t="shared" ca="1" si="0"/>
        <v>1.261471868245323E-3</v>
      </c>
      <c r="P74" s="488">
        <f t="shared" ca="1" si="1"/>
        <v>0</v>
      </c>
      <c r="Q74" s="487">
        <f ca="1">IF('CDO Bespoke'!O75&lt;&gt;"",'CDO Bespoke'!O75,"")</f>
        <v>0.86478278003672004</v>
      </c>
      <c r="R74" s="488">
        <f ca="1">IF(Q74&lt;&gt;"",ABS(MIN(-0.75*('CDO Bespoke'!K75)+'CDO Bespoke'!T75,0)),"")</f>
        <v>8.2084713094141754E-2</v>
      </c>
      <c r="S74" s="488">
        <f t="shared" ca="1" si="2"/>
        <v>0.78269806694257826</v>
      </c>
      <c r="T74" s="492">
        <f t="shared" ca="1" si="3"/>
        <v>0</v>
      </c>
      <c r="U74" s="274"/>
      <c r="V74" s="497" t="str">
        <f ca="1">IF('CDO Bespoke'!C99&lt;&gt;"",'CDO Bespoke'!C99,"")</f>
        <v>BP P.L.C.</v>
      </c>
      <c r="W74" s="499" cm="1">
        <f t="array" aca="1" ref="W74" ca="1">IF($V74&lt;&gt;"",-TRANSPOSE(INDEX(getcds('CDO Bespoke'!$C99,W$13,'CDO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X74" s="524" cm="1">
        <f t="array" aca="1" ref="X74" ca="1">IF($V74&lt;&gt;"",-TRANSPOSE(INDEX(getcds('CDO Bespoke'!$C99,X$13,'CDO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Y74" s="524" cm="1">
        <f t="array" aca="1" ref="Y74" ca="1">IF($V74&lt;&gt;"",-TRANSPOSE(INDEX(getcds('CDO Bespoke'!$C99,Y$13,'CDO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Z74" s="524" cm="1">
        <f t="array" aca="1" ref="Z74" ca="1">IF($V74&lt;&gt;"",-TRANSPOSE(INDEX(getcds('CDO Bespoke'!$C99,Z$13,'CDO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AA74" s="500" cm="1">
        <f t="array" aca="1" ref="AA74" ca="1">IF($V74&lt;&gt;"",-TRANSPOSE(INDEX(getcds('CDO Bespoke'!$C99,AA$13,'CDO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AB74" s="479"/>
      <c r="AC74" s="515"/>
      <c r="AD74" s="516"/>
      <c r="AE74" s="516"/>
      <c r="AF74" s="516"/>
      <c r="AG74" s="516"/>
      <c r="AH74" s="516"/>
      <c r="AI74" s="516"/>
      <c r="AJ74" s="516"/>
      <c r="AK74" s="516"/>
      <c r="AL74" s="517"/>
      <c r="AM74" s="534"/>
    </row>
    <row r="75" spans="2:39" ht="12" thickBot="1">
      <c r="B75" s="552" t="s">
        <v>521</v>
      </c>
      <c r="C75" s="553" t="s">
        <v>66</v>
      </c>
      <c r="D75" s="553" t="s">
        <v>59</v>
      </c>
      <c r="E75" s="553" t="s">
        <v>658</v>
      </c>
      <c r="F75" s="553" t="s">
        <v>662</v>
      </c>
      <c r="G75" s="554">
        <v>0.01</v>
      </c>
      <c r="H75" s="554">
        <v>3.63E-3</v>
      </c>
      <c r="I75" s="555">
        <v>0.4</v>
      </c>
      <c r="J75" s="556">
        <v>17</v>
      </c>
      <c r="K75" s="274"/>
      <c r="L75" s="274"/>
      <c r="M75" s="487">
        <f ca="1">IF('CDO Bespoke'!O76&lt;&gt;"",'CDO Bespoke'!O76,"")</f>
        <v>0.86424768802882002</v>
      </c>
      <c r="N75" s="488">
        <f ca="1">IF(M75&lt;&gt;"",ABS(MIN(-0.75*('CDO Bespoke'!Q76)+'CDO Bespoke'!T76,0)),"")</f>
        <v>0.86429000668044487</v>
      </c>
      <c r="O75" s="488">
        <f t="shared" ca="1" si="0"/>
        <v>0</v>
      </c>
      <c r="P75" s="488">
        <f t="shared" ca="1" si="1"/>
        <v>0</v>
      </c>
      <c r="Q75" s="487">
        <f ca="1">IF('CDO Bespoke'!O76&lt;&gt;"",'CDO Bespoke'!O76,"")</f>
        <v>0.86424768802882002</v>
      </c>
      <c r="R75" s="488">
        <f ca="1">IF(Q75&lt;&gt;"",ABS(MIN(-0.75*('CDO Bespoke'!K76)+'CDO Bespoke'!T76,0)),"")</f>
        <v>9.4933548217870062E-2</v>
      </c>
      <c r="S75" s="488">
        <f t="shared" ca="1" si="2"/>
        <v>0.76931413981094998</v>
      </c>
      <c r="T75" s="492">
        <f t="shared" ca="1" si="3"/>
        <v>0</v>
      </c>
      <c r="U75" s="274"/>
      <c r="V75" s="497" t="str">
        <f ca="1">IF('CDO Bespoke'!C100&lt;&gt;"",'CDO Bespoke'!C100,"")</f>
        <v>Centrica plc</v>
      </c>
      <c r="W75" s="499" cm="1">
        <f t="array" aca="1" ref="W75" ca="1">IF($V75&lt;&gt;"",-TRANSPOSE(INDEX(getcds('CDO Bespoke'!$C100,W$13,'CDO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X75" s="524" cm="1">
        <f t="array" aca="1" ref="X75" ca="1">IF($V75&lt;&gt;"",-TRANSPOSE(INDEX(getcds('CDO Bespoke'!$C100,X$13,'CDO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Y75" s="524" cm="1">
        <f t="array" aca="1" ref="Y75" ca="1">IF($V75&lt;&gt;"",-TRANSPOSE(INDEX(getcds('CDO Bespoke'!$C100,Y$13,'CDO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Z75" s="524" cm="1">
        <f t="array" aca="1" ref="Z75" ca="1">IF($V75&lt;&gt;"",-TRANSPOSE(INDEX(getcds('CDO Bespoke'!$C100,Z$13,'CDO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AA75" s="500" cm="1">
        <f t="array" aca="1" ref="AA75" ca="1">IF($V75&lt;&gt;"",-TRANSPOSE(INDEX(getcds('CDO Bespoke'!$C100,AA$13,'CDO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AB75" s="479"/>
      <c r="AC75" s="515"/>
      <c r="AD75" s="516"/>
      <c r="AE75" s="516"/>
      <c r="AF75" s="516"/>
      <c r="AG75" s="516"/>
      <c r="AH75" s="516"/>
      <c r="AI75" s="516"/>
      <c r="AJ75" s="516"/>
      <c r="AK75" s="516"/>
      <c r="AL75" s="517"/>
      <c r="AM75" s="534"/>
    </row>
    <row r="76" spans="2:39" ht="12" thickBot="1">
      <c r="B76" s="557" t="s">
        <v>536</v>
      </c>
      <c r="C76" s="558" t="s">
        <v>66</v>
      </c>
      <c r="D76" s="558" t="s">
        <v>55</v>
      </c>
      <c r="E76" s="558" t="s">
        <v>660</v>
      </c>
      <c r="F76" s="558" t="s">
        <v>659</v>
      </c>
      <c r="G76" s="559">
        <v>0.01</v>
      </c>
      <c r="H76" s="559">
        <v>5.0749999999999997E-3</v>
      </c>
      <c r="I76" s="560">
        <v>0.4</v>
      </c>
      <c r="J76" s="561">
        <v>18</v>
      </c>
      <c r="K76" s="274"/>
      <c r="L76" s="274"/>
      <c r="M76" s="487">
        <f ca="1">IF('CDO Bespoke'!O77&lt;&gt;"",'CDO Bespoke'!O77,"")</f>
        <v>0.86514532962950996</v>
      </c>
      <c r="N76" s="488">
        <f ca="1">IF(M76&lt;&gt;"",ABS(MIN(-0.75*('CDO Bespoke'!Q77)+'CDO Bespoke'!T77,0)),"")</f>
        <v>0.86286635490350627</v>
      </c>
      <c r="O76" s="488">
        <f t="shared" ca="1" si="0"/>
        <v>2.2789747260036908E-3</v>
      </c>
      <c r="P76" s="488">
        <f t="shared" ca="1" si="1"/>
        <v>0</v>
      </c>
      <c r="Q76" s="487">
        <f ca="1">IF('CDO Bespoke'!O77&lt;&gt;"",'CDO Bespoke'!O77,"")</f>
        <v>0.86514532962950996</v>
      </c>
      <c r="R76" s="488">
        <f ca="1">IF(Q76&lt;&gt;"",ABS(MIN(-0.75*('CDO Bespoke'!K77)+'CDO Bespoke'!T77,0)),"")</f>
        <v>7.1435953064430041E-2</v>
      </c>
      <c r="S76" s="488">
        <f t="shared" ca="1" si="2"/>
        <v>0.79370937656507989</v>
      </c>
      <c r="T76" s="492">
        <f t="shared" ca="1" si="3"/>
        <v>0</v>
      </c>
      <c r="U76" s="274"/>
      <c r="V76" s="497" t="str">
        <f ca="1">IF('CDO Bespoke'!C101&lt;&gt;"",'CDO Bespoke'!C101,"")</f>
        <v>E.ON SE</v>
      </c>
      <c r="W76" s="499" cm="1">
        <f t="array" aca="1" ref="W76" ca="1">IF($V76&lt;&gt;"",-TRANSPOSE(INDEX(getcds('CDO Bespoke'!$C101,W$13,'CDO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X76" s="524" cm="1">
        <f t="array" aca="1" ref="X76" ca="1">IF($V76&lt;&gt;"",-TRANSPOSE(INDEX(getcds('CDO Bespoke'!$C101,X$13,'CDO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Y76" s="524" cm="1">
        <f t="array" aca="1" ref="Y76" ca="1">IF($V76&lt;&gt;"",-TRANSPOSE(INDEX(getcds('CDO Bespoke'!$C101,Y$13,'CDO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Z76" s="524" cm="1">
        <f t="array" aca="1" ref="Z76" ca="1">IF($V76&lt;&gt;"",-TRANSPOSE(INDEX(getcds('CDO Bespoke'!$C101,Z$13,'CDO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AA76" s="500" cm="1">
        <f t="array" aca="1" ref="AA76" ca="1">IF($V76&lt;&gt;"",-TRANSPOSE(INDEX(getcds('CDO Bespoke'!$C101,AA$13,'CDO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AB76" s="479"/>
      <c r="AC76" s="515"/>
      <c r="AD76" s="516"/>
      <c r="AE76" s="516"/>
      <c r="AF76" s="516"/>
      <c r="AG76" s="516"/>
      <c r="AH76" s="516"/>
      <c r="AI76" s="516"/>
      <c r="AJ76" s="516"/>
      <c r="AK76" s="516"/>
      <c r="AL76" s="517"/>
      <c r="AM76" s="534"/>
    </row>
    <row r="77" spans="2:39" ht="12" thickBot="1">
      <c r="B77" s="535" t="s">
        <v>536</v>
      </c>
      <c r="C77" s="536" t="s">
        <v>66</v>
      </c>
      <c r="D77" s="536" t="s">
        <v>57</v>
      </c>
      <c r="E77" s="536" t="s">
        <v>660</v>
      </c>
      <c r="F77" s="536" t="s">
        <v>659</v>
      </c>
      <c r="G77" s="543">
        <v>0.01</v>
      </c>
      <c r="H77" s="543">
        <v>8.8369999999999994E-3</v>
      </c>
      <c r="I77" s="545">
        <v>0.4</v>
      </c>
      <c r="J77" s="537">
        <v>18</v>
      </c>
      <c r="K77" s="274"/>
      <c r="L77" s="274"/>
      <c r="M77" s="487">
        <f ca="1">IF('CDO Bespoke'!O78&lt;&gt;"",'CDO Bespoke'!O78,"")</f>
        <v>0.86443499416403002</v>
      </c>
      <c r="N77" s="488">
        <f ca="1">IF(M77&lt;&gt;"",ABS(MIN(-0.75*('CDO Bespoke'!Q78)+'CDO Bespoke'!T78,0)),"")</f>
        <v>0.8639684434761471</v>
      </c>
      <c r="O77" s="488">
        <f t="shared" ca="1" si="0"/>
        <v>4.6655068788292731E-4</v>
      </c>
      <c r="P77" s="488">
        <f t="shared" ca="1" si="1"/>
        <v>0</v>
      </c>
      <c r="Q77" s="487">
        <f ca="1">IF('CDO Bespoke'!O78&lt;&gt;"",'CDO Bespoke'!O78,"")</f>
        <v>0.86443499416403002</v>
      </c>
      <c r="R77" s="488">
        <f ca="1">IF(Q77&lt;&gt;"",ABS(MIN(-0.75*('CDO Bespoke'!K78)+'CDO Bespoke'!T78,0)),"")</f>
        <v>9.1081946409960701E-2</v>
      </c>
      <c r="S77" s="488">
        <f t="shared" ca="1" si="2"/>
        <v>0.77335304775406932</v>
      </c>
      <c r="T77" s="492">
        <f t="shared" ca="1" si="3"/>
        <v>0</v>
      </c>
      <c r="U77" s="274"/>
      <c r="V77" s="497" t="str">
        <f ca="1">IF('CDO Bespoke'!C102&lt;&gt;"",'CDO Bespoke'!C102,"")</f>
        <v>EDP - ENERGIAS DE PORTUGAL S.A.</v>
      </c>
      <c r="W77" s="499" cm="1">
        <f t="array" aca="1" ref="W77" ca="1">IF($V77&lt;&gt;"",-TRANSPOSE(INDEX(getcds('CDO Bespoke'!$C102,W$13,'CDO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X77" s="524" cm="1">
        <f t="array" aca="1" ref="X77" ca="1">IF($V77&lt;&gt;"",-TRANSPOSE(INDEX(getcds('CDO Bespoke'!$C102,X$13,'CDO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Y77" s="524" cm="1">
        <f t="array" aca="1" ref="Y77" ca="1">IF($V77&lt;&gt;"",-TRANSPOSE(INDEX(getcds('CDO Bespoke'!$C102,Y$13,'CDO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Z77" s="524" cm="1">
        <f t="array" aca="1" ref="Z77" ca="1">IF($V77&lt;&gt;"",-TRANSPOSE(INDEX(getcds('CDO Bespoke'!$C102,Z$13,'CDO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AA77" s="500" cm="1">
        <f t="array" aca="1" ref="AA77" ca="1">IF($V77&lt;&gt;"",-TRANSPOSE(INDEX(getcds('CDO Bespoke'!$C102,AA$13,'CDO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AB77" s="479"/>
      <c r="AC77" s="515"/>
      <c r="AD77" s="516"/>
      <c r="AE77" s="516"/>
      <c r="AF77" s="516"/>
      <c r="AG77" s="516"/>
      <c r="AH77" s="516"/>
      <c r="AI77" s="516"/>
      <c r="AJ77" s="516"/>
      <c r="AK77" s="516"/>
      <c r="AL77" s="517"/>
      <c r="AM77" s="534"/>
    </row>
    <row r="78" spans="2:39" ht="12" thickBot="1">
      <c r="B78" s="552" t="s">
        <v>536</v>
      </c>
      <c r="C78" s="553" t="s">
        <v>66</v>
      </c>
      <c r="D78" s="553" t="s">
        <v>59</v>
      </c>
      <c r="E78" s="553" t="s">
        <v>660</v>
      </c>
      <c r="F78" s="553" t="s">
        <v>659</v>
      </c>
      <c r="G78" s="554">
        <v>0.01</v>
      </c>
      <c r="H78" s="554">
        <v>1.3018E-2</v>
      </c>
      <c r="I78" s="555">
        <v>0.4</v>
      </c>
      <c r="J78" s="556">
        <v>18</v>
      </c>
      <c r="K78" s="274"/>
      <c r="L78" s="274"/>
      <c r="M78" s="487">
        <f ca="1">IF('CDO Bespoke'!O79&lt;&gt;"",'CDO Bespoke'!O79,"")</f>
        <v>0.86409398890350997</v>
      </c>
      <c r="N78" s="488">
        <f ca="1">IF(M78&lt;&gt;"",ABS(MIN(-0.75*('CDO Bespoke'!Q79)+'CDO Bespoke'!T79,0)),"")</f>
        <v>0.86445569681261047</v>
      </c>
      <c r="O78" s="488">
        <f t="shared" ca="1" si="0"/>
        <v>0</v>
      </c>
      <c r="P78" s="488">
        <f t="shared" ca="1" si="1"/>
        <v>0</v>
      </c>
      <c r="Q78" s="487">
        <f ca="1">IF('CDO Bespoke'!O79&lt;&gt;"",'CDO Bespoke'!O79,"")</f>
        <v>0.86409398890350997</v>
      </c>
      <c r="R78" s="488">
        <f ca="1">IF(Q78&lt;&gt;"",ABS(MIN(-0.75*('CDO Bespoke'!K79)+'CDO Bespoke'!T79,0)),"")</f>
        <v>9.8357948690386651E-2</v>
      </c>
      <c r="S78" s="488">
        <f t="shared" ca="1" si="2"/>
        <v>0.76573604021312336</v>
      </c>
      <c r="T78" s="492">
        <f t="shared" ca="1" si="3"/>
        <v>0</v>
      </c>
      <c r="U78" s="274"/>
      <c r="V78" s="497" t="str">
        <f ca="1">IF('CDO Bespoke'!C103&lt;&gt;"",'CDO Bespoke'!C103,"")</f>
        <v>Electricite de France</v>
      </c>
      <c r="W78" s="499" cm="1">
        <f t="array" aca="1" ref="W78" ca="1">IF($V78&lt;&gt;"",-TRANSPOSE(INDEX(getcds('CDO Bespoke'!$C103,W$13,'CDO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X78" s="524" cm="1">
        <f t="array" aca="1" ref="X78" ca="1">IF($V78&lt;&gt;"",-TRANSPOSE(INDEX(getcds('CDO Bespoke'!$C103,X$13,'CDO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Y78" s="524" cm="1">
        <f t="array" aca="1" ref="Y78" ca="1">IF($V78&lt;&gt;"",-TRANSPOSE(INDEX(getcds('CDO Bespoke'!$C103,Y$13,'CDO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Z78" s="524" cm="1">
        <f t="array" aca="1" ref="Z78" ca="1">IF($V78&lt;&gt;"",-TRANSPOSE(INDEX(getcds('CDO Bespoke'!$C103,Z$13,'CDO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AA78" s="500" cm="1">
        <f t="array" aca="1" ref="AA78" ca="1">IF($V78&lt;&gt;"",-TRANSPOSE(INDEX(getcds('CDO Bespoke'!$C103,AA$13,'CDO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AB78" s="479"/>
      <c r="AC78" s="515"/>
      <c r="AD78" s="516"/>
      <c r="AE78" s="516"/>
      <c r="AF78" s="516"/>
      <c r="AG78" s="516"/>
      <c r="AH78" s="516"/>
      <c r="AI78" s="516"/>
      <c r="AJ78" s="516"/>
      <c r="AK78" s="516"/>
      <c r="AL78" s="517"/>
      <c r="AM78" s="534"/>
    </row>
    <row r="79" spans="2:39" ht="12" thickBot="1">
      <c r="B79" s="557" t="s">
        <v>537</v>
      </c>
      <c r="C79" s="558" t="s">
        <v>66</v>
      </c>
      <c r="D79" s="558" t="s">
        <v>55</v>
      </c>
      <c r="E79" s="558" t="s">
        <v>660</v>
      </c>
      <c r="F79" s="558" t="s">
        <v>659</v>
      </c>
      <c r="G79" s="559">
        <v>0.01</v>
      </c>
      <c r="H79" s="559">
        <v>4.0559999999999997E-3</v>
      </c>
      <c r="I79" s="560">
        <v>0.4</v>
      </c>
      <c r="J79" s="561">
        <v>19</v>
      </c>
      <c r="K79" s="274"/>
      <c r="L79" s="274"/>
      <c r="M79" s="487">
        <f ca="1">IF('CDO Bespoke'!O80&lt;&gt;"",'CDO Bespoke'!O80,"")</f>
        <v>0.86417996807993003</v>
      </c>
      <c r="N79" s="488">
        <f ca="1">IF(M79&lt;&gt;"",ABS(MIN(-0.75*('CDO Bespoke'!Q80)+'CDO Bespoke'!T80,0)),"")</f>
        <v>0.86440237506426054</v>
      </c>
      <c r="O79" s="488">
        <f t="shared" ca="1" si="0"/>
        <v>0</v>
      </c>
      <c r="P79" s="488">
        <f t="shared" ca="1" si="1"/>
        <v>0</v>
      </c>
      <c r="Q79" s="487">
        <f ca="1">IF('CDO Bespoke'!O80&lt;&gt;"",'CDO Bespoke'!O80,"")</f>
        <v>0.86417996807993003</v>
      </c>
      <c r="R79" s="488">
        <f ca="1">IF(Q79&lt;&gt;"",ABS(MIN(-0.75*('CDO Bespoke'!K80)+'CDO Bespoke'!T80,0)),"")</f>
        <v>9.6090469431124245E-2</v>
      </c>
      <c r="S79" s="488">
        <f t="shared" ca="1" si="2"/>
        <v>0.76808949864880582</v>
      </c>
      <c r="T79" s="492">
        <f t="shared" ca="1" si="3"/>
        <v>0</v>
      </c>
      <c r="U79" s="274"/>
      <c r="V79" s="497" t="str">
        <f ca="1">IF('CDO Bespoke'!C104&lt;&gt;"",'CDO Bespoke'!C104,"")</f>
        <v>ENEL S.P.A.</v>
      </c>
      <c r="W79" s="499" cm="1">
        <f t="array" aca="1" ref="W79" ca="1">IF($V79&lt;&gt;"",-TRANSPOSE(INDEX(getcds('CDO Bespoke'!$C104,W$13,'CDO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X79" s="524" cm="1">
        <f t="array" aca="1" ref="X79" ca="1">IF($V79&lt;&gt;"",-TRANSPOSE(INDEX(getcds('CDO Bespoke'!$C104,X$13,'CDO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Y79" s="524" cm="1">
        <f t="array" aca="1" ref="Y79" ca="1">IF($V79&lt;&gt;"",-TRANSPOSE(INDEX(getcds('CDO Bespoke'!$C104,Y$13,'CDO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Z79" s="524" cm="1">
        <f t="array" aca="1" ref="Z79" ca="1">IF($V79&lt;&gt;"",-TRANSPOSE(INDEX(getcds('CDO Bespoke'!$C104,Z$13,'CDO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AA79" s="500" cm="1">
        <f t="array" aca="1" ref="AA79" ca="1">IF($V79&lt;&gt;"",-TRANSPOSE(INDEX(getcds('CDO Bespoke'!$C104,AA$13,'CDO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AB79" s="479"/>
      <c r="AC79" s="515"/>
      <c r="AD79" s="516"/>
      <c r="AE79" s="516"/>
      <c r="AF79" s="516"/>
      <c r="AG79" s="516"/>
      <c r="AH79" s="516"/>
      <c r="AI79" s="516"/>
      <c r="AJ79" s="516"/>
      <c r="AK79" s="516"/>
      <c r="AL79" s="517"/>
      <c r="AM79" s="534"/>
    </row>
    <row r="80" spans="2:39" ht="12" thickBot="1">
      <c r="B80" s="535" t="s">
        <v>537</v>
      </c>
      <c r="C80" s="536" t="s">
        <v>66</v>
      </c>
      <c r="D80" s="536" t="s">
        <v>57</v>
      </c>
      <c r="E80" s="536" t="s">
        <v>660</v>
      </c>
      <c r="F80" s="536" t="s">
        <v>659</v>
      </c>
      <c r="G80" s="543">
        <v>0.01</v>
      </c>
      <c r="H80" s="543">
        <v>7.1669999999999998E-3</v>
      </c>
      <c r="I80" s="545">
        <v>0.4</v>
      </c>
      <c r="J80" s="537">
        <v>19</v>
      </c>
      <c r="K80" s="274"/>
      <c r="L80" s="274"/>
      <c r="M80" s="487">
        <f ca="1">IF('CDO Bespoke'!O81&lt;&gt;"",'CDO Bespoke'!O81,"")</f>
        <v>0.86514189973286004</v>
      </c>
      <c r="N80" s="488">
        <f ca="1">IF(M80&lt;&gt;"",ABS(MIN(-0.75*('CDO Bespoke'!Q81)+'CDO Bespoke'!T81,0)),"")</f>
        <v>0.86284450515866951</v>
      </c>
      <c r="O80" s="488">
        <f t="shared" ref="O80:O143" ca="1" si="4">IF(M80&lt;&gt;"",IF($N$8,MAX(M80-N80,0),M80),0)</f>
        <v>2.2973945741905366E-3</v>
      </c>
      <c r="P80" s="488">
        <f t="shared" ref="P80:P143" ca="1" si="5">IF(M80&lt;&gt;"",IF($N$8,0,N80),0)</f>
        <v>0</v>
      </c>
      <c r="Q80" s="487">
        <f ca="1">IF('CDO Bespoke'!O81&lt;&gt;"",'CDO Bespoke'!O81,"")</f>
        <v>0.86514189973286004</v>
      </c>
      <c r="R80" s="488">
        <f ca="1">IF(Q80&lt;&gt;"",ABS(MIN(-0.75*('CDO Bespoke'!K81)+'CDO Bespoke'!T81,0)),"")</f>
        <v>7.1877361703363063E-2</v>
      </c>
      <c r="S80" s="488">
        <f t="shared" ref="S80:S143" ca="1" si="6">IF(Q80&lt;&gt;"",IF($N$8,MAX(Q80-R80,0),Q80),0)</f>
        <v>0.79326453802949692</v>
      </c>
      <c r="T80" s="492">
        <f t="shared" ref="T80:T143" ca="1" si="7">IF(Q80&lt;&gt;"",IF($N$8,0,R80),0)</f>
        <v>0</v>
      </c>
      <c r="U80" s="274"/>
      <c r="V80" s="497" t="str">
        <f ca="1">IF('CDO Bespoke'!C105&lt;&gt;"",'CDO Bespoke'!C105,"")</f>
        <v>ENGIE</v>
      </c>
      <c r="W80" s="499" cm="1">
        <f t="array" aca="1" ref="W80" ca="1">IF($V80&lt;&gt;"",-TRANSPOSE(INDEX(getcds('CDO Bespoke'!$C105,W$13,'CDO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X80" s="524" cm="1">
        <f t="array" aca="1" ref="X80" ca="1">IF($V80&lt;&gt;"",-TRANSPOSE(INDEX(getcds('CDO Bespoke'!$C105,X$13,'CDO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Y80" s="524" cm="1">
        <f t="array" aca="1" ref="Y80" ca="1">IF($V80&lt;&gt;"",-TRANSPOSE(INDEX(getcds('CDO Bespoke'!$C105,Y$13,'CDO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Z80" s="524" cm="1">
        <f t="array" aca="1" ref="Z80" ca="1">IF($V80&lt;&gt;"",-TRANSPOSE(INDEX(getcds('CDO Bespoke'!$C105,Z$13,'CDO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AA80" s="500" cm="1">
        <f t="array" aca="1" ref="AA80" ca="1">IF($V80&lt;&gt;"",-TRANSPOSE(INDEX(getcds('CDO Bespoke'!$C105,AA$13,'CDO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AB80" s="479"/>
      <c r="AC80" s="515"/>
      <c r="AD80" s="516"/>
      <c r="AE80" s="516"/>
      <c r="AF80" s="516"/>
      <c r="AG80" s="516"/>
      <c r="AH80" s="516"/>
      <c r="AI80" s="516"/>
      <c r="AJ80" s="516"/>
      <c r="AK80" s="516"/>
      <c r="AL80" s="517"/>
      <c r="AM80" s="534"/>
    </row>
    <row r="81" spans="2:39" ht="12" thickBot="1">
      <c r="B81" s="552" t="s">
        <v>537</v>
      </c>
      <c r="C81" s="553" t="s">
        <v>66</v>
      </c>
      <c r="D81" s="553" t="s">
        <v>59</v>
      </c>
      <c r="E81" s="553" t="s">
        <v>660</v>
      </c>
      <c r="F81" s="553" t="s">
        <v>659</v>
      </c>
      <c r="G81" s="554">
        <v>0.01</v>
      </c>
      <c r="H81" s="554">
        <v>1.0695E-2</v>
      </c>
      <c r="I81" s="555">
        <v>0.4</v>
      </c>
      <c r="J81" s="556">
        <v>19</v>
      </c>
      <c r="K81" s="274"/>
      <c r="L81" s="274"/>
      <c r="M81" s="487">
        <f ca="1">IF('CDO Bespoke'!O82&lt;&gt;"",'CDO Bespoke'!O82,"")</f>
        <v>0.86468506928549005</v>
      </c>
      <c r="N81" s="488">
        <f ca="1">IF(M81&lt;&gt;"",ABS(MIN(-0.75*('CDO Bespoke'!Q82)+'CDO Bespoke'!T82,0)),"")</f>
        <v>0.863637403533005</v>
      </c>
      <c r="O81" s="488">
        <f t="shared" ca="1" si="4"/>
        <v>1.0476657524850497E-3</v>
      </c>
      <c r="P81" s="488">
        <f t="shared" ca="1" si="5"/>
        <v>0</v>
      </c>
      <c r="Q81" s="487">
        <f ca="1">IF('CDO Bespoke'!O82&lt;&gt;"",'CDO Bespoke'!O82,"")</f>
        <v>0.86468506928549005</v>
      </c>
      <c r="R81" s="488">
        <f ca="1">IF(Q81&lt;&gt;"",ABS(MIN(-0.75*('CDO Bespoke'!K82)+'CDO Bespoke'!T82,0)),"")</f>
        <v>8.5136037865883002E-2</v>
      </c>
      <c r="S81" s="488">
        <f t="shared" ca="1" si="6"/>
        <v>0.77954903141960707</v>
      </c>
      <c r="T81" s="492">
        <f t="shared" ca="1" si="7"/>
        <v>0</v>
      </c>
      <c r="U81" s="274"/>
      <c r="V81" s="497" t="str">
        <f ca="1">IF('CDO Bespoke'!C106&lt;&gt;"",'CDO Bespoke'!C106,"")</f>
        <v>ENI S.P.A.</v>
      </c>
      <c r="W81" s="499" cm="1">
        <f t="array" aca="1" ref="W81" ca="1">IF($V81&lt;&gt;"",-TRANSPOSE(INDEX(getcds('CDO Bespoke'!$C106,W$13,'CDO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X81" s="524" cm="1">
        <f t="array" aca="1" ref="X81" ca="1">IF($V81&lt;&gt;"",-TRANSPOSE(INDEX(getcds('CDO Bespoke'!$C106,X$13,'CDO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Y81" s="524" cm="1">
        <f t="array" aca="1" ref="Y81" ca="1">IF($V81&lt;&gt;"",-TRANSPOSE(INDEX(getcds('CDO Bespoke'!$C106,Y$13,'CDO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Z81" s="524" cm="1">
        <f t="array" aca="1" ref="Z81" ca="1">IF($V81&lt;&gt;"",-TRANSPOSE(INDEX(getcds('CDO Bespoke'!$C106,Z$13,'CDO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AA81" s="500" cm="1">
        <f t="array" aca="1" ref="AA81" ca="1">IF($V81&lt;&gt;"",-TRANSPOSE(INDEX(getcds('CDO Bespoke'!$C106,AA$13,'CDO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AB81" s="479"/>
      <c r="AC81" s="515"/>
      <c r="AD81" s="516"/>
      <c r="AE81" s="516"/>
      <c r="AF81" s="516"/>
      <c r="AG81" s="516"/>
      <c r="AH81" s="516"/>
      <c r="AI81" s="516"/>
      <c r="AJ81" s="516"/>
      <c r="AK81" s="516"/>
      <c r="AL81" s="517"/>
      <c r="AM81" s="534"/>
    </row>
    <row r="82" spans="2:39" ht="12" thickBot="1">
      <c r="B82" s="557" t="s">
        <v>624</v>
      </c>
      <c r="C82" s="558" t="s">
        <v>66</v>
      </c>
      <c r="D82" s="558" t="s">
        <v>55</v>
      </c>
      <c r="E82" s="558" t="s">
        <v>664</v>
      </c>
      <c r="F82" s="558" t="s">
        <v>661</v>
      </c>
      <c r="G82" s="559">
        <v>0.01</v>
      </c>
      <c r="H82" s="559">
        <v>1.191E-3</v>
      </c>
      <c r="I82" s="560">
        <v>0.4</v>
      </c>
      <c r="J82" s="561">
        <v>20</v>
      </c>
      <c r="K82" s="274"/>
      <c r="L82" s="274"/>
      <c r="M82" s="487">
        <f ca="1">IF('CDO Bespoke'!O83&lt;&gt;"",'CDO Bespoke'!O83,"")</f>
        <v>0.86546217272266002</v>
      </c>
      <c r="N82" s="488">
        <f ca="1">IF(M82&lt;&gt;"",ABS(MIN(-0.75*('CDO Bespoke'!Q83)+'CDO Bespoke'!T83,0)),"")</f>
        <v>0.86206894755887331</v>
      </c>
      <c r="O82" s="488">
        <f t="shared" ca="1" si="4"/>
        <v>3.3932251637867061E-3</v>
      </c>
      <c r="P82" s="488">
        <f t="shared" ca="1" si="5"/>
        <v>0</v>
      </c>
      <c r="Q82" s="487">
        <f ca="1">IF('CDO Bespoke'!O83&lt;&gt;"",'CDO Bespoke'!O83,"")</f>
        <v>0.86546217272266002</v>
      </c>
      <c r="R82" s="488">
        <f ca="1">IF(Q82&lt;&gt;"",ABS(MIN(-0.75*('CDO Bespoke'!K83)+'CDO Bespoke'!T83,0)),"")</f>
        <v>5.9446448634327749E-2</v>
      </c>
      <c r="S82" s="488">
        <f t="shared" ca="1" si="6"/>
        <v>0.80601572408833222</v>
      </c>
      <c r="T82" s="492">
        <f t="shared" ca="1" si="7"/>
        <v>0</v>
      </c>
      <c r="U82" s="274"/>
      <c r="V82" s="497" t="str">
        <f ca="1">IF('CDO Bespoke'!C107&lt;&gt;"",'CDO Bespoke'!C107,"")</f>
        <v>EQUINOR ASA</v>
      </c>
      <c r="W82" s="499" cm="1">
        <f t="array" aca="1" ref="W82" ca="1">IF($V82&lt;&gt;"",-TRANSPOSE(INDEX(getcds('CDO Bespoke'!$C107,W$13,'CDO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X82" s="524" cm="1">
        <f t="array" aca="1" ref="X82" ca="1">IF($V82&lt;&gt;"",-TRANSPOSE(INDEX(getcds('CDO Bespoke'!$C107,X$13,'CDO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Y82" s="524" cm="1">
        <f t="array" aca="1" ref="Y82" ca="1">IF($V82&lt;&gt;"",-TRANSPOSE(INDEX(getcds('CDO Bespoke'!$C107,Y$13,'CDO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Z82" s="524" cm="1">
        <f t="array" aca="1" ref="Z82" ca="1">IF($V82&lt;&gt;"",-TRANSPOSE(INDEX(getcds('CDO Bespoke'!$C107,Z$13,'CDO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AA82" s="500" cm="1">
        <f t="array" aca="1" ref="AA82" ca="1">IF($V82&lt;&gt;"",-TRANSPOSE(INDEX(getcds('CDO Bespoke'!$C107,AA$13,'CDO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AB82" s="479"/>
      <c r="AC82" s="515"/>
      <c r="AD82" s="516"/>
      <c r="AE82" s="516"/>
      <c r="AF82" s="516"/>
      <c r="AG82" s="516"/>
      <c r="AH82" s="516"/>
      <c r="AI82" s="516"/>
      <c r="AJ82" s="516"/>
      <c r="AK82" s="516"/>
      <c r="AL82" s="517"/>
      <c r="AM82" s="534"/>
    </row>
    <row r="83" spans="2:39" ht="12" thickBot="1">
      <c r="B83" s="535" t="s">
        <v>624</v>
      </c>
      <c r="C83" s="536" t="s">
        <v>66</v>
      </c>
      <c r="D83" s="536" t="s">
        <v>57</v>
      </c>
      <c r="E83" s="536" t="s">
        <v>664</v>
      </c>
      <c r="F83" s="536" t="s">
        <v>661</v>
      </c>
      <c r="G83" s="543">
        <v>0.01</v>
      </c>
      <c r="H83" s="543">
        <v>1.908E-3</v>
      </c>
      <c r="I83" s="545">
        <v>0.4</v>
      </c>
      <c r="J83" s="537">
        <v>20</v>
      </c>
      <c r="K83" s="274"/>
      <c r="L83" s="274"/>
      <c r="M83" s="487">
        <f ca="1">IF('CDO Bespoke'!O84&lt;&gt;"",'CDO Bespoke'!O84,"")</f>
        <v>0.86504653116444996</v>
      </c>
      <c r="N83" s="488">
        <f ca="1">IF(M83&lt;&gt;"",ABS(MIN(-0.75*('CDO Bespoke'!Q84)+'CDO Bespoke'!T84,0)),"")</f>
        <v>0.86305886576730451</v>
      </c>
      <c r="O83" s="488">
        <f t="shared" ca="1" si="4"/>
        <v>1.987665397145455E-3</v>
      </c>
      <c r="P83" s="488">
        <f t="shared" ca="1" si="5"/>
        <v>0</v>
      </c>
      <c r="Q83" s="487">
        <f ca="1">IF('CDO Bespoke'!O84&lt;&gt;"",'CDO Bespoke'!O84,"")</f>
        <v>0.86504653116444996</v>
      </c>
      <c r="R83" s="488">
        <f ca="1">IF(Q83&lt;&gt;"",ABS(MIN(-0.75*('CDO Bespoke'!K84)+'CDO Bespoke'!T84,0)),"")</f>
        <v>7.4677878362566674E-2</v>
      </c>
      <c r="S83" s="488">
        <f t="shared" ca="1" si="6"/>
        <v>0.79036865280188329</v>
      </c>
      <c r="T83" s="492">
        <f t="shared" ca="1" si="7"/>
        <v>0</v>
      </c>
      <c r="U83" s="274"/>
      <c r="V83" s="497" t="str">
        <f ca="1">IF('CDO Bespoke'!C108&lt;&gt;"",'CDO Bespoke'!C108,"")</f>
        <v>Fortum Oyj</v>
      </c>
      <c r="W83" s="499" cm="1">
        <f t="array" aca="1" ref="W83" ca="1">IF($V83&lt;&gt;"",-TRANSPOSE(INDEX(getcds('CDO Bespoke'!$C108,W$13,'CDO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X83" s="524" cm="1">
        <f t="array" aca="1" ref="X83" ca="1">IF($V83&lt;&gt;"",-TRANSPOSE(INDEX(getcds('CDO Bespoke'!$C108,X$13,'CDO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Y83" s="524" cm="1">
        <f t="array" aca="1" ref="Y83" ca="1">IF($V83&lt;&gt;"",-TRANSPOSE(INDEX(getcds('CDO Bespoke'!$C108,Y$13,'CDO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Z83" s="524" cm="1">
        <f t="array" aca="1" ref="Z83" ca="1">IF($V83&lt;&gt;"",-TRANSPOSE(INDEX(getcds('CDO Bespoke'!$C108,Z$13,'CDO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AA83" s="500" cm="1">
        <f t="array" aca="1" ref="AA83" ca="1">IF($V83&lt;&gt;"",-TRANSPOSE(INDEX(getcds('CDO Bespoke'!$C108,AA$13,'CDO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AB83" s="479"/>
      <c r="AC83" s="515"/>
      <c r="AD83" s="516"/>
      <c r="AE83" s="516"/>
      <c r="AF83" s="516"/>
      <c r="AG83" s="516"/>
      <c r="AH83" s="516"/>
      <c r="AI83" s="516"/>
      <c r="AJ83" s="516"/>
      <c r="AK83" s="516"/>
      <c r="AL83" s="517"/>
      <c r="AM83" s="534"/>
    </row>
    <row r="84" spans="2:39" ht="12" thickBot="1">
      <c r="B84" s="552" t="s">
        <v>624</v>
      </c>
      <c r="C84" s="553" t="s">
        <v>66</v>
      </c>
      <c r="D84" s="553" t="s">
        <v>59</v>
      </c>
      <c r="E84" s="553" t="s">
        <v>664</v>
      </c>
      <c r="F84" s="553" t="s">
        <v>661</v>
      </c>
      <c r="G84" s="554">
        <v>0.01</v>
      </c>
      <c r="H84" s="554">
        <v>2.9069999999999999E-3</v>
      </c>
      <c r="I84" s="555">
        <v>0.4</v>
      </c>
      <c r="J84" s="556">
        <v>20</v>
      </c>
      <c r="K84" s="274"/>
      <c r="L84" s="274"/>
      <c r="M84" s="487">
        <f ca="1">IF('CDO Bespoke'!O85&lt;&gt;"",'CDO Bespoke'!O85,"")</f>
        <v>0.86519139481038998</v>
      </c>
      <c r="N84" s="488">
        <f ca="1">IF(M84&lt;&gt;"",ABS(MIN(-0.75*('CDO Bespoke'!Q85)+'CDO Bespoke'!T85,0)),"")</f>
        <v>0.86277313675529121</v>
      </c>
      <c r="O84" s="488">
        <f t="shared" ca="1" si="4"/>
        <v>2.4182580550987653E-3</v>
      </c>
      <c r="P84" s="488">
        <f t="shared" ca="1" si="5"/>
        <v>0</v>
      </c>
      <c r="Q84" s="487">
        <f ca="1">IF('CDO Bespoke'!O85&lt;&gt;"",'CDO Bespoke'!O85,"")</f>
        <v>0.86519139481038998</v>
      </c>
      <c r="R84" s="488">
        <f ca="1">IF(Q84&lt;&gt;"",ABS(MIN(-0.75*('CDO Bespoke'!K85)+'CDO Bespoke'!T85,0)),"")</f>
        <v>6.9874841064741053E-2</v>
      </c>
      <c r="S84" s="488">
        <f t="shared" ca="1" si="6"/>
        <v>0.79531655374564891</v>
      </c>
      <c r="T84" s="492">
        <f t="shared" ca="1" si="7"/>
        <v>0</v>
      </c>
      <c r="U84" s="274"/>
      <c r="V84" s="497" t="str">
        <f ca="1">IF('CDO Bespoke'!C109&lt;&gt;"",'CDO Bespoke'!C109,"")</f>
        <v>Iberdrola, S.A.</v>
      </c>
      <c r="W84" s="499" cm="1">
        <f t="array" aca="1" ref="W84" ca="1">IF($V84&lt;&gt;"",-TRANSPOSE(INDEX(getcds('CDO Bespoke'!$C109,W$13,'CDO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X84" s="524" cm="1">
        <f t="array" aca="1" ref="X84" ca="1">IF($V84&lt;&gt;"",-TRANSPOSE(INDEX(getcds('CDO Bespoke'!$C109,X$13,'CDO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Y84" s="524" cm="1">
        <f t="array" aca="1" ref="Y84" ca="1">IF($V84&lt;&gt;"",-TRANSPOSE(INDEX(getcds('CDO Bespoke'!$C109,Y$13,'CDO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Z84" s="524" cm="1">
        <f t="array" aca="1" ref="Z84" ca="1">IF($V84&lt;&gt;"",-TRANSPOSE(INDEX(getcds('CDO Bespoke'!$C109,Z$13,'CDO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AA84" s="500" cm="1">
        <f t="array" aca="1" ref="AA84" ca="1">IF($V84&lt;&gt;"",-TRANSPOSE(INDEX(getcds('CDO Bespoke'!$C109,AA$13,'CDO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AB84" s="479"/>
      <c r="AC84" s="515"/>
      <c r="AD84" s="516"/>
      <c r="AE84" s="516"/>
      <c r="AF84" s="516"/>
      <c r="AG84" s="516"/>
      <c r="AH84" s="516"/>
      <c r="AI84" s="516"/>
      <c r="AJ84" s="516"/>
      <c r="AK84" s="516"/>
      <c r="AL84" s="517"/>
      <c r="AM84" s="534"/>
    </row>
    <row r="85" spans="2:39" ht="12" thickBot="1">
      <c r="B85" s="557" t="s">
        <v>522</v>
      </c>
      <c r="C85" s="558" t="s">
        <v>66</v>
      </c>
      <c r="D85" s="558" t="s">
        <v>55</v>
      </c>
      <c r="E85" s="558" t="s">
        <v>658</v>
      </c>
      <c r="F85" s="558" t="s">
        <v>661</v>
      </c>
      <c r="G85" s="559">
        <v>0.01</v>
      </c>
      <c r="H85" s="559">
        <v>1.2049999999999999E-3</v>
      </c>
      <c r="I85" s="560">
        <v>0.4</v>
      </c>
      <c r="J85" s="561">
        <v>21</v>
      </c>
      <c r="K85" s="274"/>
      <c r="L85" s="274"/>
      <c r="M85" s="487">
        <f ca="1">IF('CDO Bespoke'!O86&lt;&gt;"",'CDO Bespoke'!O86,"")</f>
        <v>0.86459732069171003</v>
      </c>
      <c r="N85" s="488">
        <f ca="1">IF(M85&lt;&gt;"",ABS(MIN(-0.75*('CDO Bespoke'!Q86)+'CDO Bespoke'!T86,0)),"")</f>
        <v>0.86375299860095278</v>
      </c>
      <c r="O85" s="488">
        <f t="shared" ca="1" si="4"/>
        <v>8.4432209075724352E-4</v>
      </c>
      <c r="P85" s="488">
        <f t="shared" ca="1" si="5"/>
        <v>0</v>
      </c>
      <c r="Q85" s="487">
        <f ca="1">IF('CDO Bespoke'!O86&lt;&gt;"",'CDO Bespoke'!O86,"")</f>
        <v>0.86459732069171003</v>
      </c>
      <c r="R85" s="488">
        <f ca="1">IF(Q85&lt;&gt;"",ABS(MIN(-0.75*('CDO Bespoke'!K86)+'CDO Bespoke'!T86,0)),"")</f>
        <v>8.718542768324665E-2</v>
      </c>
      <c r="S85" s="488">
        <f t="shared" ca="1" si="6"/>
        <v>0.77741189300846336</v>
      </c>
      <c r="T85" s="492">
        <f t="shared" ca="1" si="7"/>
        <v>0</v>
      </c>
      <c r="U85" s="274"/>
      <c r="V85" s="497" t="str">
        <f ca="1">IF('CDO Bespoke'!C110&lt;&gt;"",'CDO Bespoke'!C110,"")</f>
        <v>NATIONAL GRID PLC</v>
      </c>
      <c r="W85" s="499" cm="1">
        <f t="array" aca="1" ref="W85" ca="1">IF($V85&lt;&gt;"",-TRANSPOSE(INDEX(getcds('CDO Bespoke'!$C110,W$13,'CDO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X85" s="524" cm="1">
        <f t="array" aca="1" ref="X85" ca="1">IF($V85&lt;&gt;"",-TRANSPOSE(INDEX(getcds('CDO Bespoke'!$C110,X$13,'CDO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Y85" s="524" cm="1">
        <f t="array" aca="1" ref="Y85" ca="1">IF($V85&lt;&gt;"",-TRANSPOSE(INDEX(getcds('CDO Bespoke'!$C110,Y$13,'CDO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Z85" s="524" cm="1">
        <f t="array" aca="1" ref="Z85" ca="1">IF($V85&lt;&gt;"",-TRANSPOSE(INDEX(getcds('CDO Bespoke'!$C110,Z$13,'CDO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AA85" s="500" cm="1">
        <f t="array" aca="1" ref="AA85" ca="1">IF($V85&lt;&gt;"",-TRANSPOSE(INDEX(getcds('CDO Bespoke'!$C110,AA$13,'CDO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AB85" s="479"/>
      <c r="AC85" s="515"/>
      <c r="AD85" s="516"/>
      <c r="AE85" s="516"/>
      <c r="AF85" s="516"/>
      <c r="AG85" s="516"/>
      <c r="AH85" s="516"/>
      <c r="AI85" s="516"/>
      <c r="AJ85" s="516"/>
      <c r="AK85" s="516"/>
      <c r="AL85" s="517"/>
      <c r="AM85" s="534"/>
    </row>
    <row r="86" spans="2:39" ht="12" thickBot="1">
      <c r="B86" s="535" t="s">
        <v>522</v>
      </c>
      <c r="C86" s="536" t="s">
        <v>66</v>
      </c>
      <c r="D86" s="536" t="s">
        <v>57</v>
      </c>
      <c r="E86" s="536" t="s">
        <v>658</v>
      </c>
      <c r="F86" s="536" t="s">
        <v>661</v>
      </c>
      <c r="G86" s="543">
        <v>0.01</v>
      </c>
      <c r="H86" s="543">
        <v>1.9740000000000001E-3</v>
      </c>
      <c r="I86" s="545">
        <v>0.4</v>
      </c>
      <c r="J86" s="537">
        <v>21</v>
      </c>
      <c r="K86" s="274"/>
      <c r="L86" s="274"/>
      <c r="M86" s="487">
        <f ca="1">IF('CDO Bespoke'!O87&lt;&gt;"",'CDO Bespoke'!O87,"")</f>
        <v>0.86499469482147995</v>
      </c>
      <c r="N86" s="488">
        <f ca="1">IF(M86&lt;&gt;"",ABS(MIN(-0.75*('CDO Bespoke'!Q87)+'CDO Bespoke'!T87,0)),"")</f>
        <v>0.86312414735044796</v>
      </c>
      <c r="O86" s="488">
        <f t="shared" ca="1" si="4"/>
        <v>1.8705474710319914E-3</v>
      </c>
      <c r="P86" s="488">
        <f t="shared" ca="1" si="5"/>
        <v>0</v>
      </c>
      <c r="Q86" s="487">
        <f ca="1">IF('CDO Bespoke'!O87&lt;&gt;"",'CDO Bespoke'!O87,"")</f>
        <v>0.86499469482147995</v>
      </c>
      <c r="R86" s="488">
        <f ca="1">IF(Q86&lt;&gt;"",ABS(MIN(-0.75*('CDO Bespoke'!K87)+'CDO Bespoke'!T87,0)),"")</f>
        <v>7.6582044004117195E-2</v>
      </c>
      <c r="S86" s="488">
        <f t="shared" ca="1" si="6"/>
        <v>0.78841265081736278</v>
      </c>
      <c r="T86" s="492">
        <f t="shared" ca="1" si="7"/>
        <v>0</v>
      </c>
      <c r="U86" s="274"/>
      <c r="V86" s="497" t="str">
        <f ca="1">IF('CDO Bespoke'!C111&lt;&gt;"",'CDO Bespoke'!C111,"")</f>
        <v>NATURGY ENERGY GROUP, S.A.</v>
      </c>
      <c r="W86" s="499" cm="1">
        <f t="array" aca="1" ref="W86" ca="1">IF($V86&lt;&gt;"",-TRANSPOSE(INDEX(getcds('CDO Bespoke'!$C111,W$13,'CDO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X86" s="524" cm="1">
        <f t="array" aca="1" ref="X86" ca="1">IF($V86&lt;&gt;"",-TRANSPOSE(INDEX(getcds('CDO Bespoke'!$C111,X$13,'CDO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Y86" s="524" cm="1">
        <f t="array" aca="1" ref="Y86" ca="1">IF($V86&lt;&gt;"",-TRANSPOSE(INDEX(getcds('CDO Bespoke'!$C111,Y$13,'CDO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Z86" s="524" cm="1">
        <f t="array" aca="1" ref="Z86" ca="1">IF($V86&lt;&gt;"",-TRANSPOSE(INDEX(getcds('CDO Bespoke'!$C111,Z$13,'CDO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AA86" s="500" cm="1">
        <f t="array" aca="1" ref="AA86" ca="1">IF($V86&lt;&gt;"",-TRANSPOSE(INDEX(getcds('CDO Bespoke'!$C111,AA$13,'CDO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AB86" s="479"/>
      <c r="AC86" s="515"/>
      <c r="AD86" s="516"/>
      <c r="AE86" s="516"/>
      <c r="AF86" s="516"/>
      <c r="AG86" s="516"/>
      <c r="AH86" s="516"/>
      <c r="AI86" s="516"/>
      <c r="AJ86" s="516"/>
      <c r="AK86" s="516"/>
      <c r="AL86" s="517"/>
      <c r="AM86" s="534"/>
    </row>
    <row r="87" spans="2:39" ht="12" thickBot="1">
      <c r="B87" s="552" t="s">
        <v>522</v>
      </c>
      <c r="C87" s="553" t="s">
        <v>66</v>
      </c>
      <c r="D87" s="553" t="s">
        <v>59</v>
      </c>
      <c r="E87" s="553" t="s">
        <v>658</v>
      </c>
      <c r="F87" s="553" t="s">
        <v>661</v>
      </c>
      <c r="G87" s="554">
        <v>0.01</v>
      </c>
      <c r="H87" s="554">
        <v>3.055E-3</v>
      </c>
      <c r="I87" s="555">
        <v>0.4</v>
      </c>
      <c r="J87" s="556">
        <v>21</v>
      </c>
      <c r="K87" s="274"/>
      <c r="L87" s="274"/>
      <c r="M87" s="487">
        <f ca="1">IF('CDO Bespoke'!O88&lt;&gt;"",'CDO Bespoke'!O88,"")</f>
        <v>0.86447274887349002</v>
      </c>
      <c r="N87" s="488">
        <f ca="1">IF(M87&lt;&gt;"",ABS(MIN(-0.75*('CDO Bespoke'!Q88)+'CDO Bespoke'!T88,0)),"")</f>
        <v>0.86392321472983835</v>
      </c>
      <c r="O87" s="488">
        <f t="shared" ca="1" si="4"/>
        <v>5.4953414365166431E-4</v>
      </c>
      <c r="P87" s="488">
        <f t="shared" ca="1" si="5"/>
        <v>0</v>
      </c>
      <c r="Q87" s="487">
        <f ca="1">IF('CDO Bespoke'!O88&lt;&gt;"",'CDO Bespoke'!O88,"")</f>
        <v>0.86447274887349002</v>
      </c>
      <c r="R87" s="488">
        <f ca="1">IF(Q87&lt;&gt;"",ABS(MIN(-0.75*('CDO Bespoke'!K88)+'CDO Bespoke'!T88,0)),"")</f>
        <v>9.0188741899177804E-2</v>
      </c>
      <c r="S87" s="488">
        <f t="shared" ca="1" si="6"/>
        <v>0.77428400697431221</v>
      </c>
      <c r="T87" s="492">
        <f t="shared" ca="1" si="7"/>
        <v>0</v>
      </c>
      <c r="U87" s="274"/>
      <c r="V87" s="497" t="str">
        <f ca="1">IF('CDO Bespoke'!C112&lt;&gt;"",'CDO Bespoke'!C112,"")</f>
        <v>REPSOL, S.A.</v>
      </c>
      <c r="W87" s="499" cm="1">
        <f t="array" aca="1" ref="W87" ca="1">IF($V87&lt;&gt;"",-TRANSPOSE(INDEX(getcds('CDO Bespoke'!$C112,W$13,'CDO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X87" s="524" cm="1">
        <f t="array" aca="1" ref="X87" ca="1">IF($V87&lt;&gt;"",-TRANSPOSE(INDEX(getcds('CDO Bespoke'!$C112,X$13,'CDO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Y87" s="524" cm="1">
        <f t="array" aca="1" ref="Y87" ca="1">IF($V87&lt;&gt;"",-TRANSPOSE(INDEX(getcds('CDO Bespoke'!$C112,Y$13,'CDO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Z87" s="524" cm="1">
        <f t="array" aca="1" ref="Z87" ca="1">IF($V87&lt;&gt;"",-TRANSPOSE(INDEX(getcds('CDO Bespoke'!$C112,Z$13,'CDO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AA87" s="500" cm="1">
        <f t="array" aca="1" ref="AA87" ca="1">IF($V87&lt;&gt;"",-TRANSPOSE(INDEX(getcds('CDO Bespoke'!$C112,AA$13,'CDO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AB87" s="479"/>
      <c r="AC87" s="515"/>
      <c r="AD87" s="516"/>
      <c r="AE87" s="516"/>
      <c r="AF87" s="516"/>
      <c r="AG87" s="516"/>
      <c r="AH87" s="516"/>
      <c r="AI87" s="516"/>
      <c r="AJ87" s="516"/>
      <c r="AK87" s="516"/>
      <c r="AL87" s="517"/>
      <c r="AM87" s="534"/>
    </row>
    <row r="88" spans="2:39" ht="12" thickBot="1">
      <c r="B88" s="557" t="s">
        <v>625</v>
      </c>
      <c r="C88" s="558" t="s">
        <v>66</v>
      </c>
      <c r="D88" s="558" t="s">
        <v>55</v>
      </c>
      <c r="E88" s="558" t="s">
        <v>660</v>
      </c>
      <c r="F88" s="558" t="s">
        <v>661</v>
      </c>
      <c r="G88" s="559">
        <v>0.01</v>
      </c>
      <c r="H88" s="559">
        <v>1.1557E-2</v>
      </c>
      <c r="I88" s="560">
        <v>0.4</v>
      </c>
      <c r="J88" s="561">
        <v>22</v>
      </c>
      <c r="K88" s="274"/>
      <c r="L88" s="274"/>
      <c r="M88" s="487">
        <f ca="1">IF('CDO Bespoke'!O89&lt;&gt;"",'CDO Bespoke'!O89,"")</f>
        <v>0.86536193517806004</v>
      </c>
      <c r="N88" s="488">
        <f ca="1">IF(M88&lt;&gt;"",ABS(MIN(-0.75*('CDO Bespoke'!Q89)+'CDO Bespoke'!T89,0)),"")</f>
        <v>0.86237437319218957</v>
      </c>
      <c r="O88" s="488">
        <f t="shared" ca="1" si="4"/>
        <v>2.9875619858704683E-3</v>
      </c>
      <c r="P88" s="488">
        <f t="shared" ca="1" si="5"/>
        <v>0</v>
      </c>
      <c r="Q88" s="487">
        <f ca="1">IF('CDO Bespoke'!O89&lt;&gt;"",'CDO Bespoke'!O89,"")</f>
        <v>0.86536193517806004</v>
      </c>
      <c r="R88" s="488">
        <f ca="1">IF(Q88&lt;&gt;"",ABS(MIN(-0.75*('CDO Bespoke'!K89)+'CDO Bespoke'!T89,0)),"")</f>
        <v>6.3523586922256597E-2</v>
      </c>
      <c r="S88" s="488">
        <f t="shared" ca="1" si="6"/>
        <v>0.80183834825580347</v>
      </c>
      <c r="T88" s="492">
        <f t="shared" ca="1" si="7"/>
        <v>0</v>
      </c>
      <c r="U88" s="274"/>
      <c r="V88" s="497" t="str">
        <f ca="1">IF('CDO Bespoke'!C113&lt;&gt;"",'CDO Bespoke'!C113,"")</f>
        <v>SHELL PLC</v>
      </c>
      <c r="W88" s="499" cm="1">
        <f t="array" aca="1" ref="W88" ca="1">IF($V88&lt;&gt;"",-TRANSPOSE(INDEX(getcds('CDO Bespoke'!$C113,W$13,'CDO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X88" s="524" cm="1">
        <f t="array" aca="1" ref="X88" ca="1">IF($V88&lt;&gt;"",-TRANSPOSE(INDEX(getcds('CDO Bespoke'!$C113,X$13,'CDO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Y88" s="524" cm="1">
        <f t="array" aca="1" ref="Y88" ca="1">IF($V88&lt;&gt;"",-TRANSPOSE(INDEX(getcds('CDO Bespoke'!$C113,Y$13,'CDO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Z88" s="524" cm="1">
        <f t="array" aca="1" ref="Z88" ca="1">IF($V88&lt;&gt;"",-TRANSPOSE(INDEX(getcds('CDO Bespoke'!$C113,Z$13,'CDO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AA88" s="500" cm="1">
        <f t="array" aca="1" ref="AA88" ca="1">IF($V88&lt;&gt;"",-TRANSPOSE(INDEX(getcds('CDO Bespoke'!$C113,AA$13,'CDO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AB88" s="479"/>
      <c r="AC88" s="515"/>
      <c r="AD88" s="516"/>
      <c r="AE88" s="516"/>
      <c r="AF88" s="516"/>
      <c r="AG88" s="516"/>
      <c r="AH88" s="516"/>
      <c r="AI88" s="516"/>
      <c r="AJ88" s="516"/>
      <c r="AK88" s="516"/>
      <c r="AL88" s="517"/>
      <c r="AM88" s="534"/>
    </row>
    <row r="89" spans="2:39" ht="12" thickBot="1">
      <c r="B89" s="535" t="s">
        <v>625</v>
      </c>
      <c r="C89" s="536" t="s">
        <v>66</v>
      </c>
      <c r="D89" s="536" t="s">
        <v>57</v>
      </c>
      <c r="E89" s="536" t="s">
        <v>660</v>
      </c>
      <c r="F89" s="536" t="s">
        <v>661</v>
      </c>
      <c r="G89" s="543">
        <v>0.01</v>
      </c>
      <c r="H89" s="543">
        <v>1.7305000000000001E-2</v>
      </c>
      <c r="I89" s="545">
        <v>0.4</v>
      </c>
      <c r="J89" s="537">
        <v>22</v>
      </c>
      <c r="K89" s="274"/>
      <c r="L89" s="274"/>
      <c r="M89" s="487">
        <f ca="1">IF('CDO Bespoke'!O90&lt;&gt;"",'CDO Bespoke'!O90,"")</f>
        <v>0.86541922524022996</v>
      </c>
      <c r="N89" s="488">
        <f ca="1">IF(M89&lt;&gt;"",ABS(MIN(-0.75*('CDO Bespoke'!Q90)+'CDO Bespoke'!T90,0)),"")</f>
        <v>0.86221768563776779</v>
      </c>
      <c r="O89" s="488">
        <f t="shared" ca="1" si="4"/>
        <v>3.2015396024621667E-3</v>
      </c>
      <c r="P89" s="488">
        <f t="shared" ca="1" si="5"/>
        <v>0</v>
      </c>
      <c r="Q89" s="487">
        <f ca="1">IF('CDO Bespoke'!O90&lt;&gt;"",'CDO Bespoke'!O90,"")</f>
        <v>0.86541922524022996</v>
      </c>
      <c r="R89" s="488">
        <f ca="1">IF(Q89&lt;&gt;"",ABS(MIN(-0.75*('CDO Bespoke'!K90)+'CDO Bespoke'!T90,0)),"")</f>
        <v>6.1148553045450652E-2</v>
      </c>
      <c r="S89" s="488">
        <f t="shared" ca="1" si="6"/>
        <v>0.80427067219477932</v>
      </c>
      <c r="T89" s="492">
        <f t="shared" ca="1" si="7"/>
        <v>0</v>
      </c>
      <c r="U89" s="274"/>
      <c r="V89" s="497" t="str">
        <f ca="1">IF('CDO Bespoke'!C114&lt;&gt;"",'CDO Bespoke'!C114,"")</f>
        <v>TotalEnergies SE</v>
      </c>
      <c r="W89" s="499" cm="1">
        <f t="array" aca="1" ref="W89" ca="1">IF($V89&lt;&gt;"",-TRANSPOSE(INDEX(getcds('CDO Bespoke'!$C114,W$13,'CDO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X89" s="524" cm="1">
        <f t="array" aca="1" ref="X89" ca="1">IF($V89&lt;&gt;"",-TRANSPOSE(INDEX(getcds('CDO Bespoke'!$C114,X$13,'CDO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Y89" s="524" cm="1">
        <f t="array" aca="1" ref="Y89" ca="1">IF($V89&lt;&gt;"",-TRANSPOSE(INDEX(getcds('CDO Bespoke'!$C114,Y$13,'CDO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Z89" s="524" cm="1">
        <f t="array" aca="1" ref="Z89" ca="1">IF($V89&lt;&gt;"",-TRANSPOSE(INDEX(getcds('CDO Bespoke'!$C114,Z$13,'CDO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AA89" s="500" cm="1">
        <f t="array" aca="1" ref="AA89" ca="1">IF($V89&lt;&gt;"",-TRANSPOSE(INDEX(getcds('CDO Bespoke'!$C114,AA$13,'CDO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AB89" s="479"/>
      <c r="AC89" s="515"/>
      <c r="AD89" s="516"/>
      <c r="AE89" s="516"/>
      <c r="AF89" s="516"/>
      <c r="AG89" s="516"/>
      <c r="AH89" s="516"/>
      <c r="AI89" s="516"/>
      <c r="AJ89" s="516"/>
      <c r="AK89" s="516"/>
      <c r="AL89" s="517"/>
      <c r="AM89" s="534"/>
    </row>
    <row r="90" spans="2:39" ht="12" thickBot="1">
      <c r="B90" s="552" t="s">
        <v>625</v>
      </c>
      <c r="C90" s="553" t="s">
        <v>66</v>
      </c>
      <c r="D90" s="553" t="s">
        <v>59</v>
      </c>
      <c r="E90" s="553" t="s">
        <v>660</v>
      </c>
      <c r="F90" s="553" t="s">
        <v>661</v>
      </c>
      <c r="G90" s="554">
        <v>0.01</v>
      </c>
      <c r="H90" s="554">
        <v>2.0903000000000001E-2</v>
      </c>
      <c r="I90" s="555">
        <v>0.4</v>
      </c>
      <c r="J90" s="556">
        <v>22</v>
      </c>
      <c r="K90" s="274"/>
      <c r="L90" s="274"/>
      <c r="M90" s="487">
        <f ca="1">IF('CDO Bespoke'!O91&lt;&gt;"",'CDO Bespoke'!O91,"")</f>
        <v>0.86516418537144002</v>
      </c>
      <c r="N90" s="488">
        <f ca="1">IF(M90&lt;&gt;"",ABS(MIN(-0.75*('CDO Bespoke'!Q91)+'CDO Bespoke'!T91,0)),"")</f>
        <v>0.86281415774666215</v>
      </c>
      <c r="O90" s="488">
        <f t="shared" ca="1" si="4"/>
        <v>2.3500276247778729E-3</v>
      </c>
      <c r="P90" s="488">
        <f t="shared" ca="1" si="5"/>
        <v>0</v>
      </c>
      <c r="Q90" s="487">
        <f ca="1">IF('CDO Bespoke'!O91&lt;&gt;"",'CDO Bespoke'!O91,"")</f>
        <v>0.86516418537144002</v>
      </c>
      <c r="R90" s="488">
        <f ca="1">IF(Q90&lt;&gt;"",ABS(MIN(-0.75*('CDO Bespoke'!K91)+'CDO Bespoke'!T91,0)),"")</f>
        <v>7.1008535479894302E-2</v>
      </c>
      <c r="S90" s="488">
        <f t="shared" ca="1" si="6"/>
        <v>0.79415564989154575</v>
      </c>
      <c r="T90" s="492">
        <f t="shared" ca="1" si="7"/>
        <v>0</v>
      </c>
      <c r="U90" s="274"/>
      <c r="V90" s="497" t="str">
        <f ca="1">IF('CDO Bespoke'!C115&lt;&gt;"",'CDO Bespoke'!C115,"")</f>
        <v>VEOLIA ENVIRONNEMENT</v>
      </c>
      <c r="W90" s="499" cm="1">
        <f t="array" aca="1" ref="W90" ca="1">IF($V90&lt;&gt;"",-TRANSPOSE(INDEX(getcds('CDO Bespoke'!$C115,W$13,'CDO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X90" s="524" cm="1">
        <f t="array" aca="1" ref="X90" ca="1">IF($V90&lt;&gt;"",-TRANSPOSE(INDEX(getcds('CDO Bespoke'!$C115,X$13,'CDO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Y90" s="524" cm="1">
        <f t="array" aca="1" ref="Y90" ca="1">IF($V90&lt;&gt;"",-TRANSPOSE(INDEX(getcds('CDO Bespoke'!$C115,Y$13,'CDO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Z90" s="524" cm="1">
        <f t="array" aca="1" ref="Z90" ca="1">IF($V90&lt;&gt;"",-TRANSPOSE(INDEX(getcds('CDO Bespoke'!$C115,Z$13,'CDO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AA90" s="500" cm="1">
        <f t="array" aca="1" ref="AA90" ca="1">IF($V90&lt;&gt;"",-TRANSPOSE(INDEX(getcds('CDO Bespoke'!$C115,AA$13,'CDO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AB90" s="479"/>
      <c r="AC90" s="515"/>
      <c r="AD90" s="516"/>
      <c r="AE90" s="516"/>
      <c r="AF90" s="516"/>
      <c r="AG90" s="516"/>
      <c r="AH90" s="516"/>
      <c r="AI90" s="516"/>
      <c r="AJ90" s="516"/>
      <c r="AK90" s="516"/>
      <c r="AL90" s="517"/>
      <c r="AM90" s="534"/>
    </row>
    <row r="91" spans="2:39" ht="12" thickBot="1">
      <c r="B91" s="557" t="s">
        <v>538</v>
      </c>
      <c r="C91" s="558" t="s">
        <v>66</v>
      </c>
      <c r="D91" s="558" t="s">
        <v>55</v>
      </c>
      <c r="E91" s="558" t="s">
        <v>660</v>
      </c>
      <c r="F91" s="558" t="s">
        <v>659</v>
      </c>
      <c r="G91" s="559">
        <v>0.01</v>
      </c>
      <c r="H91" s="559">
        <v>3.4970000000000001E-3</v>
      </c>
      <c r="I91" s="560">
        <v>0.4</v>
      </c>
      <c r="J91" s="561">
        <v>23</v>
      </c>
      <c r="K91" s="274"/>
      <c r="L91" s="274"/>
      <c r="M91" s="487">
        <f ca="1">IF('CDO Bespoke'!O92&lt;&gt;"",'CDO Bespoke'!O92,"")</f>
        <v>0.86534510083853999</v>
      </c>
      <c r="N91" s="488">
        <f ca="1">IF(M91&lt;&gt;"",ABS(MIN(-0.75*('CDO Bespoke'!Q92)+'CDO Bespoke'!T92,0)),"")</f>
        <v>0.86240049238254946</v>
      </c>
      <c r="O91" s="488">
        <f t="shared" ca="1" si="4"/>
        <v>2.9446084559905383E-3</v>
      </c>
      <c r="P91" s="488">
        <f t="shared" ca="1" si="5"/>
        <v>0</v>
      </c>
      <c r="Q91" s="487">
        <f ca="1">IF('CDO Bespoke'!O92&lt;&gt;"",'CDO Bespoke'!O92,"")</f>
        <v>0.86534510083853999</v>
      </c>
      <c r="R91" s="488">
        <f ca="1">IF(Q91&lt;&gt;"",ABS(MIN(-0.75*('CDO Bespoke'!K92)+'CDO Bespoke'!T92,0)),"")</f>
        <v>6.439992482368577E-2</v>
      </c>
      <c r="S91" s="488">
        <f t="shared" ca="1" si="6"/>
        <v>0.80094517601485427</v>
      </c>
      <c r="T91" s="492">
        <f t="shared" ca="1" si="7"/>
        <v>0</v>
      </c>
      <c r="U91" s="274"/>
      <c r="V91" s="497" t="str">
        <f ca="1">IF('CDO Bespoke'!C116&lt;&gt;"",'CDO Bespoke'!C116,"")</f>
        <v>Bertelsmann SE &amp; Co. KGaA</v>
      </c>
      <c r="W91" s="499" cm="1">
        <f t="array" aca="1" ref="W91" ca="1">IF($V91&lt;&gt;"",-TRANSPOSE(INDEX(getcds('CDO Bespoke'!$C116,W$13,'CDO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X91" s="524" cm="1">
        <f t="array" aca="1" ref="X91" ca="1">IF($V91&lt;&gt;"",-TRANSPOSE(INDEX(getcds('CDO Bespoke'!$C116,X$13,'CDO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Y91" s="524" cm="1">
        <f t="array" aca="1" ref="Y91" ca="1">IF($V91&lt;&gt;"",-TRANSPOSE(INDEX(getcds('CDO Bespoke'!$C116,Y$13,'CDO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Z91" s="524" cm="1">
        <f t="array" aca="1" ref="Z91" ca="1">IF($V91&lt;&gt;"",-TRANSPOSE(INDEX(getcds('CDO Bespoke'!$C116,Z$13,'CDO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AA91" s="500" cm="1">
        <f t="array" aca="1" ref="AA91" ca="1">IF($V91&lt;&gt;"",-TRANSPOSE(INDEX(getcds('CDO Bespoke'!$C116,AA$13,'CDO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AB91" s="479"/>
      <c r="AC91" s="515"/>
      <c r="AD91" s="516"/>
      <c r="AE91" s="516"/>
      <c r="AF91" s="516"/>
      <c r="AG91" s="516"/>
      <c r="AH91" s="516"/>
      <c r="AI91" s="516"/>
      <c r="AJ91" s="516"/>
      <c r="AK91" s="516"/>
      <c r="AL91" s="517"/>
      <c r="AM91" s="534"/>
    </row>
    <row r="92" spans="2:39" ht="12" thickBot="1">
      <c r="B92" s="535" t="s">
        <v>538</v>
      </c>
      <c r="C92" s="536" t="s">
        <v>66</v>
      </c>
      <c r="D92" s="536" t="s">
        <v>57</v>
      </c>
      <c r="E92" s="536" t="s">
        <v>660</v>
      </c>
      <c r="F92" s="536" t="s">
        <v>659</v>
      </c>
      <c r="G92" s="543">
        <v>0.01</v>
      </c>
      <c r="H92" s="543">
        <v>6.7010000000000004E-3</v>
      </c>
      <c r="I92" s="545">
        <v>0.4</v>
      </c>
      <c r="J92" s="537">
        <v>23</v>
      </c>
      <c r="K92" s="274"/>
      <c r="L92" s="274"/>
      <c r="M92" s="487">
        <f ca="1">IF('CDO Bespoke'!O93&lt;&gt;"",'CDO Bespoke'!O93,"")</f>
        <v>0.86373510527323005</v>
      </c>
      <c r="N92" s="488">
        <f ca="1">IF(M92&lt;&gt;"",ABS(MIN(-0.75*('CDO Bespoke'!Q93)+'CDO Bespoke'!T93,0)),"")</f>
        <v>0.86493609451447973</v>
      </c>
      <c r="O92" s="488">
        <f t="shared" ca="1" si="4"/>
        <v>0</v>
      </c>
      <c r="P92" s="488">
        <f t="shared" ca="1" si="5"/>
        <v>0</v>
      </c>
      <c r="Q92" s="487">
        <f ca="1">IF('CDO Bespoke'!O93&lt;&gt;"",'CDO Bespoke'!O93,"")</f>
        <v>0.86373510527323005</v>
      </c>
      <c r="R92" s="488">
        <f ca="1">IF(Q92&lt;&gt;"",ABS(MIN(-0.75*('CDO Bespoke'!K93)+'CDO Bespoke'!T93,0)),"")</f>
        <v>0.1051337915437246</v>
      </c>
      <c r="S92" s="488">
        <f t="shared" ca="1" si="6"/>
        <v>0.75860131372950546</v>
      </c>
      <c r="T92" s="492">
        <f t="shared" ca="1" si="7"/>
        <v>0</v>
      </c>
      <c r="U92" s="274"/>
      <c r="V92" s="497" t="str">
        <f ca="1">IF('CDO Bespoke'!C117&lt;&gt;"",'CDO Bespoke'!C117,"")</f>
        <v>BRITISH TELECOMMUNICATIONS public limited company</v>
      </c>
      <c r="W92" s="499" cm="1">
        <f t="array" aca="1" ref="W92" ca="1">IF($V92&lt;&gt;"",-TRANSPOSE(INDEX(getcds('CDO Bespoke'!$C117,W$13,'CDO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X92" s="524" cm="1">
        <f t="array" aca="1" ref="X92" ca="1">IF($V92&lt;&gt;"",-TRANSPOSE(INDEX(getcds('CDO Bespoke'!$C117,X$13,'CDO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Y92" s="524" cm="1">
        <f t="array" aca="1" ref="Y92" ca="1">IF($V92&lt;&gt;"",-TRANSPOSE(INDEX(getcds('CDO Bespoke'!$C117,Y$13,'CDO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Z92" s="524" cm="1">
        <f t="array" aca="1" ref="Z92" ca="1">IF($V92&lt;&gt;"",-TRANSPOSE(INDEX(getcds('CDO Bespoke'!$C117,Z$13,'CDO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AA92" s="500" cm="1">
        <f t="array" aca="1" ref="AA92" ca="1">IF($V92&lt;&gt;"",-TRANSPOSE(INDEX(getcds('CDO Bespoke'!$C117,AA$13,'CDO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AB92" s="479"/>
      <c r="AC92" s="515"/>
      <c r="AD92" s="516"/>
      <c r="AE92" s="516"/>
      <c r="AF92" s="516"/>
      <c r="AG92" s="516"/>
      <c r="AH92" s="516"/>
      <c r="AI92" s="516"/>
      <c r="AJ92" s="516"/>
      <c r="AK92" s="516"/>
      <c r="AL92" s="517"/>
      <c r="AM92" s="534"/>
    </row>
    <row r="93" spans="2:39" ht="12" thickBot="1">
      <c r="B93" s="552" t="s">
        <v>538</v>
      </c>
      <c r="C93" s="553" t="s">
        <v>66</v>
      </c>
      <c r="D93" s="553" t="s">
        <v>59</v>
      </c>
      <c r="E93" s="553" t="s">
        <v>660</v>
      </c>
      <c r="F93" s="553" t="s">
        <v>659</v>
      </c>
      <c r="G93" s="554">
        <v>0.01</v>
      </c>
      <c r="H93" s="554">
        <v>1.042E-2</v>
      </c>
      <c r="I93" s="555">
        <v>0.4</v>
      </c>
      <c r="J93" s="556">
        <v>23</v>
      </c>
      <c r="K93" s="274"/>
      <c r="L93" s="274"/>
      <c r="M93" s="487">
        <f ca="1">IF('CDO Bespoke'!O94&lt;&gt;"",'CDO Bespoke'!O94,"")</f>
        <v>0.86536832968695998</v>
      </c>
      <c r="N93" s="488">
        <f ca="1">IF(M93&lt;&gt;"",ABS(MIN(-0.75*('CDO Bespoke'!Q94)+'CDO Bespoke'!T94,0)),"")</f>
        <v>0.86233420921001402</v>
      </c>
      <c r="O93" s="488">
        <f t="shared" ca="1" si="4"/>
        <v>3.0341204769459562E-3</v>
      </c>
      <c r="P93" s="488">
        <f t="shared" ca="1" si="5"/>
        <v>0</v>
      </c>
      <c r="Q93" s="487">
        <f ca="1">IF('CDO Bespoke'!O94&lt;&gt;"",'CDO Bespoke'!O94,"")</f>
        <v>0.86536832968695998</v>
      </c>
      <c r="R93" s="488">
        <f ca="1">IF(Q93&lt;&gt;"",ABS(MIN(-0.75*('CDO Bespoke'!K94)+'CDO Bespoke'!T94,0)),"")</f>
        <v>6.3518583569874526E-2</v>
      </c>
      <c r="S93" s="488">
        <f t="shared" ca="1" si="6"/>
        <v>0.80184974611708548</v>
      </c>
      <c r="T93" s="492">
        <f t="shared" ca="1" si="7"/>
        <v>0</v>
      </c>
      <c r="U93" s="274"/>
      <c r="V93" s="497" t="str">
        <f ca="1">IF('CDO Bespoke'!C118&lt;&gt;"",'CDO Bespoke'!C118,"")</f>
        <v>Deutsche Telekom AG</v>
      </c>
      <c r="W93" s="499" cm="1">
        <f t="array" aca="1" ref="W93" ca="1">IF($V93&lt;&gt;"",-TRANSPOSE(INDEX(getcds('CDO Bespoke'!$C118,W$13,'CDO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X93" s="524" cm="1">
        <f t="array" aca="1" ref="X93" ca="1">IF($V93&lt;&gt;"",-TRANSPOSE(INDEX(getcds('CDO Bespoke'!$C118,X$13,'CDO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Y93" s="524" cm="1">
        <f t="array" aca="1" ref="Y93" ca="1">IF($V93&lt;&gt;"",-TRANSPOSE(INDEX(getcds('CDO Bespoke'!$C118,Y$13,'CDO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Z93" s="524" cm="1">
        <f t="array" aca="1" ref="Z93" ca="1">IF($V93&lt;&gt;"",-TRANSPOSE(INDEX(getcds('CDO Bespoke'!$C118,Z$13,'CDO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AA93" s="500" cm="1">
        <f t="array" aca="1" ref="AA93" ca="1">IF($V93&lt;&gt;"",-TRANSPOSE(INDEX(getcds('CDO Bespoke'!$C118,AA$13,'CDO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AB93" s="479"/>
      <c r="AC93" s="515"/>
      <c r="AD93" s="516"/>
      <c r="AE93" s="516"/>
      <c r="AF93" s="516"/>
      <c r="AG93" s="516"/>
      <c r="AH93" s="516"/>
      <c r="AI93" s="516"/>
      <c r="AJ93" s="516"/>
      <c r="AK93" s="516"/>
      <c r="AL93" s="517"/>
      <c r="AM93" s="534"/>
    </row>
    <row r="94" spans="2:39" ht="12" thickBot="1">
      <c r="B94" s="557" t="s">
        <v>523</v>
      </c>
      <c r="C94" s="558" t="s">
        <v>66</v>
      </c>
      <c r="D94" s="558" t="s">
        <v>55</v>
      </c>
      <c r="E94" s="558" t="s">
        <v>658</v>
      </c>
      <c r="F94" s="558" t="s">
        <v>663</v>
      </c>
      <c r="G94" s="559">
        <v>0.01</v>
      </c>
      <c r="H94" s="559">
        <v>2.7599999999999999E-3</v>
      </c>
      <c r="I94" s="560">
        <v>0.4</v>
      </c>
      <c r="J94" s="561">
        <v>24</v>
      </c>
      <c r="K94" s="274"/>
      <c r="L94" s="274"/>
      <c r="M94" s="487">
        <f ca="1">IF('CDO Bespoke'!O95&lt;&gt;"",'CDO Bespoke'!O95,"")</f>
        <v>0.86084875069111</v>
      </c>
      <c r="N94" s="488">
        <f ca="1">IF(M94&lt;&gt;"",ABS(MIN(-0.75*('CDO Bespoke'!Q95)+'CDO Bespoke'!T95,0)),"")</f>
        <v>0.86750666044747515</v>
      </c>
      <c r="O94" s="488">
        <f t="shared" ca="1" si="4"/>
        <v>0</v>
      </c>
      <c r="P94" s="488">
        <f t="shared" ca="1" si="5"/>
        <v>0</v>
      </c>
      <c r="Q94" s="487">
        <f ca="1">IF('CDO Bespoke'!O95&lt;&gt;"",'CDO Bespoke'!O95,"")</f>
        <v>0.86084875069111</v>
      </c>
      <c r="R94" s="488">
        <f ca="1">IF(Q94&lt;&gt;"",ABS(MIN(-0.75*('CDO Bespoke'!K95)+'CDO Bespoke'!T95,0)),"")</f>
        <v>0.14682870005320811</v>
      </c>
      <c r="S94" s="488">
        <f t="shared" ca="1" si="6"/>
        <v>0.71402005063790186</v>
      </c>
      <c r="T94" s="492">
        <f t="shared" ca="1" si="7"/>
        <v>0</v>
      </c>
      <c r="U94" s="274"/>
      <c r="V94" s="497" t="str">
        <f ca="1">IF('CDO Bespoke'!C119&lt;&gt;"",'CDO Bespoke'!C119,"")</f>
        <v>ITV PLC</v>
      </c>
      <c r="W94" s="499" cm="1">
        <f t="array" aca="1" ref="W94" ca="1">IF($V94&lt;&gt;"",-TRANSPOSE(INDEX(getcds('CDO Bespoke'!$C119,W$13,'CDO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X94" s="524" cm="1">
        <f t="array" aca="1" ref="X94" ca="1">IF($V94&lt;&gt;"",-TRANSPOSE(INDEX(getcds('CDO Bespoke'!$C119,X$13,'CDO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Y94" s="524" cm="1">
        <f t="array" aca="1" ref="Y94" ca="1">IF($V94&lt;&gt;"",-TRANSPOSE(INDEX(getcds('CDO Bespoke'!$C119,Y$13,'CDO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Z94" s="524" cm="1">
        <f t="array" aca="1" ref="Z94" ca="1">IF($V94&lt;&gt;"",-TRANSPOSE(INDEX(getcds('CDO Bespoke'!$C119,Z$13,'CDO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AA94" s="500" cm="1">
        <f t="array" aca="1" ref="AA94" ca="1">IF($V94&lt;&gt;"",-TRANSPOSE(INDEX(getcds('CDO Bespoke'!$C119,AA$13,'CDO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AB94" s="479"/>
      <c r="AC94" s="515"/>
      <c r="AD94" s="516"/>
      <c r="AE94" s="516"/>
      <c r="AF94" s="516"/>
      <c r="AG94" s="516"/>
      <c r="AH94" s="516"/>
      <c r="AI94" s="516"/>
      <c r="AJ94" s="516"/>
      <c r="AK94" s="516"/>
      <c r="AL94" s="517"/>
      <c r="AM94" s="534"/>
    </row>
    <row r="95" spans="2:39" ht="12" thickBot="1">
      <c r="B95" s="535" t="s">
        <v>523</v>
      </c>
      <c r="C95" s="536" t="s">
        <v>66</v>
      </c>
      <c r="D95" s="536" t="s">
        <v>57</v>
      </c>
      <c r="E95" s="536" t="s">
        <v>658</v>
      </c>
      <c r="F95" s="536" t="s">
        <v>663</v>
      </c>
      <c r="G95" s="543">
        <v>0.01</v>
      </c>
      <c r="H95" s="543">
        <v>4.8069999999999996E-3</v>
      </c>
      <c r="I95" s="545">
        <v>0.4</v>
      </c>
      <c r="J95" s="537">
        <v>24</v>
      </c>
      <c r="K95" s="274"/>
      <c r="L95" s="274"/>
      <c r="M95" s="487">
        <f ca="1">IF('CDO Bespoke'!O96&lt;&gt;"",'CDO Bespoke'!O96,"")</f>
        <v>0.86493919444124001</v>
      </c>
      <c r="N95" s="488">
        <f ca="1">IF(M95&lt;&gt;"",ABS(MIN(-0.75*('CDO Bespoke'!Q96)+'CDO Bespoke'!T96,0)),"")</f>
        <v>0.86325837923458815</v>
      </c>
      <c r="O95" s="488">
        <f t="shared" ca="1" si="4"/>
        <v>1.6808152066518645E-3</v>
      </c>
      <c r="P95" s="488">
        <f t="shared" ca="1" si="5"/>
        <v>0</v>
      </c>
      <c r="Q95" s="487">
        <f ca="1">IF('CDO Bespoke'!O96&lt;&gt;"",'CDO Bespoke'!O96,"")</f>
        <v>0.86493919444124001</v>
      </c>
      <c r="R95" s="488">
        <f ca="1">IF(Q95&lt;&gt;"",ABS(MIN(-0.75*('CDO Bespoke'!K96)+'CDO Bespoke'!T96,0)),"")</f>
        <v>7.7869375334233229E-2</v>
      </c>
      <c r="S95" s="488">
        <f t="shared" ca="1" si="6"/>
        <v>0.7870698191070068</v>
      </c>
      <c r="T95" s="492">
        <f t="shared" ca="1" si="7"/>
        <v>0</v>
      </c>
      <c r="U95" s="274"/>
      <c r="V95" s="497" t="str">
        <f ca="1">IF('CDO Bespoke'!C120&lt;&gt;"",'CDO Bespoke'!C120,"")</f>
        <v>Koninklijke KPN N.V.</v>
      </c>
      <c r="W95" s="499" cm="1">
        <f t="array" aca="1" ref="W95" ca="1">IF($V95&lt;&gt;"",-TRANSPOSE(INDEX(getcds('CDO Bespoke'!$C120,W$13,'CDO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X95" s="524" cm="1">
        <f t="array" aca="1" ref="X95" ca="1">IF($V95&lt;&gt;"",-TRANSPOSE(INDEX(getcds('CDO Bespoke'!$C120,X$13,'CDO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Y95" s="524" cm="1">
        <f t="array" aca="1" ref="Y95" ca="1">IF($V95&lt;&gt;"",-TRANSPOSE(INDEX(getcds('CDO Bespoke'!$C120,Y$13,'CDO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Z95" s="524" cm="1">
        <f t="array" aca="1" ref="Z95" ca="1">IF($V95&lt;&gt;"",-TRANSPOSE(INDEX(getcds('CDO Bespoke'!$C120,Z$13,'CDO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AA95" s="500" cm="1">
        <f t="array" aca="1" ref="AA95" ca="1">IF($V95&lt;&gt;"",-TRANSPOSE(INDEX(getcds('CDO Bespoke'!$C120,AA$13,'CDO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AB95" s="479"/>
      <c r="AC95" s="515"/>
      <c r="AD95" s="516"/>
      <c r="AE95" s="516"/>
      <c r="AF95" s="516"/>
      <c r="AG95" s="516"/>
      <c r="AH95" s="516"/>
      <c r="AI95" s="516"/>
      <c r="AJ95" s="516"/>
      <c r="AK95" s="516"/>
      <c r="AL95" s="517"/>
      <c r="AM95" s="534"/>
    </row>
    <row r="96" spans="2:39" ht="12" thickBot="1">
      <c r="B96" s="552" t="s">
        <v>523</v>
      </c>
      <c r="C96" s="553" t="s">
        <v>66</v>
      </c>
      <c r="D96" s="553" t="s">
        <v>59</v>
      </c>
      <c r="E96" s="553" t="s">
        <v>658</v>
      </c>
      <c r="F96" s="553" t="s">
        <v>663</v>
      </c>
      <c r="G96" s="554">
        <v>0.01</v>
      </c>
      <c r="H96" s="554">
        <v>6.9220000000000002E-3</v>
      </c>
      <c r="I96" s="555">
        <v>0.4</v>
      </c>
      <c r="J96" s="556">
        <v>24</v>
      </c>
      <c r="K96" s="274"/>
      <c r="L96" s="274"/>
      <c r="M96" s="487">
        <f ca="1">IF('CDO Bespoke'!O97&lt;&gt;"",'CDO Bespoke'!O97,"")</f>
        <v>0.86537311445705001</v>
      </c>
      <c r="N96" s="488">
        <f ca="1">IF(M96&lt;&gt;"",ABS(MIN(-0.75*('CDO Bespoke'!Q97)+'CDO Bespoke'!T97,0)),"")</f>
        <v>0.86235929299705383</v>
      </c>
      <c r="O96" s="488">
        <f t="shared" ca="1" si="4"/>
        <v>3.0138214599961799E-3</v>
      </c>
      <c r="P96" s="488">
        <f t="shared" ca="1" si="5"/>
        <v>0</v>
      </c>
      <c r="Q96" s="487">
        <f ca="1">IF('CDO Bespoke'!O97&lt;&gt;"",'CDO Bespoke'!O97,"")</f>
        <v>0.86537311445705001</v>
      </c>
      <c r="R96" s="488">
        <f ca="1">IF(Q96&lt;&gt;"",ABS(MIN(-0.75*('CDO Bespoke'!K97)+'CDO Bespoke'!T97,0)),"")</f>
        <v>6.2879351180894105E-2</v>
      </c>
      <c r="S96" s="488">
        <f t="shared" ca="1" si="6"/>
        <v>0.80249376327615596</v>
      </c>
      <c r="T96" s="492">
        <f t="shared" ca="1" si="7"/>
        <v>0</v>
      </c>
      <c r="U96" s="274"/>
      <c r="V96" s="497" t="str">
        <f ca="1">IF('CDO Bespoke'!C121&lt;&gt;"",'CDO Bespoke'!C121,"")</f>
        <v>Orange</v>
      </c>
      <c r="W96" s="499" cm="1">
        <f t="array" aca="1" ref="W96" ca="1">IF($V96&lt;&gt;"",-TRANSPOSE(INDEX(getcds('CDO Bespoke'!$C121,W$13,'CDO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X96" s="524" cm="1">
        <f t="array" aca="1" ref="X96" ca="1">IF($V96&lt;&gt;"",-TRANSPOSE(INDEX(getcds('CDO Bespoke'!$C121,X$13,'CDO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Y96" s="524" cm="1">
        <f t="array" aca="1" ref="Y96" ca="1">IF($V96&lt;&gt;"",-TRANSPOSE(INDEX(getcds('CDO Bespoke'!$C121,Y$13,'CDO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Z96" s="524" cm="1">
        <f t="array" aca="1" ref="Z96" ca="1">IF($V96&lt;&gt;"",-TRANSPOSE(INDEX(getcds('CDO Bespoke'!$C121,Z$13,'CDO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AA96" s="500" cm="1">
        <f t="array" aca="1" ref="AA96" ca="1">IF($V96&lt;&gt;"",-TRANSPOSE(INDEX(getcds('CDO Bespoke'!$C121,AA$13,'CDO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AB96" s="479"/>
      <c r="AC96" s="515"/>
      <c r="AD96" s="516"/>
      <c r="AE96" s="516"/>
      <c r="AF96" s="516"/>
      <c r="AG96" s="516"/>
      <c r="AH96" s="516"/>
      <c r="AI96" s="516"/>
      <c r="AJ96" s="516"/>
      <c r="AK96" s="516"/>
      <c r="AL96" s="517"/>
      <c r="AM96" s="534"/>
    </row>
    <row r="97" spans="2:39" ht="12" thickBot="1">
      <c r="B97" s="557" t="s">
        <v>539</v>
      </c>
      <c r="C97" s="558" t="s">
        <v>66</v>
      </c>
      <c r="D97" s="558" t="s">
        <v>55</v>
      </c>
      <c r="E97" s="558" t="s">
        <v>660</v>
      </c>
      <c r="F97" s="558" t="s">
        <v>659</v>
      </c>
      <c r="G97" s="559">
        <v>0.01</v>
      </c>
      <c r="H97" s="559">
        <v>8.0549999999999997E-3</v>
      </c>
      <c r="I97" s="560">
        <v>0.4</v>
      </c>
      <c r="J97" s="561">
        <v>25</v>
      </c>
      <c r="K97" s="274"/>
      <c r="L97" s="274"/>
      <c r="M97" s="487">
        <f ca="1">IF('CDO Bespoke'!O98&lt;&gt;"",'CDO Bespoke'!O98,"")</f>
        <v>0.86460477342141995</v>
      </c>
      <c r="N97" s="488">
        <f ca="1">IF(M97&lt;&gt;"",ABS(MIN(-0.75*('CDO Bespoke'!Q98)+'CDO Bespoke'!T98,0)),"")</f>
        <v>0.86380114896201587</v>
      </c>
      <c r="O97" s="488">
        <f t="shared" ca="1" si="4"/>
        <v>8.0362445940407312E-4</v>
      </c>
      <c r="P97" s="488">
        <f t="shared" ca="1" si="5"/>
        <v>0</v>
      </c>
      <c r="Q97" s="487">
        <f ca="1">IF('CDO Bespoke'!O98&lt;&gt;"",'CDO Bespoke'!O98,"")</f>
        <v>0.86460477342141995</v>
      </c>
      <c r="R97" s="488">
        <f ca="1">IF(Q97&lt;&gt;"",ABS(MIN(-0.75*('CDO Bespoke'!K98)+'CDO Bespoke'!T98,0)),"")</f>
        <v>8.6571201693525654E-2</v>
      </c>
      <c r="S97" s="488">
        <f t="shared" ca="1" si="6"/>
        <v>0.77803357172789434</v>
      </c>
      <c r="T97" s="492">
        <f t="shared" ca="1" si="7"/>
        <v>0</v>
      </c>
      <c r="U97" s="274"/>
      <c r="V97" s="497" t="str">
        <f ca="1">IF('CDO Bespoke'!C122&lt;&gt;"",'CDO Bespoke'!C122,"")</f>
        <v>PEARSON plc</v>
      </c>
      <c r="W97" s="499" cm="1">
        <f t="array" aca="1" ref="W97" ca="1">IF($V97&lt;&gt;"",-TRANSPOSE(INDEX(getcds('CDO Bespoke'!$C122,W$13,'CDO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X97" s="524" cm="1">
        <f t="array" aca="1" ref="X97" ca="1">IF($V97&lt;&gt;"",-TRANSPOSE(INDEX(getcds('CDO Bespoke'!$C122,X$13,'CDO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Y97" s="524" cm="1">
        <f t="array" aca="1" ref="Y97" ca="1">IF($V97&lt;&gt;"",-TRANSPOSE(INDEX(getcds('CDO Bespoke'!$C122,Y$13,'CDO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Z97" s="524" cm="1">
        <f t="array" aca="1" ref="Z97" ca="1">IF($V97&lt;&gt;"",-TRANSPOSE(INDEX(getcds('CDO Bespoke'!$C122,Z$13,'CDO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AA97" s="500" cm="1">
        <f t="array" aca="1" ref="AA97" ca="1">IF($V97&lt;&gt;"",-TRANSPOSE(INDEX(getcds('CDO Bespoke'!$C122,AA$13,'CDO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AB97" s="479"/>
      <c r="AC97" s="515"/>
      <c r="AD97" s="516"/>
      <c r="AE97" s="516"/>
      <c r="AF97" s="516"/>
      <c r="AG97" s="516"/>
      <c r="AH97" s="516"/>
      <c r="AI97" s="516"/>
      <c r="AJ97" s="516"/>
      <c r="AK97" s="516"/>
      <c r="AL97" s="517"/>
      <c r="AM97" s="534"/>
    </row>
    <row r="98" spans="2:39" ht="12" thickBot="1">
      <c r="B98" s="535" t="s">
        <v>539</v>
      </c>
      <c r="C98" s="536" t="s">
        <v>66</v>
      </c>
      <c r="D98" s="536" t="s">
        <v>57</v>
      </c>
      <c r="E98" s="536" t="s">
        <v>660</v>
      </c>
      <c r="F98" s="536" t="s">
        <v>659</v>
      </c>
      <c r="G98" s="543">
        <v>0.01</v>
      </c>
      <c r="H98" s="543">
        <v>1.2508999999999999E-2</v>
      </c>
      <c r="I98" s="545">
        <v>0.4</v>
      </c>
      <c r="J98" s="537">
        <v>25</v>
      </c>
      <c r="K98" s="274"/>
      <c r="L98" s="274"/>
      <c r="M98" s="487">
        <f ca="1">IF('CDO Bespoke'!O99&lt;&gt;"",'CDO Bespoke'!O99,"")</f>
        <v>0.86495628399614</v>
      </c>
      <c r="N98" s="488">
        <f ca="1">IF(M98&lt;&gt;"",ABS(MIN(-0.75*('CDO Bespoke'!Q99)+'CDO Bespoke'!T99,0)),"")</f>
        <v>0.8632449419341488</v>
      </c>
      <c r="O98" s="488">
        <f t="shared" ca="1" si="4"/>
        <v>1.7113420619911945E-3</v>
      </c>
      <c r="P98" s="488">
        <f t="shared" ca="1" si="5"/>
        <v>0</v>
      </c>
      <c r="Q98" s="487">
        <f ca="1">IF('CDO Bespoke'!O99&lt;&gt;"",'CDO Bespoke'!O99,"")</f>
        <v>0.86495628399614</v>
      </c>
      <c r="R98" s="488">
        <f ca="1">IF(Q98&lt;&gt;"",ABS(MIN(-0.75*('CDO Bespoke'!K99)+'CDO Bespoke'!T99,0)),"")</f>
        <v>7.7158097817884214E-2</v>
      </c>
      <c r="S98" s="488">
        <f t="shared" ca="1" si="6"/>
        <v>0.78779818617825581</v>
      </c>
      <c r="T98" s="492">
        <f t="shared" ca="1" si="7"/>
        <v>0</v>
      </c>
      <c r="U98" s="274"/>
      <c r="V98" s="497" t="str">
        <f ca="1">IF('CDO Bespoke'!C123&lt;&gt;"",'CDO Bespoke'!C123,"")</f>
        <v>PUBLICIS GROUPE SA</v>
      </c>
      <c r="W98" s="499" cm="1">
        <f t="array" aca="1" ref="W98" ca="1">IF($V98&lt;&gt;"",-TRANSPOSE(INDEX(getcds('CDO Bespoke'!$C123,W$13,'CDO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X98" s="524" cm="1">
        <f t="array" aca="1" ref="X98" ca="1">IF($V98&lt;&gt;"",-TRANSPOSE(INDEX(getcds('CDO Bespoke'!$C123,X$13,'CDO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Y98" s="524" cm="1">
        <f t="array" aca="1" ref="Y98" ca="1">IF($V98&lt;&gt;"",-TRANSPOSE(INDEX(getcds('CDO Bespoke'!$C123,Y$13,'CDO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Z98" s="524" cm="1">
        <f t="array" aca="1" ref="Z98" ca="1">IF($V98&lt;&gt;"",-TRANSPOSE(INDEX(getcds('CDO Bespoke'!$C123,Z$13,'CDO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AA98" s="500" cm="1">
        <f t="array" aca="1" ref="AA98" ca="1">IF($V98&lt;&gt;"",-TRANSPOSE(INDEX(getcds('CDO Bespoke'!$C123,AA$13,'CDO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AB98" s="479"/>
      <c r="AC98" s="515"/>
      <c r="AD98" s="516"/>
      <c r="AE98" s="516"/>
      <c r="AF98" s="516"/>
      <c r="AG98" s="516"/>
      <c r="AH98" s="516"/>
      <c r="AI98" s="516"/>
      <c r="AJ98" s="516"/>
      <c r="AK98" s="516"/>
      <c r="AL98" s="517"/>
      <c r="AM98" s="534"/>
    </row>
    <row r="99" spans="2:39" ht="12" thickBot="1">
      <c r="B99" s="552" t="s">
        <v>539</v>
      </c>
      <c r="C99" s="553" t="s">
        <v>66</v>
      </c>
      <c r="D99" s="553" t="s">
        <v>59</v>
      </c>
      <c r="E99" s="553" t="s">
        <v>660</v>
      </c>
      <c r="F99" s="553" t="s">
        <v>659</v>
      </c>
      <c r="G99" s="554">
        <v>0.01</v>
      </c>
      <c r="H99" s="554">
        <v>1.5117E-2</v>
      </c>
      <c r="I99" s="555">
        <v>0.4</v>
      </c>
      <c r="J99" s="556">
        <v>25</v>
      </c>
      <c r="K99" s="274"/>
      <c r="L99" s="274"/>
      <c r="M99" s="487">
        <f ca="1">IF('CDO Bespoke'!O100&lt;&gt;"",'CDO Bespoke'!O100,"")</f>
        <v>0.85573489583069995</v>
      </c>
      <c r="N99" s="488">
        <f ca="1">IF(M99&lt;&gt;"",ABS(MIN(-0.75*('CDO Bespoke'!Q100)+'CDO Bespoke'!T100,0)),"")</f>
        <v>0.87029666453194288</v>
      </c>
      <c r="O99" s="488">
        <f t="shared" ca="1" si="4"/>
        <v>0</v>
      </c>
      <c r="P99" s="488">
        <f t="shared" ca="1" si="5"/>
        <v>0</v>
      </c>
      <c r="Q99" s="487">
        <f ca="1">IF('CDO Bespoke'!O100&lt;&gt;"",'CDO Bespoke'!O100,"")</f>
        <v>0.85573489583069995</v>
      </c>
      <c r="R99" s="488">
        <f ca="1">IF(Q99&lt;&gt;"",ABS(MIN(-0.75*('CDO Bespoke'!K100)+'CDO Bespoke'!T100,0)),"")</f>
        <v>0.1958499046320083</v>
      </c>
      <c r="S99" s="488">
        <f t="shared" ca="1" si="6"/>
        <v>0.65988499119869171</v>
      </c>
      <c r="T99" s="492">
        <f t="shared" ca="1" si="7"/>
        <v>0</v>
      </c>
      <c r="U99" s="274"/>
      <c r="V99" s="497" t="str">
        <f ca="1">IF('CDO Bespoke'!C124&lt;&gt;"",'CDO Bespoke'!C124,"")</f>
        <v>SES</v>
      </c>
      <c r="W99" s="499" cm="1">
        <f t="array" aca="1" ref="W99" ca="1">IF($V99&lt;&gt;"",-TRANSPOSE(INDEX(getcds('CDO Bespoke'!$C124,W$13,'CDO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X99" s="524" cm="1">
        <f t="array" aca="1" ref="X99" ca="1">IF($V99&lt;&gt;"",-TRANSPOSE(INDEX(getcds('CDO Bespoke'!$C124,X$13,'CDO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Y99" s="524" cm="1">
        <f t="array" aca="1" ref="Y99" ca="1">IF($V99&lt;&gt;"",-TRANSPOSE(INDEX(getcds('CDO Bespoke'!$C124,Y$13,'CDO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Z99" s="524" cm="1">
        <f t="array" aca="1" ref="Z99" ca="1">IF($V99&lt;&gt;"",-TRANSPOSE(INDEX(getcds('CDO Bespoke'!$C124,Z$13,'CDO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AA99" s="500" cm="1">
        <f t="array" aca="1" ref="AA99" ca="1">IF($V99&lt;&gt;"",-TRANSPOSE(INDEX(getcds('CDO Bespoke'!$C124,AA$13,'CDO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AB99" s="479"/>
      <c r="AC99" s="515"/>
      <c r="AD99" s="516"/>
      <c r="AE99" s="516"/>
      <c r="AF99" s="516"/>
      <c r="AG99" s="516"/>
      <c r="AH99" s="516"/>
      <c r="AI99" s="516"/>
      <c r="AJ99" s="516"/>
      <c r="AK99" s="516"/>
      <c r="AL99" s="517"/>
      <c r="AM99" s="534"/>
    </row>
    <row r="100" spans="2:39" ht="12" thickBot="1">
      <c r="B100" s="557" t="s">
        <v>524</v>
      </c>
      <c r="C100" s="558" t="s">
        <v>66</v>
      </c>
      <c r="D100" s="558" t="s">
        <v>55</v>
      </c>
      <c r="E100" s="558" t="s">
        <v>660</v>
      </c>
      <c r="F100" s="558" t="s">
        <v>659</v>
      </c>
      <c r="G100" s="559">
        <v>0.01</v>
      </c>
      <c r="H100" s="559">
        <v>3.4320000000000002E-3</v>
      </c>
      <c r="I100" s="560">
        <v>0.4</v>
      </c>
      <c r="J100" s="561">
        <v>26</v>
      </c>
      <c r="K100" s="274"/>
      <c r="L100" s="274"/>
      <c r="M100" s="487">
        <f ca="1">IF('CDO Bespoke'!O101&lt;&gt;"",'CDO Bespoke'!O101,"")</f>
        <v>0.86555652812308004</v>
      </c>
      <c r="N100" s="488">
        <f ca="1">IF(M100&lt;&gt;"",ABS(MIN(-0.75*('CDO Bespoke'!Q101)+'CDO Bespoke'!T101,0)),"")</f>
        <v>0.8617658330063277</v>
      </c>
      <c r="O100" s="488">
        <f t="shared" ca="1" si="4"/>
        <v>3.7906951167523406E-3</v>
      </c>
      <c r="P100" s="488">
        <f t="shared" ca="1" si="5"/>
        <v>0</v>
      </c>
      <c r="Q100" s="487">
        <f ca="1">IF('CDO Bespoke'!O101&lt;&gt;"",'CDO Bespoke'!O101,"")</f>
        <v>0.86555652812308004</v>
      </c>
      <c r="R100" s="488">
        <f ca="1">IF(Q100&lt;&gt;"",ABS(MIN(-0.75*('CDO Bespoke'!K101)+'CDO Bespoke'!T101,0)),"")</f>
        <v>5.3558981963291778E-2</v>
      </c>
      <c r="S100" s="488">
        <f t="shared" ca="1" si="6"/>
        <v>0.81199754615978825</v>
      </c>
      <c r="T100" s="492">
        <f t="shared" ca="1" si="7"/>
        <v>0</v>
      </c>
      <c r="U100" s="274"/>
      <c r="V100" s="497" t="str">
        <f ca="1">IF('CDO Bespoke'!C125&lt;&gt;"",'CDO Bespoke'!C125,"")</f>
        <v>SKY LIMITED</v>
      </c>
      <c r="W100" s="499" cm="1">
        <f t="array" aca="1" ref="W100" ca="1">IF($V100&lt;&gt;"",-TRANSPOSE(INDEX(getcds('CDO Bespoke'!$C125,W$13,'CDO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X100" s="524" cm="1">
        <f t="array" aca="1" ref="X100" ca="1">IF($V100&lt;&gt;"",-TRANSPOSE(INDEX(getcds('CDO Bespoke'!$C125,X$13,'CDO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Y100" s="524" cm="1">
        <f t="array" aca="1" ref="Y100" ca="1">IF($V100&lt;&gt;"",-TRANSPOSE(INDEX(getcds('CDO Bespoke'!$C125,Y$13,'CDO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Z100" s="524" cm="1">
        <f t="array" aca="1" ref="Z100" ca="1">IF($V100&lt;&gt;"",-TRANSPOSE(INDEX(getcds('CDO Bespoke'!$C125,Z$13,'CDO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AA100" s="500" cm="1">
        <f t="array" aca="1" ref="AA100" ca="1">IF($V100&lt;&gt;"",-TRANSPOSE(INDEX(getcds('CDO Bespoke'!$C125,AA$13,'CDO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AB100" s="479"/>
      <c r="AC100" s="515"/>
      <c r="AD100" s="516"/>
      <c r="AE100" s="516"/>
      <c r="AF100" s="516"/>
      <c r="AG100" s="516"/>
      <c r="AH100" s="516"/>
      <c r="AI100" s="516"/>
      <c r="AJ100" s="516"/>
      <c r="AK100" s="516"/>
      <c r="AL100" s="517"/>
      <c r="AM100" s="534"/>
    </row>
    <row r="101" spans="2:39" ht="12" thickBot="1">
      <c r="B101" s="535" t="s">
        <v>524</v>
      </c>
      <c r="C101" s="536" t="s">
        <v>66</v>
      </c>
      <c r="D101" s="536" t="s">
        <v>57</v>
      </c>
      <c r="E101" s="536" t="s">
        <v>660</v>
      </c>
      <c r="F101" s="536" t="s">
        <v>659</v>
      </c>
      <c r="G101" s="543">
        <v>0.01</v>
      </c>
      <c r="H101" s="543">
        <v>5.6519999999999999E-3</v>
      </c>
      <c r="I101" s="545">
        <v>0.4</v>
      </c>
      <c r="J101" s="537">
        <v>26</v>
      </c>
      <c r="K101" s="274"/>
      <c r="L101" s="274"/>
      <c r="M101" s="487">
        <f ca="1">IF('CDO Bespoke'!O102&lt;&gt;"",'CDO Bespoke'!O102,"")</f>
        <v>0.86539340582561997</v>
      </c>
      <c r="N101" s="488">
        <f ca="1">IF(M101&lt;&gt;"",ABS(MIN(-0.75*('CDO Bespoke'!Q102)+'CDO Bespoke'!T102,0)),"")</f>
        <v>0.86228878089106664</v>
      </c>
      <c r="O101" s="488">
        <f t="shared" ca="1" si="4"/>
        <v>3.1046249345533239E-3</v>
      </c>
      <c r="P101" s="488">
        <f t="shared" ca="1" si="5"/>
        <v>0</v>
      </c>
      <c r="Q101" s="487">
        <f ca="1">IF('CDO Bespoke'!O102&lt;&gt;"",'CDO Bespoke'!O102,"")</f>
        <v>0.86539340582561997</v>
      </c>
      <c r="R101" s="488">
        <f ca="1">IF(Q101&lt;&gt;"",ABS(MIN(-0.75*('CDO Bespoke'!K102)+'CDO Bespoke'!T102,0)),"")</f>
        <v>6.2262661887353493E-2</v>
      </c>
      <c r="S101" s="488">
        <f t="shared" ca="1" si="6"/>
        <v>0.80313074393826644</v>
      </c>
      <c r="T101" s="492">
        <f t="shared" ca="1" si="7"/>
        <v>0</v>
      </c>
      <c r="U101" s="274"/>
      <c r="V101" s="497" t="str">
        <f ca="1">IF('CDO Bespoke'!C126&lt;&gt;"",'CDO Bespoke'!C126,"")</f>
        <v>STMicroelectronics N.V.</v>
      </c>
      <c r="W101" s="499" cm="1">
        <f t="array" aca="1" ref="W101" ca="1">IF($V101&lt;&gt;"",-TRANSPOSE(INDEX(getcds('CDO Bespoke'!$C126,W$13,'CDO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X101" s="524" cm="1">
        <f t="array" aca="1" ref="X101" ca="1">IF($V101&lt;&gt;"",-TRANSPOSE(INDEX(getcds('CDO Bespoke'!$C126,X$13,'CDO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Y101" s="524" cm="1">
        <f t="array" aca="1" ref="Y101" ca="1">IF($V101&lt;&gt;"",-TRANSPOSE(INDEX(getcds('CDO Bespoke'!$C126,Y$13,'CDO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Z101" s="524" cm="1">
        <f t="array" aca="1" ref="Z101" ca="1">IF($V101&lt;&gt;"",-TRANSPOSE(INDEX(getcds('CDO Bespoke'!$C126,Z$13,'CDO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AA101" s="500" cm="1">
        <f t="array" aca="1" ref="AA101" ca="1">IF($V101&lt;&gt;"",-TRANSPOSE(INDEX(getcds('CDO Bespoke'!$C126,AA$13,'CDO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AB101" s="479"/>
      <c r="AC101" s="515"/>
      <c r="AD101" s="516"/>
      <c r="AE101" s="516"/>
      <c r="AF101" s="516"/>
      <c r="AG101" s="516"/>
      <c r="AH101" s="516"/>
      <c r="AI101" s="516"/>
      <c r="AJ101" s="516"/>
      <c r="AK101" s="516"/>
      <c r="AL101" s="517"/>
      <c r="AM101" s="534"/>
    </row>
    <row r="102" spans="2:39" ht="12" thickBot="1">
      <c r="B102" s="552" t="s">
        <v>524</v>
      </c>
      <c r="C102" s="553" t="s">
        <v>66</v>
      </c>
      <c r="D102" s="553" t="s">
        <v>59</v>
      </c>
      <c r="E102" s="553" t="s">
        <v>660</v>
      </c>
      <c r="F102" s="553" t="s">
        <v>659</v>
      </c>
      <c r="G102" s="554">
        <v>0.01</v>
      </c>
      <c r="H102" s="554">
        <v>8.0560000000000007E-3</v>
      </c>
      <c r="I102" s="555">
        <v>0.4</v>
      </c>
      <c r="J102" s="556">
        <v>26</v>
      </c>
      <c r="K102" s="274"/>
      <c r="L102" s="274"/>
      <c r="M102" s="487">
        <f ca="1">IF('CDO Bespoke'!O103&lt;&gt;"",'CDO Bespoke'!O103,"")</f>
        <v>0.86381994803850004</v>
      </c>
      <c r="N102" s="488">
        <f ca="1">IF(M102&lt;&gt;"",ABS(MIN(-0.75*('CDO Bespoke'!Q103)+'CDO Bespoke'!T103,0)),"")</f>
        <v>0.86482327607372633</v>
      </c>
      <c r="O102" s="488">
        <f t="shared" ca="1" si="4"/>
        <v>0</v>
      </c>
      <c r="P102" s="488">
        <f t="shared" ca="1" si="5"/>
        <v>0</v>
      </c>
      <c r="Q102" s="487">
        <f ca="1">IF('CDO Bespoke'!O103&lt;&gt;"",'CDO Bespoke'!O103,"")</f>
        <v>0.86381994803850004</v>
      </c>
      <c r="R102" s="488">
        <f ca="1">IF(Q102&lt;&gt;"",ABS(MIN(-0.75*('CDO Bespoke'!K103)+'CDO Bespoke'!T103,0)),"")</f>
        <v>0.10348959043251765</v>
      </c>
      <c r="S102" s="488">
        <f t="shared" ca="1" si="6"/>
        <v>0.76033035760598233</v>
      </c>
      <c r="T102" s="492">
        <f t="shared" ca="1" si="7"/>
        <v>0</v>
      </c>
      <c r="U102" s="274"/>
      <c r="V102" s="497" t="str">
        <f ca="1">IF('CDO Bespoke'!C127&lt;&gt;"",'CDO Bespoke'!C127,"")</f>
        <v>TELEFONICA, S.A.</v>
      </c>
      <c r="W102" s="499" cm="1">
        <f t="array" aca="1" ref="W102" ca="1">IF($V102&lt;&gt;"",-TRANSPOSE(INDEX(getcds('CDO Bespoke'!$C127,W$13,'CDO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X102" s="524" cm="1">
        <f t="array" aca="1" ref="X102" ca="1">IF($V102&lt;&gt;"",-TRANSPOSE(INDEX(getcds('CDO Bespoke'!$C127,X$13,'CDO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Y102" s="524" cm="1">
        <f t="array" aca="1" ref="Y102" ca="1">IF($V102&lt;&gt;"",-TRANSPOSE(INDEX(getcds('CDO Bespoke'!$C127,Y$13,'CDO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Z102" s="524" cm="1">
        <f t="array" aca="1" ref="Z102" ca="1">IF($V102&lt;&gt;"",-TRANSPOSE(INDEX(getcds('CDO Bespoke'!$C127,Z$13,'CDO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AA102" s="500" cm="1">
        <f t="array" aca="1" ref="AA102" ca="1">IF($V102&lt;&gt;"",-TRANSPOSE(INDEX(getcds('CDO Bespoke'!$C127,AA$13,'CDO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AB102" s="479"/>
      <c r="AC102" s="515"/>
      <c r="AD102" s="516"/>
      <c r="AE102" s="516"/>
      <c r="AF102" s="516"/>
      <c r="AG102" s="516"/>
      <c r="AH102" s="516"/>
      <c r="AI102" s="516"/>
      <c r="AJ102" s="516"/>
      <c r="AK102" s="516"/>
      <c r="AL102" s="517"/>
      <c r="AM102" s="534"/>
    </row>
    <row r="103" spans="2:39" ht="12" thickBot="1">
      <c r="B103" s="557" t="s">
        <v>525</v>
      </c>
      <c r="C103" s="558" t="s">
        <v>66</v>
      </c>
      <c r="D103" s="558" t="s">
        <v>55</v>
      </c>
      <c r="E103" s="558" t="s">
        <v>665</v>
      </c>
      <c r="F103" s="558" t="s">
        <v>662</v>
      </c>
      <c r="G103" s="559">
        <v>0.01</v>
      </c>
      <c r="H103" s="559">
        <v>2.0699999999999998E-3</v>
      </c>
      <c r="I103" s="560">
        <v>0.4</v>
      </c>
      <c r="J103" s="561">
        <v>27</v>
      </c>
      <c r="K103" s="274"/>
      <c r="L103" s="274"/>
      <c r="M103" s="487">
        <f ca="1">IF('CDO Bespoke'!O104&lt;&gt;"",'CDO Bespoke'!O104,"")</f>
        <v>0.86548401030224997</v>
      </c>
      <c r="N103" s="488">
        <f ca="1">IF(M103&lt;&gt;"",ABS(MIN(-0.75*('CDO Bespoke'!Q104)+'CDO Bespoke'!T104,0)),"")</f>
        <v>0.86203942009199963</v>
      </c>
      <c r="O103" s="488">
        <f t="shared" ca="1" si="4"/>
        <v>3.4445902102503423E-3</v>
      </c>
      <c r="P103" s="488">
        <f t="shared" ca="1" si="5"/>
        <v>0</v>
      </c>
      <c r="Q103" s="487">
        <f ca="1">IF('CDO Bespoke'!O104&lt;&gt;"",'CDO Bespoke'!O104,"")</f>
        <v>0.86548401030224997</v>
      </c>
      <c r="R103" s="488">
        <f ca="1">IF(Q103&lt;&gt;"",ABS(MIN(-0.75*('CDO Bespoke'!K104)+'CDO Bespoke'!T104,0)),"")</f>
        <v>5.7739984887439623E-2</v>
      </c>
      <c r="S103" s="488">
        <f t="shared" ca="1" si="6"/>
        <v>0.80774402541481038</v>
      </c>
      <c r="T103" s="492">
        <f t="shared" ca="1" si="7"/>
        <v>0</v>
      </c>
      <c r="U103" s="274"/>
      <c r="V103" s="497" t="str">
        <f ca="1">IF('CDO Bespoke'!C128&lt;&gt;"",'CDO Bespoke'!C128,"")</f>
        <v>Telekom Austria Aktiengesellschaft</v>
      </c>
      <c r="W103" s="499" cm="1">
        <f t="array" aca="1" ref="W103" ca="1">IF($V103&lt;&gt;"",-TRANSPOSE(INDEX(getcds('CDO Bespoke'!$C128,W$13,'CDO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X103" s="524" cm="1">
        <f t="array" aca="1" ref="X103" ca="1">IF($V103&lt;&gt;"",-TRANSPOSE(INDEX(getcds('CDO Bespoke'!$C128,X$13,'CDO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Y103" s="524" cm="1">
        <f t="array" aca="1" ref="Y103" ca="1">IF($V103&lt;&gt;"",-TRANSPOSE(INDEX(getcds('CDO Bespoke'!$C128,Y$13,'CDO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Z103" s="524" cm="1">
        <f t="array" aca="1" ref="Z103" ca="1">IF($V103&lt;&gt;"",-TRANSPOSE(INDEX(getcds('CDO Bespoke'!$C128,Z$13,'CDO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AA103" s="500" cm="1">
        <f t="array" aca="1" ref="AA103" ca="1">IF($V103&lt;&gt;"",-TRANSPOSE(INDEX(getcds('CDO Bespoke'!$C128,AA$13,'CDO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AB103" s="479"/>
      <c r="AC103" s="515"/>
      <c r="AD103" s="516"/>
      <c r="AE103" s="516"/>
      <c r="AF103" s="516"/>
      <c r="AG103" s="516"/>
      <c r="AH103" s="516"/>
      <c r="AI103" s="516"/>
      <c r="AJ103" s="516"/>
      <c r="AK103" s="516"/>
      <c r="AL103" s="517"/>
      <c r="AM103" s="534"/>
    </row>
    <row r="104" spans="2:39" ht="12" thickBot="1">
      <c r="B104" s="535" t="s">
        <v>525</v>
      </c>
      <c r="C104" s="536" t="s">
        <v>66</v>
      </c>
      <c r="D104" s="536" t="s">
        <v>57</v>
      </c>
      <c r="E104" s="536" t="s">
        <v>665</v>
      </c>
      <c r="F104" s="536" t="s">
        <v>662</v>
      </c>
      <c r="G104" s="543">
        <v>0.01</v>
      </c>
      <c r="H104" s="543">
        <v>3.297E-3</v>
      </c>
      <c r="I104" s="545">
        <v>0.4</v>
      </c>
      <c r="J104" s="537">
        <v>27</v>
      </c>
      <c r="K104" s="274"/>
      <c r="L104" s="274"/>
      <c r="M104" s="487">
        <f ca="1">IF('CDO Bespoke'!O105&lt;&gt;"",'CDO Bespoke'!O105,"")</f>
        <v>0.86548210376946999</v>
      </c>
      <c r="N104" s="488">
        <f ca="1">IF(M104&lt;&gt;"",ABS(MIN(-0.75*('CDO Bespoke'!Q105)+'CDO Bespoke'!T105,0)),"")</f>
        <v>0.86202205690848488</v>
      </c>
      <c r="O104" s="488">
        <f t="shared" ca="1" si="4"/>
        <v>3.4600468609851109E-3</v>
      </c>
      <c r="P104" s="488">
        <f t="shared" ca="1" si="5"/>
        <v>0</v>
      </c>
      <c r="Q104" s="487">
        <f ca="1">IF('CDO Bespoke'!O105&lt;&gt;"",'CDO Bespoke'!O105,"")</f>
        <v>0.86548210376946999</v>
      </c>
      <c r="R104" s="488">
        <f ca="1">IF(Q104&lt;&gt;"",ABS(MIN(-0.75*('CDO Bespoke'!K105)+'CDO Bespoke'!T105,0)),"")</f>
        <v>5.8289467450641827E-2</v>
      </c>
      <c r="S104" s="488">
        <f t="shared" ca="1" si="6"/>
        <v>0.8071926363188282</v>
      </c>
      <c r="T104" s="492">
        <f t="shared" ca="1" si="7"/>
        <v>0</v>
      </c>
      <c r="U104" s="274"/>
      <c r="V104" s="497" t="str">
        <f ca="1">IF('CDO Bespoke'!C129&lt;&gt;"",'CDO Bespoke'!C129,"")</f>
        <v>TELENOR ASA</v>
      </c>
      <c r="W104" s="499" cm="1">
        <f t="array" aca="1" ref="W104" ca="1">IF($V104&lt;&gt;"",-TRANSPOSE(INDEX(getcds('CDO Bespoke'!$C129,W$13,'CDO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X104" s="524" cm="1">
        <f t="array" aca="1" ref="X104" ca="1">IF($V104&lt;&gt;"",-TRANSPOSE(INDEX(getcds('CDO Bespoke'!$C129,X$13,'CDO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Y104" s="524" cm="1">
        <f t="array" aca="1" ref="Y104" ca="1">IF($V104&lt;&gt;"",-TRANSPOSE(INDEX(getcds('CDO Bespoke'!$C129,Y$13,'CDO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Z104" s="524" cm="1">
        <f t="array" aca="1" ref="Z104" ca="1">IF($V104&lt;&gt;"",-TRANSPOSE(INDEX(getcds('CDO Bespoke'!$C129,Z$13,'CDO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AA104" s="500" cm="1">
        <f t="array" aca="1" ref="AA104" ca="1">IF($V104&lt;&gt;"",-TRANSPOSE(INDEX(getcds('CDO Bespoke'!$C129,AA$13,'CDO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AB104" s="479"/>
      <c r="AC104" s="515"/>
      <c r="AD104" s="516"/>
      <c r="AE104" s="516"/>
      <c r="AF104" s="516"/>
      <c r="AG104" s="516"/>
      <c r="AH104" s="516"/>
      <c r="AI104" s="516"/>
      <c r="AJ104" s="516"/>
      <c r="AK104" s="516"/>
      <c r="AL104" s="517"/>
      <c r="AM104" s="534"/>
    </row>
    <row r="105" spans="2:39" ht="12" thickBot="1">
      <c r="B105" s="552" t="s">
        <v>525</v>
      </c>
      <c r="C105" s="553" t="s">
        <v>66</v>
      </c>
      <c r="D105" s="553" t="s">
        <v>59</v>
      </c>
      <c r="E105" s="553" t="s">
        <v>665</v>
      </c>
      <c r="F105" s="553" t="s">
        <v>662</v>
      </c>
      <c r="G105" s="554">
        <v>0.01</v>
      </c>
      <c r="H105" s="554">
        <v>4.411E-3</v>
      </c>
      <c r="I105" s="555">
        <v>0.4</v>
      </c>
      <c r="J105" s="556">
        <v>27</v>
      </c>
      <c r="K105" s="274"/>
      <c r="L105" s="274"/>
      <c r="M105" s="487">
        <f ca="1">IF('CDO Bespoke'!O106&lt;&gt;"",'CDO Bespoke'!O106,"")</f>
        <v>0.86544903876490997</v>
      </c>
      <c r="N105" s="488">
        <f ca="1">IF(M105&lt;&gt;"",ABS(MIN(-0.75*('CDO Bespoke'!Q106)+'CDO Bespoke'!T106,0)),"")</f>
        <v>0.86213604012818301</v>
      </c>
      <c r="O105" s="488">
        <f t="shared" ca="1" si="4"/>
        <v>3.3129986367269604E-3</v>
      </c>
      <c r="P105" s="488">
        <f t="shared" ca="1" si="5"/>
        <v>0</v>
      </c>
      <c r="Q105" s="487">
        <f ca="1">IF('CDO Bespoke'!O106&lt;&gt;"",'CDO Bespoke'!O106,"")</f>
        <v>0.86544903876490997</v>
      </c>
      <c r="R105" s="488">
        <f ca="1">IF(Q105&lt;&gt;"",ABS(MIN(-0.75*('CDO Bespoke'!K106)+'CDO Bespoke'!T106,0)),"")</f>
        <v>5.9696006822542697E-2</v>
      </c>
      <c r="S105" s="488">
        <f t="shared" ca="1" si="6"/>
        <v>0.80575303194236725</v>
      </c>
      <c r="T105" s="492">
        <f t="shared" ca="1" si="7"/>
        <v>0</v>
      </c>
      <c r="U105" s="274"/>
      <c r="V105" s="497" t="str">
        <f ca="1">IF('CDO Bespoke'!C130&lt;&gt;"",'CDO Bespoke'!C130,"")</f>
        <v>Telia Company AB</v>
      </c>
      <c r="W105" s="499" cm="1">
        <f t="array" aca="1" ref="W105" ca="1">IF($V105&lt;&gt;"",-TRANSPOSE(INDEX(getcds('CDO Bespoke'!$C130,W$13,'CDO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X105" s="524" cm="1">
        <f t="array" aca="1" ref="X105" ca="1">IF($V105&lt;&gt;"",-TRANSPOSE(INDEX(getcds('CDO Bespoke'!$C130,X$13,'CDO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Y105" s="524" cm="1">
        <f t="array" aca="1" ref="Y105" ca="1">IF($V105&lt;&gt;"",-TRANSPOSE(INDEX(getcds('CDO Bespoke'!$C130,Y$13,'CDO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Z105" s="524" cm="1">
        <f t="array" aca="1" ref="Z105" ca="1">IF($V105&lt;&gt;"",-TRANSPOSE(INDEX(getcds('CDO Bespoke'!$C130,Z$13,'CDO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AA105" s="500" cm="1">
        <f t="array" aca="1" ref="AA105" ca="1">IF($V105&lt;&gt;"",-TRANSPOSE(INDEX(getcds('CDO Bespoke'!$C130,AA$13,'CDO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AB105" s="479"/>
      <c r="AC105" s="515"/>
      <c r="AD105" s="516"/>
      <c r="AE105" s="516"/>
      <c r="AF105" s="516"/>
      <c r="AG105" s="516"/>
      <c r="AH105" s="516"/>
      <c r="AI105" s="516"/>
      <c r="AJ105" s="516"/>
      <c r="AK105" s="516"/>
      <c r="AL105" s="517"/>
      <c r="AM105" s="534"/>
    </row>
    <row r="106" spans="2:39" ht="12" thickBot="1">
      <c r="B106" s="557" t="s">
        <v>526</v>
      </c>
      <c r="C106" s="558" t="s">
        <v>66</v>
      </c>
      <c r="D106" s="558" t="s">
        <v>55</v>
      </c>
      <c r="E106" s="558" t="s">
        <v>665</v>
      </c>
      <c r="F106" s="558" t="s">
        <v>662</v>
      </c>
      <c r="G106" s="559">
        <v>0.01</v>
      </c>
      <c r="H106" s="559">
        <v>2.3649999999999999E-3</v>
      </c>
      <c r="I106" s="560">
        <v>0.4</v>
      </c>
      <c r="J106" s="561">
        <v>28</v>
      </c>
      <c r="K106" s="274"/>
      <c r="L106" s="274"/>
      <c r="M106" s="487">
        <f ca="1">IF('CDO Bespoke'!O107&lt;&gt;"",'CDO Bespoke'!O107,"")</f>
        <v>0.86447767058597003</v>
      </c>
      <c r="N106" s="488">
        <f ca="1">IF(M106&lt;&gt;"",ABS(MIN(-0.75*('CDO Bespoke'!Q107)+'CDO Bespoke'!T107,0)),"")</f>
        <v>0.86400124602343176</v>
      </c>
      <c r="O106" s="488">
        <f t="shared" ca="1" si="4"/>
        <v>4.7642456253826904E-4</v>
      </c>
      <c r="P106" s="488">
        <f t="shared" ca="1" si="5"/>
        <v>0</v>
      </c>
      <c r="Q106" s="487">
        <f ca="1">IF('CDO Bespoke'!O107&lt;&gt;"",'CDO Bespoke'!O107,"")</f>
        <v>0.86447767058597003</v>
      </c>
      <c r="R106" s="488">
        <f ca="1">IF(Q106&lt;&gt;"",ABS(MIN(-0.75*('CDO Bespoke'!K107)+'CDO Bespoke'!T107,0)),"")</f>
        <v>8.9420791941161704E-2</v>
      </c>
      <c r="S106" s="488">
        <f t="shared" ca="1" si="6"/>
        <v>0.77505687864480832</v>
      </c>
      <c r="T106" s="492">
        <f t="shared" ca="1" si="7"/>
        <v>0</v>
      </c>
      <c r="U106" s="274"/>
      <c r="V106" s="497" t="str">
        <f ca="1">IF('CDO Bespoke'!C131&lt;&gt;"",'CDO Bespoke'!C131,"")</f>
        <v>Vivendi SE</v>
      </c>
      <c r="W106" s="499" cm="1">
        <f t="array" aca="1" ref="W106" ca="1">IF($V106&lt;&gt;"",-TRANSPOSE(INDEX(getcds('CDO Bespoke'!$C131,W$13,'CDO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X106" s="524" cm="1">
        <f t="array" aca="1" ref="X106" ca="1">IF($V106&lt;&gt;"",-TRANSPOSE(INDEX(getcds('CDO Bespoke'!$C131,X$13,'CDO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Y106" s="524" cm="1">
        <f t="array" aca="1" ref="Y106" ca="1">IF($V106&lt;&gt;"",-TRANSPOSE(INDEX(getcds('CDO Bespoke'!$C131,Y$13,'CDO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Z106" s="524" cm="1">
        <f t="array" aca="1" ref="Z106" ca="1">IF($V106&lt;&gt;"",-TRANSPOSE(INDEX(getcds('CDO Bespoke'!$C131,Z$13,'CDO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AA106" s="500" cm="1">
        <f t="array" aca="1" ref="AA106" ca="1">IF($V106&lt;&gt;"",-TRANSPOSE(INDEX(getcds('CDO Bespoke'!$C131,AA$13,'CDO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AB106" s="479"/>
      <c r="AC106" s="515"/>
      <c r="AD106" s="516"/>
      <c r="AE106" s="516"/>
      <c r="AF106" s="516"/>
      <c r="AG106" s="516"/>
      <c r="AH106" s="516"/>
      <c r="AI106" s="516"/>
      <c r="AJ106" s="516"/>
      <c r="AK106" s="516"/>
      <c r="AL106" s="517"/>
      <c r="AM106" s="534"/>
    </row>
    <row r="107" spans="2:39" ht="12" thickBot="1">
      <c r="B107" s="535" t="s">
        <v>526</v>
      </c>
      <c r="C107" s="536" t="s">
        <v>66</v>
      </c>
      <c r="D107" s="536" t="s">
        <v>57</v>
      </c>
      <c r="E107" s="536" t="s">
        <v>665</v>
      </c>
      <c r="F107" s="536" t="s">
        <v>662</v>
      </c>
      <c r="G107" s="543">
        <v>0.01</v>
      </c>
      <c r="H107" s="543">
        <v>3.4499999999999999E-3</v>
      </c>
      <c r="I107" s="545">
        <v>0.4</v>
      </c>
      <c r="J107" s="537">
        <v>28</v>
      </c>
      <c r="K107" s="274"/>
      <c r="L107" s="274"/>
      <c r="M107" s="487">
        <f ca="1">IF('CDO Bespoke'!O108&lt;&gt;"",'CDO Bespoke'!O108,"")</f>
        <v>0.86415488932361995</v>
      </c>
      <c r="N107" s="488">
        <f ca="1">IF(M107&lt;&gt;"",ABS(MIN(-0.75*('CDO Bespoke'!Q108)+'CDO Bespoke'!T108,0)),"")</f>
        <v>0.86440637031312328</v>
      </c>
      <c r="O107" s="488">
        <f t="shared" ca="1" si="4"/>
        <v>0</v>
      </c>
      <c r="P107" s="488">
        <f t="shared" ca="1" si="5"/>
        <v>0</v>
      </c>
      <c r="Q107" s="487">
        <f ca="1">IF('CDO Bespoke'!O108&lt;&gt;"",'CDO Bespoke'!O108,"")</f>
        <v>0.86415488932361995</v>
      </c>
      <c r="R107" s="488">
        <f ca="1">IF(Q107&lt;&gt;"",ABS(MIN(-0.75*('CDO Bespoke'!K108)+'CDO Bespoke'!T108,0)),"")</f>
        <v>9.6978158595103808E-2</v>
      </c>
      <c r="S107" s="488">
        <f t="shared" ca="1" si="6"/>
        <v>0.76717673072851611</v>
      </c>
      <c r="T107" s="492">
        <f t="shared" ca="1" si="7"/>
        <v>0</v>
      </c>
      <c r="U107" s="274"/>
      <c r="V107" s="497" t="str">
        <f ca="1">IF('CDO Bespoke'!C132&lt;&gt;"",'CDO Bespoke'!C132,"")</f>
        <v>VODAFONE GROUP PUBLIC LIMITED COMPANY</v>
      </c>
      <c r="W107" s="499" cm="1">
        <f t="array" aca="1" ref="W107" ca="1">IF($V107&lt;&gt;"",-TRANSPOSE(INDEX(getcds('CDO Bespoke'!$C132,W$13,'CDO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X107" s="524" cm="1">
        <f t="array" aca="1" ref="X107" ca="1">IF($V107&lt;&gt;"",-TRANSPOSE(INDEX(getcds('CDO Bespoke'!$C132,X$13,'CDO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Y107" s="524" cm="1">
        <f t="array" aca="1" ref="Y107" ca="1">IF($V107&lt;&gt;"",-TRANSPOSE(INDEX(getcds('CDO Bespoke'!$C132,Y$13,'CDO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Z107" s="524" cm="1">
        <f t="array" aca="1" ref="Z107" ca="1">IF($V107&lt;&gt;"",-TRANSPOSE(INDEX(getcds('CDO Bespoke'!$C132,Z$13,'CDO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AA107" s="500" cm="1">
        <f t="array" aca="1" ref="AA107" ca="1">IF($V107&lt;&gt;"",-TRANSPOSE(INDEX(getcds('CDO Bespoke'!$C132,AA$13,'CDO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AB107" s="479"/>
      <c r="AC107" s="515"/>
      <c r="AD107" s="516"/>
      <c r="AE107" s="516"/>
      <c r="AF107" s="516"/>
      <c r="AG107" s="516"/>
      <c r="AH107" s="516"/>
      <c r="AI107" s="516"/>
      <c r="AJ107" s="516"/>
      <c r="AK107" s="516"/>
      <c r="AL107" s="517"/>
      <c r="AM107" s="534"/>
    </row>
    <row r="108" spans="2:39" ht="12" thickBot="1">
      <c r="B108" s="552" t="s">
        <v>526</v>
      </c>
      <c r="C108" s="553" t="s">
        <v>66</v>
      </c>
      <c r="D108" s="553" t="s">
        <v>59</v>
      </c>
      <c r="E108" s="553" t="s">
        <v>665</v>
      </c>
      <c r="F108" s="553" t="s">
        <v>662</v>
      </c>
      <c r="G108" s="554">
        <v>0.01</v>
      </c>
      <c r="H108" s="554">
        <v>4.6579999999999998E-3</v>
      </c>
      <c r="I108" s="555">
        <v>0.4</v>
      </c>
      <c r="J108" s="556">
        <v>28</v>
      </c>
      <c r="K108" s="274"/>
      <c r="L108" s="274"/>
      <c r="M108" s="487">
        <f ca="1">IF('CDO Bespoke'!O109&lt;&gt;"",'CDO Bespoke'!O109,"")</f>
        <v>0.86428371051473996</v>
      </c>
      <c r="N108" s="488">
        <f ca="1">IF(M108&lt;&gt;"",ABS(MIN(-0.75*('CDO Bespoke'!Q109)+'CDO Bespoke'!T109,0)),"")</f>
        <v>0.86421833608945853</v>
      </c>
      <c r="O108" s="488">
        <f t="shared" ca="1" si="4"/>
        <v>6.5374425281428117E-5</v>
      </c>
      <c r="P108" s="488">
        <f t="shared" ca="1" si="5"/>
        <v>0</v>
      </c>
      <c r="Q108" s="487">
        <f ca="1">IF('CDO Bespoke'!O109&lt;&gt;"",'CDO Bespoke'!O109,"")</f>
        <v>0.86428371051473996</v>
      </c>
      <c r="R108" s="488">
        <f ca="1">IF(Q108&lt;&gt;"",ABS(MIN(-0.75*('CDO Bespoke'!K109)+'CDO Bespoke'!T109,0)),"")</f>
        <v>9.4342626332322599E-2</v>
      </c>
      <c r="S108" s="488">
        <f t="shared" ca="1" si="6"/>
        <v>0.76994108418241736</v>
      </c>
      <c r="T108" s="492">
        <f t="shared" ca="1" si="7"/>
        <v>0</v>
      </c>
      <c r="U108" s="274"/>
      <c r="V108" s="497" t="str">
        <f ca="1">IF('CDO Bespoke'!C133&lt;&gt;"",'CDO Bespoke'!C133,"")</f>
        <v>WPP 2005 LIMITED</v>
      </c>
      <c r="W108" s="499" cm="1">
        <f t="array" aca="1" ref="W108" ca="1">IF($V108&lt;&gt;"",-TRANSPOSE(INDEX(getcds('CDO Bespoke'!$C133,W$13,'CDO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X108" s="524" cm="1">
        <f t="array" aca="1" ref="X108" ca="1">IF($V108&lt;&gt;"",-TRANSPOSE(INDEX(getcds('CDO Bespoke'!$C133,X$13,'CDO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Y108" s="524" cm="1">
        <f t="array" aca="1" ref="Y108" ca="1">IF($V108&lt;&gt;"",-TRANSPOSE(INDEX(getcds('CDO Bespoke'!$C133,Y$13,'CDO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Z108" s="524" cm="1">
        <f t="array" aca="1" ref="Z108" ca="1">IF($V108&lt;&gt;"",-TRANSPOSE(INDEX(getcds('CDO Bespoke'!$C133,Z$13,'CDO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AA108" s="500" cm="1">
        <f t="array" aca="1" ref="AA108" ca="1">IF($V108&lt;&gt;"",-TRANSPOSE(INDEX(getcds('CDO Bespoke'!$C133,AA$13,'CDO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AB108" s="479"/>
      <c r="AC108" s="515"/>
      <c r="AD108" s="516"/>
      <c r="AE108" s="516"/>
      <c r="AF108" s="516"/>
      <c r="AG108" s="516"/>
      <c r="AH108" s="516"/>
      <c r="AI108" s="516"/>
      <c r="AJ108" s="516"/>
      <c r="AK108" s="516"/>
      <c r="AL108" s="517"/>
      <c r="AM108" s="534"/>
    </row>
    <row r="109" spans="2:39" ht="12" thickBot="1">
      <c r="B109" s="557" t="s">
        <v>540</v>
      </c>
      <c r="C109" s="558" t="s">
        <v>66</v>
      </c>
      <c r="D109" s="558" t="s">
        <v>55</v>
      </c>
      <c r="E109" s="558" t="s">
        <v>660</v>
      </c>
      <c r="F109" s="558" t="s">
        <v>659</v>
      </c>
      <c r="G109" s="559">
        <v>0.01</v>
      </c>
      <c r="H109" s="559">
        <v>2.9680000000000002E-3</v>
      </c>
      <c r="I109" s="560">
        <v>0.4</v>
      </c>
      <c r="J109" s="561">
        <v>29</v>
      </c>
      <c r="K109" s="274"/>
      <c r="L109" s="274"/>
      <c r="M109" s="487" t="str">
        <f ca="1">IF('CDO Bespoke'!O110&lt;&gt;"",'CDO Bespoke'!O110,"")</f>
        <v/>
      </c>
      <c r="N109" s="488" t="str">
        <f ca="1">IF(M109&lt;&gt;"",ABS(MIN(-0.75*('CDO Bespoke'!Q110)+'CDO Bespoke'!T110,0)),"")</f>
        <v/>
      </c>
      <c r="O109" s="488">
        <f t="shared" ca="1" si="4"/>
        <v>0</v>
      </c>
      <c r="P109" s="488">
        <f t="shared" ca="1" si="5"/>
        <v>0</v>
      </c>
      <c r="Q109" s="487" t="str">
        <f ca="1">IF('CDO Bespoke'!O110&lt;&gt;"",'CDO Bespoke'!O110,"")</f>
        <v/>
      </c>
      <c r="R109" s="488" t="str">
        <f ca="1">IF(Q109&lt;&gt;"",ABS(MIN(-0.75*('CDO Bespoke'!K110)+'CDO Bespoke'!T110,0)),"")</f>
        <v/>
      </c>
      <c r="S109" s="488">
        <f t="shared" ca="1" si="6"/>
        <v>0</v>
      </c>
      <c r="T109" s="492">
        <f t="shared" ca="1" si="7"/>
        <v>0</v>
      </c>
      <c r="U109" s="274"/>
      <c r="V109" s="497" t="str">
        <f ca="1">IF('CDO Bespoke'!C134&lt;&gt;"",'CDO Bespoke'!C134,"")</f>
        <v/>
      </c>
      <c r="W109" s="499" t="str" cm="1">
        <f t="array" aca="1" ref="W109" ca="1">IF($V109&lt;&gt;"",-TRANSPOSE(INDEX(getcds('CDO Bespoke'!$C134,W$13,'CDO Bespoke'!$G134/10000,'CDO Bespoke'!F134,'CDO Bespoke'!$L110,'CDO Bespoke'!$C$13,'CDO Bespoke'!$C$14,'CDO Bespoke'!$C$15,'CDO Bespoke'!$C$8,,,TRUE,TRUE,FALSE,'CDO Bespoke'!$C$29:'CDO Bespoke'!$C$31,'CDO Bespoke'!$C$33),{5})),"")</f>
        <v/>
      </c>
      <c r="X109" s="524" t="str" cm="1">
        <f t="array" aca="1" ref="X109" ca="1">IF($V109&lt;&gt;"",-TRANSPOSE(INDEX(getcds('CDO Bespoke'!$C134,X$13,'CDO Bespoke'!$G134/10000,'CDO Bespoke'!G134,'CDO Bespoke'!$L110,'CDO Bespoke'!$C$13,'CDO Bespoke'!$C$14,'CDO Bespoke'!$C$15,'CDO Bespoke'!$C$8,,,TRUE,TRUE,FALSE,'CDO Bespoke'!$C$29:'CDO Bespoke'!$C$31,'CDO Bespoke'!$C$33),{5})),"")</f>
        <v/>
      </c>
      <c r="Y109" s="524" t="str" cm="1">
        <f t="array" aca="1" ref="Y109" ca="1">IF($V109&lt;&gt;"",-TRANSPOSE(INDEX(getcds('CDO Bespoke'!$C134,Y$13,'CDO Bespoke'!$G134/10000,'CDO Bespoke'!H134,'CDO Bespoke'!$L110,'CDO Bespoke'!$C$13,'CDO Bespoke'!$C$14,'CDO Bespoke'!$C$15,'CDO Bespoke'!$C$8,,,TRUE,TRUE,FALSE,'CDO Bespoke'!$C$29:'CDO Bespoke'!$C$31,'CDO Bespoke'!$C$33),{5})),"")</f>
        <v/>
      </c>
      <c r="Z109" s="524" t="str" cm="1">
        <f t="array" aca="1" ref="Z109" ca="1">IF($V109&lt;&gt;"",-TRANSPOSE(INDEX(getcds('CDO Bespoke'!$C134,Z$13,'CDO Bespoke'!$G134/10000,'CDO Bespoke'!I134,'CDO Bespoke'!$L110,'CDO Bespoke'!$C$13,'CDO Bespoke'!$C$14,'CDO Bespoke'!$C$15,'CDO Bespoke'!$C$8,,,TRUE,TRUE,FALSE,'CDO Bespoke'!$C$29:'CDO Bespoke'!$C$31,'CDO Bespoke'!$C$33),{5})),"")</f>
        <v/>
      </c>
      <c r="AA109" s="500" t="str" cm="1">
        <f t="array" aca="1" ref="AA109" ca="1">IF($V109&lt;&gt;"",-TRANSPOSE(INDEX(getcds('CDO Bespoke'!$C134,AA$13,'CDO Bespoke'!$G134/10000,'CDO Bespoke'!J134,'CDO Bespoke'!$L110,'CDO Bespoke'!$C$13,'CDO Bespoke'!$C$14,'CDO Bespoke'!$C$15,'CDO Bespoke'!$C$8,,,TRUE,TRUE,FALSE,'CDO Bespoke'!$C$29:'CDO Bespoke'!$C$31,'CDO Bespoke'!$C$33),{5})),"")</f>
        <v/>
      </c>
      <c r="AB109" s="479"/>
      <c r="AC109" s="515"/>
      <c r="AD109" s="516"/>
      <c r="AE109" s="516"/>
      <c r="AF109" s="516"/>
      <c r="AG109" s="516"/>
      <c r="AH109" s="516"/>
      <c r="AI109" s="516"/>
      <c r="AJ109" s="516"/>
      <c r="AK109" s="516"/>
      <c r="AL109" s="517"/>
      <c r="AM109" s="534"/>
    </row>
    <row r="110" spans="2:39" ht="12" thickBot="1">
      <c r="B110" s="535" t="s">
        <v>540</v>
      </c>
      <c r="C110" s="536" t="s">
        <v>66</v>
      </c>
      <c r="D110" s="536" t="s">
        <v>57</v>
      </c>
      <c r="E110" s="536" t="s">
        <v>660</v>
      </c>
      <c r="F110" s="536" t="s">
        <v>659</v>
      </c>
      <c r="G110" s="543">
        <v>0.01</v>
      </c>
      <c r="H110" s="543">
        <v>4.8170000000000001E-3</v>
      </c>
      <c r="I110" s="545">
        <v>0.4</v>
      </c>
      <c r="J110" s="537">
        <v>29</v>
      </c>
      <c r="K110" s="274"/>
      <c r="L110" s="274"/>
      <c r="M110" s="487" t="str">
        <f ca="1">IF('CDO Bespoke'!O111&lt;&gt;"",'CDO Bespoke'!O111,"")</f>
        <v/>
      </c>
      <c r="N110" s="488" t="str">
        <f ca="1">IF(M110&lt;&gt;"",ABS(MIN(-0.75*('CDO Bespoke'!Q111)+'CDO Bespoke'!T111,0)),"")</f>
        <v/>
      </c>
      <c r="O110" s="488">
        <f t="shared" ca="1" si="4"/>
        <v>0</v>
      </c>
      <c r="P110" s="488">
        <f t="shared" ca="1" si="5"/>
        <v>0</v>
      </c>
      <c r="Q110" s="487" t="str">
        <f ca="1">IF('CDO Bespoke'!O111&lt;&gt;"",'CDO Bespoke'!O111,"")</f>
        <v/>
      </c>
      <c r="R110" s="488" t="str">
        <f ca="1">IF(Q110&lt;&gt;"",ABS(MIN(-0.75*('CDO Bespoke'!K111)+'CDO Bespoke'!T111,0)),"")</f>
        <v/>
      </c>
      <c r="S110" s="488">
        <f t="shared" ca="1" si="6"/>
        <v>0</v>
      </c>
      <c r="T110" s="492">
        <f t="shared" ca="1" si="7"/>
        <v>0</v>
      </c>
      <c r="U110" s="274"/>
      <c r="V110" s="497" t="str">
        <f ca="1">IF('CDO Bespoke'!C135&lt;&gt;"",'CDO Bespoke'!C135,"")</f>
        <v/>
      </c>
      <c r="W110" s="499" t="str" cm="1">
        <f t="array" aca="1" ref="W110" ca="1">IF($V110&lt;&gt;"",-TRANSPOSE(INDEX(getcds('CDO Bespoke'!$C135,W$13,'CDO Bespoke'!$G135/10000,'CDO Bespoke'!F135,'CDO Bespoke'!$L111,'CDO Bespoke'!$C$13,'CDO Bespoke'!$C$14,'CDO Bespoke'!$C$15,'CDO Bespoke'!$C$8,,,TRUE,TRUE,FALSE,'CDO Bespoke'!$C$29:'CDO Bespoke'!$C$31,'CDO Bespoke'!$C$33),{5})),"")</f>
        <v/>
      </c>
      <c r="X110" s="524" t="str" cm="1">
        <f t="array" aca="1" ref="X110" ca="1">IF($V110&lt;&gt;"",-TRANSPOSE(INDEX(getcds('CDO Bespoke'!$C135,X$13,'CDO Bespoke'!$G135/10000,'CDO Bespoke'!G135,'CDO Bespoke'!$L111,'CDO Bespoke'!$C$13,'CDO Bespoke'!$C$14,'CDO Bespoke'!$C$15,'CDO Bespoke'!$C$8,,,TRUE,TRUE,FALSE,'CDO Bespoke'!$C$29:'CDO Bespoke'!$C$31,'CDO Bespoke'!$C$33),{5})),"")</f>
        <v/>
      </c>
      <c r="Y110" s="524" t="str" cm="1">
        <f t="array" aca="1" ref="Y110" ca="1">IF($V110&lt;&gt;"",-TRANSPOSE(INDEX(getcds('CDO Bespoke'!$C135,Y$13,'CDO Bespoke'!$G135/10000,'CDO Bespoke'!H135,'CDO Bespoke'!$L111,'CDO Bespoke'!$C$13,'CDO Bespoke'!$C$14,'CDO Bespoke'!$C$15,'CDO Bespoke'!$C$8,,,TRUE,TRUE,FALSE,'CDO Bespoke'!$C$29:'CDO Bespoke'!$C$31,'CDO Bespoke'!$C$33),{5})),"")</f>
        <v/>
      </c>
      <c r="Z110" s="524" t="str" cm="1">
        <f t="array" aca="1" ref="Z110" ca="1">IF($V110&lt;&gt;"",-TRANSPOSE(INDEX(getcds('CDO Bespoke'!$C135,Z$13,'CDO Bespoke'!$G135/10000,'CDO Bespoke'!I135,'CDO Bespoke'!$L111,'CDO Bespoke'!$C$13,'CDO Bespoke'!$C$14,'CDO Bespoke'!$C$15,'CDO Bespoke'!$C$8,,,TRUE,TRUE,FALSE,'CDO Bespoke'!$C$29:'CDO Bespoke'!$C$31,'CDO Bespoke'!$C$33),{5})),"")</f>
        <v/>
      </c>
      <c r="AA110" s="500" t="str" cm="1">
        <f t="array" aca="1" ref="AA110" ca="1">IF($V110&lt;&gt;"",-TRANSPOSE(INDEX(getcds('CDO Bespoke'!$C135,AA$13,'CDO Bespoke'!$G135/10000,'CDO Bespoke'!J135,'CDO Bespoke'!$L111,'CDO Bespoke'!$C$13,'CDO Bespoke'!$C$14,'CDO Bespoke'!$C$15,'CDO Bespoke'!$C$8,,,TRUE,TRUE,FALSE,'CDO Bespoke'!$C$29:'CDO Bespoke'!$C$31,'CDO Bespoke'!$C$33),{5})),"")</f>
        <v/>
      </c>
      <c r="AB110" s="479"/>
      <c r="AC110" s="515"/>
      <c r="AD110" s="516"/>
      <c r="AE110" s="516"/>
      <c r="AF110" s="516"/>
      <c r="AG110" s="516"/>
      <c r="AH110" s="516"/>
      <c r="AI110" s="516"/>
      <c r="AJ110" s="516"/>
      <c r="AK110" s="516"/>
      <c r="AL110" s="517"/>
      <c r="AM110" s="534"/>
    </row>
    <row r="111" spans="2:39" ht="12" thickBot="1">
      <c r="B111" s="552" t="s">
        <v>540</v>
      </c>
      <c r="C111" s="553" t="s">
        <v>66</v>
      </c>
      <c r="D111" s="553" t="s">
        <v>59</v>
      </c>
      <c r="E111" s="553" t="s">
        <v>660</v>
      </c>
      <c r="F111" s="553" t="s">
        <v>659</v>
      </c>
      <c r="G111" s="554">
        <v>0.01</v>
      </c>
      <c r="H111" s="554">
        <v>7.1079999999999997E-3</v>
      </c>
      <c r="I111" s="555">
        <v>0.4</v>
      </c>
      <c r="J111" s="556">
        <v>29</v>
      </c>
      <c r="K111" s="274"/>
      <c r="L111" s="274"/>
      <c r="M111" s="487" t="str">
        <f ca="1">IF('CDO Bespoke'!O112&lt;&gt;"",'CDO Bespoke'!O112,"")</f>
        <v/>
      </c>
      <c r="N111" s="488" t="str">
        <f ca="1">IF(M111&lt;&gt;"",ABS(MIN(-0.75*('CDO Bespoke'!Q112)+'CDO Bespoke'!T112,0)),"")</f>
        <v/>
      </c>
      <c r="O111" s="488">
        <f t="shared" ca="1" si="4"/>
        <v>0</v>
      </c>
      <c r="P111" s="488">
        <f t="shared" ca="1" si="5"/>
        <v>0</v>
      </c>
      <c r="Q111" s="487" t="str">
        <f ca="1">IF('CDO Bespoke'!O112&lt;&gt;"",'CDO Bespoke'!O112,"")</f>
        <v/>
      </c>
      <c r="R111" s="488" t="str">
        <f ca="1">IF(Q111&lt;&gt;"",ABS(MIN(-0.75*('CDO Bespoke'!K112)+'CDO Bespoke'!T112,0)),"")</f>
        <v/>
      </c>
      <c r="S111" s="488">
        <f t="shared" ca="1" si="6"/>
        <v>0</v>
      </c>
      <c r="T111" s="492">
        <f t="shared" ca="1" si="7"/>
        <v>0</v>
      </c>
      <c r="U111" s="274"/>
      <c r="V111" s="497" t="str">
        <f ca="1">IF('CDO Bespoke'!C136&lt;&gt;"",'CDO Bespoke'!C136,"")</f>
        <v/>
      </c>
      <c r="W111" s="499" t="str" cm="1">
        <f t="array" aca="1" ref="W111" ca="1">IF($V111&lt;&gt;"",-TRANSPOSE(INDEX(getcds('CDO Bespoke'!$C136,W$13,'CDO Bespoke'!$G136/10000,'CDO Bespoke'!F136,'CDO Bespoke'!$L112,'CDO Bespoke'!$C$13,'CDO Bespoke'!$C$14,'CDO Bespoke'!$C$15,'CDO Bespoke'!$C$8,,,TRUE,TRUE,FALSE,'CDO Bespoke'!$C$29:'CDO Bespoke'!$C$31,'CDO Bespoke'!$C$33),{5})),"")</f>
        <v/>
      </c>
      <c r="X111" s="524" t="str" cm="1">
        <f t="array" aca="1" ref="X111" ca="1">IF($V111&lt;&gt;"",-TRANSPOSE(INDEX(getcds('CDO Bespoke'!$C136,X$13,'CDO Bespoke'!$G136/10000,'CDO Bespoke'!G136,'CDO Bespoke'!$L112,'CDO Bespoke'!$C$13,'CDO Bespoke'!$C$14,'CDO Bespoke'!$C$15,'CDO Bespoke'!$C$8,,,TRUE,TRUE,FALSE,'CDO Bespoke'!$C$29:'CDO Bespoke'!$C$31,'CDO Bespoke'!$C$33),{5})),"")</f>
        <v/>
      </c>
      <c r="Y111" s="524" t="str" cm="1">
        <f t="array" aca="1" ref="Y111" ca="1">IF($V111&lt;&gt;"",-TRANSPOSE(INDEX(getcds('CDO Bespoke'!$C136,Y$13,'CDO Bespoke'!$G136/10000,'CDO Bespoke'!H136,'CDO Bespoke'!$L112,'CDO Bespoke'!$C$13,'CDO Bespoke'!$C$14,'CDO Bespoke'!$C$15,'CDO Bespoke'!$C$8,,,TRUE,TRUE,FALSE,'CDO Bespoke'!$C$29:'CDO Bespoke'!$C$31,'CDO Bespoke'!$C$33),{5})),"")</f>
        <v/>
      </c>
      <c r="Z111" s="524" t="str" cm="1">
        <f t="array" aca="1" ref="Z111" ca="1">IF($V111&lt;&gt;"",-TRANSPOSE(INDEX(getcds('CDO Bespoke'!$C136,Z$13,'CDO Bespoke'!$G136/10000,'CDO Bespoke'!I136,'CDO Bespoke'!$L112,'CDO Bespoke'!$C$13,'CDO Bespoke'!$C$14,'CDO Bespoke'!$C$15,'CDO Bespoke'!$C$8,,,TRUE,TRUE,FALSE,'CDO Bespoke'!$C$29:'CDO Bespoke'!$C$31,'CDO Bespoke'!$C$33),{5})),"")</f>
        <v/>
      </c>
      <c r="AA111" s="500" t="str" cm="1">
        <f t="array" aca="1" ref="AA111" ca="1">IF($V111&lt;&gt;"",-TRANSPOSE(INDEX(getcds('CDO Bespoke'!$C136,AA$13,'CDO Bespoke'!$G136/10000,'CDO Bespoke'!J136,'CDO Bespoke'!$L112,'CDO Bespoke'!$C$13,'CDO Bespoke'!$C$14,'CDO Bespoke'!$C$15,'CDO Bespoke'!$C$8,,,TRUE,TRUE,FALSE,'CDO Bespoke'!$C$29:'CDO Bespoke'!$C$31,'CDO Bespoke'!$C$33),{5})),"")</f>
        <v/>
      </c>
      <c r="AB111" s="479"/>
      <c r="AC111" s="515"/>
      <c r="AD111" s="516"/>
      <c r="AE111" s="516"/>
      <c r="AF111" s="516"/>
      <c r="AG111" s="516"/>
      <c r="AH111" s="516"/>
      <c r="AI111" s="516"/>
      <c r="AJ111" s="516"/>
      <c r="AK111" s="516"/>
      <c r="AL111" s="517"/>
      <c r="AM111" s="534"/>
    </row>
    <row r="112" spans="2:39" ht="12" thickBot="1">
      <c r="B112" s="557" t="s">
        <v>541</v>
      </c>
      <c r="C112" s="558" t="s">
        <v>66</v>
      </c>
      <c r="D112" s="558" t="s">
        <v>55</v>
      </c>
      <c r="E112" s="558" t="s">
        <v>660</v>
      </c>
      <c r="F112" s="558" t="s">
        <v>661</v>
      </c>
      <c r="G112" s="559">
        <v>0.01</v>
      </c>
      <c r="H112" s="559">
        <v>5.1580000000000003E-3</v>
      </c>
      <c r="I112" s="560">
        <v>0.4</v>
      </c>
      <c r="J112" s="561">
        <v>30</v>
      </c>
      <c r="K112" s="274"/>
      <c r="L112" s="274"/>
      <c r="M112" s="487" t="str">
        <f ca="1">IF('CDO Bespoke'!O113&lt;&gt;"",'CDO Bespoke'!O113,"")</f>
        <v/>
      </c>
      <c r="N112" s="488" t="str">
        <f ca="1">IF(M112&lt;&gt;"",ABS(MIN(-0.75*('CDO Bespoke'!Q113)+'CDO Bespoke'!T113,0)),"")</f>
        <v/>
      </c>
      <c r="O112" s="488">
        <f t="shared" ca="1" si="4"/>
        <v>0</v>
      </c>
      <c r="P112" s="488">
        <f t="shared" ca="1" si="5"/>
        <v>0</v>
      </c>
      <c r="Q112" s="487" t="str">
        <f ca="1">IF('CDO Bespoke'!O113&lt;&gt;"",'CDO Bespoke'!O113,"")</f>
        <v/>
      </c>
      <c r="R112" s="488" t="str">
        <f ca="1">IF(Q112&lt;&gt;"",ABS(MIN(-0.75*('CDO Bespoke'!K113)+'CDO Bespoke'!T113,0)),"")</f>
        <v/>
      </c>
      <c r="S112" s="488">
        <f t="shared" ca="1" si="6"/>
        <v>0</v>
      </c>
      <c r="T112" s="492">
        <f t="shared" ca="1" si="7"/>
        <v>0</v>
      </c>
      <c r="U112" s="274"/>
      <c r="V112" s="497" t="str">
        <f ca="1">IF('CDO Bespoke'!C137&lt;&gt;"",'CDO Bespoke'!C137,"")</f>
        <v/>
      </c>
      <c r="W112" s="499" t="str" cm="1">
        <f t="array" aca="1" ref="W112" ca="1">IF($V112&lt;&gt;"",-TRANSPOSE(INDEX(getcds('CDO Bespoke'!$C137,W$13,'CDO Bespoke'!$G137/10000,'CDO Bespoke'!F137,'CDO Bespoke'!$L113,'CDO Bespoke'!$C$13,'CDO Bespoke'!$C$14,'CDO Bespoke'!$C$15,'CDO Bespoke'!$C$8,,,TRUE,TRUE,FALSE,'CDO Bespoke'!$C$29:'CDO Bespoke'!$C$31,'CDO Bespoke'!$C$33),{5})),"")</f>
        <v/>
      </c>
      <c r="X112" s="524" t="str" cm="1">
        <f t="array" aca="1" ref="X112" ca="1">IF($V112&lt;&gt;"",-TRANSPOSE(INDEX(getcds('CDO Bespoke'!$C137,X$13,'CDO Bespoke'!$G137/10000,'CDO Bespoke'!G137,'CDO Bespoke'!$L113,'CDO Bespoke'!$C$13,'CDO Bespoke'!$C$14,'CDO Bespoke'!$C$15,'CDO Bespoke'!$C$8,,,TRUE,TRUE,FALSE,'CDO Bespoke'!$C$29:'CDO Bespoke'!$C$31,'CDO Bespoke'!$C$33),{5})),"")</f>
        <v/>
      </c>
      <c r="Y112" s="524" t="str" cm="1">
        <f t="array" aca="1" ref="Y112" ca="1">IF($V112&lt;&gt;"",-TRANSPOSE(INDEX(getcds('CDO Bespoke'!$C137,Y$13,'CDO Bespoke'!$G137/10000,'CDO Bespoke'!H137,'CDO Bespoke'!$L113,'CDO Bespoke'!$C$13,'CDO Bespoke'!$C$14,'CDO Bespoke'!$C$15,'CDO Bespoke'!$C$8,,,TRUE,TRUE,FALSE,'CDO Bespoke'!$C$29:'CDO Bespoke'!$C$31,'CDO Bespoke'!$C$33),{5})),"")</f>
        <v/>
      </c>
      <c r="Z112" s="524" t="str" cm="1">
        <f t="array" aca="1" ref="Z112" ca="1">IF($V112&lt;&gt;"",-TRANSPOSE(INDEX(getcds('CDO Bespoke'!$C137,Z$13,'CDO Bespoke'!$G137/10000,'CDO Bespoke'!I137,'CDO Bespoke'!$L113,'CDO Bespoke'!$C$13,'CDO Bespoke'!$C$14,'CDO Bespoke'!$C$15,'CDO Bespoke'!$C$8,,,TRUE,TRUE,FALSE,'CDO Bespoke'!$C$29:'CDO Bespoke'!$C$31,'CDO Bespoke'!$C$33),{5})),"")</f>
        <v/>
      </c>
      <c r="AA112" s="500" t="str" cm="1">
        <f t="array" aca="1" ref="AA112" ca="1">IF($V112&lt;&gt;"",-TRANSPOSE(INDEX(getcds('CDO Bespoke'!$C137,AA$13,'CDO Bespoke'!$G137/10000,'CDO Bespoke'!J137,'CDO Bespoke'!$L113,'CDO Bespoke'!$C$13,'CDO Bespoke'!$C$14,'CDO Bespoke'!$C$15,'CDO Bespoke'!$C$8,,,TRUE,TRUE,FALSE,'CDO Bespoke'!$C$29:'CDO Bespoke'!$C$31,'CDO Bespoke'!$C$33),{5})),"")</f>
        <v/>
      </c>
      <c r="AB112" s="479"/>
      <c r="AC112" s="515"/>
      <c r="AD112" s="516"/>
      <c r="AE112" s="516"/>
      <c r="AF112" s="516"/>
      <c r="AG112" s="516"/>
      <c r="AH112" s="516"/>
      <c r="AI112" s="516"/>
      <c r="AJ112" s="516"/>
      <c r="AK112" s="516"/>
      <c r="AL112" s="517"/>
      <c r="AM112" s="534"/>
    </row>
    <row r="113" spans="2:39" ht="12" thickBot="1">
      <c r="B113" s="535" t="s">
        <v>541</v>
      </c>
      <c r="C113" s="536" t="s">
        <v>66</v>
      </c>
      <c r="D113" s="536" t="s">
        <v>57</v>
      </c>
      <c r="E113" s="536" t="s">
        <v>660</v>
      </c>
      <c r="F113" s="536" t="s">
        <v>661</v>
      </c>
      <c r="G113" s="543">
        <v>0.01</v>
      </c>
      <c r="H113" s="543">
        <v>8.1840000000000003E-3</v>
      </c>
      <c r="I113" s="545">
        <v>0.4</v>
      </c>
      <c r="J113" s="537">
        <v>30</v>
      </c>
      <c r="K113" s="274"/>
      <c r="L113" s="274"/>
      <c r="M113" s="487" t="str">
        <f ca="1">IF('CDO Bespoke'!O114&lt;&gt;"",'CDO Bespoke'!O114,"")</f>
        <v/>
      </c>
      <c r="N113" s="488" t="str">
        <f ca="1">IF(M113&lt;&gt;"",ABS(MIN(-0.75*('CDO Bespoke'!Q114)+'CDO Bespoke'!T114,0)),"")</f>
        <v/>
      </c>
      <c r="O113" s="488">
        <f t="shared" ca="1" si="4"/>
        <v>0</v>
      </c>
      <c r="P113" s="488">
        <f t="shared" ca="1" si="5"/>
        <v>0</v>
      </c>
      <c r="Q113" s="487" t="str">
        <f ca="1">IF('CDO Bespoke'!O114&lt;&gt;"",'CDO Bespoke'!O114,"")</f>
        <v/>
      </c>
      <c r="R113" s="488" t="str">
        <f ca="1">IF(Q113&lt;&gt;"",ABS(MIN(-0.75*('CDO Bespoke'!K114)+'CDO Bespoke'!T114,0)),"")</f>
        <v/>
      </c>
      <c r="S113" s="488">
        <f t="shared" ca="1" si="6"/>
        <v>0</v>
      </c>
      <c r="T113" s="492">
        <f t="shared" ca="1" si="7"/>
        <v>0</v>
      </c>
      <c r="U113" s="274"/>
      <c r="V113" s="497" t="str">
        <f ca="1">IF('CDO Bespoke'!C138&lt;&gt;"",'CDO Bespoke'!C138,"")</f>
        <v/>
      </c>
      <c r="W113" s="499" t="str" cm="1">
        <f t="array" aca="1" ref="W113" ca="1">IF($V113&lt;&gt;"",-TRANSPOSE(INDEX(getcds('CDO Bespoke'!$C138,W$13,'CDO Bespoke'!$G138/10000,'CDO Bespoke'!F138,'CDO Bespoke'!$L114,'CDO Bespoke'!$C$13,'CDO Bespoke'!$C$14,'CDO Bespoke'!$C$15,'CDO Bespoke'!$C$8,,,TRUE,TRUE,FALSE,'CDO Bespoke'!$C$29:'CDO Bespoke'!$C$31,'CDO Bespoke'!$C$33),{5})),"")</f>
        <v/>
      </c>
      <c r="X113" s="524" t="str" cm="1">
        <f t="array" aca="1" ref="X113" ca="1">IF($V113&lt;&gt;"",-TRANSPOSE(INDEX(getcds('CDO Bespoke'!$C138,X$13,'CDO Bespoke'!$G138/10000,'CDO Bespoke'!G138,'CDO Bespoke'!$L114,'CDO Bespoke'!$C$13,'CDO Bespoke'!$C$14,'CDO Bespoke'!$C$15,'CDO Bespoke'!$C$8,,,TRUE,TRUE,FALSE,'CDO Bespoke'!$C$29:'CDO Bespoke'!$C$31,'CDO Bespoke'!$C$33),{5})),"")</f>
        <v/>
      </c>
      <c r="Y113" s="524" t="str" cm="1">
        <f t="array" aca="1" ref="Y113" ca="1">IF($V113&lt;&gt;"",-TRANSPOSE(INDEX(getcds('CDO Bespoke'!$C138,Y$13,'CDO Bespoke'!$G138/10000,'CDO Bespoke'!H138,'CDO Bespoke'!$L114,'CDO Bespoke'!$C$13,'CDO Bespoke'!$C$14,'CDO Bespoke'!$C$15,'CDO Bespoke'!$C$8,,,TRUE,TRUE,FALSE,'CDO Bespoke'!$C$29:'CDO Bespoke'!$C$31,'CDO Bespoke'!$C$33),{5})),"")</f>
        <v/>
      </c>
      <c r="Z113" s="524" t="str" cm="1">
        <f t="array" aca="1" ref="Z113" ca="1">IF($V113&lt;&gt;"",-TRANSPOSE(INDEX(getcds('CDO Bespoke'!$C138,Z$13,'CDO Bespoke'!$G138/10000,'CDO Bespoke'!I138,'CDO Bespoke'!$L114,'CDO Bespoke'!$C$13,'CDO Bespoke'!$C$14,'CDO Bespoke'!$C$15,'CDO Bespoke'!$C$8,,,TRUE,TRUE,FALSE,'CDO Bespoke'!$C$29:'CDO Bespoke'!$C$31,'CDO Bespoke'!$C$33),{5})),"")</f>
        <v/>
      </c>
      <c r="AA113" s="500" t="str" cm="1">
        <f t="array" aca="1" ref="AA113" ca="1">IF($V113&lt;&gt;"",-TRANSPOSE(INDEX(getcds('CDO Bespoke'!$C138,AA$13,'CDO Bespoke'!$G138/10000,'CDO Bespoke'!J138,'CDO Bespoke'!$L114,'CDO Bespoke'!$C$13,'CDO Bespoke'!$C$14,'CDO Bespoke'!$C$15,'CDO Bespoke'!$C$8,,,TRUE,TRUE,FALSE,'CDO Bespoke'!$C$29:'CDO Bespoke'!$C$31,'CDO Bespoke'!$C$33),{5})),"")</f>
        <v/>
      </c>
      <c r="AB113" s="479"/>
      <c r="AC113" s="515"/>
      <c r="AD113" s="516"/>
      <c r="AE113" s="516"/>
      <c r="AF113" s="516"/>
      <c r="AG113" s="516"/>
      <c r="AH113" s="516"/>
      <c r="AI113" s="516"/>
      <c r="AJ113" s="516"/>
      <c r="AK113" s="516"/>
      <c r="AL113" s="517"/>
      <c r="AM113" s="534"/>
    </row>
    <row r="114" spans="2:39" ht="12" thickBot="1">
      <c r="B114" s="552" t="s">
        <v>541</v>
      </c>
      <c r="C114" s="553" t="s">
        <v>66</v>
      </c>
      <c r="D114" s="553" t="s">
        <v>59</v>
      </c>
      <c r="E114" s="553" t="s">
        <v>660</v>
      </c>
      <c r="F114" s="553" t="s">
        <v>661</v>
      </c>
      <c r="G114" s="554">
        <v>0.01</v>
      </c>
      <c r="H114" s="554">
        <v>1.0449999999999999E-2</v>
      </c>
      <c r="I114" s="555">
        <v>0.4</v>
      </c>
      <c r="J114" s="556">
        <v>30</v>
      </c>
      <c r="K114" s="274"/>
      <c r="L114" s="274"/>
      <c r="M114" s="487" t="str">
        <f ca="1">IF('CDO Bespoke'!O115&lt;&gt;"",'CDO Bespoke'!O115,"")</f>
        <v/>
      </c>
      <c r="N114" s="488" t="str">
        <f ca="1">IF(M114&lt;&gt;"",ABS(MIN(-0.75*('CDO Bespoke'!Q115)+'CDO Bespoke'!T115,0)),"")</f>
        <v/>
      </c>
      <c r="O114" s="488">
        <f t="shared" ca="1" si="4"/>
        <v>0</v>
      </c>
      <c r="P114" s="488">
        <f t="shared" ca="1" si="5"/>
        <v>0</v>
      </c>
      <c r="Q114" s="487" t="str">
        <f ca="1">IF('CDO Bespoke'!O115&lt;&gt;"",'CDO Bespoke'!O115,"")</f>
        <v/>
      </c>
      <c r="R114" s="488" t="str">
        <f ca="1">IF(Q114&lt;&gt;"",ABS(MIN(-0.75*('CDO Bespoke'!K115)+'CDO Bespoke'!T115,0)),"")</f>
        <v/>
      </c>
      <c r="S114" s="488">
        <f t="shared" ca="1" si="6"/>
        <v>0</v>
      </c>
      <c r="T114" s="492">
        <f t="shared" ca="1" si="7"/>
        <v>0</v>
      </c>
      <c r="U114" s="274"/>
      <c r="V114" s="497" t="str">
        <f ca="1">IF('CDO Bespoke'!C139&lt;&gt;"",'CDO Bespoke'!C139,"")</f>
        <v/>
      </c>
      <c r="W114" s="499" t="str" cm="1">
        <f t="array" aca="1" ref="W114" ca="1">IF($V114&lt;&gt;"",-TRANSPOSE(INDEX(getcds('CDO Bespoke'!$C139,W$13,'CDO Bespoke'!$G139/10000,'CDO Bespoke'!F139,'CDO Bespoke'!$L115,'CDO Bespoke'!$C$13,'CDO Bespoke'!$C$14,'CDO Bespoke'!$C$15,'CDO Bespoke'!$C$8,,,TRUE,TRUE,FALSE,'CDO Bespoke'!$C$29:'CDO Bespoke'!$C$31,'CDO Bespoke'!$C$33),{5})),"")</f>
        <v/>
      </c>
      <c r="X114" s="524" t="str" cm="1">
        <f t="array" aca="1" ref="X114" ca="1">IF($V114&lt;&gt;"",-TRANSPOSE(INDEX(getcds('CDO Bespoke'!$C139,X$13,'CDO Bespoke'!$G139/10000,'CDO Bespoke'!G139,'CDO Bespoke'!$L115,'CDO Bespoke'!$C$13,'CDO Bespoke'!$C$14,'CDO Bespoke'!$C$15,'CDO Bespoke'!$C$8,,,TRUE,TRUE,FALSE,'CDO Bespoke'!$C$29:'CDO Bespoke'!$C$31,'CDO Bespoke'!$C$33),{5})),"")</f>
        <v/>
      </c>
      <c r="Y114" s="524" t="str" cm="1">
        <f t="array" aca="1" ref="Y114" ca="1">IF($V114&lt;&gt;"",-TRANSPOSE(INDEX(getcds('CDO Bespoke'!$C139,Y$13,'CDO Bespoke'!$G139/10000,'CDO Bespoke'!H139,'CDO Bespoke'!$L115,'CDO Bespoke'!$C$13,'CDO Bespoke'!$C$14,'CDO Bespoke'!$C$15,'CDO Bespoke'!$C$8,,,TRUE,TRUE,FALSE,'CDO Bespoke'!$C$29:'CDO Bespoke'!$C$31,'CDO Bespoke'!$C$33),{5})),"")</f>
        <v/>
      </c>
      <c r="Z114" s="524" t="str" cm="1">
        <f t="array" aca="1" ref="Z114" ca="1">IF($V114&lt;&gt;"",-TRANSPOSE(INDEX(getcds('CDO Bespoke'!$C139,Z$13,'CDO Bespoke'!$G139/10000,'CDO Bespoke'!I139,'CDO Bespoke'!$L115,'CDO Bespoke'!$C$13,'CDO Bespoke'!$C$14,'CDO Bespoke'!$C$15,'CDO Bespoke'!$C$8,,,TRUE,TRUE,FALSE,'CDO Bespoke'!$C$29:'CDO Bespoke'!$C$31,'CDO Bespoke'!$C$33),{5})),"")</f>
        <v/>
      </c>
      <c r="AA114" s="500" t="str" cm="1">
        <f t="array" aca="1" ref="AA114" ca="1">IF($V114&lt;&gt;"",-TRANSPOSE(INDEX(getcds('CDO Bespoke'!$C139,AA$13,'CDO Bespoke'!$G139/10000,'CDO Bespoke'!J139,'CDO Bespoke'!$L115,'CDO Bespoke'!$C$13,'CDO Bespoke'!$C$14,'CDO Bespoke'!$C$15,'CDO Bespoke'!$C$8,,,TRUE,TRUE,FALSE,'CDO Bespoke'!$C$29:'CDO Bespoke'!$C$31,'CDO Bespoke'!$C$33),{5})),"")</f>
        <v/>
      </c>
      <c r="AB114" s="479"/>
      <c r="AC114" s="515"/>
      <c r="AD114" s="516"/>
      <c r="AE114" s="516"/>
      <c r="AF114" s="516"/>
      <c r="AG114" s="516"/>
      <c r="AH114" s="516"/>
      <c r="AI114" s="516"/>
      <c r="AJ114" s="516"/>
      <c r="AK114" s="516"/>
      <c r="AL114" s="517"/>
      <c r="AM114" s="534"/>
    </row>
    <row r="115" spans="2:39" ht="12" thickBot="1">
      <c r="B115" s="557" t="s">
        <v>542</v>
      </c>
      <c r="C115" s="558" t="s">
        <v>66</v>
      </c>
      <c r="D115" s="558" t="s">
        <v>55</v>
      </c>
      <c r="E115" s="558" t="s">
        <v>660</v>
      </c>
      <c r="F115" s="558" t="s">
        <v>663</v>
      </c>
      <c r="G115" s="559">
        <v>0.01</v>
      </c>
      <c r="H115" s="559">
        <v>5.8869999999999999E-3</v>
      </c>
      <c r="I115" s="560">
        <v>0.4</v>
      </c>
      <c r="J115" s="561">
        <v>31</v>
      </c>
      <c r="K115" s="274"/>
      <c r="L115" s="274"/>
      <c r="M115" s="487" t="str">
        <f ca="1">IF('CDO Bespoke'!O116&lt;&gt;"",'CDO Bespoke'!O116,"")</f>
        <v/>
      </c>
      <c r="N115" s="488" t="str">
        <f ca="1">IF(M115&lt;&gt;"",ABS(MIN(-0.75*('CDO Bespoke'!Q116)+'CDO Bespoke'!T116,0)),"")</f>
        <v/>
      </c>
      <c r="O115" s="488">
        <f t="shared" ca="1" si="4"/>
        <v>0</v>
      </c>
      <c r="P115" s="488">
        <f t="shared" ca="1" si="5"/>
        <v>0</v>
      </c>
      <c r="Q115" s="487" t="str">
        <f ca="1">IF('CDO Bespoke'!O116&lt;&gt;"",'CDO Bespoke'!O116,"")</f>
        <v/>
      </c>
      <c r="R115" s="488" t="str">
        <f ca="1">IF(Q115&lt;&gt;"",ABS(MIN(-0.75*('CDO Bespoke'!K116)+'CDO Bespoke'!T116,0)),"")</f>
        <v/>
      </c>
      <c r="S115" s="488">
        <f t="shared" ca="1" si="6"/>
        <v>0</v>
      </c>
      <c r="T115" s="492">
        <f t="shared" ca="1" si="7"/>
        <v>0</v>
      </c>
      <c r="U115" s="274"/>
      <c r="V115" s="497" t="str">
        <f ca="1">IF('CDO Bespoke'!C140&lt;&gt;"",'CDO Bespoke'!C140,"")</f>
        <v/>
      </c>
      <c r="W115" s="499" t="str" cm="1">
        <f t="array" aca="1" ref="W115" ca="1">IF($V115&lt;&gt;"",-TRANSPOSE(INDEX(getcds('CDO Bespoke'!$C140,W$13,'CDO Bespoke'!$G140/10000,'CDO Bespoke'!F140,'CDO Bespoke'!$L116,'CDO Bespoke'!$C$13,'CDO Bespoke'!$C$14,'CDO Bespoke'!$C$15,'CDO Bespoke'!$C$8,,,TRUE,TRUE,FALSE,'CDO Bespoke'!$C$29:'CDO Bespoke'!$C$31,'CDO Bespoke'!$C$33),{5})),"")</f>
        <v/>
      </c>
      <c r="X115" s="524" t="str" cm="1">
        <f t="array" aca="1" ref="X115" ca="1">IF($V115&lt;&gt;"",-TRANSPOSE(INDEX(getcds('CDO Bespoke'!$C140,X$13,'CDO Bespoke'!$G140/10000,'CDO Bespoke'!G140,'CDO Bespoke'!$L116,'CDO Bespoke'!$C$13,'CDO Bespoke'!$C$14,'CDO Bespoke'!$C$15,'CDO Bespoke'!$C$8,,,TRUE,TRUE,FALSE,'CDO Bespoke'!$C$29:'CDO Bespoke'!$C$31,'CDO Bespoke'!$C$33),{5})),"")</f>
        <v/>
      </c>
      <c r="Y115" s="524" t="str" cm="1">
        <f t="array" aca="1" ref="Y115" ca="1">IF($V115&lt;&gt;"",-TRANSPOSE(INDEX(getcds('CDO Bespoke'!$C140,Y$13,'CDO Bespoke'!$G140/10000,'CDO Bespoke'!H140,'CDO Bespoke'!$L116,'CDO Bespoke'!$C$13,'CDO Bespoke'!$C$14,'CDO Bespoke'!$C$15,'CDO Bespoke'!$C$8,,,TRUE,TRUE,FALSE,'CDO Bespoke'!$C$29:'CDO Bespoke'!$C$31,'CDO Bespoke'!$C$33),{5})),"")</f>
        <v/>
      </c>
      <c r="Z115" s="524" t="str" cm="1">
        <f t="array" aca="1" ref="Z115" ca="1">IF($V115&lt;&gt;"",-TRANSPOSE(INDEX(getcds('CDO Bespoke'!$C140,Z$13,'CDO Bespoke'!$G140/10000,'CDO Bespoke'!I140,'CDO Bespoke'!$L116,'CDO Bespoke'!$C$13,'CDO Bespoke'!$C$14,'CDO Bespoke'!$C$15,'CDO Bespoke'!$C$8,,,TRUE,TRUE,FALSE,'CDO Bespoke'!$C$29:'CDO Bespoke'!$C$31,'CDO Bespoke'!$C$33),{5})),"")</f>
        <v/>
      </c>
      <c r="AA115" s="500" t="str" cm="1">
        <f t="array" aca="1" ref="AA115" ca="1">IF($V115&lt;&gt;"",-TRANSPOSE(INDEX(getcds('CDO Bespoke'!$C140,AA$13,'CDO Bespoke'!$G140/10000,'CDO Bespoke'!J140,'CDO Bespoke'!$L116,'CDO Bespoke'!$C$13,'CDO Bespoke'!$C$14,'CDO Bespoke'!$C$15,'CDO Bespoke'!$C$8,,,TRUE,TRUE,FALSE,'CDO Bespoke'!$C$29:'CDO Bespoke'!$C$31,'CDO Bespoke'!$C$33),{5})),"")</f>
        <v/>
      </c>
      <c r="AB115" s="479"/>
      <c r="AC115" s="515"/>
      <c r="AD115" s="516"/>
      <c r="AE115" s="516"/>
      <c r="AF115" s="516"/>
      <c r="AG115" s="516"/>
      <c r="AH115" s="516"/>
      <c r="AI115" s="516"/>
      <c r="AJ115" s="516"/>
      <c r="AK115" s="516"/>
      <c r="AL115" s="517"/>
      <c r="AM115" s="534"/>
    </row>
    <row r="116" spans="2:39" ht="12" thickBot="1">
      <c r="B116" s="535" t="s">
        <v>542</v>
      </c>
      <c r="C116" s="536" t="s">
        <v>66</v>
      </c>
      <c r="D116" s="536" t="s">
        <v>57</v>
      </c>
      <c r="E116" s="536" t="s">
        <v>660</v>
      </c>
      <c r="F116" s="536" t="s">
        <v>663</v>
      </c>
      <c r="G116" s="543">
        <v>0.01</v>
      </c>
      <c r="H116" s="543">
        <v>1.0245000000000001E-2</v>
      </c>
      <c r="I116" s="545">
        <v>0.4</v>
      </c>
      <c r="J116" s="537">
        <v>31</v>
      </c>
      <c r="K116" s="274"/>
      <c r="L116" s="274"/>
      <c r="M116" s="487" t="str">
        <f ca="1">IF('CDO Bespoke'!O117&lt;&gt;"",'CDO Bespoke'!O117,"")</f>
        <v/>
      </c>
      <c r="N116" s="488" t="str">
        <f ca="1">IF(M116&lt;&gt;"",ABS(MIN(-0.75*('CDO Bespoke'!Q117)+'CDO Bespoke'!T117,0)),"")</f>
        <v/>
      </c>
      <c r="O116" s="488">
        <f t="shared" ca="1" si="4"/>
        <v>0</v>
      </c>
      <c r="P116" s="488">
        <f t="shared" ca="1" si="5"/>
        <v>0</v>
      </c>
      <c r="Q116" s="487" t="str">
        <f ca="1">IF('CDO Bespoke'!O117&lt;&gt;"",'CDO Bespoke'!O117,"")</f>
        <v/>
      </c>
      <c r="R116" s="488" t="str">
        <f ca="1">IF(Q116&lt;&gt;"",ABS(MIN(-0.75*('CDO Bespoke'!K117)+'CDO Bespoke'!T117,0)),"")</f>
        <v/>
      </c>
      <c r="S116" s="488">
        <f t="shared" ca="1" si="6"/>
        <v>0</v>
      </c>
      <c r="T116" s="492">
        <f t="shared" ca="1" si="7"/>
        <v>0</v>
      </c>
      <c r="U116" s="274"/>
      <c r="V116" s="497" t="str">
        <f ca="1">IF('CDO Bespoke'!C141&lt;&gt;"",'CDO Bespoke'!C141,"")</f>
        <v/>
      </c>
      <c r="W116" s="499" t="str" cm="1">
        <f t="array" aca="1" ref="W116" ca="1">IF($V116&lt;&gt;"",-TRANSPOSE(INDEX(getcds('CDO Bespoke'!$C141,W$13,'CDO Bespoke'!$G141/10000,'CDO Bespoke'!F141,'CDO Bespoke'!$L117,'CDO Bespoke'!$C$13,'CDO Bespoke'!$C$14,'CDO Bespoke'!$C$15,'CDO Bespoke'!$C$8,,,TRUE,TRUE,FALSE,'CDO Bespoke'!$C$29:'CDO Bespoke'!$C$31,'CDO Bespoke'!$C$33),{5})),"")</f>
        <v/>
      </c>
      <c r="X116" s="524" t="str" cm="1">
        <f t="array" aca="1" ref="X116" ca="1">IF($V116&lt;&gt;"",-TRANSPOSE(INDEX(getcds('CDO Bespoke'!$C141,X$13,'CDO Bespoke'!$G141/10000,'CDO Bespoke'!G141,'CDO Bespoke'!$L117,'CDO Bespoke'!$C$13,'CDO Bespoke'!$C$14,'CDO Bespoke'!$C$15,'CDO Bespoke'!$C$8,,,TRUE,TRUE,FALSE,'CDO Bespoke'!$C$29:'CDO Bespoke'!$C$31,'CDO Bespoke'!$C$33),{5})),"")</f>
        <v/>
      </c>
      <c r="Y116" s="524" t="str" cm="1">
        <f t="array" aca="1" ref="Y116" ca="1">IF($V116&lt;&gt;"",-TRANSPOSE(INDEX(getcds('CDO Bespoke'!$C141,Y$13,'CDO Bespoke'!$G141/10000,'CDO Bespoke'!H141,'CDO Bespoke'!$L117,'CDO Bespoke'!$C$13,'CDO Bespoke'!$C$14,'CDO Bespoke'!$C$15,'CDO Bespoke'!$C$8,,,TRUE,TRUE,FALSE,'CDO Bespoke'!$C$29:'CDO Bespoke'!$C$31,'CDO Bespoke'!$C$33),{5})),"")</f>
        <v/>
      </c>
      <c r="Z116" s="524" t="str" cm="1">
        <f t="array" aca="1" ref="Z116" ca="1">IF($V116&lt;&gt;"",-TRANSPOSE(INDEX(getcds('CDO Bespoke'!$C141,Z$13,'CDO Bespoke'!$G141/10000,'CDO Bespoke'!I141,'CDO Bespoke'!$L117,'CDO Bespoke'!$C$13,'CDO Bespoke'!$C$14,'CDO Bespoke'!$C$15,'CDO Bespoke'!$C$8,,,TRUE,TRUE,FALSE,'CDO Bespoke'!$C$29:'CDO Bespoke'!$C$31,'CDO Bespoke'!$C$33),{5})),"")</f>
        <v/>
      </c>
      <c r="AA116" s="500" t="str" cm="1">
        <f t="array" aca="1" ref="AA116" ca="1">IF($V116&lt;&gt;"",-TRANSPOSE(INDEX(getcds('CDO Bespoke'!$C141,AA$13,'CDO Bespoke'!$G141/10000,'CDO Bespoke'!J141,'CDO Bespoke'!$L117,'CDO Bespoke'!$C$13,'CDO Bespoke'!$C$14,'CDO Bespoke'!$C$15,'CDO Bespoke'!$C$8,,,TRUE,TRUE,FALSE,'CDO Bespoke'!$C$29:'CDO Bespoke'!$C$31,'CDO Bespoke'!$C$33),{5})),"")</f>
        <v/>
      </c>
      <c r="AB116" s="479"/>
      <c r="AC116" s="515"/>
      <c r="AD116" s="516"/>
      <c r="AE116" s="516"/>
      <c r="AF116" s="516"/>
      <c r="AG116" s="516"/>
      <c r="AH116" s="516"/>
      <c r="AI116" s="516"/>
      <c r="AJ116" s="516"/>
      <c r="AK116" s="516"/>
      <c r="AL116" s="517"/>
      <c r="AM116" s="534"/>
    </row>
    <row r="117" spans="2:39" ht="12" thickBot="1">
      <c r="B117" s="552" t="s">
        <v>542</v>
      </c>
      <c r="C117" s="553" t="s">
        <v>66</v>
      </c>
      <c r="D117" s="553" t="s">
        <v>59</v>
      </c>
      <c r="E117" s="553" t="s">
        <v>660</v>
      </c>
      <c r="F117" s="553" t="s">
        <v>663</v>
      </c>
      <c r="G117" s="554">
        <v>0.01</v>
      </c>
      <c r="H117" s="554">
        <v>1.4839E-2</v>
      </c>
      <c r="I117" s="555">
        <v>0.4</v>
      </c>
      <c r="J117" s="556">
        <v>31</v>
      </c>
      <c r="K117" s="274"/>
      <c r="L117" s="274"/>
      <c r="M117" s="487" t="str">
        <f ca="1">IF('CDO Bespoke'!O118&lt;&gt;"",'CDO Bespoke'!O118,"")</f>
        <v/>
      </c>
      <c r="N117" s="488" t="str">
        <f ca="1">IF(M117&lt;&gt;"",ABS(MIN(-0.75*('CDO Bespoke'!Q118)+'CDO Bespoke'!T118,0)),"")</f>
        <v/>
      </c>
      <c r="O117" s="488">
        <f t="shared" ca="1" si="4"/>
        <v>0</v>
      </c>
      <c r="P117" s="488">
        <f t="shared" ca="1" si="5"/>
        <v>0</v>
      </c>
      <c r="Q117" s="487" t="str">
        <f ca="1">IF('CDO Bespoke'!O118&lt;&gt;"",'CDO Bespoke'!O118,"")</f>
        <v/>
      </c>
      <c r="R117" s="488" t="str">
        <f ca="1">IF(Q117&lt;&gt;"",ABS(MIN(-0.75*('CDO Bespoke'!K118)+'CDO Bespoke'!T118,0)),"")</f>
        <v/>
      </c>
      <c r="S117" s="488">
        <f t="shared" ca="1" si="6"/>
        <v>0</v>
      </c>
      <c r="T117" s="492">
        <f t="shared" ca="1" si="7"/>
        <v>0</v>
      </c>
      <c r="U117" s="274"/>
      <c r="V117" s="497" t="str">
        <f ca="1">IF('CDO Bespoke'!C142&lt;&gt;"",'CDO Bespoke'!C142,"")</f>
        <v/>
      </c>
      <c r="W117" s="499" t="str" cm="1">
        <f t="array" aca="1" ref="W117" ca="1">IF($V117&lt;&gt;"",-TRANSPOSE(INDEX(getcds('CDO Bespoke'!$C142,W$13,'CDO Bespoke'!$G142/10000,'CDO Bespoke'!F142,'CDO Bespoke'!$L118,'CDO Bespoke'!$C$13,'CDO Bespoke'!$C$14,'CDO Bespoke'!$C$15,'CDO Bespoke'!$C$8,,,TRUE,TRUE,FALSE,'CDO Bespoke'!$C$29:'CDO Bespoke'!$C$31,'CDO Bespoke'!$C$33),{5})),"")</f>
        <v/>
      </c>
      <c r="X117" s="524" t="str" cm="1">
        <f t="array" aca="1" ref="X117" ca="1">IF($V117&lt;&gt;"",-TRANSPOSE(INDEX(getcds('CDO Bespoke'!$C142,X$13,'CDO Bespoke'!$G142/10000,'CDO Bespoke'!G142,'CDO Bespoke'!$L118,'CDO Bespoke'!$C$13,'CDO Bespoke'!$C$14,'CDO Bespoke'!$C$15,'CDO Bespoke'!$C$8,,,TRUE,TRUE,FALSE,'CDO Bespoke'!$C$29:'CDO Bespoke'!$C$31,'CDO Bespoke'!$C$33),{5})),"")</f>
        <v/>
      </c>
      <c r="Y117" s="524" t="str" cm="1">
        <f t="array" aca="1" ref="Y117" ca="1">IF($V117&lt;&gt;"",-TRANSPOSE(INDEX(getcds('CDO Bespoke'!$C142,Y$13,'CDO Bespoke'!$G142/10000,'CDO Bespoke'!H142,'CDO Bespoke'!$L118,'CDO Bespoke'!$C$13,'CDO Bespoke'!$C$14,'CDO Bespoke'!$C$15,'CDO Bespoke'!$C$8,,,TRUE,TRUE,FALSE,'CDO Bespoke'!$C$29:'CDO Bespoke'!$C$31,'CDO Bespoke'!$C$33),{5})),"")</f>
        <v/>
      </c>
      <c r="Z117" s="524" t="str" cm="1">
        <f t="array" aca="1" ref="Z117" ca="1">IF($V117&lt;&gt;"",-TRANSPOSE(INDEX(getcds('CDO Bespoke'!$C142,Z$13,'CDO Bespoke'!$G142/10000,'CDO Bespoke'!I142,'CDO Bespoke'!$L118,'CDO Bespoke'!$C$13,'CDO Bespoke'!$C$14,'CDO Bespoke'!$C$15,'CDO Bespoke'!$C$8,,,TRUE,TRUE,FALSE,'CDO Bespoke'!$C$29:'CDO Bespoke'!$C$31,'CDO Bespoke'!$C$33),{5})),"")</f>
        <v/>
      </c>
      <c r="AA117" s="500" t="str" cm="1">
        <f t="array" aca="1" ref="AA117" ca="1">IF($V117&lt;&gt;"",-TRANSPOSE(INDEX(getcds('CDO Bespoke'!$C142,AA$13,'CDO Bespoke'!$G142/10000,'CDO Bespoke'!J142,'CDO Bespoke'!$L118,'CDO Bespoke'!$C$13,'CDO Bespoke'!$C$14,'CDO Bespoke'!$C$15,'CDO Bespoke'!$C$8,,,TRUE,TRUE,FALSE,'CDO Bespoke'!$C$29:'CDO Bespoke'!$C$31,'CDO Bespoke'!$C$33),{5})),"")</f>
        <v/>
      </c>
      <c r="AB117" s="479"/>
      <c r="AC117" s="515"/>
      <c r="AD117" s="516"/>
      <c r="AE117" s="516"/>
      <c r="AF117" s="516"/>
      <c r="AG117" s="516"/>
      <c r="AH117" s="516"/>
      <c r="AI117" s="516"/>
      <c r="AJ117" s="516"/>
      <c r="AK117" s="516"/>
      <c r="AL117" s="517"/>
      <c r="AM117" s="534"/>
    </row>
    <row r="118" spans="2:39" ht="12" thickBot="1">
      <c r="B118" s="557" t="s">
        <v>527</v>
      </c>
      <c r="C118" s="558" t="s">
        <v>66</v>
      </c>
      <c r="D118" s="558" t="s">
        <v>55</v>
      </c>
      <c r="E118" s="558" t="s">
        <v>660</v>
      </c>
      <c r="F118" s="558" t="s">
        <v>661</v>
      </c>
      <c r="G118" s="559">
        <v>0.01</v>
      </c>
      <c r="H118" s="559">
        <v>4.9649999999999998E-3</v>
      </c>
      <c r="I118" s="560">
        <v>0.4</v>
      </c>
      <c r="J118" s="561">
        <v>32</v>
      </c>
      <c r="K118" s="274"/>
      <c r="L118" s="274"/>
      <c r="M118" s="487" t="str">
        <f ca="1">IF('CDO Bespoke'!O119&lt;&gt;"",'CDO Bespoke'!O119,"")</f>
        <v/>
      </c>
      <c r="N118" s="488" t="str">
        <f ca="1">IF(M118&lt;&gt;"",ABS(MIN(-0.75*('CDO Bespoke'!Q119)+'CDO Bespoke'!T119,0)),"")</f>
        <v/>
      </c>
      <c r="O118" s="488">
        <f t="shared" ca="1" si="4"/>
        <v>0</v>
      </c>
      <c r="P118" s="488">
        <f t="shared" ca="1" si="5"/>
        <v>0</v>
      </c>
      <c r="Q118" s="487" t="str">
        <f ca="1">IF('CDO Bespoke'!O119&lt;&gt;"",'CDO Bespoke'!O119,"")</f>
        <v/>
      </c>
      <c r="R118" s="488" t="str">
        <f ca="1">IF(Q118&lt;&gt;"",ABS(MIN(-0.75*('CDO Bespoke'!K119)+'CDO Bespoke'!T119,0)),"")</f>
        <v/>
      </c>
      <c r="S118" s="488">
        <f t="shared" ca="1" si="6"/>
        <v>0</v>
      </c>
      <c r="T118" s="492">
        <f t="shared" ca="1" si="7"/>
        <v>0</v>
      </c>
      <c r="U118" s="274"/>
      <c r="V118" s="497" t="str">
        <f ca="1">IF('CDO Bespoke'!C143&lt;&gt;"",'CDO Bespoke'!C143,"")</f>
        <v/>
      </c>
      <c r="W118" s="499" t="str" cm="1">
        <f t="array" aca="1" ref="W118" ca="1">IF($V118&lt;&gt;"",-TRANSPOSE(INDEX(getcds('CDO Bespoke'!$C143,W$13,'CDO Bespoke'!$G143/10000,'CDO Bespoke'!F143,'CDO Bespoke'!$L119,'CDO Bespoke'!$C$13,'CDO Bespoke'!$C$14,'CDO Bespoke'!$C$15,'CDO Bespoke'!$C$8,,,TRUE,TRUE,FALSE,'CDO Bespoke'!$C$29:'CDO Bespoke'!$C$31,'CDO Bespoke'!$C$33),{5})),"")</f>
        <v/>
      </c>
      <c r="X118" s="524" t="str" cm="1">
        <f t="array" aca="1" ref="X118" ca="1">IF($V118&lt;&gt;"",-TRANSPOSE(INDEX(getcds('CDO Bespoke'!$C143,X$13,'CDO Bespoke'!$G143/10000,'CDO Bespoke'!G143,'CDO Bespoke'!$L119,'CDO Bespoke'!$C$13,'CDO Bespoke'!$C$14,'CDO Bespoke'!$C$15,'CDO Bespoke'!$C$8,,,TRUE,TRUE,FALSE,'CDO Bespoke'!$C$29:'CDO Bespoke'!$C$31,'CDO Bespoke'!$C$33),{5})),"")</f>
        <v/>
      </c>
      <c r="Y118" s="524" t="str" cm="1">
        <f t="array" aca="1" ref="Y118" ca="1">IF($V118&lt;&gt;"",-TRANSPOSE(INDEX(getcds('CDO Bespoke'!$C143,Y$13,'CDO Bespoke'!$G143/10000,'CDO Bespoke'!H143,'CDO Bespoke'!$L119,'CDO Bespoke'!$C$13,'CDO Bespoke'!$C$14,'CDO Bespoke'!$C$15,'CDO Bespoke'!$C$8,,,TRUE,TRUE,FALSE,'CDO Bespoke'!$C$29:'CDO Bespoke'!$C$31,'CDO Bespoke'!$C$33),{5})),"")</f>
        <v/>
      </c>
      <c r="Z118" s="524" t="str" cm="1">
        <f t="array" aca="1" ref="Z118" ca="1">IF($V118&lt;&gt;"",-TRANSPOSE(INDEX(getcds('CDO Bespoke'!$C143,Z$13,'CDO Bespoke'!$G143/10000,'CDO Bespoke'!I143,'CDO Bespoke'!$L119,'CDO Bespoke'!$C$13,'CDO Bespoke'!$C$14,'CDO Bespoke'!$C$15,'CDO Bespoke'!$C$8,,,TRUE,TRUE,FALSE,'CDO Bespoke'!$C$29:'CDO Bespoke'!$C$31,'CDO Bespoke'!$C$33),{5})),"")</f>
        <v/>
      </c>
      <c r="AA118" s="500" t="str" cm="1">
        <f t="array" aca="1" ref="AA118" ca="1">IF($V118&lt;&gt;"",-TRANSPOSE(INDEX(getcds('CDO Bespoke'!$C143,AA$13,'CDO Bespoke'!$G143/10000,'CDO Bespoke'!J143,'CDO Bespoke'!$L119,'CDO Bespoke'!$C$13,'CDO Bespoke'!$C$14,'CDO Bespoke'!$C$15,'CDO Bespoke'!$C$8,,,TRUE,TRUE,FALSE,'CDO Bespoke'!$C$29:'CDO Bespoke'!$C$31,'CDO Bespoke'!$C$33),{5})),"")</f>
        <v/>
      </c>
      <c r="AB118" s="479"/>
      <c r="AC118" s="515"/>
      <c r="AD118" s="516"/>
      <c r="AE118" s="516"/>
      <c r="AF118" s="516"/>
      <c r="AG118" s="516"/>
      <c r="AH118" s="516"/>
      <c r="AI118" s="516"/>
      <c r="AJ118" s="516"/>
      <c r="AK118" s="516"/>
      <c r="AL118" s="517"/>
      <c r="AM118" s="534"/>
    </row>
    <row r="119" spans="2:39" ht="12" thickBot="1">
      <c r="B119" s="535" t="s">
        <v>527</v>
      </c>
      <c r="C119" s="536" t="s">
        <v>66</v>
      </c>
      <c r="D119" s="536" t="s">
        <v>57</v>
      </c>
      <c r="E119" s="536" t="s">
        <v>660</v>
      </c>
      <c r="F119" s="536" t="s">
        <v>661</v>
      </c>
      <c r="G119" s="543">
        <v>0.01</v>
      </c>
      <c r="H119" s="543">
        <v>8.1279999999999998E-3</v>
      </c>
      <c r="I119" s="545">
        <v>0.4</v>
      </c>
      <c r="J119" s="537">
        <v>32</v>
      </c>
      <c r="K119" s="274"/>
      <c r="L119" s="274"/>
      <c r="M119" s="487" t="str">
        <f ca="1">IF('CDO Bespoke'!O120&lt;&gt;"",'CDO Bespoke'!O120,"")</f>
        <v/>
      </c>
      <c r="N119" s="488" t="str">
        <f ca="1">IF(M119&lt;&gt;"",ABS(MIN(-0.75*('CDO Bespoke'!Q120)+'CDO Bespoke'!T120,0)),"")</f>
        <v/>
      </c>
      <c r="O119" s="488">
        <f t="shared" ca="1" si="4"/>
        <v>0</v>
      </c>
      <c r="P119" s="488">
        <f t="shared" ca="1" si="5"/>
        <v>0</v>
      </c>
      <c r="Q119" s="487" t="str">
        <f ca="1">IF('CDO Bespoke'!O120&lt;&gt;"",'CDO Bespoke'!O120,"")</f>
        <v/>
      </c>
      <c r="R119" s="488" t="str">
        <f ca="1">IF(Q119&lt;&gt;"",ABS(MIN(-0.75*('CDO Bespoke'!K120)+'CDO Bespoke'!T120,0)),"")</f>
        <v/>
      </c>
      <c r="S119" s="488">
        <f t="shared" ca="1" si="6"/>
        <v>0</v>
      </c>
      <c r="T119" s="492">
        <f t="shared" ca="1" si="7"/>
        <v>0</v>
      </c>
      <c r="U119" s="274"/>
      <c r="V119" s="497" t="str">
        <f ca="1">IF('CDO Bespoke'!C144&lt;&gt;"",'CDO Bespoke'!C144,"")</f>
        <v/>
      </c>
      <c r="W119" s="499" t="str" cm="1">
        <f t="array" aca="1" ref="W119" ca="1">IF($V119&lt;&gt;"",-TRANSPOSE(INDEX(getcds('CDO Bespoke'!$C144,W$13,'CDO Bespoke'!$G144/10000,'CDO Bespoke'!F144,'CDO Bespoke'!$L120,'CDO Bespoke'!$C$13,'CDO Bespoke'!$C$14,'CDO Bespoke'!$C$15,'CDO Bespoke'!$C$8,,,TRUE,TRUE,FALSE,'CDO Bespoke'!$C$29:'CDO Bespoke'!$C$31,'CDO Bespoke'!$C$33),{5})),"")</f>
        <v/>
      </c>
      <c r="X119" s="524" t="str" cm="1">
        <f t="array" aca="1" ref="X119" ca="1">IF($V119&lt;&gt;"",-TRANSPOSE(INDEX(getcds('CDO Bespoke'!$C144,X$13,'CDO Bespoke'!$G144/10000,'CDO Bespoke'!G144,'CDO Bespoke'!$L120,'CDO Bespoke'!$C$13,'CDO Bespoke'!$C$14,'CDO Bespoke'!$C$15,'CDO Bespoke'!$C$8,,,TRUE,TRUE,FALSE,'CDO Bespoke'!$C$29:'CDO Bespoke'!$C$31,'CDO Bespoke'!$C$33),{5})),"")</f>
        <v/>
      </c>
      <c r="Y119" s="524" t="str" cm="1">
        <f t="array" aca="1" ref="Y119" ca="1">IF($V119&lt;&gt;"",-TRANSPOSE(INDEX(getcds('CDO Bespoke'!$C144,Y$13,'CDO Bespoke'!$G144/10000,'CDO Bespoke'!H144,'CDO Bespoke'!$L120,'CDO Bespoke'!$C$13,'CDO Bespoke'!$C$14,'CDO Bespoke'!$C$15,'CDO Bespoke'!$C$8,,,TRUE,TRUE,FALSE,'CDO Bespoke'!$C$29:'CDO Bespoke'!$C$31,'CDO Bespoke'!$C$33),{5})),"")</f>
        <v/>
      </c>
      <c r="Z119" s="524" t="str" cm="1">
        <f t="array" aca="1" ref="Z119" ca="1">IF($V119&lt;&gt;"",-TRANSPOSE(INDEX(getcds('CDO Bespoke'!$C144,Z$13,'CDO Bespoke'!$G144/10000,'CDO Bespoke'!I144,'CDO Bespoke'!$L120,'CDO Bespoke'!$C$13,'CDO Bespoke'!$C$14,'CDO Bespoke'!$C$15,'CDO Bespoke'!$C$8,,,TRUE,TRUE,FALSE,'CDO Bespoke'!$C$29:'CDO Bespoke'!$C$31,'CDO Bespoke'!$C$33),{5})),"")</f>
        <v/>
      </c>
      <c r="AA119" s="500" t="str" cm="1">
        <f t="array" aca="1" ref="AA119" ca="1">IF($V119&lt;&gt;"",-TRANSPOSE(INDEX(getcds('CDO Bespoke'!$C144,AA$13,'CDO Bespoke'!$G144/10000,'CDO Bespoke'!J144,'CDO Bespoke'!$L120,'CDO Bespoke'!$C$13,'CDO Bespoke'!$C$14,'CDO Bespoke'!$C$15,'CDO Bespoke'!$C$8,,,TRUE,TRUE,FALSE,'CDO Bespoke'!$C$29:'CDO Bespoke'!$C$31,'CDO Bespoke'!$C$33),{5})),"")</f>
        <v/>
      </c>
      <c r="AB119" s="479"/>
      <c r="AC119" s="515"/>
      <c r="AD119" s="516"/>
      <c r="AE119" s="516"/>
      <c r="AF119" s="516"/>
      <c r="AG119" s="516"/>
      <c r="AH119" s="516"/>
      <c r="AI119" s="516"/>
      <c r="AJ119" s="516"/>
      <c r="AK119" s="516"/>
      <c r="AL119" s="517"/>
      <c r="AM119" s="534"/>
    </row>
    <row r="120" spans="2:39" ht="12" thickBot="1">
      <c r="B120" s="552" t="s">
        <v>527</v>
      </c>
      <c r="C120" s="553" t="s">
        <v>66</v>
      </c>
      <c r="D120" s="553" t="s">
        <v>59</v>
      </c>
      <c r="E120" s="553" t="s">
        <v>660</v>
      </c>
      <c r="F120" s="553" t="s">
        <v>661</v>
      </c>
      <c r="G120" s="554">
        <v>0.01</v>
      </c>
      <c r="H120" s="554">
        <v>1.1227000000000001E-2</v>
      </c>
      <c r="I120" s="555">
        <v>0.4</v>
      </c>
      <c r="J120" s="556">
        <v>32</v>
      </c>
      <c r="K120" s="274"/>
      <c r="L120" s="274"/>
      <c r="M120" s="487" t="str">
        <f ca="1">IF('CDO Bespoke'!O121&lt;&gt;"",'CDO Bespoke'!O121,"")</f>
        <v/>
      </c>
      <c r="N120" s="488" t="str">
        <f ca="1">IF(M120&lt;&gt;"",ABS(MIN(-0.75*('CDO Bespoke'!Q121)+'CDO Bespoke'!T121,0)),"")</f>
        <v/>
      </c>
      <c r="O120" s="488">
        <f t="shared" ca="1" si="4"/>
        <v>0</v>
      </c>
      <c r="P120" s="488">
        <f t="shared" ca="1" si="5"/>
        <v>0</v>
      </c>
      <c r="Q120" s="487" t="str">
        <f ca="1">IF('CDO Bespoke'!O121&lt;&gt;"",'CDO Bespoke'!O121,"")</f>
        <v/>
      </c>
      <c r="R120" s="488" t="str">
        <f ca="1">IF(Q120&lt;&gt;"",ABS(MIN(-0.75*('CDO Bespoke'!K121)+'CDO Bespoke'!T121,0)),"")</f>
        <v/>
      </c>
      <c r="S120" s="488">
        <f t="shared" ca="1" si="6"/>
        <v>0</v>
      </c>
      <c r="T120" s="492">
        <f t="shared" ca="1" si="7"/>
        <v>0</v>
      </c>
      <c r="U120" s="274"/>
      <c r="V120" s="497" t="str">
        <f ca="1">IF('CDO Bespoke'!C145&lt;&gt;"",'CDO Bespoke'!C145,"")</f>
        <v/>
      </c>
      <c r="W120" s="499" t="str" cm="1">
        <f t="array" aca="1" ref="W120" ca="1">IF($V120&lt;&gt;"",-TRANSPOSE(INDEX(getcds('CDO Bespoke'!$C145,W$13,'CDO Bespoke'!$G145/10000,'CDO Bespoke'!F145,'CDO Bespoke'!$L121,'CDO Bespoke'!$C$13,'CDO Bespoke'!$C$14,'CDO Bespoke'!$C$15,'CDO Bespoke'!$C$8,,,TRUE,TRUE,FALSE,'CDO Bespoke'!$C$29:'CDO Bespoke'!$C$31,'CDO Bespoke'!$C$33),{5})),"")</f>
        <v/>
      </c>
      <c r="X120" s="524" t="str" cm="1">
        <f t="array" aca="1" ref="X120" ca="1">IF($V120&lt;&gt;"",-TRANSPOSE(INDEX(getcds('CDO Bespoke'!$C145,X$13,'CDO Bespoke'!$G145/10000,'CDO Bespoke'!G145,'CDO Bespoke'!$L121,'CDO Bespoke'!$C$13,'CDO Bespoke'!$C$14,'CDO Bespoke'!$C$15,'CDO Bespoke'!$C$8,,,TRUE,TRUE,FALSE,'CDO Bespoke'!$C$29:'CDO Bespoke'!$C$31,'CDO Bespoke'!$C$33),{5})),"")</f>
        <v/>
      </c>
      <c r="Y120" s="524" t="str" cm="1">
        <f t="array" aca="1" ref="Y120" ca="1">IF($V120&lt;&gt;"",-TRANSPOSE(INDEX(getcds('CDO Bespoke'!$C145,Y$13,'CDO Bespoke'!$G145/10000,'CDO Bespoke'!H145,'CDO Bespoke'!$L121,'CDO Bespoke'!$C$13,'CDO Bespoke'!$C$14,'CDO Bespoke'!$C$15,'CDO Bespoke'!$C$8,,,TRUE,TRUE,FALSE,'CDO Bespoke'!$C$29:'CDO Bespoke'!$C$31,'CDO Bespoke'!$C$33),{5})),"")</f>
        <v/>
      </c>
      <c r="Z120" s="524" t="str" cm="1">
        <f t="array" aca="1" ref="Z120" ca="1">IF($V120&lt;&gt;"",-TRANSPOSE(INDEX(getcds('CDO Bespoke'!$C145,Z$13,'CDO Bespoke'!$G145/10000,'CDO Bespoke'!I145,'CDO Bespoke'!$L121,'CDO Bespoke'!$C$13,'CDO Bespoke'!$C$14,'CDO Bespoke'!$C$15,'CDO Bespoke'!$C$8,,,TRUE,TRUE,FALSE,'CDO Bespoke'!$C$29:'CDO Bespoke'!$C$31,'CDO Bespoke'!$C$33),{5})),"")</f>
        <v/>
      </c>
      <c r="AA120" s="500" t="str" cm="1">
        <f t="array" aca="1" ref="AA120" ca="1">IF($V120&lt;&gt;"",-TRANSPOSE(INDEX(getcds('CDO Bespoke'!$C145,AA$13,'CDO Bespoke'!$G145/10000,'CDO Bespoke'!J145,'CDO Bespoke'!$L121,'CDO Bespoke'!$C$13,'CDO Bespoke'!$C$14,'CDO Bespoke'!$C$15,'CDO Bespoke'!$C$8,,,TRUE,TRUE,FALSE,'CDO Bespoke'!$C$29:'CDO Bespoke'!$C$31,'CDO Bespoke'!$C$33),{5})),"")</f>
        <v/>
      </c>
      <c r="AB120" s="479"/>
      <c r="AC120" s="515"/>
      <c r="AD120" s="516"/>
      <c r="AE120" s="516"/>
      <c r="AF120" s="516"/>
      <c r="AG120" s="516"/>
      <c r="AH120" s="516"/>
      <c r="AI120" s="516"/>
      <c r="AJ120" s="516"/>
      <c r="AK120" s="516"/>
      <c r="AL120" s="517"/>
      <c r="AM120" s="534"/>
    </row>
    <row r="121" spans="2:39" ht="12" thickBot="1">
      <c r="B121" s="557" t="s">
        <v>528</v>
      </c>
      <c r="C121" s="558" t="s">
        <v>66</v>
      </c>
      <c r="D121" s="558" t="s">
        <v>55</v>
      </c>
      <c r="E121" s="558" t="s">
        <v>660</v>
      </c>
      <c r="F121" s="558" t="s">
        <v>666</v>
      </c>
      <c r="G121" s="559">
        <v>0.01</v>
      </c>
      <c r="H121" s="559">
        <v>6.7450000000000001E-3</v>
      </c>
      <c r="I121" s="560">
        <v>0.4</v>
      </c>
      <c r="J121" s="561">
        <v>33</v>
      </c>
      <c r="K121" s="274"/>
      <c r="L121" s="274"/>
      <c r="M121" s="487" t="str">
        <f ca="1">IF('CDO Bespoke'!O122&lt;&gt;"",'CDO Bespoke'!O122,"")</f>
        <v/>
      </c>
      <c r="N121" s="488" t="str">
        <f ca="1">IF(M121&lt;&gt;"",ABS(MIN(-0.75*('CDO Bespoke'!Q122)+'CDO Bespoke'!T122,0)),"")</f>
        <v/>
      </c>
      <c r="O121" s="488">
        <f t="shared" ca="1" si="4"/>
        <v>0</v>
      </c>
      <c r="P121" s="488">
        <f t="shared" ca="1" si="5"/>
        <v>0</v>
      </c>
      <c r="Q121" s="487" t="str">
        <f ca="1">IF('CDO Bespoke'!O122&lt;&gt;"",'CDO Bespoke'!O122,"")</f>
        <v/>
      </c>
      <c r="R121" s="488" t="str">
        <f ca="1">IF(Q121&lt;&gt;"",ABS(MIN(-0.75*('CDO Bespoke'!K122)+'CDO Bespoke'!T122,0)),"")</f>
        <v/>
      </c>
      <c r="S121" s="488">
        <f t="shared" ca="1" si="6"/>
        <v>0</v>
      </c>
      <c r="T121" s="492">
        <f t="shared" ca="1" si="7"/>
        <v>0</v>
      </c>
      <c r="U121" s="274"/>
      <c r="V121" s="497" t="str">
        <f ca="1">IF('CDO Bespoke'!C146&lt;&gt;"",'CDO Bespoke'!C146,"")</f>
        <v/>
      </c>
      <c r="W121" s="499" t="str" cm="1">
        <f t="array" aca="1" ref="W121" ca="1">IF($V121&lt;&gt;"",-TRANSPOSE(INDEX(getcds('CDO Bespoke'!$C146,W$13,'CDO Bespoke'!$G146/10000,'CDO Bespoke'!F146,'CDO Bespoke'!$L122,'CDO Bespoke'!$C$13,'CDO Bespoke'!$C$14,'CDO Bespoke'!$C$15,'CDO Bespoke'!$C$8,,,TRUE,TRUE,FALSE,'CDO Bespoke'!$C$29:'CDO Bespoke'!$C$31,'CDO Bespoke'!$C$33),{5})),"")</f>
        <v/>
      </c>
      <c r="X121" s="524" t="str" cm="1">
        <f t="array" aca="1" ref="X121" ca="1">IF($V121&lt;&gt;"",-TRANSPOSE(INDEX(getcds('CDO Bespoke'!$C146,X$13,'CDO Bespoke'!$G146/10000,'CDO Bespoke'!G146,'CDO Bespoke'!$L122,'CDO Bespoke'!$C$13,'CDO Bespoke'!$C$14,'CDO Bespoke'!$C$15,'CDO Bespoke'!$C$8,,,TRUE,TRUE,FALSE,'CDO Bespoke'!$C$29:'CDO Bespoke'!$C$31,'CDO Bespoke'!$C$33),{5})),"")</f>
        <v/>
      </c>
      <c r="Y121" s="524" t="str" cm="1">
        <f t="array" aca="1" ref="Y121" ca="1">IF($V121&lt;&gt;"",-TRANSPOSE(INDEX(getcds('CDO Bespoke'!$C146,Y$13,'CDO Bespoke'!$G146/10000,'CDO Bespoke'!H146,'CDO Bespoke'!$L122,'CDO Bespoke'!$C$13,'CDO Bespoke'!$C$14,'CDO Bespoke'!$C$15,'CDO Bespoke'!$C$8,,,TRUE,TRUE,FALSE,'CDO Bespoke'!$C$29:'CDO Bespoke'!$C$31,'CDO Bespoke'!$C$33),{5})),"")</f>
        <v/>
      </c>
      <c r="Z121" s="524" t="str" cm="1">
        <f t="array" aca="1" ref="Z121" ca="1">IF($V121&lt;&gt;"",-TRANSPOSE(INDEX(getcds('CDO Bespoke'!$C146,Z$13,'CDO Bespoke'!$G146/10000,'CDO Bespoke'!I146,'CDO Bespoke'!$L122,'CDO Bespoke'!$C$13,'CDO Bespoke'!$C$14,'CDO Bespoke'!$C$15,'CDO Bespoke'!$C$8,,,TRUE,TRUE,FALSE,'CDO Bespoke'!$C$29:'CDO Bespoke'!$C$31,'CDO Bespoke'!$C$33),{5})),"")</f>
        <v/>
      </c>
      <c r="AA121" s="500" t="str" cm="1">
        <f t="array" aca="1" ref="AA121" ca="1">IF($V121&lt;&gt;"",-TRANSPOSE(INDEX(getcds('CDO Bespoke'!$C146,AA$13,'CDO Bespoke'!$G146/10000,'CDO Bespoke'!J146,'CDO Bespoke'!$L122,'CDO Bespoke'!$C$13,'CDO Bespoke'!$C$14,'CDO Bespoke'!$C$15,'CDO Bespoke'!$C$8,,,TRUE,TRUE,FALSE,'CDO Bespoke'!$C$29:'CDO Bespoke'!$C$31,'CDO Bespoke'!$C$33),{5})),"")</f>
        <v/>
      </c>
      <c r="AB121" s="479"/>
      <c r="AC121" s="515"/>
      <c r="AD121" s="516"/>
      <c r="AE121" s="516"/>
      <c r="AF121" s="516"/>
      <c r="AG121" s="516"/>
      <c r="AH121" s="516"/>
      <c r="AI121" s="516"/>
      <c r="AJ121" s="516"/>
      <c r="AK121" s="516"/>
      <c r="AL121" s="517"/>
      <c r="AM121" s="534"/>
    </row>
    <row r="122" spans="2:39" ht="12" thickBot="1">
      <c r="B122" s="535" t="s">
        <v>528</v>
      </c>
      <c r="C122" s="536" t="s">
        <v>66</v>
      </c>
      <c r="D122" s="536" t="s">
        <v>57</v>
      </c>
      <c r="E122" s="536" t="s">
        <v>660</v>
      </c>
      <c r="F122" s="536" t="s">
        <v>666</v>
      </c>
      <c r="G122" s="543">
        <v>0.01</v>
      </c>
      <c r="H122" s="543">
        <v>1.1979999999999999E-2</v>
      </c>
      <c r="I122" s="545">
        <v>0.4</v>
      </c>
      <c r="J122" s="537">
        <v>33</v>
      </c>
      <c r="K122" s="274"/>
      <c r="L122" s="274"/>
      <c r="M122" s="487" t="str">
        <f ca="1">IF('CDO Bespoke'!O123&lt;&gt;"",'CDO Bespoke'!O123,"")</f>
        <v/>
      </c>
      <c r="N122" s="488" t="str">
        <f ca="1">IF(M122&lt;&gt;"",ABS(MIN(-0.75*('CDO Bespoke'!Q123)+'CDO Bespoke'!T123,0)),"")</f>
        <v/>
      </c>
      <c r="O122" s="488">
        <f t="shared" ca="1" si="4"/>
        <v>0</v>
      </c>
      <c r="P122" s="488">
        <f t="shared" ca="1" si="5"/>
        <v>0</v>
      </c>
      <c r="Q122" s="487" t="str">
        <f ca="1">IF('CDO Bespoke'!O123&lt;&gt;"",'CDO Bespoke'!O123,"")</f>
        <v/>
      </c>
      <c r="R122" s="488" t="str">
        <f ca="1">IF(Q122&lt;&gt;"",ABS(MIN(-0.75*('CDO Bespoke'!K123)+'CDO Bespoke'!T123,0)),"")</f>
        <v/>
      </c>
      <c r="S122" s="488">
        <f t="shared" ca="1" si="6"/>
        <v>0</v>
      </c>
      <c r="T122" s="492">
        <f t="shared" ca="1" si="7"/>
        <v>0</v>
      </c>
      <c r="U122" s="274"/>
      <c r="V122" s="497" t="str">
        <f ca="1">IF('CDO Bespoke'!C147&lt;&gt;"",'CDO Bespoke'!C147,"")</f>
        <v/>
      </c>
      <c r="W122" s="499" t="str" cm="1">
        <f t="array" aca="1" ref="W122" ca="1">IF($V122&lt;&gt;"",-TRANSPOSE(INDEX(getcds('CDO Bespoke'!$C147,W$13,'CDO Bespoke'!$G147/10000,'CDO Bespoke'!F147,'CDO Bespoke'!$L123,'CDO Bespoke'!$C$13,'CDO Bespoke'!$C$14,'CDO Bespoke'!$C$15,'CDO Bespoke'!$C$8,,,TRUE,TRUE,FALSE,'CDO Bespoke'!$C$29:'CDO Bespoke'!$C$31,'CDO Bespoke'!$C$33),{5})),"")</f>
        <v/>
      </c>
      <c r="X122" s="524" t="str" cm="1">
        <f t="array" aca="1" ref="X122" ca="1">IF($V122&lt;&gt;"",-TRANSPOSE(INDEX(getcds('CDO Bespoke'!$C147,X$13,'CDO Bespoke'!$G147/10000,'CDO Bespoke'!G147,'CDO Bespoke'!$L123,'CDO Bespoke'!$C$13,'CDO Bespoke'!$C$14,'CDO Bespoke'!$C$15,'CDO Bespoke'!$C$8,,,TRUE,TRUE,FALSE,'CDO Bespoke'!$C$29:'CDO Bespoke'!$C$31,'CDO Bespoke'!$C$33),{5})),"")</f>
        <v/>
      </c>
      <c r="Y122" s="524" t="str" cm="1">
        <f t="array" aca="1" ref="Y122" ca="1">IF($V122&lt;&gt;"",-TRANSPOSE(INDEX(getcds('CDO Bespoke'!$C147,Y$13,'CDO Bespoke'!$G147/10000,'CDO Bespoke'!H147,'CDO Bespoke'!$L123,'CDO Bespoke'!$C$13,'CDO Bespoke'!$C$14,'CDO Bespoke'!$C$15,'CDO Bespoke'!$C$8,,,TRUE,TRUE,FALSE,'CDO Bespoke'!$C$29:'CDO Bespoke'!$C$31,'CDO Bespoke'!$C$33),{5})),"")</f>
        <v/>
      </c>
      <c r="Z122" s="524" t="str" cm="1">
        <f t="array" aca="1" ref="Z122" ca="1">IF($V122&lt;&gt;"",-TRANSPOSE(INDEX(getcds('CDO Bespoke'!$C147,Z$13,'CDO Bespoke'!$G147/10000,'CDO Bespoke'!I147,'CDO Bespoke'!$L123,'CDO Bespoke'!$C$13,'CDO Bespoke'!$C$14,'CDO Bespoke'!$C$15,'CDO Bespoke'!$C$8,,,TRUE,TRUE,FALSE,'CDO Bespoke'!$C$29:'CDO Bespoke'!$C$31,'CDO Bespoke'!$C$33),{5})),"")</f>
        <v/>
      </c>
      <c r="AA122" s="500" t="str" cm="1">
        <f t="array" aca="1" ref="AA122" ca="1">IF($V122&lt;&gt;"",-TRANSPOSE(INDEX(getcds('CDO Bespoke'!$C147,AA$13,'CDO Bespoke'!$G147/10000,'CDO Bespoke'!J147,'CDO Bespoke'!$L123,'CDO Bespoke'!$C$13,'CDO Bespoke'!$C$14,'CDO Bespoke'!$C$15,'CDO Bespoke'!$C$8,,,TRUE,TRUE,FALSE,'CDO Bespoke'!$C$29:'CDO Bespoke'!$C$31,'CDO Bespoke'!$C$33),{5})),"")</f>
        <v/>
      </c>
      <c r="AB122" s="479"/>
      <c r="AC122" s="515"/>
      <c r="AD122" s="516"/>
      <c r="AE122" s="516"/>
      <c r="AF122" s="516"/>
      <c r="AG122" s="516"/>
      <c r="AH122" s="516"/>
      <c r="AI122" s="516"/>
      <c r="AJ122" s="516"/>
      <c r="AK122" s="516"/>
      <c r="AL122" s="517"/>
      <c r="AM122" s="534"/>
    </row>
    <row r="123" spans="2:39" ht="12" thickBot="1">
      <c r="B123" s="552" t="s">
        <v>528</v>
      </c>
      <c r="C123" s="553" t="s">
        <v>66</v>
      </c>
      <c r="D123" s="553" t="s">
        <v>59</v>
      </c>
      <c r="E123" s="553" t="s">
        <v>660</v>
      </c>
      <c r="F123" s="553" t="s">
        <v>666</v>
      </c>
      <c r="G123" s="554">
        <v>0.01</v>
      </c>
      <c r="H123" s="554">
        <v>1.6924999999999999E-2</v>
      </c>
      <c r="I123" s="555">
        <v>0.4</v>
      </c>
      <c r="J123" s="556">
        <v>33</v>
      </c>
      <c r="K123" s="274"/>
      <c r="L123" s="274"/>
      <c r="M123" s="487" t="str">
        <f ca="1">IF('CDO Bespoke'!O124&lt;&gt;"",'CDO Bespoke'!O124,"")</f>
        <v/>
      </c>
      <c r="N123" s="488" t="str">
        <f ca="1">IF(M123&lt;&gt;"",ABS(MIN(-0.75*('CDO Bespoke'!Q124)+'CDO Bespoke'!T124,0)),"")</f>
        <v/>
      </c>
      <c r="O123" s="488">
        <f t="shared" ca="1" si="4"/>
        <v>0</v>
      </c>
      <c r="P123" s="488">
        <f t="shared" ca="1" si="5"/>
        <v>0</v>
      </c>
      <c r="Q123" s="487" t="str">
        <f ca="1">IF('CDO Bespoke'!O124&lt;&gt;"",'CDO Bespoke'!O124,"")</f>
        <v/>
      </c>
      <c r="R123" s="488" t="str">
        <f ca="1">IF(Q123&lt;&gt;"",ABS(MIN(-0.75*('CDO Bespoke'!K124)+'CDO Bespoke'!T124,0)),"")</f>
        <v/>
      </c>
      <c r="S123" s="488">
        <f t="shared" ca="1" si="6"/>
        <v>0</v>
      </c>
      <c r="T123" s="492">
        <f t="shared" ca="1" si="7"/>
        <v>0</v>
      </c>
      <c r="U123" s="274"/>
      <c r="V123" s="497" t="str">
        <f ca="1">IF('CDO Bespoke'!C148&lt;&gt;"",'CDO Bespoke'!C148,"")</f>
        <v/>
      </c>
      <c r="W123" s="499" t="str" cm="1">
        <f t="array" aca="1" ref="W123" ca="1">IF($V123&lt;&gt;"",-TRANSPOSE(INDEX(getcds('CDO Bespoke'!$C148,W$13,'CDO Bespoke'!$G148/10000,'CDO Bespoke'!F148,'CDO Bespoke'!$L124,'CDO Bespoke'!$C$13,'CDO Bespoke'!$C$14,'CDO Bespoke'!$C$15,'CDO Bespoke'!$C$8,,,TRUE,TRUE,FALSE,'CDO Bespoke'!$C$29:'CDO Bespoke'!$C$31,'CDO Bespoke'!$C$33),{5})),"")</f>
        <v/>
      </c>
      <c r="X123" s="524" t="str" cm="1">
        <f t="array" aca="1" ref="X123" ca="1">IF($V123&lt;&gt;"",-TRANSPOSE(INDEX(getcds('CDO Bespoke'!$C148,X$13,'CDO Bespoke'!$G148/10000,'CDO Bespoke'!G148,'CDO Bespoke'!$L124,'CDO Bespoke'!$C$13,'CDO Bespoke'!$C$14,'CDO Bespoke'!$C$15,'CDO Bespoke'!$C$8,,,TRUE,TRUE,FALSE,'CDO Bespoke'!$C$29:'CDO Bespoke'!$C$31,'CDO Bespoke'!$C$33),{5})),"")</f>
        <v/>
      </c>
      <c r="Y123" s="524" t="str" cm="1">
        <f t="array" aca="1" ref="Y123" ca="1">IF($V123&lt;&gt;"",-TRANSPOSE(INDEX(getcds('CDO Bespoke'!$C148,Y$13,'CDO Bespoke'!$G148/10000,'CDO Bespoke'!H148,'CDO Bespoke'!$L124,'CDO Bespoke'!$C$13,'CDO Bespoke'!$C$14,'CDO Bespoke'!$C$15,'CDO Bespoke'!$C$8,,,TRUE,TRUE,FALSE,'CDO Bespoke'!$C$29:'CDO Bespoke'!$C$31,'CDO Bespoke'!$C$33),{5})),"")</f>
        <v/>
      </c>
      <c r="Z123" s="524" t="str" cm="1">
        <f t="array" aca="1" ref="Z123" ca="1">IF($V123&lt;&gt;"",-TRANSPOSE(INDEX(getcds('CDO Bespoke'!$C148,Z$13,'CDO Bespoke'!$G148/10000,'CDO Bespoke'!I148,'CDO Bespoke'!$L124,'CDO Bespoke'!$C$13,'CDO Bespoke'!$C$14,'CDO Bespoke'!$C$15,'CDO Bespoke'!$C$8,,,TRUE,TRUE,FALSE,'CDO Bespoke'!$C$29:'CDO Bespoke'!$C$31,'CDO Bespoke'!$C$33),{5})),"")</f>
        <v/>
      </c>
      <c r="AA123" s="500" t="str" cm="1">
        <f t="array" aca="1" ref="AA123" ca="1">IF($V123&lt;&gt;"",-TRANSPOSE(INDEX(getcds('CDO Bespoke'!$C148,AA$13,'CDO Bespoke'!$G148/10000,'CDO Bespoke'!J148,'CDO Bespoke'!$L124,'CDO Bespoke'!$C$13,'CDO Bespoke'!$C$14,'CDO Bespoke'!$C$15,'CDO Bespoke'!$C$8,,,TRUE,TRUE,FALSE,'CDO Bespoke'!$C$29:'CDO Bespoke'!$C$31,'CDO Bespoke'!$C$33),{5})),"")</f>
        <v/>
      </c>
      <c r="AB123" s="479"/>
      <c r="AC123" s="515"/>
      <c r="AD123" s="516"/>
      <c r="AE123" s="516"/>
      <c r="AF123" s="516"/>
      <c r="AG123" s="516"/>
      <c r="AH123" s="516"/>
      <c r="AI123" s="516"/>
      <c r="AJ123" s="516"/>
      <c r="AK123" s="516"/>
      <c r="AL123" s="517"/>
      <c r="AM123" s="534"/>
    </row>
    <row r="124" spans="2:39" ht="12" thickBot="1">
      <c r="B124" s="557" t="s">
        <v>529</v>
      </c>
      <c r="C124" s="558" t="s">
        <v>66</v>
      </c>
      <c r="D124" s="558" t="s">
        <v>55</v>
      </c>
      <c r="E124" s="558" t="s">
        <v>658</v>
      </c>
      <c r="F124" s="558" t="s">
        <v>659</v>
      </c>
      <c r="G124" s="559">
        <v>0.01</v>
      </c>
      <c r="H124" s="559">
        <v>1.9369999999999999E-3</v>
      </c>
      <c r="I124" s="560">
        <v>0.4</v>
      </c>
      <c r="J124" s="561">
        <v>34</v>
      </c>
      <c r="K124" s="274"/>
      <c r="L124" s="274"/>
      <c r="M124" s="487" t="str">
        <f ca="1">IF('CDO Bespoke'!O125&lt;&gt;"",'CDO Bespoke'!O125,"")</f>
        <v/>
      </c>
      <c r="N124" s="488" t="str">
        <f ca="1">IF(M124&lt;&gt;"",ABS(MIN(-0.75*('CDO Bespoke'!Q125)+'CDO Bespoke'!T125,0)),"")</f>
        <v/>
      </c>
      <c r="O124" s="488">
        <f t="shared" ca="1" si="4"/>
        <v>0</v>
      </c>
      <c r="P124" s="488">
        <f t="shared" ca="1" si="5"/>
        <v>0</v>
      </c>
      <c r="Q124" s="487" t="str">
        <f ca="1">IF('CDO Bespoke'!O125&lt;&gt;"",'CDO Bespoke'!O125,"")</f>
        <v/>
      </c>
      <c r="R124" s="488" t="str">
        <f ca="1">IF(Q124&lt;&gt;"",ABS(MIN(-0.75*('CDO Bespoke'!K125)+'CDO Bespoke'!T125,0)),"")</f>
        <v/>
      </c>
      <c r="S124" s="488">
        <f t="shared" ca="1" si="6"/>
        <v>0</v>
      </c>
      <c r="T124" s="492">
        <f t="shared" ca="1" si="7"/>
        <v>0</v>
      </c>
      <c r="U124" s="274"/>
      <c r="V124" s="497" t="str">
        <f ca="1">IF('CDO Bespoke'!C149&lt;&gt;"",'CDO Bespoke'!C149,"")</f>
        <v/>
      </c>
      <c r="W124" s="499" t="str" cm="1">
        <f t="array" aca="1" ref="W124" ca="1">IF($V124&lt;&gt;"",-TRANSPOSE(INDEX(getcds('CDO Bespoke'!$C149,W$13,'CDO Bespoke'!$G149/10000,'CDO Bespoke'!F149,'CDO Bespoke'!$L125,'CDO Bespoke'!$C$13,'CDO Bespoke'!$C$14,'CDO Bespoke'!$C$15,'CDO Bespoke'!$C$8,,,TRUE,TRUE,FALSE,'CDO Bespoke'!$C$29:'CDO Bespoke'!$C$31,'CDO Bespoke'!$C$33),{5})),"")</f>
        <v/>
      </c>
      <c r="X124" s="524" t="str" cm="1">
        <f t="array" aca="1" ref="X124" ca="1">IF($V124&lt;&gt;"",-TRANSPOSE(INDEX(getcds('CDO Bespoke'!$C149,X$13,'CDO Bespoke'!$G149/10000,'CDO Bespoke'!G149,'CDO Bespoke'!$L125,'CDO Bespoke'!$C$13,'CDO Bespoke'!$C$14,'CDO Bespoke'!$C$15,'CDO Bespoke'!$C$8,,,TRUE,TRUE,FALSE,'CDO Bespoke'!$C$29:'CDO Bespoke'!$C$31,'CDO Bespoke'!$C$33),{5})),"")</f>
        <v/>
      </c>
      <c r="Y124" s="524" t="str" cm="1">
        <f t="array" aca="1" ref="Y124" ca="1">IF($V124&lt;&gt;"",-TRANSPOSE(INDEX(getcds('CDO Bespoke'!$C149,Y$13,'CDO Bespoke'!$G149/10000,'CDO Bespoke'!H149,'CDO Bespoke'!$L125,'CDO Bespoke'!$C$13,'CDO Bespoke'!$C$14,'CDO Bespoke'!$C$15,'CDO Bespoke'!$C$8,,,TRUE,TRUE,FALSE,'CDO Bespoke'!$C$29:'CDO Bespoke'!$C$31,'CDO Bespoke'!$C$33),{5})),"")</f>
        <v/>
      </c>
      <c r="Z124" s="524" t="str" cm="1">
        <f t="array" aca="1" ref="Z124" ca="1">IF($V124&lt;&gt;"",-TRANSPOSE(INDEX(getcds('CDO Bespoke'!$C149,Z$13,'CDO Bespoke'!$G149/10000,'CDO Bespoke'!I149,'CDO Bespoke'!$L125,'CDO Bespoke'!$C$13,'CDO Bespoke'!$C$14,'CDO Bespoke'!$C$15,'CDO Bespoke'!$C$8,,,TRUE,TRUE,FALSE,'CDO Bespoke'!$C$29:'CDO Bespoke'!$C$31,'CDO Bespoke'!$C$33),{5})),"")</f>
        <v/>
      </c>
      <c r="AA124" s="500" t="str" cm="1">
        <f t="array" aca="1" ref="AA124" ca="1">IF($V124&lt;&gt;"",-TRANSPOSE(INDEX(getcds('CDO Bespoke'!$C149,AA$13,'CDO Bespoke'!$G149/10000,'CDO Bespoke'!J149,'CDO Bespoke'!$L125,'CDO Bespoke'!$C$13,'CDO Bespoke'!$C$14,'CDO Bespoke'!$C$15,'CDO Bespoke'!$C$8,,,TRUE,TRUE,FALSE,'CDO Bespoke'!$C$29:'CDO Bespoke'!$C$31,'CDO Bespoke'!$C$33),{5})),"")</f>
        <v/>
      </c>
      <c r="AB124" s="479"/>
      <c r="AC124" s="515"/>
      <c r="AD124" s="516"/>
      <c r="AE124" s="516"/>
      <c r="AF124" s="516"/>
      <c r="AG124" s="516"/>
      <c r="AH124" s="516"/>
      <c r="AI124" s="516"/>
      <c r="AJ124" s="516"/>
      <c r="AK124" s="516"/>
      <c r="AL124" s="517"/>
      <c r="AM124" s="534"/>
    </row>
    <row r="125" spans="2:39" ht="12" thickBot="1">
      <c r="B125" s="535" t="s">
        <v>529</v>
      </c>
      <c r="C125" s="536" t="s">
        <v>66</v>
      </c>
      <c r="D125" s="536" t="s">
        <v>57</v>
      </c>
      <c r="E125" s="536" t="s">
        <v>658</v>
      </c>
      <c r="F125" s="536" t="s">
        <v>659</v>
      </c>
      <c r="G125" s="543">
        <v>0.01</v>
      </c>
      <c r="H125" s="543">
        <v>3.101E-3</v>
      </c>
      <c r="I125" s="545">
        <v>0.4</v>
      </c>
      <c r="J125" s="537">
        <v>34</v>
      </c>
      <c r="K125" s="274"/>
      <c r="L125" s="274"/>
      <c r="M125" s="487" t="str">
        <f ca="1">IF('CDO Bespoke'!O126&lt;&gt;"",'CDO Bespoke'!O126,"")</f>
        <v/>
      </c>
      <c r="N125" s="488" t="str">
        <f ca="1">IF(M125&lt;&gt;"",ABS(MIN(-0.75*('CDO Bespoke'!Q126)+'CDO Bespoke'!T126,0)),"")</f>
        <v/>
      </c>
      <c r="O125" s="488">
        <f t="shared" ca="1" si="4"/>
        <v>0</v>
      </c>
      <c r="P125" s="488">
        <f t="shared" ca="1" si="5"/>
        <v>0</v>
      </c>
      <c r="Q125" s="487" t="str">
        <f ca="1">IF('CDO Bespoke'!O126&lt;&gt;"",'CDO Bespoke'!O126,"")</f>
        <v/>
      </c>
      <c r="R125" s="488" t="str">
        <f ca="1">IF(Q125&lt;&gt;"",ABS(MIN(-0.75*('CDO Bespoke'!K126)+'CDO Bespoke'!T126,0)),"")</f>
        <v/>
      </c>
      <c r="S125" s="488">
        <f t="shared" ca="1" si="6"/>
        <v>0</v>
      </c>
      <c r="T125" s="492">
        <f t="shared" ca="1" si="7"/>
        <v>0</v>
      </c>
      <c r="U125" s="274"/>
      <c r="V125" s="497" t="str">
        <f ca="1">IF('CDO Bespoke'!C150&lt;&gt;"",'CDO Bespoke'!C150,"")</f>
        <v/>
      </c>
      <c r="W125" s="499" t="str" cm="1">
        <f t="array" aca="1" ref="W125" ca="1">IF($V125&lt;&gt;"",-TRANSPOSE(INDEX(getcds('CDO Bespoke'!$C150,W$13,'CDO Bespoke'!$G150/10000,'CDO Bespoke'!F150,'CDO Bespoke'!$L126,'CDO Bespoke'!$C$13,'CDO Bespoke'!$C$14,'CDO Bespoke'!$C$15,'CDO Bespoke'!$C$8,,,TRUE,TRUE,FALSE,'CDO Bespoke'!$C$29:'CDO Bespoke'!$C$31,'CDO Bespoke'!$C$33),{5})),"")</f>
        <v/>
      </c>
      <c r="X125" s="524" t="str" cm="1">
        <f t="array" aca="1" ref="X125" ca="1">IF($V125&lt;&gt;"",-TRANSPOSE(INDEX(getcds('CDO Bespoke'!$C150,X$13,'CDO Bespoke'!$G150/10000,'CDO Bespoke'!G150,'CDO Bespoke'!$L126,'CDO Bespoke'!$C$13,'CDO Bespoke'!$C$14,'CDO Bespoke'!$C$15,'CDO Bespoke'!$C$8,,,TRUE,TRUE,FALSE,'CDO Bespoke'!$C$29:'CDO Bespoke'!$C$31,'CDO Bespoke'!$C$33),{5})),"")</f>
        <v/>
      </c>
      <c r="Y125" s="524" t="str" cm="1">
        <f t="array" aca="1" ref="Y125" ca="1">IF($V125&lt;&gt;"",-TRANSPOSE(INDEX(getcds('CDO Bespoke'!$C150,Y$13,'CDO Bespoke'!$G150/10000,'CDO Bespoke'!H150,'CDO Bespoke'!$L126,'CDO Bespoke'!$C$13,'CDO Bespoke'!$C$14,'CDO Bespoke'!$C$15,'CDO Bespoke'!$C$8,,,TRUE,TRUE,FALSE,'CDO Bespoke'!$C$29:'CDO Bespoke'!$C$31,'CDO Bespoke'!$C$33),{5})),"")</f>
        <v/>
      </c>
      <c r="Z125" s="524" t="str" cm="1">
        <f t="array" aca="1" ref="Z125" ca="1">IF($V125&lt;&gt;"",-TRANSPOSE(INDEX(getcds('CDO Bespoke'!$C150,Z$13,'CDO Bespoke'!$G150/10000,'CDO Bespoke'!I150,'CDO Bespoke'!$L126,'CDO Bespoke'!$C$13,'CDO Bespoke'!$C$14,'CDO Bespoke'!$C$15,'CDO Bespoke'!$C$8,,,TRUE,TRUE,FALSE,'CDO Bespoke'!$C$29:'CDO Bespoke'!$C$31,'CDO Bespoke'!$C$33),{5})),"")</f>
        <v/>
      </c>
      <c r="AA125" s="500" t="str" cm="1">
        <f t="array" aca="1" ref="AA125" ca="1">IF($V125&lt;&gt;"",-TRANSPOSE(INDEX(getcds('CDO Bespoke'!$C150,AA$13,'CDO Bespoke'!$G150/10000,'CDO Bespoke'!J150,'CDO Bespoke'!$L126,'CDO Bespoke'!$C$13,'CDO Bespoke'!$C$14,'CDO Bespoke'!$C$15,'CDO Bespoke'!$C$8,,,TRUE,TRUE,FALSE,'CDO Bespoke'!$C$29:'CDO Bespoke'!$C$31,'CDO Bespoke'!$C$33),{5})),"")</f>
        <v/>
      </c>
      <c r="AB125" s="479"/>
      <c r="AC125" s="515"/>
      <c r="AD125" s="516"/>
      <c r="AE125" s="516"/>
      <c r="AF125" s="516"/>
      <c r="AG125" s="516"/>
      <c r="AH125" s="516"/>
      <c r="AI125" s="516"/>
      <c r="AJ125" s="516"/>
      <c r="AK125" s="516"/>
      <c r="AL125" s="517"/>
      <c r="AM125" s="534"/>
    </row>
    <row r="126" spans="2:39" ht="12" thickBot="1">
      <c r="B126" s="552" t="s">
        <v>529</v>
      </c>
      <c r="C126" s="553" t="s">
        <v>66</v>
      </c>
      <c r="D126" s="553" t="s">
        <v>59</v>
      </c>
      <c r="E126" s="553" t="s">
        <v>658</v>
      </c>
      <c r="F126" s="553" t="s">
        <v>659</v>
      </c>
      <c r="G126" s="554">
        <v>0.01</v>
      </c>
      <c r="H126" s="554">
        <v>4.6010000000000001E-3</v>
      </c>
      <c r="I126" s="555">
        <v>0.4</v>
      </c>
      <c r="J126" s="556">
        <v>34</v>
      </c>
      <c r="K126" s="274"/>
      <c r="L126" s="274"/>
      <c r="M126" s="487" t="str">
        <f ca="1">IF('CDO Bespoke'!O127&lt;&gt;"",'CDO Bespoke'!O127,"")</f>
        <v/>
      </c>
      <c r="N126" s="488" t="str">
        <f ca="1">IF(M126&lt;&gt;"",ABS(MIN(-0.75*('CDO Bespoke'!Q127)+'CDO Bespoke'!T127,0)),"")</f>
        <v/>
      </c>
      <c r="O126" s="488">
        <f t="shared" ca="1" si="4"/>
        <v>0</v>
      </c>
      <c r="P126" s="488">
        <f t="shared" ca="1" si="5"/>
        <v>0</v>
      </c>
      <c r="Q126" s="487" t="str">
        <f ca="1">IF('CDO Bespoke'!O127&lt;&gt;"",'CDO Bespoke'!O127,"")</f>
        <v/>
      </c>
      <c r="R126" s="488" t="str">
        <f ca="1">IF(Q126&lt;&gt;"",ABS(MIN(-0.75*('CDO Bespoke'!K127)+'CDO Bespoke'!T127,0)),"")</f>
        <v/>
      </c>
      <c r="S126" s="488">
        <f t="shared" ca="1" si="6"/>
        <v>0</v>
      </c>
      <c r="T126" s="492">
        <f t="shared" ca="1" si="7"/>
        <v>0</v>
      </c>
      <c r="U126" s="274"/>
      <c r="V126" s="497" t="str">
        <f ca="1">IF('CDO Bespoke'!C151&lt;&gt;"",'CDO Bespoke'!C151,"")</f>
        <v/>
      </c>
      <c r="W126" s="499" t="str" cm="1">
        <f t="array" aca="1" ref="W126" ca="1">IF($V126&lt;&gt;"",-TRANSPOSE(INDEX(getcds('CDO Bespoke'!$C151,W$13,'CDO Bespoke'!$G151/10000,'CDO Bespoke'!F151,'CDO Bespoke'!$L127,'CDO Bespoke'!$C$13,'CDO Bespoke'!$C$14,'CDO Bespoke'!$C$15,'CDO Bespoke'!$C$8,,,TRUE,TRUE,FALSE,'CDO Bespoke'!$C$29:'CDO Bespoke'!$C$31,'CDO Bespoke'!$C$33),{5})),"")</f>
        <v/>
      </c>
      <c r="X126" s="524" t="str" cm="1">
        <f t="array" aca="1" ref="X126" ca="1">IF($V126&lt;&gt;"",-TRANSPOSE(INDEX(getcds('CDO Bespoke'!$C151,X$13,'CDO Bespoke'!$G151/10000,'CDO Bespoke'!G151,'CDO Bespoke'!$L127,'CDO Bespoke'!$C$13,'CDO Bespoke'!$C$14,'CDO Bespoke'!$C$15,'CDO Bespoke'!$C$8,,,TRUE,TRUE,FALSE,'CDO Bespoke'!$C$29:'CDO Bespoke'!$C$31,'CDO Bespoke'!$C$33),{5})),"")</f>
        <v/>
      </c>
      <c r="Y126" s="524" t="str" cm="1">
        <f t="array" aca="1" ref="Y126" ca="1">IF($V126&lt;&gt;"",-TRANSPOSE(INDEX(getcds('CDO Bespoke'!$C151,Y$13,'CDO Bespoke'!$G151/10000,'CDO Bespoke'!H151,'CDO Bespoke'!$L127,'CDO Bespoke'!$C$13,'CDO Bespoke'!$C$14,'CDO Bespoke'!$C$15,'CDO Bespoke'!$C$8,,,TRUE,TRUE,FALSE,'CDO Bespoke'!$C$29:'CDO Bespoke'!$C$31,'CDO Bespoke'!$C$33),{5})),"")</f>
        <v/>
      </c>
      <c r="Z126" s="524" t="str" cm="1">
        <f t="array" aca="1" ref="Z126" ca="1">IF($V126&lt;&gt;"",-TRANSPOSE(INDEX(getcds('CDO Bespoke'!$C151,Z$13,'CDO Bespoke'!$G151/10000,'CDO Bespoke'!I151,'CDO Bespoke'!$L127,'CDO Bespoke'!$C$13,'CDO Bespoke'!$C$14,'CDO Bespoke'!$C$15,'CDO Bespoke'!$C$8,,,TRUE,TRUE,FALSE,'CDO Bespoke'!$C$29:'CDO Bespoke'!$C$31,'CDO Bespoke'!$C$33),{5})),"")</f>
        <v/>
      </c>
      <c r="AA126" s="500" t="str" cm="1">
        <f t="array" aca="1" ref="AA126" ca="1">IF($V126&lt;&gt;"",-TRANSPOSE(INDEX(getcds('CDO Bespoke'!$C151,AA$13,'CDO Bespoke'!$G151/10000,'CDO Bespoke'!J151,'CDO Bespoke'!$L127,'CDO Bespoke'!$C$13,'CDO Bespoke'!$C$14,'CDO Bespoke'!$C$15,'CDO Bespoke'!$C$8,,,TRUE,TRUE,FALSE,'CDO Bespoke'!$C$29:'CDO Bespoke'!$C$31,'CDO Bespoke'!$C$33),{5})),"")</f>
        <v/>
      </c>
      <c r="AB126" s="479"/>
      <c r="AC126" s="515"/>
      <c r="AD126" s="516"/>
      <c r="AE126" s="516"/>
      <c r="AF126" s="516"/>
      <c r="AG126" s="516"/>
      <c r="AH126" s="516"/>
      <c r="AI126" s="516"/>
      <c r="AJ126" s="516"/>
      <c r="AK126" s="516"/>
      <c r="AL126" s="517"/>
      <c r="AM126" s="534"/>
    </row>
    <row r="127" spans="2:39" ht="12" thickBot="1">
      <c r="B127" s="557" t="s">
        <v>543</v>
      </c>
      <c r="C127" s="558" t="s">
        <v>66</v>
      </c>
      <c r="D127" s="558" t="s">
        <v>55</v>
      </c>
      <c r="E127" s="558" t="s">
        <v>658</v>
      </c>
      <c r="F127" s="558" t="s">
        <v>663</v>
      </c>
      <c r="G127" s="559">
        <v>0.01</v>
      </c>
      <c r="H127" s="559">
        <v>4.7990000000000003E-3</v>
      </c>
      <c r="I127" s="560">
        <v>0.4</v>
      </c>
      <c r="J127" s="561">
        <v>35</v>
      </c>
      <c r="K127" s="274"/>
      <c r="L127" s="274"/>
      <c r="M127" s="487" t="str">
        <f ca="1">IF('CDO Bespoke'!O128&lt;&gt;"",'CDO Bespoke'!O128,"")</f>
        <v/>
      </c>
      <c r="N127" s="488" t="str">
        <f ca="1">IF(M127&lt;&gt;"",ABS(MIN(-0.75*('CDO Bespoke'!Q128)+'CDO Bespoke'!T128,0)),"")</f>
        <v/>
      </c>
      <c r="O127" s="488">
        <f t="shared" ca="1" si="4"/>
        <v>0</v>
      </c>
      <c r="P127" s="488">
        <f t="shared" ca="1" si="5"/>
        <v>0</v>
      </c>
      <c r="Q127" s="487" t="str">
        <f ca="1">IF('CDO Bespoke'!O128&lt;&gt;"",'CDO Bespoke'!O128,"")</f>
        <v/>
      </c>
      <c r="R127" s="488" t="str">
        <f ca="1">IF(Q127&lt;&gt;"",ABS(MIN(-0.75*('CDO Bespoke'!K128)+'CDO Bespoke'!T128,0)),"")</f>
        <v/>
      </c>
      <c r="S127" s="488">
        <f t="shared" ca="1" si="6"/>
        <v>0</v>
      </c>
      <c r="T127" s="492">
        <f t="shared" ca="1" si="7"/>
        <v>0</v>
      </c>
      <c r="U127" s="274"/>
      <c r="V127" s="497" t="str">
        <f ca="1">IF('CDO Bespoke'!C152&lt;&gt;"",'CDO Bespoke'!C152,"")</f>
        <v/>
      </c>
      <c r="W127" s="499" t="str" cm="1">
        <f t="array" aca="1" ref="W127" ca="1">IF($V127&lt;&gt;"",-TRANSPOSE(INDEX(getcds('CDO Bespoke'!$C152,W$13,'CDO Bespoke'!$G152/10000,'CDO Bespoke'!F152,'CDO Bespoke'!$L128,'CDO Bespoke'!$C$13,'CDO Bespoke'!$C$14,'CDO Bespoke'!$C$15,'CDO Bespoke'!$C$8,,,TRUE,TRUE,FALSE,'CDO Bespoke'!$C$29:'CDO Bespoke'!$C$31,'CDO Bespoke'!$C$33),{5})),"")</f>
        <v/>
      </c>
      <c r="X127" s="524" t="str" cm="1">
        <f t="array" aca="1" ref="X127" ca="1">IF($V127&lt;&gt;"",-TRANSPOSE(INDEX(getcds('CDO Bespoke'!$C152,X$13,'CDO Bespoke'!$G152/10000,'CDO Bespoke'!G152,'CDO Bespoke'!$L128,'CDO Bespoke'!$C$13,'CDO Bespoke'!$C$14,'CDO Bespoke'!$C$15,'CDO Bespoke'!$C$8,,,TRUE,TRUE,FALSE,'CDO Bespoke'!$C$29:'CDO Bespoke'!$C$31,'CDO Bespoke'!$C$33),{5})),"")</f>
        <v/>
      </c>
      <c r="Y127" s="524" t="str" cm="1">
        <f t="array" aca="1" ref="Y127" ca="1">IF($V127&lt;&gt;"",-TRANSPOSE(INDEX(getcds('CDO Bespoke'!$C152,Y$13,'CDO Bespoke'!$G152/10000,'CDO Bespoke'!H152,'CDO Bespoke'!$L128,'CDO Bespoke'!$C$13,'CDO Bespoke'!$C$14,'CDO Bespoke'!$C$15,'CDO Bespoke'!$C$8,,,TRUE,TRUE,FALSE,'CDO Bespoke'!$C$29:'CDO Bespoke'!$C$31,'CDO Bespoke'!$C$33),{5})),"")</f>
        <v/>
      </c>
      <c r="Z127" s="524" t="str" cm="1">
        <f t="array" aca="1" ref="Z127" ca="1">IF($V127&lt;&gt;"",-TRANSPOSE(INDEX(getcds('CDO Bespoke'!$C152,Z$13,'CDO Bespoke'!$G152/10000,'CDO Bespoke'!I152,'CDO Bespoke'!$L128,'CDO Bespoke'!$C$13,'CDO Bespoke'!$C$14,'CDO Bespoke'!$C$15,'CDO Bespoke'!$C$8,,,TRUE,TRUE,FALSE,'CDO Bespoke'!$C$29:'CDO Bespoke'!$C$31,'CDO Bespoke'!$C$33),{5})),"")</f>
        <v/>
      </c>
      <c r="AA127" s="500" t="str" cm="1">
        <f t="array" aca="1" ref="AA127" ca="1">IF($V127&lt;&gt;"",-TRANSPOSE(INDEX(getcds('CDO Bespoke'!$C152,AA$13,'CDO Bespoke'!$G152/10000,'CDO Bespoke'!J152,'CDO Bespoke'!$L128,'CDO Bespoke'!$C$13,'CDO Bespoke'!$C$14,'CDO Bespoke'!$C$15,'CDO Bespoke'!$C$8,,,TRUE,TRUE,FALSE,'CDO Bespoke'!$C$29:'CDO Bespoke'!$C$31,'CDO Bespoke'!$C$33),{5})),"")</f>
        <v/>
      </c>
      <c r="AB127" s="479"/>
      <c r="AC127" s="515"/>
      <c r="AD127" s="516"/>
      <c r="AE127" s="516"/>
      <c r="AF127" s="516"/>
      <c r="AG127" s="516"/>
      <c r="AH127" s="516"/>
      <c r="AI127" s="516"/>
      <c r="AJ127" s="516"/>
      <c r="AK127" s="516"/>
      <c r="AL127" s="517"/>
      <c r="AM127" s="534"/>
    </row>
    <row r="128" spans="2:39" ht="12" thickBot="1">
      <c r="B128" s="535" t="s">
        <v>543</v>
      </c>
      <c r="C128" s="536" t="s">
        <v>66</v>
      </c>
      <c r="D128" s="536" t="s">
        <v>57</v>
      </c>
      <c r="E128" s="536" t="s">
        <v>658</v>
      </c>
      <c r="F128" s="536" t="s">
        <v>663</v>
      </c>
      <c r="G128" s="543">
        <v>0.01</v>
      </c>
      <c r="H128" s="543">
        <v>8.7480000000000006E-3</v>
      </c>
      <c r="I128" s="545">
        <v>0.4</v>
      </c>
      <c r="J128" s="537">
        <v>35</v>
      </c>
      <c r="K128" s="274"/>
      <c r="L128" s="274"/>
      <c r="M128" s="487" t="str">
        <f ca="1">IF('CDO Bespoke'!O129&lt;&gt;"",'CDO Bespoke'!O129,"")</f>
        <v/>
      </c>
      <c r="N128" s="488" t="str">
        <f ca="1">IF(M128&lt;&gt;"",ABS(MIN(-0.75*('CDO Bespoke'!Q129)+'CDO Bespoke'!T129,0)),"")</f>
        <v/>
      </c>
      <c r="O128" s="488">
        <f t="shared" ca="1" si="4"/>
        <v>0</v>
      </c>
      <c r="P128" s="488">
        <f t="shared" ca="1" si="5"/>
        <v>0</v>
      </c>
      <c r="Q128" s="487" t="str">
        <f ca="1">IF('CDO Bespoke'!O129&lt;&gt;"",'CDO Bespoke'!O129,"")</f>
        <v/>
      </c>
      <c r="R128" s="488" t="str">
        <f ca="1">IF(Q128&lt;&gt;"",ABS(MIN(-0.75*('CDO Bespoke'!K129)+'CDO Bespoke'!T129,0)),"")</f>
        <v/>
      </c>
      <c r="S128" s="488">
        <f t="shared" ca="1" si="6"/>
        <v>0</v>
      </c>
      <c r="T128" s="492">
        <f t="shared" ca="1" si="7"/>
        <v>0</v>
      </c>
      <c r="U128" s="274"/>
      <c r="V128" s="497" t="str">
        <f ca="1">IF('CDO Bespoke'!C153&lt;&gt;"",'CDO Bespoke'!C153,"")</f>
        <v/>
      </c>
      <c r="W128" s="499" t="str" cm="1">
        <f t="array" aca="1" ref="W128" ca="1">IF($V128&lt;&gt;"",-TRANSPOSE(INDEX(getcds('CDO Bespoke'!$C153,W$13,'CDO Bespoke'!$G153/10000,'CDO Bespoke'!F153,'CDO Bespoke'!$L129,'CDO Bespoke'!$C$13,'CDO Bespoke'!$C$14,'CDO Bespoke'!$C$15,'CDO Bespoke'!$C$8,,,TRUE,TRUE,FALSE,'CDO Bespoke'!$C$29:'CDO Bespoke'!$C$31,'CDO Bespoke'!$C$33),{5})),"")</f>
        <v/>
      </c>
      <c r="X128" s="524" t="str" cm="1">
        <f t="array" aca="1" ref="X128" ca="1">IF($V128&lt;&gt;"",-TRANSPOSE(INDEX(getcds('CDO Bespoke'!$C153,X$13,'CDO Bespoke'!$G153/10000,'CDO Bespoke'!G153,'CDO Bespoke'!$L129,'CDO Bespoke'!$C$13,'CDO Bespoke'!$C$14,'CDO Bespoke'!$C$15,'CDO Bespoke'!$C$8,,,TRUE,TRUE,FALSE,'CDO Bespoke'!$C$29:'CDO Bespoke'!$C$31,'CDO Bespoke'!$C$33),{5})),"")</f>
        <v/>
      </c>
      <c r="Y128" s="524" t="str" cm="1">
        <f t="array" aca="1" ref="Y128" ca="1">IF($V128&lt;&gt;"",-TRANSPOSE(INDEX(getcds('CDO Bespoke'!$C153,Y$13,'CDO Bespoke'!$G153/10000,'CDO Bespoke'!H153,'CDO Bespoke'!$L129,'CDO Bespoke'!$C$13,'CDO Bespoke'!$C$14,'CDO Bespoke'!$C$15,'CDO Bespoke'!$C$8,,,TRUE,TRUE,FALSE,'CDO Bespoke'!$C$29:'CDO Bespoke'!$C$31,'CDO Bespoke'!$C$33),{5})),"")</f>
        <v/>
      </c>
      <c r="Z128" s="524" t="str" cm="1">
        <f t="array" aca="1" ref="Z128" ca="1">IF($V128&lt;&gt;"",-TRANSPOSE(INDEX(getcds('CDO Bespoke'!$C153,Z$13,'CDO Bespoke'!$G153/10000,'CDO Bespoke'!I153,'CDO Bespoke'!$L129,'CDO Bespoke'!$C$13,'CDO Bespoke'!$C$14,'CDO Bespoke'!$C$15,'CDO Bespoke'!$C$8,,,TRUE,TRUE,FALSE,'CDO Bespoke'!$C$29:'CDO Bespoke'!$C$31,'CDO Bespoke'!$C$33),{5})),"")</f>
        <v/>
      </c>
      <c r="AA128" s="500" t="str" cm="1">
        <f t="array" aca="1" ref="AA128" ca="1">IF($V128&lt;&gt;"",-TRANSPOSE(INDEX(getcds('CDO Bespoke'!$C153,AA$13,'CDO Bespoke'!$G153/10000,'CDO Bespoke'!J153,'CDO Bespoke'!$L129,'CDO Bespoke'!$C$13,'CDO Bespoke'!$C$14,'CDO Bespoke'!$C$15,'CDO Bespoke'!$C$8,,,TRUE,TRUE,FALSE,'CDO Bespoke'!$C$29:'CDO Bespoke'!$C$31,'CDO Bespoke'!$C$33),{5})),"")</f>
        <v/>
      </c>
      <c r="AB128" s="479"/>
      <c r="AC128" s="515"/>
      <c r="AD128" s="516"/>
      <c r="AE128" s="516"/>
      <c r="AF128" s="516"/>
      <c r="AG128" s="516"/>
      <c r="AH128" s="516"/>
      <c r="AI128" s="516"/>
      <c r="AJ128" s="516"/>
      <c r="AK128" s="516"/>
      <c r="AL128" s="517"/>
      <c r="AM128" s="534"/>
    </row>
    <row r="129" spans="2:39" ht="12" thickBot="1">
      <c r="B129" s="552" t="s">
        <v>543</v>
      </c>
      <c r="C129" s="553" t="s">
        <v>66</v>
      </c>
      <c r="D129" s="553" t="s">
        <v>59</v>
      </c>
      <c r="E129" s="553" t="s">
        <v>658</v>
      </c>
      <c r="F129" s="553" t="s">
        <v>663</v>
      </c>
      <c r="G129" s="554">
        <v>0.01</v>
      </c>
      <c r="H129" s="554">
        <v>1.2120000000000001E-2</v>
      </c>
      <c r="I129" s="555">
        <v>0.4</v>
      </c>
      <c r="J129" s="556">
        <v>35</v>
      </c>
      <c r="K129" s="274"/>
      <c r="L129" s="274"/>
      <c r="M129" s="487" t="str">
        <f ca="1">IF('CDO Bespoke'!O130&lt;&gt;"",'CDO Bespoke'!O130,"")</f>
        <v/>
      </c>
      <c r="N129" s="488" t="str">
        <f ca="1">IF(M129&lt;&gt;"",ABS(MIN(-0.75*('CDO Bespoke'!Q130)+'CDO Bespoke'!T130,0)),"")</f>
        <v/>
      </c>
      <c r="O129" s="488">
        <f t="shared" ca="1" si="4"/>
        <v>0</v>
      </c>
      <c r="P129" s="488">
        <f t="shared" ca="1" si="5"/>
        <v>0</v>
      </c>
      <c r="Q129" s="487" t="str">
        <f ca="1">IF('CDO Bespoke'!O130&lt;&gt;"",'CDO Bespoke'!O130,"")</f>
        <v/>
      </c>
      <c r="R129" s="488" t="str">
        <f ca="1">IF(Q129&lt;&gt;"",ABS(MIN(-0.75*('CDO Bespoke'!K130)+'CDO Bespoke'!T130,0)),"")</f>
        <v/>
      </c>
      <c r="S129" s="488">
        <f t="shared" ca="1" si="6"/>
        <v>0</v>
      </c>
      <c r="T129" s="492">
        <f t="shared" ca="1" si="7"/>
        <v>0</v>
      </c>
      <c r="U129" s="274"/>
      <c r="V129" s="497" t="str">
        <f ca="1">IF('CDO Bespoke'!C154&lt;&gt;"",'CDO Bespoke'!C154,"")</f>
        <v/>
      </c>
      <c r="W129" s="499" t="str" cm="1">
        <f t="array" aca="1" ref="W129" ca="1">IF($V129&lt;&gt;"",-TRANSPOSE(INDEX(getcds('CDO Bespoke'!$C154,W$13,'CDO Bespoke'!$G154/10000,'CDO Bespoke'!F154,'CDO Bespoke'!$L130,'CDO Bespoke'!$C$13,'CDO Bespoke'!$C$14,'CDO Bespoke'!$C$15,'CDO Bespoke'!$C$8,,,TRUE,TRUE,FALSE,'CDO Bespoke'!$C$29:'CDO Bespoke'!$C$31,'CDO Bespoke'!$C$33),{5})),"")</f>
        <v/>
      </c>
      <c r="X129" s="524" t="str" cm="1">
        <f t="array" aca="1" ref="X129" ca="1">IF($V129&lt;&gt;"",-TRANSPOSE(INDEX(getcds('CDO Bespoke'!$C154,X$13,'CDO Bespoke'!$G154/10000,'CDO Bespoke'!G154,'CDO Bespoke'!$L130,'CDO Bespoke'!$C$13,'CDO Bespoke'!$C$14,'CDO Bespoke'!$C$15,'CDO Bespoke'!$C$8,,,TRUE,TRUE,FALSE,'CDO Bespoke'!$C$29:'CDO Bespoke'!$C$31,'CDO Bespoke'!$C$33),{5})),"")</f>
        <v/>
      </c>
      <c r="Y129" s="524" t="str" cm="1">
        <f t="array" aca="1" ref="Y129" ca="1">IF($V129&lt;&gt;"",-TRANSPOSE(INDEX(getcds('CDO Bespoke'!$C154,Y$13,'CDO Bespoke'!$G154/10000,'CDO Bespoke'!H154,'CDO Bespoke'!$L130,'CDO Bespoke'!$C$13,'CDO Bespoke'!$C$14,'CDO Bespoke'!$C$15,'CDO Bespoke'!$C$8,,,TRUE,TRUE,FALSE,'CDO Bespoke'!$C$29:'CDO Bespoke'!$C$31,'CDO Bespoke'!$C$33),{5})),"")</f>
        <v/>
      </c>
      <c r="Z129" s="524" t="str" cm="1">
        <f t="array" aca="1" ref="Z129" ca="1">IF($V129&lt;&gt;"",-TRANSPOSE(INDEX(getcds('CDO Bespoke'!$C154,Z$13,'CDO Bespoke'!$G154/10000,'CDO Bespoke'!I154,'CDO Bespoke'!$L130,'CDO Bespoke'!$C$13,'CDO Bespoke'!$C$14,'CDO Bespoke'!$C$15,'CDO Bespoke'!$C$8,,,TRUE,TRUE,FALSE,'CDO Bespoke'!$C$29:'CDO Bespoke'!$C$31,'CDO Bespoke'!$C$33),{5})),"")</f>
        <v/>
      </c>
      <c r="AA129" s="500" t="str" cm="1">
        <f t="array" aca="1" ref="AA129" ca="1">IF($V129&lt;&gt;"",-TRANSPOSE(INDEX(getcds('CDO Bespoke'!$C154,AA$13,'CDO Bespoke'!$G154/10000,'CDO Bespoke'!J154,'CDO Bespoke'!$L130,'CDO Bespoke'!$C$13,'CDO Bespoke'!$C$14,'CDO Bespoke'!$C$15,'CDO Bespoke'!$C$8,,,TRUE,TRUE,FALSE,'CDO Bespoke'!$C$29:'CDO Bespoke'!$C$31,'CDO Bespoke'!$C$33),{5})),"")</f>
        <v/>
      </c>
      <c r="AB129" s="479"/>
      <c r="AC129" s="515"/>
      <c r="AD129" s="516"/>
      <c r="AE129" s="516"/>
      <c r="AF129" s="516"/>
      <c r="AG129" s="516"/>
      <c r="AH129" s="516"/>
      <c r="AI129" s="516"/>
      <c r="AJ129" s="516"/>
      <c r="AK129" s="516"/>
      <c r="AL129" s="517"/>
      <c r="AM129" s="534"/>
    </row>
    <row r="130" spans="2:39" ht="12" thickBot="1">
      <c r="B130" s="557" t="s">
        <v>530</v>
      </c>
      <c r="C130" s="558" t="s">
        <v>66</v>
      </c>
      <c r="D130" s="558" t="s">
        <v>55</v>
      </c>
      <c r="E130" s="558" t="s">
        <v>660</v>
      </c>
      <c r="F130" s="558" t="s">
        <v>666</v>
      </c>
      <c r="G130" s="559">
        <v>0.01</v>
      </c>
      <c r="H130" s="559">
        <v>4.2960000000000003E-3</v>
      </c>
      <c r="I130" s="560">
        <v>0.4</v>
      </c>
      <c r="J130" s="561">
        <v>36</v>
      </c>
      <c r="K130" s="274"/>
      <c r="L130" s="274"/>
      <c r="M130" s="487" t="str">
        <f ca="1">IF('CDO Bespoke'!O131&lt;&gt;"",'CDO Bespoke'!O131,"")</f>
        <v/>
      </c>
      <c r="N130" s="488" t="str">
        <f ca="1">IF(M130&lt;&gt;"",ABS(MIN(-0.75*('CDO Bespoke'!Q131)+'CDO Bespoke'!T131,0)),"")</f>
        <v/>
      </c>
      <c r="O130" s="488">
        <f t="shared" ca="1" si="4"/>
        <v>0</v>
      </c>
      <c r="P130" s="488">
        <f t="shared" ca="1" si="5"/>
        <v>0</v>
      </c>
      <c r="Q130" s="487" t="str">
        <f ca="1">IF('CDO Bespoke'!O131&lt;&gt;"",'CDO Bespoke'!O131,"")</f>
        <v/>
      </c>
      <c r="R130" s="488" t="str">
        <f ca="1">IF(Q130&lt;&gt;"",ABS(MIN(-0.75*('CDO Bespoke'!K131)+'CDO Bespoke'!T131,0)),"")</f>
        <v/>
      </c>
      <c r="S130" s="488">
        <f t="shared" ca="1" si="6"/>
        <v>0</v>
      </c>
      <c r="T130" s="492">
        <f t="shared" ca="1" si="7"/>
        <v>0</v>
      </c>
      <c r="U130" s="274"/>
      <c r="V130" s="497" t="str">
        <f ca="1">IF('CDO Bespoke'!C155&lt;&gt;"",'CDO Bespoke'!C155,"")</f>
        <v/>
      </c>
      <c r="W130" s="499" t="str" cm="1">
        <f t="array" aca="1" ref="W130" ca="1">IF($V130&lt;&gt;"",-TRANSPOSE(INDEX(getcds('CDO Bespoke'!$C155,W$13,'CDO Bespoke'!$G155/10000,'CDO Bespoke'!F155,'CDO Bespoke'!$L131,'CDO Bespoke'!$C$13,'CDO Bespoke'!$C$14,'CDO Bespoke'!$C$15,'CDO Bespoke'!$C$8,,,TRUE,TRUE,FALSE,'CDO Bespoke'!$C$29:'CDO Bespoke'!$C$31,'CDO Bespoke'!$C$33),{5})),"")</f>
        <v/>
      </c>
      <c r="X130" s="524" t="str" cm="1">
        <f t="array" aca="1" ref="X130" ca="1">IF($V130&lt;&gt;"",-TRANSPOSE(INDEX(getcds('CDO Bespoke'!$C155,X$13,'CDO Bespoke'!$G155/10000,'CDO Bespoke'!G155,'CDO Bespoke'!$L131,'CDO Bespoke'!$C$13,'CDO Bespoke'!$C$14,'CDO Bespoke'!$C$15,'CDO Bespoke'!$C$8,,,TRUE,TRUE,FALSE,'CDO Bespoke'!$C$29:'CDO Bespoke'!$C$31,'CDO Bespoke'!$C$33),{5})),"")</f>
        <v/>
      </c>
      <c r="Y130" s="524" t="str" cm="1">
        <f t="array" aca="1" ref="Y130" ca="1">IF($V130&lt;&gt;"",-TRANSPOSE(INDEX(getcds('CDO Bespoke'!$C155,Y$13,'CDO Bespoke'!$G155/10000,'CDO Bespoke'!H155,'CDO Bespoke'!$L131,'CDO Bespoke'!$C$13,'CDO Bespoke'!$C$14,'CDO Bespoke'!$C$15,'CDO Bespoke'!$C$8,,,TRUE,TRUE,FALSE,'CDO Bespoke'!$C$29:'CDO Bespoke'!$C$31,'CDO Bespoke'!$C$33),{5})),"")</f>
        <v/>
      </c>
      <c r="Z130" s="524" t="str" cm="1">
        <f t="array" aca="1" ref="Z130" ca="1">IF($V130&lt;&gt;"",-TRANSPOSE(INDEX(getcds('CDO Bespoke'!$C155,Z$13,'CDO Bespoke'!$G155/10000,'CDO Bespoke'!I155,'CDO Bespoke'!$L131,'CDO Bespoke'!$C$13,'CDO Bespoke'!$C$14,'CDO Bespoke'!$C$15,'CDO Bespoke'!$C$8,,,TRUE,TRUE,FALSE,'CDO Bespoke'!$C$29:'CDO Bespoke'!$C$31,'CDO Bespoke'!$C$33),{5})),"")</f>
        <v/>
      </c>
      <c r="AA130" s="500" t="str" cm="1">
        <f t="array" aca="1" ref="AA130" ca="1">IF($V130&lt;&gt;"",-TRANSPOSE(INDEX(getcds('CDO Bespoke'!$C155,AA$13,'CDO Bespoke'!$G155/10000,'CDO Bespoke'!J155,'CDO Bespoke'!$L131,'CDO Bespoke'!$C$13,'CDO Bespoke'!$C$14,'CDO Bespoke'!$C$15,'CDO Bespoke'!$C$8,,,TRUE,TRUE,FALSE,'CDO Bespoke'!$C$29:'CDO Bespoke'!$C$31,'CDO Bespoke'!$C$33),{5})),"")</f>
        <v/>
      </c>
      <c r="AB130" s="479"/>
      <c r="AC130" s="515"/>
      <c r="AD130" s="516"/>
      <c r="AE130" s="516"/>
      <c r="AF130" s="516"/>
      <c r="AG130" s="516"/>
      <c r="AH130" s="516"/>
      <c r="AI130" s="516"/>
      <c r="AJ130" s="516"/>
      <c r="AK130" s="516"/>
      <c r="AL130" s="517"/>
      <c r="AM130" s="534"/>
    </row>
    <row r="131" spans="2:39" ht="12" thickBot="1">
      <c r="B131" s="535" t="s">
        <v>530</v>
      </c>
      <c r="C131" s="536" t="s">
        <v>66</v>
      </c>
      <c r="D131" s="536" t="s">
        <v>57</v>
      </c>
      <c r="E131" s="536" t="s">
        <v>660</v>
      </c>
      <c r="F131" s="536" t="s">
        <v>666</v>
      </c>
      <c r="G131" s="543">
        <v>0.01</v>
      </c>
      <c r="H131" s="543">
        <v>6.79E-3</v>
      </c>
      <c r="I131" s="545">
        <v>0.4</v>
      </c>
      <c r="J131" s="537">
        <v>36</v>
      </c>
      <c r="K131" s="274"/>
      <c r="L131" s="274"/>
      <c r="M131" s="487" t="str">
        <f ca="1">IF('CDO Bespoke'!O132&lt;&gt;"",'CDO Bespoke'!O132,"")</f>
        <v/>
      </c>
      <c r="N131" s="488" t="str">
        <f ca="1">IF(M131&lt;&gt;"",ABS(MIN(-0.75*('CDO Bespoke'!Q132)+'CDO Bespoke'!T132,0)),"")</f>
        <v/>
      </c>
      <c r="O131" s="488">
        <f t="shared" ca="1" si="4"/>
        <v>0</v>
      </c>
      <c r="P131" s="488">
        <f t="shared" ca="1" si="5"/>
        <v>0</v>
      </c>
      <c r="Q131" s="487" t="str">
        <f ca="1">IF('CDO Bespoke'!O132&lt;&gt;"",'CDO Bespoke'!O132,"")</f>
        <v/>
      </c>
      <c r="R131" s="488" t="str">
        <f ca="1">IF(Q131&lt;&gt;"",ABS(MIN(-0.75*('CDO Bespoke'!K132)+'CDO Bespoke'!T132,0)),"")</f>
        <v/>
      </c>
      <c r="S131" s="488">
        <f t="shared" ca="1" si="6"/>
        <v>0</v>
      </c>
      <c r="T131" s="492">
        <f t="shared" ca="1" si="7"/>
        <v>0</v>
      </c>
      <c r="U131" s="274"/>
      <c r="V131" s="497" t="str">
        <f ca="1">IF('CDO Bespoke'!C156&lt;&gt;"",'CDO Bespoke'!C156,"")</f>
        <v/>
      </c>
      <c r="W131" s="499" t="str" cm="1">
        <f t="array" aca="1" ref="W131" ca="1">IF($V131&lt;&gt;"",-TRANSPOSE(INDEX(getcds('CDO Bespoke'!$C156,W$13,'CDO Bespoke'!$G156/10000,'CDO Bespoke'!F156,'CDO Bespoke'!$L132,'CDO Bespoke'!$C$13,'CDO Bespoke'!$C$14,'CDO Bespoke'!$C$15,'CDO Bespoke'!$C$8,,,TRUE,TRUE,FALSE,'CDO Bespoke'!$C$29:'CDO Bespoke'!$C$31,'CDO Bespoke'!$C$33),{5})),"")</f>
        <v/>
      </c>
      <c r="X131" s="524" t="str" cm="1">
        <f t="array" aca="1" ref="X131" ca="1">IF($V131&lt;&gt;"",-TRANSPOSE(INDEX(getcds('CDO Bespoke'!$C156,X$13,'CDO Bespoke'!$G156/10000,'CDO Bespoke'!G156,'CDO Bespoke'!$L132,'CDO Bespoke'!$C$13,'CDO Bespoke'!$C$14,'CDO Bespoke'!$C$15,'CDO Bespoke'!$C$8,,,TRUE,TRUE,FALSE,'CDO Bespoke'!$C$29:'CDO Bespoke'!$C$31,'CDO Bespoke'!$C$33),{5})),"")</f>
        <v/>
      </c>
      <c r="Y131" s="524" t="str" cm="1">
        <f t="array" aca="1" ref="Y131" ca="1">IF($V131&lt;&gt;"",-TRANSPOSE(INDEX(getcds('CDO Bespoke'!$C156,Y$13,'CDO Bespoke'!$G156/10000,'CDO Bespoke'!H156,'CDO Bespoke'!$L132,'CDO Bespoke'!$C$13,'CDO Bespoke'!$C$14,'CDO Bespoke'!$C$15,'CDO Bespoke'!$C$8,,,TRUE,TRUE,FALSE,'CDO Bespoke'!$C$29:'CDO Bespoke'!$C$31,'CDO Bespoke'!$C$33),{5})),"")</f>
        <v/>
      </c>
      <c r="Z131" s="524" t="str" cm="1">
        <f t="array" aca="1" ref="Z131" ca="1">IF($V131&lt;&gt;"",-TRANSPOSE(INDEX(getcds('CDO Bespoke'!$C156,Z$13,'CDO Bespoke'!$G156/10000,'CDO Bespoke'!I156,'CDO Bespoke'!$L132,'CDO Bespoke'!$C$13,'CDO Bespoke'!$C$14,'CDO Bespoke'!$C$15,'CDO Bespoke'!$C$8,,,TRUE,TRUE,FALSE,'CDO Bespoke'!$C$29:'CDO Bespoke'!$C$31,'CDO Bespoke'!$C$33),{5})),"")</f>
        <v/>
      </c>
      <c r="AA131" s="500" t="str" cm="1">
        <f t="array" aca="1" ref="AA131" ca="1">IF($V131&lt;&gt;"",-TRANSPOSE(INDEX(getcds('CDO Bespoke'!$C156,AA$13,'CDO Bespoke'!$G156/10000,'CDO Bespoke'!J156,'CDO Bespoke'!$L132,'CDO Bespoke'!$C$13,'CDO Bespoke'!$C$14,'CDO Bespoke'!$C$15,'CDO Bespoke'!$C$8,,,TRUE,TRUE,FALSE,'CDO Bespoke'!$C$29:'CDO Bespoke'!$C$31,'CDO Bespoke'!$C$33),{5})),"")</f>
        <v/>
      </c>
      <c r="AB131" s="479"/>
      <c r="AC131" s="515"/>
      <c r="AD131" s="516"/>
      <c r="AE131" s="516"/>
      <c r="AF131" s="516"/>
      <c r="AG131" s="516"/>
      <c r="AH131" s="516"/>
      <c r="AI131" s="516"/>
      <c r="AJ131" s="516"/>
      <c r="AK131" s="516"/>
      <c r="AL131" s="517"/>
      <c r="AM131" s="534"/>
    </row>
    <row r="132" spans="2:39" ht="12" thickBot="1">
      <c r="B132" s="552" t="s">
        <v>530</v>
      </c>
      <c r="C132" s="553" t="s">
        <v>66</v>
      </c>
      <c r="D132" s="553" t="s">
        <v>59</v>
      </c>
      <c r="E132" s="553" t="s">
        <v>660</v>
      </c>
      <c r="F132" s="553" t="s">
        <v>666</v>
      </c>
      <c r="G132" s="554">
        <v>0.01</v>
      </c>
      <c r="H132" s="554">
        <v>9.9900000000000006E-3</v>
      </c>
      <c r="I132" s="555">
        <v>0.4</v>
      </c>
      <c r="J132" s="556">
        <v>36</v>
      </c>
      <c r="K132" s="274"/>
      <c r="L132" s="274"/>
      <c r="M132" s="487" t="str">
        <f ca="1">IF('CDO Bespoke'!O133&lt;&gt;"",'CDO Bespoke'!O133,"")</f>
        <v/>
      </c>
      <c r="N132" s="488" t="str">
        <f ca="1">IF(M132&lt;&gt;"",ABS(MIN(-0.75*('CDO Bespoke'!Q133)+'CDO Bespoke'!T133,0)),"")</f>
        <v/>
      </c>
      <c r="O132" s="488">
        <f t="shared" ca="1" si="4"/>
        <v>0</v>
      </c>
      <c r="P132" s="488">
        <f t="shared" ca="1" si="5"/>
        <v>0</v>
      </c>
      <c r="Q132" s="487" t="str">
        <f ca="1">IF('CDO Bespoke'!O133&lt;&gt;"",'CDO Bespoke'!O133,"")</f>
        <v/>
      </c>
      <c r="R132" s="488" t="str">
        <f ca="1">IF(Q132&lt;&gt;"",ABS(MIN(-0.75*('CDO Bespoke'!K133)+'CDO Bespoke'!T133,0)),"")</f>
        <v/>
      </c>
      <c r="S132" s="488">
        <f t="shared" ca="1" si="6"/>
        <v>0</v>
      </c>
      <c r="T132" s="492">
        <f t="shared" ca="1" si="7"/>
        <v>0</v>
      </c>
      <c r="U132" s="274"/>
      <c r="V132" s="497" t="str">
        <f ca="1">IF('CDO Bespoke'!C157&lt;&gt;"",'CDO Bespoke'!C157,"")</f>
        <v/>
      </c>
      <c r="W132" s="499" t="str" cm="1">
        <f t="array" aca="1" ref="W132" ca="1">IF($V132&lt;&gt;"",-TRANSPOSE(INDEX(getcds('CDO Bespoke'!$C157,W$13,'CDO Bespoke'!$G157/10000,'CDO Bespoke'!F157,'CDO Bespoke'!$L133,'CDO Bespoke'!$C$13,'CDO Bespoke'!$C$14,'CDO Bespoke'!$C$15,'CDO Bespoke'!$C$8,,,TRUE,TRUE,FALSE,'CDO Bespoke'!$C$29:'CDO Bespoke'!$C$31,'CDO Bespoke'!$C$33),{5})),"")</f>
        <v/>
      </c>
      <c r="X132" s="524" t="str" cm="1">
        <f t="array" aca="1" ref="X132" ca="1">IF($V132&lt;&gt;"",-TRANSPOSE(INDEX(getcds('CDO Bespoke'!$C157,X$13,'CDO Bespoke'!$G157/10000,'CDO Bespoke'!G157,'CDO Bespoke'!$L133,'CDO Bespoke'!$C$13,'CDO Bespoke'!$C$14,'CDO Bespoke'!$C$15,'CDO Bespoke'!$C$8,,,TRUE,TRUE,FALSE,'CDO Bespoke'!$C$29:'CDO Bespoke'!$C$31,'CDO Bespoke'!$C$33),{5})),"")</f>
        <v/>
      </c>
      <c r="Y132" s="524" t="str" cm="1">
        <f t="array" aca="1" ref="Y132" ca="1">IF($V132&lt;&gt;"",-TRANSPOSE(INDEX(getcds('CDO Bespoke'!$C157,Y$13,'CDO Bespoke'!$G157/10000,'CDO Bespoke'!H157,'CDO Bespoke'!$L133,'CDO Bespoke'!$C$13,'CDO Bespoke'!$C$14,'CDO Bespoke'!$C$15,'CDO Bespoke'!$C$8,,,TRUE,TRUE,FALSE,'CDO Bespoke'!$C$29:'CDO Bespoke'!$C$31,'CDO Bespoke'!$C$33),{5})),"")</f>
        <v/>
      </c>
      <c r="Z132" s="524" t="str" cm="1">
        <f t="array" aca="1" ref="Z132" ca="1">IF($V132&lt;&gt;"",-TRANSPOSE(INDEX(getcds('CDO Bespoke'!$C157,Z$13,'CDO Bespoke'!$G157/10000,'CDO Bespoke'!I157,'CDO Bespoke'!$L133,'CDO Bespoke'!$C$13,'CDO Bespoke'!$C$14,'CDO Bespoke'!$C$15,'CDO Bespoke'!$C$8,,,TRUE,TRUE,FALSE,'CDO Bespoke'!$C$29:'CDO Bespoke'!$C$31,'CDO Bespoke'!$C$33),{5})),"")</f>
        <v/>
      </c>
      <c r="AA132" s="500" t="str" cm="1">
        <f t="array" aca="1" ref="AA132" ca="1">IF($V132&lt;&gt;"",-TRANSPOSE(INDEX(getcds('CDO Bespoke'!$C157,AA$13,'CDO Bespoke'!$G157/10000,'CDO Bespoke'!J157,'CDO Bespoke'!$L133,'CDO Bespoke'!$C$13,'CDO Bespoke'!$C$14,'CDO Bespoke'!$C$15,'CDO Bespoke'!$C$8,,,TRUE,TRUE,FALSE,'CDO Bespoke'!$C$29:'CDO Bespoke'!$C$31,'CDO Bespoke'!$C$33),{5})),"")</f>
        <v/>
      </c>
      <c r="AB132" s="479"/>
      <c r="AC132" s="515"/>
      <c r="AD132" s="516"/>
      <c r="AE132" s="516"/>
      <c r="AF132" s="516"/>
      <c r="AG132" s="516"/>
      <c r="AH132" s="516"/>
      <c r="AI132" s="516"/>
      <c r="AJ132" s="516"/>
      <c r="AK132" s="516"/>
      <c r="AL132" s="517"/>
      <c r="AM132" s="534"/>
    </row>
    <row r="133" spans="2:39" ht="12" thickBot="1">
      <c r="B133" s="557" t="s">
        <v>546</v>
      </c>
      <c r="C133" s="558" t="s">
        <v>66</v>
      </c>
      <c r="D133" s="558" t="s">
        <v>55</v>
      </c>
      <c r="E133" s="558" t="s">
        <v>660</v>
      </c>
      <c r="F133" s="558" t="s">
        <v>663</v>
      </c>
      <c r="G133" s="559">
        <v>0.01</v>
      </c>
      <c r="H133" s="559">
        <v>1.0371E-2</v>
      </c>
      <c r="I133" s="560">
        <v>0.4</v>
      </c>
      <c r="J133" s="561">
        <v>37</v>
      </c>
      <c r="K133" s="274"/>
      <c r="L133" s="274"/>
      <c r="M133" s="487" t="str">
        <f ca="1">IF('CDO Bespoke'!O134&lt;&gt;"",'CDO Bespoke'!O134,"")</f>
        <v/>
      </c>
      <c r="N133" s="488" t="str">
        <f ca="1">IF(M133&lt;&gt;"",ABS(MIN(-0.75*('CDO Bespoke'!Q134)+'CDO Bespoke'!T134,0)),"")</f>
        <v/>
      </c>
      <c r="O133" s="488">
        <f t="shared" ca="1" si="4"/>
        <v>0</v>
      </c>
      <c r="P133" s="488">
        <f t="shared" ca="1" si="5"/>
        <v>0</v>
      </c>
      <c r="Q133" s="487" t="str">
        <f ca="1">IF('CDO Bespoke'!O134&lt;&gt;"",'CDO Bespoke'!O134,"")</f>
        <v/>
      </c>
      <c r="R133" s="488" t="str">
        <f ca="1">IF(Q133&lt;&gt;"",ABS(MIN(-0.75*('CDO Bespoke'!K134)+'CDO Bespoke'!T134,0)),"")</f>
        <v/>
      </c>
      <c r="S133" s="488">
        <f t="shared" ca="1" si="6"/>
        <v>0</v>
      </c>
      <c r="T133" s="492">
        <f t="shared" ca="1" si="7"/>
        <v>0</v>
      </c>
      <c r="U133" s="274"/>
      <c r="V133" s="497" t="str">
        <f ca="1">IF('CDO Bespoke'!C158&lt;&gt;"",'CDO Bespoke'!C158,"")</f>
        <v/>
      </c>
      <c r="W133" s="499" t="str" cm="1">
        <f t="array" aca="1" ref="W133" ca="1">IF($V133&lt;&gt;"",-TRANSPOSE(INDEX(getcds('CDO Bespoke'!$C158,W$13,'CDO Bespoke'!$G158/10000,'CDO Bespoke'!F158,'CDO Bespoke'!$L134,'CDO Bespoke'!$C$13,'CDO Bespoke'!$C$14,'CDO Bespoke'!$C$15,'CDO Bespoke'!$C$8,,,TRUE,TRUE,FALSE,'CDO Bespoke'!$C$29:'CDO Bespoke'!$C$31,'CDO Bespoke'!$C$33),{5})),"")</f>
        <v/>
      </c>
      <c r="X133" s="524" t="str" cm="1">
        <f t="array" aca="1" ref="X133" ca="1">IF($V133&lt;&gt;"",-TRANSPOSE(INDEX(getcds('CDO Bespoke'!$C158,X$13,'CDO Bespoke'!$G158/10000,'CDO Bespoke'!G158,'CDO Bespoke'!$L134,'CDO Bespoke'!$C$13,'CDO Bespoke'!$C$14,'CDO Bespoke'!$C$15,'CDO Bespoke'!$C$8,,,TRUE,TRUE,FALSE,'CDO Bespoke'!$C$29:'CDO Bespoke'!$C$31,'CDO Bespoke'!$C$33),{5})),"")</f>
        <v/>
      </c>
      <c r="Y133" s="524" t="str" cm="1">
        <f t="array" aca="1" ref="Y133" ca="1">IF($V133&lt;&gt;"",-TRANSPOSE(INDEX(getcds('CDO Bespoke'!$C158,Y$13,'CDO Bespoke'!$G158/10000,'CDO Bespoke'!H158,'CDO Bespoke'!$L134,'CDO Bespoke'!$C$13,'CDO Bespoke'!$C$14,'CDO Bespoke'!$C$15,'CDO Bespoke'!$C$8,,,TRUE,TRUE,FALSE,'CDO Bespoke'!$C$29:'CDO Bespoke'!$C$31,'CDO Bespoke'!$C$33),{5})),"")</f>
        <v/>
      </c>
      <c r="Z133" s="524" t="str" cm="1">
        <f t="array" aca="1" ref="Z133" ca="1">IF($V133&lt;&gt;"",-TRANSPOSE(INDEX(getcds('CDO Bespoke'!$C158,Z$13,'CDO Bespoke'!$G158/10000,'CDO Bespoke'!I158,'CDO Bespoke'!$L134,'CDO Bespoke'!$C$13,'CDO Bespoke'!$C$14,'CDO Bespoke'!$C$15,'CDO Bespoke'!$C$8,,,TRUE,TRUE,FALSE,'CDO Bespoke'!$C$29:'CDO Bespoke'!$C$31,'CDO Bespoke'!$C$33),{5})),"")</f>
        <v/>
      </c>
      <c r="AA133" s="500" t="str" cm="1">
        <f t="array" aca="1" ref="AA133" ca="1">IF($V133&lt;&gt;"",-TRANSPOSE(INDEX(getcds('CDO Bespoke'!$C158,AA$13,'CDO Bespoke'!$G158/10000,'CDO Bespoke'!J158,'CDO Bespoke'!$L134,'CDO Bespoke'!$C$13,'CDO Bespoke'!$C$14,'CDO Bespoke'!$C$15,'CDO Bespoke'!$C$8,,,TRUE,TRUE,FALSE,'CDO Bespoke'!$C$29:'CDO Bespoke'!$C$31,'CDO Bespoke'!$C$33),{5})),"")</f>
        <v/>
      </c>
      <c r="AB133" s="479"/>
      <c r="AC133" s="515"/>
      <c r="AD133" s="516"/>
      <c r="AE133" s="516"/>
      <c r="AF133" s="516"/>
      <c r="AG133" s="516"/>
      <c r="AH133" s="516"/>
      <c r="AI133" s="516"/>
      <c r="AJ133" s="516"/>
      <c r="AK133" s="516"/>
      <c r="AL133" s="517"/>
      <c r="AM133" s="534"/>
    </row>
    <row r="134" spans="2:39" ht="12" thickBot="1">
      <c r="B134" s="535" t="s">
        <v>546</v>
      </c>
      <c r="C134" s="536" t="s">
        <v>66</v>
      </c>
      <c r="D134" s="536" t="s">
        <v>57</v>
      </c>
      <c r="E134" s="536" t="s">
        <v>660</v>
      </c>
      <c r="F134" s="536" t="s">
        <v>663</v>
      </c>
      <c r="G134" s="543">
        <v>0.01</v>
      </c>
      <c r="H134" s="543">
        <v>1.6621E-2</v>
      </c>
      <c r="I134" s="545">
        <v>0.4</v>
      </c>
      <c r="J134" s="537">
        <v>37</v>
      </c>
      <c r="K134" s="274"/>
      <c r="L134" s="274"/>
      <c r="M134" s="487" t="str">
        <f ca="1">IF('CDO Bespoke'!O135&lt;&gt;"",'CDO Bespoke'!O135,"")</f>
        <v/>
      </c>
      <c r="N134" s="488" t="str">
        <f ca="1">IF(M134&lt;&gt;"",ABS(MIN(-0.75*('CDO Bespoke'!Q135)+'CDO Bespoke'!T135,0)),"")</f>
        <v/>
      </c>
      <c r="O134" s="488">
        <f t="shared" ca="1" si="4"/>
        <v>0</v>
      </c>
      <c r="P134" s="488">
        <f t="shared" ca="1" si="5"/>
        <v>0</v>
      </c>
      <c r="Q134" s="487" t="str">
        <f ca="1">IF('CDO Bespoke'!O135&lt;&gt;"",'CDO Bespoke'!O135,"")</f>
        <v/>
      </c>
      <c r="R134" s="488" t="str">
        <f ca="1">IF(Q134&lt;&gt;"",ABS(MIN(-0.75*('CDO Bespoke'!K135)+'CDO Bespoke'!T135,0)),"")</f>
        <v/>
      </c>
      <c r="S134" s="488">
        <f t="shared" ca="1" si="6"/>
        <v>0</v>
      </c>
      <c r="T134" s="492">
        <f t="shared" ca="1" si="7"/>
        <v>0</v>
      </c>
      <c r="U134" s="274"/>
      <c r="V134" s="497" t="str">
        <f ca="1">IF('CDO Bespoke'!C159&lt;&gt;"",'CDO Bespoke'!C159,"")</f>
        <v/>
      </c>
      <c r="W134" s="499" t="str" cm="1">
        <f t="array" aca="1" ref="W134" ca="1">IF($V134&lt;&gt;"",-TRANSPOSE(INDEX(getcds('CDO Bespoke'!$C159,W$13,'CDO Bespoke'!$G159/10000,'CDO Bespoke'!F159,'CDO Bespoke'!$L135,'CDO Bespoke'!$C$13,'CDO Bespoke'!$C$14,'CDO Bespoke'!$C$15,'CDO Bespoke'!$C$8,,,TRUE,TRUE,FALSE,'CDO Bespoke'!$C$29:'CDO Bespoke'!$C$31,'CDO Bespoke'!$C$33),{5})),"")</f>
        <v/>
      </c>
      <c r="X134" s="524" t="str" cm="1">
        <f t="array" aca="1" ref="X134" ca="1">IF($V134&lt;&gt;"",-TRANSPOSE(INDEX(getcds('CDO Bespoke'!$C159,X$13,'CDO Bespoke'!$G159/10000,'CDO Bespoke'!G159,'CDO Bespoke'!$L135,'CDO Bespoke'!$C$13,'CDO Bespoke'!$C$14,'CDO Bespoke'!$C$15,'CDO Bespoke'!$C$8,,,TRUE,TRUE,FALSE,'CDO Bespoke'!$C$29:'CDO Bespoke'!$C$31,'CDO Bespoke'!$C$33),{5})),"")</f>
        <v/>
      </c>
      <c r="Y134" s="524" t="str" cm="1">
        <f t="array" aca="1" ref="Y134" ca="1">IF($V134&lt;&gt;"",-TRANSPOSE(INDEX(getcds('CDO Bespoke'!$C159,Y$13,'CDO Bespoke'!$G159/10000,'CDO Bespoke'!H159,'CDO Bespoke'!$L135,'CDO Bespoke'!$C$13,'CDO Bespoke'!$C$14,'CDO Bespoke'!$C$15,'CDO Bespoke'!$C$8,,,TRUE,TRUE,FALSE,'CDO Bespoke'!$C$29:'CDO Bespoke'!$C$31,'CDO Bespoke'!$C$33),{5})),"")</f>
        <v/>
      </c>
      <c r="Z134" s="524" t="str" cm="1">
        <f t="array" aca="1" ref="Z134" ca="1">IF($V134&lt;&gt;"",-TRANSPOSE(INDEX(getcds('CDO Bespoke'!$C159,Z$13,'CDO Bespoke'!$G159/10000,'CDO Bespoke'!I159,'CDO Bespoke'!$L135,'CDO Bespoke'!$C$13,'CDO Bespoke'!$C$14,'CDO Bespoke'!$C$15,'CDO Bespoke'!$C$8,,,TRUE,TRUE,FALSE,'CDO Bespoke'!$C$29:'CDO Bespoke'!$C$31,'CDO Bespoke'!$C$33),{5})),"")</f>
        <v/>
      </c>
      <c r="AA134" s="500" t="str" cm="1">
        <f t="array" aca="1" ref="AA134" ca="1">IF($V134&lt;&gt;"",-TRANSPOSE(INDEX(getcds('CDO Bespoke'!$C159,AA$13,'CDO Bespoke'!$G159/10000,'CDO Bespoke'!J159,'CDO Bespoke'!$L135,'CDO Bespoke'!$C$13,'CDO Bespoke'!$C$14,'CDO Bespoke'!$C$15,'CDO Bespoke'!$C$8,,,TRUE,TRUE,FALSE,'CDO Bespoke'!$C$29:'CDO Bespoke'!$C$31,'CDO Bespoke'!$C$33),{5})),"")</f>
        <v/>
      </c>
      <c r="AB134" s="479"/>
      <c r="AC134" s="515"/>
      <c r="AD134" s="516"/>
      <c r="AE134" s="516"/>
      <c r="AF134" s="516"/>
      <c r="AG134" s="516"/>
      <c r="AH134" s="516"/>
      <c r="AI134" s="516"/>
      <c r="AJ134" s="516"/>
      <c r="AK134" s="516"/>
      <c r="AL134" s="517"/>
      <c r="AM134" s="534"/>
    </row>
    <row r="135" spans="2:39" ht="12" thickBot="1">
      <c r="B135" s="552" t="s">
        <v>546</v>
      </c>
      <c r="C135" s="553" t="s">
        <v>66</v>
      </c>
      <c r="D135" s="553" t="s">
        <v>59</v>
      </c>
      <c r="E135" s="553" t="s">
        <v>660</v>
      </c>
      <c r="F135" s="553" t="s">
        <v>663</v>
      </c>
      <c r="G135" s="554">
        <v>0.01</v>
      </c>
      <c r="H135" s="554">
        <v>1.9375E-2</v>
      </c>
      <c r="I135" s="555">
        <v>0.4</v>
      </c>
      <c r="J135" s="556">
        <v>37</v>
      </c>
      <c r="K135" s="274"/>
      <c r="L135" s="274"/>
      <c r="M135" s="487" t="str">
        <f ca="1">IF('CDO Bespoke'!O136&lt;&gt;"",'CDO Bespoke'!O136,"")</f>
        <v/>
      </c>
      <c r="N135" s="488" t="str">
        <f ca="1">IF(M135&lt;&gt;"",ABS(MIN(-0.75*('CDO Bespoke'!Q136)+'CDO Bespoke'!T136,0)),"")</f>
        <v/>
      </c>
      <c r="O135" s="488">
        <f t="shared" ca="1" si="4"/>
        <v>0</v>
      </c>
      <c r="P135" s="488">
        <f t="shared" ca="1" si="5"/>
        <v>0</v>
      </c>
      <c r="Q135" s="487" t="str">
        <f ca="1">IF('CDO Bespoke'!O136&lt;&gt;"",'CDO Bespoke'!O136,"")</f>
        <v/>
      </c>
      <c r="R135" s="488" t="str">
        <f ca="1">IF(Q135&lt;&gt;"",ABS(MIN(-0.75*('CDO Bespoke'!K136)+'CDO Bespoke'!T136,0)),"")</f>
        <v/>
      </c>
      <c r="S135" s="488">
        <f t="shared" ca="1" si="6"/>
        <v>0</v>
      </c>
      <c r="T135" s="492">
        <f t="shared" ca="1" si="7"/>
        <v>0</v>
      </c>
      <c r="U135" s="274"/>
      <c r="V135" s="497" t="str">
        <f ca="1">IF('CDO Bespoke'!C160&lt;&gt;"",'CDO Bespoke'!C160,"")</f>
        <v/>
      </c>
      <c r="W135" s="499" t="str" cm="1">
        <f t="array" aca="1" ref="W135" ca="1">IF($V135&lt;&gt;"",-TRANSPOSE(INDEX(getcds('CDO Bespoke'!$C160,W$13,'CDO Bespoke'!$G160/10000,'CDO Bespoke'!F160,'CDO Bespoke'!$L136,'CDO Bespoke'!$C$13,'CDO Bespoke'!$C$14,'CDO Bespoke'!$C$15,'CDO Bespoke'!$C$8,,,TRUE,TRUE,FALSE,'CDO Bespoke'!$C$29:'CDO Bespoke'!$C$31,'CDO Bespoke'!$C$33),{5})),"")</f>
        <v/>
      </c>
      <c r="X135" s="524" t="str" cm="1">
        <f t="array" aca="1" ref="X135" ca="1">IF($V135&lt;&gt;"",-TRANSPOSE(INDEX(getcds('CDO Bespoke'!$C160,X$13,'CDO Bespoke'!$G160/10000,'CDO Bespoke'!G160,'CDO Bespoke'!$L136,'CDO Bespoke'!$C$13,'CDO Bespoke'!$C$14,'CDO Bespoke'!$C$15,'CDO Bespoke'!$C$8,,,TRUE,TRUE,FALSE,'CDO Bespoke'!$C$29:'CDO Bespoke'!$C$31,'CDO Bespoke'!$C$33),{5})),"")</f>
        <v/>
      </c>
      <c r="Y135" s="524" t="str" cm="1">
        <f t="array" aca="1" ref="Y135" ca="1">IF($V135&lt;&gt;"",-TRANSPOSE(INDEX(getcds('CDO Bespoke'!$C160,Y$13,'CDO Bespoke'!$G160/10000,'CDO Bespoke'!H160,'CDO Bespoke'!$L136,'CDO Bespoke'!$C$13,'CDO Bespoke'!$C$14,'CDO Bespoke'!$C$15,'CDO Bespoke'!$C$8,,,TRUE,TRUE,FALSE,'CDO Bespoke'!$C$29:'CDO Bespoke'!$C$31,'CDO Bespoke'!$C$33),{5})),"")</f>
        <v/>
      </c>
      <c r="Z135" s="524" t="str" cm="1">
        <f t="array" aca="1" ref="Z135" ca="1">IF($V135&lt;&gt;"",-TRANSPOSE(INDEX(getcds('CDO Bespoke'!$C160,Z$13,'CDO Bespoke'!$G160/10000,'CDO Bespoke'!I160,'CDO Bespoke'!$L136,'CDO Bespoke'!$C$13,'CDO Bespoke'!$C$14,'CDO Bespoke'!$C$15,'CDO Bespoke'!$C$8,,,TRUE,TRUE,FALSE,'CDO Bespoke'!$C$29:'CDO Bespoke'!$C$31,'CDO Bespoke'!$C$33),{5})),"")</f>
        <v/>
      </c>
      <c r="AA135" s="500" t="str" cm="1">
        <f t="array" aca="1" ref="AA135" ca="1">IF($V135&lt;&gt;"",-TRANSPOSE(INDEX(getcds('CDO Bespoke'!$C160,AA$13,'CDO Bespoke'!$G160/10000,'CDO Bespoke'!J160,'CDO Bespoke'!$L136,'CDO Bespoke'!$C$13,'CDO Bespoke'!$C$14,'CDO Bespoke'!$C$15,'CDO Bespoke'!$C$8,,,TRUE,TRUE,FALSE,'CDO Bespoke'!$C$29:'CDO Bespoke'!$C$31,'CDO Bespoke'!$C$33),{5})),"")</f>
        <v/>
      </c>
      <c r="AB135" s="479"/>
      <c r="AC135" s="515"/>
      <c r="AD135" s="516"/>
      <c r="AE135" s="516"/>
      <c r="AF135" s="516"/>
      <c r="AG135" s="516"/>
      <c r="AH135" s="516"/>
      <c r="AI135" s="516"/>
      <c r="AJ135" s="516"/>
      <c r="AK135" s="516"/>
      <c r="AL135" s="517"/>
      <c r="AM135" s="534"/>
    </row>
    <row r="136" spans="2:39" ht="12" thickBot="1">
      <c r="B136" s="557" t="s">
        <v>547</v>
      </c>
      <c r="C136" s="558" t="s">
        <v>66</v>
      </c>
      <c r="D136" s="558" t="s">
        <v>55</v>
      </c>
      <c r="E136" s="558" t="s">
        <v>658</v>
      </c>
      <c r="F136" s="558" t="s">
        <v>663</v>
      </c>
      <c r="G136" s="559">
        <v>0.01</v>
      </c>
      <c r="H136" s="559">
        <v>2.5300000000000001E-3</v>
      </c>
      <c r="I136" s="560">
        <v>0.4</v>
      </c>
      <c r="J136" s="561">
        <v>38</v>
      </c>
      <c r="K136" s="274"/>
      <c r="L136" s="274"/>
      <c r="M136" s="487" t="str">
        <f ca="1">IF('CDO Bespoke'!O137&lt;&gt;"",'CDO Bespoke'!O137,"")</f>
        <v/>
      </c>
      <c r="N136" s="488" t="str">
        <f ca="1">IF(M136&lt;&gt;"",ABS(MIN(-0.75*('CDO Bespoke'!Q137)+'CDO Bespoke'!T137,0)),"")</f>
        <v/>
      </c>
      <c r="O136" s="488">
        <f t="shared" ca="1" si="4"/>
        <v>0</v>
      </c>
      <c r="P136" s="488">
        <f t="shared" ca="1" si="5"/>
        <v>0</v>
      </c>
      <c r="Q136" s="487" t="str">
        <f ca="1">IF('CDO Bespoke'!O137&lt;&gt;"",'CDO Bespoke'!O137,"")</f>
        <v/>
      </c>
      <c r="R136" s="488" t="str">
        <f ca="1">IF(Q136&lt;&gt;"",ABS(MIN(-0.75*('CDO Bespoke'!K137)+'CDO Bespoke'!T137,0)),"")</f>
        <v/>
      </c>
      <c r="S136" s="488">
        <f t="shared" ca="1" si="6"/>
        <v>0</v>
      </c>
      <c r="T136" s="492">
        <f t="shared" ca="1" si="7"/>
        <v>0</v>
      </c>
      <c r="U136" s="274"/>
      <c r="V136" s="497" t="str">
        <f ca="1">IF('CDO Bespoke'!C161&lt;&gt;"",'CDO Bespoke'!C161,"")</f>
        <v/>
      </c>
      <c r="W136" s="499" t="str" cm="1">
        <f t="array" aca="1" ref="W136" ca="1">IF($V136&lt;&gt;"",-TRANSPOSE(INDEX(getcds('CDO Bespoke'!$C161,W$13,'CDO Bespoke'!$G161/10000,'CDO Bespoke'!F161,'CDO Bespoke'!$L137,'CDO Bespoke'!$C$13,'CDO Bespoke'!$C$14,'CDO Bespoke'!$C$15,'CDO Bespoke'!$C$8,,,TRUE,TRUE,FALSE,'CDO Bespoke'!$C$29:'CDO Bespoke'!$C$31,'CDO Bespoke'!$C$33),{5})),"")</f>
        <v/>
      </c>
      <c r="X136" s="524" t="str" cm="1">
        <f t="array" aca="1" ref="X136" ca="1">IF($V136&lt;&gt;"",-TRANSPOSE(INDEX(getcds('CDO Bespoke'!$C161,X$13,'CDO Bespoke'!$G161/10000,'CDO Bespoke'!G161,'CDO Bespoke'!$L137,'CDO Bespoke'!$C$13,'CDO Bespoke'!$C$14,'CDO Bespoke'!$C$15,'CDO Bespoke'!$C$8,,,TRUE,TRUE,FALSE,'CDO Bespoke'!$C$29:'CDO Bespoke'!$C$31,'CDO Bespoke'!$C$33),{5})),"")</f>
        <v/>
      </c>
      <c r="Y136" s="524" t="str" cm="1">
        <f t="array" aca="1" ref="Y136" ca="1">IF($V136&lt;&gt;"",-TRANSPOSE(INDEX(getcds('CDO Bespoke'!$C161,Y$13,'CDO Bespoke'!$G161/10000,'CDO Bespoke'!H161,'CDO Bespoke'!$L137,'CDO Bespoke'!$C$13,'CDO Bespoke'!$C$14,'CDO Bespoke'!$C$15,'CDO Bespoke'!$C$8,,,TRUE,TRUE,FALSE,'CDO Bespoke'!$C$29:'CDO Bespoke'!$C$31,'CDO Bespoke'!$C$33),{5})),"")</f>
        <v/>
      </c>
      <c r="Z136" s="524" t="str" cm="1">
        <f t="array" aca="1" ref="Z136" ca="1">IF($V136&lt;&gt;"",-TRANSPOSE(INDEX(getcds('CDO Bespoke'!$C161,Z$13,'CDO Bespoke'!$G161/10000,'CDO Bespoke'!I161,'CDO Bespoke'!$L137,'CDO Bespoke'!$C$13,'CDO Bespoke'!$C$14,'CDO Bespoke'!$C$15,'CDO Bespoke'!$C$8,,,TRUE,TRUE,FALSE,'CDO Bespoke'!$C$29:'CDO Bespoke'!$C$31,'CDO Bespoke'!$C$33),{5})),"")</f>
        <v/>
      </c>
      <c r="AA136" s="500" t="str" cm="1">
        <f t="array" aca="1" ref="AA136" ca="1">IF($V136&lt;&gt;"",-TRANSPOSE(INDEX(getcds('CDO Bespoke'!$C161,AA$13,'CDO Bespoke'!$G161/10000,'CDO Bespoke'!J161,'CDO Bespoke'!$L137,'CDO Bespoke'!$C$13,'CDO Bespoke'!$C$14,'CDO Bespoke'!$C$15,'CDO Bespoke'!$C$8,,,TRUE,TRUE,FALSE,'CDO Bespoke'!$C$29:'CDO Bespoke'!$C$31,'CDO Bespoke'!$C$33),{5})),"")</f>
        <v/>
      </c>
      <c r="AB136" s="479"/>
      <c r="AC136" s="515"/>
      <c r="AD136" s="516"/>
      <c r="AE136" s="516"/>
      <c r="AF136" s="516"/>
      <c r="AG136" s="516"/>
      <c r="AH136" s="516"/>
      <c r="AI136" s="516"/>
      <c r="AJ136" s="516"/>
      <c r="AK136" s="516"/>
      <c r="AL136" s="517"/>
      <c r="AM136" s="534"/>
    </row>
    <row r="137" spans="2:39" ht="12" thickBot="1">
      <c r="B137" s="535" t="s">
        <v>547</v>
      </c>
      <c r="C137" s="536" t="s">
        <v>66</v>
      </c>
      <c r="D137" s="536" t="s">
        <v>57</v>
      </c>
      <c r="E137" s="536" t="s">
        <v>658</v>
      </c>
      <c r="F137" s="536" t="s">
        <v>663</v>
      </c>
      <c r="G137" s="543">
        <v>0.01</v>
      </c>
      <c r="H137" s="543">
        <v>3.9699999999999996E-3</v>
      </c>
      <c r="I137" s="545">
        <v>0.4</v>
      </c>
      <c r="J137" s="537">
        <v>38</v>
      </c>
      <c r="K137" s="274"/>
      <c r="L137" s="274"/>
      <c r="M137" s="487" t="str">
        <f ca="1">IF('CDO Bespoke'!O138&lt;&gt;"",'CDO Bespoke'!O138,"")</f>
        <v/>
      </c>
      <c r="N137" s="488" t="str">
        <f ca="1">IF(M137&lt;&gt;"",ABS(MIN(-0.75*('CDO Bespoke'!Q138)+'CDO Bespoke'!T138,0)),"")</f>
        <v/>
      </c>
      <c r="O137" s="488">
        <f t="shared" ca="1" si="4"/>
        <v>0</v>
      </c>
      <c r="P137" s="488">
        <f t="shared" ca="1" si="5"/>
        <v>0</v>
      </c>
      <c r="Q137" s="487" t="str">
        <f ca="1">IF('CDO Bespoke'!O138&lt;&gt;"",'CDO Bespoke'!O138,"")</f>
        <v/>
      </c>
      <c r="R137" s="488" t="str">
        <f ca="1">IF(Q137&lt;&gt;"",ABS(MIN(-0.75*('CDO Bespoke'!K138)+'CDO Bespoke'!T138,0)),"")</f>
        <v/>
      </c>
      <c r="S137" s="488">
        <f t="shared" ca="1" si="6"/>
        <v>0</v>
      </c>
      <c r="T137" s="492">
        <f t="shared" ca="1" si="7"/>
        <v>0</v>
      </c>
      <c r="U137" s="274"/>
      <c r="V137" s="497" t="str">
        <f ca="1">IF('CDO Bespoke'!C162&lt;&gt;"",'CDO Bespoke'!C162,"")</f>
        <v/>
      </c>
      <c r="W137" s="499" t="str" cm="1">
        <f t="array" aca="1" ref="W137" ca="1">IF($V137&lt;&gt;"",-TRANSPOSE(INDEX(getcds('CDO Bespoke'!$C162,W$13,'CDO Bespoke'!$G162/10000,'CDO Bespoke'!F162,'CDO Bespoke'!$L138,'CDO Bespoke'!$C$13,'CDO Bespoke'!$C$14,'CDO Bespoke'!$C$15,'CDO Bespoke'!$C$8,,,TRUE,TRUE,FALSE,'CDO Bespoke'!$C$29:'CDO Bespoke'!$C$31,'CDO Bespoke'!$C$33),{5})),"")</f>
        <v/>
      </c>
      <c r="X137" s="524" t="str" cm="1">
        <f t="array" aca="1" ref="X137" ca="1">IF($V137&lt;&gt;"",-TRANSPOSE(INDEX(getcds('CDO Bespoke'!$C162,X$13,'CDO Bespoke'!$G162/10000,'CDO Bespoke'!G162,'CDO Bespoke'!$L138,'CDO Bespoke'!$C$13,'CDO Bespoke'!$C$14,'CDO Bespoke'!$C$15,'CDO Bespoke'!$C$8,,,TRUE,TRUE,FALSE,'CDO Bespoke'!$C$29:'CDO Bespoke'!$C$31,'CDO Bespoke'!$C$33),{5})),"")</f>
        <v/>
      </c>
      <c r="Y137" s="524" t="str" cm="1">
        <f t="array" aca="1" ref="Y137" ca="1">IF($V137&lt;&gt;"",-TRANSPOSE(INDEX(getcds('CDO Bespoke'!$C162,Y$13,'CDO Bespoke'!$G162/10000,'CDO Bespoke'!H162,'CDO Bespoke'!$L138,'CDO Bespoke'!$C$13,'CDO Bespoke'!$C$14,'CDO Bespoke'!$C$15,'CDO Bespoke'!$C$8,,,TRUE,TRUE,FALSE,'CDO Bespoke'!$C$29:'CDO Bespoke'!$C$31,'CDO Bespoke'!$C$33),{5})),"")</f>
        <v/>
      </c>
      <c r="Z137" s="524" t="str" cm="1">
        <f t="array" aca="1" ref="Z137" ca="1">IF($V137&lt;&gt;"",-TRANSPOSE(INDEX(getcds('CDO Bespoke'!$C162,Z$13,'CDO Bespoke'!$G162/10000,'CDO Bespoke'!I162,'CDO Bespoke'!$L138,'CDO Bespoke'!$C$13,'CDO Bespoke'!$C$14,'CDO Bespoke'!$C$15,'CDO Bespoke'!$C$8,,,TRUE,TRUE,FALSE,'CDO Bespoke'!$C$29:'CDO Bespoke'!$C$31,'CDO Bespoke'!$C$33),{5})),"")</f>
        <v/>
      </c>
      <c r="AA137" s="500" t="str" cm="1">
        <f t="array" aca="1" ref="AA137" ca="1">IF($V137&lt;&gt;"",-TRANSPOSE(INDEX(getcds('CDO Bespoke'!$C162,AA$13,'CDO Bespoke'!$G162/10000,'CDO Bespoke'!J162,'CDO Bespoke'!$L138,'CDO Bespoke'!$C$13,'CDO Bespoke'!$C$14,'CDO Bespoke'!$C$15,'CDO Bespoke'!$C$8,,,TRUE,TRUE,FALSE,'CDO Bespoke'!$C$29:'CDO Bespoke'!$C$31,'CDO Bespoke'!$C$33),{5})),"")</f>
        <v/>
      </c>
      <c r="AB137" s="479"/>
      <c r="AC137" s="515"/>
      <c r="AD137" s="516"/>
      <c r="AE137" s="516"/>
      <c r="AF137" s="516"/>
      <c r="AG137" s="516"/>
      <c r="AH137" s="516"/>
      <c r="AI137" s="516"/>
      <c r="AJ137" s="516"/>
      <c r="AK137" s="516"/>
      <c r="AL137" s="517"/>
      <c r="AM137" s="534"/>
    </row>
    <row r="138" spans="2:39" ht="12" thickBot="1">
      <c r="B138" s="552" t="s">
        <v>547</v>
      </c>
      <c r="C138" s="553" t="s">
        <v>66</v>
      </c>
      <c r="D138" s="553" t="s">
        <v>59</v>
      </c>
      <c r="E138" s="553" t="s">
        <v>658</v>
      </c>
      <c r="F138" s="553" t="s">
        <v>663</v>
      </c>
      <c r="G138" s="554">
        <v>0.01</v>
      </c>
      <c r="H138" s="554">
        <v>5.692E-3</v>
      </c>
      <c r="I138" s="555">
        <v>0.4</v>
      </c>
      <c r="J138" s="556">
        <v>38</v>
      </c>
      <c r="K138" s="274"/>
      <c r="L138" s="274"/>
      <c r="M138" s="487" t="str">
        <f ca="1">IF('CDO Bespoke'!O139&lt;&gt;"",'CDO Bespoke'!O139,"")</f>
        <v/>
      </c>
      <c r="N138" s="488" t="str">
        <f ca="1">IF(M138&lt;&gt;"",ABS(MIN(-0.75*('CDO Bespoke'!Q139)+'CDO Bespoke'!T139,0)),"")</f>
        <v/>
      </c>
      <c r="O138" s="488">
        <f t="shared" ca="1" si="4"/>
        <v>0</v>
      </c>
      <c r="P138" s="488">
        <f t="shared" ca="1" si="5"/>
        <v>0</v>
      </c>
      <c r="Q138" s="487" t="str">
        <f ca="1">IF('CDO Bespoke'!O139&lt;&gt;"",'CDO Bespoke'!O139,"")</f>
        <v/>
      </c>
      <c r="R138" s="488" t="str">
        <f ca="1">IF(Q138&lt;&gt;"",ABS(MIN(-0.75*('CDO Bespoke'!K139)+'CDO Bespoke'!T139,0)),"")</f>
        <v/>
      </c>
      <c r="S138" s="488">
        <f t="shared" ca="1" si="6"/>
        <v>0</v>
      </c>
      <c r="T138" s="492">
        <f t="shared" ca="1" si="7"/>
        <v>0</v>
      </c>
      <c r="U138" s="274"/>
      <c r="V138" s="497" t="str">
        <f ca="1">IF('CDO Bespoke'!C163&lt;&gt;"",'CDO Bespoke'!C163,"")</f>
        <v/>
      </c>
      <c r="W138" s="499" t="str" cm="1">
        <f t="array" aca="1" ref="W138" ca="1">IF($V138&lt;&gt;"",-TRANSPOSE(INDEX(getcds('CDO Bespoke'!$C163,W$13,'CDO Bespoke'!$G163/10000,'CDO Bespoke'!F163,'CDO Bespoke'!$L139,'CDO Bespoke'!$C$13,'CDO Bespoke'!$C$14,'CDO Bespoke'!$C$15,'CDO Bespoke'!$C$8,,,TRUE,TRUE,FALSE,'CDO Bespoke'!$C$29:'CDO Bespoke'!$C$31,'CDO Bespoke'!$C$33),{5})),"")</f>
        <v/>
      </c>
      <c r="X138" s="524" t="str" cm="1">
        <f t="array" aca="1" ref="X138" ca="1">IF($V138&lt;&gt;"",-TRANSPOSE(INDEX(getcds('CDO Bespoke'!$C163,X$13,'CDO Bespoke'!$G163/10000,'CDO Bespoke'!G163,'CDO Bespoke'!$L139,'CDO Bespoke'!$C$13,'CDO Bespoke'!$C$14,'CDO Bespoke'!$C$15,'CDO Bespoke'!$C$8,,,TRUE,TRUE,FALSE,'CDO Bespoke'!$C$29:'CDO Bespoke'!$C$31,'CDO Bespoke'!$C$33),{5})),"")</f>
        <v/>
      </c>
      <c r="Y138" s="524" t="str" cm="1">
        <f t="array" aca="1" ref="Y138" ca="1">IF($V138&lt;&gt;"",-TRANSPOSE(INDEX(getcds('CDO Bespoke'!$C163,Y$13,'CDO Bespoke'!$G163/10000,'CDO Bespoke'!H163,'CDO Bespoke'!$L139,'CDO Bespoke'!$C$13,'CDO Bespoke'!$C$14,'CDO Bespoke'!$C$15,'CDO Bespoke'!$C$8,,,TRUE,TRUE,FALSE,'CDO Bespoke'!$C$29:'CDO Bespoke'!$C$31,'CDO Bespoke'!$C$33),{5})),"")</f>
        <v/>
      </c>
      <c r="Z138" s="524" t="str" cm="1">
        <f t="array" aca="1" ref="Z138" ca="1">IF($V138&lt;&gt;"",-TRANSPOSE(INDEX(getcds('CDO Bespoke'!$C163,Z$13,'CDO Bespoke'!$G163/10000,'CDO Bespoke'!I163,'CDO Bespoke'!$L139,'CDO Bespoke'!$C$13,'CDO Bespoke'!$C$14,'CDO Bespoke'!$C$15,'CDO Bespoke'!$C$8,,,TRUE,TRUE,FALSE,'CDO Bespoke'!$C$29:'CDO Bespoke'!$C$31,'CDO Bespoke'!$C$33),{5})),"")</f>
        <v/>
      </c>
      <c r="AA138" s="500" t="str" cm="1">
        <f t="array" aca="1" ref="AA138" ca="1">IF($V138&lt;&gt;"",-TRANSPOSE(INDEX(getcds('CDO Bespoke'!$C163,AA$13,'CDO Bespoke'!$G163/10000,'CDO Bespoke'!J163,'CDO Bespoke'!$L139,'CDO Bespoke'!$C$13,'CDO Bespoke'!$C$14,'CDO Bespoke'!$C$15,'CDO Bespoke'!$C$8,,,TRUE,TRUE,FALSE,'CDO Bespoke'!$C$29:'CDO Bespoke'!$C$31,'CDO Bespoke'!$C$33),{5})),"")</f>
        <v/>
      </c>
      <c r="AB138" s="479"/>
      <c r="AC138" s="515"/>
      <c r="AD138" s="516"/>
      <c r="AE138" s="516"/>
      <c r="AF138" s="516"/>
      <c r="AG138" s="516"/>
      <c r="AH138" s="516"/>
      <c r="AI138" s="516"/>
      <c r="AJ138" s="516"/>
      <c r="AK138" s="516"/>
      <c r="AL138" s="517"/>
      <c r="AM138" s="534"/>
    </row>
    <row r="139" spans="2:39" ht="12" thickBot="1">
      <c r="B139" s="557" t="s">
        <v>548</v>
      </c>
      <c r="C139" s="558" t="s">
        <v>66</v>
      </c>
      <c r="D139" s="558" t="s">
        <v>55</v>
      </c>
      <c r="E139" s="558" t="s">
        <v>660</v>
      </c>
      <c r="F139" s="558" t="s">
        <v>663</v>
      </c>
      <c r="G139" s="559">
        <v>0.01</v>
      </c>
      <c r="H139" s="559">
        <v>3.9449999999999997E-3</v>
      </c>
      <c r="I139" s="560">
        <v>0.4</v>
      </c>
      <c r="J139" s="561">
        <v>39</v>
      </c>
      <c r="K139" s="274"/>
      <c r="L139" s="274"/>
      <c r="M139" s="487" t="str">
        <f ca="1">IF('CDO Bespoke'!O140&lt;&gt;"",'CDO Bespoke'!O140,"")</f>
        <v/>
      </c>
      <c r="N139" s="488" t="str">
        <f ca="1">IF(M139&lt;&gt;"",ABS(MIN(-0.75*('CDO Bespoke'!Q140)+'CDO Bespoke'!T140,0)),"")</f>
        <v/>
      </c>
      <c r="O139" s="488">
        <f t="shared" ca="1" si="4"/>
        <v>0</v>
      </c>
      <c r="P139" s="488">
        <f t="shared" ca="1" si="5"/>
        <v>0</v>
      </c>
      <c r="Q139" s="487" t="str">
        <f ca="1">IF('CDO Bespoke'!O140&lt;&gt;"",'CDO Bespoke'!O140,"")</f>
        <v/>
      </c>
      <c r="R139" s="488" t="str">
        <f ca="1">IF(Q139&lt;&gt;"",ABS(MIN(-0.75*('CDO Bespoke'!K140)+'CDO Bespoke'!T140,0)),"")</f>
        <v/>
      </c>
      <c r="S139" s="488">
        <f t="shared" ca="1" si="6"/>
        <v>0</v>
      </c>
      <c r="T139" s="492">
        <f t="shared" ca="1" si="7"/>
        <v>0</v>
      </c>
      <c r="U139" s="274"/>
      <c r="V139" s="497" t="str">
        <f ca="1">IF('CDO Bespoke'!C164&lt;&gt;"",'CDO Bespoke'!C164,"")</f>
        <v/>
      </c>
      <c r="W139" s="499" t="str" cm="1">
        <f t="array" aca="1" ref="W139" ca="1">IF($V139&lt;&gt;"",-TRANSPOSE(INDEX(getcds('CDO Bespoke'!$C164,W$13,'CDO Bespoke'!$G164/10000,'CDO Bespoke'!F164,'CDO Bespoke'!$L140,'CDO Bespoke'!$C$13,'CDO Bespoke'!$C$14,'CDO Bespoke'!$C$15,'CDO Bespoke'!$C$8,,,TRUE,TRUE,FALSE,'CDO Bespoke'!$C$29:'CDO Bespoke'!$C$31,'CDO Bespoke'!$C$33),{5})),"")</f>
        <v/>
      </c>
      <c r="X139" s="524" t="str" cm="1">
        <f t="array" aca="1" ref="X139" ca="1">IF($V139&lt;&gt;"",-TRANSPOSE(INDEX(getcds('CDO Bespoke'!$C164,X$13,'CDO Bespoke'!$G164/10000,'CDO Bespoke'!G164,'CDO Bespoke'!$L140,'CDO Bespoke'!$C$13,'CDO Bespoke'!$C$14,'CDO Bespoke'!$C$15,'CDO Bespoke'!$C$8,,,TRUE,TRUE,FALSE,'CDO Bespoke'!$C$29:'CDO Bespoke'!$C$31,'CDO Bespoke'!$C$33),{5})),"")</f>
        <v/>
      </c>
      <c r="Y139" s="524" t="str" cm="1">
        <f t="array" aca="1" ref="Y139" ca="1">IF($V139&lt;&gt;"",-TRANSPOSE(INDEX(getcds('CDO Bespoke'!$C164,Y$13,'CDO Bespoke'!$G164/10000,'CDO Bespoke'!H164,'CDO Bespoke'!$L140,'CDO Bespoke'!$C$13,'CDO Bespoke'!$C$14,'CDO Bespoke'!$C$15,'CDO Bespoke'!$C$8,,,TRUE,TRUE,FALSE,'CDO Bespoke'!$C$29:'CDO Bespoke'!$C$31,'CDO Bespoke'!$C$33),{5})),"")</f>
        <v/>
      </c>
      <c r="Z139" s="524" t="str" cm="1">
        <f t="array" aca="1" ref="Z139" ca="1">IF($V139&lt;&gt;"",-TRANSPOSE(INDEX(getcds('CDO Bespoke'!$C164,Z$13,'CDO Bespoke'!$G164/10000,'CDO Bespoke'!I164,'CDO Bespoke'!$L140,'CDO Bespoke'!$C$13,'CDO Bespoke'!$C$14,'CDO Bespoke'!$C$15,'CDO Bespoke'!$C$8,,,TRUE,TRUE,FALSE,'CDO Bespoke'!$C$29:'CDO Bespoke'!$C$31,'CDO Bespoke'!$C$33),{5})),"")</f>
        <v/>
      </c>
      <c r="AA139" s="500" t="str" cm="1">
        <f t="array" aca="1" ref="AA139" ca="1">IF($V139&lt;&gt;"",-TRANSPOSE(INDEX(getcds('CDO Bespoke'!$C164,AA$13,'CDO Bespoke'!$G164/10000,'CDO Bespoke'!J164,'CDO Bespoke'!$L140,'CDO Bespoke'!$C$13,'CDO Bespoke'!$C$14,'CDO Bespoke'!$C$15,'CDO Bespoke'!$C$8,,,TRUE,TRUE,FALSE,'CDO Bespoke'!$C$29:'CDO Bespoke'!$C$31,'CDO Bespoke'!$C$33),{5})),"")</f>
        <v/>
      </c>
      <c r="AB139" s="479"/>
      <c r="AC139" s="515"/>
      <c r="AD139" s="516"/>
      <c r="AE139" s="516"/>
      <c r="AF139" s="516"/>
      <c r="AG139" s="516"/>
      <c r="AH139" s="516"/>
      <c r="AI139" s="516"/>
      <c r="AJ139" s="516"/>
      <c r="AK139" s="516"/>
      <c r="AL139" s="517"/>
      <c r="AM139" s="534"/>
    </row>
    <row r="140" spans="2:39" ht="12" thickBot="1">
      <c r="B140" s="535" t="s">
        <v>548</v>
      </c>
      <c r="C140" s="536" t="s">
        <v>66</v>
      </c>
      <c r="D140" s="536" t="s">
        <v>57</v>
      </c>
      <c r="E140" s="536" t="s">
        <v>660</v>
      </c>
      <c r="F140" s="536" t="s">
        <v>663</v>
      </c>
      <c r="G140" s="543">
        <v>0.01</v>
      </c>
      <c r="H140" s="543">
        <v>6.7390000000000002E-3</v>
      </c>
      <c r="I140" s="545">
        <v>0.4</v>
      </c>
      <c r="J140" s="537">
        <v>39</v>
      </c>
      <c r="K140" s="274"/>
      <c r="L140" s="274"/>
      <c r="M140" s="487" t="str">
        <f ca="1">IF('CDO Bespoke'!O141&lt;&gt;"",'CDO Bespoke'!O141,"")</f>
        <v/>
      </c>
      <c r="N140" s="488" t="str">
        <f ca="1">IF(M140&lt;&gt;"",ABS(MIN(-0.75*('CDO Bespoke'!Q141)+'CDO Bespoke'!T141,0)),"")</f>
        <v/>
      </c>
      <c r="O140" s="488">
        <f t="shared" ca="1" si="4"/>
        <v>0</v>
      </c>
      <c r="P140" s="488">
        <f t="shared" ca="1" si="5"/>
        <v>0</v>
      </c>
      <c r="Q140" s="487" t="str">
        <f ca="1">IF('CDO Bespoke'!O141&lt;&gt;"",'CDO Bespoke'!O141,"")</f>
        <v/>
      </c>
      <c r="R140" s="488" t="str">
        <f ca="1">IF(Q140&lt;&gt;"",ABS(MIN(-0.75*('CDO Bespoke'!K141)+'CDO Bespoke'!T141,0)),"")</f>
        <v/>
      </c>
      <c r="S140" s="488">
        <f t="shared" ca="1" si="6"/>
        <v>0</v>
      </c>
      <c r="T140" s="492">
        <f t="shared" ca="1" si="7"/>
        <v>0</v>
      </c>
      <c r="U140" s="274"/>
      <c r="V140" s="497" t="str">
        <f ca="1">IF('CDO Bespoke'!C165&lt;&gt;"",'CDO Bespoke'!C165,"")</f>
        <v/>
      </c>
      <c r="W140" s="499" t="str" cm="1">
        <f t="array" aca="1" ref="W140" ca="1">IF($V140&lt;&gt;"",-TRANSPOSE(INDEX(getcds('CDO Bespoke'!$C165,W$13,'CDO Bespoke'!$G165/10000,'CDO Bespoke'!F165,'CDO Bespoke'!$L141,'CDO Bespoke'!$C$13,'CDO Bespoke'!$C$14,'CDO Bespoke'!$C$15,'CDO Bespoke'!$C$8,,,TRUE,TRUE,FALSE,'CDO Bespoke'!$C$29:'CDO Bespoke'!$C$31,'CDO Bespoke'!$C$33),{5})),"")</f>
        <v/>
      </c>
      <c r="X140" s="524" t="str" cm="1">
        <f t="array" aca="1" ref="X140" ca="1">IF($V140&lt;&gt;"",-TRANSPOSE(INDEX(getcds('CDO Bespoke'!$C165,X$13,'CDO Bespoke'!$G165/10000,'CDO Bespoke'!G165,'CDO Bespoke'!$L141,'CDO Bespoke'!$C$13,'CDO Bespoke'!$C$14,'CDO Bespoke'!$C$15,'CDO Bespoke'!$C$8,,,TRUE,TRUE,FALSE,'CDO Bespoke'!$C$29:'CDO Bespoke'!$C$31,'CDO Bespoke'!$C$33),{5})),"")</f>
        <v/>
      </c>
      <c r="Y140" s="524" t="str" cm="1">
        <f t="array" aca="1" ref="Y140" ca="1">IF($V140&lt;&gt;"",-TRANSPOSE(INDEX(getcds('CDO Bespoke'!$C165,Y$13,'CDO Bespoke'!$G165/10000,'CDO Bespoke'!H165,'CDO Bespoke'!$L141,'CDO Bespoke'!$C$13,'CDO Bespoke'!$C$14,'CDO Bespoke'!$C$15,'CDO Bespoke'!$C$8,,,TRUE,TRUE,FALSE,'CDO Bespoke'!$C$29:'CDO Bespoke'!$C$31,'CDO Bespoke'!$C$33),{5})),"")</f>
        <v/>
      </c>
      <c r="Z140" s="524" t="str" cm="1">
        <f t="array" aca="1" ref="Z140" ca="1">IF($V140&lt;&gt;"",-TRANSPOSE(INDEX(getcds('CDO Bespoke'!$C165,Z$13,'CDO Bespoke'!$G165/10000,'CDO Bespoke'!I165,'CDO Bespoke'!$L141,'CDO Bespoke'!$C$13,'CDO Bespoke'!$C$14,'CDO Bespoke'!$C$15,'CDO Bespoke'!$C$8,,,TRUE,TRUE,FALSE,'CDO Bespoke'!$C$29:'CDO Bespoke'!$C$31,'CDO Bespoke'!$C$33),{5})),"")</f>
        <v/>
      </c>
      <c r="AA140" s="500" t="str" cm="1">
        <f t="array" aca="1" ref="AA140" ca="1">IF($V140&lt;&gt;"",-TRANSPOSE(INDEX(getcds('CDO Bespoke'!$C165,AA$13,'CDO Bespoke'!$G165/10000,'CDO Bespoke'!J165,'CDO Bespoke'!$L141,'CDO Bespoke'!$C$13,'CDO Bespoke'!$C$14,'CDO Bespoke'!$C$15,'CDO Bespoke'!$C$8,,,TRUE,TRUE,FALSE,'CDO Bespoke'!$C$29:'CDO Bespoke'!$C$31,'CDO Bespoke'!$C$33),{5})),"")</f>
        <v/>
      </c>
      <c r="AB140" s="479"/>
      <c r="AC140" s="515"/>
      <c r="AD140" s="516"/>
      <c r="AE140" s="516"/>
      <c r="AF140" s="516"/>
      <c r="AG140" s="516"/>
      <c r="AH140" s="516"/>
      <c r="AI140" s="516"/>
      <c r="AJ140" s="516"/>
      <c r="AK140" s="516"/>
      <c r="AL140" s="517"/>
      <c r="AM140" s="534"/>
    </row>
    <row r="141" spans="2:39" ht="12" thickBot="1">
      <c r="B141" s="552" t="s">
        <v>548</v>
      </c>
      <c r="C141" s="553" t="s">
        <v>66</v>
      </c>
      <c r="D141" s="553" t="s">
        <v>59</v>
      </c>
      <c r="E141" s="553" t="s">
        <v>660</v>
      </c>
      <c r="F141" s="553" t="s">
        <v>663</v>
      </c>
      <c r="G141" s="554">
        <v>0.01</v>
      </c>
      <c r="H141" s="554">
        <v>9.7630000000000008E-3</v>
      </c>
      <c r="I141" s="555">
        <v>0.4</v>
      </c>
      <c r="J141" s="556">
        <v>39</v>
      </c>
      <c r="K141" s="274"/>
      <c r="L141" s="274"/>
      <c r="M141" s="487" t="str">
        <f ca="1">IF('CDO Bespoke'!O142&lt;&gt;"",'CDO Bespoke'!O142,"")</f>
        <v/>
      </c>
      <c r="N141" s="488" t="str">
        <f ca="1">IF(M141&lt;&gt;"",ABS(MIN(-0.75*('CDO Bespoke'!Q142)+'CDO Bespoke'!T142,0)),"")</f>
        <v/>
      </c>
      <c r="O141" s="488">
        <f t="shared" ca="1" si="4"/>
        <v>0</v>
      </c>
      <c r="P141" s="488">
        <f t="shared" ca="1" si="5"/>
        <v>0</v>
      </c>
      <c r="Q141" s="487" t="str">
        <f ca="1">IF('CDO Bespoke'!O142&lt;&gt;"",'CDO Bespoke'!O142,"")</f>
        <v/>
      </c>
      <c r="R141" s="488" t="str">
        <f ca="1">IF(Q141&lt;&gt;"",ABS(MIN(-0.75*('CDO Bespoke'!K142)+'CDO Bespoke'!T142,0)),"")</f>
        <v/>
      </c>
      <c r="S141" s="488">
        <f t="shared" ca="1" si="6"/>
        <v>0</v>
      </c>
      <c r="T141" s="492">
        <f t="shared" ca="1" si="7"/>
        <v>0</v>
      </c>
      <c r="U141" s="274"/>
      <c r="V141" s="497" t="str">
        <f ca="1">IF('CDO Bespoke'!C166&lt;&gt;"",'CDO Bespoke'!C166,"")</f>
        <v/>
      </c>
      <c r="W141" s="499" t="str" cm="1">
        <f t="array" aca="1" ref="W141" ca="1">IF($V141&lt;&gt;"",-TRANSPOSE(INDEX(getcds('CDO Bespoke'!$C166,W$13,'CDO Bespoke'!$G166/10000,'CDO Bespoke'!F166,'CDO Bespoke'!$L142,'CDO Bespoke'!$C$13,'CDO Bespoke'!$C$14,'CDO Bespoke'!$C$15,'CDO Bespoke'!$C$8,,,TRUE,TRUE,FALSE,'CDO Bespoke'!$C$29:'CDO Bespoke'!$C$31,'CDO Bespoke'!$C$33),{5})),"")</f>
        <v/>
      </c>
      <c r="X141" s="524" t="str" cm="1">
        <f t="array" aca="1" ref="X141" ca="1">IF($V141&lt;&gt;"",-TRANSPOSE(INDEX(getcds('CDO Bespoke'!$C166,X$13,'CDO Bespoke'!$G166/10000,'CDO Bespoke'!G166,'CDO Bespoke'!$L142,'CDO Bespoke'!$C$13,'CDO Bespoke'!$C$14,'CDO Bespoke'!$C$15,'CDO Bespoke'!$C$8,,,TRUE,TRUE,FALSE,'CDO Bespoke'!$C$29:'CDO Bespoke'!$C$31,'CDO Bespoke'!$C$33),{5})),"")</f>
        <v/>
      </c>
      <c r="Y141" s="524" t="str" cm="1">
        <f t="array" aca="1" ref="Y141" ca="1">IF($V141&lt;&gt;"",-TRANSPOSE(INDEX(getcds('CDO Bespoke'!$C166,Y$13,'CDO Bespoke'!$G166/10000,'CDO Bespoke'!H166,'CDO Bespoke'!$L142,'CDO Bespoke'!$C$13,'CDO Bespoke'!$C$14,'CDO Bespoke'!$C$15,'CDO Bespoke'!$C$8,,,TRUE,TRUE,FALSE,'CDO Bespoke'!$C$29:'CDO Bespoke'!$C$31,'CDO Bespoke'!$C$33),{5})),"")</f>
        <v/>
      </c>
      <c r="Z141" s="524" t="str" cm="1">
        <f t="array" aca="1" ref="Z141" ca="1">IF($V141&lt;&gt;"",-TRANSPOSE(INDEX(getcds('CDO Bespoke'!$C166,Z$13,'CDO Bespoke'!$G166/10000,'CDO Bespoke'!I166,'CDO Bespoke'!$L142,'CDO Bespoke'!$C$13,'CDO Bespoke'!$C$14,'CDO Bespoke'!$C$15,'CDO Bespoke'!$C$8,,,TRUE,TRUE,FALSE,'CDO Bespoke'!$C$29:'CDO Bespoke'!$C$31,'CDO Bespoke'!$C$33),{5})),"")</f>
        <v/>
      </c>
      <c r="AA141" s="500" t="str" cm="1">
        <f t="array" aca="1" ref="AA141" ca="1">IF($V141&lt;&gt;"",-TRANSPOSE(INDEX(getcds('CDO Bespoke'!$C166,AA$13,'CDO Bespoke'!$G166/10000,'CDO Bespoke'!J166,'CDO Bespoke'!$L142,'CDO Bespoke'!$C$13,'CDO Bespoke'!$C$14,'CDO Bespoke'!$C$15,'CDO Bespoke'!$C$8,,,TRUE,TRUE,FALSE,'CDO Bespoke'!$C$29:'CDO Bespoke'!$C$31,'CDO Bespoke'!$C$33),{5})),"")</f>
        <v/>
      </c>
      <c r="AB141" s="479"/>
      <c r="AC141" s="515"/>
      <c r="AD141" s="516"/>
      <c r="AE141" s="516"/>
      <c r="AF141" s="516"/>
      <c r="AG141" s="516"/>
      <c r="AH141" s="516"/>
      <c r="AI141" s="516"/>
      <c r="AJ141" s="516"/>
      <c r="AK141" s="516"/>
      <c r="AL141" s="517"/>
      <c r="AM141" s="534"/>
    </row>
    <row r="142" spans="2:39" ht="12" thickBot="1">
      <c r="B142" s="557" t="s">
        <v>564</v>
      </c>
      <c r="C142" s="558" t="s">
        <v>66</v>
      </c>
      <c r="D142" s="558" t="s">
        <v>55</v>
      </c>
      <c r="E142" s="558" t="s">
        <v>665</v>
      </c>
      <c r="F142" s="558" t="s">
        <v>663</v>
      </c>
      <c r="G142" s="559">
        <v>0.01</v>
      </c>
      <c r="H142" s="559">
        <v>1.738E-3</v>
      </c>
      <c r="I142" s="560">
        <v>0.4</v>
      </c>
      <c r="J142" s="561">
        <v>40</v>
      </c>
      <c r="K142" s="274"/>
      <c r="L142" s="274"/>
      <c r="M142" s="487" t="str">
        <f ca="1">IF('CDO Bespoke'!O143&lt;&gt;"",'CDO Bespoke'!O143,"")</f>
        <v/>
      </c>
      <c r="N142" s="488" t="str">
        <f ca="1">IF(M142&lt;&gt;"",ABS(MIN(-0.75*('CDO Bespoke'!Q143)+'CDO Bespoke'!T143,0)),"")</f>
        <v/>
      </c>
      <c r="O142" s="488">
        <f t="shared" ca="1" si="4"/>
        <v>0</v>
      </c>
      <c r="P142" s="488">
        <f t="shared" ca="1" si="5"/>
        <v>0</v>
      </c>
      <c r="Q142" s="487" t="str">
        <f ca="1">IF('CDO Bespoke'!O143&lt;&gt;"",'CDO Bespoke'!O143,"")</f>
        <v/>
      </c>
      <c r="R142" s="488" t="str">
        <f ca="1">IF(Q142&lt;&gt;"",ABS(MIN(-0.75*('CDO Bespoke'!K143)+'CDO Bespoke'!T143,0)),"")</f>
        <v/>
      </c>
      <c r="S142" s="488">
        <f t="shared" ca="1" si="6"/>
        <v>0</v>
      </c>
      <c r="T142" s="492">
        <f t="shared" ca="1" si="7"/>
        <v>0</v>
      </c>
      <c r="U142" s="274"/>
      <c r="V142" s="497" t="str">
        <f ca="1">IF('CDO Bespoke'!C167&lt;&gt;"",'CDO Bespoke'!C167,"")</f>
        <v/>
      </c>
      <c r="W142" s="499" t="str" cm="1">
        <f t="array" aca="1" ref="W142" ca="1">IF($V142&lt;&gt;"",-TRANSPOSE(INDEX(getcds('CDO Bespoke'!$C167,W$13,'CDO Bespoke'!$G167/10000,'CDO Bespoke'!F167,'CDO Bespoke'!$L143,'CDO Bespoke'!$C$13,'CDO Bespoke'!$C$14,'CDO Bespoke'!$C$15,'CDO Bespoke'!$C$8,,,TRUE,TRUE,FALSE,'CDO Bespoke'!$C$29:'CDO Bespoke'!$C$31,'CDO Bespoke'!$C$33),{5})),"")</f>
        <v/>
      </c>
      <c r="X142" s="524" t="str" cm="1">
        <f t="array" aca="1" ref="X142" ca="1">IF($V142&lt;&gt;"",-TRANSPOSE(INDEX(getcds('CDO Bespoke'!$C167,X$13,'CDO Bespoke'!$G167/10000,'CDO Bespoke'!G167,'CDO Bespoke'!$L143,'CDO Bespoke'!$C$13,'CDO Bespoke'!$C$14,'CDO Bespoke'!$C$15,'CDO Bespoke'!$C$8,,,TRUE,TRUE,FALSE,'CDO Bespoke'!$C$29:'CDO Bespoke'!$C$31,'CDO Bespoke'!$C$33),{5})),"")</f>
        <v/>
      </c>
      <c r="Y142" s="524" t="str" cm="1">
        <f t="array" aca="1" ref="Y142" ca="1">IF($V142&lt;&gt;"",-TRANSPOSE(INDEX(getcds('CDO Bespoke'!$C167,Y$13,'CDO Bespoke'!$G167/10000,'CDO Bespoke'!H167,'CDO Bespoke'!$L143,'CDO Bespoke'!$C$13,'CDO Bespoke'!$C$14,'CDO Bespoke'!$C$15,'CDO Bespoke'!$C$8,,,TRUE,TRUE,FALSE,'CDO Bespoke'!$C$29:'CDO Bespoke'!$C$31,'CDO Bespoke'!$C$33),{5})),"")</f>
        <v/>
      </c>
      <c r="Z142" s="524" t="str" cm="1">
        <f t="array" aca="1" ref="Z142" ca="1">IF($V142&lt;&gt;"",-TRANSPOSE(INDEX(getcds('CDO Bespoke'!$C167,Z$13,'CDO Bespoke'!$G167/10000,'CDO Bespoke'!I167,'CDO Bespoke'!$L143,'CDO Bespoke'!$C$13,'CDO Bespoke'!$C$14,'CDO Bespoke'!$C$15,'CDO Bespoke'!$C$8,,,TRUE,TRUE,FALSE,'CDO Bespoke'!$C$29:'CDO Bespoke'!$C$31,'CDO Bespoke'!$C$33),{5})),"")</f>
        <v/>
      </c>
      <c r="AA142" s="500" t="str" cm="1">
        <f t="array" aca="1" ref="AA142" ca="1">IF($V142&lt;&gt;"",-TRANSPOSE(INDEX(getcds('CDO Bespoke'!$C167,AA$13,'CDO Bespoke'!$G167/10000,'CDO Bespoke'!J167,'CDO Bespoke'!$L143,'CDO Bespoke'!$C$13,'CDO Bespoke'!$C$14,'CDO Bespoke'!$C$15,'CDO Bespoke'!$C$8,,,TRUE,TRUE,FALSE,'CDO Bespoke'!$C$29:'CDO Bespoke'!$C$31,'CDO Bespoke'!$C$33),{5})),"")</f>
        <v/>
      </c>
      <c r="AB142" s="479"/>
      <c r="AC142" s="515"/>
      <c r="AD142" s="516"/>
      <c r="AE142" s="516"/>
      <c r="AF142" s="516"/>
      <c r="AG142" s="516"/>
      <c r="AH142" s="516"/>
      <c r="AI142" s="516"/>
      <c r="AJ142" s="516"/>
      <c r="AK142" s="516"/>
      <c r="AL142" s="517"/>
      <c r="AM142" s="534"/>
    </row>
    <row r="143" spans="2:39" ht="12" thickBot="1">
      <c r="B143" s="535" t="s">
        <v>564</v>
      </c>
      <c r="C143" s="536" t="s">
        <v>66</v>
      </c>
      <c r="D143" s="536" t="s">
        <v>57</v>
      </c>
      <c r="E143" s="536" t="s">
        <v>665</v>
      </c>
      <c r="F143" s="536" t="s">
        <v>663</v>
      </c>
      <c r="G143" s="543">
        <v>0.01</v>
      </c>
      <c r="H143" s="543">
        <v>2.9610000000000001E-3</v>
      </c>
      <c r="I143" s="545">
        <v>0.4</v>
      </c>
      <c r="J143" s="537">
        <v>40</v>
      </c>
      <c r="K143" s="274"/>
      <c r="L143" s="274"/>
      <c r="M143" s="487" t="str">
        <f ca="1">IF('CDO Bespoke'!O144&lt;&gt;"",'CDO Bespoke'!O144,"")</f>
        <v/>
      </c>
      <c r="N143" s="488" t="str">
        <f ca="1">IF(M143&lt;&gt;"",ABS(MIN(-0.75*('CDO Bespoke'!Q144)+'CDO Bespoke'!T144,0)),"")</f>
        <v/>
      </c>
      <c r="O143" s="488">
        <f t="shared" ca="1" si="4"/>
        <v>0</v>
      </c>
      <c r="P143" s="488">
        <f t="shared" ca="1" si="5"/>
        <v>0</v>
      </c>
      <c r="Q143" s="487" t="str">
        <f ca="1">IF('CDO Bespoke'!O144&lt;&gt;"",'CDO Bespoke'!O144,"")</f>
        <v/>
      </c>
      <c r="R143" s="488" t="str">
        <f ca="1">IF(Q143&lt;&gt;"",ABS(MIN(-0.75*('CDO Bespoke'!K144)+'CDO Bespoke'!T144,0)),"")</f>
        <v/>
      </c>
      <c r="S143" s="488">
        <f t="shared" ca="1" si="6"/>
        <v>0</v>
      </c>
      <c r="T143" s="492">
        <f t="shared" ca="1" si="7"/>
        <v>0</v>
      </c>
      <c r="U143" s="274"/>
      <c r="V143" s="497" t="str">
        <f ca="1">IF('CDO Bespoke'!C168&lt;&gt;"",'CDO Bespoke'!C168,"")</f>
        <v/>
      </c>
      <c r="W143" s="499" t="str" cm="1">
        <f t="array" aca="1" ref="W143" ca="1">IF($V143&lt;&gt;"",-TRANSPOSE(INDEX(getcds('CDO Bespoke'!$C168,W$13,'CDO Bespoke'!$G168/10000,'CDO Bespoke'!F168,'CDO Bespoke'!$L144,'CDO Bespoke'!$C$13,'CDO Bespoke'!$C$14,'CDO Bespoke'!$C$15,'CDO Bespoke'!$C$8,,,TRUE,TRUE,FALSE,'CDO Bespoke'!$C$29:'CDO Bespoke'!$C$31,'CDO Bespoke'!$C$33),{5})),"")</f>
        <v/>
      </c>
      <c r="X143" s="524" t="str" cm="1">
        <f t="array" aca="1" ref="X143" ca="1">IF($V143&lt;&gt;"",-TRANSPOSE(INDEX(getcds('CDO Bespoke'!$C168,X$13,'CDO Bespoke'!$G168/10000,'CDO Bespoke'!G168,'CDO Bespoke'!$L144,'CDO Bespoke'!$C$13,'CDO Bespoke'!$C$14,'CDO Bespoke'!$C$15,'CDO Bespoke'!$C$8,,,TRUE,TRUE,FALSE,'CDO Bespoke'!$C$29:'CDO Bespoke'!$C$31,'CDO Bespoke'!$C$33),{5})),"")</f>
        <v/>
      </c>
      <c r="Y143" s="524" t="str" cm="1">
        <f t="array" aca="1" ref="Y143" ca="1">IF($V143&lt;&gt;"",-TRANSPOSE(INDEX(getcds('CDO Bespoke'!$C168,Y$13,'CDO Bespoke'!$G168/10000,'CDO Bespoke'!H168,'CDO Bespoke'!$L144,'CDO Bespoke'!$C$13,'CDO Bespoke'!$C$14,'CDO Bespoke'!$C$15,'CDO Bespoke'!$C$8,,,TRUE,TRUE,FALSE,'CDO Bespoke'!$C$29:'CDO Bespoke'!$C$31,'CDO Bespoke'!$C$33),{5})),"")</f>
        <v/>
      </c>
      <c r="Z143" s="524" t="str" cm="1">
        <f t="array" aca="1" ref="Z143" ca="1">IF($V143&lt;&gt;"",-TRANSPOSE(INDEX(getcds('CDO Bespoke'!$C168,Z$13,'CDO Bespoke'!$G168/10000,'CDO Bespoke'!I168,'CDO Bespoke'!$L144,'CDO Bespoke'!$C$13,'CDO Bespoke'!$C$14,'CDO Bespoke'!$C$15,'CDO Bespoke'!$C$8,,,TRUE,TRUE,FALSE,'CDO Bespoke'!$C$29:'CDO Bespoke'!$C$31,'CDO Bespoke'!$C$33),{5})),"")</f>
        <v/>
      </c>
      <c r="AA143" s="500" t="str" cm="1">
        <f t="array" aca="1" ref="AA143" ca="1">IF($V143&lt;&gt;"",-TRANSPOSE(INDEX(getcds('CDO Bespoke'!$C168,AA$13,'CDO Bespoke'!$G168/10000,'CDO Bespoke'!J168,'CDO Bespoke'!$L144,'CDO Bespoke'!$C$13,'CDO Bespoke'!$C$14,'CDO Bespoke'!$C$15,'CDO Bespoke'!$C$8,,,TRUE,TRUE,FALSE,'CDO Bespoke'!$C$29:'CDO Bespoke'!$C$31,'CDO Bespoke'!$C$33),{5})),"")</f>
        <v/>
      </c>
      <c r="AB143" s="479"/>
      <c r="AC143" s="515"/>
      <c r="AD143" s="516"/>
      <c r="AE143" s="516"/>
      <c r="AF143" s="516"/>
      <c r="AG143" s="516"/>
      <c r="AH143" s="516"/>
      <c r="AI143" s="516"/>
      <c r="AJ143" s="516"/>
      <c r="AK143" s="516"/>
      <c r="AL143" s="517"/>
      <c r="AM143" s="534"/>
    </row>
    <row r="144" spans="2:39" ht="12" thickBot="1">
      <c r="B144" s="552" t="s">
        <v>564</v>
      </c>
      <c r="C144" s="553" t="s">
        <v>66</v>
      </c>
      <c r="D144" s="553" t="s">
        <v>59</v>
      </c>
      <c r="E144" s="553" t="s">
        <v>665</v>
      </c>
      <c r="F144" s="553" t="s">
        <v>663</v>
      </c>
      <c r="G144" s="554">
        <v>0.01</v>
      </c>
      <c r="H144" s="554">
        <v>4.1469999999999996E-3</v>
      </c>
      <c r="I144" s="555">
        <v>0.4</v>
      </c>
      <c r="J144" s="556">
        <v>40</v>
      </c>
      <c r="K144" s="274"/>
      <c r="L144" s="274"/>
      <c r="M144" s="487" t="str">
        <f ca="1">IF('CDO Bespoke'!O145&lt;&gt;"",'CDO Bespoke'!O145,"")</f>
        <v/>
      </c>
      <c r="N144" s="488" t="str">
        <f ca="1">IF(M144&lt;&gt;"",ABS(MIN(-0.75*('CDO Bespoke'!Q145)+'CDO Bespoke'!T145,0)),"")</f>
        <v/>
      </c>
      <c r="O144" s="488">
        <f t="shared" ref="O144:O207" ca="1" si="8">IF(M144&lt;&gt;"",IF($N$8,MAX(M144-N144,0),M144),0)</f>
        <v>0</v>
      </c>
      <c r="P144" s="488">
        <f t="shared" ref="P144:P207" ca="1" si="9">IF(M144&lt;&gt;"",IF($N$8,0,N144),0)</f>
        <v>0</v>
      </c>
      <c r="Q144" s="487" t="str">
        <f ca="1">IF('CDO Bespoke'!O145&lt;&gt;"",'CDO Bespoke'!O145,"")</f>
        <v/>
      </c>
      <c r="R144" s="488" t="str">
        <f ca="1">IF(Q144&lt;&gt;"",ABS(MIN(-0.75*('CDO Bespoke'!K145)+'CDO Bespoke'!T145,0)),"")</f>
        <v/>
      </c>
      <c r="S144" s="488">
        <f t="shared" ref="S144:S207" ca="1" si="10">IF(Q144&lt;&gt;"",IF($N$8,MAX(Q144-R144,0),Q144),0)</f>
        <v>0</v>
      </c>
      <c r="T144" s="492">
        <f t="shared" ref="T144:T207" ca="1" si="11">IF(Q144&lt;&gt;"",IF($N$8,0,R144),0)</f>
        <v>0</v>
      </c>
      <c r="U144" s="274"/>
      <c r="V144" s="497" t="str">
        <f ca="1">IF('CDO Bespoke'!C169&lt;&gt;"",'CDO Bespoke'!C169,"")</f>
        <v/>
      </c>
      <c r="W144" s="499" t="str" cm="1">
        <f t="array" aca="1" ref="W144" ca="1">IF($V144&lt;&gt;"",-TRANSPOSE(INDEX(getcds('CDO Bespoke'!$C169,W$13,'CDO Bespoke'!$G169/10000,'CDO Bespoke'!F169,'CDO Bespoke'!$L145,'CDO Bespoke'!$C$13,'CDO Bespoke'!$C$14,'CDO Bespoke'!$C$15,'CDO Bespoke'!$C$8,,,TRUE,TRUE,FALSE,'CDO Bespoke'!$C$29:'CDO Bespoke'!$C$31,'CDO Bespoke'!$C$33),{5})),"")</f>
        <v/>
      </c>
      <c r="X144" s="524" t="str" cm="1">
        <f t="array" aca="1" ref="X144" ca="1">IF($V144&lt;&gt;"",-TRANSPOSE(INDEX(getcds('CDO Bespoke'!$C169,X$13,'CDO Bespoke'!$G169/10000,'CDO Bespoke'!G169,'CDO Bespoke'!$L145,'CDO Bespoke'!$C$13,'CDO Bespoke'!$C$14,'CDO Bespoke'!$C$15,'CDO Bespoke'!$C$8,,,TRUE,TRUE,FALSE,'CDO Bespoke'!$C$29:'CDO Bespoke'!$C$31,'CDO Bespoke'!$C$33),{5})),"")</f>
        <v/>
      </c>
      <c r="Y144" s="524" t="str" cm="1">
        <f t="array" aca="1" ref="Y144" ca="1">IF($V144&lt;&gt;"",-TRANSPOSE(INDEX(getcds('CDO Bespoke'!$C169,Y$13,'CDO Bespoke'!$G169/10000,'CDO Bespoke'!H169,'CDO Bespoke'!$L145,'CDO Bespoke'!$C$13,'CDO Bespoke'!$C$14,'CDO Bespoke'!$C$15,'CDO Bespoke'!$C$8,,,TRUE,TRUE,FALSE,'CDO Bespoke'!$C$29:'CDO Bespoke'!$C$31,'CDO Bespoke'!$C$33),{5})),"")</f>
        <v/>
      </c>
      <c r="Z144" s="524" t="str" cm="1">
        <f t="array" aca="1" ref="Z144" ca="1">IF($V144&lt;&gt;"",-TRANSPOSE(INDEX(getcds('CDO Bespoke'!$C169,Z$13,'CDO Bespoke'!$G169/10000,'CDO Bespoke'!I169,'CDO Bespoke'!$L145,'CDO Bespoke'!$C$13,'CDO Bespoke'!$C$14,'CDO Bespoke'!$C$15,'CDO Bespoke'!$C$8,,,TRUE,TRUE,FALSE,'CDO Bespoke'!$C$29:'CDO Bespoke'!$C$31,'CDO Bespoke'!$C$33),{5})),"")</f>
        <v/>
      </c>
      <c r="AA144" s="500" t="str" cm="1">
        <f t="array" aca="1" ref="AA144" ca="1">IF($V144&lt;&gt;"",-TRANSPOSE(INDEX(getcds('CDO Bespoke'!$C169,AA$13,'CDO Bespoke'!$G169/10000,'CDO Bespoke'!J169,'CDO Bespoke'!$L145,'CDO Bespoke'!$C$13,'CDO Bespoke'!$C$14,'CDO Bespoke'!$C$15,'CDO Bespoke'!$C$8,,,TRUE,TRUE,FALSE,'CDO Bespoke'!$C$29:'CDO Bespoke'!$C$31,'CDO Bespoke'!$C$33),{5})),"")</f>
        <v/>
      </c>
      <c r="AB144" s="479"/>
      <c r="AC144" s="515"/>
      <c r="AD144" s="516"/>
      <c r="AE144" s="516"/>
      <c r="AF144" s="516"/>
      <c r="AG144" s="516"/>
      <c r="AH144" s="516"/>
      <c r="AI144" s="516"/>
      <c r="AJ144" s="516"/>
      <c r="AK144" s="516"/>
      <c r="AL144" s="517"/>
      <c r="AM144" s="534"/>
    </row>
    <row r="145" spans="2:39" ht="12" thickBot="1">
      <c r="B145" s="557" t="s">
        <v>549</v>
      </c>
      <c r="C145" s="558" t="s">
        <v>66</v>
      </c>
      <c r="D145" s="558" t="s">
        <v>55</v>
      </c>
      <c r="E145" s="558" t="s">
        <v>660</v>
      </c>
      <c r="F145" s="558" t="s">
        <v>663</v>
      </c>
      <c r="G145" s="559">
        <v>0.01</v>
      </c>
      <c r="H145" s="559">
        <v>2.8939999999999999E-3</v>
      </c>
      <c r="I145" s="560">
        <v>0.4</v>
      </c>
      <c r="J145" s="561">
        <v>41</v>
      </c>
      <c r="K145" s="274"/>
      <c r="L145" s="274"/>
      <c r="M145" s="487" t="str">
        <f ca="1">IF('CDO Bespoke'!O146&lt;&gt;"",'CDO Bespoke'!O146,"")</f>
        <v/>
      </c>
      <c r="N145" s="488" t="str">
        <f ca="1">IF(M145&lt;&gt;"",ABS(MIN(-0.75*('CDO Bespoke'!Q146)+'CDO Bespoke'!T146,0)),"")</f>
        <v/>
      </c>
      <c r="O145" s="488">
        <f t="shared" ca="1" si="8"/>
        <v>0</v>
      </c>
      <c r="P145" s="488">
        <f t="shared" ca="1" si="9"/>
        <v>0</v>
      </c>
      <c r="Q145" s="487" t="str">
        <f ca="1">IF('CDO Bespoke'!O146&lt;&gt;"",'CDO Bespoke'!O146,"")</f>
        <v/>
      </c>
      <c r="R145" s="488" t="str">
        <f ca="1">IF(Q145&lt;&gt;"",ABS(MIN(-0.75*('CDO Bespoke'!K146)+'CDO Bespoke'!T146,0)),"")</f>
        <v/>
      </c>
      <c r="S145" s="488">
        <f t="shared" ca="1" si="10"/>
        <v>0</v>
      </c>
      <c r="T145" s="492">
        <f t="shared" ca="1" si="11"/>
        <v>0</v>
      </c>
      <c r="U145" s="274"/>
      <c r="V145" s="497" t="str">
        <f ca="1">IF('CDO Bespoke'!C170&lt;&gt;"",'CDO Bespoke'!C170,"")</f>
        <v/>
      </c>
      <c r="W145" s="499" t="str" cm="1">
        <f t="array" aca="1" ref="W145" ca="1">IF($V145&lt;&gt;"",-TRANSPOSE(INDEX(getcds('CDO Bespoke'!$C170,W$13,'CDO Bespoke'!$G170/10000,'CDO Bespoke'!F170,'CDO Bespoke'!$L146,'CDO Bespoke'!$C$13,'CDO Bespoke'!$C$14,'CDO Bespoke'!$C$15,'CDO Bespoke'!$C$8,,,TRUE,TRUE,FALSE,'CDO Bespoke'!$C$29:'CDO Bespoke'!$C$31,'CDO Bespoke'!$C$33),{5})),"")</f>
        <v/>
      </c>
      <c r="X145" s="524" t="str" cm="1">
        <f t="array" aca="1" ref="X145" ca="1">IF($V145&lt;&gt;"",-TRANSPOSE(INDEX(getcds('CDO Bespoke'!$C170,X$13,'CDO Bespoke'!$G170/10000,'CDO Bespoke'!G170,'CDO Bespoke'!$L146,'CDO Bespoke'!$C$13,'CDO Bespoke'!$C$14,'CDO Bespoke'!$C$15,'CDO Bespoke'!$C$8,,,TRUE,TRUE,FALSE,'CDO Bespoke'!$C$29:'CDO Bespoke'!$C$31,'CDO Bespoke'!$C$33),{5})),"")</f>
        <v/>
      </c>
      <c r="Y145" s="524" t="str" cm="1">
        <f t="array" aca="1" ref="Y145" ca="1">IF($V145&lt;&gt;"",-TRANSPOSE(INDEX(getcds('CDO Bespoke'!$C170,Y$13,'CDO Bespoke'!$G170/10000,'CDO Bespoke'!H170,'CDO Bespoke'!$L146,'CDO Bespoke'!$C$13,'CDO Bespoke'!$C$14,'CDO Bespoke'!$C$15,'CDO Bespoke'!$C$8,,,TRUE,TRUE,FALSE,'CDO Bespoke'!$C$29:'CDO Bespoke'!$C$31,'CDO Bespoke'!$C$33),{5})),"")</f>
        <v/>
      </c>
      <c r="Z145" s="524" t="str" cm="1">
        <f t="array" aca="1" ref="Z145" ca="1">IF($V145&lt;&gt;"",-TRANSPOSE(INDEX(getcds('CDO Bespoke'!$C170,Z$13,'CDO Bespoke'!$G170/10000,'CDO Bespoke'!I170,'CDO Bespoke'!$L146,'CDO Bespoke'!$C$13,'CDO Bespoke'!$C$14,'CDO Bespoke'!$C$15,'CDO Bespoke'!$C$8,,,TRUE,TRUE,FALSE,'CDO Bespoke'!$C$29:'CDO Bespoke'!$C$31,'CDO Bespoke'!$C$33),{5})),"")</f>
        <v/>
      </c>
      <c r="AA145" s="500" t="str" cm="1">
        <f t="array" aca="1" ref="AA145" ca="1">IF($V145&lt;&gt;"",-TRANSPOSE(INDEX(getcds('CDO Bespoke'!$C170,AA$13,'CDO Bespoke'!$G170/10000,'CDO Bespoke'!J170,'CDO Bespoke'!$L146,'CDO Bespoke'!$C$13,'CDO Bespoke'!$C$14,'CDO Bespoke'!$C$15,'CDO Bespoke'!$C$8,,,TRUE,TRUE,FALSE,'CDO Bespoke'!$C$29:'CDO Bespoke'!$C$31,'CDO Bespoke'!$C$33),{5})),"")</f>
        <v/>
      </c>
      <c r="AB145" s="479"/>
      <c r="AC145" s="515"/>
      <c r="AD145" s="516"/>
      <c r="AE145" s="516"/>
      <c r="AF145" s="516"/>
      <c r="AG145" s="516"/>
      <c r="AH145" s="516"/>
      <c r="AI145" s="516"/>
      <c r="AJ145" s="516"/>
      <c r="AK145" s="516"/>
      <c r="AL145" s="517"/>
      <c r="AM145" s="534"/>
    </row>
    <row r="146" spans="2:39" ht="12" thickBot="1">
      <c r="B146" s="535" t="s">
        <v>549</v>
      </c>
      <c r="C146" s="536" t="s">
        <v>66</v>
      </c>
      <c r="D146" s="536" t="s">
        <v>57</v>
      </c>
      <c r="E146" s="536" t="s">
        <v>660</v>
      </c>
      <c r="F146" s="536" t="s">
        <v>663</v>
      </c>
      <c r="G146" s="543">
        <v>0.01</v>
      </c>
      <c r="H146" s="543">
        <v>5.0400000000000002E-3</v>
      </c>
      <c r="I146" s="545">
        <v>0.4</v>
      </c>
      <c r="J146" s="537">
        <v>41</v>
      </c>
      <c r="K146" s="274"/>
      <c r="L146" s="274"/>
      <c r="M146" s="487" t="str">
        <f ca="1">IF('CDO Bespoke'!O147&lt;&gt;"",'CDO Bespoke'!O147,"")</f>
        <v/>
      </c>
      <c r="N146" s="488" t="str">
        <f ca="1">IF(M146&lt;&gt;"",ABS(MIN(-0.75*('CDO Bespoke'!Q147)+'CDO Bespoke'!T147,0)),"")</f>
        <v/>
      </c>
      <c r="O146" s="488">
        <f t="shared" ca="1" si="8"/>
        <v>0</v>
      </c>
      <c r="P146" s="488">
        <f t="shared" ca="1" si="9"/>
        <v>0</v>
      </c>
      <c r="Q146" s="487" t="str">
        <f ca="1">IF('CDO Bespoke'!O147&lt;&gt;"",'CDO Bespoke'!O147,"")</f>
        <v/>
      </c>
      <c r="R146" s="488" t="str">
        <f ca="1">IF(Q146&lt;&gt;"",ABS(MIN(-0.75*('CDO Bespoke'!K147)+'CDO Bespoke'!T147,0)),"")</f>
        <v/>
      </c>
      <c r="S146" s="488">
        <f t="shared" ca="1" si="10"/>
        <v>0</v>
      </c>
      <c r="T146" s="492">
        <f t="shared" ca="1" si="11"/>
        <v>0</v>
      </c>
      <c r="U146" s="274"/>
      <c r="V146" s="497" t="str">
        <f ca="1">IF('CDO Bespoke'!C171&lt;&gt;"",'CDO Bespoke'!C171,"")</f>
        <v/>
      </c>
      <c r="W146" s="499" t="str" cm="1">
        <f t="array" aca="1" ref="W146" ca="1">IF($V146&lt;&gt;"",-TRANSPOSE(INDEX(getcds('CDO Bespoke'!$C171,W$13,'CDO Bespoke'!$G171/10000,'CDO Bespoke'!F171,'CDO Bespoke'!$L147,'CDO Bespoke'!$C$13,'CDO Bespoke'!$C$14,'CDO Bespoke'!$C$15,'CDO Bespoke'!$C$8,,,TRUE,TRUE,FALSE,'CDO Bespoke'!$C$29:'CDO Bespoke'!$C$31,'CDO Bespoke'!$C$33),{5})),"")</f>
        <v/>
      </c>
      <c r="X146" s="524" t="str" cm="1">
        <f t="array" aca="1" ref="X146" ca="1">IF($V146&lt;&gt;"",-TRANSPOSE(INDEX(getcds('CDO Bespoke'!$C171,X$13,'CDO Bespoke'!$G171/10000,'CDO Bespoke'!G171,'CDO Bespoke'!$L147,'CDO Bespoke'!$C$13,'CDO Bespoke'!$C$14,'CDO Bespoke'!$C$15,'CDO Bespoke'!$C$8,,,TRUE,TRUE,FALSE,'CDO Bespoke'!$C$29:'CDO Bespoke'!$C$31,'CDO Bespoke'!$C$33),{5})),"")</f>
        <v/>
      </c>
      <c r="Y146" s="524" t="str" cm="1">
        <f t="array" aca="1" ref="Y146" ca="1">IF($V146&lt;&gt;"",-TRANSPOSE(INDEX(getcds('CDO Bespoke'!$C171,Y$13,'CDO Bespoke'!$G171/10000,'CDO Bespoke'!H171,'CDO Bespoke'!$L147,'CDO Bespoke'!$C$13,'CDO Bespoke'!$C$14,'CDO Bespoke'!$C$15,'CDO Bespoke'!$C$8,,,TRUE,TRUE,FALSE,'CDO Bespoke'!$C$29:'CDO Bespoke'!$C$31,'CDO Bespoke'!$C$33),{5})),"")</f>
        <v/>
      </c>
      <c r="Z146" s="524" t="str" cm="1">
        <f t="array" aca="1" ref="Z146" ca="1">IF($V146&lt;&gt;"",-TRANSPOSE(INDEX(getcds('CDO Bespoke'!$C171,Z$13,'CDO Bespoke'!$G171/10000,'CDO Bespoke'!I171,'CDO Bespoke'!$L147,'CDO Bespoke'!$C$13,'CDO Bespoke'!$C$14,'CDO Bespoke'!$C$15,'CDO Bespoke'!$C$8,,,TRUE,TRUE,FALSE,'CDO Bespoke'!$C$29:'CDO Bespoke'!$C$31,'CDO Bespoke'!$C$33),{5})),"")</f>
        <v/>
      </c>
      <c r="AA146" s="500" t="str" cm="1">
        <f t="array" aca="1" ref="AA146" ca="1">IF($V146&lt;&gt;"",-TRANSPOSE(INDEX(getcds('CDO Bespoke'!$C171,AA$13,'CDO Bespoke'!$G171/10000,'CDO Bespoke'!J171,'CDO Bespoke'!$L147,'CDO Bespoke'!$C$13,'CDO Bespoke'!$C$14,'CDO Bespoke'!$C$15,'CDO Bespoke'!$C$8,,,TRUE,TRUE,FALSE,'CDO Bespoke'!$C$29:'CDO Bespoke'!$C$31,'CDO Bespoke'!$C$33),{5})),"")</f>
        <v/>
      </c>
      <c r="AB146" s="479"/>
      <c r="AC146" s="515"/>
      <c r="AD146" s="516"/>
      <c r="AE146" s="516"/>
      <c r="AF146" s="516"/>
      <c r="AG146" s="516"/>
      <c r="AH146" s="516"/>
      <c r="AI146" s="516"/>
      <c r="AJ146" s="516"/>
      <c r="AK146" s="516"/>
      <c r="AL146" s="517"/>
      <c r="AM146" s="534"/>
    </row>
    <row r="147" spans="2:39" ht="12" thickBot="1">
      <c r="B147" s="552" t="s">
        <v>549</v>
      </c>
      <c r="C147" s="553" t="s">
        <v>66</v>
      </c>
      <c r="D147" s="553" t="s">
        <v>59</v>
      </c>
      <c r="E147" s="553" t="s">
        <v>660</v>
      </c>
      <c r="F147" s="553" t="s">
        <v>663</v>
      </c>
      <c r="G147" s="554">
        <v>0.01</v>
      </c>
      <c r="H147" s="554">
        <v>7.5799999999999999E-3</v>
      </c>
      <c r="I147" s="555">
        <v>0.4</v>
      </c>
      <c r="J147" s="556">
        <v>41</v>
      </c>
      <c r="K147" s="274"/>
      <c r="L147" s="274"/>
      <c r="M147" s="487" t="str">
        <f ca="1">IF('CDO Bespoke'!O148&lt;&gt;"",'CDO Bespoke'!O148,"")</f>
        <v/>
      </c>
      <c r="N147" s="488" t="str">
        <f ca="1">IF(M147&lt;&gt;"",ABS(MIN(-0.75*('CDO Bespoke'!Q148)+'CDO Bespoke'!T148,0)),"")</f>
        <v/>
      </c>
      <c r="O147" s="488">
        <f t="shared" ca="1" si="8"/>
        <v>0</v>
      </c>
      <c r="P147" s="488">
        <f t="shared" ca="1" si="9"/>
        <v>0</v>
      </c>
      <c r="Q147" s="487" t="str">
        <f ca="1">IF('CDO Bespoke'!O148&lt;&gt;"",'CDO Bespoke'!O148,"")</f>
        <v/>
      </c>
      <c r="R147" s="488" t="str">
        <f ca="1">IF(Q147&lt;&gt;"",ABS(MIN(-0.75*('CDO Bespoke'!K148)+'CDO Bespoke'!T148,0)),"")</f>
        <v/>
      </c>
      <c r="S147" s="488">
        <f t="shared" ca="1" si="10"/>
        <v>0</v>
      </c>
      <c r="T147" s="492">
        <f t="shared" ca="1" si="11"/>
        <v>0</v>
      </c>
      <c r="U147" s="274"/>
      <c r="V147" s="497" t="str">
        <f ca="1">IF('CDO Bespoke'!C172&lt;&gt;"",'CDO Bespoke'!C172,"")</f>
        <v/>
      </c>
      <c r="W147" s="499" t="str" cm="1">
        <f t="array" aca="1" ref="W147" ca="1">IF($V147&lt;&gt;"",-TRANSPOSE(INDEX(getcds('CDO Bespoke'!$C172,W$13,'CDO Bespoke'!$G172/10000,'CDO Bespoke'!F172,'CDO Bespoke'!$L148,'CDO Bespoke'!$C$13,'CDO Bespoke'!$C$14,'CDO Bespoke'!$C$15,'CDO Bespoke'!$C$8,,,TRUE,TRUE,FALSE,'CDO Bespoke'!$C$29:'CDO Bespoke'!$C$31,'CDO Bespoke'!$C$33),{5})),"")</f>
        <v/>
      </c>
      <c r="X147" s="524" t="str" cm="1">
        <f t="array" aca="1" ref="X147" ca="1">IF($V147&lt;&gt;"",-TRANSPOSE(INDEX(getcds('CDO Bespoke'!$C172,X$13,'CDO Bespoke'!$G172/10000,'CDO Bespoke'!G172,'CDO Bespoke'!$L148,'CDO Bespoke'!$C$13,'CDO Bespoke'!$C$14,'CDO Bespoke'!$C$15,'CDO Bespoke'!$C$8,,,TRUE,TRUE,FALSE,'CDO Bespoke'!$C$29:'CDO Bespoke'!$C$31,'CDO Bespoke'!$C$33),{5})),"")</f>
        <v/>
      </c>
      <c r="Y147" s="524" t="str" cm="1">
        <f t="array" aca="1" ref="Y147" ca="1">IF($V147&lt;&gt;"",-TRANSPOSE(INDEX(getcds('CDO Bespoke'!$C172,Y$13,'CDO Bespoke'!$G172/10000,'CDO Bespoke'!H172,'CDO Bespoke'!$L148,'CDO Bespoke'!$C$13,'CDO Bespoke'!$C$14,'CDO Bespoke'!$C$15,'CDO Bespoke'!$C$8,,,TRUE,TRUE,FALSE,'CDO Bespoke'!$C$29:'CDO Bespoke'!$C$31,'CDO Bespoke'!$C$33),{5})),"")</f>
        <v/>
      </c>
      <c r="Z147" s="524" t="str" cm="1">
        <f t="array" aca="1" ref="Z147" ca="1">IF($V147&lt;&gt;"",-TRANSPOSE(INDEX(getcds('CDO Bespoke'!$C172,Z$13,'CDO Bespoke'!$G172/10000,'CDO Bespoke'!I172,'CDO Bespoke'!$L148,'CDO Bespoke'!$C$13,'CDO Bespoke'!$C$14,'CDO Bespoke'!$C$15,'CDO Bespoke'!$C$8,,,TRUE,TRUE,FALSE,'CDO Bespoke'!$C$29:'CDO Bespoke'!$C$31,'CDO Bespoke'!$C$33),{5})),"")</f>
        <v/>
      </c>
      <c r="AA147" s="500" t="str" cm="1">
        <f t="array" aca="1" ref="AA147" ca="1">IF($V147&lt;&gt;"",-TRANSPOSE(INDEX(getcds('CDO Bespoke'!$C172,AA$13,'CDO Bespoke'!$G172/10000,'CDO Bespoke'!J172,'CDO Bespoke'!$L148,'CDO Bespoke'!$C$13,'CDO Bespoke'!$C$14,'CDO Bespoke'!$C$15,'CDO Bespoke'!$C$8,,,TRUE,TRUE,FALSE,'CDO Bespoke'!$C$29:'CDO Bespoke'!$C$31,'CDO Bespoke'!$C$33),{5})),"")</f>
        <v/>
      </c>
      <c r="AB147" s="479"/>
      <c r="AC147" s="515"/>
      <c r="AD147" s="516"/>
      <c r="AE147" s="516"/>
      <c r="AF147" s="516"/>
      <c r="AG147" s="516"/>
      <c r="AH147" s="516"/>
      <c r="AI147" s="516"/>
      <c r="AJ147" s="516"/>
      <c r="AK147" s="516"/>
      <c r="AL147" s="517"/>
      <c r="AM147" s="534"/>
    </row>
    <row r="148" spans="2:39" ht="12" thickBot="1">
      <c r="B148" s="557" t="s">
        <v>550</v>
      </c>
      <c r="C148" s="558" t="s">
        <v>66</v>
      </c>
      <c r="D148" s="558" t="s">
        <v>55</v>
      </c>
      <c r="E148" s="558" t="s">
        <v>665</v>
      </c>
      <c r="F148" s="558" t="s">
        <v>663</v>
      </c>
      <c r="G148" s="559">
        <v>0.01</v>
      </c>
      <c r="H148" s="559">
        <v>1.31E-3</v>
      </c>
      <c r="I148" s="560">
        <v>0.4</v>
      </c>
      <c r="J148" s="561">
        <v>42</v>
      </c>
      <c r="K148" s="274"/>
      <c r="L148" s="274"/>
      <c r="M148" s="487" t="str">
        <f ca="1">IF('CDO Bespoke'!O149&lt;&gt;"",'CDO Bespoke'!O149,"")</f>
        <v/>
      </c>
      <c r="N148" s="488" t="str">
        <f ca="1">IF(M148&lt;&gt;"",ABS(MIN(-0.75*('CDO Bespoke'!Q149)+'CDO Bespoke'!T149,0)),"")</f>
        <v/>
      </c>
      <c r="O148" s="488">
        <f t="shared" ca="1" si="8"/>
        <v>0</v>
      </c>
      <c r="P148" s="488">
        <f t="shared" ca="1" si="9"/>
        <v>0</v>
      </c>
      <c r="Q148" s="487" t="str">
        <f ca="1">IF('CDO Bespoke'!O149&lt;&gt;"",'CDO Bespoke'!O149,"")</f>
        <v/>
      </c>
      <c r="R148" s="488" t="str">
        <f ca="1">IF(Q148&lt;&gt;"",ABS(MIN(-0.75*('CDO Bespoke'!K149)+'CDO Bespoke'!T149,0)),"")</f>
        <v/>
      </c>
      <c r="S148" s="488">
        <f t="shared" ca="1" si="10"/>
        <v>0</v>
      </c>
      <c r="T148" s="492">
        <f t="shared" ca="1" si="11"/>
        <v>0</v>
      </c>
      <c r="U148" s="274"/>
      <c r="V148" s="497" t="str">
        <f ca="1">IF('CDO Bespoke'!C173&lt;&gt;"",'CDO Bespoke'!C173,"")</f>
        <v/>
      </c>
      <c r="W148" s="499" t="str" cm="1">
        <f t="array" aca="1" ref="W148" ca="1">IF($V148&lt;&gt;"",-TRANSPOSE(INDEX(getcds('CDO Bespoke'!$C173,W$13,'CDO Bespoke'!$G173/10000,'CDO Bespoke'!F173,'CDO Bespoke'!$L149,'CDO Bespoke'!$C$13,'CDO Bespoke'!$C$14,'CDO Bespoke'!$C$15,'CDO Bespoke'!$C$8,,,TRUE,TRUE,FALSE,'CDO Bespoke'!$C$29:'CDO Bespoke'!$C$31,'CDO Bespoke'!$C$33),{5})),"")</f>
        <v/>
      </c>
      <c r="X148" s="524" t="str" cm="1">
        <f t="array" aca="1" ref="X148" ca="1">IF($V148&lt;&gt;"",-TRANSPOSE(INDEX(getcds('CDO Bespoke'!$C173,X$13,'CDO Bespoke'!$G173/10000,'CDO Bespoke'!G173,'CDO Bespoke'!$L149,'CDO Bespoke'!$C$13,'CDO Bespoke'!$C$14,'CDO Bespoke'!$C$15,'CDO Bespoke'!$C$8,,,TRUE,TRUE,FALSE,'CDO Bespoke'!$C$29:'CDO Bespoke'!$C$31,'CDO Bespoke'!$C$33),{5})),"")</f>
        <v/>
      </c>
      <c r="Y148" s="524" t="str" cm="1">
        <f t="array" aca="1" ref="Y148" ca="1">IF($V148&lt;&gt;"",-TRANSPOSE(INDEX(getcds('CDO Bespoke'!$C173,Y$13,'CDO Bespoke'!$G173/10000,'CDO Bespoke'!H173,'CDO Bespoke'!$L149,'CDO Bespoke'!$C$13,'CDO Bespoke'!$C$14,'CDO Bespoke'!$C$15,'CDO Bespoke'!$C$8,,,TRUE,TRUE,FALSE,'CDO Bespoke'!$C$29:'CDO Bespoke'!$C$31,'CDO Bespoke'!$C$33),{5})),"")</f>
        <v/>
      </c>
      <c r="Z148" s="524" t="str" cm="1">
        <f t="array" aca="1" ref="Z148" ca="1">IF($V148&lt;&gt;"",-TRANSPOSE(INDEX(getcds('CDO Bespoke'!$C173,Z$13,'CDO Bespoke'!$G173/10000,'CDO Bespoke'!I173,'CDO Bespoke'!$L149,'CDO Bespoke'!$C$13,'CDO Bespoke'!$C$14,'CDO Bespoke'!$C$15,'CDO Bespoke'!$C$8,,,TRUE,TRUE,FALSE,'CDO Bespoke'!$C$29:'CDO Bespoke'!$C$31,'CDO Bespoke'!$C$33),{5})),"")</f>
        <v/>
      </c>
      <c r="AA148" s="500" t="str" cm="1">
        <f t="array" aca="1" ref="AA148" ca="1">IF($V148&lt;&gt;"",-TRANSPOSE(INDEX(getcds('CDO Bespoke'!$C173,AA$13,'CDO Bespoke'!$G173/10000,'CDO Bespoke'!J173,'CDO Bespoke'!$L149,'CDO Bespoke'!$C$13,'CDO Bespoke'!$C$14,'CDO Bespoke'!$C$15,'CDO Bespoke'!$C$8,,,TRUE,TRUE,FALSE,'CDO Bespoke'!$C$29:'CDO Bespoke'!$C$31,'CDO Bespoke'!$C$33),{5})),"")</f>
        <v/>
      </c>
      <c r="AB148" s="479"/>
      <c r="AC148" s="515"/>
      <c r="AD148" s="516"/>
      <c r="AE148" s="516"/>
      <c r="AF148" s="516"/>
      <c r="AG148" s="516"/>
      <c r="AH148" s="516"/>
      <c r="AI148" s="516"/>
      <c r="AJ148" s="516"/>
      <c r="AK148" s="516"/>
      <c r="AL148" s="517"/>
      <c r="AM148" s="534"/>
    </row>
    <row r="149" spans="2:39" ht="12" thickBot="1">
      <c r="B149" s="535" t="s">
        <v>550</v>
      </c>
      <c r="C149" s="536" t="s">
        <v>66</v>
      </c>
      <c r="D149" s="536" t="s">
        <v>57</v>
      </c>
      <c r="E149" s="536" t="s">
        <v>665</v>
      </c>
      <c r="F149" s="536" t="s">
        <v>663</v>
      </c>
      <c r="G149" s="543">
        <v>0.01</v>
      </c>
      <c r="H149" s="543">
        <v>2.2300000000000002E-3</v>
      </c>
      <c r="I149" s="545">
        <v>0.4</v>
      </c>
      <c r="J149" s="537">
        <v>42</v>
      </c>
      <c r="K149" s="274"/>
      <c r="L149" s="274"/>
      <c r="M149" s="487" t="str">
        <f ca="1">IF('CDO Bespoke'!O150&lt;&gt;"",'CDO Bespoke'!O150,"")</f>
        <v/>
      </c>
      <c r="N149" s="488" t="str">
        <f ca="1">IF(M149&lt;&gt;"",ABS(MIN(-0.75*('CDO Bespoke'!Q150)+'CDO Bespoke'!T150,0)),"")</f>
        <v/>
      </c>
      <c r="O149" s="488">
        <f t="shared" ca="1" si="8"/>
        <v>0</v>
      </c>
      <c r="P149" s="488">
        <f t="shared" ca="1" si="9"/>
        <v>0</v>
      </c>
      <c r="Q149" s="487" t="str">
        <f ca="1">IF('CDO Bespoke'!O150&lt;&gt;"",'CDO Bespoke'!O150,"")</f>
        <v/>
      </c>
      <c r="R149" s="488" t="str">
        <f ca="1">IF(Q149&lt;&gt;"",ABS(MIN(-0.75*('CDO Bespoke'!K150)+'CDO Bespoke'!T150,0)),"")</f>
        <v/>
      </c>
      <c r="S149" s="488">
        <f t="shared" ca="1" si="10"/>
        <v>0</v>
      </c>
      <c r="T149" s="492">
        <f t="shared" ca="1" si="11"/>
        <v>0</v>
      </c>
      <c r="U149" s="274"/>
      <c r="V149" s="497" t="str">
        <f ca="1">IF('CDO Bespoke'!C174&lt;&gt;"",'CDO Bespoke'!C174,"")</f>
        <v/>
      </c>
      <c r="W149" s="499" t="str" cm="1">
        <f t="array" aca="1" ref="W149" ca="1">IF($V149&lt;&gt;"",-TRANSPOSE(INDEX(getcds('CDO Bespoke'!$C174,W$13,'CDO Bespoke'!$G174/10000,'CDO Bespoke'!F174,'CDO Bespoke'!$L150,'CDO Bespoke'!$C$13,'CDO Bespoke'!$C$14,'CDO Bespoke'!$C$15,'CDO Bespoke'!$C$8,,,TRUE,TRUE,FALSE,'CDO Bespoke'!$C$29:'CDO Bespoke'!$C$31,'CDO Bespoke'!$C$33),{5})),"")</f>
        <v/>
      </c>
      <c r="X149" s="524" t="str" cm="1">
        <f t="array" aca="1" ref="X149" ca="1">IF($V149&lt;&gt;"",-TRANSPOSE(INDEX(getcds('CDO Bespoke'!$C174,X$13,'CDO Bespoke'!$G174/10000,'CDO Bespoke'!G174,'CDO Bespoke'!$L150,'CDO Bespoke'!$C$13,'CDO Bespoke'!$C$14,'CDO Bespoke'!$C$15,'CDO Bespoke'!$C$8,,,TRUE,TRUE,FALSE,'CDO Bespoke'!$C$29:'CDO Bespoke'!$C$31,'CDO Bespoke'!$C$33),{5})),"")</f>
        <v/>
      </c>
      <c r="Y149" s="524" t="str" cm="1">
        <f t="array" aca="1" ref="Y149" ca="1">IF($V149&lt;&gt;"",-TRANSPOSE(INDEX(getcds('CDO Bespoke'!$C174,Y$13,'CDO Bespoke'!$G174/10000,'CDO Bespoke'!H174,'CDO Bespoke'!$L150,'CDO Bespoke'!$C$13,'CDO Bespoke'!$C$14,'CDO Bespoke'!$C$15,'CDO Bespoke'!$C$8,,,TRUE,TRUE,FALSE,'CDO Bespoke'!$C$29:'CDO Bespoke'!$C$31,'CDO Bespoke'!$C$33),{5})),"")</f>
        <v/>
      </c>
      <c r="Z149" s="524" t="str" cm="1">
        <f t="array" aca="1" ref="Z149" ca="1">IF($V149&lt;&gt;"",-TRANSPOSE(INDEX(getcds('CDO Bespoke'!$C174,Z$13,'CDO Bespoke'!$G174/10000,'CDO Bespoke'!I174,'CDO Bespoke'!$L150,'CDO Bespoke'!$C$13,'CDO Bespoke'!$C$14,'CDO Bespoke'!$C$15,'CDO Bespoke'!$C$8,,,TRUE,TRUE,FALSE,'CDO Bespoke'!$C$29:'CDO Bespoke'!$C$31,'CDO Bespoke'!$C$33),{5})),"")</f>
        <v/>
      </c>
      <c r="AA149" s="500" t="str" cm="1">
        <f t="array" aca="1" ref="AA149" ca="1">IF($V149&lt;&gt;"",-TRANSPOSE(INDEX(getcds('CDO Bespoke'!$C174,AA$13,'CDO Bespoke'!$G174/10000,'CDO Bespoke'!J174,'CDO Bespoke'!$L150,'CDO Bespoke'!$C$13,'CDO Bespoke'!$C$14,'CDO Bespoke'!$C$15,'CDO Bespoke'!$C$8,,,TRUE,TRUE,FALSE,'CDO Bespoke'!$C$29:'CDO Bespoke'!$C$31,'CDO Bespoke'!$C$33),{5})),"")</f>
        <v/>
      </c>
      <c r="AB149" s="479"/>
      <c r="AC149" s="515"/>
      <c r="AD149" s="516"/>
      <c r="AE149" s="516"/>
      <c r="AF149" s="516"/>
      <c r="AG149" s="516"/>
      <c r="AH149" s="516"/>
      <c r="AI149" s="516"/>
      <c r="AJ149" s="516"/>
      <c r="AK149" s="516"/>
      <c r="AL149" s="517"/>
      <c r="AM149" s="534"/>
    </row>
    <row r="150" spans="2:39" ht="12" thickBot="1">
      <c r="B150" s="552" t="s">
        <v>550</v>
      </c>
      <c r="C150" s="553" t="s">
        <v>66</v>
      </c>
      <c r="D150" s="553" t="s">
        <v>59</v>
      </c>
      <c r="E150" s="553" t="s">
        <v>665</v>
      </c>
      <c r="F150" s="553" t="s">
        <v>663</v>
      </c>
      <c r="G150" s="554">
        <v>0.01</v>
      </c>
      <c r="H150" s="554">
        <v>3.3579999999999999E-3</v>
      </c>
      <c r="I150" s="555">
        <v>0.4</v>
      </c>
      <c r="J150" s="556">
        <v>42</v>
      </c>
      <c r="K150" s="274"/>
      <c r="L150" s="274"/>
      <c r="M150" s="487" t="str">
        <f ca="1">IF('CDO Bespoke'!O151&lt;&gt;"",'CDO Bespoke'!O151,"")</f>
        <v/>
      </c>
      <c r="N150" s="488" t="str">
        <f ca="1">IF(M150&lt;&gt;"",ABS(MIN(-0.75*('CDO Bespoke'!Q151)+'CDO Bespoke'!T151,0)),"")</f>
        <v/>
      </c>
      <c r="O150" s="488">
        <f t="shared" ca="1" si="8"/>
        <v>0</v>
      </c>
      <c r="P150" s="488">
        <f t="shared" ca="1" si="9"/>
        <v>0</v>
      </c>
      <c r="Q150" s="487" t="str">
        <f ca="1">IF('CDO Bespoke'!O151&lt;&gt;"",'CDO Bespoke'!O151,"")</f>
        <v/>
      </c>
      <c r="R150" s="488" t="str">
        <f ca="1">IF(Q150&lt;&gt;"",ABS(MIN(-0.75*('CDO Bespoke'!K151)+'CDO Bespoke'!T151,0)),"")</f>
        <v/>
      </c>
      <c r="S150" s="488">
        <f t="shared" ca="1" si="10"/>
        <v>0</v>
      </c>
      <c r="T150" s="492">
        <f t="shared" ca="1" si="11"/>
        <v>0</v>
      </c>
      <c r="U150" s="274"/>
      <c r="V150" s="497" t="str">
        <f ca="1">IF('CDO Bespoke'!C175&lt;&gt;"",'CDO Bespoke'!C175,"")</f>
        <v/>
      </c>
      <c r="W150" s="499" t="str" cm="1">
        <f t="array" aca="1" ref="W150" ca="1">IF($V150&lt;&gt;"",-TRANSPOSE(INDEX(getcds('CDO Bespoke'!$C175,W$13,'CDO Bespoke'!$G175/10000,'CDO Bespoke'!F175,'CDO Bespoke'!$L151,'CDO Bespoke'!$C$13,'CDO Bespoke'!$C$14,'CDO Bespoke'!$C$15,'CDO Bespoke'!$C$8,,,TRUE,TRUE,FALSE,'CDO Bespoke'!$C$29:'CDO Bespoke'!$C$31,'CDO Bespoke'!$C$33),{5})),"")</f>
        <v/>
      </c>
      <c r="X150" s="524" t="str" cm="1">
        <f t="array" aca="1" ref="X150" ca="1">IF($V150&lt;&gt;"",-TRANSPOSE(INDEX(getcds('CDO Bespoke'!$C175,X$13,'CDO Bespoke'!$G175/10000,'CDO Bespoke'!G175,'CDO Bespoke'!$L151,'CDO Bespoke'!$C$13,'CDO Bespoke'!$C$14,'CDO Bespoke'!$C$15,'CDO Bespoke'!$C$8,,,TRUE,TRUE,FALSE,'CDO Bespoke'!$C$29:'CDO Bespoke'!$C$31,'CDO Bespoke'!$C$33),{5})),"")</f>
        <v/>
      </c>
      <c r="Y150" s="524" t="str" cm="1">
        <f t="array" aca="1" ref="Y150" ca="1">IF($V150&lt;&gt;"",-TRANSPOSE(INDEX(getcds('CDO Bespoke'!$C175,Y$13,'CDO Bespoke'!$G175/10000,'CDO Bespoke'!H175,'CDO Bespoke'!$L151,'CDO Bespoke'!$C$13,'CDO Bespoke'!$C$14,'CDO Bespoke'!$C$15,'CDO Bespoke'!$C$8,,,TRUE,TRUE,FALSE,'CDO Bespoke'!$C$29:'CDO Bespoke'!$C$31,'CDO Bespoke'!$C$33),{5})),"")</f>
        <v/>
      </c>
      <c r="Z150" s="524" t="str" cm="1">
        <f t="array" aca="1" ref="Z150" ca="1">IF($V150&lt;&gt;"",-TRANSPOSE(INDEX(getcds('CDO Bespoke'!$C175,Z$13,'CDO Bespoke'!$G175/10000,'CDO Bespoke'!I175,'CDO Bespoke'!$L151,'CDO Bespoke'!$C$13,'CDO Bespoke'!$C$14,'CDO Bespoke'!$C$15,'CDO Bespoke'!$C$8,,,TRUE,TRUE,FALSE,'CDO Bespoke'!$C$29:'CDO Bespoke'!$C$31,'CDO Bespoke'!$C$33),{5})),"")</f>
        <v/>
      </c>
      <c r="AA150" s="500" t="str" cm="1">
        <f t="array" aca="1" ref="AA150" ca="1">IF($V150&lt;&gt;"",-TRANSPOSE(INDEX(getcds('CDO Bespoke'!$C175,AA$13,'CDO Bespoke'!$G175/10000,'CDO Bespoke'!J175,'CDO Bespoke'!$L151,'CDO Bespoke'!$C$13,'CDO Bespoke'!$C$14,'CDO Bespoke'!$C$15,'CDO Bespoke'!$C$8,,,TRUE,TRUE,FALSE,'CDO Bespoke'!$C$29:'CDO Bespoke'!$C$31,'CDO Bespoke'!$C$33),{5})),"")</f>
        <v/>
      </c>
      <c r="AB150" s="479"/>
      <c r="AC150" s="515"/>
      <c r="AD150" s="516"/>
      <c r="AE150" s="516"/>
      <c r="AF150" s="516"/>
      <c r="AG150" s="516"/>
      <c r="AH150" s="516"/>
      <c r="AI150" s="516"/>
      <c r="AJ150" s="516"/>
      <c r="AK150" s="516"/>
      <c r="AL150" s="517"/>
      <c r="AM150" s="534"/>
    </row>
    <row r="151" spans="2:39" ht="12" thickBot="1">
      <c r="B151" s="557" t="s">
        <v>565</v>
      </c>
      <c r="C151" s="558" t="s">
        <v>66</v>
      </c>
      <c r="D151" s="558" t="s">
        <v>55</v>
      </c>
      <c r="E151" s="558" t="s">
        <v>658</v>
      </c>
      <c r="F151" s="558" t="s">
        <v>663</v>
      </c>
      <c r="G151" s="559">
        <v>0.01</v>
      </c>
      <c r="H151" s="559">
        <v>2.1749999999999999E-3</v>
      </c>
      <c r="I151" s="560">
        <v>0.4</v>
      </c>
      <c r="J151" s="561">
        <v>43</v>
      </c>
      <c r="K151" s="274"/>
      <c r="L151" s="274"/>
      <c r="M151" s="487" t="str">
        <f ca="1">IF('CDO Bespoke'!O152&lt;&gt;"",'CDO Bespoke'!O152,"")</f>
        <v/>
      </c>
      <c r="N151" s="488" t="str">
        <f ca="1">IF(M151&lt;&gt;"",ABS(MIN(-0.75*('CDO Bespoke'!Q152)+'CDO Bespoke'!T152,0)),"")</f>
        <v/>
      </c>
      <c r="O151" s="488">
        <f t="shared" ca="1" si="8"/>
        <v>0</v>
      </c>
      <c r="P151" s="488">
        <f t="shared" ca="1" si="9"/>
        <v>0</v>
      </c>
      <c r="Q151" s="487" t="str">
        <f ca="1">IF('CDO Bespoke'!O152&lt;&gt;"",'CDO Bespoke'!O152,"")</f>
        <v/>
      </c>
      <c r="R151" s="488" t="str">
        <f ca="1">IF(Q151&lt;&gt;"",ABS(MIN(-0.75*('CDO Bespoke'!K152)+'CDO Bespoke'!T152,0)),"")</f>
        <v/>
      </c>
      <c r="S151" s="488">
        <f t="shared" ca="1" si="10"/>
        <v>0</v>
      </c>
      <c r="T151" s="492">
        <f t="shared" ca="1" si="11"/>
        <v>0</v>
      </c>
      <c r="U151" s="274"/>
      <c r="V151" s="497" t="str">
        <f ca="1">IF('CDO Bespoke'!C176&lt;&gt;"",'CDO Bespoke'!C176,"")</f>
        <v/>
      </c>
      <c r="W151" s="499" t="str" cm="1">
        <f t="array" aca="1" ref="W151" ca="1">IF($V151&lt;&gt;"",-TRANSPOSE(INDEX(getcds('CDO Bespoke'!$C176,W$13,'CDO Bespoke'!$G176/10000,'CDO Bespoke'!F176,'CDO Bespoke'!$L152,'CDO Bespoke'!$C$13,'CDO Bespoke'!$C$14,'CDO Bespoke'!$C$15,'CDO Bespoke'!$C$8,,,TRUE,TRUE,FALSE,'CDO Bespoke'!$C$29:'CDO Bespoke'!$C$31,'CDO Bespoke'!$C$33),{5})),"")</f>
        <v/>
      </c>
      <c r="X151" s="524" t="str" cm="1">
        <f t="array" aca="1" ref="X151" ca="1">IF($V151&lt;&gt;"",-TRANSPOSE(INDEX(getcds('CDO Bespoke'!$C176,X$13,'CDO Bespoke'!$G176/10000,'CDO Bespoke'!G176,'CDO Bespoke'!$L152,'CDO Bespoke'!$C$13,'CDO Bespoke'!$C$14,'CDO Bespoke'!$C$15,'CDO Bespoke'!$C$8,,,TRUE,TRUE,FALSE,'CDO Bespoke'!$C$29:'CDO Bespoke'!$C$31,'CDO Bespoke'!$C$33),{5})),"")</f>
        <v/>
      </c>
      <c r="Y151" s="524" t="str" cm="1">
        <f t="array" aca="1" ref="Y151" ca="1">IF($V151&lt;&gt;"",-TRANSPOSE(INDEX(getcds('CDO Bespoke'!$C176,Y$13,'CDO Bespoke'!$G176/10000,'CDO Bespoke'!H176,'CDO Bespoke'!$L152,'CDO Bespoke'!$C$13,'CDO Bespoke'!$C$14,'CDO Bespoke'!$C$15,'CDO Bespoke'!$C$8,,,TRUE,TRUE,FALSE,'CDO Bespoke'!$C$29:'CDO Bespoke'!$C$31,'CDO Bespoke'!$C$33),{5})),"")</f>
        <v/>
      </c>
      <c r="Z151" s="524" t="str" cm="1">
        <f t="array" aca="1" ref="Z151" ca="1">IF($V151&lt;&gt;"",-TRANSPOSE(INDEX(getcds('CDO Bespoke'!$C176,Z$13,'CDO Bespoke'!$G176/10000,'CDO Bespoke'!I176,'CDO Bespoke'!$L152,'CDO Bespoke'!$C$13,'CDO Bespoke'!$C$14,'CDO Bespoke'!$C$15,'CDO Bespoke'!$C$8,,,TRUE,TRUE,FALSE,'CDO Bespoke'!$C$29:'CDO Bespoke'!$C$31,'CDO Bespoke'!$C$33),{5})),"")</f>
        <v/>
      </c>
      <c r="AA151" s="500" t="str" cm="1">
        <f t="array" aca="1" ref="AA151" ca="1">IF($V151&lt;&gt;"",-TRANSPOSE(INDEX(getcds('CDO Bespoke'!$C176,AA$13,'CDO Bespoke'!$G176/10000,'CDO Bespoke'!J176,'CDO Bespoke'!$L152,'CDO Bespoke'!$C$13,'CDO Bespoke'!$C$14,'CDO Bespoke'!$C$15,'CDO Bespoke'!$C$8,,,TRUE,TRUE,FALSE,'CDO Bespoke'!$C$29:'CDO Bespoke'!$C$31,'CDO Bespoke'!$C$33),{5})),"")</f>
        <v/>
      </c>
      <c r="AB151" s="479"/>
      <c r="AC151" s="515"/>
      <c r="AD151" s="516"/>
      <c r="AE151" s="516"/>
      <c r="AF151" s="516"/>
      <c r="AG151" s="516"/>
      <c r="AH151" s="516"/>
      <c r="AI151" s="516"/>
      <c r="AJ151" s="516"/>
      <c r="AK151" s="516"/>
      <c r="AL151" s="517"/>
      <c r="AM151" s="534"/>
    </row>
    <row r="152" spans="2:39" ht="12" thickBot="1">
      <c r="B152" s="535" t="s">
        <v>565</v>
      </c>
      <c r="C152" s="536" t="s">
        <v>66</v>
      </c>
      <c r="D152" s="536" t="s">
        <v>57</v>
      </c>
      <c r="E152" s="536" t="s">
        <v>658</v>
      </c>
      <c r="F152" s="536" t="s">
        <v>663</v>
      </c>
      <c r="G152" s="543">
        <v>0.01</v>
      </c>
      <c r="H152" s="543">
        <v>3.539E-3</v>
      </c>
      <c r="I152" s="545">
        <v>0.4</v>
      </c>
      <c r="J152" s="537">
        <v>43</v>
      </c>
      <c r="K152" s="274"/>
      <c r="L152" s="274"/>
      <c r="M152" s="487" t="str">
        <f ca="1">IF('CDO Bespoke'!O153&lt;&gt;"",'CDO Bespoke'!O153,"")</f>
        <v/>
      </c>
      <c r="N152" s="488" t="str">
        <f ca="1">IF(M152&lt;&gt;"",ABS(MIN(-0.75*('CDO Bespoke'!Q153)+'CDO Bespoke'!T153,0)),"")</f>
        <v/>
      </c>
      <c r="O152" s="488">
        <f t="shared" ca="1" si="8"/>
        <v>0</v>
      </c>
      <c r="P152" s="488">
        <f t="shared" ca="1" si="9"/>
        <v>0</v>
      </c>
      <c r="Q152" s="487" t="str">
        <f ca="1">IF('CDO Bespoke'!O153&lt;&gt;"",'CDO Bespoke'!O153,"")</f>
        <v/>
      </c>
      <c r="R152" s="488" t="str">
        <f ca="1">IF(Q152&lt;&gt;"",ABS(MIN(-0.75*('CDO Bespoke'!K153)+'CDO Bespoke'!T153,0)),"")</f>
        <v/>
      </c>
      <c r="S152" s="488">
        <f t="shared" ca="1" si="10"/>
        <v>0</v>
      </c>
      <c r="T152" s="492">
        <f t="shared" ca="1" si="11"/>
        <v>0</v>
      </c>
      <c r="U152" s="274"/>
      <c r="V152" s="497" t="str">
        <f ca="1">IF('CDO Bespoke'!C177&lt;&gt;"",'CDO Bespoke'!C177,"")</f>
        <v/>
      </c>
      <c r="W152" s="499" t="str" cm="1">
        <f t="array" aca="1" ref="W152" ca="1">IF($V152&lt;&gt;"",-TRANSPOSE(INDEX(getcds('CDO Bespoke'!$C177,W$13,'CDO Bespoke'!$G177/10000,'CDO Bespoke'!F177,'CDO Bespoke'!$L153,'CDO Bespoke'!$C$13,'CDO Bespoke'!$C$14,'CDO Bespoke'!$C$15,'CDO Bespoke'!$C$8,,,TRUE,TRUE,FALSE,'CDO Bespoke'!$C$29:'CDO Bespoke'!$C$31,'CDO Bespoke'!$C$33),{5})),"")</f>
        <v/>
      </c>
      <c r="X152" s="524" t="str" cm="1">
        <f t="array" aca="1" ref="X152" ca="1">IF($V152&lt;&gt;"",-TRANSPOSE(INDEX(getcds('CDO Bespoke'!$C177,X$13,'CDO Bespoke'!$G177/10000,'CDO Bespoke'!G177,'CDO Bespoke'!$L153,'CDO Bespoke'!$C$13,'CDO Bespoke'!$C$14,'CDO Bespoke'!$C$15,'CDO Bespoke'!$C$8,,,TRUE,TRUE,FALSE,'CDO Bespoke'!$C$29:'CDO Bespoke'!$C$31,'CDO Bespoke'!$C$33),{5})),"")</f>
        <v/>
      </c>
      <c r="Y152" s="524" t="str" cm="1">
        <f t="array" aca="1" ref="Y152" ca="1">IF($V152&lt;&gt;"",-TRANSPOSE(INDEX(getcds('CDO Bespoke'!$C177,Y$13,'CDO Bespoke'!$G177/10000,'CDO Bespoke'!H177,'CDO Bespoke'!$L153,'CDO Bespoke'!$C$13,'CDO Bespoke'!$C$14,'CDO Bespoke'!$C$15,'CDO Bespoke'!$C$8,,,TRUE,TRUE,FALSE,'CDO Bespoke'!$C$29:'CDO Bespoke'!$C$31,'CDO Bespoke'!$C$33),{5})),"")</f>
        <v/>
      </c>
      <c r="Z152" s="524" t="str" cm="1">
        <f t="array" aca="1" ref="Z152" ca="1">IF($V152&lt;&gt;"",-TRANSPOSE(INDEX(getcds('CDO Bespoke'!$C177,Z$13,'CDO Bespoke'!$G177/10000,'CDO Bespoke'!I177,'CDO Bespoke'!$L153,'CDO Bespoke'!$C$13,'CDO Bespoke'!$C$14,'CDO Bespoke'!$C$15,'CDO Bespoke'!$C$8,,,TRUE,TRUE,FALSE,'CDO Bespoke'!$C$29:'CDO Bespoke'!$C$31,'CDO Bespoke'!$C$33),{5})),"")</f>
        <v/>
      </c>
      <c r="AA152" s="500" t="str" cm="1">
        <f t="array" aca="1" ref="AA152" ca="1">IF($V152&lt;&gt;"",-TRANSPOSE(INDEX(getcds('CDO Bespoke'!$C177,AA$13,'CDO Bespoke'!$G177/10000,'CDO Bespoke'!J177,'CDO Bespoke'!$L153,'CDO Bespoke'!$C$13,'CDO Bespoke'!$C$14,'CDO Bespoke'!$C$15,'CDO Bespoke'!$C$8,,,TRUE,TRUE,FALSE,'CDO Bespoke'!$C$29:'CDO Bespoke'!$C$31,'CDO Bespoke'!$C$33),{5})),"")</f>
        <v/>
      </c>
      <c r="AB152" s="479"/>
      <c r="AC152" s="515"/>
      <c r="AD152" s="516"/>
      <c r="AE152" s="516"/>
      <c r="AF152" s="516"/>
      <c r="AG152" s="516"/>
      <c r="AH152" s="516"/>
      <c r="AI152" s="516"/>
      <c r="AJ152" s="516"/>
      <c r="AK152" s="516"/>
      <c r="AL152" s="517"/>
      <c r="AM152" s="534"/>
    </row>
    <row r="153" spans="2:39" ht="12" thickBot="1">
      <c r="B153" s="552" t="s">
        <v>565</v>
      </c>
      <c r="C153" s="553" t="s">
        <v>66</v>
      </c>
      <c r="D153" s="553" t="s">
        <v>59</v>
      </c>
      <c r="E153" s="553" t="s">
        <v>658</v>
      </c>
      <c r="F153" s="553" t="s">
        <v>663</v>
      </c>
      <c r="G153" s="554">
        <v>0.01</v>
      </c>
      <c r="H153" s="554">
        <v>4.816E-3</v>
      </c>
      <c r="I153" s="555">
        <v>0.4</v>
      </c>
      <c r="J153" s="556">
        <v>43</v>
      </c>
      <c r="K153" s="274"/>
      <c r="L153" s="274"/>
      <c r="M153" s="487" t="str">
        <f ca="1">IF('CDO Bespoke'!O154&lt;&gt;"",'CDO Bespoke'!O154,"")</f>
        <v/>
      </c>
      <c r="N153" s="488" t="str">
        <f ca="1">IF(M153&lt;&gt;"",ABS(MIN(-0.75*('CDO Bespoke'!Q154)+'CDO Bespoke'!T154,0)),"")</f>
        <v/>
      </c>
      <c r="O153" s="488">
        <f t="shared" ca="1" si="8"/>
        <v>0</v>
      </c>
      <c r="P153" s="488">
        <f t="shared" ca="1" si="9"/>
        <v>0</v>
      </c>
      <c r="Q153" s="487" t="str">
        <f ca="1">IF('CDO Bespoke'!O154&lt;&gt;"",'CDO Bespoke'!O154,"")</f>
        <v/>
      </c>
      <c r="R153" s="488" t="str">
        <f ca="1">IF(Q153&lt;&gt;"",ABS(MIN(-0.75*('CDO Bespoke'!K154)+'CDO Bespoke'!T154,0)),"")</f>
        <v/>
      </c>
      <c r="S153" s="488">
        <f t="shared" ca="1" si="10"/>
        <v>0</v>
      </c>
      <c r="T153" s="492">
        <f t="shared" ca="1" si="11"/>
        <v>0</v>
      </c>
      <c r="U153" s="274"/>
      <c r="V153" s="497" t="str">
        <f ca="1">IF('CDO Bespoke'!C178&lt;&gt;"",'CDO Bespoke'!C178,"")</f>
        <v/>
      </c>
      <c r="W153" s="499" t="str" cm="1">
        <f t="array" aca="1" ref="W153" ca="1">IF($V153&lt;&gt;"",-TRANSPOSE(INDEX(getcds('CDO Bespoke'!$C178,W$13,'CDO Bespoke'!$G178/10000,'CDO Bespoke'!F178,'CDO Bespoke'!$L154,'CDO Bespoke'!$C$13,'CDO Bespoke'!$C$14,'CDO Bespoke'!$C$15,'CDO Bespoke'!$C$8,,,TRUE,TRUE,FALSE,'CDO Bespoke'!$C$29:'CDO Bespoke'!$C$31,'CDO Bespoke'!$C$33),{5})),"")</f>
        <v/>
      </c>
      <c r="X153" s="524" t="str" cm="1">
        <f t="array" aca="1" ref="X153" ca="1">IF($V153&lt;&gt;"",-TRANSPOSE(INDEX(getcds('CDO Bespoke'!$C178,X$13,'CDO Bespoke'!$G178/10000,'CDO Bespoke'!G178,'CDO Bespoke'!$L154,'CDO Bespoke'!$C$13,'CDO Bespoke'!$C$14,'CDO Bespoke'!$C$15,'CDO Bespoke'!$C$8,,,TRUE,TRUE,FALSE,'CDO Bespoke'!$C$29:'CDO Bespoke'!$C$31,'CDO Bespoke'!$C$33),{5})),"")</f>
        <v/>
      </c>
      <c r="Y153" s="524" t="str" cm="1">
        <f t="array" aca="1" ref="Y153" ca="1">IF($V153&lt;&gt;"",-TRANSPOSE(INDEX(getcds('CDO Bespoke'!$C178,Y$13,'CDO Bespoke'!$G178/10000,'CDO Bespoke'!H178,'CDO Bespoke'!$L154,'CDO Bespoke'!$C$13,'CDO Bespoke'!$C$14,'CDO Bespoke'!$C$15,'CDO Bespoke'!$C$8,,,TRUE,TRUE,FALSE,'CDO Bespoke'!$C$29:'CDO Bespoke'!$C$31,'CDO Bespoke'!$C$33),{5})),"")</f>
        <v/>
      </c>
      <c r="Z153" s="524" t="str" cm="1">
        <f t="array" aca="1" ref="Z153" ca="1">IF($V153&lt;&gt;"",-TRANSPOSE(INDEX(getcds('CDO Bespoke'!$C178,Z$13,'CDO Bespoke'!$G178/10000,'CDO Bespoke'!I178,'CDO Bespoke'!$L154,'CDO Bespoke'!$C$13,'CDO Bespoke'!$C$14,'CDO Bespoke'!$C$15,'CDO Bespoke'!$C$8,,,TRUE,TRUE,FALSE,'CDO Bespoke'!$C$29:'CDO Bespoke'!$C$31,'CDO Bespoke'!$C$33),{5})),"")</f>
        <v/>
      </c>
      <c r="AA153" s="500" t="str" cm="1">
        <f t="array" aca="1" ref="AA153" ca="1">IF($V153&lt;&gt;"",-TRANSPOSE(INDEX(getcds('CDO Bespoke'!$C178,AA$13,'CDO Bespoke'!$G178/10000,'CDO Bespoke'!J178,'CDO Bespoke'!$L154,'CDO Bespoke'!$C$13,'CDO Bespoke'!$C$14,'CDO Bespoke'!$C$15,'CDO Bespoke'!$C$8,,,TRUE,TRUE,FALSE,'CDO Bespoke'!$C$29:'CDO Bespoke'!$C$31,'CDO Bespoke'!$C$33),{5})),"")</f>
        <v/>
      </c>
      <c r="AB153" s="479"/>
      <c r="AC153" s="515"/>
      <c r="AD153" s="516"/>
      <c r="AE153" s="516"/>
      <c r="AF153" s="516"/>
      <c r="AG153" s="516"/>
      <c r="AH153" s="516"/>
      <c r="AI153" s="516"/>
      <c r="AJ153" s="516"/>
      <c r="AK153" s="516"/>
      <c r="AL153" s="517"/>
      <c r="AM153" s="534"/>
    </row>
    <row r="154" spans="2:39" ht="12" thickBot="1">
      <c r="B154" s="557" t="s">
        <v>551</v>
      </c>
      <c r="C154" s="558" t="s">
        <v>66</v>
      </c>
      <c r="D154" s="558" t="s">
        <v>55</v>
      </c>
      <c r="E154" s="558" t="s">
        <v>665</v>
      </c>
      <c r="F154" s="558" t="s">
        <v>663</v>
      </c>
      <c r="G154" s="559">
        <v>0.01</v>
      </c>
      <c r="H154" s="559">
        <v>1.6999999999999999E-3</v>
      </c>
      <c r="I154" s="560">
        <v>0.4</v>
      </c>
      <c r="J154" s="561">
        <v>44</v>
      </c>
      <c r="K154" s="274"/>
      <c r="L154" s="274"/>
      <c r="M154" s="487" t="str">
        <f ca="1">IF('CDO Bespoke'!O155&lt;&gt;"",'CDO Bespoke'!O155,"")</f>
        <v/>
      </c>
      <c r="N154" s="488" t="str">
        <f ca="1">IF(M154&lt;&gt;"",ABS(MIN(-0.75*('CDO Bespoke'!Q155)+'CDO Bespoke'!T155,0)),"")</f>
        <v/>
      </c>
      <c r="O154" s="488">
        <f t="shared" ca="1" si="8"/>
        <v>0</v>
      </c>
      <c r="P154" s="488">
        <f t="shared" ca="1" si="9"/>
        <v>0</v>
      </c>
      <c r="Q154" s="487" t="str">
        <f ca="1">IF('CDO Bespoke'!O155&lt;&gt;"",'CDO Bespoke'!O155,"")</f>
        <v/>
      </c>
      <c r="R154" s="488" t="str">
        <f ca="1">IF(Q154&lt;&gt;"",ABS(MIN(-0.75*('CDO Bespoke'!K155)+'CDO Bespoke'!T155,0)),"")</f>
        <v/>
      </c>
      <c r="S154" s="488">
        <f t="shared" ca="1" si="10"/>
        <v>0</v>
      </c>
      <c r="T154" s="492">
        <f t="shared" ca="1" si="11"/>
        <v>0</v>
      </c>
      <c r="U154" s="274"/>
      <c r="V154" s="497" t="str">
        <f ca="1">IF('CDO Bespoke'!C179&lt;&gt;"",'CDO Bespoke'!C179,"")</f>
        <v/>
      </c>
      <c r="W154" s="499" t="str" cm="1">
        <f t="array" aca="1" ref="W154" ca="1">IF($V154&lt;&gt;"",-TRANSPOSE(INDEX(getcds('CDO Bespoke'!$C179,W$13,'CDO Bespoke'!$G179/10000,'CDO Bespoke'!F179,'CDO Bespoke'!$L155,'CDO Bespoke'!$C$13,'CDO Bespoke'!$C$14,'CDO Bespoke'!$C$15,'CDO Bespoke'!$C$8,,,TRUE,TRUE,FALSE,'CDO Bespoke'!$C$29:'CDO Bespoke'!$C$31,'CDO Bespoke'!$C$33),{5})),"")</f>
        <v/>
      </c>
      <c r="X154" s="524" t="str" cm="1">
        <f t="array" aca="1" ref="X154" ca="1">IF($V154&lt;&gt;"",-TRANSPOSE(INDEX(getcds('CDO Bespoke'!$C179,X$13,'CDO Bespoke'!$G179/10000,'CDO Bespoke'!G179,'CDO Bespoke'!$L155,'CDO Bespoke'!$C$13,'CDO Bespoke'!$C$14,'CDO Bespoke'!$C$15,'CDO Bespoke'!$C$8,,,TRUE,TRUE,FALSE,'CDO Bespoke'!$C$29:'CDO Bespoke'!$C$31,'CDO Bespoke'!$C$33),{5})),"")</f>
        <v/>
      </c>
      <c r="Y154" s="524" t="str" cm="1">
        <f t="array" aca="1" ref="Y154" ca="1">IF($V154&lt;&gt;"",-TRANSPOSE(INDEX(getcds('CDO Bespoke'!$C179,Y$13,'CDO Bespoke'!$G179/10000,'CDO Bespoke'!H179,'CDO Bespoke'!$L155,'CDO Bespoke'!$C$13,'CDO Bespoke'!$C$14,'CDO Bespoke'!$C$15,'CDO Bespoke'!$C$8,,,TRUE,TRUE,FALSE,'CDO Bespoke'!$C$29:'CDO Bespoke'!$C$31,'CDO Bespoke'!$C$33),{5})),"")</f>
        <v/>
      </c>
      <c r="Z154" s="524" t="str" cm="1">
        <f t="array" aca="1" ref="Z154" ca="1">IF($V154&lt;&gt;"",-TRANSPOSE(INDEX(getcds('CDO Bespoke'!$C179,Z$13,'CDO Bespoke'!$G179/10000,'CDO Bespoke'!I179,'CDO Bespoke'!$L155,'CDO Bespoke'!$C$13,'CDO Bespoke'!$C$14,'CDO Bespoke'!$C$15,'CDO Bespoke'!$C$8,,,TRUE,TRUE,FALSE,'CDO Bespoke'!$C$29:'CDO Bespoke'!$C$31,'CDO Bespoke'!$C$33),{5})),"")</f>
        <v/>
      </c>
      <c r="AA154" s="500" t="str" cm="1">
        <f t="array" aca="1" ref="AA154" ca="1">IF($V154&lt;&gt;"",-TRANSPOSE(INDEX(getcds('CDO Bespoke'!$C179,AA$13,'CDO Bespoke'!$G179/10000,'CDO Bespoke'!J179,'CDO Bespoke'!$L155,'CDO Bespoke'!$C$13,'CDO Bespoke'!$C$14,'CDO Bespoke'!$C$15,'CDO Bespoke'!$C$8,,,TRUE,TRUE,FALSE,'CDO Bespoke'!$C$29:'CDO Bespoke'!$C$31,'CDO Bespoke'!$C$33),{5})),"")</f>
        <v/>
      </c>
      <c r="AB154" s="479"/>
      <c r="AC154" s="515"/>
      <c r="AD154" s="516"/>
      <c r="AE154" s="516"/>
      <c r="AF154" s="516"/>
      <c r="AG154" s="516"/>
      <c r="AH154" s="516"/>
      <c r="AI154" s="516"/>
      <c r="AJ154" s="516"/>
      <c r="AK154" s="516"/>
      <c r="AL154" s="517"/>
      <c r="AM154" s="534"/>
    </row>
    <row r="155" spans="2:39" ht="12" thickBot="1">
      <c r="B155" s="535" t="s">
        <v>551</v>
      </c>
      <c r="C155" s="536" t="s">
        <v>66</v>
      </c>
      <c r="D155" s="536" t="s">
        <v>57</v>
      </c>
      <c r="E155" s="536" t="s">
        <v>665</v>
      </c>
      <c r="F155" s="536" t="s">
        <v>663</v>
      </c>
      <c r="G155" s="543">
        <v>0.01</v>
      </c>
      <c r="H155" s="543">
        <v>2.6360000000000001E-2</v>
      </c>
      <c r="I155" s="545">
        <v>0.4</v>
      </c>
      <c r="J155" s="537">
        <v>44</v>
      </c>
      <c r="K155" s="274"/>
      <c r="L155" s="274"/>
      <c r="M155" s="487" t="str">
        <f ca="1">IF('CDO Bespoke'!O156&lt;&gt;"",'CDO Bespoke'!O156,"")</f>
        <v/>
      </c>
      <c r="N155" s="488" t="str">
        <f ca="1">IF(M155&lt;&gt;"",ABS(MIN(-0.75*('CDO Bespoke'!Q156)+'CDO Bespoke'!T156,0)),"")</f>
        <v/>
      </c>
      <c r="O155" s="488">
        <f t="shared" ca="1" si="8"/>
        <v>0</v>
      </c>
      <c r="P155" s="488">
        <f t="shared" ca="1" si="9"/>
        <v>0</v>
      </c>
      <c r="Q155" s="487" t="str">
        <f ca="1">IF('CDO Bespoke'!O156&lt;&gt;"",'CDO Bespoke'!O156,"")</f>
        <v/>
      </c>
      <c r="R155" s="488" t="str">
        <f ca="1">IF(Q155&lt;&gt;"",ABS(MIN(-0.75*('CDO Bespoke'!K156)+'CDO Bespoke'!T156,0)),"")</f>
        <v/>
      </c>
      <c r="S155" s="488">
        <f t="shared" ca="1" si="10"/>
        <v>0</v>
      </c>
      <c r="T155" s="492">
        <f t="shared" ca="1" si="11"/>
        <v>0</v>
      </c>
      <c r="U155" s="274"/>
      <c r="V155" s="497" t="str">
        <f ca="1">IF('CDO Bespoke'!C180&lt;&gt;"",'CDO Bespoke'!C180,"")</f>
        <v/>
      </c>
      <c r="W155" s="499" t="str" cm="1">
        <f t="array" aca="1" ref="W155" ca="1">IF($V155&lt;&gt;"",-TRANSPOSE(INDEX(getcds('CDO Bespoke'!$C180,W$13,'CDO Bespoke'!$G180/10000,'CDO Bespoke'!F180,'CDO Bespoke'!$L156,'CDO Bespoke'!$C$13,'CDO Bespoke'!$C$14,'CDO Bespoke'!$C$15,'CDO Bespoke'!$C$8,,,TRUE,TRUE,FALSE,'CDO Bespoke'!$C$29:'CDO Bespoke'!$C$31,'CDO Bespoke'!$C$33),{5})),"")</f>
        <v/>
      </c>
      <c r="X155" s="524" t="str" cm="1">
        <f t="array" aca="1" ref="X155" ca="1">IF($V155&lt;&gt;"",-TRANSPOSE(INDEX(getcds('CDO Bespoke'!$C180,X$13,'CDO Bespoke'!$G180/10000,'CDO Bespoke'!G180,'CDO Bespoke'!$L156,'CDO Bespoke'!$C$13,'CDO Bespoke'!$C$14,'CDO Bespoke'!$C$15,'CDO Bespoke'!$C$8,,,TRUE,TRUE,FALSE,'CDO Bespoke'!$C$29:'CDO Bespoke'!$C$31,'CDO Bespoke'!$C$33),{5})),"")</f>
        <v/>
      </c>
      <c r="Y155" s="524" t="str" cm="1">
        <f t="array" aca="1" ref="Y155" ca="1">IF($V155&lt;&gt;"",-TRANSPOSE(INDEX(getcds('CDO Bespoke'!$C180,Y$13,'CDO Bespoke'!$G180/10000,'CDO Bespoke'!H180,'CDO Bespoke'!$L156,'CDO Bespoke'!$C$13,'CDO Bespoke'!$C$14,'CDO Bespoke'!$C$15,'CDO Bespoke'!$C$8,,,TRUE,TRUE,FALSE,'CDO Bespoke'!$C$29:'CDO Bespoke'!$C$31,'CDO Bespoke'!$C$33),{5})),"")</f>
        <v/>
      </c>
      <c r="Z155" s="524" t="str" cm="1">
        <f t="array" aca="1" ref="Z155" ca="1">IF($V155&lt;&gt;"",-TRANSPOSE(INDEX(getcds('CDO Bespoke'!$C180,Z$13,'CDO Bespoke'!$G180/10000,'CDO Bespoke'!I180,'CDO Bespoke'!$L156,'CDO Bespoke'!$C$13,'CDO Bespoke'!$C$14,'CDO Bespoke'!$C$15,'CDO Bespoke'!$C$8,,,TRUE,TRUE,FALSE,'CDO Bespoke'!$C$29:'CDO Bespoke'!$C$31,'CDO Bespoke'!$C$33),{5})),"")</f>
        <v/>
      </c>
      <c r="AA155" s="500" t="str" cm="1">
        <f t="array" aca="1" ref="AA155" ca="1">IF($V155&lt;&gt;"",-TRANSPOSE(INDEX(getcds('CDO Bespoke'!$C180,AA$13,'CDO Bespoke'!$G180/10000,'CDO Bespoke'!J180,'CDO Bespoke'!$L156,'CDO Bespoke'!$C$13,'CDO Bespoke'!$C$14,'CDO Bespoke'!$C$15,'CDO Bespoke'!$C$8,,,TRUE,TRUE,FALSE,'CDO Bespoke'!$C$29:'CDO Bespoke'!$C$31,'CDO Bespoke'!$C$33),{5})),"")</f>
        <v/>
      </c>
      <c r="AB155" s="479"/>
      <c r="AC155" s="515"/>
      <c r="AD155" s="516"/>
      <c r="AE155" s="516"/>
      <c r="AF155" s="516"/>
      <c r="AG155" s="516"/>
      <c r="AH155" s="516"/>
      <c r="AI155" s="516"/>
      <c r="AJ155" s="516"/>
      <c r="AK155" s="516"/>
      <c r="AL155" s="517"/>
      <c r="AM155" s="534"/>
    </row>
    <row r="156" spans="2:39" ht="12" thickBot="1">
      <c r="B156" s="552" t="s">
        <v>551</v>
      </c>
      <c r="C156" s="553" t="s">
        <v>66</v>
      </c>
      <c r="D156" s="553" t="s">
        <v>59</v>
      </c>
      <c r="E156" s="553" t="s">
        <v>665</v>
      </c>
      <c r="F156" s="553" t="s">
        <v>663</v>
      </c>
      <c r="G156" s="554">
        <v>0.01</v>
      </c>
      <c r="H156" s="554">
        <v>3.9090000000000001E-3</v>
      </c>
      <c r="I156" s="555">
        <v>0.4</v>
      </c>
      <c r="J156" s="556">
        <v>44</v>
      </c>
      <c r="K156" s="274"/>
      <c r="L156" s="274"/>
      <c r="M156" s="487" t="str">
        <f ca="1">IF('CDO Bespoke'!O157&lt;&gt;"",'CDO Bespoke'!O157,"")</f>
        <v/>
      </c>
      <c r="N156" s="488" t="str">
        <f ca="1">IF(M156&lt;&gt;"",ABS(MIN(-0.75*('CDO Bespoke'!Q157)+'CDO Bespoke'!T157,0)),"")</f>
        <v/>
      </c>
      <c r="O156" s="488">
        <f t="shared" ca="1" si="8"/>
        <v>0</v>
      </c>
      <c r="P156" s="488">
        <f t="shared" ca="1" si="9"/>
        <v>0</v>
      </c>
      <c r="Q156" s="487" t="str">
        <f ca="1">IF('CDO Bespoke'!O157&lt;&gt;"",'CDO Bespoke'!O157,"")</f>
        <v/>
      </c>
      <c r="R156" s="488" t="str">
        <f ca="1">IF(Q156&lt;&gt;"",ABS(MIN(-0.75*('CDO Bespoke'!K157)+'CDO Bespoke'!T157,0)),"")</f>
        <v/>
      </c>
      <c r="S156" s="488">
        <f t="shared" ca="1" si="10"/>
        <v>0</v>
      </c>
      <c r="T156" s="492">
        <f t="shared" ca="1" si="11"/>
        <v>0</v>
      </c>
      <c r="U156" s="274"/>
      <c r="V156" s="497" t="str">
        <f ca="1">IF('CDO Bespoke'!C181&lt;&gt;"",'CDO Bespoke'!C181,"")</f>
        <v/>
      </c>
      <c r="W156" s="499" t="str" cm="1">
        <f t="array" aca="1" ref="W156" ca="1">IF($V156&lt;&gt;"",-TRANSPOSE(INDEX(getcds('CDO Bespoke'!$C181,W$13,'CDO Bespoke'!$G181/10000,'CDO Bespoke'!F181,'CDO Bespoke'!$L157,'CDO Bespoke'!$C$13,'CDO Bespoke'!$C$14,'CDO Bespoke'!$C$15,'CDO Bespoke'!$C$8,,,TRUE,TRUE,FALSE,'CDO Bespoke'!$C$29:'CDO Bespoke'!$C$31,'CDO Bespoke'!$C$33),{5})),"")</f>
        <v/>
      </c>
      <c r="X156" s="524" t="str" cm="1">
        <f t="array" aca="1" ref="X156" ca="1">IF($V156&lt;&gt;"",-TRANSPOSE(INDEX(getcds('CDO Bespoke'!$C181,X$13,'CDO Bespoke'!$G181/10000,'CDO Bespoke'!G181,'CDO Bespoke'!$L157,'CDO Bespoke'!$C$13,'CDO Bespoke'!$C$14,'CDO Bespoke'!$C$15,'CDO Bespoke'!$C$8,,,TRUE,TRUE,FALSE,'CDO Bespoke'!$C$29:'CDO Bespoke'!$C$31,'CDO Bespoke'!$C$33),{5})),"")</f>
        <v/>
      </c>
      <c r="Y156" s="524" t="str" cm="1">
        <f t="array" aca="1" ref="Y156" ca="1">IF($V156&lt;&gt;"",-TRANSPOSE(INDEX(getcds('CDO Bespoke'!$C181,Y$13,'CDO Bespoke'!$G181/10000,'CDO Bespoke'!H181,'CDO Bespoke'!$L157,'CDO Bespoke'!$C$13,'CDO Bespoke'!$C$14,'CDO Bespoke'!$C$15,'CDO Bespoke'!$C$8,,,TRUE,TRUE,FALSE,'CDO Bespoke'!$C$29:'CDO Bespoke'!$C$31,'CDO Bespoke'!$C$33),{5})),"")</f>
        <v/>
      </c>
      <c r="Z156" s="524" t="str" cm="1">
        <f t="array" aca="1" ref="Z156" ca="1">IF($V156&lt;&gt;"",-TRANSPOSE(INDEX(getcds('CDO Bespoke'!$C181,Z$13,'CDO Bespoke'!$G181/10000,'CDO Bespoke'!I181,'CDO Bespoke'!$L157,'CDO Bespoke'!$C$13,'CDO Bespoke'!$C$14,'CDO Bespoke'!$C$15,'CDO Bespoke'!$C$8,,,TRUE,TRUE,FALSE,'CDO Bespoke'!$C$29:'CDO Bespoke'!$C$31,'CDO Bespoke'!$C$33),{5})),"")</f>
        <v/>
      </c>
      <c r="AA156" s="500" t="str" cm="1">
        <f t="array" aca="1" ref="AA156" ca="1">IF($V156&lt;&gt;"",-TRANSPOSE(INDEX(getcds('CDO Bespoke'!$C181,AA$13,'CDO Bespoke'!$G181/10000,'CDO Bespoke'!J181,'CDO Bespoke'!$L157,'CDO Bespoke'!$C$13,'CDO Bespoke'!$C$14,'CDO Bespoke'!$C$15,'CDO Bespoke'!$C$8,,,TRUE,TRUE,FALSE,'CDO Bespoke'!$C$29:'CDO Bespoke'!$C$31,'CDO Bespoke'!$C$33),{5})),"")</f>
        <v/>
      </c>
      <c r="AB156" s="479"/>
      <c r="AC156" s="515"/>
      <c r="AD156" s="516"/>
      <c r="AE156" s="516"/>
      <c r="AF156" s="516"/>
      <c r="AG156" s="516"/>
      <c r="AH156" s="516"/>
      <c r="AI156" s="516"/>
      <c r="AJ156" s="516"/>
      <c r="AK156" s="516"/>
      <c r="AL156" s="517"/>
      <c r="AM156" s="534"/>
    </row>
    <row r="157" spans="2:39" ht="12" thickBot="1">
      <c r="B157" s="557" t="s">
        <v>626</v>
      </c>
      <c r="C157" s="558" t="s">
        <v>66</v>
      </c>
      <c r="D157" s="558" t="s">
        <v>55</v>
      </c>
      <c r="E157" s="558" t="s">
        <v>660</v>
      </c>
      <c r="F157" s="558" t="s">
        <v>663</v>
      </c>
      <c r="G157" s="559">
        <v>0.01</v>
      </c>
      <c r="H157" s="559">
        <v>1.7680000000000001E-2</v>
      </c>
      <c r="I157" s="560">
        <v>0.4</v>
      </c>
      <c r="J157" s="561">
        <v>45</v>
      </c>
      <c r="K157" s="274"/>
      <c r="L157" s="274"/>
      <c r="M157" s="487" t="str">
        <f ca="1">IF('CDO Bespoke'!O158&lt;&gt;"",'CDO Bespoke'!O158,"")</f>
        <v/>
      </c>
      <c r="N157" s="488" t="str">
        <f ca="1">IF(M157&lt;&gt;"",ABS(MIN(-0.75*('CDO Bespoke'!Q158)+'CDO Bespoke'!T158,0)),"")</f>
        <v/>
      </c>
      <c r="O157" s="488">
        <f t="shared" ca="1" si="8"/>
        <v>0</v>
      </c>
      <c r="P157" s="488">
        <f t="shared" ca="1" si="9"/>
        <v>0</v>
      </c>
      <c r="Q157" s="487" t="str">
        <f ca="1">IF('CDO Bespoke'!O158&lt;&gt;"",'CDO Bespoke'!O158,"")</f>
        <v/>
      </c>
      <c r="R157" s="488" t="str">
        <f ca="1">IF(Q157&lt;&gt;"",ABS(MIN(-0.75*('CDO Bespoke'!K158)+'CDO Bespoke'!T158,0)),"")</f>
        <v/>
      </c>
      <c r="S157" s="488">
        <f t="shared" ca="1" si="10"/>
        <v>0</v>
      </c>
      <c r="T157" s="492">
        <f t="shared" ca="1" si="11"/>
        <v>0</v>
      </c>
      <c r="U157" s="274"/>
      <c r="V157" s="497" t="str">
        <f ca="1">IF('CDO Bespoke'!C182&lt;&gt;"",'CDO Bespoke'!C182,"")</f>
        <v/>
      </c>
      <c r="W157" s="499" t="str" cm="1">
        <f t="array" aca="1" ref="W157" ca="1">IF($V157&lt;&gt;"",-TRANSPOSE(INDEX(getcds('CDO Bespoke'!$C182,W$13,'CDO Bespoke'!$G182/10000,'CDO Bespoke'!F182,'CDO Bespoke'!$L158,'CDO Bespoke'!$C$13,'CDO Bespoke'!$C$14,'CDO Bespoke'!$C$15,'CDO Bespoke'!$C$8,,,TRUE,TRUE,FALSE,'CDO Bespoke'!$C$29:'CDO Bespoke'!$C$31,'CDO Bespoke'!$C$33),{5})),"")</f>
        <v/>
      </c>
      <c r="X157" s="524" t="str" cm="1">
        <f t="array" aca="1" ref="X157" ca="1">IF($V157&lt;&gt;"",-TRANSPOSE(INDEX(getcds('CDO Bespoke'!$C182,X$13,'CDO Bespoke'!$G182/10000,'CDO Bespoke'!G182,'CDO Bespoke'!$L158,'CDO Bespoke'!$C$13,'CDO Bespoke'!$C$14,'CDO Bespoke'!$C$15,'CDO Bespoke'!$C$8,,,TRUE,TRUE,FALSE,'CDO Bespoke'!$C$29:'CDO Bespoke'!$C$31,'CDO Bespoke'!$C$33),{5})),"")</f>
        <v/>
      </c>
      <c r="Y157" s="524" t="str" cm="1">
        <f t="array" aca="1" ref="Y157" ca="1">IF($V157&lt;&gt;"",-TRANSPOSE(INDEX(getcds('CDO Bespoke'!$C182,Y$13,'CDO Bespoke'!$G182/10000,'CDO Bespoke'!H182,'CDO Bespoke'!$L158,'CDO Bespoke'!$C$13,'CDO Bespoke'!$C$14,'CDO Bespoke'!$C$15,'CDO Bespoke'!$C$8,,,TRUE,TRUE,FALSE,'CDO Bespoke'!$C$29:'CDO Bespoke'!$C$31,'CDO Bespoke'!$C$33),{5})),"")</f>
        <v/>
      </c>
      <c r="Z157" s="524" t="str" cm="1">
        <f t="array" aca="1" ref="Z157" ca="1">IF($V157&lt;&gt;"",-TRANSPOSE(INDEX(getcds('CDO Bespoke'!$C182,Z$13,'CDO Bespoke'!$G182/10000,'CDO Bespoke'!I182,'CDO Bespoke'!$L158,'CDO Bespoke'!$C$13,'CDO Bespoke'!$C$14,'CDO Bespoke'!$C$15,'CDO Bespoke'!$C$8,,,TRUE,TRUE,FALSE,'CDO Bespoke'!$C$29:'CDO Bespoke'!$C$31,'CDO Bespoke'!$C$33),{5})),"")</f>
        <v/>
      </c>
      <c r="AA157" s="500" t="str" cm="1">
        <f t="array" aca="1" ref="AA157" ca="1">IF($V157&lt;&gt;"",-TRANSPOSE(INDEX(getcds('CDO Bespoke'!$C182,AA$13,'CDO Bespoke'!$G182/10000,'CDO Bespoke'!J182,'CDO Bespoke'!$L158,'CDO Bespoke'!$C$13,'CDO Bespoke'!$C$14,'CDO Bespoke'!$C$15,'CDO Bespoke'!$C$8,,,TRUE,TRUE,FALSE,'CDO Bespoke'!$C$29:'CDO Bespoke'!$C$31,'CDO Bespoke'!$C$33),{5})),"")</f>
        <v/>
      </c>
      <c r="AB157" s="479"/>
      <c r="AC157" s="515"/>
      <c r="AD157" s="516"/>
      <c r="AE157" s="516"/>
      <c r="AF157" s="516"/>
      <c r="AG157" s="516"/>
      <c r="AH157" s="516"/>
      <c r="AI157" s="516"/>
      <c r="AJ157" s="516"/>
      <c r="AK157" s="516"/>
      <c r="AL157" s="517"/>
      <c r="AM157" s="534"/>
    </row>
    <row r="158" spans="2:39" ht="12" thickBot="1">
      <c r="B158" s="535" t="s">
        <v>626</v>
      </c>
      <c r="C158" s="536" t="s">
        <v>66</v>
      </c>
      <c r="D158" s="536" t="s">
        <v>57</v>
      </c>
      <c r="E158" s="536" t="s">
        <v>660</v>
      </c>
      <c r="F158" s="536" t="s">
        <v>663</v>
      </c>
      <c r="G158" s="543">
        <v>0.01</v>
      </c>
      <c r="H158" s="543">
        <v>2.5177000000000001E-2</v>
      </c>
      <c r="I158" s="545">
        <v>0.4</v>
      </c>
      <c r="J158" s="537">
        <v>45</v>
      </c>
      <c r="K158" s="274"/>
      <c r="L158" s="274"/>
      <c r="M158" s="487" t="str">
        <f ca="1">IF('CDO Bespoke'!O159&lt;&gt;"",'CDO Bespoke'!O159,"")</f>
        <v/>
      </c>
      <c r="N158" s="488" t="str">
        <f ca="1">IF(M158&lt;&gt;"",ABS(MIN(-0.75*('CDO Bespoke'!Q159)+'CDO Bespoke'!T159,0)),"")</f>
        <v/>
      </c>
      <c r="O158" s="488">
        <f t="shared" ca="1" si="8"/>
        <v>0</v>
      </c>
      <c r="P158" s="488">
        <f t="shared" ca="1" si="9"/>
        <v>0</v>
      </c>
      <c r="Q158" s="487" t="str">
        <f ca="1">IF('CDO Bespoke'!O159&lt;&gt;"",'CDO Bespoke'!O159,"")</f>
        <v/>
      </c>
      <c r="R158" s="488" t="str">
        <f ca="1">IF(Q158&lt;&gt;"",ABS(MIN(-0.75*('CDO Bespoke'!K159)+'CDO Bespoke'!T159,0)),"")</f>
        <v/>
      </c>
      <c r="S158" s="488">
        <f t="shared" ca="1" si="10"/>
        <v>0</v>
      </c>
      <c r="T158" s="492">
        <f t="shared" ca="1" si="11"/>
        <v>0</v>
      </c>
      <c r="U158" s="274"/>
      <c r="V158" s="497" t="str">
        <f ca="1">IF('CDO Bespoke'!C183&lt;&gt;"",'CDO Bespoke'!C183,"")</f>
        <v/>
      </c>
      <c r="W158" s="499" t="str" cm="1">
        <f t="array" aca="1" ref="W158" ca="1">IF($V158&lt;&gt;"",-TRANSPOSE(INDEX(getcds('CDO Bespoke'!$C183,W$13,'CDO Bespoke'!$G183/10000,'CDO Bespoke'!F183,'CDO Bespoke'!$L159,'CDO Bespoke'!$C$13,'CDO Bespoke'!$C$14,'CDO Bespoke'!$C$15,'CDO Bespoke'!$C$8,,,TRUE,TRUE,FALSE,'CDO Bespoke'!$C$29:'CDO Bespoke'!$C$31,'CDO Bespoke'!$C$33),{5})),"")</f>
        <v/>
      </c>
      <c r="X158" s="524" t="str" cm="1">
        <f t="array" aca="1" ref="X158" ca="1">IF($V158&lt;&gt;"",-TRANSPOSE(INDEX(getcds('CDO Bespoke'!$C183,X$13,'CDO Bespoke'!$G183/10000,'CDO Bespoke'!G183,'CDO Bespoke'!$L159,'CDO Bespoke'!$C$13,'CDO Bespoke'!$C$14,'CDO Bespoke'!$C$15,'CDO Bespoke'!$C$8,,,TRUE,TRUE,FALSE,'CDO Bespoke'!$C$29:'CDO Bespoke'!$C$31,'CDO Bespoke'!$C$33),{5})),"")</f>
        <v/>
      </c>
      <c r="Y158" s="524" t="str" cm="1">
        <f t="array" aca="1" ref="Y158" ca="1">IF($V158&lt;&gt;"",-TRANSPOSE(INDEX(getcds('CDO Bespoke'!$C183,Y$13,'CDO Bespoke'!$G183/10000,'CDO Bespoke'!H183,'CDO Bespoke'!$L159,'CDO Bespoke'!$C$13,'CDO Bespoke'!$C$14,'CDO Bespoke'!$C$15,'CDO Bespoke'!$C$8,,,TRUE,TRUE,FALSE,'CDO Bespoke'!$C$29:'CDO Bespoke'!$C$31,'CDO Bespoke'!$C$33),{5})),"")</f>
        <v/>
      </c>
      <c r="Z158" s="524" t="str" cm="1">
        <f t="array" aca="1" ref="Z158" ca="1">IF($V158&lt;&gt;"",-TRANSPOSE(INDEX(getcds('CDO Bespoke'!$C183,Z$13,'CDO Bespoke'!$G183/10000,'CDO Bespoke'!I183,'CDO Bespoke'!$L159,'CDO Bespoke'!$C$13,'CDO Bespoke'!$C$14,'CDO Bespoke'!$C$15,'CDO Bespoke'!$C$8,,,TRUE,TRUE,FALSE,'CDO Bespoke'!$C$29:'CDO Bespoke'!$C$31,'CDO Bespoke'!$C$33),{5})),"")</f>
        <v/>
      </c>
      <c r="AA158" s="500" t="str" cm="1">
        <f t="array" aca="1" ref="AA158" ca="1">IF($V158&lt;&gt;"",-TRANSPOSE(INDEX(getcds('CDO Bespoke'!$C183,AA$13,'CDO Bespoke'!$G183/10000,'CDO Bespoke'!J183,'CDO Bespoke'!$L159,'CDO Bespoke'!$C$13,'CDO Bespoke'!$C$14,'CDO Bespoke'!$C$15,'CDO Bespoke'!$C$8,,,TRUE,TRUE,FALSE,'CDO Bespoke'!$C$29:'CDO Bespoke'!$C$31,'CDO Bespoke'!$C$33),{5})),"")</f>
        <v/>
      </c>
      <c r="AB158" s="479"/>
      <c r="AC158" s="515"/>
      <c r="AD158" s="516"/>
      <c r="AE158" s="516"/>
      <c r="AF158" s="516"/>
      <c r="AG158" s="516"/>
      <c r="AH158" s="516"/>
      <c r="AI158" s="516"/>
      <c r="AJ158" s="516"/>
      <c r="AK158" s="516"/>
      <c r="AL158" s="517"/>
      <c r="AM158" s="534"/>
    </row>
    <row r="159" spans="2:39" ht="12" thickBot="1">
      <c r="B159" s="552" t="s">
        <v>626</v>
      </c>
      <c r="C159" s="553" t="s">
        <v>66</v>
      </c>
      <c r="D159" s="553" t="s">
        <v>59</v>
      </c>
      <c r="E159" s="553" t="s">
        <v>660</v>
      </c>
      <c r="F159" s="553" t="s">
        <v>663</v>
      </c>
      <c r="G159" s="554">
        <v>0.01</v>
      </c>
      <c r="H159" s="554">
        <v>3.0232999999999999E-2</v>
      </c>
      <c r="I159" s="555">
        <v>0.4</v>
      </c>
      <c r="J159" s="556">
        <v>45</v>
      </c>
      <c r="K159" s="274"/>
      <c r="L159" s="274"/>
      <c r="M159" s="487" t="str">
        <f ca="1">IF('CDO Bespoke'!O160&lt;&gt;"",'CDO Bespoke'!O160,"")</f>
        <v/>
      </c>
      <c r="N159" s="488" t="str">
        <f ca="1">IF(M159&lt;&gt;"",ABS(MIN(-0.75*('CDO Bespoke'!Q160)+'CDO Bespoke'!T160,0)),"")</f>
        <v/>
      </c>
      <c r="O159" s="488">
        <f t="shared" ca="1" si="8"/>
        <v>0</v>
      </c>
      <c r="P159" s="488">
        <f t="shared" ca="1" si="9"/>
        <v>0</v>
      </c>
      <c r="Q159" s="487" t="str">
        <f ca="1">IF('CDO Bespoke'!O160&lt;&gt;"",'CDO Bespoke'!O160,"")</f>
        <v/>
      </c>
      <c r="R159" s="488" t="str">
        <f ca="1">IF(Q159&lt;&gt;"",ABS(MIN(-0.75*('CDO Bespoke'!K160)+'CDO Bespoke'!T160,0)),"")</f>
        <v/>
      </c>
      <c r="S159" s="488">
        <f t="shared" ca="1" si="10"/>
        <v>0</v>
      </c>
      <c r="T159" s="492">
        <f t="shared" ca="1" si="11"/>
        <v>0</v>
      </c>
      <c r="U159" s="274"/>
      <c r="V159" s="497" t="str">
        <f ca="1">IF('CDO Bespoke'!C184&lt;&gt;"",'CDO Bespoke'!C184,"")</f>
        <v/>
      </c>
      <c r="W159" s="499" t="str" cm="1">
        <f t="array" aca="1" ref="W159" ca="1">IF($V159&lt;&gt;"",-TRANSPOSE(INDEX(getcds('CDO Bespoke'!$C184,W$13,'CDO Bespoke'!$G184/10000,'CDO Bespoke'!F184,'CDO Bespoke'!$L160,'CDO Bespoke'!$C$13,'CDO Bespoke'!$C$14,'CDO Bespoke'!$C$15,'CDO Bespoke'!$C$8,,,TRUE,TRUE,FALSE,'CDO Bespoke'!$C$29:'CDO Bespoke'!$C$31,'CDO Bespoke'!$C$33),{5})),"")</f>
        <v/>
      </c>
      <c r="X159" s="524" t="str" cm="1">
        <f t="array" aca="1" ref="X159" ca="1">IF($V159&lt;&gt;"",-TRANSPOSE(INDEX(getcds('CDO Bespoke'!$C184,X$13,'CDO Bespoke'!$G184/10000,'CDO Bespoke'!G184,'CDO Bespoke'!$L160,'CDO Bespoke'!$C$13,'CDO Bespoke'!$C$14,'CDO Bespoke'!$C$15,'CDO Bespoke'!$C$8,,,TRUE,TRUE,FALSE,'CDO Bespoke'!$C$29:'CDO Bespoke'!$C$31,'CDO Bespoke'!$C$33),{5})),"")</f>
        <v/>
      </c>
      <c r="Y159" s="524" t="str" cm="1">
        <f t="array" aca="1" ref="Y159" ca="1">IF($V159&lt;&gt;"",-TRANSPOSE(INDEX(getcds('CDO Bespoke'!$C184,Y$13,'CDO Bespoke'!$G184/10000,'CDO Bespoke'!H184,'CDO Bespoke'!$L160,'CDO Bespoke'!$C$13,'CDO Bespoke'!$C$14,'CDO Bespoke'!$C$15,'CDO Bespoke'!$C$8,,,TRUE,TRUE,FALSE,'CDO Bespoke'!$C$29:'CDO Bespoke'!$C$31,'CDO Bespoke'!$C$33),{5})),"")</f>
        <v/>
      </c>
      <c r="Z159" s="524" t="str" cm="1">
        <f t="array" aca="1" ref="Z159" ca="1">IF($V159&lt;&gt;"",-TRANSPOSE(INDEX(getcds('CDO Bespoke'!$C184,Z$13,'CDO Bespoke'!$G184/10000,'CDO Bespoke'!I184,'CDO Bespoke'!$L160,'CDO Bespoke'!$C$13,'CDO Bespoke'!$C$14,'CDO Bespoke'!$C$15,'CDO Bespoke'!$C$8,,,TRUE,TRUE,FALSE,'CDO Bespoke'!$C$29:'CDO Bespoke'!$C$31,'CDO Bespoke'!$C$33),{5})),"")</f>
        <v/>
      </c>
      <c r="AA159" s="500" t="str" cm="1">
        <f t="array" aca="1" ref="AA159" ca="1">IF($V159&lt;&gt;"",-TRANSPOSE(INDEX(getcds('CDO Bespoke'!$C184,AA$13,'CDO Bespoke'!$G184/10000,'CDO Bespoke'!J184,'CDO Bespoke'!$L160,'CDO Bespoke'!$C$13,'CDO Bespoke'!$C$14,'CDO Bespoke'!$C$15,'CDO Bespoke'!$C$8,,,TRUE,TRUE,FALSE,'CDO Bespoke'!$C$29:'CDO Bespoke'!$C$31,'CDO Bespoke'!$C$33),{5})),"")</f>
        <v/>
      </c>
      <c r="AB159" s="479"/>
      <c r="AC159" s="515"/>
      <c r="AD159" s="516"/>
      <c r="AE159" s="516"/>
      <c r="AF159" s="516"/>
      <c r="AG159" s="516"/>
      <c r="AH159" s="516"/>
      <c r="AI159" s="516"/>
      <c r="AJ159" s="516"/>
      <c r="AK159" s="516"/>
      <c r="AL159" s="517"/>
      <c r="AM159" s="534"/>
    </row>
    <row r="160" spans="2:39" ht="12" thickBot="1">
      <c r="B160" s="557" t="s">
        <v>566</v>
      </c>
      <c r="C160" s="558" t="s">
        <v>66</v>
      </c>
      <c r="D160" s="558" t="s">
        <v>55</v>
      </c>
      <c r="E160" s="558" t="s">
        <v>660</v>
      </c>
      <c r="F160" s="558" t="s">
        <v>663</v>
      </c>
      <c r="G160" s="559">
        <v>0.01</v>
      </c>
      <c r="H160" s="559">
        <v>1.828E-3</v>
      </c>
      <c r="I160" s="560">
        <v>0.4</v>
      </c>
      <c r="J160" s="561">
        <v>46</v>
      </c>
      <c r="K160" s="274"/>
      <c r="L160" s="274"/>
      <c r="M160" s="487" t="str">
        <f ca="1">IF('CDO Bespoke'!O161&lt;&gt;"",'CDO Bespoke'!O161,"")</f>
        <v/>
      </c>
      <c r="N160" s="488" t="str">
        <f ca="1">IF(M160&lt;&gt;"",ABS(MIN(-0.75*('CDO Bespoke'!Q161)+'CDO Bespoke'!T161,0)),"")</f>
        <v/>
      </c>
      <c r="O160" s="488">
        <f t="shared" ca="1" si="8"/>
        <v>0</v>
      </c>
      <c r="P160" s="488">
        <f t="shared" ca="1" si="9"/>
        <v>0</v>
      </c>
      <c r="Q160" s="487" t="str">
        <f ca="1">IF('CDO Bespoke'!O161&lt;&gt;"",'CDO Bespoke'!O161,"")</f>
        <v/>
      </c>
      <c r="R160" s="488" t="str">
        <f ca="1">IF(Q160&lt;&gt;"",ABS(MIN(-0.75*('CDO Bespoke'!K161)+'CDO Bespoke'!T161,0)),"")</f>
        <v/>
      </c>
      <c r="S160" s="488">
        <f t="shared" ca="1" si="10"/>
        <v>0</v>
      </c>
      <c r="T160" s="492">
        <f t="shared" ca="1" si="11"/>
        <v>0</v>
      </c>
      <c r="U160" s="274"/>
      <c r="V160" s="497" t="str">
        <f ca="1">IF('CDO Bespoke'!C185&lt;&gt;"",'CDO Bespoke'!C185,"")</f>
        <v/>
      </c>
      <c r="W160" s="499" t="str" cm="1">
        <f t="array" aca="1" ref="W160" ca="1">IF($V160&lt;&gt;"",-TRANSPOSE(INDEX(getcds('CDO Bespoke'!$C185,W$13,'CDO Bespoke'!$G185/10000,'CDO Bespoke'!F185,'CDO Bespoke'!$L161,'CDO Bespoke'!$C$13,'CDO Bespoke'!$C$14,'CDO Bespoke'!$C$15,'CDO Bespoke'!$C$8,,,TRUE,TRUE,FALSE,'CDO Bespoke'!$C$29:'CDO Bespoke'!$C$31,'CDO Bespoke'!$C$33),{5})),"")</f>
        <v/>
      </c>
      <c r="X160" s="524" t="str" cm="1">
        <f t="array" aca="1" ref="X160" ca="1">IF($V160&lt;&gt;"",-TRANSPOSE(INDEX(getcds('CDO Bespoke'!$C185,X$13,'CDO Bespoke'!$G185/10000,'CDO Bespoke'!G185,'CDO Bespoke'!$L161,'CDO Bespoke'!$C$13,'CDO Bespoke'!$C$14,'CDO Bespoke'!$C$15,'CDO Bespoke'!$C$8,,,TRUE,TRUE,FALSE,'CDO Bespoke'!$C$29:'CDO Bespoke'!$C$31,'CDO Bespoke'!$C$33),{5})),"")</f>
        <v/>
      </c>
      <c r="Y160" s="524" t="str" cm="1">
        <f t="array" aca="1" ref="Y160" ca="1">IF($V160&lt;&gt;"",-TRANSPOSE(INDEX(getcds('CDO Bespoke'!$C185,Y$13,'CDO Bespoke'!$G185/10000,'CDO Bespoke'!H185,'CDO Bespoke'!$L161,'CDO Bespoke'!$C$13,'CDO Bespoke'!$C$14,'CDO Bespoke'!$C$15,'CDO Bespoke'!$C$8,,,TRUE,TRUE,FALSE,'CDO Bespoke'!$C$29:'CDO Bespoke'!$C$31,'CDO Bespoke'!$C$33),{5})),"")</f>
        <v/>
      </c>
      <c r="Z160" s="524" t="str" cm="1">
        <f t="array" aca="1" ref="Z160" ca="1">IF($V160&lt;&gt;"",-TRANSPOSE(INDEX(getcds('CDO Bespoke'!$C185,Z$13,'CDO Bespoke'!$G185/10000,'CDO Bespoke'!I185,'CDO Bespoke'!$L161,'CDO Bespoke'!$C$13,'CDO Bespoke'!$C$14,'CDO Bespoke'!$C$15,'CDO Bespoke'!$C$8,,,TRUE,TRUE,FALSE,'CDO Bespoke'!$C$29:'CDO Bespoke'!$C$31,'CDO Bespoke'!$C$33),{5})),"")</f>
        <v/>
      </c>
      <c r="AA160" s="500" t="str" cm="1">
        <f t="array" aca="1" ref="AA160" ca="1">IF($V160&lt;&gt;"",-TRANSPOSE(INDEX(getcds('CDO Bespoke'!$C185,AA$13,'CDO Bespoke'!$G185/10000,'CDO Bespoke'!J185,'CDO Bespoke'!$L161,'CDO Bespoke'!$C$13,'CDO Bespoke'!$C$14,'CDO Bespoke'!$C$15,'CDO Bespoke'!$C$8,,,TRUE,TRUE,FALSE,'CDO Bespoke'!$C$29:'CDO Bespoke'!$C$31,'CDO Bespoke'!$C$33),{5})),"")</f>
        <v/>
      </c>
      <c r="AB160" s="479"/>
      <c r="AC160" s="515"/>
      <c r="AD160" s="516"/>
      <c r="AE160" s="516"/>
      <c r="AF160" s="516"/>
      <c r="AG160" s="516"/>
      <c r="AH160" s="516"/>
      <c r="AI160" s="516"/>
      <c r="AJ160" s="516"/>
      <c r="AK160" s="516"/>
      <c r="AL160" s="517"/>
      <c r="AM160" s="534"/>
    </row>
    <row r="161" spans="2:39" ht="12" thickBot="1">
      <c r="B161" s="535" t="s">
        <v>566</v>
      </c>
      <c r="C161" s="536" t="s">
        <v>66</v>
      </c>
      <c r="D161" s="536" t="s">
        <v>57</v>
      </c>
      <c r="E161" s="536" t="s">
        <v>660</v>
      </c>
      <c r="F161" s="536" t="s">
        <v>663</v>
      </c>
      <c r="G161" s="543">
        <v>0.01</v>
      </c>
      <c r="H161" s="543">
        <v>3.0709999999999999E-3</v>
      </c>
      <c r="I161" s="545">
        <v>0.4</v>
      </c>
      <c r="J161" s="537">
        <v>46</v>
      </c>
      <c r="K161" s="274"/>
      <c r="L161" s="274"/>
      <c r="M161" s="487" t="str">
        <f ca="1">IF('CDO Bespoke'!O162&lt;&gt;"",'CDO Bespoke'!O162,"")</f>
        <v/>
      </c>
      <c r="N161" s="488" t="str">
        <f ca="1">IF(M161&lt;&gt;"",ABS(MIN(-0.75*('CDO Bespoke'!Q162)+'CDO Bespoke'!T162,0)),"")</f>
        <v/>
      </c>
      <c r="O161" s="488">
        <f t="shared" ca="1" si="8"/>
        <v>0</v>
      </c>
      <c r="P161" s="488">
        <f t="shared" ca="1" si="9"/>
        <v>0</v>
      </c>
      <c r="Q161" s="487" t="str">
        <f ca="1">IF('CDO Bespoke'!O162&lt;&gt;"",'CDO Bespoke'!O162,"")</f>
        <v/>
      </c>
      <c r="R161" s="488" t="str">
        <f ca="1">IF(Q161&lt;&gt;"",ABS(MIN(-0.75*('CDO Bespoke'!K162)+'CDO Bespoke'!T162,0)),"")</f>
        <v/>
      </c>
      <c r="S161" s="488">
        <f t="shared" ca="1" si="10"/>
        <v>0</v>
      </c>
      <c r="T161" s="492">
        <f t="shared" ca="1" si="11"/>
        <v>0</v>
      </c>
      <c r="U161" s="274"/>
      <c r="V161" s="497" t="str">
        <f ca="1">IF('CDO Bespoke'!C186&lt;&gt;"",'CDO Bespoke'!C186,"")</f>
        <v/>
      </c>
      <c r="W161" s="499" t="str" cm="1">
        <f t="array" aca="1" ref="W161" ca="1">IF($V161&lt;&gt;"",-TRANSPOSE(INDEX(getcds('CDO Bespoke'!$C186,W$13,'CDO Bespoke'!$G186/10000,'CDO Bespoke'!F186,'CDO Bespoke'!$L162,'CDO Bespoke'!$C$13,'CDO Bespoke'!$C$14,'CDO Bespoke'!$C$15,'CDO Bespoke'!$C$8,,,TRUE,TRUE,FALSE,'CDO Bespoke'!$C$29:'CDO Bespoke'!$C$31,'CDO Bespoke'!$C$33),{5})),"")</f>
        <v/>
      </c>
      <c r="X161" s="524" t="str" cm="1">
        <f t="array" aca="1" ref="X161" ca="1">IF($V161&lt;&gt;"",-TRANSPOSE(INDEX(getcds('CDO Bespoke'!$C186,X$13,'CDO Bespoke'!$G186/10000,'CDO Bespoke'!G186,'CDO Bespoke'!$L162,'CDO Bespoke'!$C$13,'CDO Bespoke'!$C$14,'CDO Bespoke'!$C$15,'CDO Bespoke'!$C$8,,,TRUE,TRUE,FALSE,'CDO Bespoke'!$C$29:'CDO Bespoke'!$C$31,'CDO Bespoke'!$C$33),{5})),"")</f>
        <v/>
      </c>
      <c r="Y161" s="524" t="str" cm="1">
        <f t="array" aca="1" ref="Y161" ca="1">IF($V161&lt;&gt;"",-TRANSPOSE(INDEX(getcds('CDO Bespoke'!$C186,Y$13,'CDO Bespoke'!$G186/10000,'CDO Bespoke'!H186,'CDO Bespoke'!$L162,'CDO Bespoke'!$C$13,'CDO Bespoke'!$C$14,'CDO Bespoke'!$C$15,'CDO Bespoke'!$C$8,,,TRUE,TRUE,FALSE,'CDO Bespoke'!$C$29:'CDO Bespoke'!$C$31,'CDO Bespoke'!$C$33),{5})),"")</f>
        <v/>
      </c>
      <c r="Z161" s="524" t="str" cm="1">
        <f t="array" aca="1" ref="Z161" ca="1">IF($V161&lt;&gt;"",-TRANSPOSE(INDEX(getcds('CDO Bespoke'!$C186,Z$13,'CDO Bespoke'!$G186/10000,'CDO Bespoke'!I186,'CDO Bespoke'!$L162,'CDO Bespoke'!$C$13,'CDO Bespoke'!$C$14,'CDO Bespoke'!$C$15,'CDO Bespoke'!$C$8,,,TRUE,TRUE,FALSE,'CDO Bespoke'!$C$29:'CDO Bespoke'!$C$31,'CDO Bespoke'!$C$33),{5})),"")</f>
        <v/>
      </c>
      <c r="AA161" s="500" t="str" cm="1">
        <f t="array" aca="1" ref="AA161" ca="1">IF($V161&lt;&gt;"",-TRANSPOSE(INDEX(getcds('CDO Bespoke'!$C186,AA$13,'CDO Bespoke'!$G186/10000,'CDO Bespoke'!J186,'CDO Bespoke'!$L162,'CDO Bespoke'!$C$13,'CDO Bespoke'!$C$14,'CDO Bespoke'!$C$15,'CDO Bespoke'!$C$8,,,TRUE,TRUE,FALSE,'CDO Bespoke'!$C$29:'CDO Bespoke'!$C$31,'CDO Bespoke'!$C$33),{5})),"")</f>
        <v/>
      </c>
      <c r="AB161" s="479"/>
      <c r="AC161" s="515"/>
      <c r="AD161" s="516"/>
      <c r="AE161" s="516"/>
      <c r="AF161" s="516"/>
      <c r="AG161" s="516"/>
      <c r="AH161" s="516"/>
      <c r="AI161" s="516"/>
      <c r="AJ161" s="516"/>
      <c r="AK161" s="516"/>
      <c r="AL161" s="517"/>
      <c r="AM161" s="534"/>
    </row>
    <row r="162" spans="2:39" ht="12" thickBot="1">
      <c r="B162" s="552" t="s">
        <v>566</v>
      </c>
      <c r="C162" s="553" t="s">
        <v>66</v>
      </c>
      <c r="D162" s="553" t="s">
        <v>59</v>
      </c>
      <c r="E162" s="553" t="s">
        <v>660</v>
      </c>
      <c r="F162" s="553" t="s">
        <v>663</v>
      </c>
      <c r="G162" s="554">
        <v>0.01</v>
      </c>
      <c r="H162" s="554">
        <v>4.3569999999999998E-3</v>
      </c>
      <c r="I162" s="555">
        <v>0.4</v>
      </c>
      <c r="J162" s="556">
        <v>46</v>
      </c>
      <c r="K162" s="274"/>
      <c r="L162" s="274"/>
      <c r="M162" s="487" t="str">
        <f ca="1">IF('CDO Bespoke'!O163&lt;&gt;"",'CDO Bespoke'!O163,"")</f>
        <v/>
      </c>
      <c r="N162" s="488" t="str">
        <f ca="1">IF(M162&lt;&gt;"",ABS(MIN(-0.75*('CDO Bespoke'!Q163)+'CDO Bespoke'!T163,0)),"")</f>
        <v/>
      </c>
      <c r="O162" s="488">
        <f t="shared" ca="1" si="8"/>
        <v>0</v>
      </c>
      <c r="P162" s="488">
        <f t="shared" ca="1" si="9"/>
        <v>0</v>
      </c>
      <c r="Q162" s="487" t="str">
        <f ca="1">IF('CDO Bespoke'!O163&lt;&gt;"",'CDO Bespoke'!O163,"")</f>
        <v/>
      </c>
      <c r="R162" s="488" t="str">
        <f ca="1">IF(Q162&lt;&gt;"",ABS(MIN(-0.75*('CDO Bespoke'!K163)+'CDO Bespoke'!T163,0)),"")</f>
        <v/>
      </c>
      <c r="S162" s="488">
        <f t="shared" ca="1" si="10"/>
        <v>0</v>
      </c>
      <c r="T162" s="492">
        <f t="shared" ca="1" si="11"/>
        <v>0</v>
      </c>
      <c r="U162" s="274"/>
      <c r="V162" s="497" t="str">
        <f ca="1">IF('CDO Bespoke'!C187&lt;&gt;"",'CDO Bespoke'!C187,"")</f>
        <v/>
      </c>
      <c r="W162" s="499" t="str" cm="1">
        <f t="array" aca="1" ref="W162" ca="1">IF($V162&lt;&gt;"",-TRANSPOSE(INDEX(getcds('CDO Bespoke'!$C187,W$13,'CDO Bespoke'!$G187/10000,'CDO Bespoke'!F187,'CDO Bespoke'!$L163,'CDO Bespoke'!$C$13,'CDO Bespoke'!$C$14,'CDO Bespoke'!$C$15,'CDO Bespoke'!$C$8,,,TRUE,TRUE,FALSE,'CDO Bespoke'!$C$29:'CDO Bespoke'!$C$31,'CDO Bespoke'!$C$33),{5})),"")</f>
        <v/>
      </c>
      <c r="X162" s="524" t="str" cm="1">
        <f t="array" aca="1" ref="X162" ca="1">IF($V162&lt;&gt;"",-TRANSPOSE(INDEX(getcds('CDO Bespoke'!$C187,X$13,'CDO Bespoke'!$G187/10000,'CDO Bespoke'!G187,'CDO Bespoke'!$L163,'CDO Bespoke'!$C$13,'CDO Bespoke'!$C$14,'CDO Bespoke'!$C$15,'CDO Bespoke'!$C$8,,,TRUE,TRUE,FALSE,'CDO Bespoke'!$C$29:'CDO Bespoke'!$C$31,'CDO Bespoke'!$C$33),{5})),"")</f>
        <v/>
      </c>
      <c r="Y162" s="524" t="str" cm="1">
        <f t="array" aca="1" ref="Y162" ca="1">IF($V162&lt;&gt;"",-TRANSPOSE(INDEX(getcds('CDO Bespoke'!$C187,Y$13,'CDO Bespoke'!$G187/10000,'CDO Bespoke'!H187,'CDO Bespoke'!$L163,'CDO Bespoke'!$C$13,'CDO Bespoke'!$C$14,'CDO Bespoke'!$C$15,'CDO Bespoke'!$C$8,,,TRUE,TRUE,FALSE,'CDO Bespoke'!$C$29:'CDO Bespoke'!$C$31,'CDO Bespoke'!$C$33),{5})),"")</f>
        <v/>
      </c>
      <c r="Z162" s="524" t="str" cm="1">
        <f t="array" aca="1" ref="Z162" ca="1">IF($V162&lt;&gt;"",-TRANSPOSE(INDEX(getcds('CDO Bespoke'!$C187,Z$13,'CDO Bespoke'!$G187/10000,'CDO Bespoke'!I187,'CDO Bespoke'!$L163,'CDO Bespoke'!$C$13,'CDO Bespoke'!$C$14,'CDO Bespoke'!$C$15,'CDO Bespoke'!$C$8,,,TRUE,TRUE,FALSE,'CDO Bespoke'!$C$29:'CDO Bespoke'!$C$31,'CDO Bespoke'!$C$33),{5})),"")</f>
        <v/>
      </c>
      <c r="AA162" s="500" t="str" cm="1">
        <f t="array" aca="1" ref="AA162" ca="1">IF($V162&lt;&gt;"",-TRANSPOSE(INDEX(getcds('CDO Bespoke'!$C187,AA$13,'CDO Bespoke'!$G187/10000,'CDO Bespoke'!J187,'CDO Bespoke'!$L163,'CDO Bespoke'!$C$13,'CDO Bespoke'!$C$14,'CDO Bespoke'!$C$15,'CDO Bespoke'!$C$8,,,TRUE,TRUE,FALSE,'CDO Bespoke'!$C$29:'CDO Bespoke'!$C$31,'CDO Bespoke'!$C$33),{5})),"")</f>
        <v/>
      </c>
      <c r="AB162" s="479"/>
      <c r="AC162" s="515"/>
      <c r="AD162" s="516"/>
      <c r="AE162" s="516"/>
      <c r="AF162" s="516"/>
      <c r="AG162" s="516"/>
      <c r="AH162" s="516"/>
      <c r="AI162" s="516"/>
      <c r="AJ162" s="516"/>
      <c r="AK162" s="516"/>
      <c r="AL162" s="517"/>
      <c r="AM162" s="534"/>
    </row>
    <row r="163" spans="2:39" ht="12" thickBot="1">
      <c r="B163" s="557" t="s">
        <v>552</v>
      </c>
      <c r="C163" s="558" t="s">
        <v>66</v>
      </c>
      <c r="D163" s="558" t="s">
        <v>55</v>
      </c>
      <c r="E163" s="558" t="s">
        <v>658</v>
      </c>
      <c r="F163" s="558" t="s">
        <v>663</v>
      </c>
      <c r="G163" s="559">
        <v>0.01</v>
      </c>
      <c r="H163" s="559">
        <v>1.338E-3</v>
      </c>
      <c r="I163" s="560">
        <v>0.4</v>
      </c>
      <c r="J163" s="561">
        <v>47</v>
      </c>
      <c r="K163" s="274"/>
      <c r="L163" s="274"/>
      <c r="M163" s="487" t="str">
        <f ca="1">IF('CDO Bespoke'!O164&lt;&gt;"",'CDO Bespoke'!O164,"")</f>
        <v/>
      </c>
      <c r="N163" s="488" t="str">
        <f ca="1">IF(M163&lt;&gt;"",ABS(MIN(-0.75*('CDO Bespoke'!Q164)+'CDO Bespoke'!T164,0)),"")</f>
        <v/>
      </c>
      <c r="O163" s="488">
        <f t="shared" ca="1" si="8"/>
        <v>0</v>
      </c>
      <c r="P163" s="488">
        <f t="shared" ca="1" si="9"/>
        <v>0</v>
      </c>
      <c r="Q163" s="487" t="str">
        <f ca="1">IF('CDO Bespoke'!O164&lt;&gt;"",'CDO Bespoke'!O164,"")</f>
        <v/>
      </c>
      <c r="R163" s="488" t="str">
        <f ca="1">IF(Q163&lt;&gt;"",ABS(MIN(-0.75*('CDO Bespoke'!K164)+'CDO Bespoke'!T164,0)),"")</f>
        <v/>
      </c>
      <c r="S163" s="488">
        <f t="shared" ca="1" si="10"/>
        <v>0</v>
      </c>
      <c r="T163" s="492">
        <f t="shared" ca="1" si="11"/>
        <v>0</v>
      </c>
      <c r="U163" s="274"/>
      <c r="V163" s="497" t="str">
        <f ca="1">IF('CDO Bespoke'!C188&lt;&gt;"",'CDO Bespoke'!C188,"")</f>
        <v/>
      </c>
      <c r="W163" s="499" t="str" cm="1">
        <f t="array" aca="1" ref="W163" ca="1">IF($V163&lt;&gt;"",-TRANSPOSE(INDEX(getcds('CDO Bespoke'!$C188,W$13,'CDO Bespoke'!$G188/10000,'CDO Bespoke'!F188,'CDO Bespoke'!$L164,'CDO Bespoke'!$C$13,'CDO Bespoke'!$C$14,'CDO Bespoke'!$C$15,'CDO Bespoke'!$C$8,,,TRUE,TRUE,FALSE,'CDO Bespoke'!$C$29:'CDO Bespoke'!$C$31,'CDO Bespoke'!$C$33),{5})),"")</f>
        <v/>
      </c>
      <c r="X163" s="524" t="str" cm="1">
        <f t="array" aca="1" ref="X163" ca="1">IF($V163&lt;&gt;"",-TRANSPOSE(INDEX(getcds('CDO Bespoke'!$C188,X$13,'CDO Bespoke'!$G188/10000,'CDO Bespoke'!G188,'CDO Bespoke'!$L164,'CDO Bespoke'!$C$13,'CDO Bespoke'!$C$14,'CDO Bespoke'!$C$15,'CDO Bespoke'!$C$8,,,TRUE,TRUE,FALSE,'CDO Bespoke'!$C$29:'CDO Bespoke'!$C$31,'CDO Bespoke'!$C$33),{5})),"")</f>
        <v/>
      </c>
      <c r="Y163" s="524" t="str" cm="1">
        <f t="array" aca="1" ref="Y163" ca="1">IF($V163&lt;&gt;"",-TRANSPOSE(INDEX(getcds('CDO Bespoke'!$C188,Y$13,'CDO Bespoke'!$G188/10000,'CDO Bespoke'!H188,'CDO Bespoke'!$L164,'CDO Bespoke'!$C$13,'CDO Bespoke'!$C$14,'CDO Bespoke'!$C$15,'CDO Bespoke'!$C$8,,,TRUE,TRUE,FALSE,'CDO Bespoke'!$C$29:'CDO Bespoke'!$C$31,'CDO Bespoke'!$C$33),{5})),"")</f>
        <v/>
      </c>
      <c r="Z163" s="524" t="str" cm="1">
        <f t="array" aca="1" ref="Z163" ca="1">IF($V163&lt;&gt;"",-TRANSPOSE(INDEX(getcds('CDO Bespoke'!$C188,Z$13,'CDO Bespoke'!$G188/10000,'CDO Bespoke'!I188,'CDO Bespoke'!$L164,'CDO Bespoke'!$C$13,'CDO Bespoke'!$C$14,'CDO Bespoke'!$C$15,'CDO Bespoke'!$C$8,,,TRUE,TRUE,FALSE,'CDO Bespoke'!$C$29:'CDO Bespoke'!$C$31,'CDO Bespoke'!$C$33),{5})),"")</f>
        <v/>
      </c>
      <c r="AA163" s="500" t="str" cm="1">
        <f t="array" aca="1" ref="AA163" ca="1">IF($V163&lt;&gt;"",-TRANSPOSE(INDEX(getcds('CDO Bespoke'!$C188,AA$13,'CDO Bespoke'!$G188/10000,'CDO Bespoke'!J188,'CDO Bespoke'!$L164,'CDO Bespoke'!$C$13,'CDO Bespoke'!$C$14,'CDO Bespoke'!$C$15,'CDO Bespoke'!$C$8,,,TRUE,TRUE,FALSE,'CDO Bespoke'!$C$29:'CDO Bespoke'!$C$31,'CDO Bespoke'!$C$33),{5})),"")</f>
        <v/>
      </c>
      <c r="AB163" s="479"/>
      <c r="AC163" s="515"/>
      <c r="AD163" s="516"/>
      <c r="AE163" s="516"/>
      <c r="AF163" s="516"/>
      <c r="AG163" s="516"/>
      <c r="AH163" s="516"/>
      <c r="AI163" s="516"/>
      <c r="AJ163" s="516"/>
      <c r="AK163" s="516"/>
      <c r="AL163" s="517"/>
      <c r="AM163" s="534"/>
    </row>
    <row r="164" spans="2:39" ht="12" thickBot="1">
      <c r="B164" s="535" t="s">
        <v>552</v>
      </c>
      <c r="C164" s="536" t="s">
        <v>66</v>
      </c>
      <c r="D164" s="536" t="s">
        <v>57</v>
      </c>
      <c r="E164" s="536" t="s">
        <v>658</v>
      </c>
      <c r="F164" s="536" t="s">
        <v>663</v>
      </c>
      <c r="G164" s="543">
        <v>0.01</v>
      </c>
      <c r="H164" s="543">
        <v>2.0349999999999999E-3</v>
      </c>
      <c r="I164" s="545">
        <v>0.4</v>
      </c>
      <c r="J164" s="537">
        <v>47</v>
      </c>
      <c r="K164" s="274"/>
      <c r="L164" s="274"/>
      <c r="M164" s="487" t="str">
        <f ca="1">IF('CDO Bespoke'!O165&lt;&gt;"",'CDO Bespoke'!O165,"")</f>
        <v/>
      </c>
      <c r="N164" s="488" t="str">
        <f ca="1">IF(M164&lt;&gt;"",ABS(MIN(-0.75*('CDO Bespoke'!Q165)+'CDO Bespoke'!T165,0)),"")</f>
        <v/>
      </c>
      <c r="O164" s="488">
        <f t="shared" ca="1" si="8"/>
        <v>0</v>
      </c>
      <c r="P164" s="488">
        <f t="shared" ca="1" si="9"/>
        <v>0</v>
      </c>
      <c r="Q164" s="487" t="str">
        <f ca="1">IF('CDO Bespoke'!O165&lt;&gt;"",'CDO Bespoke'!O165,"")</f>
        <v/>
      </c>
      <c r="R164" s="488" t="str">
        <f ca="1">IF(Q164&lt;&gt;"",ABS(MIN(-0.75*('CDO Bespoke'!K165)+'CDO Bespoke'!T165,0)),"")</f>
        <v/>
      </c>
      <c r="S164" s="488">
        <f t="shared" ca="1" si="10"/>
        <v>0</v>
      </c>
      <c r="T164" s="492">
        <f t="shared" ca="1" si="11"/>
        <v>0</v>
      </c>
      <c r="U164" s="274"/>
      <c r="V164" s="497" t="str">
        <f ca="1">IF('CDO Bespoke'!C189&lt;&gt;"",'CDO Bespoke'!C189,"")</f>
        <v/>
      </c>
      <c r="W164" s="499" t="str" cm="1">
        <f t="array" aca="1" ref="W164" ca="1">IF($V164&lt;&gt;"",-TRANSPOSE(INDEX(getcds('CDO Bespoke'!$C189,W$13,'CDO Bespoke'!$G189/10000,'CDO Bespoke'!F189,'CDO Bespoke'!$L165,'CDO Bespoke'!$C$13,'CDO Bespoke'!$C$14,'CDO Bespoke'!$C$15,'CDO Bespoke'!$C$8,,,TRUE,TRUE,FALSE,'CDO Bespoke'!$C$29:'CDO Bespoke'!$C$31,'CDO Bespoke'!$C$33),{5})),"")</f>
        <v/>
      </c>
      <c r="X164" s="524" t="str" cm="1">
        <f t="array" aca="1" ref="X164" ca="1">IF($V164&lt;&gt;"",-TRANSPOSE(INDEX(getcds('CDO Bespoke'!$C189,X$13,'CDO Bespoke'!$G189/10000,'CDO Bespoke'!G189,'CDO Bespoke'!$L165,'CDO Bespoke'!$C$13,'CDO Bespoke'!$C$14,'CDO Bespoke'!$C$15,'CDO Bespoke'!$C$8,,,TRUE,TRUE,FALSE,'CDO Bespoke'!$C$29:'CDO Bespoke'!$C$31,'CDO Bespoke'!$C$33),{5})),"")</f>
        <v/>
      </c>
      <c r="Y164" s="524" t="str" cm="1">
        <f t="array" aca="1" ref="Y164" ca="1">IF($V164&lt;&gt;"",-TRANSPOSE(INDEX(getcds('CDO Bespoke'!$C189,Y$13,'CDO Bespoke'!$G189/10000,'CDO Bespoke'!H189,'CDO Bespoke'!$L165,'CDO Bespoke'!$C$13,'CDO Bespoke'!$C$14,'CDO Bespoke'!$C$15,'CDO Bespoke'!$C$8,,,TRUE,TRUE,FALSE,'CDO Bespoke'!$C$29:'CDO Bespoke'!$C$31,'CDO Bespoke'!$C$33),{5})),"")</f>
        <v/>
      </c>
      <c r="Z164" s="524" t="str" cm="1">
        <f t="array" aca="1" ref="Z164" ca="1">IF($V164&lt;&gt;"",-TRANSPOSE(INDEX(getcds('CDO Bespoke'!$C189,Z$13,'CDO Bespoke'!$G189/10000,'CDO Bespoke'!I189,'CDO Bespoke'!$L165,'CDO Bespoke'!$C$13,'CDO Bespoke'!$C$14,'CDO Bespoke'!$C$15,'CDO Bespoke'!$C$8,,,TRUE,TRUE,FALSE,'CDO Bespoke'!$C$29:'CDO Bespoke'!$C$31,'CDO Bespoke'!$C$33),{5})),"")</f>
        <v/>
      </c>
      <c r="AA164" s="500" t="str" cm="1">
        <f t="array" aca="1" ref="AA164" ca="1">IF($V164&lt;&gt;"",-TRANSPOSE(INDEX(getcds('CDO Bespoke'!$C189,AA$13,'CDO Bespoke'!$G189/10000,'CDO Bespoke'!J189,'CDO Bespoke'!$L165,'CDO Bespoke'!$C$13,'CDO Bespoke'!$C$14,'CDO Bespoke'!$C$15,'CDO Bespoke'!$C$8,,,TRUE,TRUE,FALSE,'CDO Bespoke'!$C$29:'CDO Bespoke'!$C$31,'CDO Bespoke'!$C$33),{5})),"")</f>
        <v/>
      </c>
      <c r="AB164" s="479"/>
      <c r="AC164" s="515"/>
      <c r="AD164" s="516"/>
      <c r="AE164" s="516"/>
      <c r="AF164" s="516"/>
      <c r="AG164" s="516"/>
      <c r="AH164" s="516"/>
      <c r="AI164" s="516"/>
      <c r="AJ164" s="516"/>
      <c r="AK164" s="516"/>
      <c r="AL164" s="517"/>
      <c r="AM164" s="534"/>
    </row>
    <row r="165" spans="2:39" ht="12" thickBot="1">
      <c r="B165" s="552" t="s">
        <v>552</v>
      </c>
      <c r="C165" s="553" t="s">
        <v>66</v>
      </c>
      <c r="D165" s="553" t="s">
        <v>59</v>
      </c>
      <c r="E165" s="553" t="s">
        <v>658</v>
      </c>
      <c r="F165" s="553" t="s">
        <v>663</v>
      </c>
      <c r="G165" s="554">
        <v>0.01</v>
      </c>
      <c r="H165" s="554">
        <v>2.843E-3</v>
      </c>
      <c r="I165" s="555">
        <v>0.4</v>
      </c>
      <c r="J165" s="556">
        <v>47</v>
      </c>
      <c r="K165" s="274"/>
      <c r="L165" s="274"/>
      <c r="M165" s="487" t="str">
        <f ca="1">IF('CDO Bespoke'!O166&lt;&gt;"",'CDO Bespoke'!O166,"")</f>
        <v/>
      </c>
      <c r="N165" s="488" t="str">
        <f ca="1">IF(M165&lt;&gt;"",ABS(MIN(-0.75*('CDO Bespoke'!Q166)+'CDO Bespoke'!T166,0)),"")</f>
        <v/>
      </c>
      <c r="O165" s="488">
        <f t="shared" ca="1" si="8"/>
        <v>0</v>
      </c>
      <c r="P165" s="488">
        <f t="shared" ca="1" si="9"/>
        <v>0</v>
      </c>
      <c r="Q165" s="487" t="str">
        <f ca="1">IF('CDO Bespoke'!O166&lt;&gt;"",'CDO Bespoke'!O166,"")</f>
        <v/>
      </c>
      <c r="R165" s="488" t="str">
        <f ca="1">IF(Q165&lt;&gt;"",ABS(MIN(-0.75*('CDO Bespoke'!K166)+'CDO Bespoke'!T166,0)),"")</f>
        <v/>
      </c>
      <c r="S165" s="488">
        <f t="shared" ca="1" si="10"/>
        <v>0</v>
      </c>
      <c r="T165" s="492">
        <f t="shared" ca="1" si="11"/>
        <v>0</v>
      </c>
      <c r="U165" s="274"/>
      <c r="V165" s="497" t="str">
        <f ca="1">IF('CDO Bespoke'!C190&lt;&gt;"",'CDO Bespoke'!C190,"")</f>
        <v/>
      </c>
      <c r="W165" s="499" t="str" cm="1">
        <f t="array" aca="1" ref="W165" ca="1">IF($V165&lt;&gt;"",-TRANSPOSE(INDEX(getcds('CDO Bespoke'!$C190,W$13,'CDO Bespoke'!$G190/10000,'CDO Bespoke'!F190,'CDO Bespoke'!$L166,'CDO Bespoke'!$C$13,'CDO Bespoke'!$C$14,'CDO Bespoke'!$C$15,'CDO Bespoke'!$C$8,,,TRUE,TRUE,FALSE,'CDO Bespoke'!$C$29:'CDO Bespoke'!$C$31,'CDO Bespoke'!$C$33),{5})),"")</f>
        <v/>
      </c>
      <c r="X165" s="524" t="str" cm="1">
        <f t="array" aca="1" ref="X165" ca="1">IF($V165&lt;&gt;"",-TRANSPOSE(INDEX(getcds('CDO Bespoke'!$C190,X$13,'CDO Bespoke'!$G190/10000,'CDO Bespoke'!G190,'CDO Bespoke'!$L166,'CDO Bespoke'!$C$13,'CDO Bespoke'!$C$14,'CDO Bespoke'!$C$15,'CDO Bespoke'!$C$8,,,TRUE,TRUE,FALSE,'CDO Bespoke'!$C$29:'CDO Bespoke'!$C$31,'CDO Bespoke'!$C$33),{5})),"")</f>
        <v/>
      </c>
      <c r="Y165" s="524" t="str" cm="1">
        <f t="array" aca="1" ref="Y165" ca="1">IF($V165&lt;&gt;"",-TRANSPOSE(INDEX(getcds('CDO Bespoke'!$C190,Y$13,'CDO Bespoke'!$G190/10000,'CDO Bespoke'!H190,'CDO Bespoke'!$L166,'CDO Bespoke'!$C$13,'CDO Bespoke'!$C$14,'CDO Bespoke'!$C$15,'CDO Bespoke'!$C$8,,,TRUE,TRUE,FALSE,'CDO Bespoke'!$C$29:'CDO Bespoke'!$C$31,'CDO Bespoke'!$C$33),{5})),"")</f>
        <v/>
      </c>
      <c r="Z165" s="524" t="str" cm="1">
        <f t="array" aca="1" ref="Z165" ca="1">IF($V165&lt;&gt;"",-TRANSPOSE(INDEX(getcds('CDO Bespoke'!$C190,Z$13,'CDO Bespoke'!$G190/10000,'CDO Bespoke'!I190,'CDO Bespoke'!$L166,'CDO Bespoke'!$C$13,'CDO Bespoke'!$C$14,'CDO Bespoke'!$C$15,'CDO Bespoke'!$C$8,,,TRUE,TRUE,FALSE,'CDO Bespoke'!$C$29:'CDO Bespoke'!$C$31,'CDO Bespoke'!$C$33),{5})),"")</f>
        <v/>
      </c>
      <c r="AA165" s="500" t="str" cm="1">
        <f t="array" aca="1" ref="AA165" ca="1">IF($V165&lt;&gt;"",-TRANSPOSE(INDEX(getcds('CDO Bespoke'!$C190,AA$13,'CDO Bespoke'!$G190/10000,'CDO Bespoke'!J190,'CDO Bespoke'!$L166,'CDO Bespoke'!$C$13,'CDO Bespoke'!$C$14,'CDO Bespoke'!$C$15,'CDO Bespoke'!$C$8,,,TRUE,TRUE,FALSE,'CDO Bespoke'!$C$29:'CDO Bespoke'!$C$31,'CDO Bespoke'!$C$33),{5})),"")</f>
        <v/>
      </c>
      <c r="AB165" s="479"/>
      <c r="AC165" s="515"/>
      <c r="AD165" s="516"/>
      <c r="AE165" s="516"/>
      <c r="AF165" s="516"/>
      <c r="AG165" s="516"/>
      <c r="AH165" s="516"/>
      <c r="AI165" s="516"/>
      <c r="AJ165" s="516"/>
      <c r="AK165" s="516"/>
      <c r="AL165" s="517"/>
      <c r="AM165" s="534"/>
    </row>
    <row r="166" spans="2:39" ht="12" thickBot="1">
      <c r="B166" s="557" t="s">
        <v>567</v>
      </c>
      <c r="C166" s="558" t="s">
        <v>66</v>
      </c>
      <c r="D166" s="558" t="s">
        <v>55</v>
      </c>
      <c r="E166" s="558" t="s">
        <v>660</v>
      </c>
      <c r="F166" s="558" t="s">
        <v>663</v>
      </c>
      <c r="G166" s="559">
        <v>0.01</v>
      </c>
      <c r="H166" s="559">
        <v>4.5620000000000001E-3</v>
      </c>
      <c r="I166" s="560">
        <v>0.4</v>
      </c>
      <c r="J166" s="561">
        <v>48</v>
      </c>
      <c r="K166" s="274"/>
      <c r="L166" s="274"/>
      <c r="M166" s="487" t="str">
        <f ca="1">IF('CDO Bespoke'!O167&lt;&gt;"",'CDO Bespoke'!O167,"")</f>
        <v/>
      </c>
      <c r="N166" s="488" t="str">
        <f ca="1">IF(M166&lt;&gt;"",ABS(MIN(-0.75*('CDO Bespoke'!Q167)+'CDO Bespoke'!T167,0)),"")</f>
        <v/>
      </c>
      <c r="O166" s="488">
        <f t="shared" ca="1" si="8"/>
        <v>0</v>
      </c>
      <c r="P166" s="488">
        <f t="shared" ca="1" si="9"/>
        <v>0</v>
      </c>
      <c r="Q166" s="487" t="str">
        <f ca="1">IF('CDO Bespoke'!O167&lt;&gt;"",'CDO Bespoke'!O167,"")</f>
        <v/>
      </c>
      <c r="R166" s="488" t="str">
        <f ca="1">IF(Q166&lt;&gt;"",ABS(MIN(-0.75*('CDO Bespoke'!K167)+'CDO Bespoke'!T167,0)),"")</f>
        <v/>
      </c>
      <c r="S166" s="488">
        <f t="shared" ca="1" si="10"/>
        <v>0</v>
      </c>
      <c r="T166" s="492">
        <f t="shared" ca="1" si="11"/>
        <v>0</v>
      </c>
      <c r="U166" s="274"/>
      <c r="V166" s="497" t="str">
        <f ca="1">IF('CDO Bespoke'!C191&lt;&gt;"",'CDO Bespoke'!C191,"")</f>
        <v/>
      </c>
      <c r="W166" s="499" t="str" cm="1">
        <f t="array" aca="1" ref="W166" ca="1">IF($V166&lt;&gt;"",-TRANSPOSE(INDEX(getcds('CDO Bespoke'!$C191,W$13,'CDO Bespoke'!$G191/10000,'CDO Bespoke'!F191,'CDO Bespoke'!$L167,'CDO Bespoke'!$C$13,'CDO Bespoke'!$C$14,'CDO Bespoke'!$C$15,'CDO Bespoke'!$C$8,,,TRUE,TRUE,FALSE,'CDO Bespoke'!$C$29:'CDO Bespoke'!$C$31,'CDO Bespoke'!$C$33),{5})),"")</f>
        <v/>
      </c>
      <c r="X166" s="524" t="str" cm="1">
        <f t="array" aca="1" ref="X166" ca="1">IF($V166&lt;&gt;"",-TRANSPOSE(INDEX(getcds('CDO Bespoke'!$C191,X$13,'CDO Bespoke'!$G191/10000,'CDO Bespoke'!G191,'CDO Bespoke'!$L167,'CDO Bespoke'!$C$13,'CDO Bespoke'!$C$14,'CDO Bespoke'!$C$15,'CDO Bespoke'!$C$8,,,TRUE,TRUE,FALSE,'CDO Bespoke'!$C$29:'CDO Bespoke'!$C$31,'CDO Bespoke'!$C$33),{5})),"")</f>
        <v/>
      </c>
      <c r="Y166" s="524" t="str" cm="1">
        <f t="array" aca="1" ref="Y166" ca="1">IF($V166&lt;&gt;"",-TRANSPOSE(INDEX(getcds('CDO Bespoke'!$C191,Y$13,'CDO Bespoke'!$G191/10000,'CDO Bespoke'!H191,'CDO Bespoke'!$L167,'CDO Bespoke'!$C$13,'CDO Bespoke'!$C$14,'CDO Bespoke'!$C$15,'CDO Bespoke'!$C$8,,,TRUE,TRUE,FALSE,'CDO Bespoke'!$C$29:'CDO Bespoke'!$C$31,'CDO Bespoke'!$C$33),{5})),"")</f>
        <v/>
      </c>
      <c r="Z166" s="524" t="str" cm="1">
        <f t="array" aca="1" ref="Z166" ca="1">IF($V166&lt;&gt;"",-TRANSPOSE(INDEX(getcds('CDO Bespoke'!$C191,Z$13,'CDO Bespoke'!$G191/10000,'CDO Bespoke'!I191,'CDO Bespoke'!$L167,'CDO Bespoke'!$C$13,'CDO Bespoke'!$C$14,'CDO Bespoke'!$C$15,'CDO Bespoke'!$C$8,,,TRUE,TRUE,FALSE,'CDO Bespoke'!$C$29:'CDO Bespoke'!$C$31,'CDO Bespoke'!$C$33),{5})),"")</f>
        <v/>
      </c>
      <c r="AA166" s="500" t="str" cm="1">
        <f t="array" aca="1" ref="AA166" ca="1">IF($V166&lt;&gt;"",-TRANSPOSE(INDEX(getcds('CDO Bespoke'!$C191,AA$13,'CDO Bespoke'!$G191/10000,'CDO Bespoke'!J191,'CDO Bespoke'!$L167,'CDO Bespoke'!$C$13,'CDO Bespoke'!$C$14,'CDO Bespoke'!$C$15,'CDO Bespoke'!$C$8,,,TRUE,TRUE,FALSE,'CDO Bespoke'!$C$29:'CDO Bespoke'!$C$31,'CDO Bespoke'!$C$33),{5})),"")</f>
        <v/>
      </c>
      <c r="AB166" s="479"/>
      <c r="AC166" s="515"/>
      <c r="AD166" s="516"/>
      <c r="AE166" s="516"/>
      <c r="AF166" s="516"/>
      <c r="AG166" s="516"/>
      <c r="AH166" s="516"/>
      <c r="AI166" s="516"/>
      <c r="AJ166" s="516"/>
      <c r="AK166" s="516"/>
      <c r="AL166" s="517"/>
      <c r="AM166" s="534"/>
    </row>
    <row r="167" spans="2:39" ht="12" thickBot="1">
      <c r="B167" s="535" t="s">
        <v>567</v>
      </c>
      <c r="C167" s="536" t="s">
        <v>66</v>
      </c>
      <c r="D167" s="536" t="s">
        <v>57</v>
      </c>
      <c r="E167" s="536" t="s">
        <v>660</v>
      </c>
      <c r="F167" s="536" t="s">
        <v>663</v>
      </c>
      <c r="G167" s="543">
        <v>0.01</v>
      </c>
      <c r="H167" s="543">
        <v>7.5360000000000002E-3</v>
      </c>
      <c r="I167" s="545">
        <v>0.4</v>
      </c>
      <c r="J167" s="537">
        <v>48</v>
      </c>
      <c r="K167" s="274"/>
      <c r="L167" s="274"/>
      <c r="M167" s="487" t="str">
        <f ca="1">IF('CDO Bespoke'!O168&lt;&gt;"",'CDO Bespoke'!O168,"")</f>
        <v/>
      </c>
      <c r="N167" s="488" t="str">
        <f ca="1">IF(M167&lt;&gt;"",ABS(MIN(-0.75*('CDO Bespoke'!Q168)+'CDO Bespoke'!T168,0)),"")</f>
        <v/>
      </c>
      <c r="O167" s="488">
        <f t="shared" ca="1" si="8"/>
        <v>0</v>
      </c>
      <c r="P167" s="488">
        <f t="shared" ca="1" si="9"/>
        <v>0</v>
      </c>
      <c r="Q167" s="487" t="str">
        <f ca="1">IF('CDO Bespoke'!O168&lt;&gt;"",'CDO Bespoke'!O168,"")</f>
        <v/>
      </c>
      <c r="R167" s="488" t="str">
        <f ca="1">IF(Q167&lt;&gt;"",ABS(MIN(-0.75*('CDO Bespoke'!K168)+'CDO Bespoke'!T168,0)),"")</f>
        <v/>
      </c>
      <c r="S167" s="488">
        <f t="shared" ca="1" si="10"/>
        <v>0</v>
      </c>
      <c r="T167" s="492">
        <f t="shared" ca="1" si="11"/>
        <v>0</v>
      </c>
      <c r="U167" s="274"/>
      <c r="V167" s="497" t="str">
        <f ca="1">IF('CDO Bespoke'!C192&lt;&gt;"",'CDO Bespoke'!C192,"")</f>
        <v/>
      </c>
      <c r="W167" s="499" t="str" cm="1">
        <f t="array" aca="1" ref="W167" ca="1">IF($V167&lt;&gt;"",-TRANSPOSE(INDEX(getcds('CDO Bespoke'!$C192,W$13,'CDO Bespoke'!$G192/10000,'CDO Bespoke'!F192,'CDO Bespoke'!$L168,'CDO Bespoke'!$C$13,'CDO Bespoke'!$C$14,'CDO Bespoke'!$C$15,'CDO Bespoke'!$C$8,,,TRUE,TRUE,FALSE,'CDO Bespoke'!$C$29:'CDO Bespoke'!$C$31,'CDO Bespoke'!$C$33),{5})),"")</f>
        <v/>
      </c>
      <c r="X167" s="524" t="str" cm="1">
        <f t="array" aca="1" ref="X167" ca="1">IF($V167&lt;&gt;"",-TRANSPOSE(INDEX(getcds('CDO Bespoke'!$C192,X$13,'CDO Bespoke'!$G192/10000,'CDO Bespoke'!G192,'CDO Bespoke'!$L168,'CDO Bespoke'!$C$13,'CDO Bespoke'!$C$14,'CDO Bespoke'!$C$15,'CDO Bespoke'!$C$8,,,TRUE,TRUE,FALSE,'CDO Bespoke'!$C$29:'CDO Bespoke'!$C$31,'CDO Bespoke'!$C$33),{5})),"")</f>
        <v/>
      </c>
      <c r="Y167" s="524" t="str" cm="1">
        <f t="array" aca="1" ref="Y167" ca="1">IF($V167&lt;&gt;"",-TRANSPOSE(INDEX(getcds('CDO Bespoke'!$C192,Y$13,'CDO Bespoke'!$G192/10000,'CDO Bespoke'!H192,'CDO Bespoke'!$L168,'CDO Bespoke'!$C$13,'CDO Bespoke'!$C$14,'CDO Bespoke'!$C$15,'CDO Bespoke'!$C$8,,,TRUE,TRUE,FALSE,'CDO Bespoke'!$C$29:'CDO Bespoke'!$C$31,'CDO Bespoke'!$C$33),{5})),"")</f>
        <v/>
      </c>
      <c r="Z167" s="524" t="str" cm="1">
        <f t="array" aca="1" ref="Z167" ca="1">IF($V167&lt;&gt;"",-TRANSPOSE(INDEX(getcds('CDO Bespoke'!$C192,Z$13,'CDO Bespoke'!$G192/10000,'CDO Bespoke'!I192,'CDO Bespoke'!$L168,'CDO Bespoke'!$C$13,'CDO Bespoke'!$C$14,'CDO Bespoke'!$C$15,'CDO Bespoke'!$C$8,,,TRUE,TRUE,FALSE,'CDO Bespoke'!$C$29:'CDO Bespoke'!$C$31,'CDO Bespoke'!$C$33),{5})),"")</f>
        <v/>
      </c>
      <c r="AA167" s="500" t="str" cm="1">
        <f t="array" aca="1" ref="AA167" ca="1">IF($V167&lt;&gt;"",-TRANSPOSE(INDEX(getcds('CDO Bespoke'!$C192,AA$13,'CDO Bespoke'!$G192/10000,'CDO Bespoke'!J192,'CDO Bespoke'!$L168,'CDO Bespoke'!$C$13,'CDO Bespoke'!$C$14,'CDO Bespoke'!$C$15,'CDO Bespoke'!$C$8,,,TRUE,TRUE,FALSE,'CDO Bespoke'!$C$29:'CDO Bespoke'!$C$31,'CDO Bespoke'!$C$33),{5})),"")</f>
        <v/>
      </c>
      <c r="AB167" s="479"/>
      <c r="AC167" s="515"/>
      <c r="AD167" s="516"/>
      <c r="AE167" s="516"/>
      <c r="AF167" s="516"/>
      <c r="AG167" s="516"/>
      <c r="AH167" s="516"/>
      <c r="AI167" s="516"/>
      <c r="AJ167" s="516"/>
      <c r="AK167" s="516"/>
      <c r="AL167" s="517"/>
      <c r="AM167" s="534"/>
    </row>
    <row r="168" spans="2:39" ht="12" thickBot="1">
      <c r="B168" s="552" t="s">
        <v>567</v>
      </c>
      <c r="C168" s="553" t="s">
        <v>66</v>
      </c>
      <c r="D168" s="553" t="s">
        <v>59</v>
      </c>
      <c r="E168" s="553" t="s">
        <v>660</v>
      </c>
      <c r="F168" s="553" t="s">
        <v>663</v>
      </c>
      <c r="G168" s="554">
        <v>0.01</v>
      </c>
      <c r="H168" s="554">
        <v>1.0989000000000001E-2</v>
      </c>
      <c r="I168" s="555">
        <v>0.4</v>
      </c>
      <c r="J168" s="556">
        <v>48</v>
      </c>
      <c r="K168" s="274"/>
      <c r="L168" s="274"/>
      <c r="M168" s="487" t="str">
        <f ca="1">IF('CDO Bespoke'!O169&lt;&gt;"",'CDO Bespoke'!O169,"")</f>
        <v/>
      </c>
      <c r="N168" s="488" t="str">
        <f ca="1">IF(M168&lt;&gt;"",ABS(MIN(-0.75*('CDO Bespoke'!Q169)+'CDO Bespoke'!T169,0)),"")</f>
        <v/>
      </c>
      <c r="O168" s="488">
        <f t="shared" ca="1" si="8"/>
        <v>0</v>
      </c>
      <c r="P168" s="488">
        <f t="shared" ca="1" si="9"/>
        <v>0</v>
      </c>
      <c r="Q168" s="487" t="str">
        <f ca="1">IF('CDO Bespoke'!O169&lt;&gt;"",'CDO Bespoke'!O169,"")</f>
        <v/>
      </c>
      <c r="R168" s="488" t="str">
        <f ca="1">IF(Q168&lt;&gt;"",ABS(MIN(-0.75*('CDO Bespoke'!K169)+'CDO Bespoke'!T169,0)),"")</f>
        <v/>
      </c>
      <c r="S168" s="488">
        <f t="shared" ca="1" si="10"/>
        <v>0</v>
      </c>
      <c r="T168" s="492">
        <f t="shared" ca="1" si="11"/>
        <v>0</v>
      </c>
      <c r="U168" s="274"/>
      <c r="V168" s="497" t="str">
        <f ca="1">IF('CDO Bespoke'!C193&lt;&gt;"",'CDO Bespoke'!C193,"")</f>
        <v/>
      </c>
      <c r="W168" s="499" t="str" cm="1">
        <f t="array" aca="1" ref="W168" ca="1">IF($V168&lt;&gt;"",-TRANSPOSE(INDEX(getcds('CDO Bespoke'!$C193,W$13,'CDO Bespoke'!$G193/10000,'CDO Bespoke'!F193,'CDO Bespoke'!$L169,'CDO Bespoke'!$C$13,'CDO Bespoke'!$C$14,'CDO Bespoke'!$C$15,'CDO Bespoke'!$C$8,,,TRUE,TRUE,FALSE,'CDO Bespoke'!$C$29:'CDO Bespoke'!$C$31,'CDO Bespoke'!$C$33),{5})),"")</f>
        <v/>
      </c>
      <c r="X168" s="524" t="str" cm="1">
        <f t="array" aca="1" ref="X168" ca="1">IF($V168&lt;&gt;"",-TRANSPOSE(INDEX(getcds('CDO Bespoke'!$C193,X$13,'CDO Bespoke'!$G193/10000,'CDO Bespoke'!G193,'CDO Bespoke'!$L169,'CDO Bespoke'!$C$13,'CDO Bespoke'!$C$14,'CDO Bespoke'!$C$15,'CDO Bespoke'!$C$8,,,TRUE,TRUE,FALSE,'CDO Bespoke'!$C$29:'CDO Bespoke'!$C$31,'CDO Bespoke'!$C$33),{5})),"")</f>
        <v/>
      </c>
      <c r="Y168" s="524" t="str" cm="1">
        <f t="array" aca="1" ref="Y168" ca="1">IF($V168&lt;&gt;"",-TRANSPOSE(INDEX(getcds('CDO Bespoke'!$C193,Y$13,'CDO Bespoke'!$G193/10000,'CDO Bespoke'!H193,'CDO Bespoke'!$L169,'CDO Bespoke'!$C$13,'CDO Bespoke'!$C$14,'CDO Bespoke'!$C$15,'CDO Bespoke'!$C$8,,,TRUE,TRUE,FALSE,'CDO Bespoke'!$C$29:'CDO Bespoke'!$C$31,'CDO Bespoke'!$C$33),{5})),"")</f>
        <v/>
      </c>
      <c r="Z168" s="524" t="str" cm="1">
        <f t="array" aca="1" ref="Z168" ca="1">IF($V168&lt;&gt;"",-TRANSPOSE(INDEX(getcds('CDO Bespoke'!$C193,Z$13,'CDO Bespoke'!$G193/10000,'CDO Bespoke'!I193,'CDO Bespoke'!$L169,'CDO Bespoke'!$C$13,'CDO Bespoke'!$C$14,'CDO Bespoke'!$C$15,'CDO Bespoke'!$C$8,,,TRUE,TRUE,FALSE,'CDO Bespoke'!$C$29:'CDO Bespoke'!$C$31,'CDO Bespoke'!$C$33),{5})),"")</f>
        <v/>
      </c>
      <c r="AA168" s="500" t="str" cm="1">
        <f t="array" aca="1" ref="AA168" ca="1">IF($V168&lt;&gt;"",-TRANSPOSE(INDEX(getcds('CDO Bespoke'!$C193,AA$13,'CDO Bespoke'!$G193/10000,'CDO Bespoke'!J193,'CDO Bespoke'!$L169,'CDO Bespoke'!$C$13,'CDO Bespoke'!$C$14,'CDO Bespoke'!$C$15,'CDO Bespoke'!$C$8,,,TRUE,TRUE,FALSE,'CDO Bespoke'!$C$29:'CDO Bespoke'!$C$31,'CDO Bespoke'!$C$33),{5})),"")</f>
        <v/>
      </c>
      <c r="AB168" s="479"/>
      <c r="AC168" s="515"/>
      <c r="AD168" s="516"/>
      <c r="AE168" s="516"/>
      <c r="AF168" s="516"/>
      <c r="AG168" s="516"/>
      <c r="AH168" s="516"/>
      <c r="AI168" s="516"/>
      <c r="AJ168" s="516"/>
      <c r="AK168" s="516"/>
      <c r="AL168" s="517"/>
      <c r="AM168" s="534"/>
    </row>
    <row r="169" spans="2:39" ht="12" thickBot="1">
      <c r="B169" s="557" t="s">
        <v>553</v>
      </c>
      <c r="C169" s="558" t="s">
        <v>66</v>
      </c>
      <c r="D169" s="558" t="s">
        <v>55</v>
      </c>
      <c r="E169" s="558" t="s">
        <v>658</v>
      </c>
      <c r="F169" s="558" t="s">
        <v>663</v>
      </c>
      <c r="G169" s="559">
        <v>0.01</v>
      </c>
      <c r="H169" s="559">
        <v>2.6589999999999999E-3</v>
      </c>
      <c r="I169" s="560">
        <v>0.4</v>
      </c>
      <c r="J169" s="561">
        <v>49</v>
      </c>
      <c r="K169" s="274"/>
      <c r="L169" s="274"/>
      <c r="M169" s="487" t="str">
        <f ca="1">IF('CDO Bespoke'!O170&lt;&gt;"",'CDO Bespoke'!O170,"")</f>
        <v/>
      </c>
      <c r="N169" s="488" t="str">
        <f ca="1">IF(M169&lt;&gt;"",ABS(MIN(-0.75*('CDO Bespoke'!Q170)+'CDO Bespoke'!T170,0)),"")</f>
        <v/>
      </c>
      <c r="O169" s="488">
        <f t="shared" ca="1" si="8"/>
        <v>0</v>
      </c>
      <c r="P169" s="488">
        <f t="shared" ca="1" si="9"/>
        <v>0</v>
      </c>
      <c r="Q169" s="487" t="str">
        <f ca="1">IF('CDO Bespoke'!O170&lt;&gt;"",'CDO Bespoke'!O170,"")</f>
        <v/>
      </c>
      <c r="R169" s="488" t="str">
        <f ca="1">IF(Q169&lt;&gt;"",ABS(MIN(-0.75*('CDO Bespoke'!K170)+'CDO Bespoke'!T170,0)),"")</f>
        <v/>
      </c>
      <c r="S169" s="488">
        <f t="shared" ca="1" si="10"/>
        <v>0</v>
      </c>
      <c r="T169" s="492">
        <f t="shared" ca="1" si="11"/>
        <v>0</v>
      </c>
      <c r="U169" s="274"/>
      <c r="V169" s="497" t="str">
        <f ca="1">IF('CDO Bespoke'!C194&lt;&gt;"",'CDO Bespoke'!C194,"")</f>
        <v/>
      </c>
      <c r="W169" s="499" t="str" cm="1">
        <f t="array" aca="1" ref="W169" ca="1">IF($V169&lt;&gt;"",-TRANSPOSE(INDEX(getcds('CDO Bespoke'!$C194,W$13,'CDO Bespoke'!$G194/10000,'CDO Bespoke'!F194,'CDO Bespoke'!$L170,'CDO Bespoke'!$C$13,'CDO Bespoke'!$C$14,'CDO Bespoke'!$C$15,'CDO Bespoke'!$C$8,,,TRUE,TRUE,FALSE,'CDO Bespoke'!$C$29:'CDO Bespoke'!$C$31,'CDO Bespoke'!$C$33),{5})),"")</f>
        <v/>
      </c>
      <c r="X169" s="524" t="str" cm="1">
        <f t="array" aca="1" ref="X169" ca="1">IF($V169&lt;&gt;"",-TRANSPOSE(INDEX(getcds('CDO Bespoke'!$C194,X$13,'CDO Bespoke'!$G194/10000,'CDO Bespoke'!G194,'CDO Bespoke'!$L170,'CDO Bespoke'!$C$13,'CDO Bespoke'!$C$14,'CDO Bespoke'!$C$15,'CDO Bespoke'!$C$8,,,TRUE,TRUE,FALSE,'CDO Bespoke'!$C$29:'CDO Bespoke'!$C$31,'CDO Bespoke'!$C$33),{5})),"")</f>
        <v/>
      </c>
      <c r="Y169" s="524" t="str" cm="1">
        <f t="array" aca="1" ref="Y169" ca="1">IF($V169&lt;&gt;"",-TRANSPOSE(INDEX(getcds('CDO Bespoke'!$C194,Y$13,'CDO Bespoke'!$G194/10000,'CDO Bespoke'!H194,'CDO Bespoke'!$L170,'CDO Bespoke'!$C$13,'CDO Bespoke'!$C$14,'CDO Bespoke'!$C$15,'CDO Bespoke'!$C$8,,,TRUE,TRUE,FALSE,'CDO Bespoke'!$C$29:'CDO Bespoke'!$C$31,'CDO Bespoke'!$C$33),{5})),"")</f>
        <v/>
      </c>
      <c r="Z169" s="524" t="str" cm="1">
        <f t="array" aca="1" ref="Z169" ca="1">IF($V169&lt;&gt;"",-TRANSPOSE(INDEX(getcds('CDO Bespoke'!$C194,Z$13,'CDO Bespoke'!$G194/10000,'CDO Bespoke'!I194,'CDO Bespoke'!$L170,'CDO Bespoke'!$C$13,'CDO Bespoke'!$C$14,'CDO Bespoke'!$C$15,'CDO Bespoke'!$C$8,,,TRUE,TRUE,FALSE,'CDO Bespoke'!$C$29:'CDO Bespoke'!$C$31,'CDO Bespoke'!$C$33),{5})),"")</f>
        <v/>
      </c>
      <c r="AA169" s="500" t="str" cm="1">
        <f t="array" aca="1" ref="AA169" ca="1">IF($V169&lt;&gt;"",-TRANSPOSE(INDEX(getcds('CDO Bespoke'!$C194,AA$13,'CDO Bespoke'!$G194/10000,'CDO Bespoke'!J194,'CDO Bespoke'!$L170,'CDO Bespoke'!$C$13,'CDO Bespoke'!$C$14,'CDO Bespoke'!$C$15,'CDO Bespoke'!$C$8,,,TRUE,TRUE,FALSE,'CDO Bespoke'!$C$29:'CDO Bespoke'!$C$31,'CDO Bespoke'!$C$33),{5})),"")</f>
        <v/>
      </c>
      <c r="AB169" s="479"/>
      <c r="AC169" s="515"/>
      <c r="AD169" s="516"/>
      <c r="AE169" s="516"/>
      <c r="AF169" s="516"/>
      <c r="AG169" s="516"/>
      <c r="AH169" s="516"/>
      <c r="AI169" s="516"/>
      <c r="AJ169" s="516"/>
      <c r="AK169" s="516"/>
      <c r="AL169" s="517"/>
      <c r="AM169" s="534"/>
    </row>
    <row r="170" spans="2:39" ht="12" thickBot="1">
      <c r="B170" s="535" t="s">
        <v>553</v>
      </c>
      <c r="C170" s="536" t="s">
        <v>66</v>
      </c>
      <c r="D170" s="536" t="s">
        <v>57</v>
      </c>
      <c r="E170" s="536" t="s">
        <v>658</v>
      </c>
      <c r="F170" s="536" t="s">
        <v>663</v>
      </c>
      <c r="G170" s="543">
        <v>0.01</v>
      </c>
      <c r="H170" s="543">
        <v>4.2420000000000001E-3</v>
      </c>
      <c r="I170" s="545">
        <v>0.4</v>
      </c>
      <c r="J170" s="537">
        <v>49</v>
      </c>
      <c r="K170" s="274"/>
      <c r="L170" s="274"/>
      <c r="M170" s="487" t="str">
        <f ca="1">IF('CDO Bespoke'!O171&lt;&gt;"",'CDO Bespoke'!O171,"")</f>
        <v/>
      </c>
      <c r="N170" s="488" t="str">
        <f ca="1">IF(M170&lt;&gt;"",ABS(MIN(-0.75*('CDO Bespoke'!Q171)+'CDO Bespoke'!T171,0)),"")</f>
        <v/>
      </c>
      <c r="O170" s="488">
        <f t="shared" ca="1" si="8"/>
        <v>0</v>
      </c>
      <c r="P170" s="488">
        <f t="shared" ca="1" si="9"/>
        <v>0</v>
      </c>
      <c r="Q170" s="487" t="str">
        <f ca="1">IF('CDO Bespoke'!O171&lt;&gt;"",'CDO Bespoke'!O171,"")</f>
        <v/>
      </c>
      <c r="R170" s="488" t="str">
        <f ca="1">IF(Q170&lt;&gt;"",ABS(MIN(-0.75*('CDO Bespoke'!K171)+'CDO Bespoke'!T171,0)),"")</f>
        <v/>
      </c>
      <c r="S170" s="488">
        <f t="shared" ca="1" si="10"/>
        <v>0</v>
      </c>
      <c r="T170" s="492">
        <f t="shared" ca="1" si="11"/>
        <v>0</v>
      </c>
      <c r="U170" s="274"/>
      <c r="V170" s="497" t="str">
        <f ca="1">IF('CDO Bespoke'!C195&lt;&gt;"",'CDO Bespoke'!C195,"")</f>
        <v/>
      </c>
      <c r="W170" s="499" t="str" cm="1">
        <f t="array" aca="1" ref="W170" ca="1">IF($V170&lt;&gt;"",-TRANSPOSE(INDEX(getcds('CDO Bespoke'!$C195,W$13,'CDO Bespoke'!$G195/10000,'CDO Bespoke'!F195,'CDO Bespoke'!$L171,'CDO Bespoke'!$C$13,'CDO Bespoke'!$C$14,'CDO Bespoke'!$C$15,'CDO Bespoke'!$C$8,,,TRUE,TRUE,FALSE,'CDO Bespoke'!$C$29:'CDO Bespoke'!$C$31,'CDO Bespoke'!$C$33),{5})),"")</f>
        <v/>
      </c>
      <c r="X170" s="524" t="str" cm="1">
        <f t="array" aca="1" ref="X170" ca="1">IF($V170&lt;&gt;"",-TRANSPOSE(INDEX(getcds('CDO Bespoke'!$C195,X$13,'CDO Bespoke'!$G195/10000,'CDO Bespoke'!G195,'CDO Bespoke'!$L171,'CDO Bespoke'!$C$13,'CDO Bespoke'!$C$14,'CDO Bespoke'!$C$15,'CDO Bespoke'!$C$8,,,TRUE,TRUE,FALSE,'CDO Bespoke'!$C$29:'CDO Bespoke'!$C$31,'CDO Bespoke'!$C$33),{5})),"")</f>
        <v/>
      </c>
      <c r="Y170" s="524" t="str" cm="1">
        <f t="array" aca="1" ref="Y170" ca="1">IF($V170&lt;&gt;"",-TRANSPOSE(INDEX(getcds('CDO Bespoke'!$C195,Y$13,'CDO Bespoke'!$G195/10000,'CDO Bespoke'!H195,'CDO Bespoke'!$L171,'CDO Bespoke'!$C$13,'CDO Bespoke'!$C$14,'CDO Bespoke'!$C$15,'CDO Bespoke'!$C$8,,,TRUE,TRUE,FALSE,'CDO Bespoke'!$C$29:'CDO Bespoke'!$C$31,'CDO Bespoke'!$C$33),{5})),"")</f>
        <v/>
      </c>
      <c r="Z170" s="524" t="str" cm="1">
        <f t="array" aca="1" ref="Z170" ca="1">IF($V170&lt;&gt;"",-TRANSPOSE(INDEX(getcds('CDO Bespoke'!$C195,Z$13,'CDO Bespoke'!$G195/10000,'CDO Bespoke'!I195,'CDO Bespoke'!$L171,'CDO Bespoke'!$C$13,'CDO Bespoke'!$C$14,'CDO Bespoke'!$C$15,'CDO Bespoke'!$C$8,,,TRUE,TRUE,FALSE,'CDO Bespoke'!$C$29:'CDO Bespoke'!$C$31,'CDO Bespoke'!$C$33),{5})),"")</f>
        <v/>
      </c>
      <c r="AA170" s="500" t="str" cm="1">
        <f t="array" aca="1" ref="AA170" ca="1">IF($V170&lt;&gt;"",-TRANSPOSE(INDEX(getcds('CDO Bespoke'!$C195,AA$13,'CDO Bespoke'!$G195/10000,'CDO Bespoke'!J195,'CDO Bespoke'!$L171,'CDO Bespoke'!$C$13,'CDO Bespoke'!$C$14,'CDO Bespoke'!$C$15,'CDO Bespoke'!$C$8,,,TRUE,TRUE,FALSE,'CDO Bespoke'!$C$29:'CDO Bespoke'!$C$31,'CDO Bespoke'!$C$33),{5})),"")</f>
        <v/>
      </c>
      <c r="AB170" s="479"/>
      <c r="AC170" s="515"/>
      <c r="AD170" s="516"/>
      <c r="AE170" s="516"/>
      <c r="AF170" s="516"/>
      <c r="AG170" s="516"/>
      <c r="AH170" s="516"/>
      <c r="AI170" s="516"/>
      <c r="AJ170" s="516"/>
      <c r="AK170" s="516"/>
      <c r="AL170" s="517"/>
      <c r="AM170" s="534"/>
    </row>
    <row r="171" spans="2:39" ht="12" thickBot="1">
      <c r="B171" s="552" t="s">
        <v>553</v>
      </c>
      <c r="C171" s="553" t="s">
        <v>66</v>
      </c>
      <c r="D171" s="553" t="s">
        <v>59</v>
      </c>
      <c r="E171" s="553" t="s">
        <v>658</v>
      </c>
      <c r="F171" s="553" t="s">
        <v>663</v>
      </c>
      <c r="G171" s="554">
        <v>0.01</v>
      </c>
      <c r="H171" s="554">
        <v>5.659E-3</v>
      </c>
      <c r="I171" s="555">
        <v>0.4</v>
      </c>
      <c r="J171" s="556">
        <v>49</v>
      </c>
      <c r="K171" s="274"/>
      <c r="L171" s="274"/>
      <c r="M171" s="487" t="str">
        <f ca="1">IF('CDO Bespoke'!O172&lt;&gt;"",'CDO Bespoke'!O172,"")</f>
        <v/>
      </c>
      <c r="N171" s="488" t="str">
        <f ca="1">IF(M171&lt;&gt;"",ABS(MIN(-0.75*('CDO Bespoke'!Q172)+'CDO Bespoke'!T172,0)),"")</f>
        <v/>
      </c>
      <c r="O171" s="488">
        <f t="shared" ca="1" si="8"/>
        <v>0</v>
      </c>
      <c r="P171" s="488">
        <f t="shared" ca="1" si="9"/>
        <v>0</v>
      </c>
      <c r="Q171" s="487" t="str">
        <f ca="1">IF('CDO Bespoke'!O172&lt;&gt;"",'CDO Bespoke'!O172,"")</f>
        <v/>
      </c>
      <c r="R171" s="488" t="str">
        <f ca="1">IF(Q171&lt;&gt;"",ABS(MIN(-0.75*('CDO Bespoke'!K172)+'CDO Bespoke'!T172,0)),"")</f>
        <v/>
      </c>
      <c r="S171" s="488">
        <f t="shared" ca="1" si="10"/>
        <v>0</v>
      </c>
      <c r="T171" s="492">
        <f t="shared" ca="1" si="11"/>
        <v>0</v>
      </c>
      <c r="U171" s="274"/>
      <c r="V171" s="497" t="str">
        <f ca="1">IF('CDO Bespoke'!C196&lt;&gt;"",'CDO Bespoke'!C196,"")</f>
        <v/>
      </c>
      <c r="W171" s="499" t="str" cm="1">
        <f t="array" aca="1" ref="W171" ca="1">IF($V171&lt;&gt;"",-TRANSPOSE(INDEX(getcds('CDO Bespoke'!$C196,W$13,'CDO Bespoke'!$G196/10000,'CDO Bespoke'!F196,'CDO Bespoke'!$L172,'CDO Bespoke'!$C$13,'CDO Bespoke'!$C$14,'CDO Bespoke'!$C$15,'CDO Bespoke'!$C$8,,,TRUE,TRUE,FALSE,'CDO Bespoke'!$C$29:'CDO Bespoke'!$C$31,'CDO Bespoke'!$C$33),{5})),"")</f>
        <v/>
      </c>
      <c r="X171" s="524" t="str" cm="1">
        <f t="array" aca="1" ref="X171" ca="1">IF($V171&lt;&gt;"",-TRANSPOSE(INDEX(getcds('CDO Bespoke'!$C196,X$13,'CDO Bespoke'!$G196/10000,'CDO Bespoke'!G196,'CDO Bespoke'!$L172,'CDO Bespoke'!$C$13,'CDO Bespoke'!$C$14,'CDO Bespoke'!$C$15,'CDO Bespoke'!$C$8,,,TRUE,TRUE,FALSE,'CDO Bespoke'!$C$29:'CDO Bespoke'!$C$31,'CDO Bespoke'!$C$33),{5})),"")</f>
        <v/>
      </c>
      <c r="Y171" s="524" t="str" cm="1">
        <f t="array" aca="1" ref="Y171" ca="1">IF($V171&lt;&gt;"",-TRANSPOSE(INDEX(getcds('CDO Bespoke'!$C196,Y$13,'CDO Bespoke'!$G196/10000,'CDO Bespoke'!H196,'CDO Bespoke'!$L172,'CDO Bespoke'!$C$13,'CDO Bespoke'!$C$14,'CDO Bespoke'!$C$15,'CDO Bespoke'!$C$8,,,TRUE,TRUE,FALSE,'CDO Bespoke'!$C$29:'CDO Bespoke'!$C$31,'CDO Bespoke'!$C$33),{5})),"")</f>
        <v/>
      </c>
      <c r="Z171" s="524" t="str" cm="1">
        <f t="array" aca="1" ref="Z171" ca="1">IF($V171&lt;&gt;"",-TRANSPOSE(INDEX(getcds('CDO Bespoke'!$C196,Z$13,'CDO Bespoke'!$G196/10000,'CDO Bespoke'!I196,'CDO Bespoke'!$L172,'CDO Bespoke'!$C$13,'CDO Bespoke'!$C$14,'CDO Bespoke'!$C$15,'CDO Bespoke'!$C$8,,,TRUE,TRUE,FALSE,'CDO Bespoke'!$C$29:'CDO Bespoke'!$C$31,'CDO Bespoke'!$C$33),{5})),"")</f>
        <v/>
      </c>
      <c r="AA171" s="500" t="str" cm="1">
        <f t="array" aca="1" ref="AA171" ca="1">IF($V171&lt;&gt;"",-TRANSPOSE(INDEX(getcds('CDO Bespoke'!$C196,AA$13,'CDO Bespoke'!$G196/10000,'CDO Bespoke'!J196,'CDO Bespoke'!$L172,'CDO Bespoke'!$C$13,'CDO Bespoke'!$C$14,'CDO Bespoke'!$C$15,'CDO Bespoke'!$C$8,,,TRUE,TRUE,FALSE,'CDO Bespoke'!$C$29:'CDO Bespoke'!$C$31,'CDO Bespoke'!$C$33),{5})),"")</f>
        <v/>
      </c>
      <c r="AB171" s="479"/>
      <c r="AC171" s="515"/>
      <c r="AD171" s="516"/>
      <c r="AE171" s="516"/>
      <c r="AF171" s="516"/>
      <c r="AG171" s="516"/>
      <c r="AH171" s="516"/>
      <c r="AI171" s="516"/>
      <c r="AJ171" s="516"/>
      <c r="AK171" s="516"/>
      <c r="AL171" s="517"/>
      <c r="AM171" s="534"/>
    </row>
    <row r="172" spans="2:39" ht="12" thickBot="1">
      <c r="B172" s="557" t="s">
        <v>554</v>
      </c>
      <c r="C172" s="558" t="s">
        <v>66</v>
      </c>
      <c r="D172" s="558" t="s">
        <v>55</v>
      </c>
      <c r="E172" s="558" t="s">
        <v>660</v>
      </c>
      <c r="F172" s="558" t="s">
        <v>663</v>
      </c>
      <c r="G172" s="559">
        <v>0.01</v>
      </c>
      <c r="H172" s="559">
        <v>1.866E-3</v>
      </c>
      <c r="I172" s="560">
        <v>0.4</v>
      </c>
      <c r="J172" s="561">
        <v>50</v>
      </c>
      <c r="K172" s="274"/>
      <c r="L172" s="274"/>
      <c r="M172" s="487" t="str">
        <f ca="1">IF('CDO Bespoke'!O173&lt;&gt;"",'CDO Bespoke'!O173,"")</f>
        <v/>
      </c>
      <c r="N172" s="488" t="str">
        <f ca="1">IF(M172&lt;&gt;"",ABS(MIN(-0.75*('CDO Bespoke'!Q173)+'CDO Bespoke'!T173,0)),"")</f>
        <v/>
      </c>
      <c r="O172" s="488">
        <f t="shared" ca="1" si="8"/>
        <v>0</v>
      </c>
      <c r="P172" s="488">
        <f t="shared" ca="1" si="9"/>
        <v>0</v>
      </c>
      <c r="Q172" s="487" t="str">
        <f ca="1">IF('CDO Bespoke'!O173&lt;&gt;"",'CDO Bespoke'!O173,"")</f>
        <v/>
      </c>
      <c r="R172" s="488" t="str">
        <f ca="1">IF(Q172&lt;&gt;"",ABS(MIN(-0.75*('CDO Bespoke'!K173)+'CDO Bespoke'!T173,0)),"")</f>
        <v/>
      </c>
      <c r="S172" s="488">
        <f t="shared" ca="1" si="10"/>
        <v>0</v>
      </c>
      <c r="T172" s="492">
        <f t="shared" ca="1" si="11"/>
        <v>0</v>
      </c>
      <c r="U172" s="274"/>
      <c r="V172" s="497" t="str">
        <f ca="1">IF('CDO Bespoke'!C197&lt;&gt;"",'CDO Bespoke'!C197,"")</f>
        <v/>
      </c>
      <c r="W172" s="499" t="str" cm="1">
        <f t="array" aca="1" ref="W172" ca="1">IF($V172&lt;&gt;"",-TRANSPOSE(INDEX(getcds('CDO Bespoke'!$C197,W$13,'CDO Bespoke'!$G197/10000,'CDO Bespoke'!F197,'CDO Bespoke'!$L173,'CDO Bespoke'!$C$13,'CDO Bespoke'!$C$14,'CDO Bespoke'!$C$15,'CDO Bespoke'!$C$8,,,TRUE,TRUE,FALSE,'CDO Bespoke'!$C$29:'CDO Bespoke'!$C$31,'CDO Bespoke'!$C$33),{5})),"")</f>
        <v/>
      </c>
      <c r="X172" s="524" t="str" cm="1">
        <f t="array" aca="1" ref="X172" ca="1">IF($V172&lt;&gt;"",-TRANSPOSE(INDEX(getcds('CDO Bespoke'!$C197,X$13,'CDO Bespoke'!$G197/10000,'CDO Bespoke'!G197,'CDO Bespoke'!$L173,'CDO Bespoke'!$C$13,'CDO Bespoke'!$C$14,'CDO Bespoke'!$C$15,'CDO Bespoke'!$C$8,,,TRUE,TRUE,FALSE,'CDO Bespoke'!$C$29:'CDO Bespoke'!$C$31,'CDO Bespoke'!$C$33),{5})),"")</f>
        <v/>
      </c>
      <c r="Y172" s="524" t="str" cm="1">
        <f t="array" aca="1" ref="Y172" ca="1">IF($V172&lt;&gt;"",-TRANSPOSE(INDEX(getcds('CDO Bespoke'!$C197,Y$13,'CDO Bespoke'!$G197/10000,'CDO Bespoke'!H197,'CDO Bespoke'!$L173,'CDO Bespoke'!$C$13,'CDO Bespoke'!$C$14,'CDO Bespoke'!$C$15,'CDO Bespoke'!$C$8,,,TRUE,TRUE,FALSE,'CDO Bespoke'!$C$29:'CDO Bespoke'!$C$31,'CDO Bespoke'!$C$33),{5})),"")</f>
        <v/>
      </c>
      <c r="Z172" s="524" t="str" cm="1">
        <f t="array" aca="1" ref="Z172" ca="1">IF($V172&lt;&gt;"",-TRANSPOSE(INDEX(getcds('CDO Bespoke'!$C197,Z$13,'CDO Bespoke'!$G197/10000,'CDO Bespoke'!I197,'CDO Bespoke'!$L173,'CDO Bespoke'!$C$13,'CDO Bespoke'!$C$14,'CDO Bespoke'!$C$15,'CDO Bespoke'!$C$8,,,TRUE,TRUE,FALSE,'CDO Bespoke'!$C$29:'CDO Bespoke'!$C$31,'CDO Bespoke'!$C$33),{5})),"")</f>
        <v/>
      </c>
      <c r="AA172" s="500" t="str" cm="1">
        <f t="array" aca="1" ref="AA172" ca="1">IF($V172&lt;&gt;"",-TRANSPOSE(INDEX(getcds('CDO Bespoke'!$C197,AA$13,'CDO Bespoke'!$G197/10000,'CDO Bespoke'!J197,'CDO Bespoke'!$L173,'CDO Bespoke'!$C$13,'CDO Bespoke'!$C$14,'CDO Bespoke'!$C$15,'CDO Bespoke'!$C$8,,,TRUE,TRUE,FALSE,'CDO Bespoke'!$C$29:'CDO Bespoke'!$C$31,'CDO Bespoke'!$C$33),{5})),"")</f>
        <v/>
      </c>
      <c r="AB172" s="479"/>
      <c r="AC172" s="515"/>
      <c r="AD172" s="516"/>
      <c r="AE172" s="516"/>
      <c r="AF172" s="516"/>
      <c r="AG172" s="516"/>
      <c r="AH172" s="516"/>
      <c r="AI172" s="516"/>
      <c r="AJ172" s="516"/>
      <c r="AK172" s="516"/>
      <c r="AL172" s="517"/>
      <c r="AM172" s="534"/>
    </row>
    <row r="173" spans="2:39" ht="12" thickBot="1">
      <c r="B173" s="535" t="s">
        <v>554</v>
      </c>
      <c r="C173" s="536" t="s">
        <v>66</v>
      </c>
      <c r="D173" s="536" t="s">
        <v>57</v>
      </c>
      <c r="E173" s="536" t="s">
        <v>660</v>
      </c>
      <c r="F173" s="536" t="s">
        <v>663</v>
      </c>
      <c r="G173" s="543">
        <v>0.01</v>
      </c>
      <c r="H173" s="543">
        <v>3.0259999999999999E-2</v>
      </c>
      <c r="I173" s="545">
        <v>0.4</v>
      </c>
      <c r="J173" s="537">
        <v>50</v>
      </c>
      <c r="K173" s="274"/>
      <c r="L173" s="274"/>
      <c r="M173" s="487" t="str">
        <f ca="1">IF('CDO Bespoke'!O174&lt;&gt;"",'CDO Bespoke'!O174,"")</f>
        <v/>
      </c>
      <c r="N173" s="488" t="str">
        <f ca="1">IF(M173&lt;&gt;"",ABS(MIN(-0.75*('CDO Bespoke'!Q174)+'CDO Bespoke'!T174,0)),"")</f>
        <v/>
      </c>
      <c r="O173" s="488">
        <f t="shared" ca="1" si="8"/>
        <v>0</v>
      </c>
      <c r="P173" s="488">
        <f t="shared" ca="1" si="9"/>
        <v>0</v>
      </c>
      <c r="Q173" s="487" t="str">
        <f ca="1">IF('CDO Bespoke'!O174&lt;&gt;"",'CDO Bespoke'!O174,"")</f>
        <v/>
      </c>
      <c r="R173" s="488" t="str">
        <f ca="1">IF(Q173&lt;&gt;"",ABS(MIN(-0.75*('CDO Bespoke'!K174)+'CDO Bespoke'!T174,0)),"")</f>
        <v/>
      </c>
      <c r="S173" s="488">
        <f t="shared" ca="1" si="10"/>
        <v>0</v>
      </c>
      <c r="T173" s="492">
        <f t="shared" ca="1" si="11"/>
        <v>0</v>
      </c>
      <c r="U173" s="274"/>
      <c r="V173" s="497" t="str">
        <f ca="1">IF('CDO Bespoke'!C198&lt;&gt;"",'CDO Bespoke'!C198,"")</f>
        <v/>
      </c>
      <c r="W173" s="499" t="str" cm="1">
        <f t="array" aca="1" ref="W173" ca="1">IF($V173&lt;&gt;"",-TRANSPOSE(INDEX(getcds('CDO Bespoke'!$C198,W$13,'CDO Bespoke'!$G198/10000,'CDO Bespoke'!F198,'CDO Bespoke'!$L174,'CDO Bespoke'!$C$13,'CDO Bespoke'!$C$14,'CDO Bespoke'!$C$15,'CDO Bespoke'!$C$8,,,TRUE,TRUE,FALSE,'CDO Bespoke'!$C$29:'CDO Bespoke'!$C$31,'CDO Bespoke'!$C$33),{5})),"")</f>
        <v/>
      </c>
      <c r="X173" s="524" t="str" cm="1">
        <f t="array" aca="1" ref="X173" ca="1">IF($V173&lt;&gt;"",-TRANSPOSE(INDEX(getcds('CDO Bespoke'!$C198,X$13,'CDO Bespoke'!$G198/10000,'CDO Bespoke'!G198,'CDO Bespoke'!$L174,'CDO Bespoke'!$C$13,'CDO Bespoke'!$C$14,'CDO Bespoke'!$C$15,'CDO Bespoke'!$C$8,,,TRUE,TRUE,FALSE,'CDO Bespoke'!$C$29:'CDO Bespoke'!$C$31,'CDO Bespoke'!$C$33),{5})),"")</f>
        <v/>
      </c>
      <c r="Y173" s="524" t="str" cm="1">
        <f t="array" aca="1" ref="Y173" ca="1">IF($V173&lt;&gt;"",-TRANSPOSE(INDEX(getcds('CDO Bespoke'!$C198,Y$13,'CDO Bespoke'!$G198/10000,'CDO Bespoke'!H198,'CDO Bespoke'!$L174,'CDO Bespoke'!$C$13,'CDO Bespoke'!$C$14,'CDO Bespoke'!$C$15,'CDO Bespoke'!$C$8,,,TRUE,TRUE,FALSE,'CDO Bespoke'!$C$29:'CDO Bespoke'!$C$31,'CDO Bespoke'!$C$33),{5})),"")</f>
        <v/>
      </c>
      <c r="Z173" s="524" t="str" cm="1">
        <f t="array" aca="1" ref="Z173" ca="1">IF($V173&lt;&gt;"",-TRANSPOSE(INDEX(getcds('CDO Bespoke'!$C198,Z$13,'CDO Bespoke'!$G198/10000,'CDO Bespoke'!I198,'CDO Bespoke'!$L174,'CDO Bespoke'!$C$13,'CDO Bespoke'!$C$14,'CDO Bespoke'!$C$15,'CDO Bespoke'!$C$8,,,TRUE,TRUE,FALSE,'CDO Bespoke'!$C$29:'CDO Bespoke'!$C$31,'CDO Bespoke'!$C$33),{5})),"")</f>
        <v/>
      </c>
      <c r="AA173" s="500" t="str" cm="1">
        <f t="array" aca="1" ref="AA173" ca="1">IF($V173&lt;&gt;"",-TRANSPOSE(INDEX(getcds('CDO Bespoke'!$C198,AA$13,'CDO Bespoke'!$G198/10000,'CDO Bespoke'!J198,'CDO Bespoke'!$L174,'CDO Bespoke'!$C$13,'CDO Bespoke'!$C$14,'CDO Bespoke'!$C$15,'CDO Bespoke'!$C$8,,,TRUE,TRUE,FALSE,'CDO Bespoke'!$C$29:'CDO Bespoke'!$C$31,'CDO Bespoke'!$C$33),{5})),"")</f>
        <v/>
      </c>
      <c r="AB173" s="479"/>
      <c r="AC173" s="515"/>
      <c r="AD173" s="516"/>
      <c r="AE173" s="516"/>
      <c r="AF173" s="516"/>
      <c r="AG173" s="516"/>
      <c r="AH173" s="516"/>
      <c r="AI173" s="516"/>
      <c r="AJ173" s="516"/>
      <c r="AK173" s="516"/>
      <c r="AL173" s="517"/>
      <c r="AM173" s="534"/>
    </row>
    <row r="174" spans="2:39" ht="12" thickBot="1">
      <c r="B174" s="552" t="s">
        <v>554</v>
      </c>
      <c r="C174" s="553" t="s">
        <v>66</v>
      </c>
      <c r="D174" s="553" t="s">
        <v>59</v>
      </c>
      <c r="E174" s="553" t="s">
        <v>660</v>
      </c>
      <c r="F174" s="553" t="s">
        <v>663</v>
      </c>
      <c r="G174" s="554">
        <v>0.01</v>
      </c>
      <c r="H174" s="554">
        <v>4.2849999999999997E-3</v>
      </c>
      <c r="I174" s="555">
        <v>0.4</v>
      </c>
      <c r="J174" s="556">
        <v>50</v>
      </c>
      <c r="K174" s="274"/>
      <c r="L174" s="274"/>
      <c r="M174" s="487" t="str">
        <f ca="1">IF('CDO Bespoke'!O175&lt;&gt;"",'CDO Bespoke'!O175,"")</f>
        <v/>
      </c>
      <c r="N174" s="488" t="str">
        <f ca="1">IF(M174&lt;&gt;"",ABS(MIN(-0.75*('CDO Bespoke'!Q175)+'CDO Bespoke'!T175,0)),"")</f>
        <v/>
      </c>
      <c r="O174" s="488">
        <f t="shared" ca="1" si="8"/>
        <v>0</v>
      </c>
      <c r="P174" s="488">
        <f t="shared" ca="1" si="9"/>
        <v>0</v>
      </c>
      <c r="Q174" s="487" t="str">
        <f ca="1">IF('CDO Bespoke'!O175&lt;&gt;"",'CDO Bespoke'!O175,"")</f>
        <v/>
      </c>
      <c r="R174" s="488" t="str">
        <f ca="1">IF(Q174&lt;&gt;"",ABS(MIN(-0.75*('CDO Bespoke'!K175)+'CDO Bespoke'!T175,0)),"")</f>
        <v/>
      </c>
      <c r="S174" s="488">
        <f t="shared" ca="1" si="10"/>
        <v>0</v>
      </c>
      <c r="T174" s="492">
        <f t="shared" ca="1" si="11"/>
        <v>0</v>
      </c>
      <c r="U174" s="274"/>
      <c r="V174" s="497" t="str">
        <f ca="1">IF('CDO Bespoke'!C199&lt;&gt;"",'CDO Bespoke'!C199,"")</f>
        <v/>
      </c>
      <c r="W174" s="499" t="str" cm="1">
        <f t="array" aca="1" ref="W174" ca="1">IF($V174&lt;&gt;"",-TRANSPOSE(INDEX(getcds('CDO Bespoke'!$C199,W$13,'CDO Bespoke'!$G199/10000,'CDO Bespoke'!F199,'CDO Bespoke'!$L175,'CDO Bespoke'!$C$13,'CDO Bespoke'!$C$14,'CDO Bespoke'!$C$15,'CDO Bespoke'!$C$8,,,TRUE,TRUE,FALSE,'CDO Bespoke'!$C$29:'CDO Bespoke'!$C$31,'CDO Bespoke'!$C$33),{5})),"")</f>
        <v/>
      </c>
      <c r="X174" s="524" t="str" cm="1">
        <f t="array" aca="1" ref="X174" ca="1">IF($V174&lt;&gt;"",-TRANSPOSE(INDEX(getcds('CDO Bespoke'!$C199,X$13,'CDO Bespoke'!$G199/10000,'CDO Bespoke'!G199,'CDO Bespoke'!$L175,'CDO Bespoke'!$C$13,'CDO Bespoke'!$C$14,'CDO Bespoke'!$C$15,'CDO Bespoke'!$C$8,,,TRUE,TRUE,FALSE,'CDO Bespoke'!$C$29:'CDO Bespoke'!$C$31,'CDO Bespoke'!$C$33),{5})),"")</f>
        <v/>
      </c>
      <c r="Y174" s="524" t="str" cm="1">
        <f t="array" aca="1" ref="Y174" ca="1">IF($V174&lt;&gt;"",-TRANSPOSE(INDEX(getcds('CDO Bespoke'!$C199,Y$13,'CDO Bespoke'!$G199/10000,'CDO Bespoke'!H199,'CDO Bespoke'!$L175,'CDO Bespoke'!$C$13,'CDO Bespoke'!$C$14,'CDO Bespoke'!$C$15,'CDO Bespoke'!$C$8,,,TRUE,TRUE,FALSE,'CDO Bespoke'!$C$29:'CDO Bespoke'!$C$31,'CDO Bespoke'!$C$33),{5})),"")</f>
        <v/>
      </c>
      <c r="Z174" s="524" t="str" cm="1">
        <f t="array" aca="1" ref="Z174" ca="1">IF($V174&lt;&gt;"",-TRANSPOSE(INDEX(getcds('CDO Bespoke'!$C199,Z$13,'CDO Bespoke'!$G199/10000,'CDO Bespoke'!I199,'CDO Bespoke'!$L175,'CDO Bespoke'!$C$13,'CDO Bespoke'!$C$14,'CDO Bespoke'!$C$15,'CDO Bespoke'!$C$8,,,TRUE,TRUE,FALSE,'CDO Bespoke'!$C$29:'CDO Bespoke'!$C$31,'CDO Bespoke'!$C$33),{5})),"")</f>
        <v/>
      </c>
      <c r="AA174" s="500" t="str" cm="1">
        <f t="array" aca="1" ref="AA174" ca="1">IF($V174&lt;&gt;"",-TRANSPOSE(INDEX(getcds('CDO Bespoke'!$C199,AA$13,'CDO Bespoke'!$G199/10000,'CDO Bespoke'!J199,'CDO Bespoke'!$L175,'CDO Bespoke'!$C$13,'CDO Bespoke'!$C$14,'CDO Bespoke'!$C$15,'CDO Bespoke'!$C$8,,,TRUE,TRUE,FALSE,'CDO Bespoke'!$C$29:'CDO Bespoke'!$C$31,'CDO Bespoke'!$C$33),{5})),"")</f>
        <v/>
      </c>
      <c r="AB174" s="479"/>
      <c r="AC174" s="515"/>
      <c r="AD174" s="516"/>
      <c r="AE174" s="516"/>
      <c r="AF174" s="516"/>
      <c r="AG174" s="516"/>
      <c r="AH174" s="516"/>
      <c r="AI174" s="516"/>
      <c r="AJ174" s="516"/>
      <c r="AK174" s="516"/>
      <c r="AL174" s="517"/>
      <c r="AM174" s="534"/>
    </row>
    <row r="175" spans="2:39" ht="12" thickBot="1">
      <c r="B175" s="557" t="s">
        <v>555</v>
      </c>
      <c r="C175" s="558" t="s">
        <v>66</v>
      </c>
      <c r="D175" s="558" t="s">
        <v>55</v>
      </c>
      <c r="E175" s="558" t="s">
        <v>660</v>
      </c>
      <c r="F175" s="558" t="s">
        <v>663</v>
      </c>
      <c r="G175" s="559">
        <v>0.01</v>
      </c>
      <c r="H175" s="559">
        <v>3.153E-3</v>
      </c>
      <c r="I175" s="560">
        <v>0.4</v>
      </c>
      <c r="J175" s="561">
        <v>51</v>
      </c>
      <c r="K175" s="274"/>
      <c r="L175" s="274"/>
      <c r="M175" s="487" t="str">
        <f ca="1">IF('CDO Bespoke'!O176&lt;&gt;"",'CDO Bespoke'!O176,"")</f>
        <v/>
      </c>
      <c r="N175" s="488" t="str">
        <f ca="1">IF(M175&lt;&gt;"",ABS(MIN(-0.75*('CDO Bespoke'!Q176)+'CDO Bespoke'!T176,0)),"")</f>
        <v/>
      </c>
      <c r="O175" s="488">
        <f t="shared" ca="1" si="8"/>
        <v>0</v>
      </c>
      <c r="P175" s="488">
        <f t="shared" ca="1" si="9"/>
        <v>0</v>
      </c>
      <c r="Q175" s="487" t="str">
        <f ca="1">IF('CDO Bespoke'!O176&lt;&gt;"",'CDO Bespoke'!O176,"")</f>
        <v/>
      </c>
      <c r="R175" s="488" t="str">
        <f ca="1">IF(Q175&lt;&gt;"",ABS(MIN(-0.75*('CDO Bespoke'!K176)+'CDO Bespoke'!T176,0)),"")</f>
        <v/>
      </c>
      <c r="S175" s="488">
        <f t="shared" ca="1" si="10"/>
        <v>0</v>
      </c>
      <c r="T175" s="492">
        <f t="shared" ca="1" si="11"/>
        <v>0</v>
      </c>
      <c r="U175" s="274"/>
      <c r="V175" s="497" t="str">
        <f ca="1">IF('CDO Bespoke'!C200&lt;&gt;"",'CDO Bespoke'!C200,"")</f>
        <v/>
      </c>
      <c r="W175" s="499" t="str" cm="1">
        <f t="array" aca="1" ref="W175" ca="1">IF($V175&lt;&gt;"",-TRANSPOSE(INDEX(getcds('CDO Bespoke'!$C200,W$13,'CDO Bespoke'!$G200/10000,'CDO Bespoke'!F200,'CDO Bespoke'!$L176,'CDO Bespoke'!$C$13,'CDO Bespoke'!$C$14,'CDO Bespoke'!$C$15,'CDO Bespoke'!$C$8,,,TRUE,TRUE,FALSE,'CDO Bespoke'!$C$29:'CDO Bespoke'!$C$31,'CDO Bespoke'!$C$33),{5})),"")</f>
        <v/>
      </c>
      <c r="X175" s="524" t="str" cm="1">
        <f t="array" aca="1" ref="X175" ca="1">IF($V175&lt;&gt;"",-TRANSPOSE(INDEX(getcds('CDO Bespoke'!$C200,X$13,'CDO Bespoke'!$G200/10000,'CDO Bespoke'!G200,'CDO Bespoke'!$L176,'CDO Bespoke'!$C$13,'CDO Bespoke'!$C$14,'CDO Bespoke'!$C$15,'CDO Bespoke'!$C$8,,,TRUE,TRUE,FALSE,'CDO Bespoke'!$C$29:'CDO Bespoke'!$C$31,'CDO Bespoke'!$C$33),{5})),"")</f>
        <v/>
      </c>
      <c r="Y175" s="524" t="str" cm="1">
        <f t="array" aca="1" ref="Y175" ca="1">IF($V175&lt;&gt;"",-TRANSPOSE(INDEX(getcds('CDO Bespoke'!$C200,Y$13,'CDO Bespoke'!$G200/10000,'CDO Bespoke'!H200,'CDO Bespoke'!$L176,'CDO Bespoke'!$C$13,'CDO Bespoke'!$C$14,'CDO Bespoke'!$C$15,'CDO Bespoke'!$C$8,,,TRUE,TRUE,FALSE,'CDO Bespoke'!$C$29:'CDO Bespoke'!$C$31,'CDO Bespoke'!$C$33),{5})),"")</f>
        <v/>
      </c>
      <c r="Z175" s="524" t="str" cm="1">
        <f t="array" aca="1" ref="Z175" ca="1">IF($V175&lt;&gt;"",-TRANSPOSE(INDEX(getcds('CDO Bespoke'!$C200,Z$13,'CDO Bespoke'!$G200/10000,'CDO Bespoke'!I200,'CDO Bespoke'!$L176,'CDO Bespoke'!$C$13,'CDO Bespoke'!$C$14,'CDO Bespoke'!$C$15,'CDO Bespoke'!$C$8,,,TRUE,TRUE,FALSE,'CDO Bespoke'!$C$29:'CDO Bespoke'!$C$31,'CDO Bespoke'!$C$33),{5})),"")</f>
        <v/>
      </c>
      <c r="AA175" s="500" t="str" cm="1">
        <f t="array" aca="1" ref="AA175" ca="1">IF($V175&lt;&gt;"",-TRANSPOSE(INDEX(getcds('CDO Bespoke'!$C200,AA$13,'CDO Bespoke'!$G200/10000,'CDO Bespoke'!J200,'CDO Bespoke'!$L176,'CDO Bespoke'!$C$13,'CDO Bespoke'!$C$14,'CDO Bespoke'!$C$15,'CDO Bespoke'!$C$8,,,TRUE,TRUE,FALSE,'CDO Bespoke'!$C$29:'CDO Bespoke'!$C$31,'CDO Bespoke'!$C$33),{5})),"")</f>
        <v/>
      </c>
      <c r="AB175" s="479"/>
      <c r="AC175" s="515"/>
      <c r="AD175" s="516"/>
      <c r="AE175" s="516"/>
      <c r="AF175" s="516"/>
      <c r="AG175" s="516"/>
      <c r="AH175" s="516"/>
      <c r="AI175" s="516"/>
      <c r="AJ175" s="516"/>
      <c r="AK175" s="516"/>
      <c r="AL175" s="517"/>
      <c r="AM175" s="534"/>
    </row>
    <row r="176" spans="2:39" ht="12" thickBot="1">
      <c r="B176" s="535" t="s">
        <v>555</v>
      </c>
      <c r="C176" s="536" t="s">
        <v>66</v>
      </c>
      <c r="D176" s="536" t="s">
        <v>57</v>
      </c>
      <c r="E176" s="536" t="s">
        <v>660</v>
      </c>
      <c r="F176" s="536" t="s">
        <v>663</v>
      </c>
      <c r="G176" s="543">
        <v>0.01</v>
      </c>
      <c r="H176" s="543">
        <v>4.9170000000000004E-3</v>
      </c>
      <c r="I176" s="545">
        <v>0.4</v>
      </c>
      <c r="J176" s="537">
        <v>51</v>
      </c>
      <c r="K176" s="274"/>
      <c r="L176" s="274"/>
      <c r="M176" s="487" t="str">
        <f ca="1">IF('CDO Bespoke'!O177&lt;&gt;"",'CDO Bespoke'!O177,"")</f>
        <v/>
      </c>
      <c r="N176" s="488" t="str">
        <f ca="1">IF(M176&lt;&gt;"",ABS(MIN(-0.75*('CDO Bespoke'!Q177)+'CDO Bespoke'!T177,0)),"")</f>
        <v/>
      </c>
      <c r="O176" s="488">
        <f t="shared" ca="1" si="8"/>
        <v>0</v>
      </c>
      <c r="P176" s="488">
        <f t="shared" ca="1" si="9"/>
        <v>0</v>
      </c>
      <c r="Q176" s="487" t="str">
        <f ca="1">IF('CDO Bespoke'!O177&lt;&gt;"",'CDO Bespoke'!O177,"")</f>
        <v/>
      </c>
      <c r="R176" s="488" t="str">
        <f ca="1">IF(Q176&lt;&gt;"",ABS(MIN(-0.75*('CDO Bespoke'!K177)+'CDO Bespoke'!T177,0)),"")</f>
        <v/>
      </c>
      <c r="S176" s="488">
        <f t="shared" ca="1" si="10"/>
        <v>0</v>
      </c>
      <c r="T176" s="492">
        <f t="shared" ca="1" si="11"/>
        <v>0</v>
      </c>
      <c r="U176" s="274"/>
      <c r="V176" s="497" t="str">
        <f ca="1">IF('CDO Bespoke'!C201&lt;&gt;"",'CDO Bespoke'!C201,"")</f>
        <v/>
      </c>
      <c r="W176" s="499" t="str" cm="1">
        <f t="array" aca="1" ref="W176" ca="1">IF($V176&lt;&gt;"",-TRANSPOSE(INDEX(getcds('CDO Bespoke'!$C201,W$13,'CDO Bespoke'!$G201/10000,'CDO Bespoke'!F201,'CDO Bespoke'!$L177,'CDO Bespoke'!$C$13,'CDO Bespoke'!$C$14,'CDO Bespoke'!$C$15,'CDO Bespoke'!$C$8,,,TRUE,TRUE,FALSE,'CDO Bespoke'!$C$29:'CDO Bespoke'!$C$31,'CDO Bespoke'!$C$33),{5})),"")</f>
        <v/>
      </c>
      <c r="X176" s="524" t="str" cm="1">
        <f t="array" aca="1" ref="X176" ca="1">IF($V176&lt;&gt;"",-TRANSPOSE(INDEX(getcds('CDO Bespoke'!$C201,X$13,'CDO Bespoke'!$G201/10000,'CDO Bespoke'!G201,'CDO Bespoke'!$L177,'CDO Bespoke'!$C$13,'CDO Bespoke'!$C$14,'CDO Bespoke'!$C$15,'CDO Bespoke'!$C$8,,,TRUE,TRUE,FALSE,'CDO Bespoke'!$C$29:'CDO Bespoke'!$C$31,'CDO Bespoke'!$C$33),{5})),"")</f>
        <v/>
      </c>
      <c r="Y176" s="524" t="str" cm="1">
        <f t="array" aca="1" ref="Y176" ca="1">IF($V176&lt;&gt;"",-TRANSPOSE(INDEX(getcds('CDO Bespoke'!$C201,Y$13,'CDO Bespoke'!$G201/10000,'CDO Bespoke'!H201,'CDO Bespoke'!$L177,'CDO Bespoke'!$C$13,'CDO Bespoke'!$C$14,'CDO Bespoke'!$C$15,'CDO Bespoke'!$C$8,,,TRUE,TRUE,FALSE,'CDO Bespoke'!$C$29:'CDO Bespoke'!$C$31,'CDO Bespoke'!$C$33),{5})),"")</f>
        <v/>
      </c>
      <c r="Z176" s="524" t="str" cm="1">
        <f t="array" aca="1" ref="Z176" ca="1">IF($V176&lt;&gt;"",-TRANSPOSE(INDEX(getcds('CDO Bespoke'!$C201,Z$13,'CDO Bespoke'!$G201/10000,'CDO Bespoke'!I201,'CDO Bespoke'!$L177,'CDO Bespoke'!$C$13,'CDO Bespoke'!$C$14,'CDO Bespoke'!$C$15,'CDO Bespoke'!$C$8,,,TRUE,TRUE,FALSE,'CDO Bespoke'!$C$29:'CDO Bespoke'!$C$31,'CDO Bespoke'!$C$33),{5})),"")</f>
        <v/>
      </c>
      <c r="AA176" s="500" t="str" cm="1">
        <f t="array" aca="1" ref="AA176" ca="1">IF($V176&lt;&gt;"",-TRANSPOSE(INDEX(getcds('CDO Bespoke'!$C201,AA$13,'CDO Bespoke'!$G201/10000,'CDO Bespoke'!J201,'CDO Bespoke'!$L177,'CDO Bespoke'!$C$13,'CDO Bespoke'!$C$14,'CDO Bespoke'!$C$15,'CDO Bespoke'!$C$8,,,TRUE,TRUE,FALSE,'CDO Bespoke'!$C$29:'CDO Bespoke'!$C$31,'CDO Bespoke'!$C$33),{5})),"")</f>
        <v/>
      </c>
      <c r="AB176" s="479"/>
      <c r="AC176" s="515"/>
      <c r="AD176" s="516"/>
      <c r="AE176" s="516"/>
      <c r="AF176" s="516"/>
      <c r="AG176" s="516"/>
      <c r="AH176" s="516"/>
      <c r="AI176" s="516"/>
      <c r="AJ176" s="516"/>
      <c r="AK176" s="516"/>
      <c r="AL176" s="517"/>
      <c r="AM176" s="534"/>
    </row>
    <row r="177" spans="2:39" ht="12" thickBot="1">
      <c r="B177" s="552" t="s">
        <v>555</v>
      </c>
      <c r="C177" s="553" t="s">
        <v>66</v>
      </c>
      <c r="D177" s="553" t="s">
        <v>59</v>
      </c>
      <c r="E177" s="553" t="s">
        <v>660</v>
      </c>
      <c r="F177" s="553" t="s">
        <v>663</v>
      </c>
      <c r="G177" s="554">
        <v>0.01</v>
      </c>
      <c r="H177" s="554">
        <v>6.8279999999999999E-3</v>
      </c>
      <c r="I177" s="555">
        <v>0.4</v>
      </c>
      <c r="J177" s="556">
        <v>51</v>
      </c>
      <c r="K177" s="274"/>
      <c r="L177" s="274"/>
      <c r="M177" s="487" t="str">
        <f ca="1">IF('CDO Bespoke'!O178&lt;&gt;"",'CDO Bespoke'!O178,"")</f>
        <v/>
      </c>
      <c r="N177" s="488" t="str">
        <f ca="1">IF(M177&lt;&gt;"",ABS(MIN(-0.75*('CDO Bespoke'!Q178)+'CDO Bespoke'!T178,0)),"")</f>
        <v/>
      </c>
      <c r="O177" s="488">
        <f t="shared" ca="1" si="8"/>
        <v>0</v>
      </c>
      <c r="P177" s="488">
        <f t="shared" ca="1" si="9"/>
        <v>0</v>
      </c>
      <c r="Q177" s="487" t="str">
        <f ca="1">IF('CDO Bespoke'!O178&lt;&gt;"",'CDO Bespoke'!O178,"")</f>
        <v/>
      </c>
      <c r="R177" s="488" t="str">
        <f ca="1">IF(Q177&lt;&gt;"",ABS(MIN(-0.75*('CDO Bespoke'!K178)+'CDO Bespoke'!T178,0)),"")</f>
        <v/>
      </c>
      <c r="S177" s="488">
        <f t="shared" ca="1" si="10"/>
        <v>0</v>
      </c>
      <c r="T177" s="492">
        <f t="shared" ca="1" si="11"/>
        <v>0</v>
      </c>
      <c r="U177" s="274"/>
      <c r="V177" s="497" t="str">
        <f ca="1">IF('CDO Bespoke'!C202&lt;&gt;"",'CDO Bespoke'!C202,"")</f>
        <v/>
      </c>
      <c r="W177" s="499" t="str" cm="1">
        <f t="array" aca="1" ref="W177" ca="1">IF($V177&lt;&gt;"",-TRANSPOSE(INDEX(getcds('CDO Bespoke'!$C202,W$13,'CDO Bespoke'!$G202/10000,'CDO Bespoke'!F202,'CDO Bespoke'!$L178,'CDO Bespoke'!$C$13,'CDO Bespoke'!$C$14,'CDO Bespoke'!$C$15,'CDO Bespoke'!$C$8,,,TRUE,TRUE,FALSE,'CDO Bespoke'!$C$29:'CDO Bespoke'!$C$31,'CDO Bespoke'!$C$33),{5})),"")</f>
        <v/>
      </c>
      <c r="X177" s="524" t="str" cm="1">
        <f t="array" aca="1" ref="X177" ca="1">IF($V177&lt;&gt;"",-TRANSPOSE(INDEX(getcds('CDO Bespoke'!$C202,X$13,'CDO Bespoke'!$G202/10000,'CDO Bespoke'!G202,'CDO Bespoke'!$L178,'CDO Bespoke'!$C$13,'CDO Bespoke'!$C$14,'CDO Bespoke'!$C$15,'CDO Bespoke'!$C$8,,,TRUE,TRUE,FALSE,'CDO Bespoke'!$C$29:'CDO Bespoke'!$C$31,'CDO Bespoke'!$C$33),{5})),"")</f>
        <v/>
      </c>
      <c r="Y177" s="524" t="str" cm="1">
        <f t="array" aca="1" ref="Y177" ca="1">IF($V177&lt;&gt;"",-TRANSPOSE(INDEX(getcds('CDO Bespoke'!$C202,Y$13,'CDO Bespoke'!$G202/10000,'CDO Bespoke'!H202,'CDO Bespoke'!$L178,'CDO Bespoke'!$C$13,'CDO Bespoke'!$C$14,'CDO Bespoke'!$C$15,'CDO Bespoke'!$C$8,,,TRUE,TRUE,FALSE,'CDO Bespoke'!$C$29:'CDO Bespoke'!$C$31,'CDO Bespoke'!$C$33),{5})),"")</f>
        <v/>
      </c>
      <c r="Z177" s="524" t="str" cm="1">
        <f t="array" aca="1" ref="Z177" ca="1">IF($V177&lt;&gt;"",-TRANSPOSE(INDEX(getcds('CDO Bespoke'!$C202,Z$13,'CDO Bespoke'!$G202/10000,'CDO Bespoke'!I202,'CDO Bespoke'!$L178,'CDO Bespoke'!$C$13,'CDO Bespoke'!$C$14,'CDO Bespoke'!$C$15,'CDO Bespoke'!$C$8,,,TRUE,TRUE,FALSE,'CDO Bespoke'!$C$29:'CDO Bespoke'!$C$31,'CDO Bespoke'!$C$33),{5})),"")</f>
        <v/>
      </c>
      <c r="AA177" s="500" t="str" cm="1">
        <f t="array" aca="1" ref="AA177" ca="1">IF($V177&lt;&gt;"",-TRANSPOSE(INDEX(getcds('CDO Bespoke'!$C202,AA$13,'CDO Bespoke'!$G202/10000,'CDO Bespoke'!J202,'CDO Bespoke'!$L178,'CDO Bespoke'!$C$13,'CDO Bespoke'!$C$14,'CDO Bespoke'!$C$15,'CDO Bespoke'!$C$8,,,TRUE,TRUE,FALSE,'CDO Bespoke'!$C$29:'CDO Bespoke'!$C$31,'CDO Bespoke'!$C$33),{5})),"")</f>
        <v/>
      </c>
      <c r="AB177" s="479"/>
      <c r="AC177" s="515"/>
      <c r="AD177" s="516"/>
      <c r="AE177" s="516"/>
      <c r="AF177" s="516"/>
      <c r="AG177" s="516"/>
      <c r="AH177" s="516"/>
      <c r="AI177" s="516"/>
      <c r="AJ177" s="516"/>
      <c r="AK177" s="516"/>
      <c r="AL177" s="517"/>
      <c r="AM177" s="534"/>
    </row>
    <row r="178" spans="2:39" ht="12" thickBot="1">
      <c r="B178" s="557" t="s">
        <v>556</v>
      </c>
      <c r="C178" s="558" t="s">
        <v>66</v>
      </c>
      <c r="D178" s="558" t="s">
        <v>55</v>
      </c>
      <c r="E178" s="558" t="s">
        <v>660</v>
      </c>
      <c r="F178" s="558" t="s">
        <v>663</v>
      </c>
      <c r="G178" s="559">
        <v>0.01</v>
      </c>
      <c r="H178" s="559">
        <v>6.7999999999999996E-3</v>
      </c>
      <c r="I178" s="560">
        <v>0.4</v>
      </c>
      <c r="J178" s="561">
        <v>52</v>
      </c>
      <c r="K178" s="274"/>
      <c r="L178" s="274"/>
      <c r="M178" s="487" t="str">
        <f ca="1">IF('CDO Bespoke'!O179&lt;&gt;"",'CDO Bespoke'!O179,"")</f>
        <v/>
      </c>
      <c r="N178" s="488" t="str">
        <f ca="1">IF(M178&lt;&gt;"",ABS(MIN(-0.75*('CDO Bespoke'!Q179)+'CDO Bespoke'!T179,0)),"")</f>
        <v/>
      </c>
      <c r="O178" s="488">
        <f t="shared" ca="1" si="8"/>
        <v>0</v>
      </c>
      <c r="P178" s="488">
        <f t="shared" ca="1" si="9"/>
        <v>0</v>
      </c>
      <c r="Q178" s="487" t="str">
        <f ca="1">IF('CDO Bespoke'!O179&lt;&gt;"",'CDO Bespoke'!O179,"")</f>
        <v/>
      </c>
      <c r="R178" s="488" t="str">
        <f ca="1">IF(Q178&lt;&gt;"",ABS(MIN(-0.75*('CDO Bespoke'!K179)+'CDO Bespoke'!T179,0)),"")</f>
        <v/>
      </c>
      <c r="S178" s="488">
        <f t="shared" ca="1" si="10"/>
        <v>0</v>
      </c>
      <c r="T178" s="492">
        <f t="shared" ca="1" si="11"/>
        <v>0</v>
      </c>
      <c r="U178" s="274"/>
      <c r="V178" s="497" t="str">
        <f ca="1">IF('CDO Bespoke'!C203&lt;&gt;"",'CDO Bespoke'!C203,"")</f>
        <v/>
      </c>
      <c r="W178" s="499" t="str" cm="1">
        <f t="array" aca="1" ref="W178" ca="1">IF($V178&lt;&gt;"",-TRANSPOSE(INDEX(getcds('CDO Bespoke'!$C203,W$13,'CDO Bespoke'!$G203/10000,'CDO Bespoke'!F203,'CDO Bespoke'!$L179,'CDO Bespoke'!$C$13,'CDO Bespoke'!$C$14,'CDO Bespoke'!$C$15,'CDO Bespoke'!$C$8,,,TRUE,TRUE,FALSE,'CDO Bespoke'!$C$29:'CDO Bespoke'!$C$31,'CDO Bespoke'!$C$33),{5})),"")</f>
        <v/>
      </c>
      <c r="X178" s="524" t="str" cm="1">
        <f t="array" aca="1" ref="X178" ca="1">IF($V178&lt;&gt;"",-TRANSPOSE(INDEX(getcds('CDO Bespoke'!$C203,X$13,'CDO Bespoke'!$G203/10000,'CDO Bespoke'!G203,'CDO Bespoke'!$L179,'CDO Bespoke'!$C$13,'CDO Bespoke'!$C$14,'CDO Bespoke'!$C$15,'CDO Bespoke'!$C$8,,,TRUE,TRUE,FALSE,'CDO Bespoke'!$C$29:'CDO Bespoke'!$C$31,'CDO Bespoke'!$C$33),{5})),"")</f>
        <v/>
      </c>
      <c r="Y178" s="524" t="str" cm="1">
        <f t="array" aca="1" ref="Y178" ca="1">IF($V178&lt;&gt;"",-TRANSPOSE(INDEX(getcds('CDO Bespoke'!$C203,Y$13,'CDO Bespoke'!$G203/10000,'CDO Bespoke'!H203,'CDO Bespoke'!$L179,'CDO Bespoke'!$C$13,'CDO Bespoke'!$C$14,'CDO Bespoke'!$C$15,'CDO Bespoke'!$C$8,,,TRUE,TRUE,FALSE,'CDO Bespoke'!$C$29:'CDO Bespoke'!$C$31,'CDO Bespoke'!$C$33),{5})),"")</f>
        <v/>
      </c>
      <c r="Z178" s="524" t="str" cm="1">
        <f t="array" aca="1" ref="Z178" ca="1">IF($V178&lt;&gt;"",-TRANSPOSE(INDEX(getcds('CDO Bespoke'!$C203,Z$13,'CDO Bespoke'!$G203/10000,'CDO Bespoke'!I203,'CDO Bespoke'!$L179,'CDO Bespoke'!$C$13,'CDO Bespoke'!$C$14,'CDO Bespoke'!$C$15,'CDO Bespoke'!$C$8,,,TRUE,TRUE,FALSE,'CDO Bespoke'!$C$29:'CDO Bespoke'!$C$31,'CDO Bespoke'!$C$33),{5})),"")</f>
        <v/>
      </c>
      <c r="AA178" s="500" t="str" cm="1">
        <f t="array" aca="1" ref="AA178" ca="1">IF($V178&lt;&gt;"",-TRANSPOSE(INDEX(getcds('CDO Bespoke'!$C203,AA$13,'CDO Bespoke'!$G203/10000,'CDO Bespoke'!J203,'CDO Bespoke'!$L179,'CDO Bespoke'!$C$13,'CDO Bespoke'!$C$14,'CDO Bespoke'!$C$15,'CDO Bespoke'!$C$8,,,TRUE,TRUE,FALSE,'CDO Bespoke'!$C$29:'CDO Bespoke'!$C$31,'CDO Bespoke'!$C$33),{5})),"")</f>
        <v/>
      </c>
      <c r="AB178" s="479"/>
      <c r="AC178" s="515"/>
      <c r="AD178" s="516"/>
      <c r="AE178" s="516"/>
      <c r="AF178" s="516"/>
      <c r="AG178" s="516"/>
      <c r="AH178" s="516"/>
      <c r="AI178" s="516"/>
      <c r="AJ178" s="516"/>
      <c r="AK178" s="516"/>
      <c r="AL178" s="517"/>
      <c r="AM178" s="534"/>
    </row>
    <row r="179" spans="2:39" ht="12" thickBot="1">
      <c r="B179" s="535" t="s">
        <v>556</v>
      </c>
      <c r="C179" s="536" t="s">
        <v>66</v>
      </c>
      <c r="D179" s="536" t="s">
        <v>57</v>
      </c>
      <c r="E179" s="536" t="s">
        <v>660</v>
      </c>
      <c r="F179" s="536" t="s">
        <v>663</v>
      </c>
      <c r="G179" s="543">
        <v>0.01</v>
      </c>
      <c r="H179" s="543">
        <v>1.1743E-2</v>
      </c>
      <c r="I179" s="545">
        <v>0.4</v>
      </c>
      <c r="J179" s="537">
        <v>52</v>
      </c>
      <c r="K179" s="274"/>
      <c r="L179" s="274"/>
      <c r="M179" s="487" t="str">
        <f ca="1">IF('CDO Bespoke'!O180&lt;&gt;"",'CDO Bespoke'!O180,"")</f>
        <v/>
      </c>
      <c r="N179" s="488" t="str">
        <f ca="1">IF(M179&lt;&gt;"",ABS(MIN(-0.75*('CDO Bespoke'!Q180)+'CDO Bespoke'!T180,0)),"")</f>
        <v/>
      </c>
      <c r="O179" s="488">
        <f t="shared" ca="1" si="8"/>
        <v>0</v>
      </c>
      <c r="P179" s="488">
        <f t="shared" ca="1" si="9"/>
        <v>0</v>
      </c>
      <c r="Q179" s="487" t="str">
        <f ca="1">IF('CDO Bespoke'!O180&lt;&gt;"",'CDO Bespoke'!O180,"")</f>
        <v/>
      </c>
      <c r="R179" s="488" t="str">
        <f ca="1">IF(Q179&lt;&gt;"",ABS(MIN(-0.75*('CDO Bespoke'!K180)+'CDO Bespoke'!T180,0)),"")</f>
        <v/>
      </c>
      <c r="S179" s="488">
        <f t="shared" ca="1" si="10"/>
        <v>0</v>
      </c>
      <c r="T179" s="492">
        <f t="shared" ca="1" si="11"/>
        <v>0</v>
      </c>
      <c r="U179" s="274"/>
      <c r="V179" s="497" t="str">
        <f ca="1">IF('CDO Bespoke'!C204&lt;&gt;"",'CDO Bespoke'!C204,"")</f>
        <v/>
      </c>
      <c r="W179" s="499" t="str" cm="1">
        <f t="array" aca="1" ref="W179" ca="1">IF($V179&lt;&gt;"",-TRANSPOSE(INDEX(getcds('CDO Bespoke'!$C204,W$13,'CDO Bespoke'!$G204/10000,'CDO Bespoke'!F204,'CDO Bespoke'!$L180,'CDO Bespoke'!$C$13,'CDO Bespoke'!$C$14,'CDO Bespoke'!$C$15,'CDO Bespoke'!$C$8,,,TRUE,TRUE,FALSE,'CDO Bespoke'!$C$29:'CDO Bespoke'!$C$31,'CDO Bespoke'!$C$33),{5})),"")</f>
        <v/>
      </c>
      <c r="X179" s="524" t="str" cm="1">
        <f t="array" aca="1" ref="X179" ca="1">IF($V179&lt;&gt;"",-TRANSPOSE(INDEX(getcds('CDO Bespoke'!$C204,X$13,'CDO Bespoke'!$G204/10000,'CDO Bespoke'!G204,'CDO Bespoke'!$L180,'CDO Bespoke'!$C$13,'CDO Bespoke'!$C$14,'CDO Bespoke'!$C$15,'CDO Bespoke'!$C$8,,,TRUE,TRUE,FALSE,'CDO Bespoke'!$C$29:'CDO Bespoke'!$C$31,'CDO Bespoke'!$C$33),{5})),"")</f>
        <v/>
      </c>
      <c r="Y179" s="524" t="str" cm="1">
        <f t="array" aca="1" ref="Y179" ca="1">IF($V179&lt;&gt;"",-TRANSPOSE(INDEX(getcds('CDO Bespoke'!$C204,Y$13,'CDO Bespoke'!$G204/10000,'CDO Bespoke'!H204,'CDO Bespoke'!$L180,'CDO Bespoke'!$C$13,'CDO Bespoke'!$C$14,'CDO Bespoke'!$C$15,'CDO Bespoke'!$C$8,,,TRUE,TRUE,FALSE,'CDO Bespoke'!$C$29:'CDO Bespoke'!$C$31,'CDO Bespoke'!$C$33),{5})),"")</f>
        <v/>
      </c>
      <c r="Z179" s="524" t="str" cm="1">
        <f t="array" aca="1" ref="Z179" ca="1">IF($V179&lt;&gt;"",-TRANSPOSE(INDEX(getcds('CDO Bespoke'!$C204,Z$13,'CDO Bespoke'!$G204/10000,'CDO Bespoke'!I204,'CDO Bespoke'!$L180,'CDO Bespoke'!$C$13,'CDO Bespoke'!$C$14,'CDO Bespoke'!$C$15,'CDO Bespoke'!$C$8,,,TRUE,TRUE,FALSE,'CDO Bespoke'!$C$29:'CDO Bespoke'!$C$31,'CDO Bespoke'!$C$33),{5})),"")</f>
        <v/>
      </c>
      <c r="AA179" s="500" t="str" cm="1">
        <f t="array" aca="1" ref="AA179" ca="1">IF($V179&lt;&gt;"",-TRANSPOSE(INDEX(getcds('CDO Bespoke'!$C204,AA$13,'CDO Bespoke'!$G204/10000,'CDO Bespoke'!J204,'CDO Bespoke'!$L180,'CDO Bespoke'!$C$13,'CDO Bespoke'!$C$14,'CDO Bespoke'!$C$15,'CDO Bespoke'!$C$8,,,TRUE,TRUE,FALSE,'CDO Bespoke'!$C$29:'CDO Bespoke'!$C$31,'CDO Bespoke'!$C$33),{5})),"")</f>
        <v/>
      </c>
      <c r="AB179" s="479"/>
      <c r="AC179" s="515"/>
      <c r="AD179" s="516"/>
      <c r="AE179" s="516"/>
      <c r="AF179" s="516"/>
      <c r="AG179" s="516"/>
      <c r="AH179" s="516"/>
      <c r="AI179" s="516"/>
      <c r="AJ179" s="516"/>
      <c r="AK179" s="516"/>
      <c r="AL179" s="517"/>
      <c r="AM179" s="534"/>
    </row>
    <row r="180" spans="2:39" ht="12" thickBot="1">
      <c r="B180" s="552" t="s">
        <v>556</v>
      </c>
      <c r="C180" s="553" t="s">
        <v>66</v>
      </c>
      <c r="D180" s="553" t="s">
        <v>59</v>
      </c>
      <c r="E180" s="553" t="s">
        <v>660</v>
      </c>
      <c r="F180" s="553" t="s">
        <v>663</v>
      </c>
      <c r="G180" s="554">
        <v>0.01</v>
      </c>
      <c r="H180" s="554">
        <v>1.5325E-2</v>
      </c>
      <c r="I180" s="555">
        <v>0.4</v>
      </c>
      <c r="J180" s="556">
        <v>52</v>
      </c>
      <c r="K180" s="274"/>
      <c r="L180" s="274"/>
      <c r="M180" s="487" t="str">
        <f ca="1">IF('CDO Bespoke'!O181&lt;&gt;"",'CDO Bespoke'!O181,"")</f>
        <v/>
      </c>
      <c r="N180" s="488" t="str">
        <f ca="1">IF(M180&lt;&gt;"",ABS(MIN(-0.75*('CDO Bespoke'!Q181)+'CDO Bespoke'!T181,0)),"")</f>
        <v/>
      </c>
      <c r="O180" s="488">
        <f t="shared" ca="1" si="8"/>
        <v>0</v>
      </c>
      <c r="P180" s="488">
        <f t="shared" ca="1" si="9"/>
        <v>0</v>
      </c>
      <c r="Q180" s="487" t="str">
        <f ca="1">IF('CDO Bespoke'!O181&lt;&gt;"",'CDO Bespoke'!O181,"")</f>
        <v/>
      </c>
      <c r="R180" s="488" t="str">
        <f ca="1">IF(Q180&lt;&gt;"",ABS(MIN(-0.75*('CDO Bespoke'!K181)+'CDO Bespoke'!T181,0)),"")</f>
        <v/>
      </c>
      <c r="S180" s="488">
        <f t="shared" ca="1" si="10"/>
        <v>0</v>
      </c>
      <c r="T180" s="492">
        <f t="shared" ca="1" si="11"/>
        <v>0</v>
      </c>
      <c r="U180" s="274"/>
      <c r="V180" s="497" t="str">
        <f ca="1">IF('CDO Bespoke'!C205&lt;&gt;"",'CDO Bespoke'!C205,"")</f>
        <v/>
      </c>
      <c r="W180" s="499" t="str" cm="1">
        <f t="array" aca="1" ref="W180" ca="1">IF($V180&lt;&gt;"",-TRANSPOSE(INDEX(getcds('CDO Bespoke'!$C205,W$13,'CDO Bespoke'!$G205/10000,'CDO Bespoke'!F205,'CDO Bespoke'!$L181,'CDO Bespoke'!$C$13,'CDO Bespoke'!$C$14,'CDO Bespoke'!$C$15,'CDO Bespoke'!$C$8,,,TRUE,TRUE,FALSE,'CDO Bespoke'!$C$29:'CDO Bespoke'!$C$31,'CDO Bespoke'!$C$33),{5})),"")</f>
        <v/>
      </c>
      <c r="X180" s="524" t="str" cm="1">
        <f t="array" aca="1" ref="X180" ca="1">IF($V180&lt;&gt;"",-TRANSPOSE(INDEX(getcds('CDO Bespoke'!$C205,X$13,'CDO Bespoke'!$G205/10000,'CDO Bespoke'!G205,'CDO Bespoke'!$L181,'CDO Bespoke'!$C$13,'CDO Bespoke'!$C$14,'CDO Bespoke'!$C$15,'CDO Bespoke'!$C$8,,,TRUE,TRUE,FALSE,'CDO Bespoke'!$C$29:'CDO Bespoke'!$C$31,'CDO Bespoke'!$C$33),{5})),"")</f>
        <v/>
      </c>
      <c r="Y180" s="524" t="str" cm="1">
        <f t="array" aca="1" ref="Y180" ca="1">IF($V180&lt;&gt;"",-TRANSPOSE(INDEX(getcds('CDO Bespoke'!$C205,Y$13,'CDO Bespoke'!$G205/10000,'CDO Bespoke'!H205,'CDO Bespoke'!$L181,'CDO Bespoke'!$C$13,'CDO Bespoke'!$C$14,'CDO Bespoke'!$C$15,'CDO Bespoke'!$C$8,,,TRUE,TRUE,FALSE,'CDO Bespoke'!$C$29:'CDO Bespoke'!$C$31,'CDO Bespoke'!$C$33),{5})),"")</f>
        <v/>
      </c>
      <c r="Z180" s="524" t="str" cm="1">
        <f t="array" aca="1" ref="Z180" ca="1">IF($V180&lt;&gt;"",-TRANSPOSE(INDEX(getcds('CDO Bespoke'!$C205,Z$13,'CDO Bespoke'!$G205/10000,'CDO Bespoke'!I205,'CDO Bespoke'!$L181,'CDO Bespoke'!$C$13,'CDO Bespoke'!$C$14,'CDO Bespoke'!$C$15,'CDO Bespoke'!$C$8,,,TRUE,TRUE,FALSE,'CDO Bespoke'!$C$29:'CDO Bespoke'!$C$31,'CDO Bespoke'!$C$33),{5})),"")</f>
        <v/>
      </c>
      <c r="AA180" s="500" t="str" cm="1">
        <f t="array" aca="1" ref="AA180" ca="1">IF($V180&lt;&gt;"",-TRANSPOSE(INDEX(getcds('CDO Bespoke'!$C205,AA$13,'CDO Bespoke'!$G205/10000,'CDO Bespoke'!J205,'CDO Bespoke'!$L181,'CDO Bespoke'!$C$13,'CDO Bespoke'!$C$14,'CDO Bespoke'!$C$15,'CDO Bespoke'!$C$8,,,TRUE,TRUE,FALSE,'CDO Bespoke'!$C$29:'CDO Bespoke'!$C$31,'CDO Bespoke'!$C$33),{5})),"")</f>
        <v/>
      </c>
      <c r="AB180" s="479"/>
      <c r="AC180" s="515"/>
      <c r="AD180" s="516"/>
      <c r="AE180" s="516"/>
      <c r="AF180" s="516"/>
      <c r="AG180" s="516"/>
      <c r="AH180" s="516"/>
      <c r="AI180" s="516"/>
      <c r="AJ180" s="516"/>
      <c r="AK180" s="516"/>
      <c r="AL180" s="517"/>
      <c r="AM180" s="534"/>
    </row>
    <row r="181" spans="2:39" ht="12" thickBot="1">
      <c r="B181" s="557" t="s">
        <v>557</v>
      </c>
      <c r="C181" s="558" t="s">
        <v>66</v>
      </c>
      <c r="D181" s="558" t="s">
        <v>55</v>
      </c>
      <c r="E181" s="558" t="s">
        <v>665</v>
      </c>
      <c r="F181" s="558" t="s">
        <v>663</v>
      </c>
      <c r="G181" s="559">
        <v>0.01</v>
      </c>
      <c r="H181" s="559">
        <v>1.8079999999999999E-3</v>
      </c>
      <c r="I181" s="560">
        <v>0.4</v>
      </c>
      <c r="J181" s="561">
        <v>53</v>
      </c>
      <c r="K181" s="274"/>
      <c r="L181" s="274"/>
      <c r="M181" s="487" t="str">
        <f ca="1">IF('CDO Bespoke'!O182&lt;&gt;"",'CDO Bespoke'!O182,"")</f>
        <v/>
      </c>
      <c r="N181" s="488" t="str">
        <f ca="1">IF(M181&lt;&gt;"",ABS(MIN(-0.75*('CDO Bespoke'!Q182)+'CDO Bespoke'!T182,0)),"")</f>
        <v/>
      </c>
      <c r="O181" s="488">
        <f t="shared" ca="1" si="8"/>
        <v>0</v>
      </c>
      <c r="P181" s="488">
        <f t="shared" ca="1" si="9"/>
        <v>0</v>
      </c>
      <c r="Q181" s="487" t="str">
        <f ca="1">IF('CDO Bespoke'!O182&lt;&gt;"",'CDO Bespoke'!O182,"")</f>
        <v/>
      </c>
      <c r="R181" s="488" t="str">
        <f ca="1">IF(Q181&lt;&gt;"",ABS(MIN(-0.75*('CDO Bespoke'!K182)+'CDO Bespoke'!T182,0)),"")</f>
        <v/>
      </c>
      <c r="S181" s="488">
        <f t="shared" ca="1" si="10"/>
        <v>0</v>
      </c>
      <c r="T181" s="492">
        <f t="shared" ca="1" si="11"/>
        <v>0</v>
      </c>
      <c r="U181" s="274"/>
      <c r="V181" s="497" t="str">
        <f ca="1">IF('CDO Bespoke'!C206&lt;&gt;"",'CDO Bespoke'!C206,"")</f>
        <v/>
      </c>
      <c r="W181" s="499" t="str" cm="1">
        <f t="array" aca="1" ref="W181" ca="1">IF($V181&lt;&gt;"",-TRANSPOSE(INDEX(getcds('CDO Bespoke'!$C206,W$13,'CDO Bespoke'!$G206/10000,'CDO Bespoke'!F206,'CDO Bespoke'!$L182,'CDO Bespoke'!$C$13,'CDO Bespoke'!$C$14,'CDO Bespoke'!$C$15,'CDO Bespoke'!$C$8,,,TRUE,TRUE,FALSE,'CDO Bespoke'!$C$29:'CDO Bespoke'!$C$31,'CDO Bespoke'!$C$33),{5})),"")</f>
        <v/>
      </c>
      <c r="X181" s="524" t="str" cm="1">
        <f t="array" aca="1" ref="X181" ca="1">IF($V181&lt;&gt;"",-TRANSPOSE(INDEX(getcds('CDO Bespoke'!$C206,X$13,'CDO Bespoke'!$G206/10000,'CDO Bespoke'!G206,'CDO Bespoke'!$L182,'CDO Bespoke'!$C$13,'CDO Bespoke'!$C$14,'CDO Bespoke'!$C$15,'CDO Bespoke'!$C$8,,,TRUE,TRUE,FALSE,'CDO Bespoke'!$C$29:'CDO Bespoke'!$C$31,'CDO Bespoke'!$C$33),{5})),"")</f>
        <v/>
      </c>
      <c r="Y181" s="524" t="str" cm="1">
        <f t="array" aca="1" ref="Y181" ca="1">IF($V181&lt;&gt;"",-TRANSPOSE(INDEX(getcds('CDO Bespoke'!$C206,Y$13,'CDO Bespoke'!$G206/10000,'CDO Bespoke'!H206,'CDO Bespoke'!$L182,'CDO Bespoke'!$C$13,'CDO Bespoke'!$C$14,'CDO Bespoke'!$C$15,'CDO Bespoke'!$C$8,,,TRUE,TRUE,FALSE,'CDO Bespoke'!$C$29:'CDO Bespoke'!$C$31,'CDO Bespoke'!$C$33),{5})),"")</f>
        <v/>
      </c>
      <c r="Z181" s="524" t="str" cm="1">
        <f t="array" aca="1" ref="Z181" ca="1">IF($V181&lt;&gt;"",-TRANSPOSE(INDEX(getcds('CDO Bespoke'!$C206,Z$13,'CDO Bespoke'!$G206/10000,'CDO Bespoke'!I206,'CDO Bespoke'!$L182,'CDO Bespoke'!$C$13,'CDO Bespoke'!$C$14,'CDO Bespoke'!$C$15,'CDO Bespoke'!$C$8,,,TRUE,TRUE,FALSE,'CDO Bespoke'!$C$29:'CDO Bespoke'!$C$31,'CDO Bespoke'!$C$33),{5})),"")</f>
        <v/>
      </c>
      <c r="AA181" s="500" t="str" cm="1">
        <f t="array" aca="1" ref="AA181" ca="1">IF($V181&lt;&gt;"",-TRANSPOSE(INDEX(getcds('CDO Bespoke'!$C206,AA$13,'CDO Bespoke'!$G206/10000,'CDO Bespoke'!J206,'CDO Bespoke'!$L182,'CDO Bespoke'!$C$13,'CDO Bespoke'!$C$14,'CDO Bespoke'!$C$15,'CDO Bespoke'!$C$8,,,TRUE,TRUE,FALSE,'CDO Bespoke'!$C$29:'CDO Bespoke'!$C$31,'CDO Bespoke'!$C$33),{5})),"")</f>
        <v/>
      </c>
      <c r="AB181" s="479"/>
      <c r="AC181" s="515"/>
      <c r="AD181" s="516"/>
      <c r="AE181" s="516"/>
      <c r="AF181" s="516"/>
      <c r="AG181" s="516"/>
      <c r="AH181" s="516"/>
      <c r="AI181" s="516"/>
      <c r="AJ181" s="516"/>
      <c r="AK181" s="516"/>
      <c r="AL181" s="517"/>
      <c r="AM181" s="534"/>
    </row>
    <row r="182" spans="2:39" ht="12" thickBot="1">
      <c r="B182" s="535" t="s">
        <v>557</v>
      </c>
      <c r="C182" s="536" t="s">
        <v>66</v>
      </c>
      <c r="D182" s="536" t="s">
        <v>57</v>
      </c>
      <c r="E182" s="536" t="s">
        <v>665</v>
      </c>
      <c r="F182" s="536" t="s">
        <v>663</v>
      </c>
      <c r="G182" s="543">
        <v>0.01</v>
      </c>
      <c r="H182" s="543">
        <v>3.0379999999999999E-3</v>
      </c>
      <c r="I182" s="545">
        <v>0.4</v>
      </c>
      <c r="J182" s="537">
        <v>53</v>
      </c>
      <c r="K182" s="274"/>
      <c r="L182" s="274"/>
      <c r="M182" s="487" t="str">
        <f ca="1">IF('CDO Bespoke'!O183&lt;&gt;"",'CDO Bespoke'!O183,"")</f>
        <v/>
      </c>
      <c r="N182" s="488" t="str">
        <f ca="1">IF(M182&lt;&gt;"",ABS(MIN(-0.75*('CDO Bespoke'!Q183)+'CDO Bespoke'!T183,0)),"")</f>
        <v/>
      </c>
      <c r="O182" s="488">
        <f t="shared" ca="1" si="8"/>
        <v>0</v>
      </c>
      <c r="P182" s="488">
        <f t="shared" ca="1" si="9"/>
        <v>0</v>
      </c>
      <c r="Q182" s="487" t="str">
        <f ca="1">IF('CDO Bespoke'!O183&lt;&gt;"",'CDO Bespoke'!O183,"")</f>
        <v/>
      </c>
      <c r="R182" s="488" t="str">
        <f ca="1">IF(Q182&lt;&gt;"",ABS(MIN(-0.75*('CDO Bespoke'!K183)+'CDO Bespoke'!T183,0)),"")</f>
        <v/>
      </c>
      <c r="S182" s="488">
        <f t="shared" ca="1" si="10"/>
        <v>0</v>
      </c>
      <c r="T182" s="492">
        <f t="shared" ca="1" si="11"/>
        <v>0</v>
      </c>
      <c r="U182" s="274"/>
      <c r="V182" s="497" t="str">
        <f ca="1">IF('CDO Bespoke'!C207&lt;&gt;"",'CDO Bespoke'!C207,"")</f>
        <v/>
      </c>
      <c r="W182" s="499" t="str" cm="1">
        <f t="array" aca="1" ref="W182" ca="1">IF($V182&lt;&gt;"",-TRANSPOSE(INDEX(getcds('CDO Bespoke'!$C207,W$13,'CDO Bespoke'!$G207/10000,'CDO Bespoke'!F207,'CDO Bespoke'!$L183,'CDO Bespoke'!$C$13,'CDO Bespoke'!$C$14,'CDO Bespoke'!$C$15,'CDO Bespoke'!$C$8,,,TRUE,TRUE,FALSE,'CDO Bespoke'!$C$29:'CDO Bespoke'!$C$31,'CDO Bespoke'!$C$33),{5})),"")</f>
        <v/>
      </c>
      <c r="X182" s="524" t="str" cm="1">
        <f t="array" aca="1" ref="X182" ca="1">IF($V182&lt;&gt;"",-TRANSPOSE(INDEX(getcds('CDO Bespoke'!$C207,X$13,'CDO Bespoke'!$G207/10000,'CDO Bespoke'!G207,'CDO Bespoke'!$L183,'CDO Bespoke'!$C$13,'CDO Bespoke'!$C$14,'CDO Bespoke'!$C$15,'CDO Bespoke'!$C$8,,,TRUE,TRUE,FALSE,'CDO Bespoke'!$C$29:'CDO Bespoke'!$C$31,'CDO Bespoke'!$C$33),{5})),"")</f>
        <v/>
      </c>
      <c r="Y182" s="524" t="str" cm="1">
        <f t="array" aca="1" ref="Y182" ca="1">IF($V182&lt;&gt;"",-TRANSPOSE(INDEX(getcds('CDO Bespoke'!$C207,Y$13,'CDO Bespoke'!$G207/10000,'CDO Bespoke'!H207,'CDO Bespoke'!$L183,'CDO Bespoke'!$C$13,'CDO Bespoke'!$C$14,'CDO Bespoke'!$C$15,'CDO Bespoke'!$C$8,,,TRUE,TRUE,FALSE,'CDO Bespoke'!$C$29:'CDO Bespoke'!$C$31,'CDO Bespoke'!$C$33),{5})),"")</f>
        <v/>
      </c>
      <c r="Z182" s="524" t="str" cm="1">
        <f t="array" aca="1" ref="Z182" ca="1">IF($V182&lt;&gt;"",-TRANSPOSE(INDEX(getcds('CDO Bespoke'!$C207,Z$13,'CDO Bespoke'!$G207/10000,'CDO Bespoke'!I207,'CDO Bespoke'!$L183,'CDO Bespoke'!$C$13,'CDO Bespoke'!$C$14,'CDO Bespoke'!$C$15,'CDO Bespoke'!$C$8,,,TRUE,TRUE,FALSE,'CDO Bespoke'!$C$29:'CDO Bespoke'!$C$31,'CDO Bespoke'!$C$33),{5})),"")</f>
        <v/>
      </c>
      <c r="AA182" s="500" t="str" cm="1">
        <f t="array" aca="1" ref="AA182" ca="1">IF($V182&lt;&gt;"",-TRANSPOSE(INDEX(getcds('CDO Bespoke'!$C207,AA$13,'CDO Bespoke'!$G207/10000,'CDO Bespoke'!J207,'CDO Bespoke'!$L183,'CDO Bespoke'!$C$13,'CDO Bespoke'!$C$14,'CDO Bespoke'!$C$15,'CDO Bespoke'!$C$8,,,TRUE,TRUE,FALSE,'CDO Bespoke'!$C$29:'CDO Bespoke'!$C$31,'CDO Bespoke'!$C$33),{5})),"")</f>
        <v/>
      </c>
      <c r="AB182" s="479"/>
      <c r="AC182" s="515"/>
      <c r="AD182" s="516"/>
      <c r="AE182" s="516"/>
      <c r="AF182" s="516"/>
      <c r="AG182" s="516"/>
      <c r="AH182" s="516"/>
      <c r="AI182" s="516"/>
      <c r="AJ182" s="516"/>
      <c r="AK182" s="516"/>
      <c r="AL182" s="517"/>
      <c r="AM182" s="534"/>
    </row>
    <row r="183" spans="2:39" ht="12" thickBot="1">
      <c r="B183" s="552" t="s">
        <v>557</v>
      </c>
      <c r="C183" s="553" t="s">
        <v>66</v>
      </c>
      <c r="D183" s="553" t="s">
        <v>59</v>
      </c>
      <c r="E183" s="553" t="s">
        <v>665</v>
      </c>
      <c r="F183" s="553" t="s">
        <v>663</v>
      </c>
      <c r="G183" s="554">
        <v>0.01</v>
      </c>
      <c r="H183" s="554">
        <v>4.2700000000000004E-3</v>
      </c>
      <c r="I183" s="555">
        <v>0.4</v>
      </c>
      <c r="J183" s="556">
        <v>53</v>
      </c>
      <c r="K183" s="274"/>
      <c r="L183" s="274"/>
      <c r="M183" s="487" t="str">
        <f ca="1">IF('CDO Bespoke'!O184&lt;&gt;"",'CDO Bespoke'!O184,"")</f>
        <v/>
      </c>
      <c r="N183" s="488" t="str">
        <f ca="1">IF(M183&lt;&gt;"",ABS(MIN(-0.75*('CDO Bespoke'!Q184)+'CDO Bespoke'!T184,0)),"")</f>
        <v/>
      </c>
      <c r="O183" s="488">
        <f t="shared" ca="1" si="8"/>
        <v>0</v>
      </c>
      <c r="P183" s="488">
        <f t="shared" ca="1" si="9"/>
        <v>0</v>
      </c>
      <c r="Q183" s="487" t="str">
        <f ca="1">IF('CDO Bespoke'!O184&lt;&gt;"",'CDO Bespoke'!O184,"")</f>
        <v/>
      </c>
      <c r="R183" s="488" t="str">
        <f ca="1">IF(Q183&lt;&gt;"",ABS(MIN(-0.75*('CDO Bespoke'!K184)+'CDO Bespoke'!T184,0)),"")</f>
        <v/>
      </c>
      <c r="S183" s="488">
        <f t="shared" ca="1" si="10"/>
        <v>0</v>
      </c>
      <c r="T183" s="492">
        <f t="shared" ca="1" si="11"/>
        <v>0</v>
      </c>
      <c r="U183" s="274"/>
      <c r="V183" s="497" t="str">
        <f ca="1">IF('CDO Bespoke'!C208&lt;&gt;"",'CDO Bespoke'!C208,"")</f>
        <v/>
      </c>
      <c r="W183" s="499" t="str" cm="1">
        <f t="array" aca="1" ref="W183" ca="1">IF($V183&lt;&gt;"",-TRANSPOSE(INDEX(getcds('CDO Bespoke'!$C208,W$13,'CDO Bespoke'!$G208/10000,'CDO Bespoke'!F208,'CDO Bespoke'!$L184,'CDO Bespoke'!$C$13,'CDO Bespoke'!$C$14,'CDO Bespoke'!$C$15,'CDO Bespoke'!$C$8,,,TRUE,TRUE,FALSE,'CDO Bespoke'!$C$29:'CDO Bespoke'!$C$31,'CDO Bespoke'!$C$33),{5})),"")</f>
        <v/>
      </c>
      <c r="X183" s="524" t="str" cm="1">
        <f t="array" aca="1" ref="X183" ca="1">IF($V183&lt;&gt;"",-TRANSPOSE(INDEX(getcds('CDO Bespoke'!$C208,X$13,'CDO Bespoke'!$G208/10000,'CDO Bespoke'!G208,'CDO Bespoke'!$L184,'CDO Bespoke'!$C$13,'CDO Bespoke'!$C$14,'CDO Bespoke'!$C$15,'CDO Bespoke'!$C$8,,,TRUE,TRUE,FALSE,'CDO Bespoke'!$C$29:'CDO Bespoke'!$C$31,'CDO Bespoke'!$C$33),{5})),"")</f>
        <v/>
      </c>
      <c r="Y183" s="524" t="str" cm="1">
        <f t="array" aca="1" ref="Y183" ca="1">IF($V183&lt;&gt;"",-TRANSPOSE(INDEX(getcds('CDO Bespoke'!$C208,Y$13,'CDO Bespoke'!$G208/10000,'CDO Bespoke'!H208,'CDO Bespoke'!$L184,'CDO Bespoke'!$C$13,'CDO Bespoke'!$C$14,'CDO Bespoke'!$C$15,'CDO Bespoke'!$C$8,,,TRUE,TRUE,FALSE,'CDO Bespoke'!$C$29:'CDO Bespoke'!$C$31,'CDO Bespoke'!$C$33),{5})),"")</f>
        <v/>
      </c>
      <c r="Z183" s="524" t="str" cm="1">
        <f t="array" aca="1" ref="Z183" ca="1">IF($V183&lt;&gt;"",-TRANSPOSE(INDEX(getcds('CDO Bespoke'!$C208,Z$13,'CDO Bespoke'!$G208/10000,'CDO Bespoke'!I208,'CDO Bespoke'!$L184,'CDO Bespoke'!$C$13,'CDO Bespoke'!$C$14,'CDO Bespoke'!$C$15,'CDO Bespoke'!$C$8,,,TRUE,TRUE,FALSE,'CDO Bespoke'!$C$29:'CDO Bespoke'!$C$31,'CDO Bespoke'!$C$33),{5})),"")</f>
        <v/>
      </c>
      <c r="AA183" s="500" t="str" cm="1">
        <f t="array" aca="1" ref="AA183" ca="1">IF($V183&lt;&gt;"",-TRANSPOSE(INDEX(getcds('CDO Bespoke'!$C208,AA$13,'CDO Bespoke'!$G208/10000,'CDO Bespoke'!J208,'CDO Bespoke'!$L184,'CDO Bespoke'!$C$13,'CDO Bespoke'!$C$14,'CDO Bespoke'!$C$15,'CDO Bespoke'!$C$8,,,TRUE,TRUE,FALSE,'CDO Bespoke'!$C$29:'CDO Bespoke'!$C$31,'CDO Bespoke'!$C$33),{5})),"")</f>
        <v/>
      </c>
      <c r="AB183" s="479"/>
      <c r="AC183" s="515"/>
      <c r="AD183" s="516"/>
      <c r="AE183" s="516"/>
      <c r="AF183" s="516"/>
      <c r="AG183" s="516"/>
      <c r="AH183" s="516"/>
      <c r="AI183" s="516"/>
      <c r="AJ183" s="516"/>
      <c r="AK183" s="516"/>
      <c r="AL183" s="517"/>
      <c r="AM183" s="534"/>
    </row>
    <row r="184" spans="2:39" ht="12" thickBot="1">
      <c r="B184" s="557" t="s">
        <v>558</v>
      </c>
      <c r="C184" s="558" t="s">
        <v>66</v>
      </c>
      <c r="D184" s="558" t="s">
        <v>55</v>
      </c>
      <c r="E184" s="558" t="s">
        <v>665</v>
      </c>
      <c r="F184" s="558" t="s">
        <v>663</v>
      </c>
      <c r="G184" s="559">
        <v>0.01</v>
      </c>
      <c r="H184" s="559">
        <v>1.957E-3</v>
      </c>
      <c r="I184" s="560">
        <v>0.4</v>
      </c>
      <c r="J184" s="561">
        <v>54</v>
      </c>
      <c r="K184" s="274"/>
      <c r="L184" s="274"/>
      <c r="M184" s="487" t="str">
        <f ca="1">IF('CDO Bespoke'!O185&lt;&gt;"",'CDO Bespoke'!O185,"")</f>
        <v/>
      </c>
      <c r="N184" s="488" t="str">
        <f ca="1">IF(M184&lt;&gt;"",ABS(MIN(-0.75*('CDO Bespoke'!Q185)+'CDO Bespoke'!T185,0)),"")</f>
        <v/>
      </c>
      <c r="O184" s="488">
        <f t="shared" ca="1" si="8"/>
        <v>0</v>
      </c>
      <c r="P184" s="488">
        <f t="shared" ca="1" si="9"/>
        <v>0</v>
      </c>
      <c r="Q184" s="487" t="str">
        <f ca="1">IF('CDO Bespoke'!O185&lt;&gt;"",'CDO Bespoke'!O185,"")</f>
        <v/>
      </c>
      <c r="R184" s="488" t="str">
        <f ca="1">IF(Q184&lt;&gt;"",ABS(MIN(-0.75*('CDO Bespoke'!K185)+'CDO Bespoke'!T185,0)),"")</f>
        <v/>
      </c>
      <c r="S184" s="488">
        <f t="shared" ca="1" si="10"/>
        <v>0</v>
      </c>
      <c r="T184" s="492">
        <f t="shared" ca="1" si="11"/>
        <v>0</v>
      </c>
      <c r="U184" s="274"/>
      <c r="V184" s="497" t="str">
        <f ca="1">IF('CDO Bespoke'!C209&lt;&gt;"",'CDO Bespoke'!C209,"")</f>
        <v/>
      </c>
      <c r="W184" s="499" t="str" cm="1">
        <f t="array" aca="1" ref="W184" ca="1">IF($V184&lt;&gt;"",-TRANSPOSE(INDEX(getcds('CDO Bespoke'!$C209,W$13,'CDO Bespoke'!$G209/10000,'CDO Bespoke'!F209,'CDO Bespoke'!$L185,'CDO Bespoke'!$C$13,'CDO Bespoke'!$C$14,'CDO Bespoke'!$C$15,'CDO Bespoke'!$C$8,,,TRUE,TRUE,FALSE,'CDO Bespoke'!$C$29:'CDO Bespoke'!$C$31,'CDO Bespoke'!$C$33),{5})),"")</f>
        <v/>
      </c>
      <c r="X184" s="524" t="str" cm="1">
        <f t="array" aca="1" ref="X184" ca="1">IF($V184&lt;&gt;"",-TRANSPOSE(INDEX(getcds('CDO Bespoke'!$C209,X$13,'CDO Bespoke'!$G209/10000,'CDO Bespoke'!G209,'CDO Bespoke'!$L185,'CDO Bespoke'!$C$13,'CDO Bespoke'!$C$14,'CDO Bespoke'!$C$15,'CDO Bespoke'!$C$8,,,TRUE,TRUE,FALSE,'CDO Bespoke'!$C$29:'CDO Bespoke'!$C$31,'CDO Bespoke'!$C$33),{5})),"")</f>
        <v/>
      </c>
      <c r="Y184" s="524" t="str" cm="1">
        <f t="array" aca="1" ref="Y184" ca="1">IF($V184&lt;&gt;"",-TRANSPOSE(INDEX(getcds('CDO Bespoke'!$C209,Y$13,'CDO Bespoke'!$G209/10000,'CDO Bespoke'!H209,'CDO Bespoke'!$L185,'CDO Bespoke'!$C$13,'CDO Bespoke'!$C$14,'CDO Bespoke'!$C$15,'CDO Bespoke'!$C$8,,,TRUE,TRUE,FALSE,'CDO Bespoke'!$C$29:'CDO Bespoke'!$C$31,'CDO Bespoke'!$C$33),{5})),"")</f>
        <v/>
      </c>
      <c r="Z184" s="524" t="str" cm="1">
        <f t="array" aca="1" ref="Z184" ca="1">IF($V184&lt;&gt;"",-TRANSPOSE(INDEX(getcds('CDO Bespoke'!$C209,Z$13,'CDO Bespoke'!$G209/10000,'CDO Bespoke'!I209,'CDO Bespoke'!$L185,'CDO Bespoke'!$C$13,'CDO Bespoke'!$C$14,'CDO Bespoke'!$C$15,'CDO Bespoke'!$C$8,,,TRUE,TRUE,FALSE,'CDO Bespoke'!$C$29:'CDO Bespoke'!$C$31,'CDO Bespoke'!$C$33),{5})),"")</f>
        <v/>
      </c>
      <c r="AA184" s="500" t="str" cm="1">
        <f t="array" aca="1" ref="AA184" ca="1">IF($V184&lt;&gt;"",-TRANSPOSE(INDEX(getcds('CDO Bespoke'!$C209,AA$13,'CDO Bespoke'!$G209/10000,'CDO Bespoke'!J209,'CDO Bespoke'!$L185,'CDO Bespoke'!$C$13,'CDO Bespoke'!$C$14,'CDO Bespoke'!$C$15,'CDO Bespoke'!$C$8,,,TRUE,TRUE,FALSE,'CDO Bespoke'!$C$29:'CDO Bespoke'!$C$31,'CDO Bespoke'!$C$33),{5})),"")</f>
        <v/>
      </c>
      <c r="AB184" s="479"/>
      <c r="AC184" s="515"/>
      <c r="AD184" s="516"/>
      <c r="AE184" s="516"/>
      <c r="AF184" s="516"/>
      <c r="AG184" s="516"/>
      <c r="AH184" s="516"/>
      <c r="AI184" s="516"/>
      <c r="AJ184" s="516"/>
      <c r="AK184" s="516"/>
      <c r="AL184" s="517"/>
      <c r="AM184" s="534"/>
    </row>
    <row r="185" spans="2:39" ht="12" thickBot="1">
      <c r="B185" s="535" t="s">
        <v>558</v>
      </c>
      <c r="C185" s="536" t="s">
        <v>66</v>
      </c>
      <c r="D185" s="536" t="s">
        <v>57</v>
      </c>
      <c r="E185" s="536" t="s">
        <v>665</v>
      </c>
      <c r="F185" s="536" t="s">
        <v>663</v>
      </c>
      <c r="G185" s="543">
        <v>0.01</v>
      </c>
      <c r="H185" s="543">
        <v>2.7009999999999998E-3</v>
      </c>
      <c r="I185" s="545">
        <v>0.4</v>
      </c>
      <c r="J185" s="537">
        <v>54</v>
      </c>
      <c r="K185" s="274"/>
      <c r="L185" s="274"/>
      <c r="M185" s="487" t="str">
        <f ca="1">IF('CDO Bespoke'!O186&lt;&gt;"",'CDO Bespoke'!O186,"")</f>
        <v/>
      </c>
      <c r="N185" s="488" t="str">
        <f ca="1">IF(M185&lt;&gt;"",ABS(MIN(-0.75*('CDO Bespoke'!Q186)+'CDO Bespoke'!T186,0)),"")</f>
        <v/>
      </c>
      <c r="O185" s="488">
        <f t="shared" ca="1" si="8"/>
        <v>0</v>
      </c>
      <c r="P185" s="488">
        <f t="shared" ca="1" si="9"/>
        <v>0</v>
      </c>
      <c r="Q185" s="487" t="str">
        <f ca="1">IF('CDO Bespoke'!O186&lt;&gt;"",'CDO Bespoke'!O186,"")</f>
        <v/>
      </c>
      <c r="R185" s="488" t="str">
        <f ca="1">IF(Q185&lt;&gt;"",ABS(MIN(-0.75*('CDO Bespoke'!K186)+'CDO Bespoke'!T186,0)),"")</f>
        <v/>
      </c>
      <c r="S185" s="488">
        <f t="shared" ca="1" si="10"/>
        <v>0</v>
      </c>
      <c r="T185" s="492">
        <f t="shared" ca="1" si="11"/>
        <v>0</v>
      </c>
      <c r="U185" s="274"/>
      <c r="V185" s="497" t="str">
        <f ca="1">IF('CDO Bespoke'!C210&lt;&gt;"",'CDO Bespoke'!C210,"")</f>
        <v/>
      </c>
      <c r="W185" s="499" t="str" cm="1">
        <f t="array" aca="1" ref="W185" ca="1">IF($V185&lt;&gt;"",-TRANSPOSE(INDEX(getcds('CDO Bespoke'!$C210,W$13,'CDO Bespoke'!$G210/10000,'CDO Bespoke'!F210,'CDO Bespoke'!$L186,'CDO Bespoke'!$C$13,'CDO Bespoke'!$C$14,'CDO Bespoke'!$C$15,'CDO Bespoke'!$C$8,,,TRUE,TRUE,FALSE,'CDO Bespoke'!$C$29:'CDO Bespoke'!$C$31,'CDO Bespoke'!$C$33),{5})),"")</f>
        <v/>
      </c>
      <c r="X185" s="524" t="str" cm="1">
        <f t="array" aca="1" ref="X185" ca="1">IF($V185&lt;&gt;"",-TRANSPOSE(INDEX(getcds('CDO Bespoke'!$C210,X$13,'CDO Bespoke'!$G210/10000,'CDO Bespoke'!G210,'CDO Bespoke'!$L186,'CDO Bespoke'!$C$13,'CDO Bespoke'!$C$14,'CDO Bespoke'!$C$15,'CDO Bespoke'!$C$8,,,TRUE,TRUE,FALSE,'CDO Bespoke'!$C$29:'CDO Bespoke'!$C$31,'CDO Bespoke'!$C$33),{5})),"")</f>
        <v/>
      </c>
      <c r="Y185" s="524" t="str" cm="1">
        <f t="array" aca="1" ref="Y185" ca="1">IF($V185&lt;&gt;"",-TRANSPOSE(INDEX(getcds('CDO Bespoke'!$C210,Y$13,'CDO Bespoke'!$G210/10000,'CDO Bespoke'!H210,'CDO Bespoke'!$L186,'CDO Bespoke'!$C$13,'CDO Bespoke'!$C$14,'CDO Bespoke'!$C$15,'CDO Bespoke'!$C$8,,,TRUE,TRUE,FALSE,'CDO Bespoke'!$C$29:'CDO Bespoke'!$C$31,'CDO Bespoke'!$C$33),{5})),"")</f>
        <v/>
      </c>
      <c r="Z185" s="524" t="str" cm="1">
        <f t="array" aca="1" ref="Z185" ca="1">IF($V185&lt;&gt;"",-TRANSPOSE(INDEX(getcds('CDO Bespoke'!$C210,Z$13,'CDO Bespoke'!$G210/10000,'CDO Bespoke'!I210,'CDO Bespoke'!$L186,'CDO Bespoke'!$C$13,'CDO Bespoke'!$C$14,'CDO Bespoke'!$C$15,'CDO Bespoke'!$C$8,,,TRUE,TRUE,FALSE,'CDO Bespoke'!$C$29:'CDO Bespoke'!$C$31,'CDO Bespoke'!$C$33),{5})),"")</f>
        <v/>
      </c>
      <c r="AA185" s="500" t="str" cm="1">
        <f t="array" aca="1" ref="AA185" ca="1">IF($V185&lt;&gt;"",-TRANSPOSE(INDEX(getcds('CDO Bespoke'!$C210,AA$13,'CDO Bespoke'!$G210/10000,'CDO Bespoke'!J210,'CDO Bespoke'!$L186,'CDO Bespoke'!$C$13,'CDO Bespoke'!$C$14,'CDO Bespoke'!$C$15,'CDO Bespoke'!$C$8,,,TRUE,TRUE,FALSE,'CDO Bespoke'!$C$29:'CDO Bespoke'!$C$31,'CDO Bespoke'!$C$33),{5})),"")</f>
        <v/>
      </c>
      <c r="AB185" s="479"/>
      <c r="AC185" s="515"/>
      <c r="AD185" s="516"/>
      <c r="AE185" s="516"/>
      <c r="AF185" s="516"/>
      <c r="AG185" s="516"/>
      <c r="AH185" s="516"/>
      <c r="AI185" s="516"/>
      <c r="AJ185" s="516"/>
      <c r="AK185" s="516"/>
      <c r="AL185" s="517"/>
      <c r="AM185" s="534"/>
    </row>
    <row r="186" spans="2:39" ht="12" thickBot="1">
      <c r="B186" s="552" t="s">
        <v>558</v>
      </c>
      <c r="C186" s="553" t="s">
        <v>66</v>
      </c>
      <c r="D186" s="553" t="s">
        <v>59</v>
      </c>
      <c r="E186" s="553" t="s">
        <v>665</v>
      </c>
      <c r="F186" s="553" t="s">
        <v>663</v>
      </c>
      <c r="G186" s="554">
        <v>0.01</v>
      </c>
      <c r="H186" s="554">
        <v>3.7780000000000001E-3</v>
      </c>
      <c r="I186" s="555">
        <v>0.4</v>
      </c>
      <c r="J186" s="556">
        <v>54</v>
      </c>
      <c r="K186" s="274"/>
      <c r="L186" s="274"/>
      <c r="M186" s="487" t="str">
        <f ca="1">IF('CDO Bespoke'!O187&lt;&gt;"",'CDO Bespoke'!O187,"")</f>
        <v/>
      </c>
      <c r="N186" s="488" t="str">
        <f ca="1">IF(M186&lt;&gt;"",ABS(MIN(-0.75*('CDO Bespoke'!Q187)+'CDO Bespoke'!T187,0)),"")</f>
        <v/>
      </c>
      <c r="O186" s="488">
        <f t="shared" ca="1" si="8"/>
        <v>0</v>
      </c>
      <c r="P186" s="488">
        <f t="shared" ca="1" si="9"/>
        <v>0</v>
      </c>
      <c r="Q186" s="487" t="str">
        <f ca="1">IF('CDO Bespoke'!O187&lt;&gt;"",'CDO Bespoke'!O187,"")</f>
        <v/>
      </c>
      <c r="R186" s="488" t="str">
        <f ca="1">IF(Q186&lt;&gt;"",ABS(MIN(-0.75*('CDO Bespoke'!K187)+'CDO Bespoke'!T187,0)),"")</f>
        <v/>
      </c>
      <c r="S186" s="488">
        <f t="shared" ca="1" si="10"/>
        <v>0</v>
      </c>
      <c r="T186" s="492">
        <f t="shared" ca="1" si="11"/>
        <v>0</v>
      </c>
      <c r="U186" s="274"/>
      <c r="V186" s="497" t="str">
        <f ca="1">IF('CDO Bespoke'!C211&lt;&gt;"",'CDO Bespoke'!C211,"")</f>
        <v/>
      </c>
      <c r="W186" s="499" t="str" cm="1">
        <f t="array" aca="1" ref="W186" ca="1">IF($V186&lt;&gt;"",-TRANSPOSE(INDEX(getcds('CDO Bespoke'!$C211,W$13,'CDO Bespoke'!$G211/10000,'CDO Bespoke'!F211,'CDO Bespoke'!$L187,'CDO Bespoke'!$C$13,'CDO Bespoke'!$C$14,'CDO Bespoke'!$C$15,'CDO Bespoke'!$C$8,,,TRUE,TRUE,FALSE,'CDO Bespoke'!$C$29:'CDO Bespoke'!$C$31,'CDO Bespoke'!$C$33),{5})),"")</f>
        <v/>
      </c>
      <c r="X186" s="524" t="str" cm="1">
        <f t="array" aca="1" ref="X186" ca="1">IF($V186&lt;&gt;"",-TRANSPOSE(INDEX(getcds('CDO Bespoke'!$C211,X$13,'CDO Bespoke'!$G211/10000,'CDO Bespoke'!G211,'CDO Bespoke'!$L187,'CDO Bespoke'!$C$13,'CDO Bespoke'!$C$14,'CDO Bespoke'!$C$15,'CDO Bespoke'!$C$8,,,TRUE,TRUE,FALSE,'CDO Bespoke'!$C$29:'CDO Bespoke'!$C$31,'CDO Bespoke'!$C$33),{5})),"")</f>
        <v/>
      </c>
      <c r="Y186" s="524" t="str" cm="1">
        <f t="array" aca="1" ref="Y186" ca="1">IF($V186&lt;&gt;"",-TRANSPOSE(INDEX(getcds('CDO Bespoke'!$C211,Y$13,'CDO Bespoke'!$G211/10000,'CDO Bespoke'!H211,'CDO Bespoke'!$L187,'CDO Bespoke'!$C$13,'CDO Bespoke'!$C$14,'CDO Bespoke'!$C$15,'CDO Bespoke'!$C$8,,,TRUE,TRUE,FALSE,'CDO Bespoke'!$C$29:'CDO Bespoke'!$C$31,'CDO Bespoke'!$C$33),{5})),"")</f>
        <v/>
      </c>
      <c r="Z186" s="524" t="str" cm="1">
        <f t="array" aca="1" ref="Z186" ca="1">IF($V186&lt;&gt;"",-TRANSPOSE(INDEX(getcds('CDO Bespoke'!$C211,Z$13,'CDO Bespoke'!$G211/10000,'CDO Bespoke'!I211,'CDO Bespoke'!$L187,'CDO Bespoke'!$C$13,'CDO Bespoke'!$C$14,'CDO Bespoke'!$C$15,'CDO Bespoke'!$C$8,,,TRUE,TRUE,FALSE,'CDO Bespoke'!$C$29:'CDO Bespoke'!$C$31,'CDO Bespoke'!$C$33),{5})),"")</f>
        <v/>
      </c>
      <c r="AA186" s="500" t="str" cm="1">
        <f t="array" aca="1" ref="AA186" ca="1">IF($V186&lt;&gt;"",-TRANSPOSE(INDEX(getcds('CDO Bespoke'!$C211,AA$13,'CDO Bespoke'!$G211/10000,'CDO Bespoke'!J211,'CDO Bespoke'!$L187,'CDO Bespoke'!$C$13,'CDO Bespoke'!$C$14,'CDO Bespoke'!$C$15,'CDO Bespoke'!$C$8,,,TRUE,TRUE,FALSE,'CDO Bespoke'!$C$29:'CDO Bespoke'!$C$31,'CDO Bespoke'!$C$33),{5})),"")</f>
        <v/>
      </c>
      <c r="AB186" s="479"/>
      <c r="AC186" s="515"/>
      <c r="AD186" s="516"/>
      <c r="AE186" s="516"/>
      <c r="AF186" s="516"/>
      <c r="AG186" s="516"/>
      <c r="AH186" s="516"/>
      <c r="AI186" s="516"/>
      <c r="AJ186" s="516"/>
      <c r="AK186" s="516"/>
      <c r="AL186" s="517"/>
      <c r="AM186" s="534"/>
    </row>
    <row r="187" spans="2:39" ht="12" thickBot="1">
      <c r="B187" s="557" t="s">
        <v>559</v>
      </c>
      <c r="C187" s="558" t="s">
        <v>66</v>
      </c>
      <c r="D187" s="558" t="s">
        <v>55</v>
      </c>
      <c r="E187" s="558" t="s">
        <v>660</v>
      </c>
      <c r="F187" s="558" t="s">
        <v>663</v>
      </c>
      <c r="G187" s="559">
        <v>0.01</v>
      </c>
      <c r="H187" s="559">
        <v>2.3579999999999999E-3</v>
      </c>
      <c r="I187" s="560">
        <v>0.4</v>
      </c>
      <c r="J187" s="561">
        <v>55</v>
      </c>
      <c r="K187" s="274"/>
      <c r="L187" s="274"/>
      <c r="M187" s="487" t="str">
        <f ca="1">IF('CDO Bespoke'!O188&lt;&gt;"",'CDO Bespoke'!O188,"")</f>
        <v/>
      </c>
      <c r="N187" s="488" t="str">
        <f ca="1">IF(M187&lt;&gt;"",ABS(MIN(-0.75*('CDO Bespoke'!Q188)+'CDO Bespoke'!T188,0)),"")</f>
        <v/>
      </c>
      <c r="O187" s="488">
        <f t="shared" ca="1" si="8"/>
        <v>0</v>
      </c>
      <c r="P187" s="488">
        <f t="shared" ca="1" si="9"/>
        <v>0</v>
      </c>
      <c r="Q187" s="487" t="str">
        <f ca="1">IF('CDO Bespoke'!O188&lt;&gt;"",'CDO Bespoke'!O188,"")</f>
        <v/>
      </c>
      <c r="R187" s="488" t="str">
        <f ca="1">IF(Q187&lt;&gt;"",ABS(MIN(-0.75*('CDO Bespoke'!K188)+'CDO Bespoke'!T188,0)),"")</f>
        <v/>
      </c>
      <c r="S187" s="488">
        <f t="shared" ca="1" si="10"/>
        <v>0</v>
      </c>
      <c r="T187" s="492">
        <f t="shared" ca="1" si="11"/>
        <v>0</v>
      </c>
      <c r="U187" s="274"/>
      <c r="V187" s="497" t="str">
        <f ca="1">IF('CDO Bespoke'!C212&lt;&gt;"",'CDO Bespoke'!C212,"")</f>
        <v/>
      </c>
      <c r="W187" s="499" t="str" cm="1">
        <f t="array" aca="1" ref="W187" ca="1">IF($V187&lt;&gt;"",-TRANSPOSE(INDEX(getcds('CDO Bespoke'!$C212,W$13,'CDO Bespoke'!$G212/10000,'CDO Bespoke'!F212,'CDO Bespoke'!$L188,'CDO Bespoke'!$C$13,'CDO Bespoke'!$C$14,'CDO Bespoke'!$C$15,'CDO Bespoke'!$C$8,,,TRUE,TRUE,FALSE,'CDO Bespoke'!$C$29:'CDO Bespoke'!$C$31,'CDO Bespoke'!$C$33),{5})),"")</f>
        <v/>
      </c>
      <c r="X187" s="524" t="str" cm="1">
        <f t="array" aca="1" ref="X187" ca="1">IF($V187&lt;&gt;"",-TRANSPOSE(INDEX(getcds('CDO Bespoke'!$C212,X$13,'CDO Bespoke'!$G212/10000,'CDO Bespoke'!G212,'CDO Bespoke'!$L188,'CDO Bespoke'!$C$13,'CDO Bespoke'!$C$14,'CDO Bespoke'!$C$15,'CDO Bespoke'!$C$8,,,TRUE,TRUE,FALSE,'CDO Bespoke'!$C$29:'CDO Bespoke'!$C$31,'CDO Bespoke'!$C$33),{5})),"")</f>
        <v/>
      </c>
      <c r="Y187" s="524" t="str" cm="1">
        <f t="array" aca="1" ref="Y187" ca="1">IF($V187&lt;&gt;"",-TRANSPOSE(INDEX(getcds('CDO Bespoke'!$C212,Y$13,'CDO Bespoke'!$G212/10000,'CDO Bespoke'!H212,'CDO Bespoke'!$L188,'CDO Bespoke'!$C$13,'CDO Bespoke'!$C$14,'CDO Bespoke'!$C$15,'CDO Bespoke'!$C$8,,,TRUE,TRUE,FALSE,'CDO Bespoke'!$C$29:'CDO Bespoke'!$C$31,'CDO Bespoke'!$C$33),{5})),"")</f>
        <v/>
      </c>
      <c r="Z187" s="524" t="str" cm="1">
        <f t="array" aca="1" ref="Z187" ca="1">IF($V187&lt;&gt;"",-TRANSPOSE(INDEX(getcds('CDO Bespoke'!$C212,Z$13,'CDO Bespoke'!$G212/10000,'CDO Bespoke'!I212,'CDO Bespoke'!$L188,'CDO Bespoke'!$C$13,'CDO Bespoke'!$C$14,'CDO Bespoke'!$C$15,'CDO Bespoke'!$C$8,,,TRUE,TRUE,FALSE,'CDO Bespoke'!$C$29:'CDO Bespoke'!$C$31,'CDO Bespoke'!$C$33),{5})),"")</f>
        <v/>
      </c>
      <c r="AA187" s="500" t="str" cm="1">
        <f t="array" aca="1" ref="AA187" ca="1">IF($V187&lt;&gt;"",-TRANSPOSE(INDEX(getcds('CDO Bespoke'!$C212,AA$13,'CDO Bespoke'!$G212/10000,'CDO Bespoke'!J212,'CDO Bespoke'!$L188,'CDO Bespoke'!$C$13,'CDO Bespoke'!$C$14,'CDO Bespoke'!$C$15,'CDO Bespoke'!$C$8,,,TRUE,TRUE,FALSE,'CDO Bespoke'!$C$29:'CDO Bespoke'!$C$31,'CDO Bespoke'!$C$33),{5})),"")</f>
        <v/>
      </c>
      <c r="AB187" s="479"/>
      <c r="AC187" s="515"/>
      <c r="AD187" s="516"/>
      <c r="AE187" s="516"/>
      <c r="AF187" s="516"/>
      <c r="AG187" s="516"/>
      <c r="AH187" s="516"/>
      <c r="AI187" s="516"/>
      <c r="AJ187" s="516"/>
      <c r="AK187" s="516"/>
      <c r="AL187" s="517"/>
      <c r="AM187" s="534"/>
    </row>
    <row r="188" spans="2:39" ht="12" thickBot="1">
      <c r="B188" s="535" t="s">
        <v>559</v>
      </c>
      <c r="C188" s="536" t="s">
        <v>66</v>
      </c>
      <c r="D188" s="536" t="s">
        <v>57</v>
      </c>
      <c r="E188" s="536" t="s">
        <v>660</v>
      </c>
      <c r="F188" s="536" t="s">
        <v>663</v>
      </c>
      <c r="G188" s="543">
        <v>0.01</v>
      </c>
      <c r="H188" s="543">
        <v>4.816E-3</v>
      </c>
      <c r="I188" s="545">
        <v>0.4</v>
      </c>
      <c r="J188" s="537">
        <v>55</v>
      </c>
      <c r="K188" s="274"/>
      <c r="L188" s="274"/>
      <c r="M188" s="487" t="str">
        <f ca="1">IF('CDO Bespoke'!O189&lt;&gt;"",'CDO Bespoke'!O189,"")</f>
        <v/>
      </c>
      <c r="N188" s="488" t="str">
        <f ca="1">IF(M188&lt;&gt;"",ABS(MIN(-0.75*('CDO Bespoke'!Q189)+'CDO Bespoke'!T189,0)),"")</f>
        <v/>
      </c>
      <c r="O188" s="488">
        <f t="shared" ca="1" si="8"/>
        <v>0</v>
      </c>
      <c r="P188" s="488">
        <f t="shared" ca="1" si="9"/>
        <v>0</v>
      </c>
      <c r="Q188" s="487" t="str">
        <f ca="1">IF('CDO Bespoke'!O189&lt;&gt;"",'CDO Bespoke'!O189,"")</f>
        <v/>
      </c>
      <c r="R188" s="488" t="str">
        <f ca="1">IF(Q188&lt;&gt;"",ABS(MIN(-0.75*('CDO Bespoke'!K189)+'CDO Bespoke'!T189,0)),"")</f>
        <v/>
      </c>
      <c r="S188" s="488">
        <f t="shared" ca="1" si="10"/>
        <v>0</v>
      </c>
      <c r="T188" s="492">
        <f t="shared" ca="1" si="11"/>
        <v>0</v>
      </c>
      <c r="U188" s="274"/>
      <c r="V188" s="497" t="str">
        <f ca="1">IF('CDO Bespoke'!C213&lt;&gt;"",'CDO Bespoke'!C213,"")</f>
        <v/>
      </c>
      <c r="W188" s="499" t="str" cm="1">
        <f t="array" aca="1" ref="W188" ca="1">IF($V188&lt;&gt;"",-TRANSPOSE(INDEX(getcds('CDO Bespoke'!$C213,W$13,'CDO Bespoke'!$G213/10000,'CDO Bespoke'!F213,'CDO Bespoke'!$L189,'CDO Bespoke'!$C$13,'CDO Bespoke'!$C$14,'CDO Bespoke'!$C$15,'CDO Bespoke'!$C$8,,,TRUE,TRUE,FALSE,'CDO Bespoke'!$C$29:'CDO Bespoke'!$C$31,'CDO Bespoke'!$C$33),{5})),"")</f>
        <v/>
      </c>
      <c r="X188" s="524" t="str" cm="1">
        <f t="array" aca="1" ref="X188" ca="1">IF($V188&lt;&gt;"",-TRANSPOSE(INDEX(getcds('CDO Bespoke'!$C213,X$13,'CDO Bespoke'!$G213/10000,'CDO Bespoke'!G213,'CDO Bespoke'!$L189,'CDO Bespoke'!$C$13,'CDO Bespoke'!$C$14,'CDO Bespoke'!$C$15,'CDO Bespoke'!$C$8,,,TRUE,TRUE,FALSE,'CDO Bespoke'!$C$29:'CDO Bespoke'!$C$31,'CDO Bespoke'!$C$33),{5})),"")</f>
        <v/>
      </c>
      <c r="Y188" s="524" t="str" cm="1">
        <f t="array" aca="1" ref="Y188" ca="1">IF($V188&lt;&gt;"",-TRANSPOSE(INDEX(getcds('CDO Bespoke'!$C213,Y$13,'CDO Bespoke'!$G213/10000,'CDO Bespoke'!H213,'CDO Bespoke'!$L189,'CDO Bespoke'!$C$13,'CDO Bespoke'!$C$14,'CDO Bespoke'!$C$15,'CDO Bespoke'!$C$8,,,TRUE,TRUE,FALSE,'CDO Bespoke'!$C$29:'CDO Bespoke'!$C$31,'CDO Bespoke'!$C$33),{5})),"")</f>
        <v/>
      </c>
      <c r="Z188" s="524" t="str" cm="1">
        <f t="array" aca="1" ref="Z188" ca="1">IF($V188&lt;&gt;"",-TRANSPOSE(INDEX(getcds('CDO Bespoke'!$C213,Z$13,'CDO Bespoke'!$G213/10000,'CDO Bespoke'!I213,'CDO Bespoke'!$L189,'CDO Bespoke'!$C$13,'CDO Bespoke'!$C$14,'CDO Bespoke'!$C$15,'CDO Bespoke'!$C$8,,,TRUE,TRUE,FALSE,'CDO Bespoke'!$C$29:'CDO Bespoke'!$C$31,'CDO Bespoke'!$C$33),{5})),"")</f>
        <v/>
      </c>
      <c r="AA188" s="500" t="str" cm="1">
        <f t="array" aca="1" ref="AA188" ca="1">IF($V188&lt;&gt;"",-TRANSPOSE(INDEX(getcds('CDO Bespoke'!$C213,AA$13,'CDO Bespoke'!$G213/10000,'CDO Bespoke'!J213,'CDO Bespoke'!$L189,'CDO Bespoke'!$C$13,'CDO Bespoke'!$C$14,'CDO Bespoke'!$C$15,'CDO Bespoke'!$C$8,,,TRUE,TRUE,FALSE,'CDO Bespoke'!$C$29:'CDO Bespoke'!$C$31,'CDO Bespoke'!$C$33),{5})),"")</f>
        <v/>
      </c>
      <c r="AB188" s="479"/>
      <c r="AC188" s="515"/>
      <c r="AD188" s="516"/>
      <c r="AE188" s="516"/>
      <c r="AF188" s="516"/>
      <c r="AG188" s="516"/>
      <c r="AH188" s="516"/>
      <c r="AI188" s="516"/>
      <c r="AJ188" s="516"/>
      <c r="AK188" s="516"/>
      <c r="AL188" s="517"/>
      <c r="AM188" s="534"/>
    </row>
    <row r="189" spans="2:39" ht="12" thickBot="1">
      <c r="B189" s="552" t="s">
        <v>559</v>
      </c>
      <c r="C189" s="553" t="s">
        <v>66</v>
      </c>
      <c r="D189" s="553" t="s">
        <v>59</v>
      </c>
      <c r="E189" s="553" t="s">
        <v>660</v>
      </c>
      <c r="F189" s="553" t="s">
        <v>663</v>
      </c>
      <c r="G189" s="554">
        <v>0.01</v>
      </c>
      <c r="H189" s="554">
        <v>7.6169999999999996E-3</v>
      </c>
      <c r="I189" s="555">
        <v>0.4</v>
      </c>
      <c r="J189" s="556">
        <v>55</v>
      </c>
      <c r="K189" s="274"/>
      <c r="L189" s="274"/>
      <c r="M189" s="487" t="str">
        <f ca="1">IF('CDO Bespoke'!O190&lt;&gt;"",'CDO Bespoke'!O190,"")</f>
        <v/>
      </c>
      <c r="N189" s="488" t="str">
        <f ca="1">IF(M189&lt;&gt;"",ABS(MIN(-0.75*('CDO Bespoke'!Q190)+'CDO Bespoke'!T190,0)),"")</f>
        <v/>
      </c>
      <c r="O189" s="488">
        <f t="shared" ca="1" si="8"/>
        <v>0</v>
      </c>
      <c r="P189" s="488">
        <f t="shared" ca="1" si="9"/>
        <v>0</v>
      </c>
      <c r="Q189" s="487" t="str">
        <f ca="1">IF('CDO Bespoke'!O190&lt;&gt;"",'CDO Bespoke'!O190,"")</f>
        <v/>
      </c>
      <c r="R189" s="488" t="str">
        <f ca="1">IF(Q189&lt;&gt;"",ABS(MIN(-0.75*('CDO Bespoke'!K190)+'CDO Bespoke'!T190,0)),"")</f>
        <v/>
      </c>
      <c r="S189" s="488">
        <f t="shared" ca="1" si="10"/>
        <v>0</v>
      </c>
      <c r="T189" s="492">
        <f t="shared" ca="1" si="11"/>
        <v>0</v>
      </c>
      <c r="U189" s="274"/>
      <c r="V189" s="497" t="str">
        <f ca="1">IF('CDO Bespoke'!C214&lt;&gt;"",'CDO Bespoke'!C214,"")</f>
        <v/>
      </c>
      <c r="W189" s="499" t="str" cm="1">
        <f t="array" aca="1" ref="W189" ca="1">IF($V189&lt;&gt;"",-TRANSPOSE(INDEX(getcds('CDO Bespoke'!$C214,W$13,'CDO Bespoke'!$G214/10000,'CDO Bespoke'!F214,'CDO Bespoke'!$L190,'CDO Bespoke'!$C$13,'CDO Bespoke'!$C$14,'CDO Bespoke'!$C$15,'CDO Bespoke'!$C$8,,,TRUE,TRUE,FALSE,'CDO Bespoke'!$C$29:'CDO Bespoke'!$C$31,'CDO Bespoke'!$C$33),{5})),"")</f>
        <v/>
      </c>
      <c r="X189" s="524" t="str" cm="1">
        <f t="array" aca="1" ref="X189" ca="1">IF($V189&lt;&gt;"",-TRANSPOSE(INDEX(getcds('CDO Bespoke'!$C214,X$13,'CDO Bespoke'!$G214/10000,'CDO Bespoke'!G214,'CDO Bespoke'!$L190,'CDO Bespoke'!$C$13,'CDO Bespoke'!$C$14,'CDO Bespoke'!$C$15,'CDO Bespoke'!$C$8,,,TRUE,TRUE,FALSE,'CDO Bespoke'!$C$29:'CDO Bespoke'!$C$31,'CDO Bespoke'!$C$33),{5})),"")</f>
        <v/>
      </c>
      <c r="Y189" s="524" t="str" cm="1">
        <f t="array" aca="1" ref="Y189" ca="1">IF($V189&lt;&gt;"",-TRANSPOSE(INDEX(getcds('CDO Bespoke'!$C214,Y$13,'CDO Bespoke'!$G214/10000,'CDO Bespoke'!H214,'CDO Bespoke'!$L190,'CDO Bespoke'!$C$13,'CDO Bespoke'!$C$14,'CDO Bespoke'!$C$15,'CDO Bespoke'!$C$8,,,TRUE,TRUE,FALSE,'CDO Bespoke'!$C$29:'CDO Bespoke'!$C$31,'CDO Bespoke'!$C$33),{5})),"")</f>
        <v/>
      </c>
      <c r="Z189" s="524" t="str" cm="1">
        <f t="array" aca="1" ref="Z189" ca="1">IF($V189&lt;&gt;"",-TRANSPOSE(INDEX(getcds('CDO Bespoke'!$C214,Z$13,'CDO Bespoke'!$G214/10000,'CDO Bespoke'!I214,'CDO Bespoke'!$L190,'CDO Bespoke'!$C$13,'CDO Bespoke'!$C$14,'CDO Bespoke'!$C$15,'CDO Bespoke'!$C$8,,,TRUE,TRUE,FALSE,'CDO Bespoke'!$C$29:'CDO Bespoke'!$C$31,'CDO Bespoke'!$C$33),{5})),"")</f>
        <v/>
      </c>
      <c r="AA189" s="500" t="str" cm="1">
        <f t="array" aca="1" ref="AA189" ca="1">IF($V189&lt;&gt;"",-TRANSPOSE(INDEX(getcds('CDO Bespoke'!$C214,AA$13,'CDO Bespoke'!$G214/10000,'CDO Bespoke'!J214,'CDO Bespoke'!$L190,'CDO Bespoke'!$C$13,'CDO Bespoke'!$C$14,'CDO Bespoke'!$C$15,'CDO Bespoke'!$C$8,,,TRUE,TRUE,FALSE,'CDO Bespoke'!$C$29:'CDO Bespoke'!$C$31,'CDO Bespoke'!$C$33),{5})),"")</f>
        <v/>
      </c>
      <c r="AB189" s="479"/>
      <c r="AC189" s="515"/>
      <c r="AD189" s="516"/>
      <c r="AE189" s="516"/>
      <c r="AF189" s="516"/>
      <c r="AG189" s="516"/>
      <c r="AH189" s="516"/>
      <c r="AI189" s="516"/>
      <c r="AJ189" s="516"/>
      <c r="AK189" s="516"/>
      <c r="AL189" s="517"/>
      <c r="AM189" s="534"/>
    </row>
    <row r="190" spans="2:39" ht="12" thickBot="1">
      <c r="B190" s="557" t="s">
        <v>560</v>
      </c>
      <c r="C190" s="558" t="s">
        <v>66</v>
      </c>
      <c r="D190" s="558" t="s">
        <v>55</v>
      </c>
      <c r="E190" s="558" t="s">
        <v>660</v>
      </c>
      <c r="F190" s="558" t="s">
        <v>663</v>
      </c>
      <c r="G190" s="559">
        <v>0.01</v>
      </c>
      <c r="H190" s="559">
        <v>2.2920000000000002E-3</v>
      </c>
      <c r="I190" s="560">
        <v>0.4</v>
      </c>
      <c r="J190" s="561">
        <v>56</v>
      </c>
      <c r="K190" s="274"/>
      <c r="L190" s="274"/>
      <c r="M190" s="487" t="str">
        <f ca="1">IF('CDO Bespoke'!O191&lt;&gt;"",'CDO Bespoke'!O191,"")</f>
        <v/>
      </c>
      <c r="N190" s="488" t="str">
        <f ca="1">IF(M190&lt;&gt;"",ABS(MIN(-0.75*('CDO Bespoke'!Q191)+'CDO Bespoke'!T191,0)),"")</f>
        <v/>
      </c>
      <c r="O190" s="488">
        <f t="shared" ca="1" si="8"/>
        <v>0</v>
      </c>
      <c r="P190" s="488">
        <f t="shared" ca="1" si="9"/>
        <v>0</v>
      </c>
      <c r="Q190" s="487" t="str">
        <f ca="1">IF('CDO Bespoke'!O191&lt;&gt;"",'CDO Bespoke'!O191,"")</f>
        <v/>
      </c>
      <c r="R190" s="488" t="str">
        <f ca="1">IF(Q190&lt;&gt;"",ABS(MIN(-0.75*('CDO Bespoke'!K191)+'CDO Bespoke'!T191,0)),"")</f>
        <v/>
      </c>
      <c r="S190" s="488">
        <f t="shared" ca="1" si="10"/>
        <v>0</v>
      </c>
      <c r="T190" s="492">
        <f t="shared" ca="1" si="11"/>
        <v>0</v>
      </c>
      <c r="U190" s="274"/>
      <c r="V190" s="497" t="str">
        <f ca="1">IF('CDO Bespoke'!C215&lt;&gt;"",'CDO Bespoke'!C215,"")</f>
        <v/>
      </c>
      <c r="W190" s="499" t="str" cm="1">
        <f t="array" aca="1" ref="W190" ca="1">IF($V190&lt;&gt;"",-TRANSPOSE(INDEX(getcds('CDO Bespoke'!$C215,W$13,'CDO Bespoke'!$G215/10000,'CDO Bespoke'!F215,'CDO Bespoke'!$L191,'CDO Bespoke'!$C$13,'CDO Bespoke'!$C$14,'CDO Bespoke'!$C$15,'CDO Bespoke'!$C$8,,,TRUE,TRUE,FALSE,'CDO Bespoke'!$C$29:'CDO Bespoke'!$C$31,'CDO Bespoke'!$C$33),{5})),"")</f>
        <v/>
      </c>
      <c r="X190" s="524" t="str" cm="1">
        <f t="array" aca="1" ref="X190" ca="1">IF($V190&lt;&gt;"",-TRANSPOSE(INDEX(getcds('CDO Bespoke'!$C215,X$13,'CDO Bespoke'!$G215/10000,'CDO Bespoke'!G215,'CDO Bespoke'!$L191,'CDO Bespoke'!$C$13,'CDO Bespoke'!$C$14,'CDO Bespoke'!$C$15,'CDO Bespoke'!$C$8,,,TRUE,TRUE,FALSE,'CDO Bespoke'!$C$29:'CDO Bespoke'!$C$31,'CDO Bespoke'!$C$33),{5})),"")</f>
        <v/>
      </c>
      <c r="Y190" s="524" t="str" cm="1">
        <f t="array" aca="1" ref="Y190" ca="1">IF($V190&lt;&gt;"",-TRANSPOSE(INDEX(getcds('CDO Bespoke'!$C215,Y$13,'CDO Bespoke'!$G215/10000,'CDO Bespoke'!H215,'CDO Bespoke'!$L191,'CDO Bespoke'!$C$13,'CDO Bespoke'!$C$14,'CDO Bespoke'!$C$15,'CDO Bespoke'!$C$8,,,TRUE,TRUE,FALSE,'CDO Bespoke'!$C$29:'CDO Bespoke'!$C$31,'CDO Bespoke'!$C$33),{5})),"")</f>
        <v/>
      </c>
      <c r="Z190" s="524" t="str" cm="1">
        <f t="array" aca="1" ref="Z190" ca="1">IF($V190&lt;&gt;"",-TRANSPOSE(INDEX(getcds('CDO Bespoke'!$C215,Z$13,'CDO Bespoke'!$G215/10000,'CDO Bespoke'!I215,'CDO Bespoke'!$L191,'CDO Bespoke'!$C$13,'CDO Bespoke'!$C$14,'CDO Bespoke'!$C$15,'CDO Bespoke'!$C$8,,,TRUE,TRUE,FALSE,'CDO Bespoke'!$C$29:'CDO Bespoke'!$C$31,'CDO Bespoke'!$C$33),{5})),"")</f>
        <v/>
      </c>
      <c r="AA190" s="500" t="str" cm="1">
        <f t="array" aca="1" ref="AA190" ca="1">IF($V190&lt;&gt;"",-TRANSPOSE(INDEX(getcds('CDO Bespoke'!$C215,AA$13,'CDO Bespoke'!$G215/10000,'CDO Bespoke'!J215,'CDO Bespoke'!$L191,'CDO Bespoke'!$C$13,'CDO Bespoke'!$C$14,'CDO Bespoke'!$C$15,'CDO Bespoke'!$C$8,,,TRUE,TRUE,FALSE,'CDO Bespoke'!$C$29:'CDO Bespoke'!$C$31,'CDO Bespoke'!$C$33),{5})),"")</f>
        <v/>
      </c>
      <c r="AB190" s="479"/>
      <c r="AC190" s="515"/>
      <c r="AD190" s="516"/>
      <c r="AE190" s="516"/>
      <c r="AF190" s="516"/>
      <c r="AG190" s="516"/>
      <c r="AH190" s="516"/>
      <c r="AI190" s="516"/>
      <c r="AJ190" s="516"/>
      <c r="AK190" s="516"/>
      <c r="AL190" s="517"/>
      <c r="AM190" s="534"/>
    </row>
    <row r="191" spans="2:39" ht="12" thickBot="1">
      <c r="B191" s="535" t="s">
        <v>560</v>
      </c>
      <c r="C191" s="536" t="s">
        <v>66</v>
      </c>
      <c r="D191" s="536" t="s">
        <v>57</v>
      </c>
      <c r="E191" s="536" t="s">
        <v>660</v>
      </c>
      <c r="F191" s="536" t="s">
        <v>663</v>
      </c>
      <c r="G191" s="543">
        <v>0.01</v>
      </c>
      <c r="H191" s="543">
        <v>3.6840000000000002E-3</v>
      </c>
      <c r="I191" s="545">
        <v>0.4</v>
      </c>
      <c r="J191" s="537">
        <v>56</v>
      </c>
      <c r="K191" s="274"/>
      <c r="L191" s="274"/>
      <c r="M191" s="487" t="str">
        <f ca="1">IF('CDO Bespoke'!O192&lt;&gt;"",'CDO Bespoke'!O192,"")</f>
        <v/>
      </c>
      <c r="N191" s="488" t="str">
        <f ca="1">IF(M191&lt;&gt;"",ABS(MIN(-0.75*('CDO Bespoke'!Q192)+'CDO Bespoke'!T192,0)),"")</f>
        <v/>
      </c>
      <c r="O191" s="488">
        <f t="shared" ca="1" si="8"/>
        <v>0</v>
      </c>
      <c r="P191" s="488">
        <f t="shared" ca="1" si="9"/>
        <v>0</v>
      </c>
      <c r="Q191" s="487" t="str">
        <f ca="1">IF('CDO Bespoke'!O192&lt;&gt;"",'CDO Bespoke'!O192,"")</f>
        <v/>
      </c>
      <c r="R191" s="488" t="str">
        <f ca="1">IF(Q191&lt;&gt;"",ABS(MIN(-0.75*('CDO Bespoke'!K192)+'CDO Bespoke'!T192,0)),"")</f>
        <v/>
      </c>
      <c r="S191" s="488">
        <f t="shared" ca="1" si="10"/>
        <v>0</v>
      </c>
      <c r="T191" s="492">
        <f t="shared" ca="1" si="11"/>
        <v>0</v>
      </c>
      <c r="U191" s="274"/>
      <c r="V191" s="497" t="str">
        <f ca="1">IF('CDO Bespoke'!C216&lt;&gt;"",'CDO Bespoke'!C216,"")</f>
        <v/>
      </c>
      <c r="W191" s="499" t="str" cm="1">
        <f t="array" aca="1" ref="W191" ca="1">IF($V191&lt;&gt;"",-TRANSPOSE(INDEX(getcds('CDO Bespoke'!$C216,W$13,'CDO Bespoke'!$G216/10000,'CDO Bespoke'!F216,'CDO Bespoke'!$L192,'CDO Bespoke'!$C$13,'CDO Bespoke'!$C$14,'CDO Bespoke'!$C$15,'CDO Bespoke'!$C$8,,,TRUE,TRUE,FALSE,'CDO Bespoke'!$C$29:'CDO Bespoke'!$C$31,'CDO Bespoke'!$C$33),{5})),"")</f>
        <v/>
      </c>
      <c r="X191" s="524" t="str" cm="1">
        <f t="array" aca="1" ref="X191" ca="1">IF($V191&lt;&gt;"",-TRANSPOSE(INDEX(getcds('CDO Bespoke'!$C216,X$13,'CDO Bespoke'!$G216/10000,'CDO Bespoke'!G216,'CDO Bespoke'!$L192,'CDO Bespoke'!$C$13,'CDO Bespoke'!$C$14,'CDO Bespoke'!$C$15,'CDO Bespoke'!$C$8,,,TRUE,TRUE,FALSE,'CDO Bespoke'!$C$29:'CDO Bespoke'!$C$31,'CDO Bespoke'!$C$33),{5})),"")</f>
        <v/>
      </c>
      <c r="Y191" s="524" t="str" cm="1">
        <f t="array" aca="1" ref="Y191" ca="1">IF($V191&lt;&gt;"",-TRANSPOSE(INDEX(getcds('CDO Bespoke'!$C216,Y$13,'CDO Bespoke'!$G216/10000,'CDO Bespoke'!H216,'CDO Bespoke'!$L192,'CDO Bespoke'!$C$13,'CDO Bespoke'!$C$14,'CDO Bespoke'!$C$15,'CDO Bespoke'!$C$8,,,TRUE,TRUE,FALSE,'CDO Bespoke'!$C$29:'CDO Bespoke'!$C$31,'CDO Bespoke'!$C$33),{5})),"")</f>
        <v/>
      </c>
      <c r="Z191" s="524" t="str" cm="1">
        <f t="array" aca="1" ref="Z191" ca="1">IF($V191&lt;&gt;"",-TRANSPOSE(INDEX(getcds('CDO Bespoke'!$C216,Z$13,'CDO Bespoke'!$G216/10000,'CDO Bespoke'!I216,'CDO Bespoke'!$L192,'CDO Bespoke'!$C$13,'CDO Bespoke'!$C$14,'CDO Bespoke'!$C$15,'CDO Bespoke'!$C$8,,,TRUE,TRUE,FALSE,'CDO Bespoke'!$C$29:'CDO Bespoke'!$C$31,'CDO Bespoke'!$C$33),{5})),"")</f>
        <v/>
      </c>
      <c r="AA191" s="500" t="str" cm="1">
        <f t="array" aca="1" ref="AA191" ca="1">IF($V191&lt;&gt;"",-TRANSPOSE(INDEX(getcds('CDO Bespoke'!$C216,AA$13,'CDO Bespoke'!$G216/10000,'CDO Bespoke'!J216,'CDO Bespoke'!$L192,'CDO Bespoke'!$C$13,'CDO Bespoke'!$C$14,'CDO Bespoke'!$C$15,'CDO Bespoke'!$C$8,,,TRUE,TRUE,FALSE,'CDO Bespoke'!$C$29:'CDO Bespoke'!$C$31,'CDO Bespoke'!$C$33),{5})),"")</f>
        <v/>
      </c>
      <c r="AB191" s="479"/>
      <c r="AC191" s="515"/>
      <c r="AD191" s="516"/>
      <c r="AE191" s="516"/>
      <c r="AF191" s="516"/>
      <c r="AG191" s="516"/>
      <c r="AH191" s="516"/>
      <c r="AI191" s="516"/>
      <c r="AJ191" s="516"/>
      <c r="AK191" s="516"/>
      <c r="AL191" s="517"/>
      <c r="AM191" s="534"/>
    </row>
    <row r="192" spans="2:39" ht="12" thickBot="1">
      <c r="B192" s="552" t="s">
        <v>560</v>
      </c>
      <c r="C192" s="553" t="s">
        <v>66</v>
      </c>
      <c r="D192" s="553" t="s">
        <v>59</v>
      </c>
      <c r="E192" s="553" t="s">
        <v>660</v>
      </c>
      <c r="F192" s="553" t="s">
        <v>663</v>
      </c>
      <c r="G192" s="554">
        <v>0.01</v>
      </c>
      <c r="H192" s="554">
        <v>5.0730000000000003E-3</v>
      </c>
      <c r="I192" s="555">
        <v>0.4</v>
      </c>
      <c r="J192" s="556">
        <v>56</v>
      </c>
      <c r="K192" s="274"/>
      <c r="L192" s="274"/>
      <c r="M192" s="487" t="str">
        <f ca="1">IF('CDO Bespoke'!O193&lt;&gt;"",'CDO Bespoke'!O193,"")</f>
        <v/>
      </c>
      <c r="N192" s="488" t="str">
        <f ca="1">IF(M192&lt;&gt;"",ABS(MIN(-0.75*('CDO Bespoke'!Q193)+'CDO Bespoke'!T193,0)),"")</f>
        <v/>
      </c>
      <c r="O192" s="488">
        <f t="shared" ca="1" si="8"/>
        <v>0</v>
      </c>
      <c r="P192" s="488">
        <f t="shared" ca="1" si="9"/>
        <v>0</v>
      </c>
      <c r="Q192" s="487" t="str">
        <f ca="1">IF('CDO Bespoke'!O193&lt;&gt;"",'CDO Bespoke'!O193,"")</f>
        <v/>
      </c>
      <c r="R192" s="488" t="str">
        <f ca="1">IF(Q192&lt;&gt;"",ABS(MIN(-0.75*('CDO Bespoke'!K193)+'CDO Bespoke'!T193,0)),"")</f>
        <v/>
      </c>
      <c r="S192" s="488">
        <f t="shared" ca="1" si="10"/>
        <v>0</v>
      </c>
      <c r="T192" s="492">
        <f t="shared" ca="1" si="11"/>
        <v>0</v>
      </c>
      <c r="U192" s="274"/>
      <c r="V192" s="497" t="str">
        <f ca="1">IF('CDO Bespoke'!C217&lt;&gt;"",'CDO Bespoke'!C217,"")</f>
        <v/>
      </c>
      <c r="W192" s="499" t="str" cm="1">
        <f t="array" aca="1" ref="W192" ca="1">IF($V192&lt;&gt;"",-TRANSPOSE(INDEX(getcds('CDO Bespoke'!$C217,W$13,'CDO Bespoke'!$G217/10000,'CDO Bespoke'!F217,'CDO Bespoke'!$L193,'CDO Bespoke'!$C$13,'CDO Bespoke'!$C$14,'CDO Bespoke'!$C$15,'CDO Bespoke'!$C$8,,,TRUE,TRUE,FALSE,'CDO Bespoke'!$C$29:'CDO Bespoke'!$C$31,'CDO Bespoke'!$C$33),{5})),"")</f>
        <v/>
      </c>
      <c r="X192" s="524" t="str" cm="1">
        <f t="array" aca="1" ref="X192" ca="1">IF($V192&lt;&gt;"",-TRANSPOSE(INDEX(getcds('CDO Bespoke'!$C217,X$13,'CDO Bespoke'!$G217/10000,'CDO Bespoke'!G217,'CDO Bespoke'!$L193,'CDO Bespoke'!$C$13,'CDO Bespoke'!$C$14,'CDO Bespoke'!$C$15,'CDO Bespoke'!$C$8,,,TRUE,TRUE,FALSE,'CDO Bespoke'!$C$29:'CDO Bespoke'!$C$31,'CDO Bespoke'!$C$33),{5})),"")</f>
        <v/>
      </c>
      <c r="Y192" s="524" t="str" cm="1">
        <f t="array" aca="1" ref="Y192" ca="1">IF($V192&lt;&gt;"",-TRANSPOSE(INDEX(getcds('CDO Bespoke'!$C217,Y$13,'CDO Bespoke'!$G217/10000,'CDO Bespoke'!H217,'CDO Bespoke'!$L193,'CDO Bespoke'!$C$13,'CDO Bespoke'!$C$14,'CDO Bespoke'!$C$15,'CDO Bespoke'!$C$8,,,TRUE,TRUE,FALSE,'CDO Bespoke'!$C$29:'CDO Bespoke'!$C$31,'CDO Bespoke'!$C$33),{5})),"")</f>
        <v/>
      </c>
      <c r="Z192" s="524" t="str" cm="1">
        <f t="array" aca="1" ref="Z192" ca="1">IF($V192&lt;&gt;"",-TRANSPOSE(INDEX(getcds('CDO Bespoke'!$C217,Z$13,'CDO Bespoke'!$G217/10000,'CDO Bespoke'!I217,'CDO Bespoke'!$L193,'CDO Bespoke'!$C$13,'CDO Bespoke'!$C$14,'CDO Bespoke'!$C$15,'CDO Bespoke'!$C$8,,,TRUE,TRUE,FALSE,'CDO Bespoke'!$C$29:'CDO Bespoke'!$C$31,'CDO Bespoke'!$C$33),{5})),"")</f>
        <v/>
      </c>
      <c r="AA192" s="500" t="str" cm="1">
        <f t="array" aca="1" ref="AA192" ca="1">IF($V192&lt;&gt;"",-TRANSPOSE(INDEX(getcds('CDO Bespoke'!$C217,AA$13,'CDO Bespoke'!$G217/10000,'CDO Bespoke'!J217,'CDO Bespoke'!$L193,'CDO Bespoke'!$C$13,'CDO Bespoke'!$C$14,'CDO Bespoke'!$C$15,'CDO Bespoke'!$C$8,,,TRUE,TRUE,FALSE,'CDO Bespoke'!$C$29:'CDO Bespoke'!$C$31,'CDO Bespoke'!$C$33),{5})),"")</f>
        <v/>
      </c>
      <c r="AB192" s="479"/>
      <c r="AC192" s="515"/>
      <c r="AD192" s="516"/>
      <c r="AE192" s="516"/>
      <c r="AF192" s="516"/>
      <c r="AG192" s="516"/>
      <c r="AH192" s="516"/>
      <c r="AI192" s="516"/>
      <c r="AJ192" s="516"/>
      <c r="AK192" s="516"/>
      <c r="AL192" s="517"/>
      <c r="AM192" s="534"/>
    </row>
    <row r="193" spans="2:39" ht="12" thickBot="1">
      <c r="B193" s="557" t="s">
        <v>568</v>
      </c>
      <c r="C193" s="558" t="s">
        <v>66</v>
      </c>
      <c r="D193" s="558" t="s">
        <v>55</v>
      </c>
      <c r="E193" s="558" t="s">
        <v>660</v>
      </c>
      <c r="F193" s="558" t="s">
        <v>663</v>
      </c>
      <c r="G193" s="559">
        <v>0.01</v>
      </c>
      <c r="H193" s="559">
        <v>1.598E-3</v>
      </c>
      <c r="I193" s="560">
        <v>0.4</v>
      </c>
      <c r="J193" s="561">
        <v>57</v>
      </c>
      <c r="K193" s="274"/>
      <c r="L193" s="274"/>
      <c r="M193" s="487" t="str">
        <f ca="1">IF('CDO Bespoke'!O194&lt;&gt;"",'CDO Bespoke'!O194,"")</f>
        <v/>
      </c>
      <c r="N193" s="488" t="str">
        <f ca="1">IF(M193&lt;&gt;"",ABS(MIN(-0.75*('CDO Bespoke'!Q194)+'CDO Bespoke'!T194,0)),"")</f>
        <v/>
      </c>
      <c r="O193" s="488">
        <f t="shared" ca="1" si="8"/>
        <v>0</v>
      </c>
      <c r="P193" s="488">
        <f t="shared" ca="1" si="9"/>
        <v>0</v>
      </c>
      <c r="Q193" s="487" t="str">
        <f ca="1">IF('CDO Bespoke'!O194&lt;&gt;"",'CDO Bespoke'!O194,"")</f>
        <v/>
      </c>
      <c r="R193" s="488" t="str">
        <f ca="1">IF(Q193&lt;&gt;"",ABS(MIN(-0.75*('CDO Bespoke'!K194)+'CDO Bespoke'!T194,0)),"")</f>
        <v/>
      </c>
      <c r="S193" s="488">
        <f t="shared" ca="1" si="10"/>
        <v>0</v>
      </c>
      <c r="T193" s="492">
        <f t="shared" ca="1" si="11"/>
        <v>0</v>
      </c>
      <c r="U193" s="274"/>
      <c r="V193" s="497" t="str">
        <f ca="1">IF('CDO Bespoke'!C218&lt;&gt;"",'CDO Bespoke'!C218,"")</f>
        <v/>
      </c>
      <c r="W193" s="499" t="str" cm="1">
        <f t="array" aca="1" ref="W193" ca="1">IF($V193&lt;&gt;"",-TRANSPOSE(INDEX(getcds('CDO Bespoke'!$C218,W$13,'CDO Bespoke'!$G218/10000,'CDO Bespoke'!F218,'CDO Bespoke'!$L194,'CDO Bespoke'!$C$13,'CDO Bespoke'!$C$14,'CDO Bespoke'!$C$15,'CDO Bespoke'!$C$8,,,TRUE,TRUE,FALSE,'CDO Bespoke'!$C$29:'CDO Bespoke'!$C$31,'CDO Bespoke'!$C$33),{5})),"")</f>
        <v/>
      </c>
      <c r="X193" s="524" t="str" cm="1">
        <f t="array" aca="1" ref="X193" ca="1">IF($V193&lt;&gt;"",-TRANSPOSE(INDEX(getcds('CDO Bespoke'!$C218,X$13,'CDO Bespoke'!$G218/10000,'CDO Bespoke'!G218,'CDO Bespoke'!$L194,'CDO Bespoke'!$C$13,'CDO Bespoke'!$C$14,'CDO Bespoke'!$C$15,'CDO Bespoke'!$C$8,,,TRUE,TRUE,FALSE,'CDO Bespoke'!$C$29:'CDO Bespoke'!$C$31,'CDO Bespoke'!$C$33),{5})),"")</f>
        <v/>
      </c>
      <c r="Y193" s="524" t="str" cm="1">
        <f t="array" aca="1" ref="Y193" ca="1">IF($V193&lt;&gt;"",-TRANSPOSE(INDEX(getcds('CDO Bespoke'!$C218,Y$13,'CDO Bespoke'!$G218/10000,'CDO Bespoke'!H218,'CDO Bespoke'!$L194,'CDO Bespoke'!$C$13,'CDO Bespoke'!$C$14,'CDO Bespoke'!$C$15,'CDO Bespoke'!$C$8,,,TRUE,TRUE,FALSE,'CDO Bespoke'!$C$29:'CDO Bespoke'!$C$31,'CDO Bespoke'!$C$33),{5})),"")</f>
        <v/>
      </c>
      <c r="Z193" s="524" t="str" cm="1">
        <f t="array" aca="1" ref="Z193" ca="1">IF($V193&lt;&gt;"",-TRANSPOSE(INDEX(getcds('CDO Bespoke'!$C218,Z$13,'CDO Bespoke'!$G218/10000,'CDO Bespoke'!I218,'CDO Bespoke'!$L194,'CDO Bespoke'!$C$13,'CDO Bespoke'!$C$14,'CDO Bespoke'!$C$15,'CDO Bespoke'!$C$8,,,TRUE,TRUE,FALSE,'CDO Bespoke'!$C$29:'CDO Bespoke'!$C$31,'CDO Bespoke'!$C$33),{5})),"")</f>
        <v/>
      </c>
      <c r="AA193" s="500" t="str" cm="1">
        <f t="array" aca="1" ref="AA193" ca="1">IF($V193&lt;&gt;"",-TRANSPOSE(INDEX(getcds('CDO Bespoke'!$C218,AA$13,'CDO Bespoke'!$G218/10000,'CDO Bespoke'!J218,'CDO Bespoke'!$L194,'CDO Bespoke'!$C$13,'CDO Bespoke'!$C$14,'CDO Bespoke'!$C$15,'CDO Bespoke'!$C$8,,,TRUE,TRUE,FALSE,'CDO Bespoke'!$C$29:'CDO Bespoke'!$C$31,'CDO Bespoke'!$C$33),{5})),"")</f>
        <v/>
      </c>
      <c r="AB193" s="479"/>
      <c r="AC193" s="515"/>
      <c r="AD193" s="516"/>
      <c r="AE193" s="516"/>
      <c r="AF193" s="516"/>
      <c r="AG193" s="516"/>
      <c r="AH193" s="516"/>
      <c r="AI193" s="516"/>
      <c r="AJ193" s="516"/>
      <c r="AK193" s="516"/>
      <c r="AL193" s="517"/>
      <c r="AM193" s="534"/>
    </row>
    <row r="194" spans="2:39" ht="12" thickBot="1">
      <c r="B194" s="535" t="s">
        <v>568</v>
      </c>
      <c r="C194" s="536" t="s">
        <v>66</v>
      </c>
      <c r="D194" s="536" t="s">
        <v>57</v>
      </c>
      <c r="E194" s="536" t="s">
        <v>660</v>
      </c>
      <c r="F194" s="536" t="s">
        <v>663</v>
      </c>
      <c r="G194" s="543">
        <v>0.01</v>
      </c>
      <c r="H194" s="543">
        <v>2.627E-3</v>
      </c>
      <c r="I194" s="545">
        <v>0.4</v>
      </c>
      <c r="J194" s="537">
        <v>57</v>
      </c>
      <c r="K194" s="274"/>
      <c r="L194" s="274"/>
      <c r="M194" s="487" t="str">
        <f ca="1">IF('CDO Bespoke'!O195&lt;&gt;"",'CDO Bespoke'!O195,"")</f>
        <v/>
      </c>
      <c r="N194" s="488" t="str">
        <f ca="1">IF(M194&lt;&gt;"",ABS(MIN(-0.75*('CDO Bespoke'!Q195)+'CDO Bespoke'!T195,0)),"")</f>
        <v/>
      </c>
      <c r="O194" s="488">
        <f t="shared" ca="1" si="8"/>
        <v>0</v>
      </c>
      <c r="P194" s="488">
        <f t="shared" ca="1" si="9"/>
        <v>0</v>
      </c>
      <c r="Q194" s="487" t="str">
        <f ca="1">IF('CDO Bespoke'!O195&lt;&gt;"",'CDO Bespoke'!O195,"")</f>
        <v/>
      </c>
      <c r="R194" s="488" t="str">
        <f ca="1">IF(Q194&lt;&gt;"",ABS(MIN(-0.75*('CDO Bespoke'!K195)+'CDO Bespoke'!T195,0)),"")</f>
        <v/>
      </c>
      <c r="S194" s="488">
        <f t="shared" ca="1" si="10"/>
        <v>0</v>
      </c>
      <c r="T194" s="492">
        <f t="shared" ca="1" si="11"/>
        <v>0</v>
      </c>
      <c r="U194" s="274"/>
      <c r="V194" s="497" t="str">
        <f ca="1">IF('CDO Bespoke'!C219&lt;&gt;"",'CDO Bespoke'!C219,"")</f>
        <v/>
      </c>
      <c r="W194" s="499" t="str" cm="1">
        <f t="array" aca="1" ref="W194" ca="1">IF($V194&lt;&gt;"",-TRANSPOSE(INDEX(getcds('CDO Bespoke'!$C219,W$13,'CDO Bespoke'!$G219/10000,'CDO Bespoke'!F219,'CDO Bespoke'!$L195,'CDO Bespoke'!$C$13,'CDO Bespoke'!$C$14,'CDO Bespoke'!$C$15,'CDO Bespoke'!$C$8,,,TRUE,TRUE,FALSE,'CDO Bespoke'!$C$29:'CDO Bespoke'!$C$31,'CDO Bespoke'!$C$33),{5})),"")</f>
        <v/>
      </c>
      <c r="X194" s="524" t="str" cm="1">
        <f t="array" aca="1" ref="X194" ca="1">IF($V194&lt;&gt;"",-TRANSPOSE(INDEX(getcds('CDO Bespoke'!$C219,X$13,'CDO Bespoke'!$G219/10000,'CDO Bespoke'!G219,'CDO Bespoke'!$L195,'CDO Bespoke'!$C$13,'CDO Bespoke'!$C$14,'CDO Bespoke'!$C$15,'CDO Bespoke'!$C$8,,,TRUE,TRUE,FALSE,'CDO Bespoke'!$C$29:'CDO Bespoke'!$C$31,'CDO Bespoke'!$C$33),{5})),"")</f>
        <v/>
      </c>
      <c r="Y194" s="524" t="str" cm="1">
        <f t="array" aca="1" ref="Y194" ca="1">IF($V194&lt;&gt;"",-TRANSPOSE(INDEX(getcds('CDO Bespoke'!$C219,Y$13,'CDO Bespoke'!$G219/10000,'CDO Bespoke'!H219,'CDO Bespoke'!$L195,'CDO Bespoke'!$C$13,'CDO Bespoke'!$C$14,'CDO Bespoke'!$C$15,'CDO Bespoke'!$C$8,,,TRUE,TRUE,FALSE,'CDO Bespoke'!$C$29:'CDO Bespoke'!$C$31,'CDO Bespoke'!$C$33),{5})),"")</f>
        <v/>
      </c>
      <c r="Z194" s="524" t="str" cm="1">
        <f t="array" aca="1" ref="Z194" ca="1">IF($V194&lt;&gt;"",-TRANSPOSE(INDEX(getcds('CDO Bespoke'!$C219,Z$13,'CDO Bespoke'!$G219/10000,'CDO Bespoke'!I219,'CDO Bespoke'!$L195,'CDO Bespoke'!$C$13,'CDO Bespoke'!$C$14,'CDO Bespoke'!$C$15,'CDO Bespoke'!$C$8,,,TRUE,TRUE,FALSE,'CDO Bespoke'!$C$29:'CDO Bespoke'!$C$31,'CDO Bespoke'!$C$33),{5})),"")</f>
        <v/>
      </c>
      <c r="AA194" s="500" t="str" cm="1">
        <f t="array" aca="1" ref="AA194" ca="1">IF($V194&lt;&gt;"",-TRANSPOSE(INDEX(getcds('CDO Bespoke'!$C219,AA$13,'CDO Bespoke'!$G219/10000,'CDO Bespoke'!J219,'CDO Bespoke'!$L195,'CDO Bespoke'!$C$13,'CDO Bespoke'!$C$14,'CDO Bespoke'!$C$15,'CDO Bespoke'!$C$8,,,TRUE,TRUE,FALSE,'CDO Bespoke'!$C$29:'CDO Bespoke'!$C$31,'CDO Bespoke'!$C$33),{5})),"")</f>
        <v/>
      </c>
      <c r="AB194" s="479"/>
      <c r="AC194" s="515"/>
      <c r="AD194" s="516"/>
      <c r="AE194" s="516"/>
      <c r="AF194" s="516"/>
      <c r="AG194" s="516"/>
      <c r="AH194" s="516"/>
      <c r="AI194" s="516"/>
      <c r="AJ194" s="516"/>
      <c r="AK194" s="516"/>
      <c r="AL194" s="517"/>
      <c r="AM194" s="534"/>
    </row>
    <row r="195" spans="2:39" ht="12" thickBot="1">
      <c r="B195" s="552" t="s">
        <v>568</v>
      </c>
      <c r="C195" s="553" t="s">
        <v>66</v>
      </c>
      <c r="D195" s="553" t="s">
        <v>59</v>
      </c>
      <c r="E195" s="553" t="s">
        <v>660</v>
      </c>
      <c r="F195" s="553" t="s">
        <v>663</v>
      </c>
      <c r="G195" s="554">
        <v>0.01</v>
      </c>
      <c r="H195" s="554">
        <v>3.8070000000000001E-3</v>
      </c>
      <c r="I195" s="555">
        <v>0.4</v>
      </c>
      <c r="J195" s="556">
        <v>57</v>
      </c>
      <c r="K195" s="274"/>
      <c r="L195" s="274"/>
      <c r="M195" s="487" t="str">
        <f ca="1">IF('CDO Bespoke'!O196&lt;&gt;"",'CDO Bespoke'!O196,"")</f>
        <v/>
      </c>
      <c r="N195" s="488" t="str">
        <f ca="1">IF(M195&lt;&gt;"",ABS(MIN(-0.75*('CDO Bespoke'!Q196)+'CDO Bespoke'!T196,0)),"")</f>
        <v/>
      </c>
      <c r="O195" s="488">
        <f t="shared" ca="1" si="8"/>
        <v>0</v>
      </c>
      <c r="P195" s="488">
        <f t="shared" ca="1" si="9"/>
        <v>0</v>
      </c>
      <c r="Q195" s="487" t="str">
        <f ca="1">IF('CDO Bespoke'!O196&lt;&gt;"",'CDO Bespoke'!O196,"")</f>
        <v/>
      </c>
      <c r="R195" s="488" t="str">
        <f ca="1">IF(Q195&lt;&gt;"",ABS(MIN(-0.75*('CDO Bespoke'!K196)+'CDO Bespoke'!T196,0)),"")</f>
        <v/>
      </c>
      <c r="S195" s="488">
        <f t="shared" ca="1" si="10"/>
        <v>0</v>
      </c>
      <c r="T195" s="492">
        <f t="shared" ca="1" si="11"/>
        <v>0</v>
      </c>
      <c r="U195" s="274"/>
      <c r="V195" s="497" t="str">
        <f ca="1">IF('CDO Bespoke'!C220&lt;&gt;"",'CDO Bespoke'!C220,"")</f>
        <v/>
      </c>
      <c r="W195" s="499" t="str" cm="1">
        <f t="array" aca="1" ref="W195" ca="1">IF($V195&lt;&gt;"",-TRANSPOSE(INDEX(getcds('CDO Bespoke'!$C220,W$13,'CDO Bespoke'!$G220/10000,'CDO Bespoke'!F220,'CDO Bespoke'!$L196,'CDO Bespoke'!$C$13,'CDO Bespoke'!$C$14,'CDO Bespoke'!$C$15,'CDO Bespoke'!$C$8,,,TRUE,TRUE,FALSE,'CDO Bespoke'!$C$29:'CDO Bespoke'!$C$31,'CDO Bespoke'!$C$33),{5})),"")</f>
        <v/>
      </c>
      <c r="X195" s="524" t="str" cm="1">
        <f t="array" aca="1" ref="X195" ca="1">IF($V195&lt;&gt;"",-TRANSPOSE(INDEX(getcds('CDO Bespoke'!$C220,X$13,'CDO Bespoke'!$G220/10000,'CDO Bespoke'!G220,'CDO Bespoke'!$L196,'CDO Bespoke'!$C$13,'CDO Bespoke'!$C$14,'CDO Bespoke'!$C$15,'CDO Bespoke'!$C$8,,,TRUE,TRUE,FALSE,'CDO Bespoke'!$C$29:'CDO Bespoke'!$C$31,'CDO Bespoke'!$C$33),{5})),"")</f>
        <v/>
      </c>
      <c r="Y195" s="524" t="str" cm="1">
        <f t="array" aca="1" ref="Y195" ca="1">IF($V195&lt;&gt;"",-TRANSPOSE(INDEX(getcds('CDO Bespoke'!$C220,Y$13,'CDO Bespoke'!$G220/10000,'CDO Bespoke'!H220,'CDO Bespoke'!$L196,'CDO Bespoke'!$C$13,'CDO Bespoke'!$C$14,'CDO Bespoke'!$C$15,'CDO Bespoke'!$C$8,,,TRUE,TRUE,FALSE,'CDO Bespoke'!$C$29:'CDO Bespoke'!$C$31,'CDO Bespoke'!$C$33),{5})),"")</f>
        <v/>
      </c>
      <c r="Z195" s="524" t="str" cm="1">
        <f t="array" aca="1" ref="Z195" ca="1">IF($V195&lt;&gt;"",-TRANSPOSE(INDEX(getcds('CDO Bespoke'!$C220,Z$13,'CDO Bespoke'!$G220/10000,'CDO Bespoke'!I220,'CDO Bespoke'!$L196,'CDO Bespoke'!$C$13,'CDO Bespoke'!$C$14,'CDO Bespoke'!$C$15,'CDO Bespoke'!$C$8,,,TRUE,TRUE,FALSE,'CDO Bespoke'!$C$29:'CDO Bespoke'!$C$31,'CDO Bespoke'!$C$33),{5})),"")</f>
        <v/>
      </c>
      <c r="AA195" s="500" t="str" cm="1">
        <f t="array" aca="1" ref="AA195" ca="1">IF($V195&lt;&gt;"",-TRANSPOSE(INDEX(getcds('CDO Bespoke'!$C220,AA$13,'CDO Bespoke'!$G220/10000,'CDO Bespoke'!J220,'CDO Bespoke'!$L196,'CDO Bespoke'!$C$13,'CDO Bespoke'!$C$14,'CDO Bespoke'!$C$15,'CDO Bespoke'!$C$8,,,TRUE,TRUE,FALSE,'CDO Bespoke'!$C$29:'CDO Bespoke'!$C$31,'CDO Bespoke'!$C$33),{5})),"")</f>
        <v/>
      </c>
      <c r="AB195" s="479"/>
      <c r="AC195" s="515"/>
      <c r="AD195" s="516"/>
      <c r="AE195" s="516"/>
      <c r="AF195" s="516"/>
      <c r="AG195" s="516"/>
      <c r="AH195" s="516"/>
      <c r="AI195" s="516"/>
      <c r="AJ195" s="516"/>
      <c r="AK195" s="516"/>
      <c r="AL195" s="517"/>
      <c r="AM195" s="534"/>
    </row>
    <row r="196" spans="2:39" ht="12" thickBot="1">
      <c r="B196" s="557" t="s">
        <v>561</v>
      </c>
      <c r="C196" s="558" t="s">
        <v>66</v>
      </c>
      <c r="D196" s="558" t="s">
        <v>55</v>
      </c>
      <c r="E196" s="558" t="s">
        <v>660</v>
      </c>
      <c r="F196" s="558" t="s">
        <v>663</v>
      </c>
      <c r="G196" s="559">
        <v>0.01</v>
      </c>
      <c r="H196" s="559">
        <v>4.0590000000000001E-3</v>
      </c>
      <c r="I196" s="560">
        <v>0.4</v>
      </c>
      <c r="J196" s="561">
        <v>58</v>
      </c>
      <c r="K196" s="274"/>
      <c r="L196" s="274"/>
      <c r="M196" s="487" t="str">
        <f ca="1">IF('CDO Bespoke'!O197&lt;&gt;"",'CDO Bespoke'!O197,"")</f>
        <v/>
      </c>
      <c r="N196" s="488" t="str">
        <f ca="1">IF(M196&lt;&gt;"",ABS(MIN(-0.75*('CDO Bespoke'!Q197)+'CDO Bespoke'!T197,0)),"")</f>
        <v/>
      </c>
      <c r="O196" s="488">
        <f t="shared" ca="1" si="8"/>
        <v>0</v>
      </c>
      <c r="P196" s="488">
        <f t="shared" ca="1" si="9"/>
        <v>0</v>
      </c>
      <c r="Q196" s="487" t="str">
        <f ca="1">IF('CDO Bespoke'!O197&lt;&gt;"",'CDO Bespoke'!O197,"")</f>
        <v/>
      </c>
      <c r="R196" s="488" t="str">
        <f ca="1">IF(Q196&lt;&gt;"",ABS(MIN(-0.75*('CDO Bespoke'!K197)+'CDO Bespoke'!T197,0)),"")</f>
        <v/>
      </c>
      <c r="S196" s="488">
        <f t="shared" ca="1" si="10"/>
        <v>0</v>
      </c>
      <c r="T196" s="492">
        <f t="shared" ca="1" si="11"/>
        <v>0</v>
      </c>
      <c r="U196" s="274"/>
      <c r="V196" s="497" t="str">
        <f ca="1">IF('CDO Bespoke'!C221&lt;&gt;"",'CDO Bespoke'!C221,"")</f>
        <v/>
      </c>
      <c r="W196" s="499" t="str" cm="1">
        <f t="array" aca="1" ref="W196" ca="1">IF($V196&lt;&gt;"",-TRANSPOSE(INDEX(getcds('CDO Bespoke'!$C221,W$13,'CDO Bespoke'!$G221/10000,'CDO Bespoke'!F221,'CDO Bespoke'!$L197,'CDO Bespoke'!$C$13,'CDO Bespoke'!$C$14,'CDO Bespoke'!$C$15,'CDO Bespoke'!$C$8,,,TRUE,TRUE,FALSE,'CDO Bespoke'!$C$29:'CDO Bespoke'!$C$31,'CDO Bespoke'!$C$33),{5})),"")</f>
        <v/>
      </c>
      <c r="X196" s="524" t="str" cm="1">
        <f t="array" aca="1" ref="X196" ca="1">IF($V196&lt;&gt;"",-TRANSPOSE(INDEX(getcds('CDO Bespoke'!$C221,X$13,'CDO Bespoke'!$G221/10000,'CDO Bespoke'!G221,'CDO Bespoke'!$L197,'CDO Bespoke'!$C$13,'CDO Bespoke'!$C$14,'CDO Bespoke'!$C$15,'CDO Bespoke'!$C$8,,,TRUE,TRUE,FALSE,'CDO Bespoke'!$C$29:'CDO Bespoke'!$C$31,'CDO Bespoke'!$C$33),{5})),"")</f>
        <v/>
      </c>
      <c r="Y196" s="524" t="str" cm="1">
        <f t="array" aca="1" ref="Y196" ca="1">IF($V196&lt;&gt;"",-TRANSPOSE(INDEX(getcds('CDO Bespoke'!$C221,Y$13,'CDO Bespoke'!$G221/10000,'CDO Bespoke'!H221,'CDO Bespoke'!$L197,'CDO Bespoke'!$C$13,'CDO Bespoke'!$C$14,'CDO Bespoke'!$C$15,'CDO Bespoke'!$C$8,,,TRUE,TRUE,FALSE,'CDO Bespoke'!$C$29:'CDO Bespoke'!$C$31,'CDO Bespoke'!$C$33),{5})),"")</f>
        <v/>
      </c>
      <c r="Z196" s="524" t="str" cm="1">
        <f t="array" aca="1" ref="Z196" ca="1">IF($V196&lt;&gt;"",-TRANSPOSE(INDEX(getcds('CDO Bespoke'!$C221,Z$13,'CDO Bespoke'!$G221/10000,'CDO Bespoke'!I221,'CDO Bespoke'!$L197,'CDO Bespoke'!$C$13,'CDO Bespoke'!$C$14,'CDO Bespoke'!$C$15,'CDO Bespoke'!$C$8,,,TRUE,TRUE,FALSE,'CDO Bespoke'!$C$29:'CDO Bespoke'!$C$31,'CDO Bespoke'!$C$33),{5})),"")</f>
        <v/>
      </c>
      <c r="AA196" s="500" t="str" cm="1">
        <f t="array" aca="1" ref="AA196" ca="1">IF($V196&lt;&gt;"",-TRANSPOSE(INDEX(getcds('CDO Bespoke'!$C221,AA$13,'CDO Bespoke'!$G221/10000,'CDO Bespoke'!J221,'CDO Bespoke'!$L197,'CDO Bespoke'!$C$13,'CDO Bespoke'!$C$14,'CDO Bespoke'!$C$15,'CDO Bespoke'!$C$8,,,TRUE,TRUE,FALSE,'CDO Bespoke'!$C$29:'CDO Bespoke'!$C$31,'CDO Bespoke'!$C$33),{5})),"")</f>
        <v/>
      </c>
      <c r="AB196" s="479"/>
      <c r="AC196" s="515"/>
      <c r="AD196" s="516"/>
      <c r="AE196" s="516"/>
      <c r="AF196" s="516"/>
      <c r="AG196" s="516"/>
      <c r="AH196" s="516"/>
      <c r="AI196" s="516"/>
      <c r="AJ196" s="516"/>
      <c r="AK196" s="516"/>
      <c r="AL196" s="517"/>
      <c r="AM196" s="534"/>
    </row>
    <row r="197" spans="2:39" ht="12" thickBot="1">
      <c r="B197" s="535" t="s">
        <v>561</v>
      </c>
      <c r="C197" s="536" t="s">
        <v>66</v>
      </c>
      <c r="D197" s="536" t="s">
        <v>57</v>
      </c>
      <c r="E197" s="536" t="s">
        <v>660</v>
      </c>
      <c r="F197" s="536" t="s">
        <v>663</v>
      </c>
      <c r="G197" s="543">
        <v>0.01</v>
      </c>
      <c r="H197" s="543">
        <v>6.953E-3</v>
      </c>
      <c r="I197" s="545">
        <v>0.4</v>
      </c>
      <c r="J197" s="537">
        <v>58</v>
      </c>
      <c r="K197" s="274"/>
      <c r="L197" s="274"/>
      <c r="M197" s="487" t="str">
        <f ca="1">IF('CDO Bespoke'!O198&lt;&gt;"",'CDO Bespoke'!O198,"")</f>
        <v/>
      </c>
      <c r="N197" s="488" t="str">
        <f ca="1">IF(M197&lt;&gt;"",ABS(MIN(-0.75*('CDO Bespoke'!Q198)+'CDO Bespoke'!T198,0)),"")</f>
        <v/>
      </c>
      <c r="O197" s="488">
        <f t="shared" ca="1" si="8"/>
        <v>0</v>
      </c>
      <c r="P197" s="488">
        <f t="shared" ca="1" si="9"/>
        <v>0</v>
      </c>
      <c r="Q197" s="487" t="str">
        <f ca="1">IF('CDO Bespoke'!O198&lt;&gt;"",'CDO Bespoke'!O198,"")</f>
        <v/>
      </c>
      <c r="R197" s="488" t="str">
        <f ca="1">IF(Q197&lt;&gt;"",ABS(MIN(-0.75*('CDO Bespoke'!K198)+'CDO Bespoke'!T198,0)),"")</f>
        <v/>
      </c>
      <c r="S197" s="488">
        <f t="shared" ca="1" si="10"/>
        <v>0</v>
      </c>
      <c r="T197" s="492">
        <f t="shared" ca="1" si="11"/>
        <v>0</v>
      </c>
      <c r="U197" s="274"/>
      <c r="V197" s="497" t="str">
        <f ca="1">IF('CDO Bespoke'!C222&lt;&gt;"",'CDO Bespoke'!C222,"")</f>
        <v/>
      </c>
      <c r="W197" s="499" t="str" cm="1">
        <f t="array" aca="1" ref="W197" ca="1">IF($V197&lt;&gt;"",-TRANSPOSE(INDEX(getcds('CDO Bespoke'!$C222,W$13,'CDO Bespoke'!$G222/10000,'CDO Bespoke'!F222,'CDO Bespoke'!$L198,'CDO Bespoke'!$C$13,'CDO Bespoke'!$C$14,'CDO Bespoke'!$C$15,'CDO Bespoke'!$C$8,,,TRUE,TRUE,FALSE,'CDO Bespoke'!$C$29:'CDO Bespoke'!$C$31,'CDO Bespoke'!$C$33),{5})),"")</f>
        <v/>
      </c>
      <c r="X197" s="524" t="str" cm="1">
        <f t="array" aca="1" ref="X197" ca="1">IF($V197&lt;&gt;"",-TRANSPOSE(INDEX(getcds('CDO Bespoke'!$C222,X$13,'CDO Bespoke'!$G222/10000,'CDO Bespoke'!G222,'CDO Bespoke'!$L198,'CDO Bespoke'!$C$13,'CDO Bespoke'!$C$14,'CDO Bespoke'!$C$15,'CDO Bespoke'!$C$8,,,TRUE,TRUE,FALSE,'CDO Bespoke'!$C$29:'CDO Bespoke'!$C$31,'CDO Bespoke'!$C$33),{5})),"")</f>
        <v/>
      </c>
      <c r="Y197" s="524" t="str" cm="1">
        <f t="array" aca="1" ref="Y197" ca="1">IF($V197&lt;&gt;"",-TRANSPOSE(INDEX(getcds('CDO Bespoke'!$C222,Y$13,'CDO Bespoke'!$G222/10000,'CDO Bespoke'!H222,'CDO Bespoke'!$L198,'CDO Bespoke'!$C$13,'CDO Bespoke'!$C$14,'CDO Bespoke'!$C$15,'CDO Bespoke'!$C$8,,,TRUE,TRUE,FALSE,'CDO Bespoke'!$C$29:'CDO Bespoke'!$C$31,'CDO Bespoke'!$C$33),{5})),"")</f>
        <v/>
      </c>
      <c r="Z197" s="524" t="str" cm="1">
        <f t="array" aca="1" ref="Z197" ca="1">IF($V197&lt;&gt;"",-TRANSPOSE(INDEX(getcds('CDO Bespoke'!$C222,Z$13,'CDO Bespoke'!$G222/10000,'CDO Bespoke'!I222,'CDO Bespoke'!$L198,'CDO Bespoke'!$C$13,'CDO Bespoke'!$C$14,'CDO Bespoke'!$C$15,'CDO Bespoke'!$C$8,,,TRUE,TRUE,FALSE,'CDO Bespoke'!$C$29:'CDO Bespoke'!$C$31,'CDO Bespoke'!$C$33),{5})),"")</f>
        <v/>
      </c>
      <c r="AA197" s="500" t="str" cm="1">
        <f t="array" aca="1" ref="AA197" ca="1">IF($V197&lt;&gt;"",-TRANSPOSE(INDEX(getcds('CDO Bespoke'!$C222,AA$13,'CDO Bespoke'!$G222/10000,'CDO Bespoke'!J222,'CDO Bespoke'!$L198,'CDO Bespoke'!$C$13,'CDO Bespoke'!$C$14,'CDO Bespoke'!$C$15,'CDO Bespoke'!$C$8,,,TRUE,TRUE,FALSE,'CDO Bespoke'!$C$29:'CDO Bespoke'!$C$31,'CDO Bespoke'!$C$33),{5})),"")</f>
        <v/>
      </c>
      <c r="AB197" s="479"/>
      <c r="AC197" s="515"/>
      <c r="AD197" s="516"/>
      <c r="AE197" s="516"/>
      <c r="AF197" s="516"/>
      <c r="AG197" s="516"/>
      <c r="AH197" s="516"/>
      <c r="AI197" s="516"/>
      <c r="AJ197" s="516"/>
      <c r="AK197" s="516"/>
      <c r="AL197" s="517"/>
      <c r="AM197" s="534"/>
    </row>
    <row r="198" spans="2:39" ht="12" thickBot="1">
      <c r="B198" s="552" t="s">
        <v>561</v>
      </c>
      <c r="C198" s="553" t="s">
        <v>66</v>
      </c>
      <c r="D198" s="553" t="s">
        <v>59</v>
      </c>
      <c r="E198" s="553" t="s">
        <v>660</v>
      </c>
      <c r="F198" s="553" t="s">
        <v>663</v>
      </c>
      <c r="G198" s="554">
        <v>0.01</v>
      </c>
      <c r="H198" s="554">
        <v>1.0121E-2</v>
      </c>
      <c r="I198" s="555">
        <v>0.4</v>
      </c>
      <c r="J198" s="556">
        <v>58</v>
      </c>
      <c r="K198" s="274"/>
      <c r="L198" s="274"/>
      <c r="M198" s="487" t="str">
        <f ca="1">IF('CDO Bespoke'!O199&lt;&gt;"",'CDO Bespoke'!O199,"")</f>
        <v/>
      </c>
      <c r="N198" s="488" t="str">
        <f ca="1">IF(M198&lt;&gt;"",ABS(MIN(-0.75*('CDO Bespoke'!Q199)+'CDO Bespoke'!T199,0)),"")</f>
        <v/>
      </c>
      <c r="O198" s="488">
        <f t="shared" ca="1" si="8"/>
        <v>0</v>
      </c>
      <c r="P198" s="488">
        <f t="shared" ca="1" si="9"/>
        <v>0</v>
      </c>
      <c r="Q198" s="487" t="str">
        <f ca="1">IF('CDO Bespoke'!O199&lt;&gt;"",'CDO Bespoke'!O199,"")</f>
        <v/>
      </c>
      <c r="R198" s="488" t="str">
        <f ca="1">IF(Q198&lt;&gt;"",ABS(MIN(-0.75*('CDO Bespoke'!K199)+'CDO Bespoke'!T199,0)),"")</f>
        <v/>
      </c>
      <c r="S198" s="488">
        <f t="shared" ca="1" si="10"/>
        <v>0</v>
      </c>
      <c r="T198" s="492">
        <f t="shared" ca="1" si="11"/>
        <v>0</v>
      </c>
      <c r="U198" s="274"/>
      <c r="V198" s="497" t="str">
        <f ca="1">IF('CDO Bespoke'!C223&lt;&gt;"",'CDO Bespoke'!C223,"")</f>
        <v/>
      </c>
      <c r="W198" s="499" t="str" cm="1">
        <f t="array" aca="1" ref="W198" ca="1">IF($V198&lt;&gt;"",-TRANSPOSE(INDEX(getcds('CDO Bespoke'!$C223,W$13,'CDO Bespoke'!$G223/10000,'CDO Bespoke'!F223,'CDO Bespoke'!$L199,'CDO Bespoke'!$C$13,'CDO Bespoke'!$C$14,'CDO Bespoke'!$C$15,'CDO Bespoke'!$C$8,,,TRUE,TRUE,FALSE,'CDO Bespoke'!$C$29:'CDO Bespoke'!$C$31,'CDO Bespoke'!$C$33),{5})),"")</f>
        <v/>
      </c>
      <c r="X198" s="524" t="str" cm="1">
        <f t="array" aca="1" ref="X198" ca="1">IF($V198&lt;&gt;"",-TRANSPOSE(INDEX(getcds('CDO Bespoke'!$C223,X$13,'CDO Bespoke'!$G223/10000,'CDO Bespoke'!G223,'CDO Bespoke'!$L199,'CDO Bespoke'!$C$13,'CDO Bespoke'!$C$14,'CDO Bespoke'!$C$15,'CDO Bespoke'!$C$8,,,TRUE,TRUE,FALSE,'CDO Bespoke'!$C$29:'CDO Bespoke'!$C$31,'CDO Bespoke'!$C$33),{5})),"")</f>
        <v/>
      </c>
      <c r="Y198" s="524" t="str" cm="1">
        <f t="array" aca="1" ref="Y198" ca="1">IF($V198&lt;&gt;"",-TRANSPOSE(INDEX(getcds('CDO Bespoke'!$C223,Y$13,'CDO Bespoke'!$G223/10000,'CDO Bespoke'!H223,'CDO Bespoke'!$L199,'CDO Bespoke'!$C$13,'CDO Bespoke'!$C$14,'CDO Bespoke'!$C$15,'CDO Bespoke'!$C$8,,,TRUE,TRUE,FALSE,'CDO Bespoke'!$C$29:'CDO Bespoke'!$C$31,'CDO Bespoke'!$C$33),{5})),"")</f>
        <v/>
      </c>
      <c r="Z198" s="524" t="str" cm="1">
        <f t="array" aca="1" ref="Z198" ca="1">IF($V198&lt;&gt;"",-TRANSPOSE(INDEX(getcds('CDO Bespoke'!$C223,Z$13,'CDO Bespoke'!$G223/10000,'CDO Bespoke'!I223,'CDO Bespoke'!$L199,'CDO Bespoke'!$C$13,'CDO Bespoke'!$C$14,'CDO Bespoke'!$C$15,'CDO Bespoke'!$C$8,,,TRUE,TRUE,FALSE,'CDO Bespoke'!$C$29:'CDO Bespoke'!$C$31,'CDO Bespoke'!$C$33),{5})),"")</f>
        <v/>
      </c>
      <c r="AA198" s="500" t="str" cm="1">
        <f t="array" aca="1" ref="AA198" ca="1">IF($V198&lt;&gt;"",-TRANSPOSE(INDEX(getcds('CDO Bespoke'!$C223,AA$13,'CDO Bespoke'!$G223/10000,'CDO Bespoke'!J223,'CDO Bespoke'!$L199,'CDO Bespoke'!$C$13,'CDO Bespoke'!$C$14,'CDO Bespoke'!$C$15,'CDO Bespoke'!$C$8,,,TRUE,TRUE,FALSE,'CDO Bespoke'!$C$29:'CDO Bespoke'!$C$31,'CDO Bespoke'!$C$33),{5})),"")</f>
        <v/>
      </c>
      <c r="AB198" s="479"/>
      <c r="AC198" s="515"/>
      <c r="AD198" s="516"/>
      <c r="AE198" s="516"/>
      <c r="AF198" s="516"/>
      <c r="AG198" s="516"/>
      <c r="AH198" s="516"/>
      <c r="AI198" s="516"/>
      <c r="AJ198" s="516"/>
      <c r="AK198" s="516"/>
      <c r="AL198" s="517"/>
      <c r="AM198" s="534"/>
    </row>
    <row r="199" spans="2:39" ht="12" thickBot="1">
      <c r="B199" s="557" t="s">
        <v>562</v>
      </c>
      <c r="C199" s="558" t="s">
        <v>66</v>
      </c>
      <c r="D199" s="558" t="s">
        <v>55</v>
      </c>
      <c r="E199" s="558" t="s">
        <v>660</v>
      </c>
      <c r="F199" s="558" t="s">
        <v>663</v>
      </c>
      <c r="G199" s="559">
        <v>0.01</v>
      </c>
      <c r="H199" s="559">
        <v>3.114E-3</v>
      </c>
      <c r="I199" s="560">
        <v>0.4</v>
      </c>
      <c r="J199" s="561">
        <v>59</v>
      </c>
      <c r="K199" s="274"/>
      <c r="L199" s="274"/>
      <c r="M199" s="487" t="str">
        <f ca="1">IF('CDO Bespoke'!O200&lt;&gt;"",'CDO Bespoke'!O200,"")</f>
        <v/>
      </c>
      <c r="N199" s="488" t="str">
        <f ca="1">IF(M199&lt;&gt;"",ABS(MIN(-0.75*('CDO Bespoke'!Q200)+'CDO Bespoke'!T200,0)),"")</f>
        <v/>
      </c>
      <c r="O199" s="488">
        <f t="shared" ca="1" si="8"/>
        <v>0</v>
      </c>
      <c r="P199" s="488">
        <f t="shared" ca="1" si="9"/>
        <v>0</v>
      </c>
      <c r="Q199" s="487" t="str">
        <f ca="1">IF('CDO Bespoke'!O200&lt;&gt;"",'CDO Bespoke'!O200,"")</f>
        <v/>
      </c>
      <c r="R199" s="488" t="str">
        <f ca="1">IF(Q199&lt;&gt;"",ABS(MIN(-0.75*('CDO Bespoke'!K200)+'CDO Bespoke'!T200,0)),"")</f>
        <v/>
      </c>
      <c r="S199" s="488">
        <f t="shared" ca="1" si="10"/>
        <v>0</v>
      </c>
      <c r="T199" s="492">
        <f t="shared" ca="1" si="11"/>
        <v>0</v>
      </c>
      <c r="U199" s="274"/>
      <c r="V199" s="497" t="str">
        <f ca="1">IF('CDO Bespoke'!C224&lt;&gt;"",'CDO Bespoke'!C224,"")</f>
        <v/>
      </c>
      <c r="W199" s="499" t="str" cm="1">
        <f t="array" aca="1" ref="W199" ca="1">IF($V199&lt;&gt;"",-TRANSPOSE(INDEX(getcds('CDO Bespoke'!$C224,W$13,'CDO Bespoke'!$G224/10000,'CDO Bespoke'!F224,'CDO Bespoke'!$L200,'CDO Bespoke'!$C$13,'CDO Bespoke'!$C$14,'CDO Bespoke'!$C$15,'CDO Bespoke'!$C$8,,,TRUE,TRUE,FALSE,'CDO Bespoke'!$C$29:'CDO Bespoke'!$C$31,'CDO Bespoke'!$C$33),{5})),"")</f>
        <v/>
      </c>
      <c r="X199" s="524" t="str" cm="1">
        <f t="array" aca="1" ref="X199" ca="1">IF($V199&lt;&gt;"",-TRANSPOSE(INDEX(getcds('CDO Bespoke'!$C224,X$13,'CDO Bespoke'!$G224/10000,'CDO Bespoke'!G224,'CDO Bespoke'!$L200,'CDO Bespoke'!$C$13,'CDO Bespoke'!$C$14,'CDO Bespoke'!$C$15,'CDO Bespoke'!$C$8,,,TRUE,TRUE,FALSE,'CDO Bespoke'!$C$29:'CDO Bespoke'!$C$31,'CDO Bespoke'!$C$33),{5})),"")</f>
        <v/>
      </c>
      <c r="Y199" s="524" t="str" cm="1">
        <f t="array" aca="1" ref="Y199" ca="1">IF($V199&lt;&gt;"",-TRANSPOSE(INDEX(getcds('CDO Bespoke'!$C224,Y$13,'CDO Bespoke'!$G224/10000,'CDO Bespoke'!H224,'CDO Bespoke'!$L200,'CDO Bespoke'!$C$13,'CDO Bespoke'!$C$14,'CDO Bespoke'!$C$15,'CDO Bespoke'!$C$8,,,TRUE,TRUE,FALSE,'CDO Bespoke'!$C$29:'CDO Bespoke'!$C$31,'CDO Bespoke'!$C$33),{5})),"")</f>
        <v/>
      </c>
      <c r="Z199" s="524" t="str" cm="1">
        <f t="array" aca="1" ref="Z199" ca="1">IF($V199&lt;&gt;"",-TRANSPOSE(INDEX(getcds('CDO Bespoke'!$C224,Z$13,'CDO Bespoke'!$G224/10000,'CDO Bespoke'!I224,'CDO Bespoke'!$L200,'CDO Bespoke'!$C$13,'CDO Bespoke'!$C$14,'CDO Bespoke'!$C$15,'CDO Bespoke'!$C$8,,,TRUE,TRUE,FALSE,'CDO Bespoke'!$C$29:'CDO Bespoke'!$C$31,'CDO Bespoke'!$C$33),{5})),"")</f>
        <v/>
      </c>
      <c r="AA199" s="500" t="str" cm="1">
        <f t="array" aca="1" ref="AA199" ca="1">IF($V199&lt;&gt;"",-TRANSPOSE(INDEX(getcds('CDO Bespoke'!$C224,AA$13,'CDO Bespoke'!$G224/10000,'CDO Bespoke'!J224,'CDO Bespoke'!$L200,'CDO Bespoke'!$C$13,'CDO Bespoke'!$C$14,'CDO Bespoke'!$C$15,'CDO Bespoke'!$C$8,,,TRUE,TRUE,FALSE,'CDO Bespoke'!$C$29:'CDO Bespoke'!$C$31,'CDO Bespoke'!$C$33),{5})),"")</f>
        <v/>
      </c>
      <c r="AB199" s="479"/>
      <c r="AC199" s="515"/>
      <c r="AD199" s="516"/>
      <c r="AE199" s="516"/>
      <c r="AF199" s="516"/>
      <c r="AG199" s="516"/>
      <c r="AH199" s="516"/>
      <c r="AI199" s="516"/>
      <c r="AJ199" s="516"/>
      <c r="AK199" s="516"/>
      <c r="AL199" s="517"/>
      <c r="AM199" s="534"/>
    </row>
    <row r="200" spans="2:39" ht="12" thickBot="1">
      <c r="B200" s="535" t="s">
        <v>562</v>
      </c>
      <c r="C200" s="536" t="s">
        <v>66</v>
      </c>
      <c r="D200" s="536" t="s">
        <v>57</v>
      </c>
      <c r="E200" s="536" t="s">
        <v>660</v>
      </c>
      <c r="F200" s="536" t="s">
        <v>663</v>
      </c>
      <c r="G200" s="543">
        <v>0.01</v>
      </c>
      <c r="H200" s="543">
        <v>5.1929999999999997E-3</v>
      </c>
      <c r="I200" s="545">
        <v>0.4</v>
      </c>
      <c r="J200" s="537">
        <v>59</v>
      </c>
      <c r="K200" s="274"/>
      <c r="L200" s="274"/>
      <c r="M200" s="487" t="str">
        <f ca="1">IF('CDO Bespoke'!O201&lt;&gt;"",'CDO Bespoke'!O201,"")</f>
        <v/>
      </c>
      <c r="N200" s="488" t="str">
        <f ca="1">IF(M200&lt;&gt;"",ABS(MIN(-0.75*('CDO Bespoke'!Q201)+'CDO Bespoke'!T201,0)),"")</f>
        <v/>
      </c>
      <c r="O200" s="488">
        <f t="shared" ca="1" si="8"/>
        <v>0</v>
      </c>
      <c r="P200" s="488">
        <f t="shared" ca="1" si="9"/>
        <v>0</v>
      </c>
      <c r="Q200" s="487" t="str">
        <f ca="1">IF('CDO Bespoke'!O201&lt;&gt;"",'CDO Bespoke'!O201,"")</f>
        <v/>
      </c>
      <c r="R200" s="488" t="str">
        <f ca="1">IF(Q200&lt;&gt;"",ABS(MIN(-0.75*('CDO Bespoke'!K201)+'CDO Bespoke'!T201,0)),"")</f>
        <v/>
      </c>
      <c r="S200" s="488">
        <f t="shared" ca="1" si="10"/>
        <v>0</v>
      </c>
      <c r="T200" s="492">
        <f t="shared" ca="1" si="11"/>
        <v>0</v>
      </c>
      <c r="U200" s="274"/>
      <c r="V200" s="497" t="str">
        <f ca="1">IF('CDO Bespoke'!C225&lt;&gt;"",'CDO Bespoke'!C225,"")</f>
        <v/>
      </c>
      <c r="W200" s="499" t="str" cm="1">
        <f t="array" aca="1" ref="W200" ca="1">IF($V200&lt;&gt;"",-TRANSPOSE(INDEX(getcds('CDO Bespoke'!$C225,W$13,'CDO Bespoke'!$G225/10000,'CDO Bespoke'!F225,'CDO Bespoke'!$L201,'CDO Bespoke'!$C$13,'CDO Bespoke'!$C$14,'CDO Bespoke'!$C$15,'CDO Bespoke'!$C$8,,,TRUE,TRUE,FALSE,'CDO Bespoke'!$C$29:'CDO Bespoke'!$C$31,'CDO Bespoke'!$C$33),{5})),"")</f>
        <v/>
      </c>
      <c r="X200" s="524" t="str" cm="1">
        <f t="array" aca="1" ref="X200" ca="1">IF($V200&lt;&gt;"",-TRANSPOSE(INDEX(getcds('CDO Bespoke'!$C225,X$13,'CDO Bespoke'!$G225/10000,'CDO Bespoke'!G225,'CDO Bespoke'!$L201,'CDO Bespoke'!$C$13,'CDO Bespoke'!$C$14,'CDO Bespoke'!$C$15,'CDO Bespoke'!$C$8,,,TRUE,TRUE,FALSE,'CDO Bespoke'!$C$29:'CDO Bespoke'!$C$31,'CDO Bespoke'!$C$33),{5})),"")</f>
        <v/>
      </c>
      <c r="Y200" s="524" t="str" cm="1">
        <f t="array" aca="1" ref="Y200" ca="1">IF($V200&lt;&gt;"",-TRANSPOSE(INDEX(getcds('CDO Bespoke'!$C225,Y$13,'CDO Bespoke'!$G225/10000,'CDO Bespoke'!H225,'CDO Bespoke'!$L201,'CDO Bespoke'!$C$13,'CDO Bespoke'!$C$14,'CDO Bespoke'!$C$15,'CDO Bespoke'!$C$8,,,TRUE,TRUE,FALSE,'CDO Bespoke'!$C$29:'CDO Bespoke'!$C$31,'CDO Bespoke'!$C$33),{5})),"")</f>
        <v/>
      </c>
      <c r="Z200" s="524" t="str" cm="1">
        <f t="array" aca="1" ref="Z200" ca="1">IF($V200&lt;&gt;"",-TRANSPOSE(INDEX(getcds('CDO Bespoke'!$C225,Z$13,'CDO Bespoke'!$G225/10000,'CDO Bespoke'!I225,'CDO Bespoke'!$L201,'CDO Bespoke'!$C$13,'CDO Bespoke'!$C$14,'CDO Bespoke'!$C$15,'CDO Bespoke'!$C$8,,,TRUE,TRUE,FALSE,'CDO Bespoke'!$C$29:'CDO Bespoke'!$C$31,'CDO Bespoke'!$C$33),{5})),"")</f>
        <v/>
      </c>
      <c r="AA200" s="500" t="str" cm="1">
        <f t="array" aca="1" ref="AA200" ca="1">IF($V200&lt;&gt;"",-TRANSPOSE(INDEX(getcds('CDO Bespoke'!$C225,AA$13,'CDO Bespoke'!$G225/10000,'CDO Bespoke'!J225,'CDO Bespoke'!$L201,'CDO Bespoke'!$C$13,'CDO Bespoke'!$C$14,'CDO Bespoke'!$C$15,'CDO Bespoke'!$C$8,,,TRUE,TRUE,FALSE,'CDO Bespoke'!$C$29:'CDO Bespoke'!$C$31,'CDO Bespoke'!$C$33),{5})),"")</f>
        <v/>
      </c>
      <c r="AB200" s="479"/>
      <c r="AC200" s="515"/>
      <c r="AD200" s="516"/>
      <c r="AE200" s="516"/>
      <c r="AF200" s="516"/>
      <c r="AG200" s="516"/>
      <c r="AH200" s="516"/>
      <c r="AI200" s="516"/>
      <c r="AJ200" s="516"/>
      <c r="AK200" s="516"/>
      <c r="AL200" s="517"/>
      <c r="AM200" s="534"/>
    </row>
    <row r="201" spans="2:39" ht="12" thickBot="1">
      <c r="B201" s="552" t="s">
        <v>562</v>
      </c>
      <c r="C201" s="553" t="s">
        <v>66</v>
      </c>
      <c r="D201" s="553" t="s">
        <v>59</v>
      </c>
      <c r="E201" s="553" t="s">
        <v>660</v>
      </c>
      <c r="F201" s="553" t="s">
        <v>663</v>
      </c>
      <c r="G201" s="554">
        <v>0.01</v>
      </c>
      <c r="H201" s="554">
        <v>7.737E-3</v>
      </c>
      <c r="I201" s="555">
        <v>0.4</v>
      </c>
      <c r="J201" s="556">
        <v>59</v>
      </c>
      <c r="K201" s="274"/>
      <c r="L201" s="274"/>
      <c r="M201" s="487" t="str">
        <f ca="1">IF('CDO Bespoke'!O202&lt;&gt;"",'CDO Bespoke'!O202,"")</f>
        <v/>
      </c>
      <c r="N201" s="488" t="str">
        <f ca="1">IF(M201&lt;&gt;"",ABS(MIN(-0.75*('CDO Bespoke'!Q202)+'CDO Bespoke'!T202,0)),"")</f>
        <v/>
      </c>
      <c r="O201" s="488">
        <f t="shared" ca="1" si="8"/>
        <v>0</v>
      </c>
      <c r="P201" s="488">
        <f t="shared" ca="1" si="9"/>
        <v>0</v>
      </c>
      <c r="Q201" s="487" t="str">
        <f ca="1">IF('CDO Bespoke'!O202&lt;&gt;"",'CDO Bespoke'!O202,"")</f>
        <v/>
      </c>
      <c r="R201" s="488" t="str">
        <f ca="1">IF(Q201&lt;&gt;"",ABS(MIN(-0.75*('CDO Bespoke'!K202)+'CDO Bespoke'!T202,0)),"")</f>
        <v/>
      </c>
      <c r="S201" s="488">
        <f t="shared" ca="1" si="10"/>
        <v>0</v>
      </c>
      <c r="T201" s="492">
        <f t="shared" ca="1" si="11"/>
        <v>0</v>
      </c>
      <c r="U201" s="274"/>
      <c r="V201" s="497" t="str">
        <f ca="1">IF('CDO Bespoke'!C226&lt;&gt;"",'CDO Bespoke'!C226,"")</f>
        <v/>
      </c>
      <c r="W201" s="499" t="str" cm="1">
        <f t="array" aca="1" ref="W201" ca="1">IF($V201&lt;&gt;"",-TRANSPOSE(INDEX(getcds('CDO Bespoke'!$C226,W$13,'CDO Bespoke'!$G226/10000,'CDO Bespoke'!F226,'CDO Bespoke'!$L202,'CDO Bespoke'!$C$13,'CDO Bespoke'!$C$14,'CDO Bespoke'!$C$15,'CDO Bespoke'!$C$8,,,TRUE,TRUE,FALSE,'CDO Bespoke'!$C$29:'CDO Bespoke'!$C$31,'CDO Bespoke'!$C$33),{5})),"")</f>
        <v/>
      </c>
      <c r="X201" s="524" t="str" cm="1">
        <f t="array" aca="1" ref="X201" ca="1">IF($V201&lt;&gt;"",-TRANSPOSE(INDEX(getcds('CDO Bespoke'!$C226,X$13,'CDO Bespoke'!$G226/10000,'CDO Bespoke'!G226,'CDO Bespoke'!$L202,'CDO Bespoke'!$C$13,'CDO Bespoke'!$C$14,'CDO Bespoke'!$C$15,'CDO Bespoke'!$C$8,,,TRUE,TRUE,FALSE,'CDO Bespoke'!$C$29:'CDO Bespoke'!$C$31,'CDO Bespoke'!$C$33),{5})),"")</f>
        <v/>
      </c>
      <c r="Y201" s="524" t="str" cm="1">
        <f t="array" aca="1" ref="Y201" ca="1">IF($V201&lt;&gt;"",-TRANSPOSE(INDEX(getcds('CDO Bespoke'!$C226,Y$13,'CDO Bespoke'!$G226/10000,'CDO Bespoke'!H226,'CDO Bespoke'!$L202,'CDO Bespoke'!$C$13,'CDO Bespoke'!$C$14,'CDO Bespoke'!$C$15,'CDO Bespoke'!$C$8,,,TRUE,TRUE,FALSE,'CDO Bespoke'!$C$29:'CDO Bespoke'!$C$31,'CDO Bespoke'!$C$33),{5})),"")</f>
        <v/>
      </c>
      <c r="Z201" s="524" t="str" cm="1">
        <f t="array" aca="1" ref="Z201" ca="1">IF($V201&lt;&gt;"",-TRANSPOSE(INDEX(getcds('CDO Bespoke'!$C226,Z$13,'CDO Bespoke'!$G226/10000,'CDO Bespoke'!I226,'CDO Bespoke'!$L202,'CDO Bespoke'!$C$13,'CDO Bespoke'!$C$14,'CDO Bespoke'!$C$15,'CDO Bespoke'!$C$8,,,TRUE,TRUE,FALSE,'CDO Bespoke'!$C$29:'CDO Bespoke'!$C$31,'CDO Bespoke'!$C$33),{5})),"")</f>
        <v/>
      </c>
      <c r="AA201" s="500" t="str" cm="1">
        <f t="array" aca="1" ref="AA201" ca="1">IF($V201&lt;&gt;"",-TRANSPOSE(INDEX(getcds('CDO Bespoke'!$C226,AA$13,'CDO Bespoke'!$G226/10000,'CDO Bespoke'!J226,'CDO Bespoke'!$L202,'CDO Bespoke'!$C$13,'CDO Bespoke'!$C$14,'CDO Bespoke'!$C$15,'CDO Bespoke'!$C$8,,,TRUE,TRUE,FALSE,'CDO Bespoke'!$C$29:'CDO Bespoke'!$C$31,'CDO Bespoke'!$C$33),{5})),"")</f>
        <v/>
      </c>
      <c r="AB201" s="479"/>
      <c r="AC201" s="515"/>
      <c r="AD201" s="516"/>
      <c r="AE201" s="516"/>
      <c r="AF201" s="516"/>
      <c r="AG201" s="516"/>
      <c r="AH201" s="516"/>
      <c r="AI201" s="516"/>
      <c r="AJ201" s="516"/>
      <c r="AK201" s="516"/>
      <c r="AL201" s="517"/>
      <c r="AM201" s="534"/>
    </row>
    <row r="202" spans="2:39" ht="12" thickBot="1">
      <c r="B202" s="557" t="s">
        <v>563</v>
      </c>
      <c r="C202" s="558" t="s">
        <v>66</v>
      </c>
      <c r="D202" s="558" t="s">
        <v>55</v>
      </c>
      <c r="E202" s="558" t="s">
        <v>658</v>
      </c>
      <c r="F202" s="558" t="s">
        <v>663</v>
      </c>
      <c r="G202" s="559">
        <v>0.01</v>
      </c>
      <c r="H202" s="559">
        <v>1.8439999999999999E-3</v>
      </c>
      <c r="I202" s="560">
        <v>0.4</v>
      </c>
      <c r="J202" s="561">
        <v>60</v>
      </c>
      <c r="K202" s="274"/>
      <c r="L202" s="274"/>
      <c r="M202" s="487" t="str">
        <f ca="1">IF('CDO Bespoke'!O203&lt;&gt;"",'CDO Bespoke'!O203,"")</f>
        <v/>
      </c>
      <c r="N202" s="488" t="str">
        <f ca="1">IF(M202&lt;&gt;"",ABS(MIN(-0.75*('CDO Bespoke'!Q203)+'CDO Bespoke'!T203,0)),"")</f>
        <v/>
      </c>
      <c r="O202" s="488">
        <f t="shared" ca="1" si="8"/>
        <v>0</v>
      </c>
      <c r="P202" s="488">
        <f t="shared" ca="1" si="9"/>
        <v>0</v>
      </c>
      <c r="Q202" s="487" t="str">
        <f ca="1">IF('CDO Bespoke'!O203&lt;&gt;"",'CDO Bespoke'!O203,"")</f>
        <v/>
      </c>
      <c r="R202" s="488" t="str">
        <f ca="1">IF(Q202&lt;&gt;"",ABS(MIN(-0.75*('CDO Bespoke'!K203)+'CDO Bespoke'!T203,0)),"")</f>
        <v/>
      </c>
      <c r="S202" s="488">
        <f t="shared" ca="1" si="10"/>
        <v>0</v>
      </c>
      <c r="T202" s="492">
        <f t="shared" ca="1" si="11"/>
        <v>0</v>
      </c>
      <c r="U202" s="274"/>
      <c r="V202" s="497" t="str">
        <f ca="1">IF('CDO Bespoke'!C227&lt;&gt;"",'CDO Bespoke'!C227,"")</f>
        <v/>
      </c>
      <c r="W202" s="499" t="str" cm="1">
        <f t="array" aca="1" ref="W202" ca="1">IF($V202&lt;&gt;"",-TRANSPOSE(INDEX(getcds('CDO Bespoke'!$C227,W$13,'CDO Bespoke'!$G227/10000,'CDO Bespoke'!F227,'CDO Bespoke'!$L203,'CDO Bespoke'!$C$13,'CDO Bespoke'!$C$14,'CDO Bespoke'!$C$15,'CDO Bespoke'!$C$8,,,TRUE,TRUE,FALSE,'CDO Bespoke'!$C$29:'CDO Bespoke'!$C$31,'CDO Bespoke'!$C$33),{5})),"")</f>
        <v/>
      </c>
      <c r="X202" s="524" t="str" cm="1">
        <f t="array" aca="1" ref="X202" ca="1">IF($V202&lt;&gt;"",-TRANSPOSE(INDEX(getcds('CDO Bespoke'!$C227,X$13,'CDO Bespoke'!$G227/10000,'CDO Bespoke'!G227,'CDO Bespoke'!$L203,'CDO Bespoke'!$C$13,'CDO Bespoke'!$C$14,'CDO Bespoke'!$C$15,'CDO Bespoke'!$C$8,,,TRUE,TRUE,FALSE,'CDO Bespoke'!$C$29:'CDO Bespoke'!$C$31,'CDO Bespoke'!$C$33),{5})),"")</f>
        <v/>
      </c>
      <c r="Y202" s="524" t="str" cm="1">
        <f t="array" aca="1" ref="Y202" ca="1">IF($V202&lt;&gt;"",-TRANSPOSE(INDEX(getcds('CDO Bespoke'!$C227,Y$13,'CDO Bespoke'!$G227/10000,'CDO Bespoke'!H227,'CDO Bespoke'!$L203,'CDO Bespoke'!$C$13,'CDO Bespoke'!$C$14,'CDO Bespoke'!$C$15,'CDO Bespoke'!$C$8,,,TRUE,TRUE,FALSE,'CDO Bespoke'!$C$29:'CDO Bespoke'!$C$31,'CDO Bespoke'!$C$33),{5})),"")</f>
        <v/>
      </c>
      <c r="Z202" s="524" t="str" cm="1">
        <f t="array" aca="1" ref="Z202" ca="1">IF($V202&lt;&gt;"",-TRANSPOSE(INDEX(getcds('CDO Bespoke'!$C227,Z$13,'CDO Bespoke'!$G227/10000,'CDO Bespoke'!I227,'CDO Bespoke'!$L203,'CDO Bespoke'!$C$13,'CDO Bespoke'!$C$14,'CDO Bespoke'!$C$15,'CDO Bespoke'!$C$8,,,TRUE,TRUE,FALSE,'CDO Bespoke'!$C$29:'CDO Bespoke'!$C$31,'CDO Bespoke'!$C$33),{5})),"")</f>
        <v/>
      </c>
      <c r="AA202" s="500" t="str" cm="1">
        <f t="array" aca="1" ref="AA202" ca="1">IF($V202&lt;&gt;"",-TRANSPOSE(INDEX(getcds('CDO Bespoke'!$C227,AA$13,'CDO Bespoke'!$G227/10000,'CDO Bespoke'!J227,'CDO Bespoke'!$L203,'CDO Bespoke'!$C$13,'CDO Bespoke'!$C$14,'CDO Bespoke'!$C$15,'CDO Bespoke'!$C$8,,,TRUE,TRUE,FALSE,'CDO Bespoke'!$C$29:'CDO Bespoke'!$C$31,'CDO Bespoke'!$C$33),{5})),"")</f>
        <v/>
      </c>
      <c r="AB202" s="479"/>
      <c r="AC202" s="515"/>
      <c r="AD202" s="516"/>
      <c r="AE202" s="516"/>
      <c r="AF202" s="516"/>
      <c r="AG202" s="516"/>
      <c r="AH202" s="516"/>
      <c r="AI202" s="516"/>
      <c r="AJ202" s="516"/>
      <c r="AK202" s="516"/>
      <c r="AL202" s="517"/>
      <c r="AM202" s="534"/>
    </row>
    <row r="203" spans="2:39" ht="12" thickBot="1">
      <c r="B203" s="535" t="s">
        <v>563</v>
      </c>
      <c r="C203" s="536" t="s">
        <v>66</v>
      </c>
      <c r="D203" s="536" t="s">
        <v>57</v>
      </c>
      <c r="E203" s="536" t="s">
        <v>658</v>
      </c>
      <c r="F203" s="536" t="s">
        <v>663</v>
      </c>
      <c r="G203" s="543">
        <v>0.01</v>
      </c>
      <c r="H203" s="543">
        <v>2.6050000000000001E-3</v>
      </c>
      <c r="I203" s="545">
        <v>0.4</v>
      </c>
      <c r="J203" s="537">
        <v>60</v>
      </c>
      <c r="K203" s="274"/>
      <c r="L203" s="274"/>
      <c r="M203" s="487" t="str">
        <f ca="1">IF('CDO Bespoke'!O204&lt;&gt;"",'CDO Bespoke'!O204,"")</f>
        <v/>
      </c>
      <c r="N203" s="488" t="str">
        <f ca="1">IF(M203&lt;&gt;"",ABS(MIN(-0.75*('CDO Bespoke'!Q204)+'CDO Bespoke'!T204,0)),"")</f>
        <v/>
      </c>
      <c r="O203" s="488">
        <f t="shared" ca="1" si="8"/>
        <v>0</v>
      </c>
      <c r="P203" s="488">
        <f t="shared" ca="1" si="9"/>
        <v>0</v>
      </c>
      <c r="Q203" s="487" t="str">
        <f ca="1">IF('CDO Bespoke'!O204&lt;&gt;"",'CDO Bespoke'!O204,"")</f>
        <v/>
      </c>
      <c r="R203" s="488" t="str">
        <f ca="1">IF(Q203&lt;&gt;"",ABS(MIN(-0.75*('CDO Bespoke'!K204)+'CDO Bespoke'!T204,0)),"")</f>
        <v/>
      </c>
      <c r="S203" s="488">
        <f t="shared" ca="1" si="10"/>
        <v>0</v>
      </c>
      <c r="T203" s="492">
        <f t="shared" ca="1" si="11"/>
        <v>0</v>
      </c>
      <c r="U203" s="274"/>
      <c r="V203" s="497" t="str">
        <f ca="1">IF('CDO Bespoke'!C228&lt;&gt;"",'CDO Bespoke'!C228,"")</f>
        <v/>
      </c>
      <c r="W203" s="499" t="str" cm="1">
        <f t="array" aca="1" ref="W203" ca="1">IF($V203&lt;&gt;"",-TRANSPOSE(INDEX(getcds('CDO Bespoke'!$C228,W$13,'CDO Bespoke'!$G228/10000,'CDO Bespoke'!F228,'CDO Bespoke'!$L204,'CDO Bespoke'!$C$13,'CDO Bespoke'!$C$14,'CDO Bespoke'!$C$15,'CDO Bespoke'!$C$8,,,TRUE,TRUE,FALSE,'CDO Bespoke'!$C$29:'CDO Bespoke'!$C$31,'CDO Bespoke'!$C$33),{5})),"")</f>
        <v/>
      </c>
      <c r="X203" s="524" t="str" cm="1">
        <f t="array" aca="1" ref="X203" ca="1">IF($V203&lt;&gt;"",-TRANSPOSE(INDEX(getcds('CDO Bespoke'!$C228,X$13,'CDO Bespoke'!$G228/10000,'CDO Bespoke'!G228,'CDO Bespoke'!$L204,'CDO Bespoke'!$C$13,'CDO Bespoke'!$C$14,'CDO Bespoke'!$C$15,'CDO Bespoke'!$C$8,,,TRUE,TRUE,FALSE,'CDO Bespoke'!$C$29:'CDO Bespoke'!$C$31,'CDO Bespoke'!$C$33),{5})),"")</f>
        <v/>
      </c>
      <c r="Y203" s="524" t="str" cm="1">
        <f t="array" aca="1" ref="Y203" ca="1">IF($V203&lt;&gt;"",-TRANSPOSE(INDEX(getcds('CDO Bespoke'!$C228,Y$13,'CDO Bespoke'!$G228/10000,'CDO Bespoke'!H228,'CDO Bespoke'!$L204,'CDO Bespoke'!$C$13,'CDO Bespoke'!$C$14,'CDO Bespoke'!$C$15,'CDO Bespoke'!$C$8,,,TRUE,TRUE,FALSE,'CDO Bespoke'!$C$29:'CDO Bespoke'!$C$31,'CDO Bespoke'!$C$33),{5})),"")</f>
        <v/>
      </c>
      <c r="Z203" s="524" t="str" cm="1">
        <f t="array" aca="1" ref="Z203" ca="1">IF($V203&lt;&gt;"",-TRANSPOSE(INDEX(getcds('CDO Bespoke'!$C228,Z$13,'CDO Bespoke'!$G228/10000,'CDO Bespoke'!I228,'CDO Bespoke'!$L204,'CDO Bespoke'!$C$13,'CDO Bespoke'!$C$14,'CDO Bespoke'!$C$15,'CDO Bespoke'!$C$8,,,TRUE,TRUE,FALSE,'CDO Bespoke'!$C$29:'CDO Bespoke'!$C$31,'CDO Bespoke'!$C$33),{5})),"")</f>
        <v/>
      </c>
      <c r="AA203" s="500" t="str" cm="1">
        <f t="array" aca="1" ref="AA203" ca="1">IF($V203&lt;&gt;"",-TRANSPOSE(INDEX(getcds('CDO Bespoke'!$C228,AA$13,'CDO Bespoke'!$G228/10000,'CDO Bespoke'!J228,'CDO Bespoke'!$L204,'CDO Bespoke'!$C$13,'CDO Bespoke'!$C$14,'CDO Bespoke'!$C$15,'CDO Bespoke'!$C$8,,,TRUE,TRUE,FALSE,'CDO Bespoke'!$C$29:'CDO Bespoke'!$C$31,'CDO Bespoke'!$C$33),{5})),"")</f>
        <v/>
      </c>
      <c r="AB203" s="479"/>
      <c r="AC203" s="515"/>
      <c r="AD203" s="516"/>
      <c r="AE203" s="516"/>
      <c r="AF203" s="516"/>
      <c r="AG203" s="516"/>
      <c r="AH203" s="516"/>
      <c r="AI203" s="516"/>
      <c r="AJ203" s="516"/>
      <c r="AK203" s="516"/>
      <c r="AL203" s="517"/>
      <c r="AM203" s="534"/>
    </row>
    <row r="204" spans="2:39" ht="12" thickBot="1">
      <c r="B204" s="552" t="s">
        <v>563</v>
      </c>
      <c r="C204" s="553" t="s">
        <v>66</v>
      </c>
      <c r="D204" s="553" t="s">
        <v>59</v>
      </c>
      <c r="E204" s="553" t="s">
        <v>658</v>
      </c>
      <c r="F204" s="553" t="s">
        <v>663</v>
      </c>
      <c r="G204" s="554">
        <v>0.01</v>
      </c>
      <c r="H204" s="554">
        <v>3.6050000000000001E-3</v>
      </c>
      <c r="I204" s="555">
        <v>0.4</v>
      </c>
      <c r="J204" s="556">
        <v>60</v>
      </c>
      <c r="K204" s="274"/>
      <c r="L204" s="274"/>
      <c r="M204" s="487" t="str">
        <f ca="1">IF('CDO Bespoke'!O205&lt;&gt;"",'CDO Bespoke'!O205,"")</f>
        <v/>
      </c>
      <c r="N204" s="488" t="str">
        <f ca="1">IF(M204&lt;&gt;"",ABS(MIN(-0.75*('CDO Bespoke'!Q205)+'CDO Bespoke'!T205,0)),"")</f>
        <v/>
      </c>
      <c r="O204" s="488">
        <f t="shared" ca="1" si="8"/>
        <v>0</v>
      </c>
      <c r="P204" s="488">
        <f t="shared" ca="1" si="9"/>
        <v>0</v>
      </c>
      <c r="Q204" s="487" t="str">
        <f ca="1">IF('CDO Bespoke'!O205&lt;&gt;"",'CDO Bespoke'!O205,"")</f>
        <v/>
      </c>
      <c r="R204" s="488" t="str">
        <f ca="1">IF(Q204&lt;&gt;"",ABS(MIN(-0.75*('CDO Bespoke'!K205)+'CDO Bespoke'!T205,0)),"")</f>
        <v/>
      </c>
      <c r="S204" s="488">
        <f t="shared" ca="1" si="10"/>
        <v>0</v>
      </c>
      <c r="T204" s="492">
        <f t="shared" ca="1" si="11"/>
        <v>0</v>
      </c>
      <c r="U204" s="274"/>
      <c r="V204" s="497" t="str">
        <f ca="1">IF('CDO Bespoke'!C229&lt;&gt;"",'CDO Bespoke'!C229,"")</f>
        <v/>
      </c>
      <c r="W204" s="499" t="str" cm="1">
        <f t="array" aca="1" ref="W204" ca="1">IF($V204&lt;&gt;"",-TRANSPOSE(INDEX(getcds('CDO Bespoke'!$C229,W$13,'CDO Bespoke'!$G229/10000,'CDO Bespoke'!F229,'CDO Bespoke'!$L205,'CDO Bespoke'!$C$13,'CDO Bespoke'!$C$14,'CDO Bespoke'!$C$15,'CDO Bespoke'!$C$8,,,TRUE,TRUE,FALSE,'CDO Bespoke'!$C$29:'CDO Bespoke'!$C$31,'CDO Bespoke'!$C$33),{5})),"")</f>
        <v/>
      </c>
      <c r="X204" s="524" t="str" cm="1">
        <f t="array" aca="1" ref="X204" ca="1">IF($V204&lt;&gt;"",-TRANSPOSE(INDEX(getcds('CDO Bespoke'!$C229,X$13,'CDO Bespoke'!$G229/10000,'CDO Bespoke'!G229,'CDO Bespoke'!$L205,'CDO Bespoke'!$C$13,'CDO Bespoke'!$C$14,'CDO Bespoke'!$C$15,'CDO Bespoke'!$C$8,,,TRUE,TRUE,FALSE,'CDO Bespoke'!$C$29:'CDO Bespoke'!$C$31,'CDO Bespoke'!$C$33),{5})),"")</f>
        <v/>
      </c>
      <c r="Y204" s="524" t="str" cm="1">
        <f t="array" aca="1" ref="Y204" ca="1">IF($V204&lt;&gt;"",-TRANSPOSE(INDEX(getcds('CDO Bespoke'!$C229,Y$13,'CDO Bespoke'!$G229/10000,'CDO Bespoke'!H229,'CDO Bespoke'!$L205,'CDO Bespoke'!$C$13,'CDO Bespoke'!$C$14,'CDO Bespoke'!$C$15,'CDO Bespoke'!$C$8,,,TRUE,TRUE,FALSE,'CDO Bespoke'!$C$29:'CDO Bespoke'!$C$31,'CDO Bespoke'!$C$33),{5})),"")</f>
        <v/>
      </c>
      <c r="Z204" s="524" t="str" cm="1">
        <f t="array" aca="1" ref="Z204" ca="1">IF($V204&lt;&gt;"",-TRANSPOSE(INDEX(getcds('CDO Bespoke'!$C229,Z$13,'CDO Bespoke'!$G229/10000,'CDO Bespoke'!I229,'CDO Bespoke'!$L205,'CDO Bespoke'!$C$13,'CDO Bespoke'!$C$14,'CDO Bespoke'!$C$15,'CDO Bespoke'!$C$8,,,TRUE,TRUE,FALSE,'CDO Bespoke'!$C$29:'CDO Bespoke'!$C$31,'CDO Bespoke'!$C$33),{5})),"")</f>
        <v/>
      </c>
      <c r="AA204" s="500" t="str" cm="1">
        <f t="array" aca="1" ref="AA204" ca="1">IF($V204&lt;&gt;"",-TRANSPOSE(INDEX(getcds('CDO Bespoke'!$C229,AA$13,'CDO Bespoke'!$G229/10000,'CDO Bespoke'!J229,'CDO Bespoke'!$L205,'CDO Bespoke'!$C$13,'CDO Bespoke'!$C$14,'CDO Bespoke'!$C$15,'CDO Bespoke'!$C$8,,,TRUE,TRUE,FALSE,'CDO Bespoke'!$C$29:'CDO Bespoke'!$C$31,'CDO Bespoke'!$C$33),{5})),"")</f>
        <v/>
      </c>
      <c r="AB204" s="479"/>
      <c r="AC204" s="515"/>
      <c r="AD204" s="516"/>
      <c r="AE204" s="516"/>
      <c r="AF204" s="516"/>
      <c r="AG204" s="516"/>
      <c r="AH204" s="516"/>
      <c r="AI204" s="516"/>
      <c r="AJ204" s="516"/>
      <c r="AK204" s="516"/>
      <c r="AL204" s="517"/>
      <c r="AM204" s="534"/>
    </row>
    <row r="205" spans="2:39" ht="12" thickBot="1">
      <c r="B205" s="557" t="s">
        <v>570</v>
      </c>
      <c r="C205" s="558" t="s">
        <v>66</v>
      </c>
      <c r="D205" s="558" t="s">
        <v>55</v>
      </c>
      <c r="E205" s="558" t="s">
        <v>658</v>
      </c>
      <c r="F205" s="558" t="s">
        <v>667</v>
      </c>
      <c r="G205" s="559">
        <v>0.01</v>
      </c>
      <c r="H205" s="559">
        <v>2.9399999999999999E-3</v>
      </c>
      <c r="I205" s="560">
        <v>0.4</v>
      </c>
      <c r="J205" s="561">
        <v>61</v>
      </c>
      <c r="K205" s="274"/>
      <c r="L205" s="274"/>
      <c r="M205" s="487" t="str">
        <f ca="1">IF('CDO Bespoke'!O206&lt;&gt;"",'CDO Bespoke'!O206,"")</f>
        <v/>
      </c>
      <c r="N205" s="488" t="str">
        <f ca="1">IF(M205&lt;&gt;"",ABS(MIN(-0.75*('CDO Bespoke'!Q206)+'CDO Bespoke'!T206,0)),"")</f>
        <v/>
      </c>
      <c r="O205" s="488">
        <f t="shared" ca="1" si="8"/>
        <v>0</v>
      </c>
      <c r="P205" s="488">
        <f t="shared" ca="1" si="9"/>
        <v>0</v>
      </c>
      <c r="Q205" s="487" t="str">
        <f ca="1">IF('CDO Bespoke'!O206&lt;&gt;"",'CDO Bespoke'!O206,"")</f>
        <v/>
      </c>
      <c r="R205" s="488" t="str">
        <f ca="1">IF(Q205&lt;&gt;"",ABS(MIN(-0.75*('CDO Bespoke'!K206)+'CDO Bespoke'!T206,0)),"")</f>
        <v/>
      </c>
      <c r="S205" s="488">
        <f t="shared" ca="1" si="10"/>
        <v>0</v>
      </c>
      <c r="T205" s="492">
        <f t="shared" ca="1" si="11"/>
        <v>0</v>
      </c>
      <c r="U205" s="274"/>
      <c r="V205" s="497" t="str">
        <f ca="1">IF('CDO Bespoke'!C230&lt;&gt;"",'CDO Bespoke'!C230,"")</f>
        <v/>
      </c>
      <c r="W205" s="499" t="str" cm="1">
        <f t="array" aca="1" ref="W205" ca="1">IF($V205&lt;&gt;"",-TRANSPOSE(INDEX(getcds('CDO Bespoke'!$C230,W$13,'CDO Bespoke'!$G230/10000,'CDO Bespoke'!F230,'CDO Bespoke'!$L206,'CDO Bespoke'!$C$13,'CDO Bespoke'!$C$14,'CDO Bespoke'!$C$15,'CDO Bespoke'!$C$8,,,TRUE,TRUE,FALSE,'CDO Bespoke'!$C$29:'CDO Bespoke'!$C$31,'CDO Bespoke'!$C$33),{5})),"")</f>
        <v/>
      </c>
      <c r="X205" s="524" t="str" cm="1">
        <f t="array" aca="1" ref="X205" ca="1">IF($V205&lt;&gt;"",-TRANSPOSE(INDEX(getcds('CDO Bespoke'!$C230,X$13,'CDO Bespoke'!$G230/10000,'CDO Bespoke'!G230,'CDO Bespoke'!$L206,'CDO Bespoke'!$C$13,'CDO Bespoke'!$C$14,'CDO Bespoke'!$C$15,'CDO Bespoke'!$C$8,,,TRUE,TRUE,FALSE,'CDO Bespoke'!$C$29:'CDO Bespoke'!$C$31,'CDO Bespoke'!$C$33),{5})),"")</f>
        <v/>
      </c>
      <c r="Y205" s="524" t="str" cm="1">
        <f t="array" aca="1" ref="Y205" ca="1">IF($V205&lt;&gt;"",-TRANSPOSE(INDEX(getcds('CDO Bespoke'!$C230,Y$13,'CDO Bespoke'!$G230/10000,'CDO Bespoke'!H230,'CDO Bespoke'!$L206,'CDO Bespoke'!$C$13,'CDO Bespoke'!$C$14,'CDO Bespoke'!$C$15,'CDO Bespoke'!$C$8,,,TRUE,TRUE,FALSE,'CDO Bespoke'!$C$29:'CDO Bespoke'!$C$31,'CDO Bespoke'!$C$33),{5})),"")</f>
        <v/>
      </c>
      <c r="Z205" s="524" t="str" cm="1">
        <f t="array" aca="1" ref="Z205" ca="1">IF($V205&lt;&gt;"",-TRANSPOSE(INDEX(getcds('CDO Bespoke'!$C230,Z$13,'CDO Bespoke'!$G230/10000,'CDO Bespoke'!I230,'CDO Bespoke'!$L206,'CDO Bespoke'!$C$13,'CDO Bespoke'!$C$14,'CDO Bespoke'!$C$15,'CDO Bespoke'!$C$8,,,TRUE,TRUE,FALSE,'CDO Bespoke'!$C$29:'CDO Bespoke'!$C$31,'CDO Bespoke'!$C$33),{5})),"")</f>
        <v/>
      </c>
      <c r="AA205" s="500" t="str" cm="1">
        <f t="array" aca="1" ref="AA205" ca="1">IF($V205&lt;&gt;"",-TRANSPOSE(INDEX(getcds('CDO Bespoke'!$C230,AA$13,'CDO Bespoke'!$G230/10000,'CDO Bespoke'!J230,'CDO Bespoke'!$L206,'CDO Bespoke'!$C$13,'CDO Bespoke'!$C$14,'CDO Bespoke'!$C$15,'CDO Bespoke'!$C$8,,,TRUE,TRUE,FALSE,'CDO Bespoke'!$C$29:'CDO Bespoke'!$C$31,'CDO Bespoke'!$C$33),{5})),"")</f>
        <v/>
      </c>
      <c r="AB205" s="479"/>
      <c r="AC205" s="515"/>
      <c r="AD205" s="516"/>
      <c r="AE205" s="516"/>
      <c r="AF205" s="516"/>
      <c r="AG205" s="516"/>
      <c r="AH205" s="516"/>
      <c r="AI205" s="516"/>
      <c r="AJ205" s="516"/>
      <c r="AK205" s="516"/>
      <c r="AL205" s="517"/>
      <c r="AM205" s="534"/>
    </row>
    <row r="206" spans="2:39" ht="12" thickBot="1">
      <c r="B206" s="535" t="s">
        <v>570</v>
      </c>
      <c r="C206" s="536" t="s">
        <v>66</v>
      </c>
      <c r="D206" s="536" t="s">
        <v>57</v>
      </c>
      <c r="E206" s="536" t="s">
        <v>658</v>
      </c>
      <c r="F206" s="536" t="s">
        <v>667</v>
      </c>
      <c r="G206" s="543">
        <v>0.01</v>
      </c>
      <c r="H206" s="543">
        <v>5.1380000000000002E-3</v>
      </c>
      <c r="I206" s="545">
        <v>0.4</v>
      </c>
      <c r="J206" s="537">
        <v>61</v>
      </c>
      <c r="K206" s="274"/>
      <c r="L206" s="274"/>
      <c r="M206" s="487" t="str">
        <f ca="1">IF('CDO Bespoke'!O207&lt;&gt;"",'CDO Bespoke'!O207,"")</f>
        <v/>
      </c>
      <c r="N206" s="488" t="str">
        <f ca="1">IF(M206&lt;&gt;"",ABS(MIN(-0.75*('CDO Bespoke'!Q207)+'CDO Bespoke'!T207,0)),"")</f>
        <v/>
      </c>
      <c r="O206" s="488">
        <f t="shared" ca="1" si="8"/>
        <v>0</v>
      </c>
      <c r="P206" s="488">
        <f t="shared" ca="1" si="9"/>
        <v>0</v>
      </c>
      <c r="Q206" s="487" t="str">
        <f ca="1">IF('CDO Bespoke'!O207&lt;&gt;"",'CDO Bespoke'!O207,"")</f>
        <v/>
      </c>
      <c r="R206" s="488" t="str">
        <f ca="1">IF(Q206&lt;&gt;"",ABS(MIN(-0.75*('CDO Bespoke'!K207)+'CDO Bespoke'!T207,0)),"")</f>
        <v/>
      </c>
      <c r="S206" s="488">
        <f t="shared" ca="1" si="10"/>
        <v>0</v>
      </c>
      <c r="T206" s="492">
        <f t="shared" ca="1" si="11"/>
        <v>0</v>
      </c>
      <c r="U206" s="274"/>
      <c r="V206" s="497" t="str">
        <f ca="1">IF('CDO Bespoke'!C231&lt;&gt;"",'CDO Bespoke'!C231,"")</f>
        <v/>
      </c>
      <c r="W206" s="499" t="str" cm="1">
        <f t="array" aca="1" ref="W206" ca="1">IF($V206&lt;&gt;"",-TRANSPOSE(INDEX(getcds('CDO Bespoke'!$C231,W$13,'CDO Bespoke'!$G231/10000,'CDO Bespoke'!F231,'CDO Bespoke'!$L207,'CDO Bespoke'!$C$13,'CDO Bespoke'!$C$14,'CDO Bespoke'!$C$15,'CDO Bespoke'!$C$8,,,TRUE,TRUE,FALSE,'CDO Bespoke'!$C$29:'CDO Bespoke'!$C$31,'CDO Bespoke'!$C$33),{5})),"")</f>
        <v/>
      </c>
      <c r="X206" s="524" t="str" cm="1">
        <f t="array" aca="1" ref="X206" ca="1">IF($V206&lt;&gt;"",-TRANSPOSE(INDEX(getcds('CDO Bespoke'!$C231,X$13,'CDO Bespoke'!$G231/10000,'CDO Bespoke'!G231,'CDO Bespoke'!$L207,'CDO Bespoke'!$C$13,'CDO Bespoke'!$C$14,'CDO Bespoke'!$C$15,'CDO Bespoke'!$C$8,,,TRUE,TRUE,FALSE,'CDO Bespoke'!$C$29:'CDO Bespoke'!$C$31,'CDO Bespoke'!$C$33),{5})),"")</f>
        <v/>
      </c>
      <c r="Y206" s="524" t="str" cm="1">
        <f t="array" aca="1" ref="Y206" ca="1">IF($V206&lt;&gt;"",-TRANSPOSE(INDEX(getcds('CDO Bespoke'!$C231,Y$13,'CDO Bespoke'!$G231/10000,'CDO Bespoke'!H231,'CDO Bespoke'!$L207,'CDO Bespoke'!$C$13,'CDO Bespoke'!$C$14,'CDO Bespoke'!$C$15,'CDO Bespoke'!$C$8,,,TRUE,TRUE,FALSE,'CDO Bespoke'!$C$29:'CDO Bespoke'!$C$31,'CDO Bespoke'!$C$33),{5})),"")</f>
        <v/>
      </c>
      <c r="Z206" s="524" t="str" cm="1">
        <f t="array" aca="1" ref="Z206" ca="1">IF($V206&lt;&gt;"",-TRANSPOSE(INDEX(getcds('CDO Bespoke'!$C231,Z$13,'CDO Bespoke'!$G231/10000,'CDO Bespoke'!I231,'CDO Bespoke'!$L207,'CDO Bespoke'!$C$13,'CDO Bespoke'!$C$14,'CDO Bespoke'!$C$15,'CDO Bespoke'!$C$8,,,TRUE,TRUE,FALSE,'CDO Bespoke'!$C$29:'CDO Bespoke'!$C$31,'CDO Bespoke'!$C$33),{5})),"")</f>
        <v/>
      </c>
      <c r="AA206" s="500" t="str" cm="1">
        <f t="array" aca="1" ref="AA206" ca="1">IF($V206&lt;&gt;"",-TRANSPOSE(INDEX(getcds('CDO Bespoke'!$C231,AA$13,'CDO Bespoke'!$G231/10000,'CDO Bespoke'!J231,'CDO Bespoke'!$L207,'CDO Bespoke'!$C$13,'CDO Bespoke'!$C$14,'CDO Bespoke'!$C$15,'CDO Bespoke'!$C$8,,,TRUE,TRUE,FALSE,'CDO Bespoke'!$C$29:'CDO Bespoke'!$C$31,'CDO Bespoke'!$C$33),{5})),"")</f>
        <v/>
      </c>
      <c r="AB206" s="479"/>
      <c r="AC206" s="515"/>
      <c r="AD206" s="516"/>
      <c r="AE206" s="516"/>
      <c r="AF206" s="516"/>
      <c r="AG206" s="516"/>
      <c r="AH206" s="516"/>
      <c r="AI206" s="516"/>
      <c r="AJ206" s="516"/>
      <c r="AK206" s="516"/>
      <c r="AL206" s="517"/>
      <c r="AM206" s="534"/>
    </row>
    <row r="207" spans="2:39" ht="12" thickBot="1">
      <c r="B207" s="552" t="s">
        <v>570</v>
      </c>
      <c r="C207" s="553" t="s">
        <v>66</v>
      </c>
      <c r="D207" s="553" t="s">
        <v>59</v>
      </c>
      <c r="E207" s="553" t="s">
        <v>658</v>
      </c>
      <c r="F207" s="553" t="s">
        <v>667</v>
      </c>
      <c r="G207" s="554">
        <v>0.01</v>
      </c>
      <c r="H207" s="554">
        <v>7.4939999999999998E-3</v>
      </c>
      <c r="I207" s="555">
        <v>0.4</v>
      </c>
      <c r="J207" s="556">
        <v>61</v>
      </c>
      <c r="K207" s="274"/>
      <c r="L207" s="274"/>
      <c r="M207" s="487" t="str">
        <f ca="1">IF('CDO Bespoke'!O208&lt;&gt;"",'CDO Bespoke'!O208,"")</f>
        <v/>
      </c>
      <c r="N207" s="488" t="str">
        <f ca="1">IF(M207&lt;&gt;"",ABS(MIN(-0.75*('CDO Bespoke'!Q208)+'CDO Bespoke'!T208,0)),"")</f>
        <v/>
      </c>
      <c r="O207" s="488">
        <f t="shared" ca="1" si="8"/>
        <v>0</v>
      </c>
      <c r="P207" s="488">
        <f t="shared" ca="1" si="9"/>
        <v>0</v>
      </c>
      <c r="Q207" s="487" t="str">
        <f ca="1">IF('CDO Bespoke'!O208&lt;&gt;"",'CDO Bespoke'!O208,"")</f>
        <v/>
      </c>
      <c r="R207" s="488" t="str">
        <f ca="1">IF(Q207&lt;&gt;"",ABS(MIN(-0.75*('CDO Bespoke'!K208)+'CDO Bespoke'!T208,0)),"")</f>
        <v/>
      </c>
      <c r="S207" s="488">
        <f t="shared" ca="1" si="10"/>
        <v>0</v>
      </c>
      <c r="T207" s="492">
        <f t="shared" ca="1" si="11"/>
        <v>0</v>
      </c>
      <c r="U207" s="274"/>
      <c r="V207" s="497" t="str">
        <f ca="1">IF('CDO Bespoke'!C232&lt;&gt;"",'CDO Bespoke'!C232,"")</f>
        <v/>
      </c>
      <c r="W207" s="499" t="str" cm="1">
        <f t="array" aca="1" ref="W207" ca="1">IF($V207&lt;&gt;"",-TRANSPOSE(INDEX(getcds('CDO Bespoke'!$C232,W$13,'CDO Bespoke'!$G232/10000,'CDO Bespoke'!F232,'CDO Bespoke'!$L208,'CDO Bespoke'!$C$13,'CDO Bespoke'!$C$14,'CDO Bespoke'!$C$15,'CDO Bespoke'!$C$8,,,TRUE,TRUE,FALSE,'CDO Bespoke'!$C$29:'CDO Bespoke'!$C$31,'CDO Bespoke'!$C$33),{5})),"")</f>
        <v/>
      </c>
      <c r="X207" s="524" t="str" cm="1">
        <f t="array" aca="1" ref="X207" ca="1">IF($V207&lt;&gt;"",-TRANSPOSE(INDEX(getcds('CDO Bespoke'!$C232,X$13,'CDO Bespoke'!$G232/10000,'CDO Bespoke'!G232,'CDO Bespoke'!$L208,'CDO Bespoke'!$C$13,'CDO Bespoke'!$C$14,'CDO Bespoke'!$C$15,'CDO Bespoke'!$C$8,,,TRUE,TRUE,FALSE,'CDO Bespoke'!$C$29:'CDO Bespoke'!$C$31,'CDO Bespoke'!$C$33),{5})),"")</f>
        <v/>
      </c>
      <c r="Y207" s="524" t="str" cm="1">
        <f t="array" aca="1" ref="Y207" ca="1">IF($V207&lt;&gt;"",-TRANSPOSE(INDEX(getcds('CDO Bespoke'!$C232,Y$13,'CDO Bespoke'!$G232/10000,'CDO Bespoke'!H232,'CDO Bespoke'!$L208,'CDO Bespoke'!$C$13,'CDO Bespoke'!$C$14,'CDO Bespoke'!$C$15,'CDO Bespoke'!$C$8,,,TRUE,TRUE,FALSE,'CDO Bespoke'!$C$29:'CDO Bespoke'!$C$31,'CDO Bespoke'!$C$33),{5})),"")</f>
        <v/>
      </c>
      <c r="Z207" s="524" t="str" cm="1">
        <f t="array" aca="1" ref="Z207" ca="1">IF($V207&lt;&gt;"",-TRANSPOSE(INDEX(getcds('CDO Bespoke'!$C232,Z$13,'CDO Bespoke'!$G232/10000,'CDO Bespoke'!I232,'CDO Bespoke'!$L208,'CDO Bespoke'!$C$13,'CDO Bespoke'!$C$14,'CDO Bespoke'!$C$15,'CDO Bespoke'!$C$8,,,TRUE,TRUE,FALSE,'CDO Bespoke'!$C$29:'CDO Bespoke'!$C$31,'CDO Bespoke'!$C$33),{5})),"")</f>
        <v/>
      </c>
      <c r="AA207" s="500" t="str" cm="1">
        <f t="array" aca="1" ref="AA207" ca="1">IF($V207&lt;&gt;"",-TRANSPOSE(INDEX(getcds('CDO Bespoke'!$C232,AA$13,'CDO Bespoke'!$G232/10000,'CDO Bespoke'!J232,'CDO Bespoke'!$L208,'CDO Bespoke'!$C$13,'CDO Bespoke'!$C$14,'CDO Bespoke'!$C$15,'CDO Bespoke'!$C$8,,,TRUE,TRUE,FALSE,'CDO Bespoke'!$C$29:'CDO Bespoke'!$C$31,'CDO Bespoke'!$C$33),{5})),"")</f>
        <v/>
      </c>
      <c r="AB207" s="479"/>
      <c r="AC207" s="515"/>
      <c r="AD207" s="516"/>
      <c r="AE207" s="516"/>
      <c r="AF207" s="516"/>
      <c r="AG207" s="516"/>
      <c r="AH207" s="516"/>
      <c r="AI207" s="516"/>
      <c r="AJ207" s="516"/>
      <c r="AK207" s="516"/>
      <c r="AL207" s="517"/>
      <c r="AM207" s="534"/>
    </row>
    <row r="208" spans="2:39" ht="12" thickBot="1">
      <c r="B208" s="557" t="s">
        <v>571</v>
      </c>
      <c r="C208" s="558" t="s">
        <v>66</v>
      </c>
      <c r="D208" s="558" t="s">
        <v>55</v>
      </c>
      <c r="E208" s="558" t="s">
        <v>660</v>
      </c>
      <c r="F208" s="558" t="s">
        <v>668</v>
      </c>
      <c r="G208" s="559">
        <v>0.01</v>
      </c>
      <c r="H208" s="559">
        <v>3.604E-3</v>
      </c>
      <c r="I208" s="560">
        <v>0.4</v>
      </c>
      <c r="J208" s="561">
        <v>62</v>
      </c>
      <c r="K208" s="274"/>
      <c r="L208" s="274"/>
      <c r="M208" s="487" t="str">
        <f ca="1">IF('CDO Bespoke'!O209&lt;&gt;"",'CDO Bespoke'!O209,"")</f>
        <v/>
      </c>
      <c r="N208" s="488" t="str">
        <f ca="1">IF(M208&lt;&gt;"",ABS(MIN(-0.75*('CDO Bespoke'!Q209)+'CDO Bespoke'!T209,0)),"")</f>
        <v/>
      </c>
      <c r="O208" s="488">
        <f t="shared" ref="O208:O271" ca="1" si="12">IF(M208&lt;&gt;"",IF($N$8,MAX(M208-N208,0),M208),0)</f>
        <v>0</v>
      </c>
      <c r="P208" s="488">
        <f t="shared" ref="P208:P271" ca="1" si="13">IF(M208&lt;&gt;"",IF($N$8,0,N208),0)</f>
        <v>0</v>
      </c>
      <c r="Q208" s="487" t="str">
        <f ca="1">IF('CDO Bespoke'!O209&lt;&gt;"",'CDO Bespoke'!O209,"")</f>
        <v/>
      </c>
      <c r="R208" s="488" t="str">
        <f ca="1">IF(Q208&lt;&gt;"",ABS(MIN(-0.75*('CDO Bespoke'!K209)+'CDO Bespoke'!T209,0)),"")</f>
        <v/>
      </c>
      <c r="S208" s="488">
        <f t="shared" ref="S208:S271" ca="1" si="14">IF(Q208&lt;&gt;"",IF($N$8,MAX(Q208-R208,0),Q208),0)</f>
        <v>0</v>
      </c>
      <c r="T208" s="492">
        <f t="shared" ref="T208:T271" ca="1" si="15">IF(Q208&lt;&gt;"",IF($N$8,0,R208),0)</f>
        <v>0</v>
      </c>
      <c r="U208" s="274"/>
      <c r="V208" s="497" t="str">
        <f ca="1">IF('CDO Bespoke'!C233&lt;&gt;"",'CDO Bespoke'!C233,"")</f>
        <v/>
      </c>
      <c r="W208" s="499" t="str" cm="1">
        <f t="array" aca="1" ref="W208" ca="1">IF($V208&lt;&gt;"",-TRANSPOSE(INDEX(getcds('CDO Bespoke'!$C233,W$13,'CDO Bespoke'!$G233/10000,'CDO Bespoke'!F233,'CDO Bespoke'!$L209,'CDO Bespoke'!$C$13,'CDO Bespoke'!$C$14,'CDO Bespoke'!$C$15,'CDO Bespoke'!$C$8,,,TRUE,TRUE,FALSE,'CDO Bespoke'!$C$29:'CDO Bespoke'!$C$31,'CDO Bespoke'!$C$33),{5})),"")</f>
        <v/>
      </c>
      <c r="X208" s="524" t="str" cm="1">
        <f t="array" aca="1" ref="X208" ca="1">IF($V208&lt;&gt;"",-TRANSPOSE(INDEX(getcds('CDO Bespoke'!$C233,X$13,'CDO Bespoke'!$G233/10000,'CDO Bespoke'!G233,'CDO Bespoke'!$L209,'CDO Bespoke'!$C$13,'CDO Bespoke'!$C$14,'CDO Bespoke'!$C$15,'CDO Bespoke'!$C$8,,,TRUE,TRUE,FALSE,'CDO Bespoke'!$C$29:'CDO Bespoke'!$C$31,'CDO Bespoke'!$C$33),{5})),"")</f>
        <v/>
      </c>
      <c r="Y208" s="524" t="str" cm="1">
        <f t="array" aca="1" ref="Y208" ca="1">IF($V208&lt;&gt;"",-TRANSPOSE(INDEX(getcds('CDO Bespoke'!$C233,Y$13,'CDO Bespoke'!$G233/10000,'CDO Bespoke'!H233,'CDO Bespoke'!$L209,'CDO Bespoke'!$C$13,'CDO Bespoke'!$C$14,'CDO Bespoke'!$C$15,'CDO Bespoke'!$C$8,,,TRUE,TRUE,FALSE,'CDO Bespoke'!$C$29:'CDO Bespoke'!$C$31,'CDO Bespoke'!$C$33),{5})),"")</f>
        <v/>
      </c>
      <c r="Z208" s="524" t="str" cm="1">
        <f t="array" aca="1" ref="Z208" ca="1">IF($V208&lt;&gt;"",-TRANSPOSE(INDEX(getcds('CDO Bespoke'!$C233,Z$13,'CDO Bespoke'!$G233/10000,'CDO Bespoke'!I233,'CDO Bespoke'!$L209,'CDO Bespoke'!$C$13,'CDO Bespoke'!$C$14,'CDO Bespoke'!$C$15,'CDO Bespoke'!$C$8,,,TRUE,TRUE,FALSE,'CDO Bespoke'!$C$29:'CDO Bespoke'!$C$31,'CDO Bespoke'!$C$33),{5})),"")</f>
        <v/>
      </c>
      <c r="AA208" s="500" t="str" cm="1">
        <f t="array" aca="1" ref="AA208" ca="1">IF($V208&lt;&gt;"",-TRANSPOSE(INDEX(getcds('CDO Bespoke'!$C233,AA$13,'CDO Bespoke'!$G233/10000,'CDO Bespoke'!J233,'CDO Bespoke'!$L209,'CDO Bespoke'!$C$13,'CDO Bespoke'!$C$14,'CDO Bespoke'!$C$15,'CDO Bespoke'!$C$8,,,TRUE,TRUE,FALSE,'CDO Bespoke'!$C$29:'CDO Bespoke'!$C$31,'CDO Bespoke'!$C$33),{5})),"")</f>
        <v/>
      </c>
      <c r="AB208" s="479"/>
      <c r="AC208" s="515"/>
      <c r="AD208" s="516"/>
      <c r="AE208" s="516"/>
      <c r="AF208" s="516"/>
      <c r="AG208" s="516"/>
      <c r="AH208" s="516"/>
      <c r="AI208" s="516"/>
      <c r="AJ208" s="516"/>
      <c r="AK208" s="516"/>
      <c r="AL208" s="517"/>
      <c r="AM208" s="534"/>
    </row>
    <row r="209" spans="2:39" ht="12" thickBot="1">
      <c r="B209" s="535" t="s">
        <v>571</v>
      </c>
      <c r="C209" s="536" t="s">
        <v>66</v>
      </c>
      <c r="D209" s="536" t="s">
        <v>57</v>
      </c>
      <c r="E209" s="536" t="s">
        <v>660</v>
      </c>
      <c r="F209" s="536" t="s">
        <v>668</v>
      </c>
      <c r="G209" s="543">
        <v>0.01</v>
      </c>
      <c r="H209" s="543">
        <v>6.306E-3</v>
      </c>
      <c r="I209" s="545">
        <v>0.4</v>
      </c>
      <c r="J209" s="537">
        <v>62</v>
      </c>
      <c r="K209" s="274"/>
      <c r="L209" s="274"/>
      <c r="M209" s="487" t="str">
        <f ca="1">IF('CDO Bespoke'!O210&lt;&gt;"",'CDO Bespoke'!O210,"")</f>
        <v/>
      </c>
      <c r="N209" s="488" t="str">
        <f ca="1">IF(M209&lt;&gt;"",ABS(MIN(-0.75*('CDO Bespoke'!Q210)+'CDO Bespoke'!T210,0)),"")</f>
        <v/>
      </c>
      <c r="O209" s="488">
        <f t="shared" ca="1" si="12"/>
        <v>0</v>
      </c>
      <c r="P209" s="488">
        <f t="shared" ca="1" si="13"/>
        <v>0</v>
      </c>
      <c r="Q209" s="487" t="str">
        <f ca="1">IF('CDO Bespoke'!O210&lt;&gt;"",'CDO Bespoke'!O210,"")</f>
        <v/>
      </c>
      <c r="R209" s="488" t="str">
        <f ca="1">IF(Q209&lt;&gt;"",ABS(MIN(-0.75*('CDO Bespoke'!K210)+'CDO Bespoke'!T210,0)),"")</f>
        <v/>
      </c>
      <c r="S209" s="488">
        <f t="shared" ca="1" si="14"/>
        <v>0</v>
      </c>
      <c r="T209" s="492">
        <f t="shared" ca="1" si="15"/>
        <v>0</v>
      </c>
      <c r="U209" s="274"/>
      <c r="V209" s="497" t="str">
        <f ca="1">IF('CDO Bespoke'!C234&lt;&gt;"",'CDO Bespoke'!C234,"")</f>
        <v/>
      </c>
      <c r="W209" s="499" t="str" cm="1">
        <f t="array" aca="1" ref="W209" ca="1">IF($V209&lt;&gt;"",-TRANSPOSE(INDEX(getcds('CDO Bespoke'!$C234,W$13,'CDO Bespoke'!$G234/10000,'CDO Bespoke'!F234,'CDO Bespoke'!$L210,'CDO Bespoke'!$C$13,'CDO Bespoke'!$C$14,'CDO Bespoke'!$C$15,'CDO Bespoke'!$C$8,,,TRUE,TRUE,FALSE,'CDO Bespoke'!$C$29:'CDO Bespoke'!$C$31,'CDO Bespoke'!$C$33),{5})),"")</f>
        <v/>
      </c>
      <c r="X209" s="524" t="str" cm="1">
        <f t="array" aca="1" ref="X209" ca="1">IF($V209&lt;&gt;"",-TRANSPOSE(INDEX(getcds('CDO Bespoke'!$C234,X$13,'CDO Bespoke'!$G234/10000,'CDO Bespoke'!G234,'CDO Bespoke'!$L210,'CDO Bespoke'!$C$13,'CDO Bespoke'!$C$14,'CDO Bespoke'!$C$15,'CDO Bespoke'!$C$8,,,TRUE,TRUE,FALSE,'CDO Bespoke'!$C$29:'CDO Bespoke'!$C$31,'CDO Bespoke'!$C$33),{5})),"")</f>
        <v/>
      </c>
      <c r="Y209" s="524" t="str" cm="1">
        <f t="array" aca="1" ref="Y209" ca="1">IF($V209&lt;&gt;"",-TRANSPOSE(INDEX(getcds('CDO Bespoke'!$C234,Y$13,'CDO Bespoke'!$G234/10000,'CDO Bespoke'!H234,'CDO Bespoke'!$L210,'CDO Bespoke'!$C$13,'CDO Bespoke'!$C$14,'CDO Bespoke'!$C$15,'CDO Bespoke'!$C$8,,,TRUE,TRUE,FALSE,'CDO Bespoke'!$C$29:'CDO Bespoke'!$C$31,'CDO Bespoke'!$C$33),{5})),"")</f>
        <v/>
      </c>
      <c r="Z209" s="524" t="str" cm="1">
        <f t="array" aca="1" ref="Z209" ca="1">IF($V209&lt;&gt;"",-TRANSPOSE(INDEX(getcds('CDO Bespoke'!$C234,Z$13,'CDO Bespoke'!$G234/10000,'CDO Bespoke'!I234,'CDO Bespoke'!$L210,'CDO Bespoke'!$C$13,'CDO Bespoke'!$C$14,'CDO Bespoke'!$C$15,'CDO Bespoke'!$C$8,,,TRUE,TRUE,FALSE,'CDO Bespoke'!$C$29:'CDO Bespoke'!$C$31,'CDO Bespoke'!$C$33),{5})),"")</f>
        <v/>
      </c>
      <c r="AA209" s="500" t="str" cm="1">
        <f t="array" aca="1" ref="AA209" ca="1">IF($V209&lt;&gt;"",-TRANSPOSE(INDEX(getcds('CDO Bespoke'!$C234,AA$13,'CDO Bespoke'!$G234/10000,'CDO Bespoke'!J234,'CDO Bespoke'!$L210,'CDO Bespoke'!$C$13,'CDO Bespoke'!$C$14,'CDO Bespoke'!$C$15,'CDO Bespoke'!$C$8,,,TRUE,TRUE,FALSE,'CDO Bespoke'!$C$29:'CDO Bespoke'!$C$31,'CDO Bespoke'!$C$33),{5})),"")</f>
        <v/>
      </c>
      <c r="AB209" s="479"/>
      <c r="AC209" s="515"/>
      <c r="AD209" s="516"/>
      <c r="AE209" s="516"/>
      <c r="AF209" s="516"/>
      <c r="AG209" s="516"/>
      <c r="AH209" s="516"/>
      <c r="AI209" s="516"/>
      <c r="AJ209" s="516"/>
      <c r="AK209" s="516"/>
      <c r="AL209" s="517"/>
      <c r="AM209" s="534"/>
    </row>
    <row r="210" spans="2:39" ht="12" thickBot="1">
      <c r="B210" s="552" t="s">
        <v>571</v>
      </c>
      <c r="C210" s="553" t="s">
        <v>66</v>
      </c>
      <c r="D210" s="553" t="s">
        <v>59</v>
      </c>
      <c r="E210" s="553" t="s">
        <v>660</v>
      </c>
      <c r="F210" s="553" t="s">
        <v>668</v>
      </c>
      <c r="G210" s="554">
        <v>0.01</v>
      </c>
      <c r="H210" s="554">
        <v>9.0629999999999999E-3</v>
      </c>
      <c r="I210" s="555">
        <v>0.4</v>
      </c>
      <c r="J210" s="556">
        <v>62</v>
      </c>
      <c r="K210" s="274"/>
      <c r="L210" s="274"/>
      <c r="M210" s="487" t="str">
        <f ca="1">IF('CDO Bespoke'!O211&lt;&gt;"",'CDO Bespoke'!O211,"")</f>
        <v/>
      </c>
      <c r="N210" s="488" t="str">
        <f ca="1">IF(M210&lt;&gt;"",ABS(MIN(-0.75*('CDO Bespoke'!Q211)+'CDO Bespoke'!T211,0)),"")</f>
        <v/>
      </c>
      <c r="O210" s="488">
        <f t="shared" ca="1" si="12"/>
        <v>0</v>
      </c>
      <c r="P210" s="488">
        <f t="shared" ca="1" si="13"/>
        <v>0</v>
      </c>
      <c r="Q210" s="487" t="str">
        <f ca="1">IF('CDO Bespoke'!O211&lt;&gt;"",'CDO Bespoke'!O211,"")</f>
        <v/>
      </c>
      <c r="R210" s="488" t="str">
        <f ca="1">IF(Q210&lt;&gt;"",ABS(MIN(-0.75*('CDO Bespoke'!K211)+'CDO Bespoke'!T211,0)),"")</f>
        <v/>
      </c>
      <c r="S210" s="488">
        <f t="shared" ca="1" si="14"/>
        <v>0</v>
      </c>
      <c r="T210" s="492">
        <f t="shared" ca="1" si="15"/>
        <v>0</v>
      </c>
      <c r="U210" s="274"/>
      <c r="V210" s="497" t="str">
        <f ca="1">IF('CDO Bespoke'!C235&lt;&gt;"",'CDO Bespoke'!C235,"")</f>
        <v/>
      </c>
      <c r="W210" s="499" t="str" cm="1">
        <f t="array" aca="1" ref="W210" ca="1">IF($V210&lt;&gt;"",-TRANSPOSE(INDEX(getcds('CDO Bespoke'!$C235,W$13,'CDO Bespoke'!$G235/10000,'CDO Bespoke'!F235,'CDO Bespoke'!$L211,'CDO Bespoke'!$C$13,'CDO Bespoke'!$C$14,'CDO Bespoke'!$C$15,'CDO Bespoke'!$C$8,,,TRUE,TRUE,FALSE,'CDO Bespoke'!$C$29:'CDO Bespoke'!$C$31,'CDO Bespoke'!$C$33),{5})),"")</f>
        <v/>
      </c>
      <c r="X210" s="524" t="str" cm="1">
        <f t="array" aca="1" ref="X210" ca="1">IF($V210&lt;&gt;"",-TRANSPOSE(INDEX(getcds('CDO Bespoke'!$C235,X$13,'CDO Bespoke'!$G235/10000,'CDO Bespoke'!G235,'CDO Bespoke'!$L211,'CDO Bespoke'!$C$13,'CDO Bespoke'!$C$14,'CDO Bespoke'!$C$15,'CDO Bespoke'!$C$8,,,TRUE,TRUE,FALSE,'CDO Bespoke'!$C$29:'CDO Bespoke'!$C$31,'CDO Bespoke'!$C$33),{5})),"")</f>
        <v/>
      </c>
      <c r="Y210" s="524" t="str" cm="1">
        <f t="array" aca="1" ref="Y210" ca="1">IF($V210&lt;&gt;"",-TRANSPOSE(INDEX(getcds('CDO Bespoke'!$C235,Y$13,'CDO Bespoke'!$G235/10000,'CDO Bespoke'!H235,'CDO Bespoke'!$L211,'CDO Bespoke'!$C$13,'CDO Bespoke'!$C$14,'CDO Bespoke'!$C$15,'CDO Bespoke'!$C$8,,,TRUE,TRUE,FALSE,'CDO Bespoke'!$C$29:'CDO Bespoke'!$C$31,'CDO Bespoke'!$C$33),{5})),"")</f>
        <v/>
      </c>
      <c r="Z210" s="524" t="str" cm="1">
        <f t="array" aca="1" ref="Z210" ca="1">IF($V210&lt;&gt;"",-TRANSPOSE(INDEX(getcds('CDO Bespoke'!$C235,Z$13,'CDO Bespoke'!$G235/10000,'CDO Bespoke'!I235,'CDO Bespoke'!$L211,'CDO Bespoke'!$C$13,'CDO Bespoke'!$C$14,'CDO Bespoke'!$C$15,'CDO Bespoke'!$C$8,,,TRUE,TRUE,FALSE,'CDO Bespoke'!$C$29:'CDO Bespoke'!$C$31,'CDO Bespoke'!$C$33),{5})),"")</f>
        <v/>
      </c>
      <c r="AA210" s="500" t="str" cm="1">
        <f t="array" aca="1" ref="AA210" ca="1">IF($V210&lt;&gt;"",-TRANSPOSE(INDEX(getcds('CDO Bespoke'!$C235,AA$13,'CDO Bespoke'!$G235/10000,'CDO Bespoke'!J235,'CDO Bespoke'!$L211,'CDO Bespoke'!$C$13,'CDO Bespoke'!$C$14,'CDO Bespoke'!$C$15,'CDO Bespoke'!$C$8,,,TRUE,TRUE,FALSE,'CDO Bespoke'!$C$29:'CDO Bespoke'!$C$31,'CDO Bespoke'!$C$33),{5})),"")</f>
        <v/>
      </c>
      <c r="AB210" s="479"/>
      <c r="AC210" s="515"/>
      <c r="AD210" s="516"/>
      <c r="AE210" s="516"/>
      <c r="AF210" s="516"/>
      <c r="AG210" s="516"/>
      <c r="AH210" s="516"/>
      <c r="AI210" s="516"/>
      <c r="AJ210" s="516"/>
      <c r="AK210" s="516"/>
      <c r="AL210" s="517"/>
      <c r="AM210" s="534"/>
    </row>
    <row r="211" spans="2:39" ht="12" thickBot="1">
      <c r="B211" s="557" t="s">
        <v>581</v>
      </c>
      <c r="C211" s="558" t="s">
        <v>66</v>
      </c>
      <c r="D211" s="558" t="s">
        <v>55</v>
      </c>
      <c r="E211" s="558" t="s">
        <v>660</v>
      </c>
      <c r="F211" s="558" t="s">
        <v>668</v>
      </c>
      <c r="G211" s="559">
        <v>0.01</v>
      </c>
      <c r="H211" s="559">
        <v>2.4229999999999998E-3</v>
      </c>
      <c r="I211" s="560">
        <v>0.4</v>
      </c>
      <c r="J211" s="561">
        <v>63</v>
      </c>
      <c r="K211" s="274"/>
      <c r="L211" s="274"/>
      <c r="M211" s="487" t="str">
        <f ca="1">IF('CDO Bespoke'!O212&lt;&gt;"",'CDO Bespoke'!O212,"")</f>
        <v/>
      </c>
      <c r="N211" s="488" t="str">
        <f ca="1">IF(M211&lt;&gt;"",ABS(MIN(-0.75*('CDO Bespoke'!Q212)+'CDO Bespoke'!T212,0)),"")</f>
        <v/>
      </c>
      <c r="O211" s="488">
        <f t="shared" ca="1" si="12"/>
        <v>0</v>
      </c>
      <c r="P211" s="488">
        <f t="shared" ca="1" si="13"/>
        <v>0</v>
      </c>
      <c r="Q211" s="487" t="str">
        <f ca="1">IF('CDO Bespoke'!O212&lt;&gt;"",'CDO Bespoke'!O212,"")</f>
        <v/>
      </c>
      <c r="R211" s="488" t="str">
        <f ca="1">IF(Q211&lt;&gt;"",ABS(MIN(-0.75*('CDO Bespoke'!K212)+'CDO Bespoke'!T212,0)),"")</f>
        <v/>
      </c>
      <c r="S211" s="488">
        <f t="shared" ca="1" si="14"/>
        <v>0</v>
      </c>
      <c r="T211" s="492">
        <f t="shared" ca="1" si="15"/>
        <v>0</v>
      </c>
      <c r="U211" s="274"/>
      <c r="V211" s="497" t="str">
        <f ca="1">IF('CDO Bespoke'!C236&lt;&gt;"",'CDO Bespoke'!C236,"")</f>
        <v/>
      </c>
      <c r="W211" s="499" t="str" cm="1">
        <f t="array" aca="1" ref="W211" ca="1">IF($V211&lt;&gt;"",-TRANSPOSE(INDEX(getcds('CDO Bespoke'!$C236,W$13,'CDO Bespoke'!$G236/10000,'CDO Bespoke'!F236,'CDO Bespoke'!$L212,'CDO Bespoke'!$C$13,'CDO Bespoke'!$C$14,'CDO Bespoke'!$C$15,'CDO Bespoke'!$C$8,,,TRUE,TRUE,FALSE,'CDO Bespoke'!$C$29:'CDO Bespoke'!$C$31,'CDO Bespoke'!$C$33),{5})),"")</f>
        <v/>
      </c>
      <c r="X211" s="524" t="str" cm="1">
        <f t="array" aca="1" ref="X211" ca="1">IF($V211&lt;&gt;"",-TRANSPOSE(INDEX(getcds('CDO Bespoke'!$C236,X$13,'CDO Bespoke'!$G236/10000,'CDO Bespoke'!G236,'CDO Bespoke'!$L212,'CDO Bespoke'!$C$13,'CDO Bespoke'!$C$14,'CDO Bespoke'!$C$15,'CDO Bespoke'!$C$8,,,TRUE,TRUE,FALSE,'CDO Bespoke'!$C$29:'CDO Bespoke'!$C$31,'CDO Bespoke'!$C$33),{5})),"")</f>
        <v/>
      </c>
      <c r="Y211" s="524" t="str" cm="1">
        <f t="array" aca="1" ref="Y211" ca="1">IF($V211&lt;&gt;"",-TRANSPOSE(INDEX(getcds('CDO Bespoke'!$C236,Y$13,'CDO Bespoke'!$G236/10000,'CDO Bespoke'!H236,'CDO Bespoke'!$L212,'CDO Bespoke'!$C$13,'CDO Bespoke'!$C$14,'CDO Bespoke'!$C$15,'CDO Bespoke'!$C$8,,,TRUE,TRUE,FALSE,'CDO Bespoke'!$C$29:'CDO Bespoke'!$C$31,'CDO Bespoke'!$C$33),{5})),"")</f>
        <v/>
      </c>
      <c r="Z211" s="524" t="str" cm="1">
        <f t="array" aca="1" ref="Z211" ca="1">IF($V211&lt;&gt;"",-TRANSPOSE(INDEX(getcds('CDO Bespoke'!$C236,Z$13,'CDO Bespoke'!$G236/10000,'CDO Bespoke'!I236,'CDO Bespoke'!$L212,'CDO Bespoke'!$C$13,'CDO Bespoke'!$C$14,'CDO Bespoke'!$C$15,'CDO Bespoke'!$C$8,,,TRUE,TRUE,FALSE,'CDO Bespoke'!$C$29:'CDO Bespoke'!$C$31,'CDO Bespoke'!$C$33),{5})),"")</f>
        <v/>
      </c>
      <c r="AA211" s="500" t="str" cm="1">
        <f t="array" aca="1" ref="AA211" ca="1">IF($V211&lt;&gt;"",-TRANSPOSE(INDEX(getcds('CDO Bespoke'!$C236,AA$13,'CDO Bespoke'!$G236/10000,'CDO Bespoke'!J236,'CDO Bespoke'!$L212,'CDO Bespoke'!$C$13,'CDO Bespoke'!$C$14,'CDO Bespoke'!$C$15,'CDO Bespoke'!$C$8,,,TRUE,TRUE,FALSE,'CDO Bespoke'!$C$29:'CDO Bespoke'!$C$31,'CDO Bespoke'!$C$33),{5})),"")</f>
        <v/>
      </c>
      <c r="AB211" s="479"/>
      <c r="AC211" s="515"/>
      <c r="AD211" s="516"/>
      <c r="AE211" s="516"/>
      <c r="AF211" s="516"/>
      <c r="AG211" s="516"/>
      <c r="AH211" s="516"/>
      <c r="AI211" s="516"/>
      <c r="AJ211" s="516"/>
      <c r="AK211" s="516"/>
      <c r="AL211" s="517"/>
      <c r="AM211" s="534"/>
    </row>
    <row r="212" spans="2:39" ht="12" thickBot="1">
      <c r="B212" s="535" t="s">
        <v>581</v>
      </c>
      <c r="C212" s="536" t="s">
        <v>66</v>
      </c>
      <c r="D212" s="536" t="s">
        <v>57</v>
      </c>
      <c r="E212" s="536" t="s">
        <v>660</v>
      </c>
      <c r="F212" s="536" t="s">
        <v>668</v>
      </c>
      <c r="G212" s="543">
        <v>0.01</v>
      </c>
      <c r="H212" s="543">
        <v>3.9830000000000004E-3</v>
      </c>
      <c r="I212" s="545">
        <v>0.4</v>
      </c>
      <c r="J212" s="537">
        <v>63</v>
      </c>
      <c r="K212" s="274"/>
      <c r="L212" s="274"/>
      <c r="M212" s="487" t="str">
        <f ca="1">IF('CDO Bespoke'!O213&lt;&gt;"",'CDO Bespoke'!O213,"")</f>
        <v/>
      </c>
      <c r="N212" s="488" t="str">
        <f ca="1">IF(M212&lt;&gt;"",ABS(MIN(-0.75*('CDO Bespoke'!Q213)+'CDO Bespoke'!T213,0)),"")</f>
        <v/>
      </c>
      <c r="O212" s="488">
        <f t="shared" ca="1" si="12"/>
        <v>0</v>
      </c>
      <c r="P212" s="488">
        <f t="shared" ca="1" si="13"/>
        <v>0</v>
      </c>
      <c r="Q212" s="487" t="str">
        <f ca="1">IF('CDO Bespoke'!O213&lt;&gt;"",'CDO Bespoke'!O213,"")</f>
        <v/>
      </c>
      <c r="R212" s="488" t="str">
        <f ca="1">IF(Q212&lt;&gt;"",ABS(MIN(-0.75*('CDO Bespoke'!K213)+'CDO Bespoke'!T213,0)),"")</f>
        <v/>
      </c>
      <c r="S212" s="488">
        <f t="shared" ca="1" si="14"/>
        <v>0</v>
      </c>
      <c r="T212" s="492">
        <f t="shared" ca="1" si="15"/>
        <v>0</v>
      </c>
      <c r="U212" s="274"/>
      <c r="V212" s="497" t="str">
        <f ca="1">IF('CDO Bespoke'!C237&lt;&gt;"",'CDO Bespoke'!C237,"")</f>
        <v/>
      </c>
      <c r="W212" s="499" t="str" cm="1">
        <f t="array" aca="1" ref="W212" ca="1">IF($V212&lt;&gt;"",-TRANSPOSE(INDEX(getcds('CDO Bespoke'!$C237,W$13,'CDO Bespoke'!$G237/10000,'CDO Bespoke'!F237,'CDO Bespoke'!$L213,'CDO Bespoke'!$C$13,'CDO Bespoke'!$C$14,'CDO Bespoke'!$C$15,'CDO Bespoke'!$C$8,,,TRUE,TRUE,FALSE,'CDO Bespoke'!$C$29:'CDO Bespoke'!$C$31,'CDO Bespoke'!$C$33),{5})),"")</f>
        <v/>
      </c>
      <c r="X212" s="524" t="str" cm="1">
        <f t="array" aca="1" ref="X212" ca="1">IF($V212&lt;&gt;"",-TRANSPOSE(INDEX(getcds('CDO Bespoke'!$C237,X$13,'CDO Bespoke'!$G237/10000,'CDO Bespoke'!G237,'CDO Bespoke'!$L213,'CDO Bespoke'!$C$13,'CDO Bespoke'!$C$14,'CDO Bespoke'!$C$15,'CDO Bespoke'!$C$8,,,TRUE,TRUE,FALSE,'CDO Bespoke'!$C$29:'CDO Bespoke'!$C$31,'CDO Bespoke'!$C$33),{5})),"")</f>
        <v/>
      </c>
      <c r="Y212" s="524" t="str" cm="1">
        <f t="array" aca="1" ref="Y212" ca="1">IF($V212&lt;&gt;"",-TRANSPOSE(INDEX(getcds('CDO Bespoke'!$C237,Y$13,'CDO Bespoke'!$G237/10000,'CDO Bespoke'!H237,'CDO Bespoke'!$L213,'CDO Bespoke'!$C$13,'CDO Bespoke'!$C$14,'CDO Bespoke'!$C$15,'CDO Bespoke'!$C$8,,,TRUE,TRUE,FALSE,'CDO Bespoke'!$C$29:'CDO Bespoke'!$C$31,'CDO Bespoke'!$C$33),{5})),"")</f>
        <v/>
      </c>
      <c r="Z212" s="524" t="str" cm="1">
        <f t="array" aca="1" ref="Z212" ca="1">IF($V212&lt;&gt;"",-TRANSPOSE(INDEX(getcds('CDO Bespoke'!$C237,Z$13,'CDO Bespoke'!$G237/10000,'CDO Bespoke'!I237,'CDO Bespoke'!$L213,'CDO Bespoke'!$C$13,'CDO Bespoke'!$C$14,'CDO Bespoke'!$C$15,'CDO Bespoke'!$C$8,,,TRUE,TRUE,FALSE,'CDO Bespoke'!$C$29:'CDO Bespoke'!$C$31,'CDO Bespoke'!$C$33),{5})),"")</f>
        <v/>
      </c>
      <c r="AA212" s="500" t="str" cm="1">
        <f t="array" aca="1" ref="AA212" ca="1">IF($V212&lt;&gt;"",-TRANSPOSE(INDEX(getcds('CDO Bespoke'!$C237,AA$13,'CDO Bespoke'!$G237/10000,'CDO Bespoke'!J237,'CDO Bespoke'!$L213,'CDO Bespoke'!$C$13,'CDO Bespoke'!$C$14,'CDO Bespoke'!$C$15,'CDO Bespoke'!$C$8,,,TRUE,TRUE,FALSE,'CDO Bespoke'!$C$29:'CDO Bespoke'!$C$31,'CDO Bespoke'!$C$33),{5})),"")</f>
        <v/>
      </c>
      <c r="AB212" s="479"/>
      <c r="AC212" s="515"/>
      <c r="AD212" s="516"/>
      <c r="AE212" s="516"/>
      <c r="AF212" s="516"/>
      <c r="AG212" s="516"/>
      <c r="AH212" s="516"/>
      <c r="AI212" s="516"/>
      <c r="AJ212" s="516"/>
      <c r="AK212" s="516"/>
      <c r="AL212" s="517"/>
      <c r="AM212" s="534"/>
    </row>
    <row r="213" spans="2:39" ht="12" thickBot="1">
      <c r="B213" s="552" t="s">
        <v>581</v>
      </c>
      <c r="C213" s="553" t="s">
        <v>66</v>
      </c>
      <c r="D213" s="553" t="s">
        <v>59</v>
      </c>
      <c r="E213" s="553" t="s">
        <v>660</v>
      </c>
      <c r="F213" s="553" t="s">
        <v>668</v>
      </c>
      <c r="G213" s="554">
        <v>0.01</v>
      </c>
      <c r="H213" s="554">
        <v>6.0039999999999998E-3</v>
      </c>
      <c r="I213" s="555">
        <v>0.4</v>
      </c>
      <c r="J213" s="556">
        <v>63</v>
      </c>
      <c r="K213" s="274"/>
      <c r="L213" s="274"/>
      <c r="M213" s="487" t="str">
        <f ca="1">IF('CDO Bespoke'!O214&lt;&gt;"",'CDO Bespoke'!O214,"")</f>
        <v/>
      </c>
      <c r="N213" s="488" t="str">
        <f ca="1">IF(M213&lt;&gt;"",ABS(MIN(-0.75*('CDO Bespoke'!Q214)+'CDO Bespoke'!T214,0)),"")</f>
        <v/>
      </c>
      <c r="O213" s="488">
        <f t="shared" ca="1" si="12"/>
        <v>0</v>
      </c>
      <c r="P213" s="488">
        <f t="shared" ca="1" si="13"/>
        <v>0</v>
      </c>
      <c r="Q213" s="487" t="str">
        <f ca="1">IF('CDO Bespoke'!O214&lt;&gt;"",'CDO Bespoke'!O214,"")</f>
        <v/>
      </c>
      <c r="R213" s="488" t="str">
        <f ca="1">IF(Q213&lt;&gt;"",ABS(MIN(-0.75*('CDO Bespoke'!K214)+'CDO Bespoke'!T214,0)),"")</f>
        <v/>
      </c>
      <c r="S213" s="488">
        <f t="shared" ca="1" si="14"/>
        <v>0</v>
      </c>
      <c r="T213" s="492">
        <f t="shared" ca="1" si="15"/>
        <v>0</v>
      </c>
      <c r="U213" s="274"/>
      <c r="V213" s="497" t="str">
        <f ca="1">IF('CDO Bespoke'!C238&lt;&gt;"",'CDO Bespoke'!C238,"")</f>
        <v/>
      </c>
      <c r="W213" s="499" t="str" cm="1">
        <f t="array" aca="1" ref="W213" ca="1">IF($V213&lt;&gt;"",-TRANSPOSE(INDEX(getcds('CDO Bespoke'!$C238,W$13,'CDO Bespoke'!$G238/10000,'CDO Bespoke'!F238,'CDO Bespoke'!$L214,'CDO Bespoke'!$C$13,'CDO Bespoke'!$C$14,'CDO Bespoke'!$C$15,'CDO Bespoke'!$C$8,,,TRUE,TRUE,FALSE,'CDO Bespoke'!$C$29:'CDO Bespoke'!$C$31,'CDO Bespoke'!$C$33),{5})),"")</f>
        <v/>
      </c>
      <c r="X213" s="524" t="str" cm="1">
        <f t="array" aca="1" ref="X213" ca="1">IF($V213&lt;&gt;"",-TRANSPOSE(INDEX(getcds('CDO Bespoke'!$C238,X$13,'CDO Bespoke'!$G238/10000,'CDO Bespoke'!G238,'CDO Bespoke'!$L214,'CDO Bespoke'!$C$13,'CDO Bespoke'!$C$14,'CDO Bespoke'!$C$15,'CDO Bespoke'!$C$8,,,TRUE,TRUE,FALSE,'CDO Bespoke'!$C$29:'CDO Bespoke'!$C$31,'CDO Bespoke'!$C$33),{5})),"")</f>
        <v/>
      </c>
      <c r="Y213" s="524" t="str" cm="1">
        <f t="array" aca="1" ref="Y213" ca="1">IF($V213&lt;&gt;"",-TRANSPOSE(INDEX(getcds('CDO Bespoke'!$C238,Y$13,'CDO Bespoke'!$G238/10000,'CDO Bespoke'!H238,'CDO Bespoke'!$L214,'CDO Bespoke'!$C$13,'CDO Bespoke'!$C$14,'CDO Bespoke'!$C$15,'CDO Bespoke'!$C$8,,,TRUE,TRUE,FALSE,'CDO Bespoke'!$C$29:'CDO Bespoke'!$C$31,'CDO Bespoke'!$C$33),{5})),"")</f>
        <v/>
      </c>
      <c r="Z213" s="524" t="str" cm="1">
        <f t="array" aca="1" ref="Z213" ca="1">IF($V213&lt;&gt;"",-TRANSPOSE(INDEX(getcds('CDO Bespoke'!$C238,Z$13,'CDO Bespoke'!$G238/10000,'CDO Bespoke'!I238,'CDO Bespoke'!$L214,'CDO Bespoke'!$C$13,'CDO Bespoke'!$C$14,'CDO Bespoke'!$C$15,'CDO Bespoke'!$C$8,,,TRUE,TRUE,FALSE,'CDO Bespoke'!$C$29:'CDO Bespoke'!$C$31,'CDO Bespoke'!$C$33),{5})),"")</f>
        <v/>
      </c>
      <c r="AA213" s="500" t="str" cm="1">
        <f t="array" aca="1" ref="AA213" ca="1">IF($V213&lt;&gt;"",-TRANSPOSE(INDEX(getcds('CDO Bespoke'!$C238,AA$13,'CDO Bespoke'!$G238/10000,'CDO Bespoke'!J238,'CDO Bespoke'!$L214,'CDO Bespoke'!$C$13,'CDO Bespoke'!$C$14,'CDO Bespoke'!$C$15,'CDO Bespoke'!$C$8,,,TRUE,TRUE,FALSE,'CDO Bespoke'!$C$29:'CDO Bespoke'!$C$31,'CDO Bespoke'!$C$33),{5})),"")</f>
        <v/>
      </c>
      <c r="AB213" s="479"/>
      <c r="AC213" s="515"/>
      <c r="AD213" s="516"/>
      <c r="AE213" s="516"/>
      <c r="AF213" s="516"/>
      <c r="AG213" s="516"/>
      <c r="AH213" s="516"/>
      <c r="AI213" s="516"/>
      <c r="AJ213" s="516"/>
      <c r="AK213" s="516"/>
      <c r="AL213" s="517"/>
      <c r="AM213" s="534"/>
    </row>
    <row r="214" spans="2:39" ht="12" thickBot="1">
      <c r="B214" s="557" t="s">
        <v>627</v>
      </c>
      <c r="C214" s="558" t="s">
        <v>66</v>
      </c>
      <c r="D214" s="558" t="s">
        <v>55</v>
      </c>
      <c r="E214" s="558" t="s">
        <v>660</v>
      </c>
      <c r="F214" s="558" t="s">
        <v>668</v>
      </c>
      <c r="G214" s="559">
        <v>0.01</v>
      </c>
      <c r="H214" s="559">
        <v>4.1190000000000003E-3</v>
      </c>
      <c r="I214" s="560">
        <v>0.4</v>
      </c>
      <c r="J214" s="561">
        <v>64</v>
      </c>
      <c r="K214" s="274"/>
      <c r="L214" s="274"/>
      <c r="M214" s="487" t="str">
        <f ca="1">IF('CDO Bespoke'!O215&lt;&gt;"",'CDO Bespoke'!O215,"")</f>
        <v/>
      </c>
      <c r="N214" s="488" t="str">
        <f ca="1">IF(M214&lt;&gt;"",ABS(MIN(-0.75*('CDO Bespoke'!Q215)+'CDO Bespoke'!T215,0)),"")</f>
        <v/>
      </c>
      <c r="O214" s="488">
        <f t="shared" ca="1" si="12"/>
        <v>0</v>
      </c>
      <c r="P214" s="488">
        <f t="shared" ca="1" si="13"/>
        <v>0</v>
      </c>
      <c r="Q214" s="487" t="str">
        <f ca="1">IF('CDO Bespoke'!O215&lt;&gt;"",'CDO Bespoke'!O215,"")</f>
        <v/>
      </c>
      <c r="R214" s="488" t="str">
        <f ca="1">IF(Q214&lt;&gt;"",ABS(MIN(-0.75*('CDO Bespoke'!K215)+'CDO Bespoke'!T215,0)),"")</f>
        <v/>
      </c>
      <c r="S214" s="488">
        <f t="shared" ca="1" si="14"/>
        <v>0</v>
      </c>
      <c r="T214" s="492">
        <f t="shared" ca="1" si="15"/>
        <v>0</v>
      </c>
      <c r="U214" s="274"/>
      <c r="V214" s="497" t="str">
        <f ca="1">IF('CDO Bespoke'!C239&lt;&gt;"",'CDO Bespoke'!C239,"")</f>
        <v/>
      </c>
      <c r="W214" s="499" t="str" cm="1">
        <f t="array" aca="1" ref="W214" ca="1">IF($V214&lt;&gt;"",-TRANSPOSE(INDEX(getcds('CDO Bespoke'!$C239,W$13,'CDO Bespoke'!$G239/10000,'CDO Bespoke'!F239,'CDO Bespoke'!$L215,'CDO Bespoke'!$C$13,'CDO Bespoke'!$C$14,'CDO Bespoke'!$C$15,'CDO Bespoke'!$C$8,,,TRUE,TRUE,FALSE,'CDO Bespoke'!$C$29:'CDO Bespoke'!$C$31,'CDO Bespoke'!$C$33),{5})),"")</f>
        <v/>
      </c>
      <c r="X214" s="524" t="str" cm="1">
        <f t="array" aca="1" ref="X214" ca="1">IF($V214&lt;&gt;"",-TRANSPOSE(INDEX(getcds('CDO Bespoke'!$C239,X$13,'CDO Bespoke'!$G239/10000,'CDO Bespoke'!G239,'CDO Bespoke'!$L215,'CDO Bespoke'!$C$13,'CDO Bespoke'!$C$14,'CDO Bespoke'!$C$15,'CDO Bespoke'!$C$8,,,TRUE,TRUE,FALSE,'CDO Bespoke'!$C$29:'CDO Bespoke'!$C$31,'CDO Bespoke'!$C$33),{5})),"")</f>
        <v/>
      </c>
      <c r="Y214" s="524" t="str" cm="1">
        <f t="array" aca="1" ref="Y214" ca="1">IF($V214&lt;&gt;"",-TRANSPOSE(INDEX(getcds('CDO Bespoke'!$C239,Y$13,'CDO Bespoke'!$G239/10000,'CDO Bespoke'!H239,'CDO Bespoke'!$L215,'CDO Bespoke'!$C$13,'CDO Bespoke'!$C$14,'CDO Bespoke'!$C$15,'CDO Bespoke'!$C$8,,,TRUE,TRUE,FALSE,'CDO Bespoke'!$C$29:'CDO Bespoke'!$C$31,'CDO Bespoke'!$C$33),{5})),"")</f>
        <v/>
      </c>
      <c r="Z214" s="524" t="str" cm="1">
        <f t="array" aca="1" ref="Z214" ca="1">IF($V214&lt;&gt;"",-TRANSPOSE(INDEX(getcds('CDO Bespoke'!$C239,Z$13,'CDO Bespoke'!$G239/10000,'CDO Bespoke'!I239,'CDO Bespoke'!$L215,'CDO Bespoke'!$C$13,'CDO Bespoke'!$C$14,'CDO Bespoke'!$C$15,'CDO Bespoke'!$C$8,,,TRUE,TRUE,FALSE,'CDO Bespoke'!$C$29:'CDO Bespoke'!$C$31,'CDO Bespoke'!$C$33),{5})),"")</f>
        <v/>
      </c>
      <c r="AA214" s="500" t="str" cm="1">
        <f t="array" aca="1" ref="AA214" ca="1">IF($V214&lt;&gt;"",-TRANSPOSE(INDEX(getcds('CDO Bespoke'!$C239,AA$13,'CDO Bespoke'!$G239/10000,'CDO Bespoke'!J239,'CDO Bespoke'!$L215,'CDO Bespoke'!$C$13,'CDO Bespoke'!$C$14,'CDO Bespoke'!$C$15,'CDO Bespoke'!$C$8,,,TRUE,TRUE,FALSE,'CDO Bespoke'!$C$29:'CDO Bespoke'!$C$31,'CDO Bespoke'!$C$33),{5})),"")</f>
        <v/>
      </c>
      <c r="AB214" s="479"/>
      <c r="AC214" s="515"/>
      <c r="AD214" s="516"/>
      <c r="AE214" s="516"/>
      <c r="AF214" s="516"/>
      <c r="AG214" s="516"/>
      <c r="AH214" s="516"/>
      <c r="AI214" s="516"/>
      <c r="AJ214" s="516"/>
      <c r="AK214" s="516"/>
      <c r="AL214" s="517"/>
      <c r="AM214" s="534"/>
    </row>
    <row r="215" spans="2:39" ht="12" thickBot="1">
      <c r="B215" s="535" t="s">
        <v>627</v>
      </c>
      <c r="C215" s="536" t="s">
        <v>66</v>
      </c>
      <c r="D215" s="536" t="s">
        <v>57</v>
      </c>
      <c r="E215" s="536" t="s">
        <v>660</v>
      </c>
      <c r="F215" s="536" t="s">
        <v>668</v>
      </c>
      <c r="G215" s="543">
        <v>0.01</v>
      </c>
      <c r="H215" s="543">
        <v>6.1469999999999997E-3</v>
      </c>
      <c r="I215" s="545">
        <v>0.4</v>
      </c>
      <c r="J215" s="537">
        <v>64</v>
      </c>
      <c r="K215" s="274"/>
      <c r="L215" s="274"/>
      <c r="M215" s="487" t="str">
        <f ca="1">IF('CDO Bespoke'!O216&lt;&gt;"",'CDO Bespoke'!O216,"")</f>
        <v/>
      </c>
      <c r="N215" s="488" t="str">
        <f ca="1">IF(M215&lt;&gt;"",ABS(MIN(-0.75*('CDO Bespoke'!Q216)+'CDO Bespoke'!T216,0)),"")</f>
        <v/>
      </c>
      <c r="O215" s="488">
        <f t="shared" ca="1" si="12"/>
        <v>0</v>
      </c>
      <c r="P215" s="488">
        <f t="shared" ca="1" si="13"/>
        <v>0</v>
      </c>
      <c r="Q215" s="487" t="str">
        <f ca="1">IF('CDO Bespoke'!O216&lt;&gt;"",'CDO Bespoke'!O216,"")</f>
        <v/>
      </c>
      <c r="R215" s="488" t="str">
        <f ca="1">IF(Q215&lt;&gt;"",ABS(MIN(-0.75*('CDO Bespoke'!K216)+'CDO Bespoke'!T216,0)),"")</f>
        <v/>
      </c>
      <c r="S215" s="488">
        <f t="shared" ca="1" si="14"/>
        <v>0</v>
      </c>
      <c r="T215" s="492">
        <f t="shared" ca="1" si="15"/>
        <v>0</v>
      </c>
      <c r="U215" s="274"/>
      <c r="V215" s="497" t="str">
        <f ca="1">IF('CDO Bespoke'!C240&lt;&gt;"",'CDO Bespoke'!C240,"")</f>
        <v/>
      </c>
      <c r="W215" s="499" t="str" cm="1">
        <f t="array" aca="1" ref="W215" ca="1">IF($V215&lt;&gt;"",-TRANSPOSE(INDEX(getcds('CDO Bespoke'!$C240,W$13,'CDO Bespoke'!$G240/10000,'CDO Bespoke'!F240,'CDO Bespoke'!$L216,'CDO Bespoke'!$C$13,'CDO Bespoke'!$C$14,'CDO Bespoke'!$C$15,'CDO Bespoke'!$C$8,,,TRUE,TRUE,FALSE,'CDO Bespoke'!$C$29:'CDO Bespoke'!$C$31,'CDO Bespoke'!$C$33),{5})),"")</f>
        <v/>
      </c>
      <c r="X215" s="524" t="str" cm="1">
        <f t="array" aca="1" ref="X215" ca="1">IF($V215&lt;&gt;"",-TRANSPOSE(INDEX(getcds('CDO Bespoke'!$C240,X$13,'CDO Bespoke'!$G240/10000,'CDO Bespoke'!G240,'CDO Bespoke'!$L216,'CDO Bespoke'!$C$13,'CDO Bespoke'!$C$14,'CDO Bespoke'!$C$15,'CDO Bespoke'!$C$8,,,TRUE,TRUE,FALSE,'CDO Bespoke'!$C$29:'CDO Bespoke'!$C$31,'CDO Bespoke'!$C$33),{5})),"")</f>
        <v/>
      </c>
      <c r="Y215" s="524" t="str" cm="1">
        <f t="array" aca="1" ref="Y215" ca="1">IF($V215&lt;&gt;"",-TRANSPOSE(INDEX(getcds('CDO Bespoke'!$C240,Y$13,'CDO Bespoke'!$G240/10000,'CDO Bespoke'!H240,'CDO Bespoke'!$L216,'CDO Bespoke'!$C$13,'CDO Bespoke'!$C$14,'CDO Bespoke'!$C$15,'CDO Bespoke'!$C$8,,,TRUE,TRUE,FALSE,'CDO Bespoke'!$C$29:'CDO Bespoke'!$C$31,'CDO Bespoke'!$C$33),{5})),"")</f>
        <v/>
      </c>
      <c r="Z215" s="524" t="str" cm="1">
        <f t="array" aca="1" ref="Z215" ca="1">IF($V215&lt;&gt;"",-TRANSPOSE(INDEX(getcds('CDO Bespoke'!$C240,Z$13,'CDO Bespoke'!$G240/10000,'CDO Bespoke'!I240,'CDO Bespoke'!$L216,'CDO Bespoke'!$C$13,'CDO Bespoke'!$C$14,'CDO Bespoke'!$C$15,'CDO Bespoke'!$C$8,,,TRUE,TRUE,FALSE,'CDO Bespoke'!$C$29:'CDO Bespoke'!$C$31,'CDO Bespoke'!$C$33),{5})),"")</f>
        <v/>
      </c>
      <c r="AA215" s="500" t="str" cm="1">
        <f t="array" aca="1" ref="AA215" ca="1">IF($V215&lt;&gt;"",-TRANSPOSE(INDEX(getcds('CDO Bespoke'!$C240,AA$13,'CDO Bespoke'!$G240/10000,'CDO Bespoke'!J240,'CDO Bespoke'!$L216,'CDO Bespoke'!$C$13,'CDO Bespoke'!$C$14,'CDO Bespoke'!$C$15,'CDO Bespoke'!$C$8,,,TRUE,TRUE,FALSE,'CDO Bespoke'!$C$29:'CDO Bespoke'!$C$31,'CDO Bespoke'!$C$33),{5})),"")</f>
        <v/>
      </c>
      <c r="AB215" s="479"/>
      <c r="AC215" s="515"/>
      <c r="AD215" s="516"/>
      <c r="AE215" s="516"/>
      <c r="AF215" s="516"/>
      <c r="AG215" s="516"/>
      <c r="AH215" s="516"/>
      <c r="AI215" s="516"/>
      <c r="AJ215" s="516"/>
      <c r="AK215" s="516"/>
      <c r="AL215" s="517"/>
      <c r="AM215" s="534"/>
    </row>
    <row r="216" spans="2:39" ht="12" thickBot="1">
      <c r="B216" s="552" t="s">
        <v>627</v>
      </c>
      <c r="C216" s="553" t="s">
        <v>66</v>
      </c>
      <c r="D216" s="553" t="s">
        <v>59</v>
      </c>
      <c r="E216" s="553" t="s">
        <v>660</v>
      </c>
      <c r="F216" s="553" t="s">
        <v>668</v>
      </c>
      <c r="G216" s="554">
        <v>0.01</v>
      </c>
      <c r="H216" s="554">
        <v>8.4799999999999997E-3</v>
      </c>
      <c r="I216" s="555">
        <v>0.4</v>
      </c>
      <c r="J216" s="556">
        <v>64</v>
      </c>
      <c r="K216" s="274"/>
      <c r="L216" s="274"/>
      <c r="M216" s="487" t="str">
        <f ca="1">IF('CDO Bespoke'!O217&lt;&gt;"",'CDO Bespoke'!O217,"")</f>
        <v/>
      </c>
      <c r="N216" s="488" t="str">
        <f ca="1">IF(M216&lt;&gt;"",ABS(MIN(-0.75*('CDO Bespoke'!Q217)+'CDO Bespoke'!T217,0)),"")</f>
        <v/>
      </c>
      <c r="O216" s="488">
        <f t="shared" ca="1" si="12"/>
        <v>0</v>
      </c>
      <c r="P216" s="488">
        <f t="shared" ca="1" si="13"/>
        <v>0</v>
      </c>
      <c r="Q216" s="487" t="str">
        <f ca="1">IF('CDO Bespoke'!O217&lt;&gt;"",'CDO Bespoke'!O217,"")</f>
        <v/>
      </c>
      <c r="R216" s="488" t="str">
        <f ca="1">IF(Q216&lt;&gt;"",ABS(MIN(-0.75*('CDO Bespoke'!K217)+'CDO Bespoke'!T217,0)),"")</f>
        <v/>
      </c>
      <c r="S216" s="488">
        <f t="shared" ca="1" si="14"/>
        <v>0</v>
      </c>
      <c r="T216" s="492">
        <f t="shared" ca="1" si="15"/>
        <v>0</v>
      </c>
      <c r="U216" s="274"/>
      <c r="V216" s="497" t="str">
        <f ca="1">IF('CDO Bespoke'!C241&lt;&gt;"",'CDO Bespoke'!C241,"")</f>
        <v/>
      </c>
      <c r="W216" s="499" t="str" cm="1">
        <f t="array" aca="1" ref="W216" ca="1">IF($V216&lt;&gt;"",-TRANSPOSE(INDEX(getcds('CDO Bespoke'!$C241,W$13,'CDO Bespoke'!$G241/10000,'CDO Bespoke'!F241,'CDO Bespoke'!$L217,'CDO Bespoke'!$C$13,'CDO Bespoke'!$C$14,'CDO Bespoke'!$C$15,'CDO Bespoke'!$C$8,,,TRUE,TRUE,FALSE,'CDO Bespoke'!$C$29:'CDO Bespoke'!$C$31,'CDO Bespoke'!$C$33),{5})),"")</f>
        <v/>
      </c>
      <c r="X216" s="524" t="str" cm="1">
        <f t="array" aca="1" ref="X216" ca="1">IF($V216&lt;&gt;"",-TRANSPOSE(INDEX(getcds('CDO Bespoke'!$C241,X$13,'CDO Bespoke'!$G241/10000,'CDO Bespoke'!G241,'CDO Bespoke'!$L217,'CDO Bespoke'!$C$13,'CDO Bespoke'!$C$14,'CDO Bespoke'!$C$15,'CDO Bespoke'!$C$8,,,TRUE,TRUE,FALSE,'CDO Bespoke'!$C$29:'CDO Bespoke'!$C$31,'CDO Bespoke'!$C$33),{5})),"")</f>
        <v/>
      </c>
      <c r="Y216" s="524" t="str" cm="1">
        <f t="array" aca="1" ref="Y216" ca="1">IF($V216&lt;&gt;"",-TRANSPOSE(INDEX(getcds('CDO Bespoke'!$C241,Y$13,'CDO Bespoke'!$G241/10000,'CDO Bespoke'!H241,'CDO Bespoke'!$L217,'CDO Bespoke'!$C$13,'CDO Bespoke'!$C$14,'CDO Bespoke'!$C$15,'CDO Bespoke'!$C$8,,,TRUE,TRUE,FALSE,'CDO Bespoke'!$C$29:'CDO Bespoke'!$C$31,'CDO Bespoke'!$C$33),{5})),"")</f>
        <v/>
      </c>
      <c r="Z216" s="524" t="str" cm="1">
        <f t="array" aca="1" ref="Z216" ca="1">IF($V216&lt;&gt;"",-TRANSPOSE(INDEX(getcds('CDO Bespoke'!$C241,Z$13,'CDO Bespoke'!$G241/10000,'CDO Bespoke'!I241,'CDO Bespoke'!$L217,'CDO Bespoke'!$C$13,'CDO Bespoke'!$C$14,'CDO Bespoke'!$C$15,'CDO Bespoke'!$C$8,,,TRUE,TRUE,FALSE,'CDO Bespoke'!$C$29:'CDO Bespoke'!$C$31,'CDO Bespoke'!$C$33),{5})),"")</f>
        <v/>
      </c>
      <c r="AA216" s="500" t="str" cm="1">
        <f t="array" aca="1" ref="AA216" ca="1">IF($V216&lt;&gt;"",-TRANSPOSE(INDEX(getcds('CDO Bespoke'!$C241,AA$13,'CDO Bespoke'!$G241/10000,'CDO Bespoke'!J241,'CDO Bespoke'!$L217,'CDO Bespoke'!$C$13,'CDO Bespoke'!$C$14,'CDO Bespoke'!$C$15,'CDO Bespoke'!$C$8,,,TRUE,TRUE,FALSE,'CDO Bespoke'!$C$29:'CDO Bespoke'!$C$31,'CDO Bespoke'!$C$33),{5})),"")</f>
        <v/>
      </c>
      <c r="AB216" s="479"/>
      <c r="AC216" s="515"/>
      <c r="AD216" s="516"/>
      <c r="AE216" s="516"/>
      <c r="AF216" s="516"/>
      <c r="AG216" s="516"/>
      <c r="AH216" s="516"/>
      <c r="AI216" s="516"/>
      <c r="AJ216" s="516"/>
      <c r="AK216" s="516"/>
      <c r="AL216" s="517"/>
      <c r="AM216" s="534"/>
    </row>
    <row r="217" spans="2:39" ht="12" thickBot="1">
      <c r="B217" s="557" t="s">
        <v>572</v>
      </c>
      <c r="C217" s="558" t="s">
        <v>66</v>
      </c>
      <c r="D217" s="558" t="s">
        <v>55</v>
      </c>
      <c r="E217" s="558" t="s">
        <v>660</v>
      </c>
      <c r="F217" s="558" t="s">
        <v>668</v>
      </c>
      <c r="G217" s="559">
        <v>0.01</v>
      </c>
      <c r="H217" s="559">
        <v>4.1130000000000003E-3</v>
      </c>
      <c r="I217" s="560">
        <v>0.4</v>
      </c>
      <c r="J217" s="561">
        <v>65</v>
      </c>
      <c r="K217" s="274"/>
      <c r="L217" s="274"/>
      <c r="M217" s="487" t="str">
        <f ca="1">IF('CDO Bespoke'!O218&lt;&gt;"",'CDO Bespoke'!O218,"")</f>
        <v/>
      </c>
      <c r="N217" s="488" t="str">
        <f ca="1">IF(M217&lt;&gt;"",ABS(MIN(-0.75*('CDO Bespoke'!Q218)+'CDO Bespoke'!T218,0)),"")</f>
        <v/>
      </c>
      <c r="O217" s="488">
        <f t="shared" ca="1" si="12"/>
        <v>0</v>
      </c>
      <c r="P217" s="488">
        <f t="shared" ca="1" si="13"/>
        <v>0</v>
      </c>
      <c r="Q217" s="487" t="str">
        <f ca="1">IF('CDO Bespoke'!O218&lt;&gt;"",'CDO Bespoke'!O218,"")</f>
        <v/>
      </c>
      <c r="R217" s="488" t="str">
        <f ca="1">IF(Q217&lt;&gt;"",ABS(MIN(-0.75*('CDO Bespoke'!K218)+'CDO Bespoke'!T218,0)),"")</f>
        <v/>
      </c>
      <c r="S217" s="488">
        <f t="shared" ca="1" si="14"/>
        <v>0</v>
      </c>
      <c r="T217" s="492">
        <f t="shared" ca="1" si="15"/>
        <v>0</v>
      </c>
      <c r="U217" s="274"/>
      <c r="V217" s="497" t="str">
        <f ca="1">IF('CDO Bespoke'!C242&lt;&gt;"",'CDO Bespoke'!C242,"")</f>
        <v/>
      </c>
      <c r="W217" s="499" t="str" cm="1">
        <f t="array" aca="1" ref="W217" ca="1">IF($V217&lt;&gt;"",-TRANSPOSE(INDEX(getcds('CDO Bespoke'!$C242,W$13,'CDO Bespoke'!$G242/10000,'CDO Bespoke'!F242,'CDO Bespoke'!$L218,'CDO Bespoke'!$C$13,'CDO Bespoke'!$C$14,'CDO Bespoke'!$C$15,'CDO Bespoke'!$C$8,,,TRUE,TRUE,FALSE,'CDO Bespoke'!$C$29:'CDO Bespoke'!$C$31,'CDO Bespoke'!$C$33),{5})),"")</f>
        <v/>
      </c>
      <c r="X217" s="524" t="str" cm="1">
        <f t="array" aca="1" ref="X217" ca="1">IF($V217&lt;&gt;"",-TRANSPOSE(INDEX(getcds('CDO Bespoke'!$C242,X$13,'CDO Bespoke'!$G242/10000,'CDO Bespoke'!G242,'CDO Bespoke'!$L218,'CDO Bespoke'!$C$13,'CDO Bespoke'!$C$14,'CDO Bespoke'!$C$15,'CDO Bespoke'!$C$8,,,TRUE,TRUE,FALSE,'CDO Bespoke'!$C$29:'CDO Bespoke'!$C$31,'CDO Bespoke'!$C$33),{5})),"")</f>
        <v/>
      </c>
      <c r="Y217" s="524" t="str" cm="1">
        <f t="array" aca="1" ref="Y217" ca="1">IF($V217&lt;&gt;"",-TRANSPOSE(INDEX(getcds('CDO Bespoke'!$C242,Y$13,'CDO Bespoke'!$G242/10000,'CDO Bespoke'!H242,'CDO Bespoke'!$L218,'CDO Bespoke'!$C$13,'CDO Bespoke'!$C$14,'CDO Bespoke'!$C$15,'CDO Bespoke'!$C$8,,,TRUE,TRUE,FALSE,'CDO Bespoke'!$C$29:'CDO Bespoke'!$C$31,'CDO Bespoke'!$C$33),{5})),"")</f>
        <v/>
      </c>
      <c r="Z217" s="524" t="str" cm="1">
        <f t="array" aca="1" ref="Z217" ca="1">IF($V217&lt;&gt;"",-TRANSPOSE(INDEX(getcds('CDO Bespoke'!$C242,Z$13,'CDO Bespoke'!$G242/10000,'CDO Bespoke'!I242,'CDO Bespoke'!$L218,'CDO Bespoke'!$C$13,'CDO Bespoke'!$C$14,'CDO Bespoke'!$C$15,'CDO Bespoke'!$C$8,,,TRUE,TRUE,FALSE,'CDO Bespoke'!$C$29:'CDO Bespoke'!$C$31,'CDO Bespoke'!$C$33),{5})),"")</f>
        <v/>
      </c>
      <c r="AA217" s="500" t="str" cm="1">
        <f t="array" aca="1" ref="AA217" ca="1">IF($V217&lt;&gt;"",-TRANSPOSE(INDEX(getcds('CDO Bespoke'!$C242,AA$13,'CDO Bespoke'!$G242/10000,'CDO Bespoke'!J242,'CDO Bespoke'!$L218,'CDO Bespoke'!$C$13,'CDO Bespoke'!$C$14,'CDO Bespoke'!$C$15,'CDO Bespoke'!$C$8,,,TRUE,TRUE,FALSE,'CDO Bespoke'!$C$29:'CDO Bespoke'!$C$31,'CDO Bespoke'!$C$33),{5})),"")</f>
        <v/>
      </c>
      <c r="AB217" s="479"/>
      <c r="AC217" s="515"/>
      <c r="AD217" s="516"/>
      <c r="AE217" s="516"/>
      <c r="AF217" s="516"/>
      <c r="AG217" s="516"/>
      <c r="AH217" s="516"/>
      <c r="AI217" s="516"/>
      <c r="AJ217" s="516"/>
      <c r="AK217" s="516"/>
      <c r="AL217" s="517"/>
      <c r="AM217" s="534"/>
    </row>
    <row r="218" spans="2:39" ht="12" thickBot="1">
      <c r="B218" s="535" t="s">
        <v>572</v>
      </c>
      <c r="C218" s="536" t="s">
        <v>66</v>
      </c>
      <c r="D218" s="536" t="s">
        <v>57</v>
      </c>
      <c r="E218" s="536" t="s">
        <v>660</v>
      </c>
      <c r="F218" s="536" t="s">
        <v>668</v>
      </c>
      <c r="G218" s="543">
        <v>0.01</v>
      </c>
      <c r="H218" s="543">
        <v>6.5919999999999998E-3</v>
      </c>
      <c r="I218" s="545">
        <v>0.4</v>
      </c>
      <c r="J218" s="537">
        <v>65</v>
      </c>
      <c r="K218" s="274"/>
      <c r="L218" s="274"/>
      <c r="M218" s="487" t="str">
        <f ca="1">IF('CDO Bespoke'!O219&lt;&gt;"",'CDO Bespoke'!O219,"")</f>
        <v/>
      </c>
      <c r="N218" s="488" t="str">
        <f ca="1">IF(M218&lt;&gt;"",ABS(MIN(-0.75*('CDO Bespoke'!Q219)+'CDO Bespoke'!T219,0)),"")</f>
        <v/>
      </c>
      <c r="O218" s="488">
        <f t="shared" ca="1" si="12"/>
        <v>0</v>
      </c>
      <c r="P218" s="488">
        <f t="shared" ca="1" si="13"/>
        <v>0</v>
      </c>
      <c r="Q218" s="487" t="str">
        <f ca="1">IF('CDO Bespoke'!O219&lt;&gt;"",'CDO Bespoke'!O219,"")</f>
        <v/>
      </c>
      <c r="R218" s="488" t="str">
        <f ca="1">IF(Q218&lt;&gt;"",ABS(MIN(-0.75*('CDO Bespoke'!K219)+'CDO Bespoke'!T219,0)),"")</f>
        <v/>
      </c>
      <c r="S218" s="488">
        <f t="shared" ca="1" si="14"/>
        <v>0</v>
      </c>
      <c r="T218" s="492">
        <f t="shared" ca="1" si="15"/>
        <v>0</v>
      </c>
      <c r="U218" s="274"/>
      <c r="V218" s="497" t="str">
        <f ca="1">IF('CDO Bespoke'!C243&lt;&gt;"",'CDO Bespoke'!C243,"")</f>
        <v/>
      </c>
      <c r="W218" s="499" t="str" cm="1">
        <f t="array" aca="1" ref="W218" ca="1">IF($V218&lt;&gt;"",-TRANSPOSE(INDEX(getcds('CDO Bespoke'!$C243,W$13,'CDO Bespoke'!$G243/10000,'CDO Bespoke'!F243,'CDO Bespoke'!$L219,'CDO Bespoke'!$C$13,'CDO Bespoke'!$C$14,'CDO Bespoke'!$C$15,'CDO Bespoke'!$C$8,,,TRUE,TRUE,FALSE,'CDO Bespoke'!$C$29:'CDO Bespoke'!$C$31,'CDO Bespoke'!$C$33),{5})),"")</f>
        <v/>
      </c>
      <c r="X218" s="524" t="str" cm="1">
        <f t="array" aca="1" ref="X218" ca="1">IF($V218&lt;&gt;"",-TRANSPOSE(INDEX(getcds('CDO Bespoke'!$C243,X$13,'CDO Bespoke'!$G243/10000,'CDO Bespoke'!G243,'CDO Bespoke'!$L219,'CDO Bespoke'!$C$13,'CDO Bespoke'!$C$14,'CDO Bespoke'!$C$15,'CDO Bespoke'!$C$8,,,TRUE,TRUE,FALSE,'CDO Bespoke'!$C$29:'CDO Bespoke'!$C$31,'CDO Bespoke'!$C$33),{5})),"")</f>
        <v/>
      </c>
      <c r="Y218" s="524" t="str" cm="1">
        <f t="array" aca="1" ref="Y218" ca="1">IF($V218&lt;&gt;"",-TRANSPOSE(INDEX(getcds('CDO Bespoke'!$C243,Y$13,'CDO Bespoke'!$G243/10000,'CDO Bespoke'!H243,'CDO Bespoke'!$L219,'CDO Bespoke'!$C$13,'CDO Bespoke'!$C$14,'CDO Bespoke'!$C$15,'CDO Bespoke'!$C$8,,,TRUE,TRUE,FALSE,'CDO Bespoke'!$C$29:'CDO Bespoke'!$C$31,'CDO Bespoke'!$C$33),{5})),"")</f>
        <v/>
      </c>
      <c r="Z218" s="524" t="str" cm="1">
        <f t="array" aca="1" ref="Z218" ca="1">IF($V218&lt;&gt;"",-TRANSPOSE(INDEX(getcds('CDO Bespoke'!$C243,Z$13,'CDO Bespoke'!$G243/10000,'CDO Bespoke'!I243,'CDO Bespoke'!$L219,'CDO Bespoke'!$C$13,'CDO Bespoke'!$C$14,'CDO Bespoke'!$C$15,'CDO Bespoke'!$C$8,,,TRUE,TRUE,FALSE,'CDO Bespoke'!$C$29:'CDO Bespoke'!$C$31,'CDO Bespoke'!$C$33),{5})),"")</f>
        <v/>
      </c>
      <c r="AA218" s="500" t="str" cm="1">
        <f t="array" aca="1" ref="AA218" ca="1">IF($V218&lt;&gt;"",-TRANSPOSE(INDEX(getcds('CDO Bespoke'!$C243,AA$13,'CDO Bespoke'!$G243/10000,'CDO Bespoke'!J243,'CDO Bespoke'!$L219,'CDO Bespoke'!$C$13,'CDO Bespoke'!$C$14,'CDO Bespoke'!$C$15,'CDO Bespoke'!$C$8,,,TRUE,TRUE,FALSE,'CDO Bespoke'!$C$29:'CDO Bespoke'!$C$31,'CDO Bespoke'!$C$33),{5})),"")</f>
        <v/>
      </c>
      <c r="AB218" s="479"/>
      <c r="AC218" s="515"/>
      <c r="AD218" s="516"/>
      <c r="AE218" s="516"/>
      <c r="AF218" s="516"/>
      <c r="AG218" s="516"/>
      <c r="AH218" s="516"/>
      <c r="AI218" s="516"/>
      <c r="AJ218" s="516"/>
      <c r="AK218" s="516"/>
      <c r="AL218" s="517"/>
      <c r="AM218" s="534"/>
    </row>
    <row r="219" spans="2:39" ht="12" thickBot="1">
      <c r="B219" s="552" t="s">
        <v>572</v>
      </c>
      <c r="C219" s="553" t="s">
        <v>66</v>
      </c>
      <c r="D219" s="553" t="s">
        <v>59</v>
      </c>
      <c r="E219" s="553" t="s">
        <v>660</v>
      </c>
      <c r="F219" s="553" t="s">
        <v>668</v>
      </c>
      <c r="G219" s="554">
        <v>0.01</v>
      </c>
      <c r="H219" s="554">
        <v>9.4090000000000007E-3</v>
      </c>
      <c r="I219" s="555">
        <v>0.4</v>
      </c>
      <c r="J219" s="556">
        <v>65</v>
      </c>
      <c r="K219" s="274"/>
      <c r="L219" s="274"/>
      <c r="M219" s="487" t="str">
        <f ca="1">IF('CDO Bespoke'!O220&lt;&gt;"",'CDO Bespoke'!O220,"")</f>
        <v/>
      </c>
      <c r="N219" s="488" t="str">
        <f ca="1">IF(M219&lt;&gt;"",ABS(MIN(-0.75*('CDO Bespoke'!Q220)+'CDO Bespoke'!T220,0)),"")</f>
        <v/>
      </c>
      <c r="O219" s="488">
        <f t="shared" ca="1" si="12"/>
        <v>0</v>
      </c>
      <c r="P219" s="488">
        <f t="shared" ca="1" si="13"/>
        <v>0</v>
      </c>
      <c r="Q219" s="487" t="str">
        <f ca="1">IF('CDO Bespoke'!O220&lt;&gt;"",'CDO Bespoke'!O220,"")</f>
        <v/>
      </c>
      <c r="R219" s="488" t="str">
        <f ca="1">IF(Q219&lt;&gt;"",ABS(MIN(-0.75*('CDO Bespoke'!K220)+'CDO Bespoke'!T220,0)),"")</f>
        <v/>
      </c>
      <c r="S219" s="488">
        <f t="shared" ca="1" si="14"/>
        <v>0</v>
      </c>
      <c r="T219" s="492">
        <f t="shared" ca="1" si="15"/>
        <v>0</v>
      </c>
      <c r="U219" s="274"/>
      <c r="V219" s="497" t="str">
        <f ca="1">IF('CDO Bespoke'!C244&lt;&gt;"",'CDO Bespoke'!C244,"")</f>
        <v/>
      </c>
      <c r="W219" s="499" t="str" cm="1">
        <f t="array" aca="1" ref="W219" ca="1">IF($V219&lt;&gt;"",-TRANSPOSE(INDEX(getcds('CDO Bespoke'!$C244,W$13,'CDO Bespoke'!$G244/10000,'CDO Bespoke'!F244,'CDO Bespoke'!$L220,'CDO Bespoke'!$C$13,'CDO Bespoke'!$C$14,'CDO Bespoke'!$C$15,'CDO Bespoke'!$C$8,,,TRUE,TRUE,FALSE,'CDO Bespoke'!$C$29:'CDO Bespoke'!$C$31,'CDO Bespoke'!$C$33),{5})),"")</f>
        <v/>
      </c>
      <c r="X219" s="524" t="str" cm="1">
        <f t="array" aca="1" ref="X219" ca="1">IF($V219&lt;&gt;"",-TRANSPOSE(INDEX(getcds('CDO Bespoke'!$C244,X$13,'CDO Bespoke'!$G244/10000,'CDO Bespoke'!G244,'CDO Bespoke'!$L220,'CDO Bespoke'!$C$13,'CDO Bespoke'!$C$14,'CDO Bespoke'!$C$15,'CDO Bespoke'!$C$8,,,TRUE,TRUE,FALSE,'CDO Bespoke'!$C$29:'CDO Bespoke'!$C$31,'CDO Bespoke'!$C$33),{5})),"")</f>
        <v/>
      </c>
      <c r="Y219" s="524" t="str" cm="1">
        <f t="array" aca="1" ref="Y219" ca="1">IF($V219&lt;&gt;"",-TRANSPOSE(INDEX(getcds('CDO Bespoke'!$C244,Y$13,'CDO Bespoke'!$G244/10000,'CDO Bespoke'!H244,'CDO Bespoke'!$L220,'CDO Bespoke'!$C$13,'CDO Bespoke'!$C$14,'CDO Bespoke'!$C$15,'CDO Bespoke'!$C$8,,,TRUE,TRUE,FALSE,'CDO Bespoke'!$C$29:'CDO Bespoke'!$C$31,'CDO Bespoke'!$C$33),{5})),"")</f>
        <v/>
      </c>
      <c r="Z219" s="524" t="str" cm="1">
        <f t="array" aca="1" ref="Z219" ca="1">IF($V219&lt;&gt;"",-TRANSPOSE(INDEX(getcds('CDO Bespoke'!$C244,Z$13,'CDO Bespoke'!$G244/10000,'CDO Bespoke'!I244,'CDO Bespoke'!$L220,'CDO Bespoke'!$C$13,'CDO Bespoke'!$C$14,'CDO Bespoke'!$C$15,'CDO Bespoke'!$C$8,,,TRUE,TRUE,FALSE,'CDO Bespoke'!$C$29:'CDO Bespoke'!$C$31,'CDO Bespoke'!$C$33),{5})),"")</f>
        <v/>
      </c>
      <c r="AA219" s="500" t="str" cm="1">
        <f t="array" aca="1" ref="AA219" ca="1">IF($V219&lt;&gt;"",-TRANSPOSE(INDEX(getcds('CDO Bespoke'!$C244,AA$13,'CDO Bespoke'!$G244/10000,'CDO Bespoke'!J244,'CDO Bespoke'!$L220,'CDO Bespoke'!$C$13,'CDO Bespoke'!$C$14,'CDO Bespoke'!$C$15,'CDO Bespoke'!$C$8,,,TRUE,TRUE,FALSE,'CDO Bespoke'!$C$29:'CDO Bespoke'!$C$31,'CDO Bespoke'!$C$33),{5})),"")</f>
        <v/>
      </c>
      <c r="AB219" s="479"/>
      <c r="AC219" s="515"/>
      <c r="AD219" s="516"/>
      <c r="AE219" s="516"/>
      <c r="AF219" s="516"/>
      <c r="AG219" s="516"/>
      <c r="AH219" s="516"/>
      <c r="AI219" s="516"/>
      <c r="AJ219" s="516"/>
      <c r="AK219" s="516"/>
      <c r="AL219" s="517"/>
      <c r="AM219" s="534"/>
    </row>
    <row r="220" spans="2:39" ht="12" thickBot="1">
      <c r="B220" s="557" t="s">
        <v>582</v>
      </c>
      <c r="C220" s="558" t="s">
        <v>66</v>
      </c>
      <c r="D220" s="558" t="s">
        <v>55</v>
      </c>
      <c r="E220" s="558" t="s">
        <v>660</v>
      </c>
      <c r="F220" s="558" t="s">
        <v>668</v>
      </c>
      <c r="G220" s="559">
        <v>0.01</v>
      </c>
      <c r="H220" s="559">
        <v>3.3249999999999998E-3</v>
      </c>
      <c r="I220" s="560">
        <v>0.4</v>
      </c>
      <c r="J220" s="561">
        <v>66</v>
      </c>
      <c r="K220" s="274"/>
      <c r="L220" s="274"/>
      <c r="M220" s="487" t="str">
        <f ca="1">IF('CDO Bespoke'!O221&lt;&gt;"",'CDO Bespoke'!O221,"")</f>
        <v/>
      </c>
      <c r="N220" s="488" t="str">
        <f ca="1">IF(M220&lt;&gt;"",ABS(MIN(-0.75*('CDO Bespoke'!Q221)+'CDO Bespoke'!T221,0)),"")</f>
        <v/>
      </c>
      <c r="O220" s="488">
        <f t="shared" ca="1" si="12"/>
        <v>0</v>
      </c>
      <c r="P220" s="488">
        <f t="shared" ca="1" si="13"/>
        <v>0</v>
      </c>
      <c r="Q220" s="487" t="str">
        <f ca="1">IF('CDO Bespoke'!O221&lt;&gt;"",'CDO Bespoke'!O221,"")</f>
        <v/>
      </c>
      <c r="R220" s="488" t="str">
        <f ca="1">IF(Q220&lt;&gt;"",ABS(MIN(-0.75*('CDO Bespoke'!K221)+'CDO Bespoke'!T221,0)),"")</f>
        <v/>
      </c>
      <c r="S220" s="488">
        <f t="shared" ca="1" si="14"/>
        <v>0</v>
      </c>
      <c r="T220" s="492">
        <f t="shared" ca="1" si="15"/>
        <v>0</v>
      </c>
      <c r="U220" s="274"/>
      <c r="V220" s="497" t="str">
        <f ca="1">IF('CDO Bespoke'!C245&lt;&gt;"",'CDO Bespoke'!C245,"")</f>
        <v/>
      </c>
      <c r="W220" s="499" t="str" cm="1">
        <f t="array" aca="1" ref="W220" ca="1">IF($V220&lt;&gt;"",-TRANSPOSE(INDEX(getcds('CDO Bespoke'!$C245,W$13,'CDO Bespoke'!$G245/10000,'CDO Bespoke'!F245,'CDO Bespoke'!$L221,'CDO Bespoke'!$C$13,'CDO Bespoke'!$C$14,'CDO Bespoke'!$C$15,'CDO Bespoke'!$C$8,,,TRUE,TRUE,FALSE,'CDO Bespoke'!$C$29:'CDO Bespoke'!$C$31,'CDO Bespoke'!$C$33),{5})),"")</f>
        <v/>
      </c>
      <c r="X220" s="524" t="str" cm="1">
        <f t="array" aca="1" ref="X220" ca="1">IF($V220&lt;&gt;"",-TRANSPOSE(INDEX(getcds('CDO Bespoke'!$C245,X$13,'CDO Bespoke'!$G245/10000,'CDO Bespoke'!G245,'CDO Bespoke'!$L221,'CDO Bespoke'!$C$13,'CDO Bespoke'!$C$14,'CDO Bespoke'!$C$15,'CDO Bespoke'!$C$8,,,TRUE,TRUE,FALSE,'CDO Bespoke'!$C$29:'CDO Bespoke'!$C$31,'CDO Bespoke'!$C$33),{5})),"")</f>
        <v/>
      </c>
      <c r="Y220" s="524" t="str" cm="1">
        <f t="array" aca="1" ref="Y220" ca="1">IF($V220&lt;&gt;"",-TRANSPOSE(INDEX(getcds('CDO Bespoke'!$C245,Y$13,'CDO Bespoke'!$G245/10000,'CDO Bespoke'!H245,'CDO Bespoke'!$L221,'CDO Bespoke'!$C$13,'CDO Bespoke'!$C$14,'CDO Bespoke'!$C$15,'CDO Bespoke'!$C$8,,,TRUE,TRUE,FALSE,'CDO Bespoke'!$C$29:'CDO Bespoke'!$C$31,'CDO Bespoke'!$C$33),{5})),"")</f>
        <v/>
      </c>
      <c r="Z220" s="524" t="str" cm="1">
        <f t="array" aca="1" ref="Z220" ca="1">IF($V220&lt;&gt;"",-TRANSPOSE(INDEX(getcds('CDO Bespoke'!$C245,Z$13,'CDO Bespoke'!$G245/10000,'CDO Bespoke'!I245,'CDO Bespoke'!$L221,'CDO Bespoke'!$C$13,'CDO Bespoke'!$C$14,'CDO Bespoke'!$C$15,'CDO Bespoke'!$C$8,,,TRUE,TRUE,FALSE,'CDO Bespoke'!$C$29:'CDO Bespoke'!$C$31,'CDO Bespoke'!$C$33),{5})),"")</f>
        <v/>
      </c>
      <c r="AA220" s="500" t="str" cm="1">
        <f t="array" aca="1" ref="AA220" ca="1">IF($V220&lt;&gt;"",-TRANSPOSE(INDEX(getcds('CDO Bespoke'!$C245,AA$13,'CDO Bespoke'!$G245/10000,'CDO Bespoke'!J245,'CDO Bespoke'!$L221,'CDO Bespoke'!$C$13,'CDO Bespoke'!$C$14,'CDO Bespoke'!$C$15,'CDO Bespoke'!$C$8,,,TRUE,TRUE,FALSE,'CDO Bespoke'!$C$29:'CDO Bespoke'!$C$31,'CDO Bespoke'!$C$33),{5})),"")</f>
        <v/>
      </c>
      <c r="AB220" s="479"/>
      <c r="AC220" s="515"/>
      <c r="AD220" s="516"/>
      <c r="AE220" s="516"/>
      <c r="AF220" s="516"/>
      <c r="AG220" s="516"/>
      <c r="AH220" s="516"/>
      <c r="AI220" s="516"/>
      <c r="AJ220" s="516"/>
      <c r="AK220" s="516"/>
      <c r="AL220" s="517"/>
      <c r="AM220" s="534"/>
    </row>
    <row r="221" spans="2:39" ht="12" thickBot="1">
      <c r="B221" s="535" t="s">
        <v>582</v>
      </c>
      <c r="C221" s="536" t="s">
        <v>66</v>
      </c>
      <c r="D221" s="536" t="s">
        <v>57</v>
      </c>
      <c r="E221" s="536" t="s">
        <v>660</v>
      </c>
      <c r="F221" s="536" t="s">
        <v>668</v>
      </c>
      <c r="G221" s="543">
        <v>0.01</v>
      </c>
      <c r="H221" s="543">
        <v>6.195E-3</v>
      </c>
      <c r="I221" s="545">
        <v>0.4</v>
      </c>
      <c r="J221" s="537">
        <v>66</v>
      </c>
      <c r="K221" s="274"/>
      <c r="L221" s="274"/>
      <c r="M221" s="487" t="str">
        <f ca="1">IF('CDO Bespoke'!O222&lt;&gt;"",'CDO Bespoke'!O222,"")</f>
        <v/>
      </c>
      <c r="N221" s="488" t="str">
        <f ca="1">IF(M221&lt;&gt;"",ABS(MIN(-0.75*('CDO Bespoke'!Q222)+'CDO Bespoke'!T222,0)),"")</f>
        <v/>
      </c>
      <c r="O221" s="488">
        <f t="shared" ca="1" si="12"/>
        <v>0</v>
      </c>
      <c r="P221" s="488">
        <f t="shared" ca="1" si="13"/>
        <v>0</v>
      </c>
      <c r="Q221" s="487" t="str">
        <f ca="1">IF('CDO Bespoke'!O222&lt;&gt;"",'CDO Bespoke'!O222,"")</f>
        <v/>
      </c>
      <c r="R221" s="488" t="str">
        <f ca="1">IF(Q221&lt;&gt;"",ABS(MIN(-0.75*('CDO Bespoke'!K222)+'CDO Bespoke'!T222,0)),"")</f>
        <v/>
      </c>
      <c r="S221" s="488">
        <f t="shared" ca="1" si="14"/>
        <v>0</v>
      </c>
      <c r="T221" s="492">
        <f t="shared" ca="1" si="15"/>
        <v>0</v>
      </c>
      <c r="U221" s="274"/>
      <c r="V221" s="497" t="str">
        <f ca="1">IF('CDO Bespoke'!C246&lt;&gt;"",'CDO Bespoke'!C246,"")</f>
        <v/>
      </c>
      <c r="W221" s="499" t="str" cm="1">
        <f t="array" aca="1" ref="W221" ca="1">IF($V221&lt;&gt;"",-TRANSPOSE(INDEX(getcds('CDO Bespoke'!$C246,W$13,'CDO Bespoke'!$G246/10000,'CDO Bespoke'!F246,'CDO Bespoke'!$L222,'CDO Bespoke'!$C$13,'CDO Bespoke'!$C$14,'CDO Bespoke'!$C$15,'CDO Bespoke'!$C$8,,,TRUE,TRUE,FALSE,'CDO Bespoke'!$C$29:'CDO Bespoke'!$C$31,'CDO Bespoke'!$C$33),{5})),"")</f>
        <v/>
      </c>
      <c r="X221" s="524" t="str" cm="1">
        <f t="array" aca="1" ref="X221" ca="1">IF($V221&lt;&gt;"",-TRANSPOSE(INDEX(getcds('CDO Bespoke'!$C246,X$13,'CDO Bespoke'!$G246/10000,'CDO Bespoke'!G246,'CDO Bespoke'!$L222,'CDO Bespoke'!$C$13,'CDO Bespoke'!$C$14,'CDO Bespoke'!$C$15,'CDO Bespoke'!$C$8,,,TRUE,TRUE,FALSE,'CDO Bespoke'!$C$29:'CDO Bespoke'!$C$31,'CDO Bespoke'!$C$33),{5})),"")</f>
        <v/>
      </c>
      <c r="Y221" s="524" t="str" cm="1">
        <f t="array" aca="1" ref="Y221" ca="1">IF($V221&lt;&gt;"",-TRANSPOSE(INDEX(getcds('CDO Bespoke'!$C246,Y$13,'CDO Bespoke'!$G246/10000,'CDO Bespoke'!H246,'CDO Bespoke'!$L222,'CDO Bespoke'!$C$13,'CDO Bespoke'!$C$14,'CDO Bespoke'!$C$15,'CDO Bespoke'!$C$8,,,TRUE,TRUE,FALSE,'CDO Bespoke'!$C$29:'CDO Bespoke'!$C$31,'CDO Bespoke'!$C$33),{5})),"")</f>
        <v/>
      </c>
      <c r="Z221" s="524" t="str" cm="1">
        <f t="array" aca="1" ref="Z221" ca="1">IF($V221&lt;&gt;"",-TRANSPOSE(INDEX(getcds('CDO Bespoke'!$C246,Z$13,'CDO Bespoke'!$G246/10000,'CDO Bespoke'!I246,'CDO Bespoke'!$L222,'CDO Bespoke'!$C$13,'CDO Bespoke'!$C$14,'CDO Bespoke'!$C$15,'CDO Bespoke'!$C$8,,,TRUE,TRUE,FALSE,'CDO Bespoke'!$C$29:'CDO Bespoke'!$C$31,'CDO Bespoke'!$C$33),{5})),"")</f>
        <v/>
      </c>
      <c r="AA221" s="500" t="str" cm="1">
        <f t="array" aca="1" ref="AA221" ca="1">IF($V221&lt;&gt;"",-TRANSPOSE(INDEX(getcds('CDO Bespoke'!$C246,AA$13,'CDO Bespoke'!$G246/10000,'CDO Bespoke'!J246,'CDO Bespoke'!$L222,'CDO Bespoke'!$C$13,'CDO Bespoke'!$C$14,'CDO Bespoke'!$C$15,'CDO Bespoke'!$C$8,,,TRUE,TRUE,FALSE,'CDO Bespoke'!$C$29:'CDO Bespoke'!$C$31,'CDO Bespoke'!$C$33),{5})),"")</f>
        <v/>
      </c>
      <c r="AB221" s="479"/>
      <c r="AC221" s="515"/>
      <c r="AD221" s="516"/>
      <c r="AE221" s="516"/>
      <c r="AF221" s="516"/>
      <c r="AG221" s="516"/>
      <c r="AH221" s="516"/>
      <c r="AI221" s="516"/>
      <c r="AJ221" s="516"/>
      <c r="AK221" s="516"/>
      <c r="AL221" s="517"/>
      <c r="AM221" s="534"/>
    </row>
    <row r="222" spans="2:39" ht="12" thickBot="1">
      <c r="B222" s="552" t="s">
        <v>582</v>
      </c>
      <c r="C222" s="553" t="s">
        <v>66</v>
      </c>
      <c r="D222" s="553" t="s">
        <v>59</v>
      </c>
      <c r="E222" s="553" t="s">
        <v>660</v>
      </c>
      <c r="F222" s="553" t="s">
        <v>668</v>
      </c>
      <c r="G222" s="554">
        <v>0.01</v>
      </c>
      <c r="H222" s="554">
        <v>9.2610000000000001E-3</v>
      </c>
      <c r="I222" s="555">
        <v>0.4</v>
      </c>
      <c r="J222" s="556">
        <v>66</v>
      </c>
      <c r="K222" s="274"/>
      <c r="L222" s="274"/>
      <c r="M222" s="487" t="str">
        <f ca="1">IF('CDO Bespoke'!O223&lt;&gt;"",'CDO Bespoke'!O223,"")</f>
        <v/>
      </c>
      <c r="N222" s="488" t="str">
        <f ca="1">IF(M222&lt;&gt;"",ABS(MIN(-0.75*('CDO Bespoke'!Q223)+'CDO Bespoke'!T223,0)),"")</f>
        <v/>
      </c>
      <c r="O222" s="488">
        <f t="shared" ca="1" si="12"/>
        <v>0</v>
      </c>
      <c r="P222" s="488">
        <f t="shared" ca="1" si="13"/>
        <v>0</v>
      </c>
      <c r="Q222" s="487" t="str">
        <f ca="1">IF('CDO Bespoke'!O223&lt;&gt;"",'CDO Bespoke'!O223,"")</f>
        <v/>
      </c>
      <c r="R222" s="488" t="str">
        <f ca="1">IF(Q222&lt;&gt;"",ABS(MIN(-0.75*('CDO Bespoke'!K223)+'CDO Bespoke'!T223,0)),"")</f>
        <v/>
      </c>
      <c r="S222" s="488">
        <f t="shared" ca="1" si="14"/>
        <v>0</v>
      </c>
      <c r="T222" s="492">
        <f t="shared" ca="1" si="15"/>
        <v>0</v>
      </c>
      <c r="U222" s="274"/>
      <c r="V222" s="497" t="str">
        <f ca="1">IF('CDO Bespoke'!C247&lt;&gt;"",'CDO Bespoke'!C247,"")</f>
        <v/>
      </c>
      <c r="W222" s="499" t="str" cm="1">
        <f t="array" aca="1" ref="W222" ca="1">IF($V222&lt;&gt;"",-TRANSPOSE(INDEX(getcds('CDO Bespoke'!$C247,W$13,'CDO Bespoke'!$G247/10000,'CDO Bespoke'!F247,'CDO Bespoke'!$L223,'CDO Bespoke'!$C$13,'CDO Bespoke'!$C$14,'CDO Bespoke'!$C$15,'CDO Bespoke'!$C$8,,,TRUE,TRUE,FALSE,'CDO Bespoke'!$C$29:'CDO Bespoke'!$C$31,'CDO Bespoke'!$C$33),{5})),"")</f>
        <v/>
      </c>
      <c r="X222" s="524" t="str" cm="1">
        <f t="array" aca="1" ref="X222" ca="1">IF($V222&lt;&gt;"",-TRANSPOSE(INDEX(getcds('CDO Bespoke'!$C247,X$13,'CDO Bespoke'!$G247/10000,'CDO Bespoke'!G247,'CDO Bespoke'!$L223,'CDO Bespoke'!$C$13,'CDO Bespoke'!$C$14,'CDO Bespoke'!$C$15,'CDO Bespoke'!$C$8,,,TRUE,TRUE,FALSE,'CDO Bespoke'!$C$29:'CDO Bespoke'!$C$31,'CDO Bespoke'!$C$33),{5})),"")</f>
        <v/>
      </c>
      <c r="Y222" s="524" t="str" cm="1">
        <f t="array" aca="1" ref="Y222" ca="1">IF($V222&lt;&gt;"",-TRANSPOSE(INDEX(getcds('CDO Bespoke'!$C247,Y$13,'CDO Bespoke'!$G247/10000,'CDO Bespoke'!H247,'CDO Bespoke'!$L223,'CDO Bespoke'!$C$13,'CDO Bespoke'!$C$14,'CDO Bespoke'!$C$15,'CDO Bespoke'!$C$8,,,TRUE,TRUE,FALSE,'CDO Bespoke'!$C$29:'CDO Bespoke'!$C$31,'CDO Bespoke'!$C$33),{5})),"")</f>
        <v/>
      </c>
      <c r="Z222" s="524" t="str" cm="1">
        <f t="array" aca="1" ref="Z222" ca="1">IF($V222&lt;&gt;"",-TRANSPOSE(INDEX(getcds('CDO Bespoke'!$C247,Z$13,'CDO Bespoke'!$G247/10000,'CDO Bespoke'!I247,'CDO Bespoke'!$L223,'CDO Bespoke'!$C$13,'CDO Bespoke'!$C$14,'CDO Bespoke'!$C$15,'CDO Bespoke'!$C$8,,,TRUE,TRUE,FALSE,'CDO Bespoke'!$C$29:'CDO Bespoke'!$C$31,'CDO Bespoke'!$C$33),{5})),"")</f>
        <v/>
      </c>
      <c r="AA222" s="500" t="str" cm="1">
        <f t="array" aca="1" ref="AA222" ca="1">IF($V222&lt;&gt;"",-TRANSPOSE(INDEX(getcds('CDO Bespoke'!$C247,AA$13,'CDO Bespoke'!$G247/10000,'CDO Bespoke'!J247,'CDO Bespoke'!$L223,'CDO Bespoke'!$C$13,'CDO Bespoke'!$C$14,'CDO Bespoke'!$C$15,'CDO Bespoke'!$C$8,,,TRUE,TRUE,FALSE,'CDO Bespoke'!$C$29:'CDO Bespoke'!$C$31,'CDO Bespoke'!$C$33),{5})),"")</f>
        <v/>
      </c>
      <c r="AB222" s="479"/>
      <c r="AC222" s="515"/>
      <c r="AD222" s="516"/>
      <c r="AE222" s="516"/>
      <c r="AF222" s="516"/>
      <c r="AG222" s="516"/>
      <c r="AH222" s="516"/>
      <c r="AI222" s="516"/>
      <c r="AJ222" s="516"/>
      <c r="AK222" s="516"/>
      <c r="AL222" s="517"/>
      <c r="AM222" s="534"/>
    </row>
    <row r="223" spans="2:39" ht="12" thickBot="1">
      <c r="B223" s="557" t="s">
        <v>573</v>
      </c>
      <c r="C223" s="558" t="s">
        <v>66</v>
      </c>
      <c r="D223" s="558" t="s">
        <v>55</v>
      </c>
      <c r="E223" s="558" t="s">
        <v>660</v>
      </c>
      <c r="F223" s="558" t="s">
        <v>668</v>
      </c>
      <c r="G223" s="559">
        <v>0.01</v>
      </c>
      <c r="H223" s="559">
        <v>2.6879999999999999E-3</v>
      </c>
      <c r="I223" s="560">
        <v>0.4</v>
      </c>
      <c r="J223" s="561">
        <v>67</v>
      </c>
      <c r="K223" s="274"/>
      <c r="L223" s="274"/>
      <c r="M223" s="487" t="str">
        <f ca="1">IF('CDO Bespoke'!O224&lt;&gt;"",'CDO Bespoke'!O224,"")</f>
        <v/>
      </c>
      <c r="N223" s="488" t="str">
        <f ca="1">IF(M223&lt;&gt;"",ABS(MIN(-0.75*('CDO Bespoke'!Q224)+'CDO Bespoke'!T224,0)),"")</f>
        <v/>
      </c>
      <c r="O223" s="488">
        <f t="shared" ca="1" si="12"/>
        <v>0</v>
      </c>
      <c r="P223" s="488">
        <f t="shared" ca="1" si="13"/>
        <v>0</v>
      </c>
      <c r="Q223" s="487" t="str">
        <f ca="1">IF('CDO Bespoke'!O224&lt;&gt;"",'CDO Bespoke'!O224,"")</f>
        <v/>
      </c>
      <c r="R223" s="488" t="str">
        <f ca="1">IF(Q223&lt;&gt;"",ABS(MIN(-0.75*('CDO Bespoke'!K224)+'CDO Bespoke'!T224,0)),"")</f>
        <v/>
      </c>
      <c r="S223" s="488">
        <f t="shared" ca="1" si="14"/>
        <v>0</v>
      </c>
      <c r="T223" s="492">
        <f t="shared" ca="1" si="15"/>
        <v>0</v>
      </c>
      <c r="U223" s="274"/>
      <c r="V223" s="497" t="str">
        <f ca="1">IF('CDO Bespoke'!C248&lt;&gt;"",'CDO Bespoke'!C248,"")</f>
        <v/>
      </c>
      <c r="W223" s="499" t="str" cm="1">
        <f t="array" aca="1" ref="W223" ca="1">IF($V223&lt;&gt;"",-TRANSPOSE(INDEX(getcds('CDO Bespoke'!$C248,W$13,'CDO Bespoke'!$G248/10000,'CDO Bespoke'!F248,'CDO Bespoke'!$L224,'CDO Bespoke'!$C$13,'CDO Bespoke'!$C$14,'CDO Bespoke'!$C$15,'CDO Bespoke'!$C$8,,,TRUE,TRUE,FALSE,'CDO Bespoke'!$C$29:'CDO Bespoke'!$C$31,'CDO Bespoke'!$C$33),{5})),"")</f>
        <v/>
      </c>
      <c r="X223" s="524" t="str" cm="1">
        <f t="array" aca="1" ref="X223" ca="1">IF($V223&lt;&gt;"",-TRANSPOSE(INDEX(getcds('CDO Bespoke'!$C248,X$13,'CDO Bespoke'!$G248/10000,'CDO Bespoke'!G248,'CDO Bespoke'!$L224,'CDO Bespoke'!$C$13,'CDO Bespoke'!$C$14,'CDO Bespoke'!$C$15,'CDO Bespoke'!$C$8,,,TRUE,TRUE,FALSE,'CDO Bespoke'!$C$29:'CDO Bespoke'!$C$31,'CDO Bespoke'!$C$33),{5})),"")</f>
        <v/>
      </c>
      <c r="Y223" s="524" t="str" cm="1">
        <f t="array" aca="1" ref="Y223" ca="1">IF($V223&lt;&gt;"",-TRANSPOSE(INDEX(getcds('CDO Bespoke'!$C248,Y$13,'CDO Bespoke'!$G248/10000,'CDO Bespoke'!H248,'CDO Bespoke'!$L224,'CDO Bespoke'!$C$13,'CDO Bespoke'!$C$14,'CDO Bespoke'!$C$15,'CDO Bespoke'!$C$8,,,TRUE,TRUE,FALSE,'CDO Bespoke'!$C$29:'CDO Bespoke'!$C$31,'CDO Bespoke'!$C$33),{5})),"")</f>
        <v/>
      </c>
      <c r="Z223" s="524" t="str" cm="1">
        <f t="array" aca="1" ref="Z223" ca="1">IF($V223&lt;&gt;"",-TRANSPOSE(INDEX(getcds('CDO Bespoke'!$C248,Z$13,'CDO Bespoke'!$G248/10000,'CDO Bespoke'!I248,'CDO Bespoke'!$L224,'CDO Bespoke'!$C$13,'CDO Bespoke'!$C$14,'CDO Bespoke'!$C$15,'CDO Bespoke'!$C$8,,,TRUE,TRUE,FALSE,'CDO Bespoke'!$C$29:'CDO Bespoke'!$C$31,'CDO Bespoke'!$C$33),{5})),"")</f>
        <v/>
      </c>
      <c r="AA223" s="500" t="str" cm="1">
        <f t="array" aca="1" ref="AA223" ca="1">IF($V223&lt;&gt;"",-TRANSPOSE(INDEX(getcds('CDO Bespoke'!$C248,AA$13,'CDO Bespoke'!$G248/10000,'CDO Bespoke'!J248,'CDO Bespoke'!$L224,'CDO Bespoke'!$C$13,'CDO Bespoke'!$C$14,'CDO Bespoke'!$C$15,'CDO Bespoke'!$C$8,,,TRUE,TRUE,FALSE,'CDO Bespoke'!$C$29:'CDO Bespoke'!$C$31,'CDO Bespoke'!$C$33),{5})),"")</f>
        <v/>
      </c>
      <c r="AB223" s="479"/>
      <c r="AC223" s="515"/>
      <c r="AD223" s="516"/>
      <c r="AE223" s="516"/>
      <c r="AF223" s="516"/>
      <c r="AG223" s="516"/>
      <c r="AH223" s="516"/>
      <c r="AI223" s="516"/>
      <c r="AJ223" s="516"/>
      <c r="AK223" s="516"/>
      <c r="AL223" s="517"/>
      <c r="AM223" s="534"/>
    </row>
    <row r="224" spans="2:39" ht="12" thickBot="1">
      <c r="B224" s="535" t="s">
        <v>573</v>
      </c>
      <c r="C224" s="536" t="s">
        <v>66</v>
      </c>
      <c r="D224" s="536" t="s">
        <v>57</v>
      </c>
      <c r="E224" s="536" t="s">
        <v>660</v>
      </c>
      <c r="F224" s="536" t="s">
        <v>668</v>
      </c>
      <c r="G224" s="543">
        <v>0.01</v>
      </c>
      <c r="H224" s="543">
        <v>4.4660000000000004E-3</v>
      </c>
      <c r="I224" s="545">
        <v>0.4</v>
      </c>
      <c r="J224" s="537">
        <v>67</v>
      </c>
      <c r="K224" s="274"/>
      <c r="L224" s="274"/>
      <c r="M224" s="487" t="str">
        <f ca="1">IF('CDO Bespoke'!O225&lt;&gt;"",'CDO Bespoke'!O225,"")</f>
        <v/>
      </c>
      <c r="N224" s="488" t="str">
        <f ca="1">IF(M224&lt;&gt;"",ABS(MIN(-0.75*('CDO Bespoke'!Q225)+'CDO Bespoke'!T225,0)),"")</f>
        <v/>
      </c>
      <c r="O224" s="488">
        <f t="shared" ca="1" si="12"/>
        <v>0</v>
      </c>
      <c r="P224" s="488">
        <f t="shared" ca="1" si="13"/>
        <v>0</v>
      </c>
      <c r="Q224" s="487" t="str">
        <f ca="1">IF('CDO Bespoke'!O225&lt;&gt;"",'CDO Bespoke'!O225,"")</f>
        <v/>
      </c>
      <c r="R224" s="488" t="str">
        <f ca="1">IF(Q224&lt;&gt;"",ABS(MIN(-0.75*('CDO Bespoke'!K225)+'CDO Bespoke'!T225,0)),"")</f>
        <v/>
      </c>
      <c r="S224" s="488">
        <f t="shared" ca="1" si="14"/>
        <v>0</v>
      </c>
      <c r="T224" s="492">
        <f t="shared" ca="1" si="15"/>
        <v>0</v>
      </c>
      <c r="U224" s="274"/>
      <c r="V224" s="497" t="str">
        <f ca="1">IF('CDO Bespoke'!C249&lt;&gt;"",'CDO Bespoke'!C249,"")</f>
        <v/>
      </c>
      <c r="W224" s="499" t="str" cm="1">
        <f t="array" aca="1" ref="W224" ca="1">IF($V224&lt;&gt;"",-TRANSPOSE(INDEX(getcds('CDO Bespoke'!$C249,W$13,'CDO Bespoke'!$G249/10000,'CDO Bespoke'!F249,'CDO Bespoke'!$L225,'CDO Bespoke'!$C$13,'CDO Bespoke'!$C$14,'CDO Bespoke'!$C$15,'CDO Bespoke'!$C$8,,,TRUE,TRUE,FALSE,'CDO Bespoke'!$C$29:'CDO Bespoke'!$C$31,'CDO Bespoke'!$C$33),{5})),"")</f>
        <v/>
      </c>
      <c r="X224" s="524" t="str" cm="1">
        <f t="array" aca="1" ref="X224" ca="1">IF($V224&lt;&gt;"",-TRANSPOSE(INDEX(getcds('CDO Bespoke'!$C249,X$13,'CDO Bespoke'!$G249/10000,'CDO Bespoke'!G249,'CDO Bespoke'!$L225,'CDO Bespoke'!$C$13,'CDO Bespoke'!$C$14,'CDO Bespoke'!$C$15,'CDO Bespoke'!$C$8,,,TRUE,TRUE,FALSE,'CDO Bespoke'!$C$29:'CDO Bespoke'!$C$31,'CDO Bespoke'!$C$33),{5})),"")</f>
        <v/>
      </c>
      <c r="Y224" s="524" t="str" cm="1">
        <f t="array" aca="1" ref="Y224" ca="1">IF($V224&lt;&gt;"",-TRANSPOSE(INDEX(getcds('CDO Bespoke'!$C249,Y$13,'CDO Bespoke'!$G249/10000,'CDO Bespoke'!H249,'CDO Bespoke'!$L225,'CDO Bespoke'!$C$13,'CDO Bespoke'!$C$14,'CDO Bespoke'!$C$15,'CDO Bespoke'!$C$8,,,TRUE,TRUE,FALSE,'CDO Bespoke'!$C$29:'CDO Bespoke'!$C$31,'CDO Bespoke'!$C$33),{5})),"")</f>
        <v/>
      </c>
      <c r="Z224" s="524" t="str" cm="1">
        <f t="array" aca="1" ref="Z224" ca="1">IF($V224&lt;&gt;"",-TRANSPOSE(INDEX(getcds('CDO Bespoke'!$C249,Z$13,'CDO Bespoke'!$G249/10000,'CDO Bespoke'!I249,'CDO Bespoke'!$L225,'CDO Bespoke'!$C$13,'CDO Bespoke'!$C$14,'CDO Bespoke'!$C$15,'CDO Bespoke'!$C$8,,,TRUE,TRUE,FALSE,'CDO Bespoke'!$C$29:'CDO Bespoke'!$C$31,'CDO Bespoke'!$C$33),{5})),"")</f>
        <v/>
      </c>
      <c r="AA224" s="500" t="str" cm="1">
        <f t="array" aca="1" ref="AA224" ca="1">IF($V224&lt;&gt;"",-TRANSPOSE(INDEX(getcds('CDO Bespoke'!$C249,AA$13,'CDO Bespoke'!$G249/10000,'CDO Bespoke'!J249,'CDO Bespoke'!$L225,'CDO Bespoke'!$C$13,'CDO Bespoke'!$C$14,'CDO Bespoke'!$C$15,'CDO Bespoke'!$C$8,,,TRUE,TRUE,FALSE,'CDO Bespoke'!$C$29:'CDO Bespoke'!$C$31,'CDO Bespoke'!$C$33),{5})),"")</f>
        <v/>
      </c>
      <c r="AB224" s="479"/>
      <c r="AC224" s="515"/>
      <c r="AD224" s="516"/>
      <c r="AE224" s="516"/>
      <c r="AF224" s="516"/>
      <c r="AG224" s="516"/>
      <c r="AH224" s="516"/>
      <c r="AI224" s="516"/>
      <c r="AJ224" s="516"/>
      <c r="AK224" s="516"/>
      <c r="AL224" s="517"/>
      <c r="AM224" s="534"/>
    </row>
    <row r="225" spans="2:39" ht="12" thickBot="1">
      <c r="B225" s="552" t="s">
        <v>573</v>
      </c>
      <c r="C225" s="553" t="s">
        <v>66</v>
      </c>
      <c r="D225" s="553" t="s">
        <v>59</v>
      </c>
      <c r="E225" s="553" t="s">
        <v>660</v>
      </c>
      <c r="F225" s="553" t="s">
        <v>668</v>
      </c>
      <c r="G225" s="554">
        <v>0.01</v>
      </c>
      <c r="H225" s="554">
        <v>5.9670000000000001E-3</v>
      </c>
      <c r="I225" s="555">
        <v>0.4</v>
      </c>
      <c r="J225" s="556">
        <v>67</v>
      </c>
      <c r="K225" s="274"/>
      <c r="L225" s="274"/>
      <c r="M225" s="487" t="str">
        <f ca="1">IF('CDO Bespoke'!O226&lt;&gt;"",'CDO Bespoke'!O226,"")</f>
        <v/>
      </c>
      <c r="N225" s="488" t="str">
        <f ca="1">IF(M225&lt;&gt;"",ABS(MIN(-0.75*('CDO Bespoke'!Q226)+'CDO Bespoke'!T226,0)),"")</f>
        <v/>
      </c>
      <c r="O225" s="488">
        <f t="shared" ca="1" si="12"/>
        <v>0</v>
      </c>
      <c r="P225" s="488">
        <f t="shared" ca="1" si="13"/>
        <v>0</v>
      </c>
      <c r="Q225" s="487" t="str">
        <f ca="1">IF('CDO Bespoke'!O226&lt;&gt;"",'CDO Bespoke'!O226,"")</f>
        <v/>
      </c>
      <c r="R225" s="488" t="str">
        <f ca="1">IF(Q225&lt;&gt;"",ABS(MIN(-0.75*('CDO Bespoke'!K226)+'CDO Bespoke'!T226,0)),"")</f>
        <v/>
      </c>
      <c r="S225" s="488">
        <f t="shared" ca="1" si="14"/>
        <v>0</v>
      </c>
      <c r="T225" s="492">
        <f t="shared" ca="1" si="15"/>
        <v>0</v>
      </c>
      <c r="U225" s="274"/>
      <c r="V225" s="497" t="str">
        <f ca="1">IF('CDO Bespoke'!C250&lt;&gt;"",'CDO Bespoke'!C250,"")</f>
        <v/>
      </c>
      <c r="W225" s="499" t="str" cm="1">
        <f t="array" aca="1" ref="W225" ca="1">IF($V225&lt;&gt;"",-TRANSPOSE(INDEX(getcds('CDO Bespoke'!$C250,W$13,'CDO Bespoke'!$G250/10000,'CDO Bespoke'!F250,'CDO Bespoke'!$L226,'CDO Bespoke'!$C$13,'CDO Bespoke'!$C$14,'CDO Bespoke'!$C$15,'CDO Bespoke'!$C$8,,,TRUE,TRUE,FALSE,'CDO Bespoke'!$C$29:'CDO Bespoke'!$C$31,'CDO Bespoke'!$C$33),{5})),"")</f>
        <v/>
      </c>
      <c r="X225" s="524" t="str" cm="1">
        <f t="array" aca="1" ref="X225" ca="1">IF($V225&lt;&gt;"",-TRANSPOSE(INDEX(getcds('CDO Bespoke'!$C250,X$13,'CDO Bespoke'!$G250/10000,'CDO Bespoke'!G250,'CDO Bespoke'!$L226,'CDO Bespoke'!$C$13,'CDO Bespoke'!$C$14,'CDO Bespoke'!$C$15,'CDO Bespoke'!$C$8,,,TRUE,TRUE,FALSE,'CDO Bespoke'!$C$29:'CDO Bespoke'!$C$31,'CDO Bespoke'!$C$33),{5})),"")</f>
        <v/>
      </c>
      <c r="Y225" s="524" t="str" cm="1">
        <f t="array" aca="1" ref="Y225" ca="1">IF($V225&lt;&gt;"",-TRANSPOSE(INDEX(getcds('CDO Bespoke'!$C250,Y$13,'CDO Bespoke'!$G250/10000,'CDO Bespoke'!H250,'CDO Bespoke'!$L226,'CDO Bespoke'!$C$13,'CDO Bespoke'!$C$14,'CDO Bespoke'!$C$15,'CDO Bespoke'!$C$8,,,TRUE,TRUE,FALSE,'CDO Bespoke'!$C$29:'CDO Bespoke'!$C$31,'CDO Bespoke'!$C$33),{5})),"")</f>
        <v/>
      </c>
      <c r="Z225" s="524" t="str" cm="1">
        <f t="array" aca="1" ref="Z225" ca="1">IF($V225&lt;&gt;"",-TRANSPOSE(INDEX(getcds('CDO Bespoke'!$C250,Z$13,'CDO Bespoke'!$G250/10000,'CDO Bespoke'!I250,'CDO Bespoke'!$L226,'CDO Bespoke'!$C$13,'CDO Bespoke'!$C$14,'CDO Bespoke'!$C$15,'CDO Bespoke'!$C$8,,,TRUE,TRUE,FALSE,'CDO Bespoke'!$C$29:'CDO Bespoke'!$C$31,'CDO Bespoke'!$C$33),{5})),"")</f>
        <v/>
      </c>
      <c r="AA225" s="500" t="str" cm="1">
        <f t="array" aca="1" ref="AA225" ca="1">IF($V225&lt;&gt;"",-TRANSPOSE(INDEX(getcds('CDO Bespoke'!$C250,AA$13,'CDO Bespoke'!$G250/10000,'CDO Bespoke'!J250,'CDO Bespoke'!$L226,'CDO Bespoke'!$C$13,'CDO Bespoke'!$C$14,'CDO Bespoke'!$C$15,'CDO Bespoke'!$C$8,,,TRUE,TRUE,FALSE,'CDO Bespoke'!$C$29:'CDO Bespoke'!$C$31,'CDO Bespoke'!$C$33),{5})),"")</f>
        <v/>
      </c>
      <c r="AB225" s="479"/>
      <c r="AC225" s="515"/>
      <c r="AD225" s="516"/>
      <c r="AE225" s="516"/>
      <c r="AF225" s="516"/>
      <c r="AG225" s="516"/>
      <c r="AH225" s="516"/>
      <c r="AI225" s="516"/>
      <c r="AJ225" s="516"/>
      <c r="AK225" s="516"/>
      <c r="AL225" s="517"/>
      <c r="AM225" s="534"/>
    </row>
    <row r="226" spans="2:39" ht="12" thickBot="1">
      <c r="B226" s="557" t="s">
        <v>574</v>
      </c>
      <c r="C226" s="558" t="s">
        <v>66</v>
      </c>
      <c r="D226" s="558" t="s">
        <v>55</v>
      </c>
      <c r="E226" s="558" t="s">
        <v>658</v>
      </c>
      <c r="F226" s="558" t="s">
        <v>667</v>
      </c>
      <c r="G226" s="559">
        <v>0.01</v>
      </c>
      <c r="H226" s="559">
        <v>3.4719999999999998E-3</v>
      </c>
      <c r="I226" s="560">
        <v>0.4</v>
      </c>
      <c r="J226" s="561">
        <v>68</v>
      </c>
      <c r="K226" s="274"/>
      <c r="L226" s="274"/>
      <c r="M226" s="487" t="str">
        <f ca="1">IF('CDO Bespoke'!O227&lt;&gt;"",'CDO Bespoke'!O227,"")</f>
        <v/>
      </c>
      <c r="N226" s="488" t="str">
        <f ca="1">IF(M226&lt;&gt;"",ABS(MIN(-0.75*('CDO Bespoke'!Q227)+'CDO Bespoke'!T227,0)),"")</f>
        <v/>
      </c>
      <c r="O226" s="488">
        <f t="shared" ca="1" si="12"/>
        <v>0</v>
      </c>
      <c r="P226" s="488">
        <f t="shared" ca="1" si="13"/>
        <v>0</v>
      </c>
      <c r="Q226" s="487" t="str">
        <f ca="1">IF('CDO Bespoke'!O227&lt;&gt;"",'CDO Bespoke'!O227,"")</f>
        <v/>
      </c>
      <c r="R226" s="488" t="str">
        <f ca="1">IF(Q226&lt;&gt;"",ABS(MIN(-0.75*('CDO Bespoke'!K227)+'CDO Bespoke'!T227,0)),"")</f>
        <v/>
      </c>
      <c r="S226" s="488">
        <f t="shared" ca="1" si="14"/>
        <v>0</v>
      </c>
      <c r="T226" s="492">
        <f t="shared" ca="1" si="15"/>
        <v>0</v>
      </c>
      <c r="U226" s="274"/>
      <c r="V226" s="497" t="str">
        <f ca="1">IF('CDO Bespoke'!C251&lt;&gt;"",'CDO Bespoke'!C251,"")</f>
        <v/>
      </c>
      <c r="W226" s="499" t="str" cm="1">
        <f t="array" aca="1" ref="W226" ca="1">IF($V226&lt;&gt;"",-TRANSPOSE(INDEX(getcds('CDO Bespoke'!$C251,W$13,'CDO Bespoke'!$G251/10000,'CDO Bespoke'!F251,'CDO Bespoke'!$L227,'CDO Bespoke'!$C$13,'CDO Bespoke'!$C$14,'CDO Bespoke'!$C$15,'CDO Bespoke'!$C$8,,,TRUE,TRUE,FALSE,'CDO Bespoke'!$C$29:'CDO Bespoke'!$C$31,'CDO Bespoke'!$C$33),{5})),"")</f>
        <v/>
      </c>
      <c r="X226" s="524" t="str" cm="1">
        <f t="array" aca="1" ref="X226" ca="1">IF($V226&lt;&gt;"",-TRANSPOSE(INDEX(getcds('CDO Bespoke'!$C251,X$13,'CDO Bespoke'!$G251/10000,'CDO Bespoke'!G251,'CDO Bespoke'!$L227,'CDO Bespoke'!$C$13,'CDO Bespoke'!$C$14,'CDO Bespoke'!$C$15,'CDO Bespoke'!$C$8,,,TRUE,TRUE,FALSE,'CDO Bespoke'!$C$29:'CDO Bespoke'!$C$31,'CDO Bespoke'!$C$33),{5})),"")</f>
        <v/>
      </c>
      <c r="Y226" s="524" t="str" cm="1">
        <f t="array" aca="1" ref="Y226" ca="1">IF($V226&lt;&gt;"",-TRANSPOSE(INDEX(getcds('CDO Bespoke'!$C251,Y$13,'CDO Bespoke'!$G251/10000,'CDO Bespoke'!H251,'CDO Bespoke'!$L227,'CDO Bespoke'!$C$13,'CDO Bespoke'!$C$14,'CDO Bespoke'!$C$15,'CDO Bespoke'!$C$8,,,TRUE,TRUE,FALSE,'CDO Bespoke'!$C$29:'CDO Bespoke'!$C$31,'CDO Bespoke'!$C$33),{5})),"")</f>
        <v/>
      </c>
      <c r="Z226" s="524" t="str" cm="1">
        <f t="array" aca="1" ref="Z226" ca="1">IF($V226&lt;&gt;"",-TRANSPOSE(INDEX(getcds('CDO Bespoke'!$C251,Z$13,'CDO Bespoke'!$G251/10000,'CDO Bespoke'!I251,'CDO Bespoke'!$L227,'CDO Bespoke'!$C$13,'CDO Bespoke'!$C$14,'CDO Bespoke'!$C$15,'CDO Bespoke'!$C$8,,,TRUE,TRUE,FALSE,'CDO Bespoke'!$C$29:'CDO Bespoke'!$C$31,'CDO Bespoke'!$C$33),{5})),"")</f>
        <v/>
      </c>
      <c r="AA226" s="500" t="str" cm="1">
        <f t="array" aca="1" ref="AA226" ca="1">IF($V226&lt;&gt;"",-TRANSPOSE(INDEX(getcds('CDO Bespoke'!$C251,AA$13,'CDO Bespoke'!$G251/10000,'CDO Bespoke'!J251,'CDO Bespoke'!$L227,'CDO Bespoke'!$C$13,'CDO Bespoke'!$C$14,'CDO Bespoke'!$C$15,'CDO Bespoke'!$C$8,,,TRUE,TRUE,FALSE,'CDO Bespoke'!$C$29:'CDO Bespoke'!$C$31,'CDO Bespoke'!$C$33),{5})),"")</f>
        <v/>
      </c>
      <c r="AB226" s="479"/>
      <c r="AC226" s="515"/>
      <c r="AD226" s="516"/>
      <c r="AE226" s="516"/>
      <c r="AF226" s="516"/>
      <c r="AG226" s="516"/>
      <c r="AH226" s="516"/>
      <c r="AI226" s="516"/>
      <c r="AJ226" s="516"/>
      <c r="AK226" s="516"/>
      <c r="AL226" s="517"/>
      <c r="AM226" s="534"/>
    </row>
    <row r="227" spans="2:39" ht="12" thickBot="1">
      <c r="B227" s="535" t="s">
        <v>574</v>
      </c>
      <c r="C227" s="536" t="s">
        <v>66</v>
      </c>
      <c r="D227" s="536" t="s">
        <v>57</v>
      </c>
      <c r="E227" s="536" t="s">
        <v>658</v>
      </c>
      <c r="F227" s="536" t="s">
        <v>667</v>
      </c>
      <c r="G227" s="543">
        <v>0.01</v>
      </c>
      <c r="H227" s="543">
        <v>5.6010000000000001E-3</v>
      </c>
      <c r="I227" s="545">
        <v>0.4</v>
      </c>
      <c r="J227" s="537">
        <v>68</v>
      </c>
      <c r="K227" s="274"/>
      <c r="L227" s="274"/>
      <c r="M227" s="487" t="str">
        <f ca="1">IF('CDO Bespoke'!O228&lt;&gt;"",'CDO Bespoke'!O228,"")</f>
        <v/>
      </c>
      <c r="N227" s="488" t="str">
        <f ca="1">IF(M227&lt;&gt;"",ABS(MIN(-0.75*('CDO Bespoke'!Q228)+'CDO Bespoke'!T228,0)),"")</f>
        <v/>
      </c>
      <c r="O227" s="488">
        <f t="shared" ca="1" si="12"/>
        <v>0</v>
      </c>
      <c r="P227" s="488">
        <f t="shared" ca="1" si="13"/>
        <v>0</v>
      </c>
      <c r="Q227" s="487" t="str">
        <f ca="1">IF('CDO Bespoke'!O228&lt;&gt;"",'CDO Bespoke'!O228,"")</f>
        <v/>
      </c>
      <c r="R227" s="488" t="str">
        <f ca="1">IF(Q227&lt;&gt;"",ABS(MIN(-0.75*('CDO Bespoke'!K228)+'CDO Bespoke'!T228,0)),"")</f>
        <v/>
      </c>
      <c r="S227" s="488">
        <f t="shared" ca="1" si="14"/>
        <v>0</v>
      </c>
      <c r="T227" s="492">
        <f t="shared" ca="1" si="15"/>
        <v>0</v>
      </c>
      <c r="U227" s="274"/>
      <c r="V227" s="497" t="str">
        <f ca="1">IF('CDO Bespoke'!C252&lt;&gt;"",'CDO Bespoke'!C252,"")</f>
        <v/>
      </c>
      <c r="W227" s="499" t="str" cm="1">
        <f t="array" aca="1" ref="W227" ca="1">IF($V227&lt;&gt;"",-TRANSPOSE(INDEX(getcds('CDO Bespoke'!$C252,W$13,'CDO Bespoke'!$G252/10000,'CDO Bespoke'!F252,'CDO Bespoke'!$L228,'CDO Bespoke'!$C$13,'CDO Bespoke'!$C$14,'CDO Bespoke'!$C$15,'CDO Bespoke'!$C$8,,,TRUE,TRUE,FALSE,'CDO Bespoke'!$C$29:'CDO Bespoke'!$C$31,'CDO Bespoke'!$C$33),{5})),"")</f>
        <v/>
      </c>
      <c r="X227" s="524" t="str" cm="1">
        <f t="array" aca="1" ref="X227" ca="1">IF($V227&lt;&gt;"",-TRANSPOSE(INDEX(getcds('CDO Bespoke'!$C252,X$13,'CDO Bespoke'!$G252/10000,'CDO Bespoke'!G252,'CDO Bespoke'!$L228,'CDO Bespoke'!$C$13,'CDO Bespoke'!$C$14,'CDO Bespoke'!$C$15,'CDO Bespoke'!$C$8,,,TRUE,TRUE,FALSE,'CDO Bespoke'!$C$29:'CDO Bespoke'!$C$31,'CDO Bespoke'!$C$33),{5})),"")</f>
        <v/>
      </c>
      <c r="Y227" s="524" t="str" cm="1">
        <f t="array" aca="1" ref="Y227" ca="1">IF($V227&lt;&gt;"",-TRANSPOSE(INDEX(getcds('CDO Bespoke'!$C252,Y$13,'CDO Bespoke'!$G252/10000,'CDO Bespoke'!H252,'CDO Bespoke'!$L228,'CDO Bespoke'!$C$13,'CDO Bespoke'!$C$14,'CDO Bespoke'!$C$15,'CDO Bespoke'!$C$8,,,TRUE,TRUE,FALSE,'CDO Bespoke'!$C$29:'CDO Bespoke'!$C$31,'CDO Bespoke'!$C$33),{5})),"")</f>
        <v/>
      </c>
      <c r="Z227" s="524" t="str" cm="1">
        <f t="array" aca="1" ref="Z227" ca="1">IF($V227&lt;&gt;"",-TRANSPOSE(INDEX(getcds('CDO Bespoke'!$C252,Z$13,'CDO Bespoke'!$G252/10000,'CDO Bespoke'!I252,'CDO Bespoke'!$L228,'CDO Bespoke'!$C$13,'CDO Bespoke'!$C$14,'CDO Bespoke'!$C$15,'CDO Bespoke'!$C$8,,,TRUE,TRUE,FALSE,'CDO Bespoke'!$C$29:'CDO Bespoke'!$C$31,'CDO Bespoke'!$C$33),{5})),"")</f>
        <v/>
      </c>
      <c r="AA227" s="500" t="str" cm="1">
        <f t="array" aca="1" ref="AA227" ca="1">IF($V227&lt;&gt;"",-TRANSPOSE(INDEX(getcds('CDO Bespoke'!$C252,AA$13,'CDO Bespoke'!$G252/10000,'CDO Bespoke'!J252,'CDO Bespoke'!$L228,'CDO Bespoke'!$C$13,'CDO Bespoke'!$C$14,'CDO Bespoke'!$C$15,'CDO Bespoke'!$C$8,,,TRUE,TRUE,FALSE,'CDO Bespoke'!$C$29:'CDO Bespoke'!$C$31,'CDO Bespoke'!$C$33),{5})),"")</f>
        <v/>
      </c>
      <c r="AB227" s="479"/>
      <c r="AC227" s="515"/>
      <c r="AD227" s="516"/>
      <c r="AE227" s="516"/>
      <c r="AF227" s="516"/>
      <c r="AG227" s="516"/>
      <c r="AH227" s="516"/>
      <c r="AI227" s="516"/>
      <c r="AJ227" s="516"/>
      <c r="AK227" s="516"/>
      <c r="AL227" s="517"/>
      <c r="AM227" s="534"/>
    </row>
    <row r="228" spans="2:39" ht="12" thickBot="1">
      <c r="B228" s="552" t="s">
        <v>574</v>
      </c>
      <c r="C228" s="553" t="s">
        <v>66</v>
      </c>
      <c r="D228" s="553" t="s">
        <v>59</v>
      </c>
      <c r="E228" s="553" t="s">
        <v>658</v>
      </c>
      <c r="F228" s="553" t="s">
        <v>667</v>
      </c>
      <c r="G228" s="554">
        <v>0.01</v>
      </c>
      <c r="H228" s="554">
        <v>7.7669999999999996E-3</v>
      </c>
      <c r="I228" s="555">
        <v>0.4</v>
      </c>
      <c r="J228" s="556">
        <v>68</v>
      </c>
      <c r="K228" s="274"/>
      <c r="L228" s="274"/>
      <c r="M228" s="487" t="str">
        <f ca="1">IF('CDO Bespoke'!O229&lt;&gt;"",'CDO Bespoke'!O229,"")</f>
        <v/>
      </c>
      <c r="N228" s="488" t="str">
        <f ca="1">IF(M228&lt;&gt;"",ABS(MIN(-0.75*('CDO Bespoke'!Q229)+'CDO Bespoke'!T229,0)),"")</f>
        <v/>
      </c>
      <c r="O228" s="488">
        <f t="shared" ca="1" si="12"/>
        <v>0</v>
      </c>
      <c r="P228" s="488">
        <f t="shared" ca="1" si="13"/>
        <v>0</v>
      </c>
      <c r="Q228" s="487" t="str">
        <f ca="1">IF('CDO Bespoke'!O229&lt;&gt;"",'CDO Bespoke'!O229,"")</f>
        <v/>
      </c>
      <c r="R228" s="488" t="str">
        <f ca="1">IF(Q228&lt;&gt;"",ABS(MIN(-0.75*('CDO Bespoke'!K229)+'CDO Bespoke'!T229,0)),"")</f>
        <v/>
      </c>
      <c r="S228" s="488">
        <f t="shared" ca="1" si="14"/>
        <v>0</v>
      </c>
      <c r="T228" s="492">
        <f t="shared" ca="1" si="15"/>
        <v>0</v>
      </c>
      <c r="U228" s="274"/>
      <c r="V228" s="497" t="str">
        <f ca="1">IF('CDO Bespoke'!C253&lt;&gt;"",'CDO Bespoke'!C253,"")</f>
        <v/>
      </c>
      <c r="W228" s="499" t="str" cm="1">
        <f t="array" aca="1" ref="W228" ca="1">IF($V228&lt;&gt;"",-TRANSPOSE(INDEX(getcds('CDO Bespoke'!$C253,W$13,'CDO Bespoke'!$G253/10000,'CDO Bespoke'!F253,'CDO Bespoke'!$L229,'CDO Bespoke'!$C$13,'CDO Bespoke'!$C$14,'CDO Bespoke'!$C$15,'CDO Bespoke'!$C$8,,,TRUE,TRUE,FALSE,'CDO Bespoke'!$C$29:'CDO Bespoke'!$C$31,'CDO Bespoke'!$C$33),{5})),"")</f>
        <v/>
      </c>
      <c r="X228" s="524" t="str" cm="1">
        <f t="array" aca="1" ref="X228" ca="1">IF($V228&lt;&gt;"",-TRANSPOSE(INDEX(getcds('CDO Bespoke'!$C253,X$13,'CDO Bespoke'!$G253/10000,'CDO Bespoke'!G253,'CDO Bespoke'!$L229,'CDO Bespoke'!$C$13,'CDO Bespoke'!$C$14,'CDO Bespoke'!$C$15,'CDO Bespoke'!$C$8,,,TRUE,TRUE,FALSE,'CDO Bespoke'!$C$29:'CDO Bespoke'!$C$31,'CDO Bespoke'!$C$33),{5})),"")</f>
        <v/>
      </c>
      <c r="Y228" s="524" t="str" cm="1">
        <f t="array" aca="1" ref="Y228" ca="1">IF($V228&lt;&gt;"",-TRANSPOSE(INDEX(getcds('CDO Bespoke'!$C253,Y$13,'CDO Bespoke'!$G253/10000,'CDO Bespoke'!H253,'CDO Bespoke'!$L229,'CDO Bespoke'!$C$13,'CDO Bespoke'!$C$14,'CDO Bespoke'!$C$15,'CDO Bespoke'!$C$8,,,TRUE,TRUE,FALSE,'CDO Bespoke'!$C$29:'CDO Bespoke'!$C$31,'CDO Bespoke'!$C$33),{5})),"")</f>
        <v/>
      </c>
      <c r="Z228" s="524" t="str" cm="1">
        <f t="array" aca="1" ref="Z228" ca="1">IF($V228&lt;&gt;"",-TRANSPOSE(INDEX(getcds('CDO Bespoke'!$C253,Z$13,'CDO Bespoke'!$G253/10000,'CDO Bespoke'!I253,'CDO Bespoke'!$L229,'CDO Bespoke'!$C$13,'CDO Bespoke'!$C$14,'CDO Bespoke'!$C$15,'CDO Bespoke'!$C$8,,,TRUE,TRUE,FALSE,'CDO Bespoke'!$C$29:'CDO Bespoke'!$C$31,'CDO Bespoke'!$C$33),{5})),"")</f>
        <v/>
      </c>
      <c r="AA228" s="500" t="str" cm="1">
        <f t="array" aca="1" ref="AA228" ca="1">IF($V228&lt;&gt;"",-TRANSPOSE(INDEX(getcds('CDO Bespoke'!$C253,AA$13,'CDO Bespoke'!$G253/10000,'CDO Bespoke'!J253,'CDO Bespoke'!$L229,'CDO Bespoke'!$C$13,'CDO Bespoke'!$C$14,'CDO Bespoke'!$C$15,'CDO Bespoke'!$C$8,,,TRUE,TRUE,FALSE,'CDO Bespoke'!$C$29:'CDO Bespoke'!$C$31,'CDO Bespoke'!$C$33),{5})),"")</f>
        <v/>
      </c>
      <c r="AB228" s="479"/>
      <c r="AC228" s="515"/>
      <c r="AD228" s="516"/>
      <c r="AE228" s="516"/>
      <c r="AF228" s="516"/>
      <c r="AG228" s="516"/>
      <c r="AH228" s="516"/>
      <c r="AI228" s="516"/>
      <c r="AJ228" s="516"/>
      <c r="AK228" s="516"/>
      <c r="AL228" s="517"/>
      <c r="AM228" s="534"/>
    </row>
    <row r="229" spans="2:39" ht="12" thickBot="1">
      <c r="B229" s="557" t="s">
        <v>583</v>
      </c>
      <c r="C229" s="558" t="s">
        <v>66</v>
      </c>
      <c r="D229" s="558" t="s">
        <v>55</v>
      </c>
      <c r="E229" s="558" t="s">
        <v>665</v>
      </c>
      <c r="F229" s="558" t="s">
        <v>667</v>
      </c>
      <c r="G229" s="559">
        <v>0.01</v>
      </c>
      <c r="H229" s="559">
        <v>1.7849999999999999E-3</v>
      </c>
      <c r="I229" s="560">
        <v>0.4</v>
      </c>
      <c r="J229" s="561">
        <v>69</v>
      </c>
      <c r="K229" s="274"/>
      <c r="L229" s="274"/>
      <c r="M229" s="487" t="str">
        <f ca="1">IF('CDO Bespoke'!O230&lt;&gt;"",'CDO Bespoke'!O230,"")</f>
        <v/>
      </c>
      <c r="N229" s="488" t="str">
        <f ca="1">IF(M229&lt;&gt;"",ABS(MIN(-0.75*('CDO Bespoke'!Q230)+'CDO Bespoke'!T230,0)),"")</f>
        <v/>
      </c>
      <c r="O229" s="488">
        <f t="shared" ca="1" si="12"/>
        <v>0</v>
      </c>
      <c r="P229" s="488">
        <f t="shared" ca="1" si="13"/>
        <v>0</v>
      </c>
      <c r="Q229" s="487" t="str">
        <f ca="1">IF('CDO Bespoke'!O230&lt;&gt;"",'CDO Bespoke'!O230,"")</f>
        <v/>
      </c>
      <c r="R229" s="488" t="str">
        <f ca="1">IF(Q229&lt;&gt;"",ABS(MIN(-0.75*('CDO Bespoke'!K230)+'CDO Bespoke'!T230,0)),"")</f>
        <v/>
      </c>
      <c r="S229" s="488">
        <f t="shared" ca="1" si="14"/>
        <v>0</v>
      </c>
      <c r="T229" s="492">
        <f t="shared" ca="1" si="15"/>
        <v>0</v>
      </c>
      <c r="U229" s="274"/>
      <c r="V229" s="497" t="str">
        <f ca="1">IF('CDO Bespoke'!C254&lt;&gt;"",'CDO Bespoke'!C254,"")</f>
        <v/>
      </c>
      <c r="W229" s="499" t="str" cm="1">
        <f t="array" aca="1" ref="W229" ca="1">IF($V229&lt;&gt;"",-TRANSPOSE(INDEX(getcds('CDO Bespoke'!$C254,W$13,'CDO Bespoke'!$G254/10000,'CDO Bespoke'!F254,'CDO Bespoke'!$L230,'CDO Bespoke'!$C$13,'CDO Bespoke'!$C$14,'CDO Bespoke'!$C$15,'CDO Bespoke'!$C$8,,,TRUE,TRUE,FALSE,'CDO Bespoke'!$C$29:'CDO Bespoke'!$C$31,'CDO Bespoke'!$C$33),{5})),"")</f>
        <v/>
      </c>
      <c r="X229" s="524" t="str" cm="1">
        <f t="array" aca="1" ref="X229" ca="1">IF($V229&lt;&gt;"",-TRANSPOSE(INDEX(getcds('CDO Bespoke'!$C254,X$13,'CDO Bespoke'!$G254/10000,'CDO Bespoke'!G254,'CDO Bespoke'!$L230,'CDO Bespoke'!$C$13,'CDO Bespoke'!$C$14,'CDO Bespoke'!$C$15,'CDO Bespoke'!$C$8,,,TRUE,TRUE,FALSE,'CDO Bespoke'!$C$29:'CDO Bespoke'!$C$31,'CDO Bespoke'!$C$33),{5})),"")</f>
        <v/>
      </c>
      <c r="Y229" s="524" t="str" cm="1">
        <f t="array" aca="1" ref="Y229" ca="1">IF($V229&lt;&gt;"",-TRANSPOSE(INDEX(getcds('CDO Bespoke'!$C254,Y$13,'CDO Bespoke'!$G254/10000,'CDO Bespoke'!H254,'CDO Bespoke'!$L230,'CDO Bespoke'!$C$13,'CDO Bespoke'!$C$14,'CDO Bespoke'!$C$15,'CDO Bespoke'!$C$8,,,TRUE,TRUE,FALSE,'CDO Bespoke'!$C$29:'CDO Bespoke'!$C$31,'CDO Bespoke'!$C$33),{5})),"")</f>
        <v/>
      </c>
      <c r="Z229" s="524" t="str" cm="1">
        <f t="array" aca="1" ref="Z229" ca="1">IF($V229&lt;&gt;"",-TRANSPOSE(INDEX(getcds('CDO Bespoke'!$C254,Z$13,'CDO Bespoke'!$G254/10000,'CDO Bespoke'!I254,'CDO Bespoke'!$L230,'CDO Bespoke'!$C$13,'CDO Bespoke'!$C$14,'CDO Bespoke'!$C$15,'CDO Bespoke'!$C$8,,,TRUE,TRUE,FALSE,'CDO Bespoke'!$C$29:'CDO Bespoke'!$C$31,'CDO Bespoke'!$C$33),{5})),"")</f>
        <v/>
      </c>
      <c r="AA229" s="500" t="str" cm="1">
        <f t="array" aca="1" ref="AA229" ca="1">IF($V229&lt;&gt;"",-TRANSPOSE(INDEX(getcds('CDO Bespoke'!$C254,AA$13,'CDO Bespoke'!$G254/10000,'CDO Bespoke'!J254,'CDO Bespoke'!$L230,'CDO Bespoke'!$C$13,'CDO Bespoke'!$C$14,'CDO Bespoke'!$C$15,'CDO Bespoke'!$C$8,,,TRUE,TRUE,FALSE,'CDO Bespoke'!$C$29:'CDO Bespoke'!$C$31,'CDO Bespoke'!$C$33),{5})),"")</f>
        <v/>
      </c>
      <c r="AB229" s="479"/>
      <c r="AC229" s="515"/>
      <c r="AD229" s="516"/>
      <c r="AE229" s="516"/>
      <c r="AF229" s="516"/>
      <c r="AG229" s="516"/>
      <c r="AH229" s="516"/>
      <c r="AI229" s="516"/>
      <c r="AJ229" s="516"/>
      <c r="AK229" s="516"/>
      <c r="AL229" s="517"/>
      <c r="AM229" s="534"/>
    </row>
    <row r="230" spans="2:39" ht="12" thickBot="1">
      <c r="B230" s="535" t="s">
        <v>583</v>
      </c>
      <c r="C230" s="536" t="s">
        <v>66</v>
      </c>
      <c r="D230" s="536" t="s">
        <v>57</v>
      </c>
      <c r="E230" s="536" t="s">
        <v>665</v>
      </c>
      <c r="F230" s="536" t="s">
        <v>667</v>
      </c>
      <c r="G230" s="543">
        <v>0.01</v>
      </c>
      <c r="H230" s="543">
        <v>2.7560000000000002E-3</v>
      </c>
      <c r="I230" s="545">
        <v>0.4</v>
      </c>
      <c r="J230" s="537">
        <v>69</v>
      </c>
      <c r="K230" s="274"/>
      <c r="L230" s="274"/>
      <c r="M230" s="487" t="str">
        <f ca="1">IF('CDO Bespoke'!O231&lt;&gt;"",'CDO Bespoke'!O231,"")</f>
        <v/>
      </c>
      <c r="N230" s="488" t="str">
        <f ca="1">IF(M230&lt;&gt;"",ABS(MIN(-0.75*('CDO Bespoke'!Q231)+'CDO Bespoke'!T231,0)),"")</f>
        <v/>
      </c>
      <c r="O230" s="488">
        <f t="shared" ca="1" si="12"/>
        <v>0</v>
      </c>
      <c r="P230" s="488">
        <f t="shared" ca="1" si="13"/>
        <v>0</v>
      </c>
      <c r="Q230" s="487" t="str">
        <f ca="1">IF('CDO Bespoke'!O231&lt;&gt;"",'CDO Bespoke'!O231,"")</f>
        <v/>
      </c>
      <c r="R230" s="488" t="str">
        <f ca="1">IF(Q230&lt;&gt;"",ABS(MIN(-0.75*('CDO Bespoke'!K231)+'CDO Bespoke'!T231,0)),"")</f>
        <v/>
      </c>
      <c r="S230" s="488">
        <f t="shared" ca="1" si="14"/>
        <v>0</v>
      </c>
      <c r="T230" s="492">
        <f t="shared" ca="1" si="15"/>
        <v>0</v>
      </c>
      <c r="U230" s="274"/>
      <c r="V230" s="497" t="str">
        <f ca="1">IF('CDO Bespoke'!C255&lt;&gt;"",'CDO Bespoke'!C255,"")</f>
        <v/>
      </c>
      <c r="W230" s="499" t="str" cm="1">
        <f t="array" aca="1" ref="W230" ca="1">IF($V230&lt;&gt;"",-TRANSPOSE(INDEX(getcds('CDO Bespoke'!$C255,W$13,'CDO Bespoke'!$G255/10000,'CDO Bespoke'!F255,'CDO Bespoke'!$L231,'CDO Bespoke'!$C$13,'CDO Bespoke'!$C$14,'CDO Bespoke'!$C$15,'CDO Bespoke'!$C$8,,,TRUE,TRUE,FALSE,'CDO Bespoke'!$C$29:'CDO Bespoke'!$C$31,'CDO Bespoke'!$C$33),{5})),"")</f>
        <v/>
      </c>
      <c r="X230" s="524" t="str" cm="1">
        <f t="array" aca="1" ref="X230" ca="1">IF($V230&lt;&gt;"",-TRANSPOSE(INDEX(getcds('CDO Bespoke'!$C255,X$13,'CDO Bespoke'!$G255/10000,'CDO Bespoke'!G255,'CDO Bespoke'!$L231,'CDO Bespoke'!$C$13,'CDO Bespoke'!$C$14,'CDO Bespoke'!$C$15,'CDO Bespoke'!$C$8,,,TRUE,TRUE,FALSE,'CDO Bespoke'!$C$29:'CDO Bespoke'!$C$31,'CDO Bespoke'!$C$33),{5})),"")</f>
        <v/>
      </c>
      <c r="Y230" s="524" t="str" cm="1">
        <f t="array" aca="1" ref="Y230" ca="1">IF($V230&lt;&gt;"",-TRANSPOSE(INDEX(getcds('CDO Bespoke'!$C255,Y$13,'CDO Bespoke'!$G255/10000,'CDO Bespoke'!H255,'CDO Bespoke'!$L231,'CDO Bespoke'!$C$13,'CDO Bespoke'!$C$14,'CDO Bespoke'!$C$15,'CDO Bespoke'!$C$8,,,TRUE,TRUE,FALSE,'CDO Bespoke'!$C$29:'CDO Bespoke'!$C$31,'CDO Bespoke'!$C$33),{5})),"")</f>
        <v/>
      </c>
      <c r="Z230" s="524" t="str" cm="1">
        <f t="array" aca="1" ref="Z230" ca="1">IF($V230&lt;&gt;"",-TRANSPOSE(INDEX(getcds('CDO Bespoke'!$C255,Z$13,'CDO Bespoke'!$G255/10000,'CDO Bespoke'!I255,'CDO Bespoke'!$L231,'CDO Bespoke'!$C$13,'CDO Bespoke'!$C$14,'CDO Bespoke'!$C$15,'CDO Bespoke'!$C$8,,,TRUE,TRUE,FALSE,'CDO Bespoke'!$C$29:'CDO Bespoke'!$C$31,'CDO Bespoke'!$C$33),{5})),"")</f>
        <v/>
      </c>
      <c r="AA230" s="500" t="str" cm="1">
        <f t="array" aca="1" ref="AA230" ca="1">IF($V230&lt;&gt;"",-TRANSPOSE(INDEX(getcds('CDO Bespoke'!$C255,AA$13,'CDO Bespoke'!$G255/10000,'CDO Bespoke'!J255,'CDO Bespoke'!$L231,'CDO Bespoke'!$C$13,'CDO Bespoke'!$C$14,'CDO Bespoke'!$C$15,'CDO Bespoke'!$C$8,,,TRUE,TRUE,FALSE,'CDO Bespoke'!$C$29:'CDO Bespoke'!$C$31,'CDO Bespoke'!$C$33),{5})),"")</f>
        <v/>
      </c>
      <c r="AB230" s="479"/>
      <c r="AC230" s="515"/>
      <c r="AD230" s="516"/>
      <c r="AE230" s="516"/>
      <c r="AF230" s="516"/>
      <c r="AG230" s="516"/>
      <c r="AH230" s="516"/>
      <c r="AI230" s="516"/>
      <c r="AJ230" s="516"/>
      <c r="AK230" s="516"/>
      <c r="AL230" s="517"/>
      <c r="AM230" s="534"/>
    </row>
    <row r="231" spans="2:39" ht="12" thickBot="1">
      <c r="B231" s="552" t="s">
        <v>583</v>
      </c>
      <c r="C231" s="553" t="s">
        <v>66</v>
      </c>
      <c r="D231" s="553" t="s">
        <v>59</v>
      </c>
      <c r="E231" s="553" t="s">
        <v>665</v>
      </c>
      <c r="F231" s="553" t="s">
        <v>667</v>
      </c>
      <c r="G231" s="554">
        <v>0.01</v>
      </c>
      <c r="H231" s="554">
        <v>3.7669999999999999E-3</v>
      </c>
      <c r="I231" s="555">
        <v>0.4</v>
      </c>
      <c r="J231" s="556">
        <v>69</v>
      </c>
      <c r="K231" s="274"/>
      <c r="L231" s="274"/>
      <c r="M231" s="487" t="str">
        <f ca="1">IF('CDO Bespoke'!O232&lt;&gt;"",'CDO Bespoke'!O232,"")</f>
        <v/>
      </c>
      <c r="N231" s="488" t="str">
        <f ca="1">IF(M231&lt;&gt;"",ABS(MIN(-0.75*('CDO Bespoke'!Q232)+'CDO Bespoke'!T232,0)),"")</f>
        <v/>
      </c>
      <c r="O231" s="488">
        <f t="shared" ca="1" si="12"/>
        <v>0</v>
      </c>
      <c r="P231" s="488">
        <f t="shared" ca="1" si="13"/>
        <v>0</v>
      </c>
      <c r="Q231" s="487" t="str">
        <f ca="1">IF('CDO Bespoke'!O232&lt;&gt;"",'CDO Bespoke'!O232,"")</f>
        <v/>
      </c>
      <c r="R231" s="488" t="str">
        <f ca="1">IF(Q231&lt;&gt;"",ABS(MIN(-0.75*('CDO Bespoke'!K232)+'CDO Bespoke'!T232,0)),"")</f>
        <v/>
      </c>
      <c r="S231" s="488">
        <f t="shared" ca="1" si="14"/>
        <v>0</v>
      </c>
      <c r="T231" s="492">
        <f t="shared" ca="1" si="15"/>
        <v>0</v>
      </c>
      <c r="U231" s="274"/>
      <c r="V231" s="497" t="str">
        <f ca="1">IF('CDO Bespoke'!C256&lt;&gt;"",'CDO Bespoke'!C256,"")</f>
        <v/>
      </c>
      <c r="W231" s="499" t="str" cm="1">
        <f t="array" aca="1" ref="W231" ca="1">IF($V231&lt;&gt;"",-TRANSPOSE(INDEX(getcds('CDO Bespoke'!$C256,W$13,'CDO Bespoke'!$G256/10000,'CDO Bespoke'!F256,'CDO Bespoke'!$L232,'CDO Bespoke'!$C$13,'CDO Bespoke'!$C$14,'CDO Bespoke'!$C$15,'CDO Bespoke'!$C$8,,,TRUE,TRUE,FALSE,'CDO Bespoke'!$C$29:'CDO Bespoke'!$C$31,'CDO Bespoke'!$C$33),{5})),"")</f>
        <v/>
      </c>
      <c r="X231" s="524" t="str" cm="1">
        <f t="array" aca="1" ref="X231" ca="1">IF($V231&lt;&gt;"",-TRANSPOSE(INDEX(getcds('CDO Bespoke'!$C256,X$13,'CDO Bespoke'!$G256/10000,'CDO Bespoke'!G256,'CDO Bespoke'!$L232,'CDO Bespoke'!$C$13,'CDO Bespoke'!$C$14,'CDO Bespoke'!$C$15,'CDO Bespoke'!$C$8,,,TRUE,TRUE,FALSE,'CDO Bespoke'!$C$29:'CDO Bespoke'!$C$31,'CDO Bespoke'!$C$33),{5})),"")</f>
        <v/>
      </c>
      <c r="Y231" s="524" t="str" cm="1">
        <f t="array" aca="1" ref="Y231" ca="1">IF($V231&lt;&gt;"",-TRANSPOSE(INDEX(getcds('CDO Bespoke'!$C256,Y$13,'CDO Bespoke'!$G256/10000,'CDO Bespoke'!H256,'CDO Bespoke'!$L232,'CDO Bespoke'!$C$13,'CDO Bespoke'!$C$14,'CDO Bespoke'!$C$15,'CDO Bespoke'!$C$8,,,TRUE,TRUE,FALSE,'CDO Bespoke'!$C$29:'CDO Bespoke'!$C$31,'CDO Bespoke'!$C$33),{5})),"")</f>
        <v/>
      </c>
      <c r="Z231" s="524" t="str" cm="1">
        <f t="array" aca="1" ref="Z231" ca="1">IF($V231&lt;&gt;"",-TRANSPOSE(INDEX(getcds('CDO Bespoke'!$C256,Z$13,'CDO Bespoke'!$G256/10000,'CDO Bespoke'!I256,'CDO Bespoke'!$L232,'CDO Bespoke'!$C$13,'CDO Bespoke'!$C$14,'CDO Bespoke'!$C$15,'CDO Bespoke'!$C$8,,,TRUE,TRUE,FALSE,'CDO Bespoke'!$C$29:'CDO Bespoke'!$C$31,'CDO Bespoke'!$C$33),{5})),"")</f>
        <v/>
      </c>
      <c r="AA231" s="500" t="str" cm="1">
        <f t="array" aca="1" ref="AA231" ca="1">IF($V231&lt;&gt;"",-TRANSPOSE(INDEX(getcds('CDO Bespoke'!$C256,AA$13,'CDO Bespoke'!$G256/10000,'CDO Bespoke'!J256,'CDO Bespoke'!$L232,'CDO Bespoke'!$C$13,'CDO Bespoke'!$C$14,'CDO Bespoke'!$C$15,'CDO Bespoke'!$C$8,,,TRUE,TRUE,FALSE,'CDO Bespoke'!$C$29:'CDO Bespoke'!$C$31,'CDO Bespoke'!$C$33),{5})),"")</f>
        <v/>
      </c>
      <c r="AB231" s="479"/>
      <c r="AC231" s="515"/>
      <c r="AD231" s="516"/>
      <c r="AE231" s="516"/>
      <c r="AF231" s="516"/>
      <c r="AG231" s="516"/>
      <c r="AH231" s="516"/>
      <c r="AI231" s="516"/>
      <c r="AJ231" s="516"/>
      <c r="AK231" s="516"/>
      <c r="AL231" s="517"/>
      <c r="AM231" s="534"/>
    </row>
    <row r="232" spans="2:39" ht="12" thickBot="1">
      <c r="B232" s="557" t="s">
        <v>575</v>
      </c>
      <c r="C232" s="558" t="s">
        <v>66</v>
      </c>
      <c r="D232" s="558" t="s">
        <v>55</v>
      </c>
      <c r="E232" s="558" t="s">
        <v>660</v>
      </c>
      <c r="F232" s="558" t="s">
        <v>668</v>
      </c>
      <c r="G232" s="559">
        <v>0.01</v>
      </c>
      <c r="H232" s="559">
        <v>2.5920000000000001E-3</v>
      </c>
      <c r="I232" s="560">
        <v>0.4</v>
      </c>
      <c r="J232" s="561">
        <v>70</v>
      </c>
      <c r="K232" s="274"/>
      <c r="L232" s="274"/>
      <c r="M232" s="487" t="str">
        <f ca="1">IF('CDO Bespoke'!O233&lt;&gt;"",'CDO Bespoke'!O233,"")</f>
        <v/>
      </c>
      <c r="N232" s="488" t="str">
        <f ca="1">IF(M232&lt;&gt;"",ABS(MIN(-0.75*('CDO Bespoke'!Q233)+'CDO Bespoke'!T233,0)),"")</f>
        <v/>
      </c>
      <c r="O232" s="488">
        <f t="shared" ca="1" si="12"/>
        <v>0</v>
      </c>
      <c r="P232" s="488">
        <f t="shared" ca="1" si="13"/>
        <v>0</v>
      </c>
      <c r="Q232" s="487" t="str">
        <f ca="1">IF('CDO Bespoke'!O233&lt;&gt;"",'CDO Bespoke'!O233,"")</f>
        <v/>
      </c>
      <c r="R232" s="488" t="str">
        <f ca="1">IF(Q232&lt;&gt;"",ABS(MIN(-0.75*('CDO Bespoke'!K233)+'CDO Bespoke'!T233,0)),"")</f>
        <v/>
      </c>
      <c r="S232" s="488">
        <f t="shared" ca="1" si="14"/>
        <v>0</v>
      </c>
      <c r="T232" s="492">
        <f t="shared" ca="1" si="15"/>
        <v>0</v>
      </c>
      <c r="U232" s="274"/>
      <c r="V232" s="497" t="str">
        <f ca="1">IF('CDO Bespoke'!C257&lt;&gt;"",'CDO Bespoke'!C257,"")</f>
        <v/>
      </c>
      <c r="W232" s="499" t="str" cm="1">
        <f t="array" aca="1" ref="W232" ca="1">IF($V232&lt;&gt;"",-TRANSPOSE(INDEX(getcds('CDO Bespoke'!$C257,W$13,'CDO Bespoke'!$G257/10000,'CDO Bespoke'!F257,'CDO Bespoke'!$L233,'CDO Bespoke'!$C$13,'CDO Bespoke'!$C$14,'CDO Bespoke'!$C$15,'CDO Bespoke'!$C$8,,,TRUE,TRUE,FALSE,'CDO Bespoke'!$C$29:'CDO Bespoke'!$C$31,'CDO Bespoke'!$C$33),{5})),"")</f>
        <v/>
      </c>
      <c r="X232" s="524" t="str" cm="1">
        <f t="array" aca="1" ref="X232" ca="1">IF($V232&lt;&gt;"",-TRANSPOSE(INDEX(getcds('CDO Bespoke'!$C257,X$13,'CDO Bespoke'!$G257/10000,'CDO Bespoke'!G257,'CDO Bespoke'!$L233,'CDO Bespoke'!$C$13,'CDO Bespoke'!$C$14,'CDO Bespoke'!$C$15,'CDO Bespoke'!$C$8,,,TRUE,TRUE,FALSE,'CDO Bespoke'!$C$29:'CDO Bespoke'!$C$31,'CDO Bespoke'!$C$33),{5})),"")</f>
        <v/>
      </c>
      <c r="Y232" s="524" t="str" cm="1">
        <f t="array" aca="1" ref="Y232" ca="1">IF($V232&lt;&gt;"",-TRANSPOSE(INDEX(getcds('CDO Bespoke'!$C257,Y$13,'CDO Bespoke'!$G257/10000,'CDO Bespoke'!H257,'CDO Bespoke'!$L233,'CDO Bespoke'!$C$13,'CDO Bespoke'!$C$14,'CDO Bespoke'!$C$15,'CDO Bespoke'!$C$8,,,TRUE,TRUE,FALSE,'CDO Bespoke'!$C$29:'CDO Bespoke'!$C$31,'CDO Bespoke'!$C$33),{5})),"")</f>
        <v/>
      </c>
      <c r="Z232" s="524" t="str" cm="1">
        <f t="array" aca="1" ref="Z232" ca="1">IF($V232&lt;&gt;"",-TRANSPOSE(INDEX(getcds('CDO Bespoke'!$C257,Z$13,'CDO Bespoke'!$G257/10000,'CDO Bespoke'!I257,'CDO Bespoke'!$L233,'CDO Bespoke'!$C$13,'CDO Bespoke'!$C$14,'CDO Bespoke'!$C$15,'CDO Bespoke'!$C$8,,,TRUE,TRUE,FALSE,'CDO Bespoke'!$C$29:'CDO Bespoke'!$C$31,'CDO Bespoke'!$C$33),{5})),"")</f>
        <v/>
      </c>
      <c r="AA232" s="500" t="str" cm="1">
        <f t="array" aca="1" ref="AA232" ca="1">IF($V232&lt;&gt;"",-TRANSPOSE(INDEX(getcds('CDO Bespoke'!$C257,AA$13,'CDO Bespoke'!$G257/10000,'CDO Bespoke'!J257,'CDO Bespoke'!$L233,'CDO Bespoke'!$C$13,'CDO Bespoke'!$C$14,'CDO Bespoke'!$C$15,'CDO Bespoke'!$C$8,,,TRUE,TRUE,FALSE,'CDO Bespoke'!$C$29:'CDO Bespoke'!$C$31,'CDO Bespoke'!$C$33),{5})),"")</f>
        <v/>
      </c>
      <c r="AB232" s="479"/>
      <c r="AC232" s="515"/>
      <c r="AD232" s="516"/>
      <c r="AE232" s="516"/>
      <c r="AF232" s="516"/>
      <c r="AG232" s="516"/>
      <c r="AH232" s="516"/>
      <c r="AI232" s="516"/>
      <c r="AJ232" s="516"/>
      <c r="AK232" s="516"/>
      <c r="AL232" s="517"/>
      <c r="AM232" s="534"/>
    </row>
    <row r="233" spans="2:39" ht="12" thickBot="1">
      <c r="B233" s="535" t="s">
        <v>575</v>
      </c>
      <c r="C233" s="536" t="s">
        <v>66</v>
      </c>
      <c r="D233" s="536" t="s">
        <v>57</v>
      </c>
      <c r="E233" s="536" t="s">
        <v>660</v>
      </c>
      <c r="F233" s="536" t="s">
        <v>668</v>
      </c>
      <c r="G233" s="543">
        <v>0.01</v>
      </c>
      <c r="H233" s="543">
        <v>4.5840000000000004E-3</v>
      </c>
      <c r="I233" s="545">
        <v>0.4</v>
      </c>
      <c r="J233" s="537">
        <v>70</v>
      </c>
      <c r="K233" s="274"/>
      <c r="L233" s="274"/>
      <c r="M233" s="487" t="str">
        <f ca="1">IF('CDO Bespoke'!O234&lt;&gt;"",'CDO Bespoke'!O234,"")</f>
        <v/>
      </c>
      <c r="N233" s="488" t="str">
        <f ca="1">IF(M233&lt;&gt;"",ABS(MIN(-0.75*('CDO Bespoke'!Q234)+'CDO Bespoke'!T234,0)),"")</f>
        <v/>
      </c>
      <c r="O233" s="488">
        <f t="shared" ca="1" si="12"/>
        <v>0</v>
      </c>
      <c r="P233" s="488">
        <f t="shared" ca="1" si="13"/>
        <v>0</v>
      </c>
      <c r="Q233" s="487" t="str">
        <f ca="1">IF('CDO Bespoke'!O234&lt;&gt;"",'CDO Bespoke'!O234,"")</f>
        <v/>
      </c>
      <c r="R233" s="488" t="str">
        <f ca="1">IF(Q233&lt;&gt;"",ABS(MIN(-0.75*('CDO Bespoke'!K234)+'CDO Bespoke'!T234,0)),"")</f>
        <v/>
      </c>
      <c r="S233" s="488">
        <f t="shared" ca="1" si="14"/>
        <v>0</v>
      </c>
      <c r="T233" s="492">
        <f t="shared" ca="1" si="15"/>
        <v>0</v>
      </c>
      <c r="U233" s="274"/>
      <c r="V233" s="497" t="str">
        <f ca="1">IF('CDO Bespoke'!C258&lt;&gt;"",'CDO Bespoke'!C258,"")</f>
        <v/>
      </c>
      <c r="W233" s="499" t="str" cm="1">
        <f t="array" aca="1" ref="W233" ca="1">IF($V233&lt;&gt;"",-TRANSPOSE(INDEX(getcds('CDO Bespoke'!$C258,W$13,'CDO Bespoke'!$G258/10000,'CDO Bespoke'!F258,'CDO Bespoke'!$L234,'CDO Bespoke'!$C$13,'CDO Bespoke'!$C$14,'CDO Bespoke'!$C$15,'CDO Bespoke'!$C$8,,,TRUE,TRUE,FALSE,'CDO Bespoke'!$C$29:'CDO Bespoke'!$C$31,'CDO Bespoke'!$C$33),{5})),"")</f>
        <v/>
      </c>
      <c r="X233" s="524" t="str" cm="1">
        <f t="array" aca="1" ref="X233" ca="1">IF($V233&lt;&gt;"",-TRANSPOSE(INDEX(getcds('CDO Bespoke'!$C258,X$13,'CDO Bespoke'!$G258/10000,'CDO Bespoke'!G258,'CDO Bespoke'!$L234,'CDO Bespoke'!$C$13,'CDO Bespoke'!$C$14,'CDO Bespoke'!$C$15,'CDO Bespoke'!$C$8,,,TRUE,TRUE,FALSE,'CDO Bespoke'!$C$29:'CDO Bespoke'!$C$31,'CDO Bespoke'!$C$33),{5})),"")</f>
        <v/>
      </c>
      <c r="Y233" s="524" t="str" cm="1">
        <f t="array" aca="1" ref="Y233" ca="1">IF($V233&lt;&gt;"",-TRANSPOSE(INDEX(getcds('CDO Bespoke'!$C258,Y$13,'CDO Bespoke'!$G258/10000,'CDO Bespoke'!H258,'CDO Bespoke'!$L234,'CDO Bespoke'!$C$13,'CDO Bespoke'!$C$14,'CDO Bespoke'!$C$15,'CDO Bespoke'!$C$8,,,TRUE,TRUE,FALSE,'CDO Bespoke'!$C$29:'CDO Bespoke'!$C$31,'CDO Bespoke'!$C$33),{5})),"")</f>
        <v/>
      </c>
      <c r="Z233" s="524" t="str" cm="1">
        <f t="array" aca="1" ref="Z233" ca="1">IF($V233&lt;&gt;"",-TRANSPOSE(INDEX(getcds('CDO Bespoke'!$C258,Z$13,'CDO Bespoke'!$G258/10000,'CDO Bespoke'!I258,'CDO Bespoke'!$L234,'CDO Bespoke'!$C$13,'CDO Bespoke'!$C$14,'CDO Bespoke'!$C$15,'CDO Bespoke'!$C$8,,,TRUE,TRUE,FALSE,'CDO Bespoke'!$C$29:'CDO Bespoke'!$C$31,'CDO Bespoke'!$C$33),{5})),"")</f>
        <v/>
      </c>
      <c r="AA233" s="500" t="str" cm="1">
        <f t="array" aca="1" ref="AA233" ca="1">IF($V233&lt;&gt;"",-TRANSPOSE(INDEX(getcds('CDO Bespoke'!$C258,AA$13,'CDO Bespoke'!$G258/10000,'CDO Bespoke'!J258,'CDO Bespoke'!$L234,'CDO Bespoke'!$C$13,'CDO Bespoke'!$C$14,'CDO Bespoke'!$C$15,'CDO Bespoke'!$C$8,,,TRUE,TRUE,FALSE,'CDO Bespoke'!$C$29:'CDO Bespoke'!$C$31,'CDO Bespoke'!$C$33),{5})),"")</f>
        <v/>
      </c>
      <c r="AB233" s="479"/>
      <c r="AC233" s="515"/>
      <c r="AD233" s="516"/>
      <c r="AE233" s="516"/>
      <c r="AF233" s="516"/>
      <c r="AG233" s="516"/>
      <c r="AH233" s="516"/>
      <c r="AI233" s="516"/>
      <c r="AJ233" s="516"/>
      <c r="AK233" s="516"/>
      <c r="AL233" s="517"/>
      <c r="AM233" s="534"/>
    </row>
    <row r="234" spans="2:39" ht="12" thickBot="1">
      <c r="B234" s="552" t="s">
        <v>575</v>
      </c>
      <c r="C234" s="553" t="s">
        <v>66</v>
      </c>
      <c r="D234" s="553" t="s">
        <v>59</v>
      </c>
      <c r="E234" s="553" t="s">
        <v>660</v>
      </c>
      <c r="F234" s="553" t="s">
        <v>668</v>
      </c>
      <c r="G234" s="554">
        <v>0.01</v>
      </c>
      <c r="H234" s="554">
        <v>6.4619999999999999E-3</v>
      </c>
      <c r="I234" s="555">
        <v>0.4</v>
      </c>
      <c r="J234" s="556">
        <v>70</v>
      </c>
      <c r="K234" s="274"/>
      <c r="L234" s="274"/>
      <c r="M234" s="487" t="str">
        <f ca="1">IF('CDO Bespoke'!O235&lt;&gt;"",'CDO Bespoke'!O235,"")</f>
        <v/>
      </c>
      <c r="N234" s="488" t="str">
        <f ca="1">IF(M234&lt;&gt;"",ABS(MIN(-0.75*('CDO Bespoke'!Q235)+'CDO Bespoke'!T235,0)),"")</f>
        <v/>
      </c>
      <c r="O234" s="488">
        <f t="shared" ca="1" si="12"/>
        <v>0</v>
      </c>
      <c r="P234" s="488">
        <f t="shared" ca="1" si="13"/>
        <v>0</v>
      </c>
      <c r="Q234" s="487" t="str">
        <f ca="1">IF('CDO Bespoke'!O235&lt;&gt;"",'CDO Bespoke'!O235,"")</f>
        <v/>
      </c>
      <c r="R234" s="488" t="str">
        <f ca="1">IF(Q234&lt;&gt;"",ABS(MIN(-0.75*('CDO Bespoke'!K235)+'CDO Bespoke'!T235,0)),"")</f>
        <v/>
      </c>
      <c r="S234" s="488">
        <f t="shared" ca="1" si="14"/>
        <v>0</v>
      </c>
      <c r="T234" s="492">
        <f t="shared" ca="1" si="15"/>
        <v>0</v>
      </c>
      <c r="U234" s="274"/>
      <c r="V234" s="497" t="str">
        <f ca="1">IF('CDO Bespoke'!C259&lt;&gt;"",'CDO Bespoke'!C259,"")</f>
        <v/>
      </c>
      <c r="W234" s="499" t="str" cm="1">
        <f t="array" aca="1" ref="W234" ca="1">IF($V234&lt;&gt;"",-TRANSPOSE(INDEX(getcds('CDO Bespoke'!$C259,W$13,'CDO Bespoke'!$G259/10000,'CDO Bespoke'!F259,'CDO Bespoke'!$L235,'CDO Bespoke'!$C$13,'CDO Bespoke'!$C$14,'CDO Bespoke'!$C$15,'CDO Bespoke'!$C$8,,,TRUE,TRUE,FALSE,'CDO Bespoke'!$C$29:'CDO Bespoke'!$C$31,'CDO Bespoke'!$C$33),{5})),"")</f>
        <v/>
      </c>
      <c r="X234" s="524" t="str" cm="1">
        <f t="array" aca="1" ref="X234" ca="1">IF($V234&lt;&gt;"",-TRANSPOSE(INDEX(getcds('CDO Bespoke'!$C259,X$13,'CDO Bespoke'!$G259/10000,'CDO Bespoke'!G259,'CDO Bespoke'!$L235,'CDO Bespoke'!$C$13,'CDO Bespoke'!$C$14,'CDO Bespoke'!$C$15,'CDO Bespoke'!$C$8,,,TRUE,TRUE,FALSE,'CDO Bespoke'!$C$29:'CDO Bespoke'!$C$31,'CDO Bespoke'!$C$33),{5})),"")</f>
        <v/>
      </c>
      <c r="Y234" s="524" t="str" cm="1">
        <f t="array" aca="1" ref="Y234" ca="1">IF($V234&lt;&gt;"",-TRANSPOSE(INDEX(getcds('CDO Bespoke'!$C259,Y$13,'CDO Bespoke'!$G259/10000,'CDO Bespoke'!H259,'CDO Bespoke'!$L235,'CDO Bespoke'!$C$13,'CDO Bespoke'!$C$14,'CDO Bespoke'!$C$15,'CDO Bespoke'!$C$8,,,TRUE,TRUE,FALSE,'CDO Bespoke'!$C$29:'CDO Bespoke'!$C$31,'CDO Bespoke'!$C$33),{5})),"")</f>
        <v/>
      </c>
      <c r="Z234" s="524" t="str" cm="1">
        <f t="array" aca="1" ref="Z234" ca="1">IF($V234&lt;&gt;"",-TRANSPOSE(INDEX(getcds('CDO Bespoke'!$C259,Z$13,'CDO Bespoke'!$G259/10000,'CDO Bespoke'!I259,'CDO Bespoke'!$L235,'CDO Bespoke'!$C$13,'CDO Bespoke'!$C$14,'CDO Bespoke'!$C$15,'CDO Bespoke'!$C$8,,,TRUE,TRUE,FALSE,'CDO Bespoke'!$C$29:'CDO Bespoke'!$C$31,'CDO Bespoke'!$C$33),{5})),"")</f>
        <v/>
      </c>
      <c r="AA234" s="500" t="str" cm="1">
        <f t="array" aca="1" ref="AA234" ca="1">IF($V234&lt;&gt;"",-TRANSPOSE(INDEX(getcds('CDO Bespoke'!$C259,AA$13,'CDO Bespoke'!$G259/10000,'CDO Bespoke'!J259,'CDO Bespoke'!$L235,'CDO Bespoke'!$C$13,'CDO Bespoke'!$C$14,'CDO Bespoke'!$C$15,'CDO Bespoke'!$C$8,,,TRUE,TRUE,FALSE,'CDO Bespoke'!$C$29:'CDO Bespoke'!$C$31,'CDO Bespoke'!$C$33),{5})),"")</f>
        <v/>
      </c>
      <c r="AB234" s="479"/>
      <c r="AC234" s="515"/>
      <c r="AD234" s="516"/>
      <c r="AE234" s="516"/>
      <c r="AF234" s="516"/>
      <c r="AG234" s="516"/>
      <c r="AH234" s="516"/>
      <c r="AI234" s="516"/>
      <c r="AJ234" s="516"/>
      <c r="AK234" s="516"/>
      <c r="AL234" s="517"/>
      <c r="AM234" s="534"/>
    </row>
    <row r="235" spans="2:39" ht="12" thickBot="1">
      <c r="B235" s="557" t="s">
        <v>576</v>
      </c>
      <c r="C235" s="558" t="s">
        <v>66</v>
      </c>
      <c r="D235" s="558" t="s">
        <v>55</v>
      </c>
      <c r="E235" s="558" t="s">
        <v>660</v>
      </c>
      <c r="F235" s="558" t="s">
        <v>668</v>
      </c>
      <c r="G235" s="559">
        <v>0.01</v>
      </c>
      <c r="H235" s="559">
        <v>2.307E-3</v>
      </c>
      <c r="I235" s="560">
        <v>0.4</v>
      </c>
      <c r="J235" s="561">
        <v>71</v>
      </c>
      <c r="K235" s="274"/>
      <c r="L235" s="274"/>
      <c r="M235" s="487" t="str">
        <f ca="1">IF('CDO Bespoke'!O236&lt;&gt;"",'CDO Bespoke'!O236,"")</f>
        <v/>
      </c>
      <c r="N235" s="488" t="str">
        <f ca="1">IF(M235&lt;&gt;"",ABS(MIN(-0.75*('CDO Bespoke'!Q236)+'CDO Bespoke'!T236,0)),"")</f>
        <v/>
      </c>
      <c r="O235" s="488">
        <f t="shared" ca="1" si="12"/>
        <v>0</v>
      </c>
      <c r="P235" s="488">
        <f t="shared" ca="1" si="13"/>
        <v>0</v>
      </c>
      <c r="Q235" s="487" t="str">
        <f ca="1">IF('CDO Bespoke'!O236&lt;&gt;"",'CDO Bespoke'!O236,"")</f>
        <v/>
      </c>
      <c r="R235" s="488" t="str">
        <f ca="1">IF(Q235&lt;&gt;"",ABS(MIN(-0.75*('CDO Bespoke'!K236)+'CDO Bespoke'!T236,0)),"")</f>
        <v/>
      </c>
      <c r="S235" s="488">
        <f t="shared" ca="1" si="14"/>
        <v>0</v>
      </c>
      <c r="T235" s="492">
        <f t="shared" ca="1" si="15"/>
        <v>0</v>
      </c>
      <c r="U235" s="274"/>
      <c r="V235" s="497" t="str">
        <f ca="1">IF('CDO Bespoke'!C260&lt;&gt;"",'CDO Bespoke'!C260,"")</f>
        <v/>
      </c>
      <c r="W235" s="499" t="str" cm="1">
        <f t="array" aca="1" ref="W235" ca="1">IF($V235&lt;&gt;"",-TRANSPOSE(INDEX(getcds('CDO Bespoke'!$C260,W$13,'CDO Bespoke'!$G260/10000,'CDO Bespoke'!F260,'CDO Bespoke'!$L236,'CDO Bespoke'!$C$13,'CDO Bespoke'!$C$14,'CDO Bespoke'!$C$15,'CDO Bespoke'!$C$8,,,TRUE,TRUE,FALSE,'CDO Bespoke'!$C$29:'CDO Bespoke'!$C$31,'CDO Bespoke'!$C$33),{5})),"")</f>
        <v/>
      </c>
      <c r="X235" s="524" t="str" cm="1">
        <f t="array" aca="1" ref="X235" ca="1">IF($V235&lt;&gt;"",-TRANSPOSE(INDEX(getcds('CDO Bespoke'!$C260,X$13,'CDO Bespoke'!$G260/10000,'CDO Bespoke'!G260,'CDO Bespoke'!$L236,'CDO Bespoke'!$C$13,'CDO Bespoke'!$C$14,'CDO Bespoke'!$C$15,'CDO Bespoke'!$C$8,,,TRUE,TRUE,FALSE,'CDO Bespoke'!$C$29:'CDO Bespoke'!$C$31,'CDO Bespoke'!$C$33),{5})),"")</f>
        <v/>
      </c>
      <c r="Y235" s="524" t="str" cm="1">
        <f t="array" aca="1" ref="Y235" ca="1">IF($V235&lt;&gt;"",-TRANSPOSE(INDEX(getcds('CDO Bespoke'!$C260,Y$13,'CDO Bespoke'!$G260/10000,'CDO Bespoke'!H260,'CDO Bespoke'!$L236,'CDO Bespoke'!$C$13,'CDO Bespoke'!$C$14,'CDO Bespoke'!$C$15,'CDO Bespoke'!$C$8,,,TRUE,TRUE,FALSE,'CDO Bespoke'!$C$29:'CDO Bespoke'!$C$31,'CDO Bespoke'!$C$33),{5})),"")</f>
        <v/>
      </c>
      <c r="Z235" s="524" t="str" cm="1">
        <f t="array" aca="1" ref="Z235" ca="1">IF($V235&lt;&gt;"",-TRANSPOSE(INDEX(getcds('CDO Bespoke'!$C260,Z$13,'CDO Bespoke'!$G260/10000,'CDO Bespoke'!I260,'CDO Bespoke'!$L236,'CDO Bespoke'!$C$13,'CDO Bespoke'!$C$14,'CDO Bespoke'!$C$15,'CDO Bespoke'!$C$8,,,TRUE,TRUE,FALSE,'CDO Bespoke'!$C$29:'CDO Bespoke'!$C$31,'CDO Bespoke'!$C$33),{5})),"")</f>
        <v/>
      </c>
      <c r="AA235" s="500" t="str" cm="1">
        <f t="array" aca="1" ref="AA235" ca="1">IF($V235&lt;&gt;"",-TRANSPOSE(INDEX(getcds('CDO Bespoke'!$C260,AA$13,'CDO Bespoke'!$G260/10000,'CDO Bespoke'!J260,'CDO Bespoke'!$L236,'CDO Bespoke'!$C$13,'CDO Bespoke'!$C$14,'CDO Bespoke'!$C$15,'CDO Bespoke'!$C$8,,,TRUE,TRUE,FALSE,'CDO Bespoke'!$C$29:'CDO Bespoke'!$C$31,'CDO Bespoke'!$C$33),{5})),"")</f>
        <v/>
      </c>
      <c r="AB235" s="479"/>
      <c r="AC235" s="515"/>
      <c r="AD235" s="516"/>
      <c r="AE235" s="516"/>
      <c r="AF235" s="516"/>
      <c r="AG235" s="516"/>
      <c r="AH235" s="516"/>
      <c r="AI235" s="516"/>
      <c r="AJ235" s="516"/>
      <c r="AK235" s="516"/>
      <c r="AL235" s="517"/>
      <c r="AM235" s="534"/>
    </row>
    <row r="236" spans="2:39" ht="12" thickBot="1">
      <c r="B236" s="535" t="s">
        <v>576</v>
      </c>
      <c r="C236" s="536" t="s">
        <v>66</v>
      </c>
      <c r="D236" s="536" t="s">
        <v>57</v>
      </c>
      <c r="E236" s="536" t="s">
        <v>660</v>
      </c>
      <c r="F236" s="536" t="s">
        <v>668</v>
      </c>
      <c r="G236" s="543">
        <v>0.01</v>
      </c>
      <c r="H236" s="543">
        <v>3.8999999999999998E-3</v>
      </c>
      <c r="I236" s="545">
        <v>0.4</v>
      </c>
      <c r="J236" s="537">
        <v>71</v>
      </c>
      <c r="K236" s="274"/>
      <c r="L236" s="274"/>
      <c r="M236" s="487" t="str">
        <f ca="1">IF('CDO Bespoke'!O237&lt;&gt;"",'CDO Bespoke'!O237,"")</f>
        <v/>
      </c>
      <c r="N236" s="488" t="str">
        <f ca="1">IF(M236&lt;&gt;"",ABS(MIN(-0.75*('CDO Bespoke'!Q237)+'CDO Bespoke'!T237,0)),"")</f>
        <v/>
      </c>
      <c r="O236" s="488">
        <f t="shared" ca="1" si="12"/>
        <v>0</v>
      </c>
      <c r="P236" s="488">
        <f t="shared" ca="1" si="13"/>
        <v>0</v>
      </c>
      <c r="Q236" s="487" t="str">
        <f ca="1">IF('CDO Bespoke'!O237&lt;&gt;"",'CDO Bespoke'!O237,"")</f>
        <v/>
      </c>
      <c r="R236" s="488" t="str">
        <f ca="1">IF(Q236&lt;&gt;"",ABS(MIN(-0.75*('CDO Bespoke'!K237)+'CDO Bespoke'!T237,0)),"")</f>
        <v/>
      </c>
      <c r="S236" s="488">
        <f t="shared" ca="1" si="14"/>
        <v>0</v>
      </c>
      <c r="T236" s="492">
        <f t="shared" ca="1" si="15"/>
        <v>0</v>
      </c>
      <c r="U236" s="274"/>
      <c r="V236" s="497" t="str">
        <f ca="1">IF('CDO Bespoke'!C261&lt;&gt;"",'CDO Bespoke'!C261,"")</f>
        <v/>
      </c>
      <c r="W236" s="499" t="str" cm="1">
        <f t="array" aca="1" ref="W236" ca="1">IF($V236&lt;&gt;"",-TRANSPOSE(INDEX(getcds('CDO Bespoke'!$C261,W$13,'CDO Bespoke'!$G261/10000,'CDO Bespoke'!F261,'CDO Bespoke'!$L237,'CDO Bespoke'!$C$13,'CDO Bespoke'!$C$14,'CDO Bespoke'!$C$15,'CDO Bespoke'!$C$8,,,TRUE,TRUE,FALSE,'CDO Bespoke'!$C$29:'CDO Bespoke'!$C$31,'CDO Bespoke'!$C$33),{5})),"")</f>
        <v/>
      </c>
      <c r="X236" s="524" t="str" cm="1">
        <f t="array" aca="1" ref="X236" ca="1">IF($V236&lt;&gt;"",-TRANSPOSE(INDEX(getcds('CDO Bespoke'!$C261,X$13,'CDO Bespoke'!$G261/10000,'CDO Bespoke'!G261,'CDO Bespoke'!$L237,'CDO Bespoke'!$C$13,'CDO Bespoke'!$C$14,'CDO Bespoke'!$C$15,'CDO Bespoke'!$C$8,,,TRUE,TRUE,FALSE,'CDO Bespoke'!$C$29:'CDO Bespoke'!$C$31,'CDO Bespoke'!$C$33),{5})),"")</f>
        <v/>
      </c>
      <c r="Y236" s="524" t="str" cm="1">
        <f t="array" aca="1" ref="Y236" ca="1">IF($V236&lt;&gt;"",-TRANSPOSE(INDEX(getcds('CDO Bespoke'!$C261,Y$13,'CDO Bespoke'!$G261/10000,'CDO Bespoke'!H261,'CDO Bespoke'!$L237,'CDO Bespoke'!$C$13,'CDO Bespoke'!$C$14,'CDO Bespoke'!$C$15,'CDO Bespoke'!$C$8,,,TRUE,TRUE,FALSE,'CDO Bespoke'!$C$29:'CDO Bespoke'!$C$31,'CDO Bespoke'!$C$33),{5})),"")</f>
        <v/>
      </c>
      <c r="Z236" s="524" t="str" cm="1">
        <f t="array" aca="1" ref="Z236" ca="1">IF($V236&lt;&gt;"",-TRANSPOSE(INDEX(getcds('CDO Bespoke'!$C261,Z$13,'CDO Bespoke'!$G261/10000,'CDO Bespoke'!I261,'CDO Bespoke'!$L237,'CDO Bespoke'!$C$13,'CDO Bespoke'!$C$14,'CDO Bespoke'!$C$15,'CDO Bespoke'!$C$8,,,TRUE,TRUE,FALSE,'CDO Bespoke'!$C$29:'CDO Bespoke'!$C$31,'CDO Bespoke'!$C$33),{5})),"")</f>
        <v/>
      </c>
      <c r="AA236" s="500" t="str" cm="1">
        <f t="array" aca="1" ref="AA236" ca="1">IF($V236&lt;&gt;"",-TRANSPOSE(INDEX(getcds('CDO Bespoke'!$C261,AA$13,'CDO Bespoke'!$G261/10000,'CDO Bespoke'!J261,'CDO Bespoke'!$L237,'CDO Bespoke'!$C$13,'CDO Bespoke'!$C$14,'CDO Bespoke'!$C$15,'CDO Bespoke'!$C$8,,,TRUE,TRUE,FALSE,'CDO Bespoke'!$C$29:'CDO Bespoke'!$C$31,'CDO Bespoke'!$C$33),{5})),"")</f>
        <v/>
      </c>
      <c r="AB236" s="479"/>
      <c r="AC236" s="515"/>
      <c r="AD236" s="516"/>
      <c r="AE236" s="516"/>
      <c r="AF236" s="516"/>
      <c r="AG236" s="516"/>
      <c r="AH236" s="516"/>
      <c r="AI236" s="516"/>
      <c r="AJ236" s="516"/>
      <c r="AK236" s="516"/>
      <c r="AL236" s="517"/>
      <c r="AM236" s="534"/>
    </row>
    <row r="237" spans="2:39" ht="12" thickBot="1">
      <c r="B237" s="552" t="s">
        <v>576</v>
      </c>
      <c r="C237" s="553" t="s">
        <v>66</v>
      </c>
      <c r="D237" s="553" t="s">
        <v>59</v>
      </c>
      <c r="E237" s="553" t="s">
        <v>660</v>
      </c>
      <c r="F237" s="553" t="s">
        <v>668</v>
      </c>
      <c r="G237" s="554">
        <v>0.01</v>
      </c>
      <c r="H237" s="554">
        <v>5.7710000000000001E-3</v>
      </c>
      <c r="I237" s="555">
        <v>0.4</v>
      </c>
      <c r="J237" s="556">
        <v>71</v>
      </c>
      <c r="K237" s="274"/>
      <c r="L237" s="274"/>
      <c r="M237" s="487" t="str">
        <f ca="1">IF('CDO Bespoke'!O238&lt;&gt;"",'CDO Bespoke'!O238,"")</f>
        <v/>
      </c>
      <c r="N237" s="488" t="str">
        <f ca="1">IF(M237&lt;&gt;"",ABS(MIN(-0.75*('CDO Bespoke'!Q238)+'CDO Bespoke'!T238,0)),"")</f>
        <v/>
      </c>
      <c r="O237" s="488">
        <f t="shared" ca="1" si="12"/>
        <v>0</v>
      </c>
      <c r="P237" s="488">
        <f t="shared" ca="1" si="13"/>
        <v>0</v>
      </c>
      <c r="Q237" s="487" t="str">
        <f ca="1">IF('CDO Bespoke'!O238&lt;&gt;"",'CDO Bespoke'!O238,"")</f>
        <v/>
      </c>
      <c r="R237" s="488" t="str">
        <f ca="1">IF(Q237&lt;&gt;"",ABS(MIN(-0.75*('CDO Bespoke'!K238)+'CDO Bespoke'!T238,0)),"")</f>
        <v/>
      </c>
      <c r="S237" s="488">
        <f t="shared" ca="1" si="14"/>
        <v>0</v>
      </c>
      <c r="T237" s="492">
        <f t="shared" ca="1" si="15"/>
        <v>0</v>
      </c>
      <c r="U237" s="274"/>
      <c r="V237" s="497" t="str">
        <f ca="1">IF('CDO Bespoke'!C262&lt;&gt;"",'CDO Bespoke'!C262,"")</f>
        <v/>
      </c>
      <c r="W237" s="499" t="str" cm="1">
        <f t="array" aca="1" ref="W237" ca="1">IF($V237&lt;&gt;"",-TRANSPOSE(INDEX(getcds('CDO Bespoke'!$C262,W$13,'CDO Bespoke'!$G262/10000,'CDO Bespoke'!F262,'CDO Bespoke'!$L238,'CDO Bespoke'!$C$13,'CDO Bespoke'!$C$14,'CDO Bespoke'!$C$15,'CDO Bespoke'!$C$8,,,TRUE,TRUE,FALSE,'CDO Bespoke'!$C$29:'CDO Bespoke'!$C$31,'CDO Bespoke'!$C$33),{5})),"")</f>
        <v/>
      </c>
      <c r="X237" s="524" t="str" cm="1">
        <f t="array" aca="1" ref="X237" ca="1">IF($V237&lt;&gt;"",-TRANSPOSE(INDEX(getcds('CDO Bespoke'!$C262,X$13,'CDO Bespoke'!$G262/10000,'CDO Bespoke'!G262,'CDO Bespoke'!$L238,'CDO Bespoke'!$C$13,'CDO Bespoke'!$C$14,'CDO Bespoke'!$C$15,'CDO Bespoke'!$C$8,,,TRUE,TRUE,FALSE,'CDO Bespoke'!$C$29:'CDO Bespoke'!$C$31,'CDO Bespoke'!$C$33),{5})),"")</f>
        <v/>
      </c>
      <c r="Y237" s="524" t="str" cm="1">
        <f t="array" aca="1" ref="Y237" ca="1">IF($V237&lt;&gt;"",-TRANSPOSE(INDEX(getcds('CDO Bespoke'!$C262,Y$13,'CDO Bespoke'!$G262/10000,'CDO Bespoke'!H262,'CDO Bespoke'!$L238,'CDO Bespoke'!$C$13,'CDO Bespoke'!$C$14,'CDO Bespoke'!$C$15,'CDO Bespoke'!$C$8,,,TRUE,TRUE,FALSE,'CDO Bespoke'!$C$29:'CDO Bespoke'!$C$31,'CDO Bespoke'!$C$33),{5})),"")</f>
        <v/>
      </c>
      <c r="Z237" s="524" t="str" cm="1">
        <f t="array" aca="1" ref="Z237" ca="1">IF($V237&lt;&gt;"",-TRANSPOSE(INDEX(getcds('CDO Bespoke'!$C262,Z$13,'CDO Bespoke'!$G262/10000,'CDO Bespoke'!I262,'CDO Bespoke'!$L238,'CDO Bespoke'!$C$13,'CDO Bespoke'!$C$14,'CDO Bespoke'!$C$15,'CDO Bespoke'!$C$8,,,TRUE,TRUE,FALSE,'CDO Bespoke'!$C$29:'CDO Bespoke'!$C$31,'CDO Bespoke'!$C$33),{5})),"")</f>
        <v/>
      </c>
      <c r="AA237" s="500" t="str" cm="1">
        <f t="array" aca="1" ref="AA237" ca="1">IF($V237&lt;&gt;"",-TRANSPOSE(INDEX(getcds('CDO Bespoke'!$C262,AA$13,'CDO Bespoke'!$G262/10000,'CDO Bespoke'!J262,'CDO Bespoke'!$L238,'CDO Bespoke'!$C$13,'CDO Bespoke'!$C$14,'CDO Bespoke'!$C$15,'CDO Bespoke'!$C$8,,,TRUE,TRUE,FALSE,'CDO Bespoke'!$C$29:'CDO Bespoke'!$C$31,'CDO Bespoke'!$C$33),{5})),"")</f>
        <v/>
      </c>
      <c r="AB237" s="479"/>
      <c r="AC237" s="515"/>
      <c r="AD237" s="516"/>
      <c r="AE237" s="516"/>
      <c r="AF237" s="516"/>
      <c r="AG237" s="516"/>
      <c r="AH237" s="516"/>
      <c r="AI237" s="516"/>
      <c r="AJ237" s="516"/>
      <c r="AK237" s="516"/>
      <c r="AL237" s="517"/>
      <c r="AM237" s="534"/>
    </row>
    <row r="238" spans="2:39" ht="12" thickBot="1">
      <c r="B238" s="557" t="s">
        <v>577</v>
      </c>
      <c r="C238" s="558" t="s">
        <v>66</v>
      </c>
      <c r="D238" s="558" t="s">
        <v>55</v>
      </c>
      <c r="E238" s="558" t="s">
        <v>660</v>
      </c>
      <c r="F238" s="558" t="s">
        <v>668</v>
      </c>
      <c r="G238" s="559">
        <v>0.01</v>
      </c>
      <c r="H238" s="559">
        <v>3.751E-3</v>
      </c>
      <c r="I238" s="560">
        <v>0.4</v>
      </c>
      <c r="J238" s="561">
        <v>72</v>
      </c>
      <c r="K238" s="274"/>
      <c r="L238" s="274"/>
      <c r="M238" s="487" t="str">
        <f ca="1">IF('CDO Bespoke'!O239&lt;&gt;"",'CDO Bespoke'!O239,"")</f>
        <v/>
      </c>
      <c r="N238" s="488" t="str">
        <f ca="1">IF(M238&lt;&gt;"",ABS(MIN(-0.75*('CDO Bespoke'!Q239)+'CDO Bespoke'!T239,0)),"")</f>
        <v/>
      </c>
      <c r="O238" s="488">
        <f t="shared" ca="1" si="12"/>
        <v>0</v>
      </c>
      <c r="P238" s="488">
        <f t="shared" ca="1" si="13"/>
        <v>0</v>
      </c>
      <c r="Q238" s="487" t="str">
        <f ca="1">IF('CDO Bespoke'!O239&lt;&gt;"",'CDO Bespoke'!O239,"")</f>
        <v/>
      </c>
      <c r="R238" s="488" t="str">
        <f ca="1">IF(Q238&lt;&gt;"",ABS(MIN(-0.75*('CDO Bespoke'!K239)+'CDO Bespoke'!T239,0)),"")</f>
        <v/>
      </c>
      <c r="S238" s="488">
        <f t="shared" ca="1" si="14"/>
        <v>0</v>
      </c>
      <c r="T238" s="492">
        <f t="shared" ca="1" si="15"/>
        <v>0</v>
      </c>
      <c r="U238" s="274"/>
      <c r="V238" s="497" t="str">
        <f ca="1">IF('CDO Bespoke'!C263&lt;&gt;"",'CDO Bespoke'!C263,"")</f>
        <v/>
      </c>
      <c r="W238" s="499" t="str" cm="1">
        <f t="array" aca="1" ref="W238" ca="1">IF($V238&lt;&gt;"",-TRANSPOSE(INDEX(getcds('CDO Bespoke'!$C263,W$13,'CDO Bespoke'!$G263/10000,'CDO Bespoke'!F263,'CDO Bespoke'!$L239,'CDO Bespoke'!$C$13,'CDO Bespoke'!$C$14,'CDO Bespoke'!$C$15,'CDO Bespoke'!$C$8,,,TRUE,TRUE,FALSE,'CDO Bespoke'!$C$29:'CDO Bespoke'!$C$31,'CDO Bespoke'!$C$33),{5})),"")</f>
        <v/>
      </c>
      <c r="X238" s="524" t="str" cm="1">
        <f t="array" aca="1" ref="X238" ca="1">IF($V238&lt;&gt;"",-TRANSPOSE(INDEX(getcds('CDO Bespoke'!$C263,X$13,'CDO Bespoke'!$G263/10000,'CDO Bespoke'!G263,'CDO Bespoke'!$L239,'CDO Bespoke'!$C$13,'CDO Bespoke'!$C$14,'CDO Bespoke'!$C$15,'CDO Bespoke'!$C$8,,,TRUE,TRUE,FALSE,'CDO Bespoke'!$C$29:'CDO Bespoke'!$C$31,'CDO Bespoke'!$C$33),{5})),"")</f>
        <v/>
      </c>
      <c r="Y238" s="524" t="str" cm="1">
        <f t="array" aca="1" ref="Y238" ca="1">IF($V238&lt;&gt;"",-TRANSPOSE(INDEX(getcds('CDO Bespoke'!$C263,Y$13,'CDO Bespoke'!$G263/10000,'CDO Bespoke'!H263,'CDO Bespoke'!$L239,'CDO Bespoke'!$C$13,'CDO Bespoke'!$C$14,'CDO Bespoke'!$C$15,'CDO Bespoke'!$C$8,,,TRUE,TRUE,FALSE,'CDO Bespoke'!$C$29:'CDO Bespoke'!$C$31,'CDO Bespoke'!$C$33),{5})),"")</f>
        <v/>
      </c>
      <c r="Z238" s="524" t="str" cm="1">
        <f t="array" aca="1" ref="Z238" ca="1">IF($V238&lt;&gt;"",-TRANSPOSE(INDEX(getcds('CDO Bespoke'!$C263,Z$13,'CDO Bespoke'!$G263/10000,'CDO Bespoke'!I263,'CDO Bespoke'!$L239,'CDO Bespoke'!$C$13,'CDO Bespoke'!$C$14,'CDO Bespoke'!$C$15,'CDO Bespoke'!$C$8,,,TRUE,TRUE,FALSE,'CDO Bespoke'!$C$29:'CDO Bespoke'!$C$31,'CDO Bespoke'!$C$33),{5})),"")</f>
        <v/>
      </c>
      <c r="AA238" s="500" t="str" cm="1">
        <f t="array" aca="1" ref="AA238" ca="1">IF($V238&lt;&gt;"",-TRANSPOSE(INDEX(getcds('CDO Bespoke'!$C263,AA$13,'CDO Bespoke'!$G263/10000,'CDO Bespoke'!J263,'CDO Bespoke'!$L239,'CDO Bespoke'!$C$13,'CDO Bespoke'!$C$14,'CDO Bespoke'!$C$15,'CDO Bespoke'!$C$8,,,TRUE,TRUE,FALSE,'CDO Bespoke'!$C$29:'CDO Bespoke'!$C$31,'CDO Bespoke'!$C$33),{5})),"")</f>
        <v/>
      </c>
      <c r="AB238" s="479"/>
      <c r="AC238" s="515"/>
      <c r="AD238" s="516"/>
      <c r="AE238" s="516"/>
      <c r="AF238" s="516"/>
      <c r="AG238" s="516"/>
      <c r="AH238" s="516"/>
      <c r="AI238" s="516"/>
      <c r="AJ238" s="516"/>
      <c r="AK238" s="516"/>
      <c r="AL238" s="517"/>
      <c r="AM238" s="534"/>
    </row>
    <row r="239" spans="2:39" ht="12" thickBot="1">
      <c r="B239" s="535" t="s">
        <v>577</v>
      </c>
      <c r="C239" s="536" t="s">
        <v>66</v>
      </c>
      <c r="D239" s="536" t="s">
        <v>57</v>
      </c>
      <c r="E239" s="536" t="s">
        <v>660</v>
      </c>
      <c r="F239" s="536" t="s">
        <v>668</v>
      </c>
      <c r="G239" s="543">
        <v>0.01</v>
      </c>
      <c r="H239" s="543">
        <v>5.8129999999999996E-3</v>
      </c>
      <c r="I239" s="545">
        <v>0.4</v>
      </c>
      <c r="J239" s="537">
        <v>72</v>
      </c>
      <c r="K239" s="274"/>
      <c r="L239" s="274"/>
      <c r="M239" s="487" t="str">
        <f ca="1">IF('CDO Bespoke'!O240&lt;&gt;"",'CDO Bespoke'!O240,"")</f>
        <v/>
      </c>
      <c r="N239" s="488" t="str">
        <f ca="1">IF(M239&lt;&gt;"",ABS(MIN(-0.75*('CDO Bespoke'!Q240)+'CDO Bespoke'!T240,0)),"")</f>
        <v/>
      </c>
      <c r="O239" s="488">
        <f t="shared" ca="1" si="12"/>
        <v>0</v>
      </c>
      <c r="P239" s="488">
        <f t="shared" ca="1" si="13"/>
        <v>0</v>
      </c>
      <c r="Q239" s="487" t="str">
        <f ca="1">IF('CDO Bespoke'!O240&lt;&gt;"",'CDO Bespoke'!O240,"")</f>
        <v/>
      </c>
      <c r="R239" s="488" t="str">
        <f ca="1">IF(Q239&lt;&gt;"",ABS(MIN(-0.75*('CDO Bespoke'!K240)+'CDO Bespoke'!T240,0)),"")</f>
        <v/>
      </c>
      <c r="S239" s="488">
        <f t="shared" ca="1" si="14"/>
        <v>0</v>
      </c>
      <c r="T239" s="492">
        <f t="shared" ca="1" si="15"/>
        <v>0</v>
      </c>
      <c r="U239" s="274"/>
      <c r="V239" s="497" t="str">
        <f ca="1">IF('CDO Bespoke'!C264&lt;&gt;"",'CDO Bespoke'!C264,"")</f>
        <v/>
      </c>
      <c r="W239" s="499" t="str" cm="1">
        <f t="array" aca="1" ref="W239" ca="1">IF($V239&lt;&gt;"",-TRANSPOSE(INDEX(getcds('CDO Bespoke'!$C264,W$13,'CDO Bespoke'!$G264/10000,'CDO Bespoke'!F264,'CDO Bespoke'!$L240,'CDO Bespoke'!$C$13,'CDO Bespoke'!$C$14,'CDO Bespoke'!$C$15,'CDO Bespoke'!$C$8,,,TRUE,TRUE,FALSE,'CDO Bespoke'!$C$29:'CDO Bespoke'!$C$31,'CDO Bespoke'!$C$33),{5})),"")</f>
        <v/>
      </c>
      <c r="X239" s="524" t="str" cm="1">
        <f t="array" aca="1" ref="X239" ca="1">IF($V239&lt;&gt;"",-TRANSPOSE(INDEX(getcds('CDO Bespoke'!$C264,X$13,'CDO Bespoke'!$G264/10000,'CDO Bespoke'!G264,'CDO Bespoke'!$L240,'CDO Bespoke'!$C$13,'CDO Bespoke'!$C$14,'CDO Bespoke'!$C$15,'CDO Bespoke'!$C$8,,,TRUE,TRUE,FALSE,'CDO Bespoke'!$C$29:'CDO Bespoke'!$C$31,'CDO Bespoke'!$C$33),{5})),"")</f>
        <v/>
      </c>
      <c r="Y239" s="524" t="str" cm="1">
        <f t="array" aca="1" ref="Y239" ca="1">IF($V239&lt;&gt;"",-TRANSPOSE(INDEX(getcds('CDO Bespoke'!$C264,Y$13,'CDO Bespoke'!$G264/10000,'CDO Bespoke'!H264,'CDO Bespoke'!$L240,'CDO Bespoke'!$C$13,'CDO Bespoke'!$C$14,'CDO Bespoke'!$C$15,'CDO Bespoke'!$C$8,,,TRUE,TRUE,FALSE,'CDO Bespoke'!$C$29:'CDO Bespoke'!$C$31,'CDO Bespoke'!$C$33),{5})),"")</f>
        <v/>
      </c>
      <c r="Z239" s="524" t="str" cm="1">
        <f t="array" aca="1" ref="Z239" ca="1">IF($V239&lt;&gt;"",-TRANSPOSE(INDEX(getcds('CDO Bespoke'!$C264,Z$13,'CDO Bespoke'!$G264/10000,'CDO Bespoke'!I264,'CDO Bespoke'!$L240,'CDO Bespoke'!$C$13,'CDO Bespoke'!$C$14,'CDO Bespoke'!$C$15,'CDO Bespoke'!$C$8,,,TRUE,TRUE,FALSE,'CDO Bespoke'!$C$29:'CDO Bespoke'!$C$31,'CDO Bespoke'!$C$33),{5})),"")</f>
        <v/>
      </c>
      <c r="AA239" s="500" t="str" cm="1">
        <f t="array" aca="1" ref="AA239" ca="1">IF($V239&lt;&gt;"",-TRANSPOSE(INDEX(getcds('CDO Bespoke'!$C264,AA$13,'CDO Bespoke'!$G264/10000,'CDO Bespoke'!J264,'CDO Bespoke'!$L240,'CDO Bespoke'!$C$13,'CDO Bespoke'!$C$14,'CDO Bespoke'!$C$15,'CDO Bespoke'!$C$8,,,TRUE,TRUE,FALSE,'CDO Bespoke'!$C$29:'CDO Bespoke'!$C$31,'CDO Bespoke'!$C$33),{5})),"")</f>
        <v/>
      </c>
      <c r="AB239" s="479"/>
      <c r="AC239" s="515"/>
      <c r="AD239" s="516"/>
      <c r="AE239" s="516"/>
      <c r="AF239" s="516"/>
      <c r="AG239" s="516"/>
      <c r="AH239" s="516"/>
      <c r="AI239" s="516"/>
      <c r="AJ239" s="516"/>
      <c r="AK239" s="516"/>
      <c r="AL239" s="517"/>
      <c r="AM239" s="534"/>
    </row>
    <row r="240" spans="2:39" ht="12" thickBot="1">
      <c r="B240" s="552" t="s">
        <v>577</v>
      </c>
      <c r="C240" s="553" t="s">
        <v>66</v>
      </c>
      <c r="D240" s="553" t="s">
        <v>59</v>
      </c>
      <c r="E240" s="553" t="s">
        <v>660</v>
      </c>
      <c r="F240" s="553" t="s">
        <v>668</v>
      </c>
      <c r="G240" s="554">
        <v>0.01</v>
      </c>
      <c r="H240" s="554">
        <v>8.0239999999999999E-3</v>
      </c>
      <c r="I240" s="555">
        <v>0.4</v>
      </c>
      <c r="J240" s="556">
        <v>72</v>
      </c>
      <c r="K240" s="274"/>
      <c r="L240" s="274"/>
      <c r="M240" s="487" t="str">
        <f ca="1">IF('CDO Bespoke'!O241&lt;&gt;"",'CDO Bespoke'!O241,"")</f>
        <v/>
      </c>
      <c r="N240" s="488" t="str">
        <f ca="1">IF(M240&lt;&gt;"",ABS(MIN(-0.75*('CDO Bespoke'!Q241)+'CDO Bespoke'!T241,0)),"")</f>
        <v/>
      </c>
      <c r="O240" s="488">
        <f t="shared" ca="1" si="12"/>
        <v>0</v>
      </c>
      <c r="P240" s="488">
        <f t="shared" ca="1" si="13"/>
        <v>0</v>
      </c>
      <c r="Q240" s="487" t="str">
        <f ca="1">IF('CDO Bespoke'!O241&lt;&gt;"",'CDO Bespoke'!O241,"")</f>
        <v/>
      </c>
      <c r="R240" s="488" t="str">
        <f ca="1">IF(Q240&lt;&gt;"",ABS(MIN(-0.75*('CDO Bespoke'!K241)+'CDO Bespoke'!T241,0)),"")</f>
        <v/>
      </c>
      <c r="S240" s="488">
        <f t="shared" ca="1" si="14"/>
        <v>0</v>
      </c>
      <c r="T240" s="492">
        <f t="shared" ca="1" si="15"/>
        <v>0</v>
      </c>
      <c r="U240" s="274"/>
      <c r="V240" s="497" t="str">
        <f ca="1">IF('CDO Bespoke'!C265&lt;&gt;"",'CDO Bespoke'!C265,"")</f>
        <v/>
      </c>
      <c r="W240" s="499" t="str" cm="1">
        <f t="array" aca="1" ref="W240" ca="1">IF($V240&lt;&gt;"",-TRANSPOSE(INDEX(getcds('CDO Bespoke'!$C265,W$13,'CDO Bespoke'!$G265/10000,'CDO Bespoke'!F265,'CDO Bespoke'!$L241,'CDO Bespoke'!$C$13,'CDO Bespoke'!$C$14,'CDO Bespoke'!$C$15,'CDO Bespoke'!$C$8,,,TRUE,TRUE,FALSE,'CDO Bespoke'!$C$29:'CDO Bespoke'!$C$31,'CDO Bespoke'!$C$33),{5})),"")</f>
        <v/>
      </c>
      <c r="X240" s="524" t="str" cm="1">
        <f t="array" aca="1" ref="X240" ca="1">IF($V240&lt;&gt;"",-TRANSPOSE(INDEX(getcds('CDO Bespoke'!$C265,X$13,'CDO Bespoke'!$G265/10000,'CDO Bespoke'!G265,'CDO Bespoke'!$L241,'CDO Bespoke'!$C$13,'CDO Bespoke'!$C$14,'CDO Bespoke'!$C$15,'CDO Bespoke'!$C$8,,,TRUE,TRUE,FALSE,'CDO Bespoke'!$C$29:'CDO Bespoke'!$C$31,'CDO Bespoke'!$C$33),{5})),"")</f>
        <v/>
      </c>
      <c r="Y240" s="524" t="str" cm="1">
        <f t="array" aca="1" ref="Y240" ca="1">IF($V240&lt;&gt;"",-TRANSPOSE(INDEX(getcds('CDO Bespoke'!$C265,Y$13,'CDO Bespoke'!$G265/10000,'CDO Bespoke'!H265,'CDO Bespoke'!$L241,'CDO Bespoke'!$C$13,'CDO Bespoke'!$C$14,'CDO Bespoke'!$C$15,'CDO Bespoke'!$C$8,,,TRUE,TRUE,FALSE,'CDO Bespoke'!$C$29:'CDO Bespoke'!$C$31,'CDO Bespoke'!$C$33),{5})),"")</f>
        <v/>
      </c>
      <c r="Z240" s="524" t="str" cm="1">
        <f t="array" aca="1" ref="Z240" ca="1">IF($V240&lt;&gt;"",-TRANSPOSE(INDEX(getcds('CDO Bespoke'!$C265,Z$13,'CDO Bespoke'!$G265/10000,'CDO Bespoke'!I265,'CDO Bespoke'!$L241,'CDO Bespoke'!$C$13,'CDO Bespoke'!$C$14,'CDO Bespoke'!$C$15,'CDO Bespoke'!$C$8,,,TRUE,TRUE,FALSE,'CDO Bespoke'!$C$29:'CDO Bespoke'!$C$31,'CDO Bespoke'!$C$33),{5})),"")</f>
        <v/>
      </c>
      <c r="AA240" s="500" t="str" cm="1">
        <f t="array" aca="1" ref="AA240" ca="1">IF($V240&lt;&gt;"",-TRANSPOSE(INDEX(getcds('CDO Bespoke'!$C265,AA$13,'CDO Bespoke'!$G265/10000,'CDO Bespoke'!J265,'CDO Bespoke'!$L241,'CDO Bespoke'!$C$13,'CDO Bespoke'!$C$14,'CDO Bespoke'!$C$15,'CDO Bespoke'!$C$8,,,TRUE,TRUE,FALSE,'CDO Bespoke'!$C$29:'CDO Bespoke'!$C$31,'CDO Bespoke'!$C$33),{5})),"")</f>
        <v/>
      </c>
      <c r="AB240" s="479"/>
      <c r="AC240" s="515"/>
      <c r="AD240" s="516"/>
      <c r="AE240" s="516"/>
      <c r="AF240" s="516"/>
      <c r="AG240" s="516"/>
      <c r="AH240" s="516"/>
      <c r="AI240" s="516"/>
      <c r="AJ240" s="516"/>
      <c r="AK240" s="516"/>
      <c r="AL240" s="517"/>
      <c r="AM240" s="534"/>
    </row>
    <row r="241" spans="2:39" ht="12" thickBot="1">
      <c r="B241" s="557" t="s">
        <v>578</v>
      </c>
      <c r="C241" s="558" t="s">
        <v>66</v>
      </c>
      <c r="D241" s="558" t="s">
        <v>55</v>
      </c>
      <c r="E241" s="558" t="s">
        <v>660</v>
      </c>
      <c r="F241" s="558" t="s">
        <v>668</v>
      </c>
      <c r="G241" s="559">
        <v>0.01</v>
      </c>
      <c r="H241" s="559">
        <v>2.993E-3</v>
      </c>
      <c r="I241" s="560">
        <v>0.4</v>
      </c>
      <c r="J241" s="561">
        <v>73</v>
      </c>
      <c r="K241" s="274"/>
      <c r="L241" s="274"/>
      <c r="M241" s="487" t="str">
        <f ca="1">IF('CDO Bespoke'!O242&lt;&gt;"",'CDO Bespoke'!O242,"")</f>
        <v/>
      </c>
      <c r="N241" s="488" t="str">
        <f ca="1">IF(M241&lt;&gt;"",ABS(MIN(-0.75*('CDO Bespoke'!Q242)+'CDO Bespoke'!T242,0)),"")</f>
        <v/>
      </c>
      <c r="O241" s="488">
        <f t="shared" ca="1" si="12"/>
        <v>0</v>
      </c>
      <c r="P241" s="488">
        <f t="shared" ca="1" si="13"/>
        <v>0</v>
      </c>
      <c r="Q241" s="487" t="str">
        <f ca="1">IF('CDO Bespoke'!O242&lt;&gt;"",'CDO Bespoke'!O242,"")</f>
        <v/>
      </c>
      <c r="R241" s="488" t="str">
        <f ca="1">IF(Q241&lt;&gt;"",ABS(MIN(-0.75*('CDO Bespoke'!K242)+'CDO Bespoke'!T242,0)),"")</f>
        <v/>
      </c>
      <c r="S241" s="488">
        <f t="shared" ca="1" si="14"/>
        <v>0</v>
      </c>
      <c r="T241" s="492">
        <f t="shared" ca="1" si="15"/>
        <v>0</v>
      </c>
      <c r="U241" s="274"/>
      <c r="V241" s="497" t="str">
        <f ca="1">IF('CDO Bespoke'!C266&lt;&gt;"",'CDO Bespoke'!C266,"")</f>
        <v/>
      </c>
      <c r="W241" s="499" t="str" cm="1">
        <f t="array" aca="1" ref="W241" ca="1">IF($V241&lt;&gt;"",-TRANSPOSE(INDEX(getcds('CDO Bespoke'!$C266,W$13,'CDO Bespoke'!$G266/10000,'CDO Bespoke'!F266,'CDO Bespoke'!$L242,'CDO Bespoke'!$C$13,'CDO Bespoke'!$C$14,'CDO Bespoke'!$C$15,'CDO Bespoke'!$C$8,,,TRUE,TRUE,FALSE,'CDO Bespoke'!$C$29:'CDO Bespoke'!$C$31,'CDO Bespoke'!$C$33),{5})),"")</f>
        <v/>
      </c>
      <c r="X241" s="524" t="str" cm="1">
        <f t="array" aca="1" ref="X241" ca="1">IF($V241&lt;&gt;"",-TRANSPOSE(INDEX(getcds('CDO Bespoke'!$C266,X$13,'CDO Bespoke'!$G266/10000,'CDO Bespoke'!G266,'CDO Bespoke'!$L242,'CDO Bespoke'!$C$13,'CDO Bespoke'!$C$14,'CDO Bespoke'!$C$15,'CDO Bespoke'!$C$8,,,TRUE,TRUE,FALSE,'CDO Bespoke'!$C$29:'CDO Bespoke'!$C$31,'CDO Bespoke'!$C$33),{5})),"")</f>
        <v/>
      </c>
      <c r="Y241" s="524" t="str" cm="1">
        <f t="array" aca="1" ref="Y241" ca="1">IF($V241&lt;&gt;"",-TRANSPOSE(INDEX(getcds('CDO Bespoke'!$C266,Y$13,'CDO Bespoke'!$G266/10000,'CDO Bespoke'!H266,'CDO Bespoke'!$L242,'CDO Bespoke'!$C$13,'CDO Bespoke'!$C$14,'CDO Bespoke'!$C$15,'CDO Bespoke'!$C$8,,,TRUE,TRUE,FALSE,'CDO Bespoke'!$C$29:'CDO Bespoke'!$C$31,'CDO Bespoke'!$C$33),{5})),"")</f>
        <v/>
      </c>
      <c r="Z241" s="524" t="str" cm="1">
        <f t="array" aca="1" ref="Z241" ca="1">IF($V241&lt;&gt;"",-TRANSPOSE(INDEX(getcds('CDO Bespoke'!$C266,Z$13,'CDO Bespoke'!$G266/10000,'CDO Bespoke'!I266,'CDO Bespoke'!$L242,'CDO Bespoke'!$C$13,'CDO Bespoke'!$C$14,'CDO Bespoke'!$C$15,'CDO Bespoke'!$C$8,,,TRUE,TRUE,FALSE,'CDO Bespoke'!$C$29:'CDO Bespoke'!$C$31,'CDO Bespoke'!$C$33),{5})),"")</f>
        <v/>
      </c>
      <c r="AA241" s="500" t="str" cm="1">
        <f t="array" aca="1" ref="AA241" ca="1">IF($V241&lt;&gt;"",-TRANSPOSE(INDEX(getcds('CDO Bespoke'!$C266,AA$13,'CDO Bespoke'!$G266/10000,'CDO Bespoke'!J266,'CDO Bespoke'!$L242,'CDO Bespoke'!$C$13,'CDO Bespoke'!$C$14,'CDO Bespoke'!$C$15,'CDO Bespoke'!$C$8,,,TRUE,TRUE,FALSE,'CDO Bespoke'!$C$29:'CDO Bespoke'!$C$31,'CDO Bespoke'!$C$33),{5})),"")</f>
        <v/>
      </c>
      <c r="AB241" s="479"/>
      <c r="AC241" s="515"/>
      <c r="AD241" s="516"/>
      <c r="AE241" s="516"/>
      <c r="AF241" s="516"/>
      <c r="AG241" s="516"/>
      <c r="AH241" s="516"/>
      <c r="AI241" s="516"/>
      <c r="AJ241" s="516"/>
      <c r="AK241" s="516"/>
      <c r="AL241" s="517"/>
      <c r="AM241" s="534"/>
    </row>
    <row r="242" spans="2:39" ht="12" thickBot="1">
      <c r="B242" s="535" t="s">
        <v>578</v>
      </c>
      <c r="C242" s="536" t="s">
        <v>66</v>
      </c>
      <c r="D242" s="536" t="s">
        <v>57</v>
      </c>
      <c r="E242" s="536" t="s">
        <v>660</v>
      </c>
      <c r="F242" s="536" t="s">
        <v>668</v>
      </c>
      <c r="G242" s="543">
        <v>0.01</v>
      </c>
      <c r="H242" s="543">
        <v>4.7149999999999996E-3</v>
      </c>
      <c r="I242" s="545">
        <v>0.4</v>
      </c>
      <c r="J242" s="537">
        <v>73</v>
      </c>
      <c r="K242" s="274"/>
      <c r="L242" s="274"/>
      <c r="M242" s="487" t="str">
        <f ca="1">IF('CDO Bespoke'!O243&lt;&gt;"",'CDO Bespoke'!O243,"")</f>
        <v/>
      </c>
      <c r="N242" s="488" t="str">
        <f ca="1">IF(M242&lt;&gt;"",ABS(MIN(-0.75*('CDO Bespoke'!Q243)+'CDO Bespoke'!T243,0)),"")</f>
        <v/>
      </c>
      <c r="O242" s="488">
        <f t="shared" ca="1" si="12"/>
        <v>0</v>
      </c>
      <c r="P242" s="488">
        <f t="shared" ca="1" si="13"/>
        <v>0</v>
      </c>
      <c r="Q242" s="487" t="str">
        <f ca="1">IF('CDO Bespoke'!O243&lt;&gt;"",'CDO Bespoke'!O243,"")</f>
        <v/>
      </c>
      <c r="R242" s="488" t="str">
        <f ca="1">IF(Q242&lt;&gt;"",ABS(MIN(-0.75*('CDO Bespoke'!K243)+'CDO Bespoke'!T243,0)),"")</f>
        <v/>
      </c>
      <c r="S242" s="488">
        <f t="shared" ca="1" si="14"/>
        <v>0</v>
      </c>
      <c r="T242" s="492">
        <f t="shared" ca="1" si="15"/>
        <v>0</v>
      </c>
      <c r="U242" s="274"/>
      <c r="V242" s="497" t="str">
        <f ca="1">IF('CDO Bespoke'!C267&lt;&gt;"",'CDO Bespoke'!C267,"")</f>
        <v/>
      </c>
      <c r="W242" s="499" t="str" cm="1">
        <f t="array" aca="1" ref="W242" ca="1">IF($V242&lt;&gt;"",-TRANSPOSE(INDEX(getcds('CDO Bespoke'!$C267,W$13,'CDO Bespoke'!$G267/10000,'CDO Bespoke'!F267,'CDO Bespoke'!$L243,'CDO Bespoke'!$C$13,'CDO Bespoke'!$C$14,'CDO Bespoke'!$C$15,'CDO Bespoke'!$C$8,,,TRUE,TRUE,FALSE,'CDO Bespoke'!$C$29:'CDO Bespoke'!$C$31,'CDO Bespoke'!$C$33),{5})),"")</f>
        <v/>
      </c>
      <c r="X242" s="524" t="str" cm="1">
        <f t="array" aca="1" ref="X242" ca="1">IF($V242&lt;&gt;"",-TRANSPOSE(INDEX(getcds('CDO Bespoke'!$C267,X$13,'CDO Bespoke'!$G267/10000,'CDO Bespoke'!G267,'CDO Bespoke'!$L243,'CDO Bespoke'!$C$13,'CDO Bespoke'!$C$14,'CDO Bespoke'!$C$15,'CDO Bespoke'!$C$8,,,TRUE,TRUE,FALSE,'CDO Bespoke'!$C$29:'CDO Bespoke'!$C$31,'CDO Bespoke'!$C$33),{5})),"")</f>
        <v/>
      </c>
      <c r="Y242" s="524" t="str" cm="1">
        <f t="array" aca="1" ref="Y242" ca="1">IF($V242&lt;&gt;"",-TRANSPOSE(INDEX(getcds('CDO Bespoke'!$C267,Y$13,'CDO Bespoke'!$G267/10000,'CDO Bespoke'!H267,'CDO Bespoke'!$L243,'CDO Bespoke'!$C$13,'CDO Bespoke'!$C$14,'CDO Bespoke'!$C$15,'CDO Bespoke'!$C$8,,,TRUE,TRUE,FALSE,'CDO Bespoke'!$C$29:'CDO Bespoke'!$C$31,'CDO Bespoke'!$C$33),{5})),"")</f>
        <v/>
      </c>
      <c r="Z242" s="524" t="str" cm="1">
        <f t="array" aca="1" ref="Z242" ca="1">IF($V242&lt;&gt;"",-TRANSPOSE(INDEX(getcds('CDO Bespoke'!$C267,Z$13,'CDO Bespoke'!$G267/10000,'CDO Bespoke'!I267,'CDO Bespoke'!$L243,'CDO Bespoke'!$C$13,'CDO Bespoke'!$C$14,'CDO Bespoke'!$C$15,'CDO Bespoke'!$C$8,,,TRUE,TRUE,FALSE,'CDO Bespoke'!$C$29:'CDO Bespoke'!$C$31,'CDO Bespoke'!$C$33),{5})),"")</f>
        <v/>
      </c>
      <c r="AA242" s="500" t="str" cm="1">
        <f t="array" aca="1" ref="AA242" ca="1">IF($V242&lt;&gt;"",-TRANSPOSE(INDEX(getcds('CDO Bespoke'!$C267,AA$13,'CDO Bespoke'!$G267/10000,'CDO Bespoke'!J267,'CDO Bespoke'!$L243,'CDO Bespoke'!$C$13,'CDO Bespoke'!$C$14,'CDO Bespoke'!$C$15,'CDO Bespoke'!$C$8,,,TRUE,TRUE,FALSE,'CDO Bespoke'!$C$29:'CDO Bespoke'!$C$31,'CDO Bespoke'!$C$33),{5})),"")</f>
        <v/>
      </c>
      <c r="AB242" s="479"/>
      <c r="AC242" s="515"/>
      <c r="AD242" s="516"/>
      <c r="AE242" s="516"/>
      <c r="AF242" s="516"/>
      <c r="AG242" s="516"/>
      <c r="AH242" s="516"/>
      <c r="AI242" s="516"/>
      <c r="AJ242" s="516"/>
      <c r="AK242" s="516"/>
      <c r="AL242" s="517"/>
      <c r="AM242" s="534"/>
    </row>
    <row r="243" spans="2:39" ht="12" thickBot="1">
      <c r="B243" s="552" t="s">
        <v>578</v>
      </c>
      <c r="C243" s="553" t="s">
        <v>66</v>
      </c>
      <c r="D243" s="553" t="s">
        <v>59</v>
      </c>
      <c r="E243" s="553" t="s">
        <v>660</v>
      </c>
      <c r="F243" s="553" t="s">
        <v>668</v>
      </c>
      <c r="G243" s="554">
        <v>0.01</v>
      </c>
      <c r="H243" s="554">
        <v>6.6360000000000004E-3</v>
      </c>
      <c r="I243" s="555">
        <v>0.4</v>
      </c>
      <c r="J243" s="556">
        <v>73</v>
      </c>
      <c r="K243" s="274"/>
      <c r="L243" s="274"/>
      <c r="M243" s="487" t="str">
        <f ca="1">IF('CDO Bespoke'!O244&lt;&gt;"",'CDO Bespoke'!O244,"")</f>
        <v/>
      </c>
      <c r="N243" s="488" t="str">
        <f ca="1">IF(M243&lt;&gt;"",ABS(MIN(-0.75*('CDO Bespoke'!Q244)+'CDO Bespoke'!T244,0)),"")</f>
        <v/>
      </c>
      <c r="O243" s="488">
        <f t="shared" ca="1" si="12"/>
        <v>0</v>
      </c>
      <c r="P243" s="488">
        <f t="shared" ca="1" si="13"/>
        <v>0</v>
      </c>
      <c r="Q243" s="487" t="str">
        <f ca="1">IF('CDO Bespoke'!O244&lt;&gt;"",'CDO Bespoke'!O244,"")</f>
        <v/>
      </c>
      <c r="R243" s="488" t="str">
        <f ca="1">IF(Q243&lt;&gt;"",ABS(MIN(-0.75*('CDO Bespoke'!K244)+'CDO Bespoke'!T244,0)),"")</f>
        <v/>
      </c>
      <c r="S243" s="488">
        <f t="shared" ca="1" si="14"/>
        <v>0</v>
      </c>
      <c r="T243" s="492">
        <f t="shared" ca="1" si="15"/>
        <v>0</v>
      </c>
      <c r="U243" s="274"/>
      <c r="V243" s="497" t="str">
        <f ca="1">IF('CDO Bespoke'!C268&lt;&gt;"",'CDO Bespoke'!C268,"")</f>
        <v/>
      </c>
      <c r="W243" s="499" t="str" cm="1">
        <f t="array" aca="1" ref="W243" ca="1">IF($V243&lt;&gt;"",-TRANSPOSE(INDEX(getcds('CDO Bespoke'!$C268,W$13,'CDO Bespoke'!$G268/10000,'CDO Bespoke'!F268,'CDO Bespoke'!$L244,'CDO Bespoke'!$C$13,'CDO Bespoke'!$C$14,'CDO Bespoke'!$C$15,'CDO Bespoke'!$C$8,,,TRUE,TRUE,FALSE,'CDO Bespoke'!$C$29:'CDO Bespoke'!$C$31,'CDO Bespoke'!$C$33),{5})),"")</f>
        <v/>
      </c>
      <c r="X243" s="524" t="str" cm="1">
        <f t="array" aca="1" ref="X243" ca="1">IF($V243&lt;&gt;"",-TRANSPOSE(INDEX(getcds('CDO Bespoke'!$C268,X$13,'CDO Bespoke'!$G268/10000,'CDO Bespoke'!G268,'CDO Bespoke'!$L244,'CDO Bespoke'!$C$13,'CDO Bespoke'!$C$14,'CDO Bespoke'!$C$15,'CDO Bespoke'!$C$8,,,TRUE,TRUE,FALSE,'CDO Bespoke'!$C$29:'CDO Bespoke'!$C$31,'CDO Bespoke'!$C$33),{5})),"")</f>
        <v/>
      </c>
      <c r="Y243" s="524" t="str" cm="1">
        <f t="array" aca="1" ref="Y243" ca="1">IF($V243&lt;&gt;"",-TRANSPOSE(INDEX(getcds('CDO Bespoke'!$C268,Y$13,'CDO Bespoke'!$G268/10000,'CDO Bespoke'!H268,'CDO Bespoke'!$L244,'CDO Bespoke'!$C$13,'CDO Bespoke'!$C$14,'CDO Bespoke'!$C$15,'CDO Bespoke'!$C$8,,,TRUE,TRUE,FALSE,'CDO Bespoke'!$C$29:'CDO Bespoke'!$C$31,'CDO Bespoke'!$C$33),{5})),"")</f>
        <v/>
      </c>
      <c r="Z243" s="524" t="str" cm="1">
        <f t="array" aca="1" ref="Z243" ca="1">IF($V243&lt;&gt;"",-TRANSPOSE(INDEX(getcds('CDO Bespoke'!$C268,Z$13,'CDO Bespoke'!$G268/10000,'CDO Bespoke'!I268,'CDO Bespoke'!$L244,'CDO Bespoke'!$C$13,'CDO Bespoke'!$C$14,'CDO Bespoke'!$C$15,'CDO Bespoke'!$C$8,,,TRUE,TRUE,FALSE,'CDO Bespoke'!$C$29:'CDO Bespoke'!$C$31,'CDO Bespoke'!$C$33),{5})),"")</f>
        <v/>
      </c>
      <c r="AA243" s="500" t="str" cm="1">
        <f t="array" aca="1" ref="AA243" ca="1">IF($V243&lt;&gt;"",-TRANSPOSE(INDEX(getcds('CDO Bespoke'!$C268,AA$13,'CDO Bespoke'!$G268/10000,'CDO Bespoke'!J268,'CDO Bespoke'!$L244,'CDO Bespoke'!$C$13,'CDO Bespoke'!$C$14,'CDO Bespoke'!$C$15,'CDO Bespoke'!$C$8,,,TRUE,TRUE,FALSE,'CDO Bespoke'!$C$29:'CDO Bespoke'!$C$31,'CDO Bespoke'!$C$33),{5})),"")</f>
        <v/>
      </c>
      <c r="AB243" s="479"/>
      <c r="AC243" s="515"/>
      <c r="AD243" s="516"/>
      <c r="AE243" s="516"/>
      <c r="AF243" s="516"/>
      <c r="AG243" s="516"/>
      <c r="AH243" s="516"/>
      <c r="AI243" s="516"/>
      <c r="AJ243" s="516"/>
      <c r="AK243" s="516"/>
      <c r="AL243" s="517"/>
      <c r="AM243" s="534"/>
    </row>
    <row r="244" spans="2:39" ht="12" thickBot="1">
      <c r="B244" s="557" t="s">
        <v>579</v>
      </c>
      <c r="C244" s="558" t="s">
        <v>66</v>
      </c>
      <c r="D244" s="558" t="s">
        <v>55</v>
      </c>
      <c r="E244" s="558" t="s">
        <v>660</v>
      </c>
      <c r="F244" s="558" t="s">
        <v>667</v>
      </c>
      <c r="G244" s="559">
        <v>0.01</v>
      </c>
      <c r="H244" s="559">
        <v>4.0020000000000003E-3</v>
      </c>
      <c r="I244" s="560">
        <v>0.4</v>
      </c>
      <c r="J244" s="561">
        <v>74</v>
      </c>
      <c r="K244" s="274"/>
      <c r="L244" s="274"/>
      <c r="M244" s="487" t="str">
        <f ca="1">IF('CDO Bespoke'!O245&lt;&gt;"",'CDO Bespoke'!O245,"")</f>
        <v/>
      </c>
      <c r="N244" s="488" t="str">
        <f ca="1">IF(M244&lt;&gt;"",ABS(MIN(-0.75*('CDO Bespoke'!Q245)+'CDO Bespoke'!T245,0)),"")</f>
        <v/>
      </c>
      <c r="O244" s="488">
        <f t="shared" ca="1" si="12"/>
        <v>0</v>
      </c>
      <c r="P244" s="488">
        <f t="shared" ca="1" si="13"/>
        <v>0</v>
      </c>
      <c r="Q244" s="487" t="str">
        <f ca="1">IF('CDO Bespoke'!O245&lt;&gt;"",'CDO Bespoke'!O245,"")</f>
        <v/>
      </c>
      <c r="R244" s="488" t="str">
        <f ca="1">IF(Q244&lt;&gt;"",ABS(MIN(-0.75*('CDO Bespoke'!K245)+'CDO Bespoke'!T245,0)),"")</f>
        <v/>
      </c>
      <c r="S244" s="488">
        <f t="shared" ca="1" si="14"/>
        <v>0</v>
      </c>
      <c r="T244" s="492">
        <f t="shared" ca="1" si="15"/>
        <v>0</v>
      </c>
      <c r="U244" s="274"/>
      <c r="V244" s="497" t="str">
        <f ca="1">IF('CDO Bespoke'!C269&lt;&gt;"",'CDO Bespoke'!C269,"")</f>
        <v/>
      </c>
      <c r="W244" s="499" t="str" cm="1">
        <f t="array" aca="1" ref="W244" ca="1">IF($V244&lt;&gt;"",-TRANSPOSE(INDEX(getcds('CDO Bespoke'!$C269,W$13,'CDO Bespoke'!$G269/10000,'CDO Bespoke'!F269,'CDO Bespoke'!$L245,'CDO Bespoke'!$C$13,'CDO Bespoke'!$C$14,'CDO Bespoke'!$C$15,'CDO Bespoke'!$C$8,,,TRUE,TRUE,FALSE,'CDO Bespoke'!$C$29:'CDO Bespoke'!$C$31,'CDO Bespoke'!$C$33),{5})),"")</f>
        <v/>
      </c>
      <c r="X244" s="524" t="str" cm="1">
        <f t="array" aca="1" ref="X244" ca="1">IF($V244&lt;&gt;"",-TRANSPOSE(INDEX(getcds('CDO Bespoke'!$C269,X$13,'CDO Bespoke'!$G269/10000,'CDO Bespoke'!G269,'CDO Bespoke'!$L245,'CDO Bespoke'!$C$13,'CDO Bespoke'!$C$14,'CDO Bespoke'!$C$15,'CDO Bespoke'!$C$8,,,TRUE,TRUE,FALSE,'CDO Bespoke'!$C$29:'CDO Bespoke'!$C$31,'CDO Bespoke'!$C$33),{5})),"")</f>
        <v/>
      </c>
      <c r="Y244" s="524" t="str" cm="1">
        <f t="array" aca="1" ref="Y244" ca="1">IF($V244&lt;&gt;"",-TRANSPOSE(INDEX(getcds('CDO Bespoke'!$C269,Y$13,'CDO Bespoke'!$G269/10000,'CDO Bespoke'!H269,'CDO Bespoke'!$L245,'CDO Bespoke'!$C$13,'CDO Bespoke'!$C$14,'CDO Bespoke'!$C$15,'CDO Bespoke'!$C$8,,,TRUE,TRUE,FALSE,'CDO Bespoke'!$C$29:'CDO Bespoke'!$C$31,'CDO Bespoke'!$C$33),{5})),"")</f>
        <v/>
      </c>
      <c r="Z244" s="524" t="str" cm="1">
        <f t="array" aca="1" ref="Z244" ca="1">IF($V244&lt;&gt;"",-TRANSPOSE(INDEX(getcds('CDO Bespoke'!$C269,Z$13,'CDO Bespoke'!$G269/10000,'CDO Bespoke'!I269,'CDO Bespoke'!$L245,'CDO Bespoke'!$C$13,'CDO Bespoke'!$C$14,'CDO Bespoke'!$C$15,'CDO Bespoke'!$C$8,,,TRUE,TRUE,FALSE,'CDO Bespoke'!$C$29:'CDO Bespoke'!$C$31,'CDO Bespoke'!$C$33),{5})),"")</f>
        <v/>
      </c>
      <c r="AA244" s="500" t="str" cm="1">
        <f t="array" aca="1" ref="AA244" ca="1">IF($V244&lt;&gt;"",-TRANSPOSE(INDEX(getcds('CDO Bespoke'!$C269,AA$13,'CDO Bespoke'!$G269/10000,'CDO Bespoke'!J269,'CDO Bespoke'!$L245,'CDO Bespoke'!$C$13,'CDO Bespoke'!$C$14,'CDO Bespoke'!$C$15,'CDO Bespoke'!$C$8,,,TRUE,TRUE,FALSE,'CDO Bespoke'!$C$29:'CDO Bespoke'!$C$31,'CDO Bespoke'!$C$33),{5})),"")</f>
        <v/>
      </c>
      <c r="AB244" s="479"/>
      <c r="AC244" s="515"/>
      <c r="AD244" s="516"/>
      <c r="AE244" s="516"/>
      <c r="AF244" s="516"/>
      <c r="AG244" s="516"/>
      <c r="AH244" s="516"/>
      <c r="AI244" s="516"/>
      <c r="AJ244" s="516"/>
      <c r="AK244" s="516"/>
      <c r="AL244" s="517"/>
      <c r="AM244" s="534"/>
    </row>
    <row r="245" spans="2:39" ht="12" thickBot="1">
      <c r="B245" s="535" t="s">
        <v>579</v>
      </c>
      <c r="C245" s="536" t="s">
        <v>66</v>
      </c>
      <c r="D245" s="536" t="s">
        <v>57</v>
      </c>
      <c r="E245" s="536" t="s">
        <v>660</v>
      </c>
      <c r="F245" s="536" t="s">
        <v>667</v>
      </c>
      <c r="G245" s="543">
        <v>0.01</v>
      </c>
      <c r="H245" s="543">
        <v>6.0629999999999998E-3</v>
      </c>
      <c r="I245" s="545">
        <v>0.4</v>
      </c>
      <c r="J245" s="537">
        <v>74</v>
      </c>
      <c r="K245" s="274"/>
      <c r="L245" s="274"/>
      <c r="M245" s="487" t="str">
        <f ca="1">IF('CDO Bespoke'!O246&lt;&gt;"",'CDO Bespoke'!O246,"")</f>
        <v/>
      </c>
      <c r="N245" s="488" t="str">
        <f ca="1">IF(M245&lt;&gt;"",ABS(MIN(-0.75*('CDO Bespoke'!Q246)+'CDO Bespoke'!T246,0)),"")</f>
        <v/>
      </c>
      <c r="O245" s="488">
        <f t="shared" ca="1" si="12"/>
        <v>0</v>
      </c>
      <c r="P245" s="488">
        <f t="shared" ca="1" si="13"/>
        <v>0</v>
      </c>
      <c r="Q245" s="487" t="str">
        <f ca="1">IF('CDO Bespoke'!O246&lt;&gt;"",'CDO Bespoke'!O246,"")</f>
        <v/>
      </c>
      <c r="R245" s="488" t="str">
        <f ca="1">IF(Q245&lt;&gt;"",ABS(MIN(-0.75*('CDO Bespoke'!K246)+'CDO Bespoke'!T246,0)),"")</f>
        <v/>
      </c>
      <c r="S245" s="488">
        <f t="shared" ca="1" si="14"/>
        <v>0</v>
      </c>
      <c r="T245" s="492">
        <f t="shared" ca="1" si="15"/>
        <v>0</v>
      </c>
      <c r="U245" s="274"/>
      <c r="V245" s="497" t="str">
        <f ca="1">IF('CDO Bespoke'!C270&lt;&gt;"",'CDO Bespoke'!C270,"")</f>
        <v/>
      </c>
      <c r="W245" s="499" t="str" cm="1">
        <f t="array" aca="1" ref="W245" ca="1">IF($V245&lt;&gt;"",-TRANSPOSE(INDEX(getcds('CDO Bespoke'!$C270,W$13,'CDO Bespoke'!$G270/10000,'CDO Bespoke'!F270,'CDO Bespoke'!$L246,'CDO Bespoke'!$C$13,'CDO Bespoke'!$C$14,'CDO Bespoke'!$C$15,'CDO Bespoke'!$C$8,,,TRUE,TRUE,FALSE,'CDO Bespoke'!$C$29:'CDO Bespoke'!$C$31,'CDO Bespoke'!$C$33),{5})),"")</f>
        <v/>
      </c>
      <c r="X245" s="524" t="str" cm="1">
        <f t="array" aca="1" ref="X245" ca="1">IF($V245&lt;&gt;"",-TRANSPOSE(INDEX(getcds('CDO Bespoke'!$C270,X$13,'CDO Bespoke'!$G270/10000,'CDO Bespoke'!G270,'CDO Bespoke'!$L246,'CDO Bespoke'!$C$13,'CDO Bespoke'!$C$14,'CDO Bespoke'!$C$15,'CDO Bespoke'!$C$8,,,TRUE,TRUE,FALSE,'CDO Bespoke'!$C$29:'CDO Bespoke'!$C$31,'CDO Bespoke'!$C$33),{5})),"")</f>
        <v/>
      </c>
      <c r="Y245" s="524" t="str" cm="1">
        <f t="array" aca="1" ref="Y245" ca="1">IF($V245&lt;&gt;"",-TRANSPOSE(INDEX(getcds('CDO Bespoke'!$C270,Y$13,'CDO Bespoke'!$G270/10000,'CDO Bespoke'!H270,'CDO Bespoke'!$L246,'CDO Bespoke'!$C$13,'CDO Bespoke'!$C$14,'CDO Bespoke'!$C$15,'CDO Bespoke'!$C$8,,,TRUE,TRUE,FALSE,'CDO Bespoke'!$C$29:'CDO Bespoke'!$C$31,'CDO Bespoke'!$C$33),{5})),"")</f>
        <v/>
      </c>
      <c r="Z245" s="524" t="str" cm="1">
        <f t="array" aca="1" ref="Z245" ca="1">IF($V245&lt;&gt;"",-TRANSPOSE(INDEX(getcds('CDO Bespoke'!$C270,Z$13,'CDO Bespoke'!$G270/10000,'CDO Bespoke'!I270,'CDO Bespoke'!$L246,'CDO Bespoke'!$C$13,'CDO Bespoke'!$C$14,'CDO Bespoke'!$C$15,'CDO Bespoke'!$C$8,,,TRUE,TRUE,FALSE,'CDO Bespoke'!$C$29:'CDO Bespoke'!$C$31,'CDO Bespoke'!$C$33),{5})),"")</f>
        <v/>
      </c>
      <c r="AA245" s="500" t="str" cm="1">
        <f t="array" aca="1" ref="AA245" ca="1">IF($V245&lt;&gt;"",-TRANSPOSE(INDEX(getcds('CDO Bespoke'!$C270,AA$13,'CDO Bespoke'!$G270/10000,'CDO Bespoke'!J270,'CDO Bespoke'!$L246,'CDO Bespoke'!$C$13,'CDO Bespoke'!$C$14,'CDO Bespoke'!$C$15,'CDO Bespoke'!$C$8,,,TRUE,TRUE,FALSE,'CDO Bespoke'!$C$29:'CDO Bespoke'!$C$31,'CDO Bespoke'!$C$33),{5})),"")</f>
        <v/>
      </c>
      <c r="AB245" s="479"/>
      <c r="AC245" s="515"/>
      <c r="AD245" s="516"/>
      <c r="AE245" s="516"/>
      <c r="AF245" s="516"/>
      <c r="AG245" s="516"/>
      <c r="AH245" s="516"/>
      <c r="AI245" s="516"/>
      <c r="AJ245" s="516"/>
      <c r="AK245" s="516"/>
      <c r="AL245" s="517"/>
      <c r="AM245" s="534"/>
    </row>
    <row r="246" spans="2:39" ht="12" thickBot="1">
      <c r="B246" s="552" t="s">
        <v>579</v>
      </c>
      <c r="C246" s="553" t="s">
        <v>66</v>
      </c>
      <c r="D246" s="553" t="s">
        <v>59</v>
      </c>
      <c r="E246" s="553" t="s">
        <v>660</v>
      </c>
      <c r="F246" s="553" t="s">
        <v>667</v>
      </c>
      <c r="G246" s="554">
        <v>0.01</v>
      </c>
      <c r="H246" s="554">
        <v>8.3820000000000006E-3</v>
      </c>
      <c r="I246" s="555">
        <v>0.4</v>
      </c>
      <c r="J246" s="556">
        <v>74</v>
      </c>
      <c r="K246" s="274"/>
      <c r="L246" s="274"/>
      <c r="M246" s="487" t="str">
        <f ca="1">IF('CDO Bespoke'!O247&lt;&gt;"",'CDO Bespoke'!O247,"")</f>
        <v/>
      </c>
      <c r="N246" s="488" t="str">
        <f ca="1">IF(M246&lt;&gt;"",ABS(MIN(-0.75*('CDO Bespoke'!Q247)+'CDO Bespoke'!T247,0)),"")</f>
        <v/>
      </c>
      <c r="O246" s="488">
        <f t="shared" ca="1" si="12"/>
        <v>0</v>
      </c>
      <c r="P246" s="488">
        <f t="shared" ca="1" si="13"/>
        <v>0</v>
      </c>
      <c r="Q246" s="487" t="str">
        <f ca="1">IF('CDO Bespoke'!O247&lt;&gt;"",'CDO Bespoke'!O247,"")</f>
        <v/>
      </c>
      <c r="R246" s="488" t="str">
        <f ca="1">IF(Q246&lt;&gt;"",ABS(MIN(-0.75*('CDO Bespoke'!K247)+'CDO Bespoke'!T247,0)),"")</f>
        <v/>
      </c>
      <c r="S246" s="488">
        <f t="shared" ca="1" si="14"/>
        <v>0</v>
      </c>
      <c r="T246" s="492">
        <f t="shared" ca="1" si="15"/>
        <v>0</v>
      </c>
      <c r="U246" s="274"/>
      <c r="V246" s="497" t="str">
        <f ca="1">IF('CDO Bespoke'!C271&lt;&gt;"",'CDO Bespoke'!C271,"")</f>
        <v/>
      </c>
      <c r="W246" s="499" t="str" cm="1">
        <f t="array" aca="1" ref="W246" ca="1">IF($V246&lt;&gt;"",-TRANSPOSE(INDEX(getcds('CDO Bespoke'!$C271,W$13,'CDO Bespoke'!$G271/10000,'CDO Bespoke'!F271,'CDO Bespoke'!$L247,'CDO Bespoke'!$C$13,'CDO Bespoke'!$C$14,'CDO Bespoke'!$C$15,'CDO Bespoke'!$C$8,,,TRUE,TRUE,FALSE,'CDO Bespoke'!$C$29:'CDO Bespoke'!$C$31,'CDO Bespoke'!$C$33),{5})),"")</f>
        <v/>
      </c>
      <c r="X246" s="524" t="str" cm="1">
        <f t="array" aca="1" ref="X246" ca="1">IF($V246&lt;&gt;"",-TRANSPOSE(INDEX(getcds('CDO Bespoke'!$C271,X$13,'CDO Bespoke'!$G271/10000,'CDO Bespoke'!G271,'CDO Bespoke'!$L247,'CDO Bespoke'!$C$13,'CDO Bespoke'!$C$14,'CDO Bespoke'!$C$15,'CDO Bespoke'!$C$8,,,TRUE,TRUE,FALSE,'CDO Bespoke'!$C$29:'CDO Bespoke'!$C$31,'CDO Bespoke'!$C$33),{5})),"")</f>
        <v/>
      </c>
      <c r="Y246" s="524" t="str" cm="1">
        <f t="array" aca="1" ref="Y246" ca="1">IF($V246&lt;&gt;"",-TRANSPOSE(INDEX(getcds('CDO Bespoke'!$C271,Y$13,'CDO Bespoke'!$G271/10000,'CDO Bespoke'!H271,'CDO Bespoke'!$L247,'CDO Bespoke'!$C$13,'CDO Bespoke'!$C$14,'CDO Bespoke'!$C$15,'CDO Bespoke'!$C$8,,,TRUE,TRUE,FALSE,'CDO Bespoke'!$C$29:'CDO Bespoke'!$C$31,'CDO Bespoke'!$C$33),{5})),"")</f>
        <v/>
      </c>
      <c r="Z246" s="524" t="str" cm="1">
        <f t="array" aca="1" ref="Z246" ca="1">IF($V246&lt;&gt;"",-TRANSPOSE(INDEX(getcds('CDO Bespoke'!$C271,Z$13,'CDO Bespoke'!$G271/10000,'CDO Bespoke'!I271,'CDO Bespoke'!$L247,'CDO Bespoke'!$C$13,'CDO Bespoke'!$C$14,'CDO Bespoke'!$C$15,'CDO Bespoke'!$C$8,,,TRUE,TRUE,FALSE,'CDO Bespoke'!$C$29:'CDO Bespoke'!$C$31,'CDO Bespoke'!$C$33),{5})),"")</f>
        <v/>
      </c>
      <c r="AA246" s="500" t="str" cm="1">
        <f t="array" aca="1" ref="AA246" ca="1">IF($V246&lt;&gt;"",-TRANSPOSE(INDEX(getcds('CDO Bespoke'!$C271,AA$13,'CDO Bespoke'!$G271/10000,'CDO Bespoke'!J271,'CDO Bespoke'!$L247,'CDO Bespoke'!$C$13,'CDO Bespoke'!$C$14,'CDO Bespoke'!$C$15,'CDO Bespoke'!$C$8,,,TRUE,TRUE,FALSE,'CDO Bespoke'!$C$29:'CDO Bespoke'!$C$31,'CDO Bespoke'!$C$33),{5})),"")</f>
        <v/>
      </c>
      <c r="AB246" s="479"/>
      <c r="AC246" s="515"/>
      <c r="AD246" s="516"/>
      <c r="AE246" s="516"/>
      <c r="AF246" s="516"/>
      <c r="AG246" s="516"/>
      <c r="AH246" s="516"/>
      <c r="AI246" s="516"/>
      <c r="AJ246" s="516"/>
      <c r="AK246" s="516"/>
      <c r="AL246" s="517"/>
      <c r="AM246" s="534"/>
    </row>
    <row r="247" spans="2:39" ht="12" thickBot="1">
      <c r="B247" s="557" t="s">
        <v>584</v>
      </c>
      <c r="C247" s="558" t="s">
        <v>66</v>
      </c>
      <c r="D247" s="558" t="s">
        <v>55</v>
      </c>
      <c r="E247" s="558" t="s">
        <v>665</v>
      </c>
      <c r="F247" s="558" t="s">
        <v>667</v>
      </c>
      <c r="G247" s="559">
        <v>0.01</v>
      </c>
      <c r="H247" s="559">
        <v>1.9380000000000001E-3</v>
      </c>
      <c r="I247" s="560">
        <v>0.4</v>
      </c>
      <c r="J247" s="561">
        <v>75</v>
      </c>
      <c r="K247" s="274"/>
      <c r="L247" s="274"/>
      <c r="M247" s="487" t="str">
        <f ca="1">IF('CDO Bespoke'!O248&lt;&gt;"",'CDO Bespoke'!O248,"")</f>
        <v/>
      </c>
      <c r="N247" s="488" t="str">
        <f ca="1">IF(M247&lt;&gt;"",ABS(MIN(-0.75*('CDO Bespoke'!Q248)+'CDO Bespoke'!T248,0)),"")</f>
        <v/>
      </c>
      <c r="O247" s="488">
        <f t="shared" ca="1" si="12"/>
        <v>0</v>
      </c>
      <c r="P247" s="488">
        <f t="shared" ca="1" si="13"/>
        <v>0</v>
      </c>
      <c r="Q247" s="487" t="str">
        <f ca="1">IF('CDO Bespoke'!O248&lt;&gt;"",'CDO Bespoke'!O248,"")</f>
        <v/>
      </c>
      <c r="R247" s="488" t="str">
        <f ca="1">IF(Q247&lt;&gt;"",ABS(MIN(-0.75*('CDO Bespoke'!K248)+'CDO Bespoke'!T248,0)),"")</f>
        <v/>
      </c>
      <c r="S247" s="488">
        <f t="shared" ca="1" si="14"/>
        <v>0</v>
      </c>
      <c r="T247" s="492">
        <f t="shared" ca="1" si="15"/>
        <v>0</v>
      </c>
      <c r="U247" s="274"/>
      <c r="V247" s="497" t="str">
        <f ca="1">IF('CDO Bespoke'!C272&lt;&gt;"",'CDO Bespoke'!C272,"")</f>
        <v/>
      </c>
      <c r="W247" s="499" t="str" cm="1">
        <f t="array" aca="1" ref="W247" ca="1">IF($V247&lt;&gt;"",-TRANSPOSE(INDEX(getcds('CDO Bespoke'!$C272,W$13,'CDO Bespoke'!$G272/10000,'CDO Bespoke'!F272,'CDO Bespoke'!$L248,'CDO Bespoke'!$C$13,'CDO Bespoke'!$C$14,'CDO Bespoke'!$C$15,'CDO Bespoke'!$C$8,,,TRUE,TRUE,FALSE,'CDO Bespoke'!$C$29:'CDO Bespoke'!$C$31,'CDO Bespoke'!$C$33),{5})),"")</f>
        <v/>
      </c>
      <c r="X247" s="524" t="str" cm="1">
        <f t="array" aca="1" ref="X247" ca="1">IF($V247&lt;&gt;"",-TRANSPOSE(INDEX(getcds('CDO Bespoke'!$C272,X$13,'CDO Bespoke'!$G272/10000,'CDO Bespoke'!G272,'CDO Bespoke'!$L248,'CDO Bespoke'!$C$13,'CDO Bespoke'!$C$14,'CDO Bespoke'!$C$15,'CDO Bespoke'!$C$8,,,TRUE,TRUE,FALSE,'CDO Bespoke'!$C$29:'CDO Bespoke'!$C$31,'CDO Bespoke'!$C$33),{5})),"")</f>
        <v/>
      </c>
      <c r="Y247" s="524" t="str" cm="1">
        <f t="array" aca="1" ref="Y247" ca="1">IF($V247&lt;&gt;"",-TRANSPOSE(INDEX(getcds('CDO Bespoke'!$C272,Y$13,'CDO Bespoke'!$G272/10000,'CDO Bespoke'!H272,'CDO Bespoke'!$L248,'CDO Bespoke'!$C$13,'CDO Bespoke'!$C$14,'CDO Bespoke'!$C$15,'CDO Bespoke'!$C$8,,,TRUE,TRUE,FALSE,'CDO Bespoke'!$C$29:'CDO Bespoke'!$C$31,'CDO Bespoke'!$C$33),{5})),"")</f>
        <v/>
      </c>
      <c r="Z247" s="524" t="str" cm="1">
        <f t="array" aca="1" ref="Z247" ca="1">IF($V247&lt;&gt;"",-TRANSPOSE(INDEX(getcds('CDO Bespoke'!$C272,Z$13,'CDO Bespoke'!$G272/10000,'CDO Bespoke'!I272,'CDO Bespoke'!$L248,'CDO Bespoke'!$C$13,'CDO Bespoke'!$C$14,'CDO Bespoke'!$C$15,'CDO Bespoke'!$C$8,,,TRUE,TRUE,FALSE,'CDO Bespoke'!$C$29:'CDO Bespoke'!$C$31,'CDO Bespoke'!$C$33),{5})),"")</f>
        <v/>
      </c>
      <c r="AA247" s="500" t="str" cm="1">
        <f t="array" aca="1" ref="AA247" ca="1">IF($V247&lt;&gt;"",-TRANSPOSE(INDEX(getcds('CDO Bespoke'!$C272,AA$13,'CDO Bespoke'!$G272/10000,'CDO Bespoke'!J272,'CDO Bespoke'!$L248,'CDO Bespoke'!$C$13,'CDO Bespoke'!$C$14,'CDO Bespoke'!$C$15,'CDO Bespoke'!$C$8,,,TRUE,TRUE,FALSE,'CDO Bespoke'!$C$29:'CDO Bespoke'!$C$31,'CDO Bespoke'!$C$33),{5})),"")</f>
        <v/>
      </c>
      <c r="AB247" s="479"/>
      <c r="AC247" s="515"/>
      <c r="AD247" s="516"/>
      <c r="AE247" s="516"/>
      <c r="AF247" s="516"/>
      <c r="AG247" s="516"/>
      <c r="AH247" s="516"/>
      <c r="AI247" s="516"/>
      <c r="AJ247" s="516"/>
      <c r="AK247" s="516"/>
      <c r="AL247" s="517"/>
      <c r="AM247" s="534"/>
    </row>
    <row r="248" spans="2:39" ht="12" thickBot="1">
      <c r="B248" s="535" t="s">
        <v>584</v>
      </c>
      <c r="C248" s="536" t="s">
        <v>66</v>
      </c>
      <c r="D248" s="536" t="s">
        <v>57</v>
      </c>
      <c r="E248" s="536" t="s">
        <v>665</v>
      </c>
      <c r="F248" s="536" t="s">
        <v>667</v>
      </c>
      <c r="G248" s="543">
        <v>0.01</v>
      </c>
      <c r="H248" s="543">
        <v>3.1410000000000001E-3</v>
      </c>
      <c r="I248" s="545">
        <v>0.4</v>
      </c>
      <c r="J248" s="537">
        <v>75</v>
      </c>
      <c r="K248" s="274"/>
      <c r="L248" s="274"/>
      <c r="M248" s="487" t="str">
        <f ca="1">IF('CDO Bespoke'!O249&lt;&gt;"",'CDO Bespoke'!O249,"")</f>
        <v/>
      </c>
      <c r="N248" s="488" t="str">
        <f ca="1">IF(M248&lt;&gt;"",ABS(MIN(-0.75*('CDO Bespoke'!Q249)+'CDO Bespoke'!T249,0)),"")</f>
        <v/>
      </c>
      <c r="O248" s="488">
        <f t="shared" ca="1" si="12"/>
        <v>0</v>
      </c>
      <c r="P248" s="488">
        <f t="shared" ca="1" si="13"/>
        <v>0</v>
      </c>
      <c r="Q248" s="487" t="str">
        <f ca="1">IF('CDO Bespoke'!O249&lt;&gt;"",'CDO Bespoke'!O249,"")</f>
        <v/>
      </c>
      <c r="R248" s="488" t="str">
        <f ca="1">IF(Q248&lt;&gt;"",ABS(MIN(-0.75*('CDO Bespoke'!K249)+'CDO Bespoke'!T249,0)),"")</f>
        <v/>
      </c>
      <c r="S248" s="488">
        <f t="shared" ca="1" si="14"/>
        <v>0</v>
      </c>
      <c r="T248" s="492">
        <f t="shared" ca="1" si="15"/>
        <v>0</v>
      </c>
      <c r="U248" s="274"/>
      <c r="V248" s="497" t="str">
        <f ca="1">IF('CDO Bespoke'!C273&lt;&gt;"",'CDO Bespoke'!C273,"")</f>
        <v/>
      </c>
      <c r="W248" s="499" t="str" cm="1">
        <f t="array" aca="1" ref="W248" ca="1">IF($V248&lt;&gt;"",-TRANSPOSE(INDEX(getcds('CDO Bespoke'!$C273,W$13,'CDO Bespoke'!$G273/10000,'CDO Bespoke'!F273,'CDO Bespoke'!$L249,'CDO Bespoke'!$C$13,'CDO Bespoke'!$C$14,'CDO Bespoke'!$C$15,'CDO Bespoke'!$C$8,,,TRUE,TRUE,FALSE,'CDO Bespoke'!$C$29:'CDO Bespoke'!$C$31,'CDO Bespoke'!$C$33),{5})),"")</f>
        <v/>
      </c>
      <c r="X248" s="524" t="str" cm="1">
        <f t="array" aca="1" ref="X248" ca="1">IF($V248&lt;&gt;"",-TRANSPOSE(INDEX(getcds('CDO Bespoke'!$C273,X$13,'CDO Bespoke'!$G273/10000,'CDO Bespoke'!G273,'CDO Bespoke'!$L249,'CDO Bespoke'!$C$13,'CDO Bespoke'!$C$14,'CDO Bespoke'!$C$15,'CDO Bespoke'!$C$8,,,TRUE,TRUE,FALSE,'CDO Bespoke'!$C$29:'CDO Bespoke'!$C$31,'CDO Bespoke'!$C$33),{5})),"")</f>
        <v/>
      </c>
      <c r="Y248" s="524" t="str" cm="1">
        <f t="array" aca="1" ref="Y248" ca="1">IF($V248&lt;&gt;"",-TRANSPOSE(INDEX(getcds('CDO Bespoke'!$C273,Y$13,'CDO Bespoke'!$G273/10000,'CDO Bespoke'!H273,'CDO Bespoke'!$L249,'CDO Bespoke'!$C$13,'CDO Bespoke'!$C$14,'CDO Bespoke'!$C$15,'CDO Bespoke'!$C$8,,,TRUE,TRUE,FALSE,'CDO Bespoke'!$C$29:'CDO Bespoke'!$C$31,'CDO Bespoke'!$C$33),{5})),"")</f>
        <v/>
      </c>
      <c r="Z248" s="524" t="str" cm="1">
        <f t="array" aca="1" ref="Z248" ca="1">IF($V248&lt;&gt;"",-TRANSPOSE(INDEX(getcds('CDO Bespoke'!$C273,Z$13,'CDO Bespoke'!$G273/10000,'CDO Bespoke'!I273,'CDO Bespoke'!$L249,'CDO Bespoke'!$C$13,'CDO Bespoke'!$C$14,'CDO Bespoke'!$C$15,'CDO Bespoke'!$C$8,,,TRUE,TRUE,FALSE,'CDO Bespoke'!$C$29:'CDO Bespoke'!$C$31,'CDO Bespoke'!$C$33),{5})),"")</f>
        <v/>
      </c>
      <c r="AA248" s="500" t="str" cm="1">
        <f t="array" aca="1" ref="AA248" ca="1">IF($V248&lt;&gt;"",-TRANSPOSE(INDEX(getcds('CDO Bespoke'!$C273,AA$13,'CDO Bespoke'!$G273/10000,'CDO Bespoke'!J273,'CDO Bespoke'!$L249,'CDO Bespoke'!$C$13,'CDO Bespoke'!$C$14,'CDO Bespoke'!$C$15,'CDO Bespoke'!$C$8,,,TRUE,TRUE,FALSE,'CDO Bespoke'!$C$29:'CDO Bespoke'!$C$31,'CDO Bespoke'!$C$33),{5})),"")</f>
        <v/>
      </c>
      <c r="AB248" s="479"/>
      <c r="AC248" s="515"/>
      <c r="AD248" s="516"/>
      <c r="AE248" s="516"/>
      <c r="AF248" s="516"/>
      <c r="AG248" s="516"/>
      <c r="AH248" s="516"/>
      <c r="AI248" s="516"/>
      <c r="AJ248" s="516"/>
      <c r="AK248" s="516"/>
      <c r="AL248" s="517"/>
      <c r="AM248" s="534"/>
    </row>
    <row r="249" spans="2:39" ht="12" thickBot="1">
      <c r="B249" s="552" t="s">
        <v>584</v>
      </c>
      <c r="C249" s="553" t="s">
        <v>66</v>
      </c>
      <c r="D249" s="553" t="s">
        <v>59</v>
      </c>
      <c r="E249" s="553" t="s">
        <v>665</v>
      </c>
      <c r="F249" s="553" t="s">
        <v>667</v>
      </c>
      <c r="G249" s="554">
        <v>0.01</v>
      </c>
      <c r="H249" s="554">
        <v>4.7060000000000001E-3</v>
      </c>
      <c r="I249" s="555">
        <v>0.4</v>
      </c>
      <c r="J249" s="556">
        <v>75</v>
      </c>
      <c r="K249" s="274"/>
      <c r="L249" s="274"/>
      <c r="M249" s="487" t="str">
        <f ca="1">IF('CDO Bespoke'!O250&lt;&gt;"",'CDO Bespoke'!O250,"")</f>
        <v/>
      </c>
      <c r="N249" s="488" t="str">
        <f ca="1">IF(M249&lt;&gt;"",ABS(MIN(-0.75*('CDO Bespoke'!Q250)+'CDO Bespoke'!T250,0)),"")</f>
        <v/>
      </c>
      <c r="O249" s="488">
        <f t="shared" ca="1" si="12"/>
        <v>0</v>
      </c>
      <c r="P249" s="488">
        <f t="shared" ca="1" si="13"/>
        <v>0</v>
      </c>
      <c r="Q249" s="487" t="str">
        <f ca="1">IF('CDO Bespoke'!O250&lt;&gt;"",'CDO Bespoke'!O250,"")</f>
        <v/>
      </c>
      <c r="R249" s="488" t="str">
        <f ca="1">IF(Q249&lt;&gt;"",ABS(MIN(-0.75*('CDO Bespoke'!K250)+'CDO Bespoke'!T250,0)),"")</f>
        <v/>
      </c>
      <c r="S249" s="488">
        <f t="shared" ca="1" si="14"/>
        <v>0</v>
      </c>
      <c r="T249" s="492">
        <f t="shared" ca="1" si="15"/>
        <v>0</v>
      </c>
      <c r="U249" s="274"/>
      <c r="V249" s="497" t="str">
        <f ca="1">IF('CDO Bespoke'!C274&lt;&gt;"",'CDO Bespoke'!C274,"")</f>
        <v/>
      </c>
      <c r="W249" s="499" t="str" cm="1">
        <f t="array" aca="1" ref="W249" ca="1">IF($V249&lt;&gt;"",-TRANSPOSE(INDEX(getcds('CDO Bespoke'!$C274,W$13,'CDO Bespoke'!$G274/10000,'CDO Bespoke'!F274,'CDO Bespoke'!$L250,'CDO Bespoke'!$C$13,'CDO Bespoke'!$C$14,'CDO Bespoke'!$C$15,'CDO Bespoke'!$C$8,,,TRUE,TRUE,FALSE,'CDO Bespoke'!$C$29:'CDO Bespoke'!$C$31,'CDO Bespoke'!$C$33),{5})),"")</f>
        <v/>
      </c>
      <c r="X249" s="524" t="str" cm="1">
        <f t="array" aca="1" ref="X249" ca="1">IF($V249&lt;&gt;"",-TRANSPOSE(INDEX(getcds('CDO Bespoke'!$C274,X$13,'CDO Bespoke'!$G274/10000,'CDO Bespoke'!G274,'CDO Bespoke'!$L250,'CDO Bespoke'!$C$13,'CDO Bespoke'!$C$14,'CDO Bespoke'!$C$15,'CDO Bespoke'!$C$8,,,TRUE,TRUE,FALSE,'CDO Bespoke'!$C$29:'CDO Bespoke'!$C$31,'CDO Bespoke'!$C$33),{5})),"")</f>
        <v/>
      </c>
      <c r="Y249" s="524" t="str" cm="1">
        <f t="array" aca="1" ref="Y249" ca="1">IF($V249&lt;&gt;"",-TRANSPOSE(INDEX(getcds('CDO Bespoke'!$C274,Y$13,'CDO Bespoke'!$G274/10000,'CDO Bespoke'!H274,'CDO Bespoke'!$L250,'CDO Bespoke'!$C$13,'CDO Bespoke'!$C$14,'CDO Bespoke'!$C$15,'CDO Bespoke'!$C$8,,,TRUE,TRUE,FALSE,'CDO Bespoke'!$C$29:'CDO Bespoke'!$C$31,'CDO Bespoke'!$C$33),{5})),"")</f>
        <v/>
      </c>
      <c r="Z249" s="524" t="str" cm="1">
        <f t="array" aca="1" ref="Z249" ca="1">IF($V249&lt;&gt;"",-TRANSPOSE(INDEX(getcds('CDO Bespoke'!$C274,Z$13,'CDO Bespoke'!$G274/10000,'CDO Bespoke'!I274,'CDO Bespoke'!$L250,'CDO Bespoke'!$C$13,'CDO Bespoke'!$C$14,'CDO Bespoke'!$C$15,'CDO Bespoke'!$C$8,,,TRUE,TRUE,FALSE,'CDO Bespoke'!$C$29:'CDO Bespoke'!$C$31,'CDO Bespoke'!$C$33),{5})),"")</f>
        <v/>
      </c>
      <c r="AA249" s="500" t="str" cm="1">
        <f t="array" aca="1" ref="AA249" ca="1">IF($V249&lt;&gt;"",-TRANSPOSE(INDEX(getcds('CDO Bespoke'!$C274,AA$13,'CDO Bespoke'!$G274/10000,'CDO Bespoke'!J274,'CDO Bespoke'!$L250,'CDO Bespoke'!$C$13,'CDO Bespoke'!$C$14,'CDO Bespoke'!$C$15,'CDO Bespoke'!$C$8,,,TRUE,TRUE,FALSE,'CDO Bespoke'!$C$29:'CDO Bespoke'!$C$31,'CDO Bespoke'!$C$33),{5})),"")</f>
        <v/>
      </c>
      <c r="AB249" s="479"/>
      <c r="AC249" s="515"/>
      <c r="AD249" s="516"/>
      <c r="AE249" s="516"/>
      <c r="AF249" s="516"/>
      <c r="AG249" s="516"/>
      <c r="AH249" s="516"/>
      <c r="AI249" s="516"/>
      <c r="AJ249" s="516"/>
      <c r="AK249" s="516"/>
      <c r="AL249" s="517"/>
      <c r="AM249" s="534"/>
    </row>
    <row r="250" spans="2:39" ht="12" thickBot="1">
      <c r="B250" s="557" t="s">
        <v>585</v>
      </c>
      <c r="C250" s="558" t="s">
        <v>66</v>
      </c>
      <c r="D250" s="558" t="s">
        <v>55</v>
      </c>
      <c r="E250" s="558" t="s">
        <v>658</v>
      </c>
      <c r="F250" s="558" t="s">
        <v>667</v>
      </c>
      <c r="G250" s="559">
        <v>0.01</v>
      </c>
      <c r="H250" s="559">
        <v>1.7650000000000001E-3</v>
      </c>
      <c r="I250" s="560">
        <v>0.4</v>
      </c>
      <c r="J250" s="561">
        <v>76</v>
      </c>
      <c r="K250" s="274"/>
      <c r="L250" s="274"/>
      <c r="M250" s="487" t="str">
        <f ca="1">IF('CDO Bespoke'!O251&lt;&gt;"",'CDO Bespoke'!O251,"")</f>
        <v/>
      </c>
      <c r="N250" s="488" t="str">
        <f ca="1">IF(M250&lt;&gt;"",ABS(MIN(-0.75*('CDO Bespoke'!Q251)+'CDO Bespoke'!T251,0)),"")</f>
        <v/>
      </c>
      <c r="O250" s="488">
        <f t="shared" ca="1" si="12"/>
        <v>0</v>
      </c>
      <c r="P250" s="488">
        <f t="shared" ca="1" si="13"/>
        <v>0</v>
      </c>
      <c r="Q250" s="487" t="str">
        <f ca="1">IF('CDO Bespoke'!O251&lt;&gt;"",'CDO Bespoke'!O251,"")</f>
        <v/>
      </c>
      <c r="R250" s="488" t="str">
        <f ca="1">IF(Q250&lt;&gt;"",ABS(MIN(-0.75*('CDO Bespoke'!K251)+'CDO Bespoke'!T251,0)),"")</f>
        <v/>
      </c>
      <c r="S250" s="488">
        <f t="shared" ca="1" si="14"/>
        <v>0</v>
      </c>
      <c r="T250" s="492">
        <f t="shared" ca="1" si="15"/>
        <v>0</v>
      </c>
      <c r="U250" s="274"/>
      <c r="V250" s="497" t="str">
        <f ca="1">IF('CDO Bespoke'!C275&lt;&gt;"",'CDO Bespoke'!C275,"")</f>
        <v/>
      </c>
      <c r="W250" s="499" t="str" cm="1">
        <f t="array" aca="1" ref="W250" ca="1">IF($V250&lt;&gt;"",-TRANSPOSE(INDEX(getcds('CDO Bespoke'!$C275,W$13,'CDO Bespoke'!$G275/10000,'CDO Bespoke'!F275,'CDO Bespoke'!$L251,'CDO Bespoke'!$C$13,'CDO Bespoke'!$C$14,'CDO Bespoke'!$C$15,'CDO Bespoke'!$C$8,,,TRUE,TRUE,FALSE,'CDO Bespoke'!$C$29:'CDO Bespoke'!$C$31,'CDO Bespoke'!$C$33),{5})),"")</f>
        <v/>
      </c>
      <c r="X250" s="524" t="str" cm="1">
        <f t="array" aca="1" ref="X250" ca="1">IF($V250&lt;&gt;"",-TRANSPOSE(INDEX(getcds('CDO Bespoke'!$C275,X$13,'CDO Bespoke'!$G275/10000,'CDO Bespoke'!G275,'CDO Bespoke'!$L251,'CDO Bespoke'!$C$13,'CDO Bespoke'!$C$14,'CDO Bespoke'!$C$15,'CDO Bespoke'!$C$8,,,TRUE,TRUE,FALSE,'CDO Bespoke'!$C$29:'CDO Bespoke'!$C$31,'CDO Bespoke'!$C$33),{5})),"")</f>
        <v/>
      </c>
      <c r="Y250" s="524" t="str" cm="1">
        <f t="array" aca="1" ref="Y250" ca="1">IF($V250&lt;&gt;"",-TRANSPOSE(INDEX(getcds('CDO Bespoke'!$C275,Y$13,'CDO Bespoke'!$G275/10000,'CDO Bespoke'!H275,'CDO Bespoke'!$L251,'CDO Bespoke'!$C$13,'CDO Bespoke'!$C$14,'CDO Bespoke'!$C$15,'CDO Bespoke'!$C$8,,,TRUE,TRUE,FALSE,'CDO Bespoke'!$C$29:'CDO Bespoke'!$C$31,'CDO Bespoke'!$C$33),{5})),"")</f>
        <v/>
      </c>
      <c r="Z250" s="524" t="str" cm="1">
        <f t="array" aca="1" ref="Z250" ca="1">IF($V250&lt;&gt;"",-TRANSPOSE(INDEX(getcds('CDO Bespoke'!$C275,Z$13,'CDO Bespoke'!$G275/10000,'CDO Bespoke'!I275,'CDO Bespoke'!$L251,'CDO Bespoke'!$C$13,'CDO Bespoke'!$C$14,'CDO Bespoke'!$C$15,'CDO Bespoke'!$C$8,,,TRUE,TRUE,FALSE,'CDO Bespoke'!$C$29:'CDO Bespoke'!$C$31,'CDO Bespoke'!$C$33),{5})),"")</f>
        <v/>
      </c>
      <c r="AA250" s="500" t="str" cm="1">
        <f t="array" aca="1" ref="AA250" ca="1">IF($V250&lt;&gt;"",-TRANSPOSE(INDEX(getcds('CDO Bespoke'!$C275,AA$13,'CDO Bespoke'!$G275/10000,'CDO Bespoke'!J275,'CDO Bespoke'!$L251,'CDO Bespoke'!$C$13,'CDO Bespoke'!$C$14,'CDO Bespoke'!$C$15,'CDO Bespoke'!$C$8,,,TRUE,TRUE,FALSE,'CDO Bespoke'!$C$29:'CDO Bespoke'!$C$31,'CDO Bespoke'!$C$33),{5})),"")</f>
        <v/>
      </c>
      <c r="AB250" s="479"/>
      <c r="AC250" s="515"/>
      <c r="AD250" s="516"/>
      <c r="AE250" s="516"/>
      <c r="AF250" s="516"/>
      <c r="AG250" s="516"/>
      <c r="AH250" s="516"/>
      <c r="AI250" s="516"/>
      <c r="AJ250" s="516"/>
      <c r="AK250" s="516"/>
      <c r="AL250" s="517"/>
      <c r="AM250" s="534"/>
    </row>
    <row r="251" spans="2:39" ht="12" thickBot="1">
      <c r="B251" s="535" t="s">
        <v>585</v>
      </c>
      <c r="C251" s="536" t="s">
        <v>66</v>
      </c>
      <c r="D251" s="536" t="s">
        <v>57</v>
      </c>
      <c r="E251" s="536" t="s">
        <v>658</v>
      </c>
      <c r="F251" s="536" t="s">
        <v>667</v>
      </c>
      <c r="G251" s="543">
        <v>0.01</v>
      </c>
      <c r="H251" s="543">
        <v>2.9750000000000002E-3</v>
      </c>
      <c r="I251" s="545">
        <v>0.4</v>
      </c>
      <c r="J251" s="537">
        <v>76</v>
      </c>
      <c r="K251" s="274"/>
      <c r="L251" s="274"/>
      <c r="M251" s="487" t="str">
        <f ca="1">IF('CDO Bespoke'!O252&lt;&gt;"",'CDO Bespoke'!O252,"")</f>
        <v/>
      </c>
      <c r="N251" s="488" t="str">
        <f ca="1">IF(M251&lt;&gt;"",ABS(MIN(-0.75*('CDO Bespoke'!Q252)+'CDO Bespoke'!T252,0)),"")</f>
        <v/>
      </c>
      <c r="O251" s="488">
        <f t="shared" ca="1" si="12"/>
        <v>0</v>
      </c>
      <c r="P251" s="488">
        <f t="shared" ca="1" si="13"/>
        <v>0</v>
      </c>
      <c r="Q251" s="487" t="str">
        <f ca="1">IF('CDO Bespoke'!O252&lt;&gt;"",'CDO Bespoke'!O252,"")</f>
        <v/>
      </c>
      <c r="R251" s="488" t="str">
        <f ca="1">IF(Q251&lt;&gt;"",ABS(MIN(-0.75*('CDO Bespoke'!K252)+'CDO Bespoke'!T252,0)),"")</f>
        <v/>
      </c>
      <c r="S251" s="488">
        <f t="shared" ca="1" si="14"/>
        <v>0</v>
      </c>
      <c r="T251" s="492">
        <f t="shared" ca="1" si="15"/>
        <v>0</v>
      </c>
      <c r="U251" s="274"/>
      <c r="V251" s="497" t="str">
        <f ca="1">IF('CDO Bespoke'!C276&lt;&gt;"",'CDO Bespoke'!C276,"")</f>
        <v/>
      </c>
      <c r="W251" s="499" t="str" cm="1">
        <f t="array" aca="1" ref="W251" ca="1">IF($V251&lt;&gt;"",-TRANSPOSE(INDEX(getcds('CDO Bespoke'!$C276,W$13,'CDO Bespoke'!$G276/10000,'CDO Bespoke'!F276,'CDO Bespoke'!$L252,'CDO Bespoke'!$C$13,'CDO Bespoke'!$C$14,'CDO Bespoke'!$C$15,'CDO Bespoke'!$C$8,,,TRUE,TRUE,FALSE,'CDO Bespoke'!$C$29:'CDO Bespoke'!$C$31,'CDO Bespoke'!$C$33),{5})),"")</f>
        <v/>
      </c>
      <c r="X251" s="524" t="str" cm="1">
        <f t="array" aca="1" ref="X251" ca="1">IF($V251&lt;&gt;"",-TRANSPOSE(INDEX(getcds('CDO Bespoke'!$C276,X$13,'CDO Bespoke'!$G276/10000,'CDO Bespoke'!G276,'CDO Bespoke'!$L252,'CDO Bespoke'!$C$13,'CDO Bespoke'!$C$14,'CDO Bespoke'!$C$15,'CDO Bespoke'!$C$8,,,TRUE,TRUE,FALSE,'CDO Bespoke'!$C$29:'CDO Bespoke'!$C$31,'CDO Bespoke'!$C$33),{5})),"")</f>
        <v/>
      </c>
      <c r="Y251" s="524" t="str" cm="1">
        <f t="array" aca="1" ref="Y251" ca="1">IF($V251&lt;&gt;"",-TRANSPOSE(INDEX(getcds('CDO Bespoke'!$C276,Y$13,'CDO Bespoke'!$G276/10000,'CDO Bespoke'!H276,'CDO Bespoke'!$L252,'CDO Bespoke'!$C$13,'CDO Bespoke'!$C$14,'CDO Bespoke'!$C$15,'CDO Bespoke'!$C$8,,,TRUE,TRUE,FALSE,'CDO Bespoke'!$C$29:'CDO Bespoke'!$C$31,'CDO Bespoke'!$C$33),{5})),"")</f>
        <v/>
      </c>
      <c r="Z251" s="524" t="str" cm="1">
        <f t="array" aca="1" ref="Z251" ca="1">IF($V251&lt;&gt;"",-TRANSPOSE(INDEX(getcds('CDO Bespoke'!$C276,Z$13,'CDO Bespoke'!$G276/10000,'CDO Bespoke'!I276,'CDO Bespoke'!$L252,'CDO Bespoke'!$C$13,'CDO Bespoke'!$C$14,'CDO Bespoke'!$C$15,'CDO Bespoke'!$C$8,,,TRUE,TRUE,FALSE,'CDO Bespoke'!$C$29:'CDO Bespoke'!$C$31,'CDO Bespoke'!$C$33),{5})),"")</f>
        <v/>
      </c>
      <c r="AA251" s="500" t="str" cm="1">
        <f t="array" aca="1" ref="AA251" ca="1">IF($V251&lt;&gt;"",-TRANSPOSE(INDEX(getcds('CDO Bespoke'!$C276,AA$13,'CDO Bespoke'!$G276/10000,'CDO Bespoke'!J276,'CDO Bespoke'!$L252,'CDO Bespoke'!$C$13,'CDO Bespoke'!$C$14,'CDO Bespoke'!$C$15,'CDO Bespoke'!$C$8,,,TRUE,TRUE,FALSE,'CDO Bespoke'!$C$29:'CDO Bespoke'!$C$31,'CDO Bespoke'!$C$33),{5})),"")</f>
        <v/>
      </c>
      <c r="AB251" s="479"/>
      <c r="AC251" s="515"/>
      <c r="AD251" s="516"/>
      <c r="AE251" s="516"/>
      <c r="AF251" s="516"/>
      <c r="AG251" s="516"/>
      <c r="AH251" s="516"/>
      <c r="AI251" s="516"/>
      <c r="AJ251" s="516"/>
      <c r="AK251" s="516"/>
      <c r="AL251" s="517"/>
      <c r="AM251" s="534"/>
    </row>
    <row r="252" spans="2:39" ht="12" thickBot="1">
      <c r="B252" s="552" t="s">
        <v>585</v>
      </c>
      <c r="C252" s="553" t="s">
        <v>66</v>
      </c>
      <c r="D252" s="553" t="s">
        <v>59</v>
      </c>
      <c r="E252" s="553" t="s">
        <v>658</v>
      </c>
      <c r="F252" s="553" t="s">
        <v>667</v>
      </c>
      <c r="G252" s="554">
        <v>0.01</v>
      </c>
      <c r="H252" s="554">
        <v>4.2370000000000003E-3</v>
      </c>
      <c r="I252" s="555">
        <v>0.4</v>
      </c>
      <c r="J252" s="556">
        <v>76</v>
      </c>
      <c r="K252" s="274"/>
      <c r="L252" s="274"/>
      <c r="M252" s="487" t="str">
        <f ca="1">IF('CDO Bespoke'!O253&lt;&gt;"",'CDO Bespoke'!O253,"")</f>
        <v/>
      </c>
      <c r="N252" s="488" t="str">
        <f ca="1">IF(M252&lt;&gt;"",ABS(MIN(-0.75*('CDO Bespoke'!Q253)+'CDO Bespoke'!T253,0)),"")</f>
        <v/>
      </c>
      <c r="O252" s="488">
        <f t="shared" ca="1" si="12"/>
        <v>0</v>
      </c>
      <c r="P252" s="488">
        <f t="shared" ca="1" si="13"/>
        <v>0</v>
      </c>
      <c r="Q252" s="487" t="str">
        <f ca="1">IF('CDO Bespoke'!O253&lt;&gt;"",'CDO Bespoke'!O253,"")</f>
        <v/>
      </c>
      <c r="R252" s="488" t="str">
        <f ca="1">IF(Q252&lt;&gt;"",ABS(MIN(-0.75*('CDO Bespoke'!K253)+'CDO Bespoke'!T253,0)),"")</f>
        <v/>
      </c>
      <c r="S252" s="488">
        <f t="shared" ca="1" si="14"/>
        <v>0</v>
      </c>
      <c r="T252" s="492">
        <f t="shared" ca="1" si="15"/>
        <v>0</v>
      </c>
      <c r="U252" s="274"/>
      <c r="V252" s="497" t="str">
        <f ca="1">IF('CDO Bespoke'!C277&lt;&gt;"",'CDO Bespoke'!C277,"")</f>
        <v/>
      </c>
      <c r="W252" s="499" t="str" cm="1">
        <f t="array" aca="1" ref="W252" ca="1">IF($V252&lt;&gt;"",-TRANSPOSE(INDEX(getcds('CDO Bespoke'!$C277,W$13,'CDO Bespoke'!$G277/10000,'CDO Bespoke'!F277,'CDO Bespoke'!$L253,'CDO Bespoke'!$C$13,'CDO Bespoke'!$C$14,'CDO Bespoke'!$C$15,'CDO Bespoke'!$C$8,,,TRUE,TRUE,FALSE,'CDO Bespoke'!$C$29:'CDO Bespoke'!$C$31,'CDO Bespoke'!$C$33),{5})),"")</f>
        <v/>
      </c>
      <c r="X252" s="524" t="str" cm="1">
        <f t="array" aca="1" ref="X252" ca="1">IF($V252&lt;&gt;"",-TRANSPOSE(INDEX(getcds('CDO Bespoke'!$C277,X$13,'CDO Bespoke'!$G277/10000,'CDO Bespoke'!G277,'CDO Bespoke'!$L253,'CDO Bespoke'!$C$13,'CDO Bespoke'!$C$14,'CDO Bespoke'!$C$15,'CDO Bespoke'!$C$8,,,TRUE,TRUE,FALSE,'CDO Bespoke'!$C$29:'CDO Bespoke'!$C$31,'CDO Bespoke'!$C$33),{5})),"")</f>
        <v/>
      </c>
      <c r="Y252" s="524" t="str" cm="1">
        <f t="array" aca="1" ref="Y252" ca="1">IF($V252&lt;&gt;"",-TRANSPOSE(INDEX(getcds('CDO Bespoke'!$C277,Y$13,'CDO Bespoke'!$G277/10000,'CDO Bespoke'!H277,'CDO Bespoke'!$L253,'CDO Bespoke'!$C$13,'CDO Bespoke'!$C$14,'CDO Bespoke'!$C$15,'CDO Bespoke'!$C$8,,,TRUE,TRUE,FALSE,'CDO Bespoke'!$C$29:'CDO Bespoke'!$C$31,'CDO Bespoke'!$C$33),{5})),"")</f>
        <v/>
      </c>
      <c r="Z252" s="524" t="str" cm="1">
        <f t="array" aca="1" ref="Z252" ca="1">IF($V252&lt;&gt;"",-TRANSPOSE(INDEX(getcds('CDO Bespoke'!$C277,Z$13,'CDO Bespoke'!$G277/10000,'CDO Bespoke'!I277,'CDO Bespoke'!$L253,'CDO Bespoke'!$C$13,'CDO Bespoke'!$C$14,'CDO Bespoke'!$C$15,'CDO Bespoke'!$C$8,,,TRUE,TRUE,FALSE,'CDO Bespoke'!$C$29:'CDO Bespoke'!$C$31,'CDO Bespoke'!$C$33),{5})),"")</f>
        <v/>
      </c>
      <c r="AA252" s="500" t="str" cm="1">
        <f t="array" aca="1" ref="AA252" ca="1">IF($V252&lt;&gt;"",-TRANSPOSE(INDEX(getcds('CDO Bespoke'!$C277,AA$13,'CDO Bespoke'!$G277/10000,'CDO Bespoke'!J277,'CDO Bespoke'!$L253,'CDO Bespoke'!$C$13,'CDO Bespoke'!$C$14,'CDO Bespoke'!$C$15,'CDO Bespoke'!$C$8,,,TRUE,TRUE,FALSE,'CDO Bespoke'!$C$29:'CDO Bespoke'!$C$31,'CDO Bespoke'!$C$33),{5})),"")</f>
        <v/>
      </c>
      <c r="AB252" s="479"/>
      <c r="AC252" s="515"/>
      <c r="AD252" s="516"/>
      <c r="AE252" s="516"/>
      <c r="AF252" s="516"/>
      <c r="AG252" s="516"/>
      <c r="AH252" s="516"/>
      <c r="AI252" s="516"/>
      <c r="AJ252" s="516"/>
      <c r="AK252" s="516"/>
      <c r="AL252" s="517"/>
      <c r="AM252" s="534"/>
    </row>
    <row r="253" spans="2:39" ht="12" thickBot="1">
      <c r="B253" s="557" t="s">
        <v>580</v>
      </c>
      <c r="C253" s="558" t="s">
        <v>66</v>
      </c>
      <c r="D253" s="558" t="s">
        <v>55</v>
      </c>
      <c r="E253" s="558" t="s">
        <v>660</v>
      </c>
      <c r="F253" s="558" t="s">
        <v>668</v>
      </c>
      <c r="G253" s="559">
        <v>0.01</v>
      </c>
      <c r="H253" s="559">
        <v>2.5079999999999998E-3</v>
      </c>
      <c r="I253" s="560">
        <v>0.4</v>
      </c>
      <c r="J253" s="561">
        <v>77</v>
      </c>
      <c r="K253" s="274"/>
      <c r="L253" s="274"/>
      <c r="M253" s="487" t="str">
        <f ca="1">IF('CDO Bespoke'!O254&lt;&gt;"",'CDO Bespoke'!O254,"")</f>
        <v/>
      </c>
      <c r="N253" s="488" t="str">
        <f ca="1">IF(M253&lt;&gt;"",ABS(MIN(-0.75*('CDO Bespoke'!Q254)+'CDO Bespoke'!T254,0)),"")</f>
        <v/>
      </c>
      <c r="O253" s="488">
        <f t="shared" ca="1" si="12"/>
        <v>0</v>
      </c>
      <c r="P253" s="488">
        <f t="shared" ca="1" si="13"/>
        <v>0</v>
      </c>
      <c r="Q253" s="487" t="str">
        <f ca="1">IF('CDO Bespoke'!O254&lt;&gt;"",'CDO Bespoke'!O254,"")</f>
        <v/>
      </c>
      <c r="R253" s="488" t="str">
        <f ca="1">IF(Q253&lt;&gt;"",ABS(MIN(-0.75*('CDO Bespoke'!K254)+'CDO Bespoke'!T254,0)),"")</f>
        <v/>
      </c>
      <c r="S253" s="488">
        <f t="shared" ca="1" si="14"/>
        <v>0</v>
      </c>
      <c r="T253" s="492">
        <f t="shared" ca="1" si="15"/>
        <v>0</v>
      </c>
      <c r="U253" s="274"/>
      <c r="V253" s="497" t="str">
        <f ca="1">IF('CDO Bespoke'!C278&lt;&gt;"",'CDO Bespoke'!C278,"")</f>
        <v/>
      </c>
      <c r="W253" s="499" t="str" cm="1">
        <f t="array" aca="1" ref="W253" ca="1">IF($V253&lt;&gt;"",-TRANSPOSE(INDEX(getcds('CDO Bespoke'!$C278,W$13,'CDO Bespoke'!$G278/10000,'CDO Bespoke'!F278,'CDO Bespoke'!$L254,'CDO Bespoke'!$C$13,'CDO Bespoke'!$C$14,'CDO Bespoke'!$C$15,'CDO Bespoke'!$C$8,,,TRUE,TRUE,FALSE,'CDO Bespoke'!$C$29:'CDO Bespoke'!$C$31,'CDO Bespoke'!$C$33),{5})),"")</f>
        <v/>
      </c>
      <c r="X253" s="524" t="str" cm="1">
        <f t="array" aca="1" ref="X253" ca="1">IF($V253&lt;&gt;"",-TRANSPOSE(INDEX(getcds('CDO Bespoke'!$C278,X$13,'CDO Bespoke'!$G278/10000,'CDO Bespoke'!G278,'CDO Bespoke'!$L254,'CDO Bespoke'!$C$13,'CDO Bespoke'!$C$14,'CDO Bespoke'!$C$15,'CDO Bespoke'!$C$8,,,TRUE,TRUE,FALSE,'CDO Bespoke'!$C$29:'CDO Bespoke'!$C$31,'CDO Bespoke'!$C$33),{5})),"")</f>
        <v/>
      </c>
      <c r="Y253" s="524" t="str" cm="1">
        <f t="array" aca="1" ref="Y253" ca="1">IF($V253&lt;&gt;"",-TRANSPOSE(INDEX(getcds('CDO Bespoke'!$C278,Y$13,'CDO Bespoke'!$G278/10000,'CDO Bespoke'!H278,'CDO Bespoke'!$L254,'CDO Bespoke'!$C$13,'CDO Bespoke'!$C$14,'CDO Bespoke'!$C$15,'CDO Bespoke'!$C$8,,,TRUE,TRUE,FALSE,'CDO Bespoke'!$C$29:'CDO Bespoke'!$C$31,'CDO Bespoke'!$C$33),{5})),"")</f>
        <v/>
      </c>
      <c r="Z253" s="524" t="str" cm="1">
        <f t="array" aca="1" ref="Z253" ca="1">IF($V253&lt;&gt;"",-TRANSPOSE(INDEX(getcds('CDO Bespoke'!$C278,Z$13,'CDO Bespoke'!$G278/10000,'CDO Bespoke'!I278,'CDO Bespoke'!$L254,'CDO Bespoke'!$C$13,'CDO Bespoke'!$C$14,'CDO Bespoke'!$C$15,'CDO Bespoke'!$C$8,,,TRUE,TRUE,FALSE,'CDO Bespoke'!$C$29:'CDO Bespoke'!$C$31,'CDO Bespoke'!$C$33),{5})),"")</f>
        <v/>
      </c>
      <c r="AA253" s="500" t="str" cm="1">
        <f t="array" aca="1" ref="AA253" ca="1">IF($V253&lt;&gt;"",-TRANSPOSE(INDEX(getcds('CDO Bespoke'!$C278,AA$13,'CDO Bespoke'!$G278/10000,'CDO Bespoke'!J278,'CDO Bespoke'!$L254,'CDO Bespoke'!$C$13,'CDO Bespoke'!$C$14,'CDO Bespoke'!$C$15,'CDO Bespoke'!$C$8,,,TRUE,TRUE,FALSE,'CDO Bespoke'!$C$29:'CDO Bespoke'!$C$31,'CDO Bespoke'!$C$33),{5})),"")</f>
        <v/>
      </c>
      <c r="AB253" s="479"/>
      <c r="AC253" s="515"/>
      <c r="AD253" s="516"/>
      <c r="AE253" s="516"/>
      <c r="AF253" s="516"/>
      <c r="AG253" s="516"/>
      <c r="AH253" s="516"/>
      <c r="AI253" s="516"/>
      <c r="AJ253" s="516"/>
      <c r="AK253" s="516"/>
      <c r="AL253" s="517"/>
      <c r="AM253" s="534"/>
    </row>
    <row r="254" spans="2:39" ht="12" thickBot="1">
      <c r="B254" s="535" t="s">
        <v>580</v>
      </c>
      <c r="C254" s="536" t="s">
        <v>66</v>
      </c>
      <c r="D254" s="536" t="s">
        <v>57</v>
      </c>
      <c r="E254" s="536" t="s">
        <v>660</v>
      </c>
      <c r="F254" s="536" t="s">
        <v>668</v>
      </c>
      <c r="G254" s="543">
        <v>0.01</v>
      </c>
      <c r="H254" s="543">
        <v>4.2789999999999998E-3</v>
      </c>
      <c r="I254" s="545">
        <v>0.4</v>
      </c>
      <c r="J254" s="537">
        <v>77</v>
      </c>
      <c r="K254" s="274"/>
      <c r="L254" s="274"/>
      <c r="M254" s="487" t="str">
        <f ca="1">IF('CDO Bespoke'!O255&lt;&gt;"",'CDO Bespoke'!O255,"")</f>
        <v/>
      </c>
      <c r="N254" s="488" t="str">
        <f ca="1">IF(M254&lt;&gt;"",ABS(MIN(-0.75*('CDO Bespoke'!Q255)+'CDO Bespoke'!T255,0)),"")</f>
        <v/>
      </c>
      <c r="O254" s="488">
        <f t="shared" ca="1" si="12"/>
        <v>0</v>
      </c>
      <c r="P254" s="488">
        <f t="shared" ca="1" si="13"/>
        <v>0</v>
      </c>
      <c r="Q254" s="487" t="str">
        <f ca="1">IF('CDO Bespoke'!O255&lt;&gt;"",'CDO Bespoke'!O255,"")</f>
        <v/>
      </c>
      <c r="R254" s="488" t="str">
        <f ca="1">IF(Q254&lt;&gt;"",ABS(MIN(-0.75*('CDO Bespoke'!K255)+'CDO Bespoke'!T255,0)),"")</f>
        <v/>
      </c>
      <c r="S254" s="488">
        <f t="shared" ca="1" si="14"/>
        <v>0</v>
      </c>
      <c r="T254" s="492">
        <f t="shared" ca="1" si="15"/>
        <v>0</v>
      </c>
      <c r="U254" s="274"/>
      <c r="V254" s="497" t="str">
        <f ca="1">IF('CDO Bespoke'!C279&lt;&gt;"",'CDO Bespoke'!C279,"")</f>
        <v/>
      </c>
      <c r="W254" s="499" t="str" cm="1">
        <f t="array" aca="1" ref="W254" ca="1">IF($V254&lt;&gt;"",-TRANSPOSE(INDEX(getcds('CDO Bespoke'!$C279,W$13,'CDO Bespoke'!$G279/10000,'CDO Bespoke'!F279,'CDO Bespoke'!$L255,'CDO Bespoke'!$C$13,'CDO Bespoke'!$C$14,'CDO Bespoke'!$C$15,'CDO Bespoke'!$C$8,,,TRUE,TRUE,FALSE,'CDO Bespoke'!$C$29:'CDO Bespoke'!$C$31,'CDO Bespoke'!$C$33),{5})),"")</f>
        <v/>
      </c>
      <c r="X254" s="524" t="str" cm="1">
        <f t="array" aca="1" ref="X254" ca="1">IF($V254&lt;&gt;"",-TRANSPOSE(INDEX(getcds('CDO Bespoke'!$C279,X$13,'CDO Bespoke'!$G279/10000,'CDO Bespoke'!G279,'CDO Bespoke'!$L255,'CDO Bespoke'!$C$13,'CDO Bespoke'!$C$14,'CDO Bespoke'!$C$15,'CDO Bespoke'!$C$8,,,TRUE,TRUE,FALSE,'CDO Bespoke'!$C$29:'CDO Bespoke'!$C$31,'CDO Bespoke'!$C$33),{5})),"")</f>
        <v/>
      </c>
      <c r="Y254" s="524" t="str" cm="1">
        <f t="array" aca="1" ref="Y254" ca="1">IF($V254&lt;&gt;"",-TRANSPOSE(INDEX(getcds('CDO Bespoke'!$C279,Y$13,'CDO Bespoke'!$G279/10000,'CDO Bespoke'!H279,'CDO Bespoke'!$L255,'CDO Bespoke'!$C$13,'CDO Bespoke'!$C$14,'CDO Bespoke'!$C$15,'CDO Bespoke'!$C$8,,,TRUE,TRUE,FALSE,'CDO Bespoke'!$C$29:'CDO Bespoke'!$C$31,'CDO Bespoke'!$C$33),{5})),"")</f>
        <v/>
      </c>
      <c r="Z254" s="524" t="str" cm="1">
        <f t="array" aca="1" ref="Z254" ca="1">IF($V254&lt;&gt;"",-TRANSPOSE(INDEX(getcds('CDO Bespoke'!$C279,Z$13,'CDO Bespoke'!$G279/10000,'CDO Bespoke'!I279,'CDO Bespoke'!$L255,'CDO Bespoke'!$C$13,'CDO Bespoke'!$C$14,'CDO Bespoke'!$C$15,'CDO Bespoke'!$C$8,,,TRUE,TRUE,FALSE,'CDO Bespoke'!$C$29:'CDO Bespoke'!$C$31,'CDO Bespoke'!$C$33),{5})),"")</f>
        <v/>
      </c>
      <c r="AA254" s="500" t="str" cm="1">
        <f t="array" aca="1" ref="AA254" ca="1">IF($V254&lt;&gt;"",-TRANSPOSE(INDEX(getcds('CDO Bespoke'!$C279,AA$13,'CDO Bespoke'!$G279/10000,'CDO Bespoke'!J279,'CDO Bespoke'!$L255,'CDO Bespoke'!$C$13,'CDO Bespoke'!$C$14,'CDO Bespoke'!$C$15,'CDO Bespoke'!$C$8,,,TRUE,TRUE,FALSE,'CDO Bespoke'!$C$29:'CDO Bespoke'!$C$31,'CDO Bespoke'!$C$33),{5})),"")</f>
        <v/>
      </c>
      <c r="AB254" s="479"/>
      <c r="AC254" s="515"/>
      <c r="AD254" s="516"/>
      <c r="AE254" s="516"/>
      <c r="AF254" s="516"/>
      <c r="AG254" s="516"/>
      <c r="AH254" s="516"/>
      <c r="AI254" s="516"/>
      <c r="AJ254" s="516"/>
      <c r="AK254" s="516"/>
      <c r="AL254" s="517"/>
      <c r="AM254" s="534"/>
    </row>
    <row r="255" spans="2:39" ht="12" thickBot="1">
      <c r="B255" s="552" t="s">
        <v>580</v>
      </c>
      <c r="C255" s="553" t="s">
        <v>66</v>
      </c>
      <c r="D255" s="553" t="s">
        <v>59</v>
      </c>
      <c r="E255" s="553" t="s">
        <v>660</v>
      </c>
      <c r="F255" s="553" t="s">
        <v>668</v>
      </c>
      <c r="G255" s="554">
        <v>0.01</v>
      </c>
      <c r="H255" s="554">
        <v>5.8820000000000001E-3</v>
      </c>
      <c r="I255" s="555">
        <v>0.4</v>
      </c>
      <c r="J255" s="556">
        <v>77</v>
      </c>
      <c r="K255" s="274"/>
      <c r="L255" s="274"/>
      <c r="M255" s="487" t="str">
        <f ca="1">IF('CDO Bespoke'!O256&lt;&gt;"",'CDO Bespoke'!O256,"")</f>
        <v/>
      </c>
      <c r="N255" s="488" t="str">
        <f ca="1">IF(M255&lt;&gt;"",ABS(MIN(-0.75*('CDO Bespoke'!Q256)+'CDO Bespoke'!T256,0)),"")</f>
        <v/>
      </c>
      <c r="O255" s="488">
        <f t="shared" ca="1" si="12"/>
        <v>0</v>
      </c>
      <c r="P255" s="488">
        <f t="shared" ca="1" si="13"/>
        <v>0</v>
      </c>
      <c r="Q255" s="487" t="str">
        <f ca="1">IF('CDO Bespoke'!O256&lt;&gt;"",'CDO Bespoke'!O256,"")</f>
        <v/>
      </c>
      <c r="R255" s="488" t="str">
        <f ca="1">IF(Q255&lt;&gt;"",ABS(MIN(-0.75*('CDO Bespoke'!K256)+'CDO Bespoke'!T256,0)),"")</f>
        <v/>
      </c>
      <c r="S255" s="488">
        <f t="shared" ca="1" si="14"/>
        <v>0</v>
      </c>
      <c r="T255" s="492">
        <f t="shared" ca="1" si="15"/>
        <v>0</v>
      </c>
      <c r="U255" s="274"/>
      <c r="V255" s="497" t="str">
        <f ca="1">IF('CDO Bespoke'!C280&lt;&gt;"",'CDO Bespoke'!C280,"")</f>
        <v/>
      </c>
      <c r="W255" s="499" t="str" cm="1">
        <f t="array" aca="1" ref="W255" ca="1">IF($V255&lt;&gt;"",-TRANSPOSE(INDEX(getcds('CDO Bespoke'!$C280,W$13,'CDO Bespoke'!$G280/10000,'CDO Bespoke'!F280,'CDO Bespoke'!$L256,'CDO Bespoke'!$C$13,'CDO Bespoke'!$C$14,'CDO Bespoke'!$C$15,'CDO Bespoke'!$C$8,,,TRUE,TRUE,FALSE,'CDO Bespoke'!$C$29:'CDO Bespoke'!$C$31,'CDO Bespoke'!$C$33),{5})),"")</f>
        <v/>
      </c>
      <c r="X255" s="524" t="str" cm="1">
        <f t="array" aca="1" ref="X255" ca="1">IF($V255&lt;&gt;"",-TRANSPOSE(INDEX(getcds('CDO Bespoke'!$C280,X$13,'CDO Bespoke'!$G280/10000,'CDO Bespoke'!G280,'CDO Bespoke'!$L256,'CDO Bespoke'!$C$13,'CDO Bespoke'!$C$14,'CDO Bespoke'!$C$15,'CDO Bespoke'!$C$8,,,TRUE,TRUE,FALSE,'CDO Bespoke'!$C$29:'CDO Bespoke'!$C$31,'CDO Bespoke'!$C$33),{5})),"")</f>
        <v/>
      </c>
      <c r="Y255" s="524" t="str" cm="1">
        <f t="array" aca="1" ref="Y255" ca="1">IF($V255&lt;&gt;"",-TRANSPOSE(INDEX(getcds('CDO Bespoke'!$C280,Y$13,'CDO Bespoke'!$G280/10000,'CDO Bespoke'!H280,'CDO Bespoke'!$L256,'CDO Bespoke'!$C$13,'CDO Bespoke'!$C$14,'CDO Bespoke'!$C$15,'CDO Bespoke'!$C$8,,,TRUE,TRUE,FALSE,'CDO Bespoke'!$C$29:'CDO Bespoke'!$C$31,'CDO Bespoke'!$C$33),{5})),"")</f>
        <v/>
      </c>
      <c r="Z255" s="524" t="str" cm="1">
        <f t="array" aca="1" ref="Z255" ca="1">IF($V255&lt;&gt;"",-TRANSPOSE(INDEX(getcds('CDO Bespoke'!$C280,Z$13,'CDO Bespoke'!$G280/10000,'CDO Bespoke'!I280,'CDO Bespoke'!$L256,'CDO Bespoke'!$C$13,'CDO Bespoke'!$C$14,'CDO Bespoke'!$C$15,'CDO Bespoke'!$C$8,,,TRUE,TRUE,FALSE,'CDO Bespoke'!$C$29:'CDO Bespoke'!$C$31,'CDO Bespoke'!$C$33),{5})),"")</f>
        <v/>
      </c>
      <c r="AA255" s="500" t="str" cm="1">
        <f t="array" aca="1" ref="AA255" ca="1">IF($V255&lt;&gt;"",-TRANSPOSE(INDEX(getcds('CDO Bespoke'!$C280,AA$13,'CDO Bespoke'!$G280/10000,'CDO Bespoke'!J280,'CDO Bespoke'!$L256,'CDO Bespoke'!$C$13,'CDO Bespoke'!$C$14,'CDO Bespoke'!$C$15,'CDO Bespoke'!$C$8,,,TRUE,TRUE,FALSE,'CDO Bespoke'!$C$29:'CDO Bespoke'!$C$31,'CDO Bespoke'!$C$33),{5})),"")</f>
        <v/>
      </c>
      <c r="AB255" s="479"/>
      <c r="AC255" s="515"/>
      <c r="AD255" s="516"/>
      <c r="AE255" s="516"/>
      <c r="AF255" s="516"/>
      <c r="AG255" s="516"/>
      <c r="AH255" s="516"/>
      <c r="AI255" s="516"/>
      <c r="AJ255" s="516"/>
      <c r="AK255" s="516"/>
      <c r="AL255" s="517"/>
      <c r="AM255" s="534"/>
    </row>
    <row r="256" spans="2:39" ht="12" thickBot="1">
      <c r="B256" s="557" t="s">
        <v>588</v>
      </c>
      <c r="C256" s="558" t="s">
        <v>66</v>
      </c>
      <c r="D256" s="558" t="s">
        <v>55</v>
      </c>
      <c r="E256" s="558" t="s">
        <v>660</v>
      </c>
      <c r="F256" s="558" t="s">
        <v>663</v>
      </c>
      <c r="G256" s="559">
        <v>0.01</v>
      </c>
      <c r="H256" s="559">
        <v>2.1419999999999998E-3</v>
      </c>
      <c r="I256" s="560">
        <v>0.4</v>
      </c>
      <c r="J256" s="561">
        <v>78</v>
      </c>
      <c r="K256" s="274"/>
      <c r="L256" s="274"/>
      <c r="M256" s="487" t="str">
        <f ca="1">IF('CDO Bespoke'!O257&lt;&gt;"",'CDO Bespoke'!O257,"")</f>
        <v/>
      </c>
      <c r="N256" s="488" t="str">
        <f ca="1">IF(M256&lt;&gt;"",ABS(MIN(-0.75*('CDO Bespoke'!Q257)+'CDO Bespoke'!T257,0)),"")</f>
        <v/>
      </c>
      <c r="O256" s="488">
        <f t="shared" ca="1" si="12"/>
        <v>0</v>
      </c>
      <c r="P256" s="488">
        <f t="shared" ca="1" si="13"/>
        <v>0</v>
      </c>
      <c r="Q256" s="487" t="str">
        <f ca="1">IF('CDO Bespoke'!O257&lt;&gt;"",'CDO Bespoke'!O257,"")</f>
        <v/>
      </c>
      <c r="R256" s="488" t="str">
        <f ca="1">IF(Q256&lt;&gt;"",ABS(MIN(-0.75*('CDO Bespoke'!K257)+'CDO Bespoke'!T257,0)),"")</f>
        <v/>
      </c>
      <c r="S256" s="488">
        <f t="shared" ca="1" si="14"/>
        <v>0</v>
      </c>
      <c r="T256" s="492">
        <f t="shared" ca="1" si="15"/>
        <v>0</v>
      </c>
      <c r="U256" s="274"/>
      <c r="V256" s="497" t="str">
        <f ca="1">IF('CDO Bespoke'!C281&lt;&gt;"",'CDO Bespoke'!C281,"")</f>
        <v/>
      </c>
      <c r="W256" s="499" t="str" cm="1">
        <f t="array" aca="1" ref="W256" ca="1">IF($V256&lt;&gt;"",-TRANSPOSE(INDEX(getcds('CDO Bespoke'!$C281,W$13,'CDO Bespoke'!$G281/10000,'CDO Bespoke'!F281,'CDO Bespoke'!$L257,'CDO Bespoke'!$C$13,'CDO Bespoke'!$C$14,'CDO Bespoke'!$C$15,'CDO Bespoke'!$C$8,,,TRUE,TRUE,FALSE,'CDO Bespoke'!$C$29:'CDO Bespoke'!$C$31,'CDO Bespoke'!$C$33),{5})),"")</f>
        <v/>
      </c>
      <c r="X256" s="524" t="str" cm="1">
        <f t="array" aca="1" ref="X256" ca="1">IF($V256&lt;&gt;"",-TRANSPOSE(INDEX(getcds('CDO Bespoke'!$C281,X$13,'CDO Bespoke'!$G281/10000,'CDO Bespoke'!G281,'CDO Bespoke'!$L257,'CDO Bespoke'!$C$13,'CDO Bespoke'!$C$14,'CDO Bespoke'!$C$15,'CDO Bespoke'!$C$8,,,TRUE,TRUE,FALSE,'CDO Bespoke'!$C$29:'CDO Bespoke'!$C$31,'CDO Bespoke'!$C$33),{5})),"")</f>
        <v/>
      </c>
      <c r="Y256" s="524" t="str" cm="1">
        <f t="array" aca="1" ref="Y256" ca="1">IF($V256&lt;&gt;"",-TRANSPOSE(INDEX(getcds('CDO Bespoke'!$C281,Y$13,'CDO Bespoke'!$G281/10000,'CDO Bespoke'!H281,'CDO Bespoke'!$L257,'CDO Bespoke'!$C$13,'CDO Bespoke'!$C$14,'CDO Bespoke'!$C$15,'CDO Bespoke'!$C$8,,,TRUE,TRUE,FALSE,'CDO Bespoke'!$C$29:'CDO Bespoke'!$C$31,'CDO Bespoke'!$C$33),{5})),"")</f>
        <v/>
      </c>
      <c r="Z256" s="524" t="str" cm="1">
        <f t="array" aca="1" ref="Z256" ca="1">IF($V256&lt;&gt;"",-TRANSPOSE(INDEX(getcds('CDO Bespoke'!$C281,Z$13,'CDO Bespoke'!$G281/10000,'CDO Bespoke'!I281,'CDO Bespoke'!$L257,'CDO Bespoke'!$C$13,'CDO Bespoke'!$C$14,'CDO Bespoke'!$C$15,'CDO Bespoke'!$C$8,,,TRUE,TRUE,FALSE,'CDO Bespoke'!$C$29:'CDO Bespoke'!$C$31,'CDO Bespoke'!$C$33),{5})),"")</f>
        <v/>
      </c>
      <c r="AA256" s="500" t="str" cm="1">
        <f t="array" aca="1" ref="AA256" ca="1">IF($V256&lt;&gt;"",-TRANSPOSE(INDEX(getcds('CDO Bespoke'!$C281,AA$13,'CDO Bespoke'!$G281/10000,'CDO Bespoke'!J281,'CDO Bespoke'!$L257,'CDO Bespoke'!$C$13,'CDO Bespoke'!$C$14,'CDO Bespoke'!$C$15,'CDO Bespoke'!$C$8,,,TRUE,TRUE,FALSE,'CDO Bespoke'!$C$29:'CDO Bespoke'!$C$31,'CDO Bespoke'!$C$33),{5})),"")</f>
        <v/>
      </c>
      <c r="AB256" s="479"/>
      <c r="AC256" s="515"/>
      <c r="AD256" s="516"/>
      <c r="AE256" s="516"/>
      <c r="AF256" s="516"/>
      <c r="AG256" s="516"/>
      <c r="AH256" s="516"/>
      <c r="AI256" s="516"/>
      <c r="AJ256" s="516"/>
      <c r="AK256" s="516"/>
      <c r="AL256" s="517"/>
      <c r="AM256" s="534"/>
    </row>
    <row r="257" spans="2:39" ht="12" thickBot="1">
      <c r="B257" s="535" t="s">
        <v>588</v>
      </c>
      <c r="C257" s="536" t="s">
        <v>66</v>
      </c>
      <c r="D257" s="536" t="s">
        <v>57</v>
      </c>
      <c r="E257" s="536" t="s">
        <v>660</v>
      </c>
      <c r="F257" s="536" t="s">
        <v>663</v>
      </c>
      <c r="G257" s="543">
        <v>0.01</v>
      </c>
      <c r="H257" s="543">
        <v>3.333E-3</v>
      </c>
      <c r="I257" s="545">
        <v>0.4</v>
      </c>
      <c r="J257" s="537">
        <v>78</v>
      </c>
      <c r="K257" s="274"/>
      <c r="L257" s="274"/>
      <c r="M257" s="487" t="str">
        <f ca="1">IF('CDO Bespoke'!O258&lt;&gt;"",'CDO Bespoke'!O258,"")</f>
        <v/>
      </c>
      <c r="N257" s="488" t="str">
        <f ca="1">IF(M257&lt;&gt;"",ABS(MIN(-0.75*('CDO Bespoke'!Q258)+'CDO Bespoke'!T258,0)),"")</f>
        <v/>
      </c>
      <c r="O257" s="488">
        <f t="shared" ca="1" si="12"/>
        <v>0</v>
      </c>
      <c r="P257" s="488">
        <f t="shared" ca="1" si="13"/>
        <v>0</v>
      </c>
      <c r="Q257" s="487" t="str">
        <f ca="1">IF('CDO Bespoke'!O258&lt;&gt;"",'CDO Bespoke'!O258,"")</f>
        <v/>
      </c>
      <c r="R257" s="488" t="str">
        <f ca="1">IF(Q257&lt;&gt;"",ABS(MIN(-0.75*('CDO Bespoke'!K258)+'CDO Bespoke'!T258,0)),"")</f>
        <v/>
      </c>
      <c r="S257" s="488">
        <f t="shared" ca="1" si="14"/>
        <v>0</v>
      </c>
      <c r="T257" s="492">
        <f t="shared" ca="1" si="15"/>
        <v>0</v>
      </c>
      <c r="U257" s="274"/>
      <c r="V257" s="497" t="str">
        <f ca="1">IF('CDO Bespoke'!C282&lt;&gt;"",'CDO Bespoke'!C282,"")</f>
        <v/>
      </c>
      <c r="W257" s="499" t="str" cm="1">
        <f t="array" aca="1" ref="W257" ca="1">IF($V257&lt;&gt;"",-TRANSPOSE(INDEX(getcds('CDO Bespoke'!$C282,W$13,'CDO Bespoke'!$G282/10000,'CDO Bespoke'!F282,'CDO Bespoke'!$L258,'CDO Bespoke'!$C$13,'CDO Bespoke'!$C$14,'CDO Bespoke'!$C$15,'CDO Bespoke'!$C$8,,,TRUE,TRUE,FALSE,'CDO Bespoke'!$C$29:'CDO Bespoke'!$C$31,'CDO Bespoke'!$C$33),{5})),"")</f>
        <v/>
      </c>
      <c r="X257" s="524" t="str" cm="1">
        <f t="array" aca="1" ref="X257" ca="1">IF($V257&lt;&gt;"",-TRANSPOSE(INDEX(getcds('CDO Bespoke'!$C282,X$13,'CDO Bespoke'!$G282/10000,'CDO Bespoke'!G282,'CDO Bespoke'!$L258,'CDO Bespoke'!$C$13,'CDO Bespoke'!$C$14,'CDO Bespoke'!$C$15,'CDO Bespoke'!$C$8,,,TRUE,TRUE,FALSE,'CDO Bespoke'!$C$29:'CDO Bespoke'!$C$31,'CDO Bespoke'!$C$33),{5})),"")</f>
        <v/>
      </c>
      <c r="Y257" s="524" t="str" cm="1">
        <f t="array" aca="1" ref="Y257" ca="1">IF($V257&lt;&gt;"",-TRANSPOSE(INDEX(getcds('CDO Bespoke'!$C282,Y$13,'CDO Bespoke'!$G282/10000,'CDO Bespoke'!H282,'CDO Bespoke'!$L258,'CDO Bespoke'!$C$13,'CDO Bespoke'!$C$14,'CDO Bespoke'!$C$15,'CDO Bespoke'!$C$8,,,TRUE,TRUE,FALSE,'CDO Bespoke'!$C$29:'CDO Bespoke'!$C$31,'CDO Bespoke'!$C$33),{5})),"")</f>
        <v/>
      </c>
      <c r="Z257" s="524" t="str" cm="1">
        <f t="array" aca="1" ref="Z257" ca="1">IF($V257&lt;&gt;"",-TRANSPOSE(INDEX(getcds('CDO Bespoke'!$C282,Z$13,'CDO Bespoke'!$G282/10000,'CDO Bespoke'!I282,'CDO Bespoke'!$L258,'CDO Bespoke'!$C$13,'CDO Bespoke'!$C$14,'CDO Bespoke'!$C$15,'CDO Bespoke'!$C$8,,,TRUE,TRUE,FALSE,'CDO Bespoke'!$C$29:'CDO Bespoke'!$C$31,'CDO Bespoke'!$C$33),{5})),"")</f>
        <v/>
      </c>
      <c r="AA257" s="500" t="str" cm="1">
        <f t="array" aca="1" ref="AA257" ca="1">IF($V257&lt;&gt;"",-TRANSPOSE(INDEX(getcds('CDO Bespoke'!$C282,AA$13,'CDO Bespoke'!$G282/10000,'CDO Bespoke'!J282,'CDO Bespoke'!$L258,'CDO Bespoke'!$C$13,'CDO Bespoke'!$C$14,'CDO Bespoke'!$C$15,'CDO Bespoke'!$C$8,,,TRUE,TRUE,FALSE,'CDO Bespoke'!$C$29:'CDO Bespoke'!$C$31,'CDO Bespoke'!$C$33),{5})),"")</f>
        <v/>
      </c>
      <c r="AB257" s="479"/>
      <c r="AC257" s="515"/>
      <c r="AD257" s="516"/>
      <c r="AE257" s="516"/>
      <c r="AF257" s="516"/>
      <c r="AG257" s="516"/>
      <c r="AH257" s="516"/>
      <c r="AI257" s="516"/>
      <c r="AJ257" s="516"/>
      <c r="AK257" s="516"/>
      <c r="AL257" s="517"/>
      <c r="AM257" s="534"/>
    </row>
    <row r="258" spans="2:39" ht="12" thickBot="1">
      <c r="B258" s="552" t="s">
        <v>588</v>
      </c>
      <c r="C258" s="553" t="s">
        <v>66</v>
      </c>
      <c r="D258" s="553" t="s">
        <v>59</v>
      </c>
      <c r="E258" s="553" t="s">
        <v>660</v>
      </c>
      <c r="F258" s="553" t="s">
        <v>663</v>
      </c>
      <c r="G258" s="554">
        <v>0.01</v>
      </c>
      <c r="H258" s="554">
        <v>4.7910000000000001E-3</v>
      </c>
      <c r="I258" s="555">
        <v>0.4</v>
      </c>
      <c r="J258" s="556">
        <v>78</v>
      </c>
      <c r="K258" s="274"/>
      <c r="L258" s="274"/>
      <c r="M258" s="487" t="str">
        <f ca="1">IF('CDO Bespoke'!O259&lt;&gt;"",'CDO Bespoke'!O259,"")</f>
        <v/>
      </c>
      <c r="N258" s="488" t="str">
        <f ca="1">IF(M258&lt;&gt;"",ABS(MIN(-0.75*('CDO Bespoke'!Q259)+'CDO Bespoke'!T259,0)),"")</f>
        <v/>
      </c>
      <c r="O258" s="488">
        <f t="shared" ca="1" si="12"/>
        <v>0</v>
      </c>
      <c r="P258" s="488">
        <f t="shared" ca="1" si="13"/>
        <v>0</v>
      </c>
      <c r="Q258" s="487" t="str">
        <f ca="1">IF('CDO Bespoke'!O259&lt;&gt;"",'CDO Bespoke'!O259,"")</f>
        <v/>
      </c>
      <c r="R258" s="488" t="str">
        <f ca="1">IF(Q258&lt;&gt;"",ABS(MIN(-0.75*('CDO Bespoke'!K259)+'CDO Bespoke'!T259,0)),"")</f>
        <v/>
      </c>
      <c r="S258" s="488">
        <f t="shared" ca="1" si="14"/>
        <v>0</v>
      </c>
      <c r="T258" s="492">
        <f t="shared" ca="1" si="15"/>
        <v>0</v>
      </c>
      <c r="U258" s="274"/>
      <c r="V258" s="497" t="str">
        <f ca="1">IF('CDO Bespoke'!C283&lt;&gt;"",'CDO Bespoke'!C283,"")</f>
        <v/>
      </c>
      <c r="W258" s="499" t="str" cm="1">
        <f t="array" aca="1" ref="W258" ca="1">IF($V258&lt;&gt;"",-TRANSPOSE(INDEX(getcds('CDO Bespoke'!$C283,W$13,'CDO Bespoke'!$G283/10000,'CDO Bespoke'!F283,'CDO Bespoke'!$L259,'CDO Bespoke'!$C$13,'CDO Bespoke'!$C$14,'CDO Bespoke'!$C$15,'CDO Bespoke'!$C$8,,,TRUE,TRUE,FALSE,'CDO Bespoke'!$C$29:'CDO Bespoke'!$C$31,'CDO Bespoke'!$C$33),{5})),"")</f>
        <v/>
      </c>
      <c r="X258" s="524" t="str" cm="1">
        <f t="array" aca="1" ref="X258" ca="1">IF($V258&lt;&gt;"",-TRANSPOSE(INDEX(getcds('CDO Bespoke'!$C283,X$13,'CDO Bespoke'!$G283/10000,'CDO Bespoke'!G283,'CDO Bespoke'!$L259,'CDO Bespoke'!$C$13,'CDO Bespoke'!$C$14,'CDO Bespoke'!$C$15,'CDO Bespoke'!$C$8,,,TRUE,TRUE,FALSE,'CDO Bespoke'!$C$29:'CDO Bespoke'!$C$31,'CDO Bespoke'!$C$33),{5})),"")</f>
        <v/>
      </c>
      <c r="Y258" s="524" t="str" cm="1">
        <f t="array" aca="1" ref="Y258" ca="1">IF($V258&lt;&gt;"",-TRANSPOSE(INDEX(getcds('CDO Bespoke'!$C283,Y$13,'CDO Bespoke'!$G283/10000,'CDO Bespoke'!H283,'CDO Bespoke'!$L259,'CDO Bespoke'!$C$13,'CDO Bespoke'!$C$14,'CDO Bespoke'!$C$15,'CDO Bespoke'!$C$8,,,TRUE,TRUE,FALSE,'CDO Bespoke'!$C$29:'CDO Bespoke'!$C$31,'CDO Bespoke'!$C$33),{5})),"")</f>
        <v/>
      </c>
      <c r="Z258" s="524" t="str" cm="1">
        <f t="array" aca="1" ref="Z258" ca="1">IF($V258&lt;&gt;"",-TRANSPOSE(INDEX(getcds('CDO Bespoke'!$C283,Z$13,'CDO Bespoke'!$G283/10000,'CDO Bespoke'!I283,'CDO Bespoke'!$L259,'CDO Bespoke'!$C$13,'CDO Bespoke'!$C$14,'CDO Bespoke'!$C$15,'CDO Bespoke'!$C$8,,,TRUE,TRUE,FALSE,'CDO Bespoke'!$C$29:'CDO Bespoke'!$C$31,'CDO Bespoke'!$C$33),{5})),"")</f>
        <v/>
      </c>
      <c r="AA258" s="500" t="str" cm="1">
        <f t="array" aca="1" ref="AA258" ca="1">IF($V258&lt;&gt;"",-TRANSPOSE(INDEX(getcds('CDO Bespoke'!$C283,AA$13,'CDO Bespoke'!$G283/10000,'CDO Bespoke'!J283,'CDO Bespoke'!$L259,'CDO Bespoke'!$C$13,'CDO Bespoke'!$C$14,'CDO Bespoke'!$C$15,'CDO Bespoke'!$C$8,,,TRUE,TRUE,FALSE,'CDO Bespoke'!$C$29:'CDO Bespoke'!$C$31,'CDO Bespoke'!$C$33),{5})),"")</f>
        <v/>
      </c>
      <c r="AB258" s="479"/>
      <c r="AC258" s="515"/>
      <c r="AD258" s="516"/>
      <c r="AE258" s="516"/>
      <c r="AF258" s="516"/>
      <c r="AG258" s="516"/>
      <c r="AH258" s="516"/>
      <c r="AI258" s="516"/>
      <c r="AJ258" s="516"/>
      <c r="AK258" s="516"/>
      <c r="AL258" s="517"/>
      <c r="AM258" s="534"/>
    </row>
    <row r="259" spans="2:39" ht="12" thickBot="1">
      <c r="B259" s="557" t="s">
        <v>589</v>
      </c>
      <c r="C259" s="558" t="s">
        <v>66</v>
      </c>
      <c r="D259" s="558" t="s">
        <v>55</v>
      </c>
      <c r="E259" s="558" t="s">
        <v>660</v>
      </c>
      <c r="F259" s="558" t="s">
        <v>669</v>
      </c>
      <c r="G259" s="559">
        <v>0.01</v>
      </c>
      <c r="H259" s="559">
        <v>3.7789999999999998E-3</v>
      </c>
      <c r="I259" s="560">
        <v>0.4</v>
      </c>
      <c r="J259" s="561">
        <v>79</v>
      </c>
      <c r="K259" s="274"/>
      <c r="L259" s="274"/>
      <c r="M259" s="487" t="str">
        <f ca="1">IF('CDO Bespoke'!O260&lt;&gt;"",'CDO Bespoke'!O260,"")</f>
        <v/>
      </c>
      <c r="N259" s="488" t="str">
        <f ca="1">IF(M259&lt;&gt;"",ABS(MIN(-0.75*('CDO Bespoke'!Q260)+'CDO Bespoke'!T260,0)),"")</f>
        <v/>
      </c>
      <c r="O259" s="488">
        <f t="shared" ca="1" si="12"/>
        <v>0</v>
      </c>
      <c r="P259" s="488">
        <f t="shared" ca="1" si="13"/>
        <v>0</v>
      </c>
      <c r="Q259" s="487" t="str">
        <f ca="1">IF('CDO Bespoke'!O260&lt;&gt;"",'CDO Bespoke'!O260,"")</f>
        <v/>
      </c>
      <c r="R259" s="488" t="str">
        <f ca="1">IF(Q259&lt;&gt;"",ABS(MIN(-0.75*('CDO Bespoke'!K260)+'CDO Bespoke'!T260,0)),"")</f>
        <v/>
      </c>
      <c r="S259" s="488">
        <f t="shared" ca="1" si="14"/>
        <v>0</v>
      </c>
      <c r="T259" s="492">
        <f t="shared" ca="1" si="15"/>
        <v>0</v>
      </c>
      <c r="U259" s="274"/>
      <c r="V259" s="497" t="str">
        <f ca="1">IF('CDO Bespoke'!C284&lt;&gt;"",'CDO Bespoke'!C284,"")</f>
        <v/>
      </c>
      <c r="W259" s="499" t="str" cm="1">
        <f t="array" aca="1" ref="W259" ca="1">IF($V259&lt;&gt;"",-TRANSPOSE(INDEX(getcds('CDO Bespoke'!$C284,W$13,'CDO Bespoke'!$G284/10000,'CDO Bespoke'!F284,'CDO Bespoke'!$L260,'CDO Bespoke'!$C$13,'CDO Bespoke'!$C$14,'CDO Bespoke'!$C$15,'CDO Bespoke'!$C$8,,,TRUE,TRUE,FALSE,'CDO Bespoke'!$C$29:'CDO Bespoke'!$C$31,'CDO Bespoke'!$C$33),{5})),"")</f>
        <v/>
      </c>
      <c r="X259" s="524" t="str" cm="1">
        <f t="array" aca="1" ref="X259" ca="1">IF($V259&lt;&gt;"",-TRANSPOSE(INDEX(getcds('CDO Bespoke'!$C284,X$13,'CDO Bespoke'!$G284/10000,'CDO Bespoke'!G284,'CDO Bespoke'!$L260,'CDO Bespoke'!$C$13,'CDO Bespoke'!$C$14,'CDO Bespoke'!$C$15,'CDO Bespoke'!$C$8,,,TRUE,TRUE,FALSE,'CDO Bespoke'!$C$29:'CDO Bespoke'!$C$31,'CDO Bespoke'!$C$33),{5})),"")</f>
        <v/>
      </c>
      <c r="Y259" s="524" t="str" cm="1">
        <f t="array" aca="1" ref="Y259" ca="1">IF($V259&lt;&gt;"",-TRANSPOSE(INDEX(getcds('CDO Bespoke'!$C284,Y$13,'CDO Bespoke'!$G284/10000,'CDO Bespoke'!H284,'CDO Bespoke'!$L260,'CDO Bespoke'!$C$13,'CDO Bespoke'!$C$14,'CDO Bespoke'!$C$15,'CDO Bespoke'!$C$8,,,TRUE,TRUE,FALSE,'CDO Bespoke'!$C$29:'CDO Bespoke'!$C$31,'CDO Bespoke'!$C$33),{5})),"")</f>
        <v/>
      </c>
      <c r="Z259" s="524" t="str" cm="1">
        <f t="array" aca="1" ref="Z259" ca="1">IF($V259&lt;&gt;"",-TRANSPOSE(INDEX(getcds('CDO Bespoke'!$C284,Z$13,'CDO Bespoke'!$G284/10000,'CDO Bespoke'!I284,'CDO Bespoke'!$L260,'CDO Bespoke'!$C$13,'CDO Bespoke'!$C$14,'CDO Bespoke'!$C$15,'CDO Bespoke'!$C$8,,,TRUE,TRUE,FALSE,'CDO Bespoke'!$C$29:'CDO Bespoke'!$C$31,'CDO Bespoke'!$C$33),{5})),"")</f>
        <v/>
      </c>
      <c r="AA259" s="500" t="str" cm="1">
        <f t="array" aca="1" ref="AA259" ca="1">IF($V259&lt;&gt;"",-TRANSPOSE(INDEX(getcds('CDO Bespoke'!$C284,AA$13,'CDO Bespoke'!$G284/10000,'CDO Bespoke'!J284,'CDO Bespoke'!$L260,'CDO Bespoke'!$C$13,'CDO Bespoke'!$C$14,'CDO Bespoke'!$C$15,'CDO Bespoke'!$C$8,,,TRUE,TRUE,FALSE,'CDO Bespoke'!$C$29:'CDO Bespoke'!$C$31,'CDO Bespoke'!$C$33),{5})),"")</f>
        <v/>
      </c>
      <c r="AB259" s="479"/>
      <c r="AC259" s="515"/>
      <c r="AD259" s="516"/>
      <c r="AE259" s="516"/>
      <c r="AF259" s="516"/>
      <c r="AG259" s="516"/>
      <c r="AH259" s="516"/>
      <c r="AI259" s="516"/>
      <c r="AJ259" s="516"/>
      <c r="AK259" s="516"/>
      <c r="AL259" s="517"/>
      <c r="AM259" s="534"/>
    </row>
    <row r="260" spans="2:39" ht="12" thickBot="1">
      <c r="B260" s="535" t="s">
        <v>589</v>
      </c>
      <c r="C260" s="536" t="s">
        <v>66</v>
      </c>
      <c r="D260" s="536" t="s">
        <v>57</v>
      </c>
      <c r="E260" s="536" t="s">
        <v>660</v>
      </c>
      <c r="F260" s="536" t="s">
        <v>669</v>
      </c>
      <c r="G260" s="543">
        <v>0.01</v>
      </c>
      <c r="H260" s="543">
        <v>7.345E-3</v>
      </c>
      <c r="I260" s="545">
        <v>0.4</v>
      </c>
      <c r="J260" s="537">
        <v>79</v>
      </c>
      <c r="K260" s="274"/>
      <c r="L260" s="274"/>
      <c r="M260" s="487" t="str">
        <f ca="1">IF('CDO Bespoke'!O261&lt;&gt;"",'CDO Bespoke'!O261,"")</f>
        <v/>
      </c>
      <c r="N260" s="488" t="str">
        <f ca="1">IF(M260&lt;&gt;"",ABS(MIN(-0.75*('CDO Bespoke'!Q261)+'CDO Bespoke'!T261,0)),"")</f>
        <v/>
      </c>
      <c r="O260" s="488">
        <f t="shared" ca="1" si="12"/>
        <v>0</v>
      </c>
      <c r="P260" s="488">
        <f t="shared" ca="1" si="13"/>
        <v>0</v>
      </c>
      <c r="Q260" s="487" t="str">
        <f ca="1">IF('CDO Bespoke'!O261&lt;&gt;"",'CDO Bespoke'!O261,"")</f>
        <v/>
      </c>
      <c r="R260" s="488" t="str">
        <f ca="1">IF(Q260&lt;&gt;"",ABS(MIN(-0.75*('CDO Bespoke'!K261)+'CDO Bespoke'!T261,0)),"")</f>
        <v/>
      </c>
      <c r="S260" s="488">
        <f t="shared" ca="1" si="14"/>
        <v>0</v>
      </c>
      <c r="T260" s="492">
        <f t="shared" ca="1" si="15"/>
        <v>0</v>
      </c>
      <c r="U260" s="274"/>
      <c r="V260" s="497" t="str">
        <f ca="1">IF('CDO Bespoke'!C285&lt;&gt;"",'CDO Bespoke'!C285,"")</f>
        <v/>
      </c>
      <c r="W260" s="499" t="str" cm="1">
        <f t="array" aca="1" ref="W260" ca="1">IF($V260&lt;&gt;"",-TRANSPOSE(INDEX(getcds('CDO Bespoke'!$C285,W$13,'CDO Bespoke'!$G285/10000,'CDO Bespoke'!F285,'CDO Bespoke'!$L261,'CDO Bespoke'!$C$13,'CDO Bespoke'!$C$14,'CDO Bespoke'!$C$15,'CDO Bespoke'!$C$8,,,TRUE,TRUE,FALSE,'CDO Bespoke'!$C$29:'CDO Bespoke'!$C$31,'CDO Bespoke'!$C$33),{5})),"")</f>
        <v/>
      </c>
      <c r="X260" s="524" t="str" cm="1">
        <f t="array" aca="1" ref="X260" ca="1">IF($V260&lt;&gt;"",-TRANSPOSE(INDEX(getcds('CDO Bespoke'!$C285,X$13,'CDO Bespoke'!$G285/10000,'CDO Bespoke'!G285,'CDO Bespoke'!$L261,'CDO Bespoke'!$C$13,'CDO Bespoke'!$C$14,'CDO Bespoke'!$C$15,'CDO Bespoke'!$C$8,,,TRUE,TRUE,FALSE,'CDO Bespoke'!$C$29:'CDO Bespoke'!$C$31,'CDO Bespoke'!$C$33),{5})),"")</f>
        <v/>
      </c>
      <c r="Y260" s="524" t="str" cm="1">
        <f t="array" aca="1" ref="Y260" ca="1">IF($V260&lt;&gt;"",-TRANSPOSE(INDEX(getcds('CDO Bespoke'!$C285,Y$13,'CDO Bespoke'!$G285/10000,'CDO Bespoke'!H285,'CDO Bespoke'!$L261,'CDO Bespoke'!$C$13,'CDO Bespoke'!$C$14,'CDO Bespoke'!$C$15,'CDO Bespoke'!$C$8,,,TRUE,TRUE,FALSE,'CDO Bespoke'!$C$29:'CDO Bespoke'!$C$31,'CDO Bespoke'!$C$33),{5})),"")</f>
        <v/>
      </c>
      <c r="Z260" s="524" t="str" cm="1">
        <f t="array" aca="1" ref="Z260" ca="1">IF($V260&lt;&gt;"",-TRANSPOSE(INDEX(getcds('CDO Bespoke'!$C285,Z$13,'CDO Bespoke'!$G285/10000,'CDO Bespoke'!I285,'CDO Bespoke'!$L261,'CDO Bespoke'!$C$13,'CDO Bespoke'!$C$14,'CDO Bespoke'!$C$15,'CDO Bespoke'!$C$8,,,TRUE,TRUE,FALSE,'CDO Bespoke'!$C$29:'CDO Bespoke'!$C$31,'CDO Bespoke'!$C$33),{5})),"")</f>
        <v/>
      </c>
      <c r="AA260" s="500" t="str" cm="1">
        <f t="array" aca="1" ref="AA260" ca="1">IF($V260&lt;&gt;"",-TRANSPOSE(INDEX(getcds('CDO Bespoke'!$C285,AA$13,'CDO Bespoke'!$G285/10000,'CDO Bespoke'!J285,'CDO Bespoke'!$L261,'CDO Bespoke'!$C$13,'CDO Bespoke'!$C$14,'CDO Bespoke'!$C$15,'CDO Bespoke'!$C$8,,,TRUE,TRUE,FALSE,'CDO Bespoke'!$C$29:'CDO Bespoke'!$C$31,'CDO Bespoke'!$C$33),{5})),"")</f>
        <v/>
      </c>
      <c r="AB260" s="479"/>
      <c r="AC260" s="515"/>
      <c r="AD260" s="516"/>
      <c r="AE260" s="516"/>
      <c r="AF260" s="516"/>
      <c r="AG260" s="516"/>
      <c r="AH260" s="516"/>
      <c r="AI260" s="516"/>
      <c r="AJ260" s="516"/>
      <c r="AK260" s="516"/>
      <c r="AL260" s="517"/>
      <c r="AM260" s="534"/>
    </row>
    <row r="261" spans="2:39" ht="12" thickBot="1">
      <c r="B261" s="552" t="s">
        <v>589</v>
      </c>
      <c r="C261" s="553" t="s">
        <v>66</v>
      </c>
      <c r="D261" s="553" t="s">
        <v>59</v>
      </c>
      <c r="E261" s="553" t="s">
        <v>660</v>
      </c>
      <c r="F261" s="553" t="s">
        <v>669</v>
      </c>
      <c r="G261" s="554">
        <v>0.01</v>
      </c>
      <c r="H261" s="554">
        <v>1.0267999999999999E-2</v>
      </c>
      <c r="I261" s="555">
        <v>0.4</v>
      </c>
      <c r="J261" s="556">
        <v>79</v>
      </c>
      <c r="K261" s="274"/>
      <c r="L261" s="274"/>
      <c r="M261" s="487" t="str">
        <f ca="1">IF('CDO Bespoke'!O262&lt;&gt;"",'CDO Bespoke'!O262,"")</f>
        <v/>
      </c>
      <c r="N261" s="488" t="str">
        <f ca="1">IF(M261&lt;&gt;"",ABS(MIN(-0.75*('CDO Bespoke'!Q262)+'CDO Bespoke'!T262,0)),"")</f>
        <v/>
      </c>
      <c r="O261" s="488">
        <f t="shared" ca="1" si="12"/>
        <v>0</v>
      </c>
      <c r="P261" s="488">
        <f t="shared" ca="1" si="13"/>
        <v>0</v>
      </c>
      <c r="Q261" s="487" t="str">
        <f ca="1">IF('CDO Bespoke'!O262&lt;&gt;"",'CDO Bespoke'!O262,"")</f>
        <v/>
      </c>
      <c r="R261" s="488" t="str">
        <f ca="1">IF(Q261&lt;&gt;"",ABS(MIN(-0.75*('CDO Bespoke'!K262)+'CDO Bespoke'!T262,0)),"")</f>
        <v/>
      </c>
      <c r="S261" s="488">
        <f t="shared" ca="1" si="14"/>
        <v>0</v>
      </c>
      <c r="T261" s="492">
        <f t="shared" ca="1" si="15"/>
        <v>0</v>
      </c>
      <c r="U261" s="274"/>
      <c r="V261" s="497" t="str">
        <f ca="1">IF('CDO Bespoke'!C286&lt;&gt;"",'CDO Bespoke'!C286,"")</f>
        <v/>
      </c>
      <c r="W261" s="499" t="str" cm="1">
        <f t="array" aca="1" ref="W261" ca="1">IF($V261&lt;&gt;"",-TRANSPOSE(INDEX(getcds('CDO Bespoke'!$C286,W$13,'CDO Bespoke'!$G286/10000,'CDO Bespoke'!F286,'CDO Bespoke'!$L262,'CDO Bespoke'!$C$13,'CDO Bespoke'!$C$14,'CDO Bespoke'!$C$15,'CDO Bespoke'!$C$8,,,TRUE,TRUE,FALSE,'CDO Bespoke'!$C$29:'CDO Bespoke'!$C$31,'CDO Bespoke'!$C$33),{5})),"")</f>
        <v/>
      </c>
      <c r="X261" s="524" t="str" cm="1">
        <f t="array" aca="1" ref="X261" ca="1">IF($V261&lt;&gt;"",-TRANSPOSE(INDEX(getcds('CDO Bespoke'!$C286,X$13,'CDO Bespoke'!$G286/10000,'CDO Bespoke'!G286,'CDO Bespoke'!$L262,'CDO Bespoke'!$C$13,'CDO Bespoke'!$C$14,'CDO Bespoke'!$C$15,'CDO Bespoke'!$C$8,,,TRUE,TRUE,FALSE,'CDO Bespoke'!$C$29:'CDO Bespoke'!$C$31,'CDO Bespoke'!$C$33),{5})),"")</f>
        <v/>
      </c>
      <c r="Y261" s="524" t="str" cm="1">
        <f t="array" aca="1" ref="Y261" ca="1">IF($V261&lt;&gt;"",-TRANSPOSE(INDEX(getcds('CDO Bespoke'!$C286,Y$13,'CDO Bespoke'!$G286/10000,'CDO Bespoke'!H286,'CDO Bespoke'!$L262,'CDO Bespoke'!$C$13,'CDO Bespoke'!$C$14,'CDO Bespoke'!$C$15,'CDO Bespoke'!$C$8,,,TRUE,TRUE,FALSE,'CDO Bespoke'!$C$29:'CDO Bespoke'!$C$31,'CDO Bespoke'!$C$33),{5})),"")</f>
        <v/>
      </c>
      <c r="Z261" s="524" t="str" cm="1">
        <f t="array" aca="1" ref="Z261" ca="1">IF($V261&lt;&gt;"",-TRANSPOSE(INDEX(getcds('CDO Bespoke'!$C286,Z$13,'CDO Bespoke'!$G286/10000,'CDO Bespoke'!I286,'CDO Bespoke'!$L262,'CDO Bespoke'!$C$13,'CDO Bespoke'!$C$14,'CDO Bespoke'!$C$15,'CDO Bespoke'!$C$8,,,TRUE,TRUE,FALSE,'CDO Bespoke'!$C$29:'CDO Bespoke'!$C$31,'CDO Bespoke'!$C$33),{5})),"")</f>
        <v/>
      </c>
      <c r="AA261" s="500" t="str" cm="1">
        <f t="array" aca="1" ref="AA261" ca="1">IF($V261&lt;&gt;"",-TRANSPOSE(INDEX(getcds('CDO Bespoke'!$C286,AA$13,'CDO Bespoke'!$G286/10000,'CDO Bespoke'!J286,'CDO Bespoke'!$L262,'CDO Bespoke'!$C$13,'CDO Bespoke'!$C$14,'CDO Bespoke'!$C$15,'CDO Bespoke'!$C$8,,,TRUE,TRUE,FALSE,'CDO Bespoke'!$C$29:'CDO Bespoke'!$C$31,'CDO Bespoke'!$C$33),{5})),"")</f>
        <v/>
      </c>
      <c r="AB261" s="479"/>
      <c r="AC261" s="515"/>
      <c r="AD261" s="516"/>
      <c r="AE261" s="516"/>
      <c r="AF261" s="516"/>
      <c r="AG261" s="516"/>
      <c r="AH261" s="516"/>
      <c r="AI261" s="516"/>
      <c r="AJ261" s="516"/>
      <c r="AK261" s="516"/>
      <c r="AL261" s="517"/>
      <c r="AM261" s="534"/>
    </row>
    <row r="262" spans="2:39" ht="12" thickBot="1">
      <c r="B262" s="557" t="s">
        <v>590</v>
      </c>
      <c r="C262" s="558" t="s">
        <v>66</v>
      </c>
      <c r="D262" s="558" t="s">
        <v>55</v>
      </c>
      <c r="E262" s="558" t="s">
        <v>660</v>
      </c>
      <c r="F262" s="558" t="s">
        <v>669</v>
      </c>
      <c r="G262" s="559">
        <v>0.01</v>
      </c>
      <c r="H262" s="559">
        <v>2.137E-3</v>
      </c>
      <c r="I262" s="560">
        <v>0.4</v>
      </c>
      <c r="J262" s="561">
        <v>80</v>
      </c>
      <c r="K262" s="274"/>
      <c r="L262" s="274"/>
      <c r="M262" s="487" t="str">
        <f ca="1">IF('CDO Bespoke'!O263&lt;&gt;"",'CDO Bespoke'!O263,"")</f>
        <v/>
      </c>
      <c r="N262" s="488" t="str">
        <f ca="1">IF(M262&lt;&gt;"",ABS(MIN(-0.75*('CDO Bespoke'!Q263)+'CDO Bespoke'!T263,0)),"")</f>
        <v/>
      </c>
      <c r="O262" s="488">
        <f t="shared" ca="1" si="12"/>
        <v>0</v>
      </c>
      <c r="P262" s="488">
        <f t="shared" ca="1" si="13"/>
        <v>0</v>
      </c>
      <c r="Q262" s="487" t="str">
        <f ca="1">IF('CDO Bespoke'!O263&lt;&gt;"",'CDO Bespoke'!O263,"")</f>
        <v/>
      </c>
      <c r="R262" s="488" t="str">
        <f ca="1">IF(Q262&lt;&gt;"",ABS(MIN(-0.75*('CDO Bespoke'!K263)+'CDO Bespoke'!T263,0)),"")</f>
        <v/>
      </c>
      <c r="S262" s="488">
        <f t="shared" ca="1" si="14"/>
        <v>0</v>
      </c>
      <c r="T262" s="492">
        <f t="shared" ca="1" si="15"/>
        <v>0</v>
      </c>
      <c r="U262" s="274"/>
      <c r="V262" s="497" t="str">
        <f ca="1">IF('CDO Bespoke'!C287&lt;&gt;"",'CDO Bespoke'!C287,"")</f>
        <v/>
      </c>
      <c r="W262" s="499" t="str" cm="1">
        <f t="array" aca="1" ref="W262" ca="1">IF($V262&lt;&gt;"",-TRANSPOSE(INDEX(getcds('CDO Bespoke'!$C287,W$13,'CDO Bespoke'!$G287/10000,'CDO Bespoke'!F287,'CDO Bespoke'!$L263,'CDO Bespoke'!$C$13,'CDO Bespoke'!$C$14,'CDO Bespoke'!$C$15,'CDO Bespoke'!$C$8,,,TRUE,TRUE,FALSE,'CDO Bespoke'!$C$29:'CDO Bespoke'!$C$31,'CDO Bespoke'!$C$33),{5})),"")</f>
        <v/>
      </c>
      <c r="X262" s="524" t="str" cm="1">
        <f t="array" aca="1" ref="X262" ca="1">IF($V262&lt;&gt;"",-TRANSPOSE(INDEX(getcds('CDO Bespoke'!$C287,X$13,'CDO Bespoke'!$G287/10000,'CDO Bespoke'!G287,'CDO Bespoke'!$L263,'CDO Bespoke'!$C$13,'CDO Bespoke'!$C$14,'CDO Bespoke'!$C$15,'CDO Bespoke'!$C$8,,,TRUE,TRUE,FALSE,'CDO Bespoke'!$C$29:'CDO Bespoke'!$C$31,'CDO Bespoke'!$C$33),{5})),"")</f>
        <v/>
      </c>
      <c r="Y262" s="524" t="str" cm="1">
        <f t="array" aca="1" ref="Y262" ca="1">IF($V262&lt;&gt;"",-TRANSPOSE(INDEX(getcds('CDO Bespoke'!$C287,Y$13,'CDO Bespoke'!$G287/10000,'CDO Bespoke'!H287,'CDO Bespoke'!$L263,'CDO Bespoke'!$C$13,'CDO Bespoke'!$C$14,'CDO Bespoke'!$C$15,'CDO Bespoke'!$C$8,,,TRUE,TRUE,FALSE,'CDO Bespoke'!$C$29:'CDO Bespoke'!$C$31,'CDO Bespoke'!$C$33),{5})),"")</f>
        <v/>
      </c>
      <c r="Z262" s="524" t="str" cm="1">
        <f t="array" aca="1" ref="Z262" ca="1">IF($V262&lt;&gt;"",-TRANSPOSE(INDEX(getcds('CDO Bespoke'!$C287,Z$13,'CDO Bespoke'!$G287/10000,'CDO Bespoke'!I287,'CDO Bespoke'!$L263,'CDO Bespoke'!$C$13,'CDO Bespoke'!$C$14,'CDO Bespoke'!$C$15,'CDO Bespoke'!$C$8,,,TRUE,TRUE,FALSE,'CDO Bespoke'!$C$29:'CDO Bespoke'!$C$31,'CDO Bespoke'!$C$33),{5})),"")</f>
        <v/>
      </c>
      <c r="AA262" s="500" t="str" cm="1">
        <f t="array" aca="1" ref="AA262" ca="1">IF($V262&lt;&gt;"",-TRANSPOSE(INDEX(getcds('CDO Bespoke'!$C287,AA$13,'CDO Bespoke'!$G287/10000,'CDO Bespoke'!J287,'CDO Bespoke'!$L263,'CDO Bespoke'!$C$13,'CDO Bespoke'!$C$14,'CDO Bespoke'!$C$15,'CDO Bespoke'!$C$8,,,TRUE,TRUE,FALSE,'CDO Bespoke'!$C$29:'CDO Bespoke'!$C$31,'CDO Bespoke'!$C$33),{5})),"")</f>
        <v/>
      </c>
      <c r="AB262" s="479"/>
      <c r="AC262" s="515"/>
      <c r="AD262" s="516"/>
      <c r="AE262" s="516"/>
      <c r="AF262" s="516"/>
      <c r="AG262" s="516"/>
      <c r="AH262" s="516"/>
      <c r="AI262" s="516"/>
      <c r="AJ262" s="516"/>
      <c r="AK262" s="516"/>
      <c r="AL262" s="517"/>
      <c r="AM262" s="534"/>
    </row>
    <row r="263" spans="2:39" ht="12" thickBot="1">
      <c r="B263" s="535" t="s">
        <v>590</v>
      </c>
      <c r="C263" s="536" t="s">
        <v>66</v>
      </c>
      <c r="D263" s="536" t="s">
        <v>57</v>
      </c>
      <c r="E263" s="536" t="s">
        <v>660</v>
      </c>
      <c r="F263" s="536" t="s">
        <v>669</v>
      </c>
      <c r="G263" s="543">
        <v>0.01</v>
      </c>
      <c r="H263" s="543">
        <v>3.2109999999999999E-3</v>
      </c>
      <c r="I263" s="545">
        <v>0.4</v>
      </c>
      <c r="J263" s="537">
        <v>80</v>
      </c>
      <c r="K263" s="274"/>
      <c r="L263" s="274"/>
      <c r="M263" s="487" t="str">
        <f ca="1">IF('CDO Bespoke'!O264&lt;&gt;"",'CDO Bespoke'!O264,"")</f>
        <v/>
      </c>
      <c r="N263" s="488" t="str">
        <f ca="1">IF(M263&lt;&gt;"",ABS(MIN(-0.75*('CDO Bespoke'!Q264)+'CDO Bespoke'!T264,0)),"")</f>
        <v/>
      </c>
      <c r="O263" s="488">
        <f t="shared" ca="1" si="12"/>
        <v>0</v>
      </c>
      <c r="P263" s="488">
        <f t="shared" ca="1" si="13"/>
        <v>0</v>
      </c>
      <c r="Q263" s="487" t="str">
        <f ca="1">IF('CDO Bespoke'!O264&lt;&gt;"",'CDO Bespoke'!O264,"")</f>
        <v/>
      </c>
      <c r="R263" s="488" t="str">
        <f ca="1">IF(Q263&lt;&gt;"",ABS(MIN(-0.75*('CDO Bespoke'!K264)+'CDO Bespoke'!T264,0)),"")</f>
        <v/>
      </c>
      <c r="S263" s="488">
        <f t="shared" ca="1" si="14"/>
        <v>0</v>
      </c>
      <c r="T263" s="492">
        <f t="shared" ca="1" si="15"/>
        <v>0</v>
      </c>
      <c r="U263" s="274"/>
      <c r="V263" s="497" t="str">
        <f ca="1">IF('CDO Bespoke'!C288&lt;&gt;"",'CDO Bespoke'!C288,"")</f>
        <v/>
      </c>
      <c r="W263" s="499" t="str" cm="1">
        <f t="array" aca="1" ref="W263" ca="1">IF($V263&lt;&gt;"",-TRANSPOSE(INDEX(getcds('CDO Bespoke'!$C288,W$13,'CDO Bespoke'!$G288/10000,'CDO Bespoke'!F288,'CDO Bespoke'!$L264,'CDO Bespoke'!$C$13,'CDO Bespoke'!$C$14,'CDO Bespoke'!$C$15,'CDO Bespoke'!$C$8,,,TRUE,TRUE,FALSE,'CDO Bespoke'!$C$29:'CDO Bespoke'!$C$31,'CDO Bespoke'!$C$33),{5})),"")</f>
        <v/>
      </c>
      <c r="X263" s="524" t="str" cm="1">
        <f t="array" aca="1" ref="X263" ca="1">IF($V263&lt;&gt;"",-TRANSPOSE(INDEX(getcds('CDO Bespoke'!$C288,X$13,'CDO Bespoke'!$G288/10000,'CDO Bespoke'!G288,'CDO Bespoke'!$L264,'CDO Bespoke'!$C$13,'CDO Bespoke'!$C$14,'CDO Bespoke'!$C$15,'CDO Bespoke'!$C$8,,,TRUE,TRUE,FALSE,'CDO Bespoke'!$C$29:'CDO Bespoke'!$C$31,'CDO Bespoke'!$C$33),{5})),"")</f>
        <v/>
      </c>
      <c r="Y263" s="524" t="str" cm="1">
        <f t="array" aca="1" ref="Y263" ca="1">IF($V263&lt;&gt;"",-TRANSPOSE(INDEX(getcds('CDO Bespoke'!$C288,Y$13,'CDO Bespoke'!$G288/10000,'CDO Bespoke'!H288,'CDO Bespoke'!$L264,'CDO Bespoke'!$C$13,'CDO Bespoke'!$C$14,'CDO Bespoke'!$C$15,'CDO Bespoke'!$C$8,,,TRUE,TRUE,FALSE,'CDO Bespoke'!$C$29:'CDO Bespoke'!$C$31,'CDO Bespoke'!$C$33),{5})),"")</f>
        <v/>
      </c>
      <c r="Z263" s="524" t="str" cm="1">
        <f t="array" aca="1" ref="Z263" ca="1">IF($V263&lt;&gt;"",-TRANSPOSE(INDEX(getcds('CDO Bespoke'!$C288,Z$13,'CDO Bespoke'!$G288/10000,'CDO Bespoke'!I288,'CDO Bespoke'!$L264,'CDO Bespoke'!$C$13,'CDO Bespoke'!$C$14,'CDO Bespoke'!$C$15,'CDO Bespoke'!$C$8,,,TRUE,TRUE,FALSE,'CDO Bespoke'!$C$29:'CDO Bespoke'!$C$31,'CDO Bespoke'!$C$33),{5})),"")</f>
        <v/>
      </c>
      <c r="AA263" s="500" t="str" cm="1">
        <f t="array" aca="1" ref="AA263" ca="1">IF($V263&lt;&gt;"",-TRANSPOSE(INDEX(getcds('CDO Bespoke'!$C288,AA$13,'CDO Bespoke'!$G288/10000,'CDO Bespoke'!J288,'CDO Bespoke'!$L264,'CDO Bespoke'!$C$13,'CDO Bespoke'!$C$14,'CDO Bespoke'!$C$15,'CDO Bespoke'!$C$8,,,TRUE,TRUE,FALSE,'CDO Bespoke'!$C$29:'CDO Bespoke'!$C$31,'CDO Bespoke'!$C$33),{5})),"")</f>
        <v/>
      </c>
      <c r="AB263" s="479"/>
      <c r="AC263" s="515"/>
      <c r="AD263" s="516"/>
      <c r="AE263" s="516"/>
      <c r="AF263" s="516"/>
      <c r="AG263" s="516"/>
      <c r="AH263" s="516"/>
      <c r="AI263" s="516"/>
      <c r="AJ263" s="516"/>
      <c r="AK263" s="516"/>
      <c r="AL263" s="517"/>
      <c r="AM263" s="534"/>
    </row>
    <row r="264" spans="2:39" ht="12" thickBot="1">
      <c r="B264" s="552" t="s">
        <v>590</v>
      </c>
      <c r="C264" s="553" t="s">
        <v>66</v>
      </c>
      <c r="D264" s="553" t="s">
        <v>59</v>
      </c>
      <c r="E264" s="553" t="s">
        <v>660</v>
      </c>
      <c r="F264" s="553" t="s">
        <v>669</v>
      </c>
      <c r="G264" s="554">
        <v>0.01</v>
      </c>
      <c r="H264" s="554">
        <v>4.6039999999999996E-3</v>
      </c>
      <c r="I264" s="555">
        <v>0.4</v>
      </c>
      <c r="J264" s="556">
        <v>80</v>
      </c>
      <c r="K264" s="274"/>
      <c r="L264" s="274"/>
      <c r="M264" s="487" t="str">
        <f ca="1">IF('CDO Bespoke'!O265&lt;&gt;"",'CDO Bespoke'!O265,"")</f>
        <v/>
      </c>
      <c r="N264" s="488" t="str">
        <f ca="1">IF(M264&lt;&gt;"",ABS(MIN(-0.75*('CDO Bespoke'!Q265)+'CDO Bespoke'!T265,0)),"")</f>
        <v/>
      </c>
      <c r="O264" s="488">
        <f t="shared" ca="1" si="12"/>
        <v>0</v>
      </c>
      <c r="P264" s="488">
        <f t="shared" ca="1" si="13"/>
        <v>0</v>
      </c>
      <c r="Q264" s="487" t="str">
        <f ca="1">IF('CDO Bespoke'!O265&lt;&gt;"",'CDO Bespoke'!O265,"")</f>
        <v/>
      </c>
      <c r="R264" s="488" t="str">
        <f ca="1">IF(Q264&lt;&gt;"",ABS(MIN(-0.75*('CDO Bespoke'!K265)+'CDO Bespoke'!T265,0)),"")</f>
        <v/>
      </c>
      <c r="S264" s="488">
        <f t="shared" ca="1" si="14"/>
        <v>0</v>
      </c>
      <c r="T264" s="492">
        <f t="shared" ca="1" si="15"/>
        <v>0</v>
      </c>
      <c r="U264" s="274"/>
      <c r="V264" s="497" t="str">
        <f ca="1">IF('CDO Bespoke'!C289&lt;&gt;"",'CDO Bespoke'!C289,"")</f>
        <v/>
      </c>
      <c r="W264" s="499" t="str" cm="1">
        <f t="array" aca="1" ref="W264" ca="1">IF($V264&lt;&gt;"",-TRANSPOSE(INDEX(getcds('CDO Bespoke'!$C289,W$13,'CDO Bespoke'!$G289/10000,'CDO Bespoke'!F289,'CDO Bespoke'!$L265,'CDO Bespoke'!$C$13,'CDO Bespoke'!$C$14,'CDO Bespoke'!$C$15,'CDO Bespoke'!$C$8,,,TRUE,TRUE,FALSE,'CDO Bespoke'!$C$29:'CDO Bespoke'!$C$31,'CDO Bespoke'!$C$33),{5})),"")</f>
        <v/>
      </c>
      <c r="X264" s="524" t="str" cm="1">
        <f t="array" aca="1" ref="X264" ca="1">IF($V264&lt;&gt;"",-TRANSPOSE(INDEX(getcds('CDO Bespoke'!$C289,X$13,'CDO Bespoke'!$G289/10000,'CDO Bespoke'!G289,'CDO Bespoke'!$L265,'CDO Bespoke'!$C$13,'CDO Bespoke'!$C$14,'CDO Bespoke'!$C$15,'CDO Bespoke'!$C$8,,,TRUE,TRUE,FALSE,'CDO Bespoke'!$C$29:'CDO Bespoke'!$C$31,'CDO Bespoke'!$C$33),{5})),"")</f>
        <v/>
      </c>
      <c r="Y264" s="524" t="str" cm="1">
        <f t="array" aca="1" ref="Y264" ca="1">IF($V264&lt;&gt;"",-TRANSPOSE(INDEX(getcds('CDO Bespoke'!$C289,Y$13,'CDO Bespoke'!$G289/10000,'CDO Bespoke'!H289,'CDO Bespoke'!$L265,'CDO Bespoke'!$C$13,'CDO Bespoke'!$C$14,'CDO Bespoke'!$C$15,'CDO Bespoke'!$C$8,,,TRUE,TRUE,FALSE,'CDO Bespoke'!$C$29:'CDO Bespoke'!$C$31,'CDO Bespoke'!$C$33),{5})),"")</f>
        <v/>
      </c>
      <c r="Z264" s="524" t="str" cm="1">
        <f t="array" aca="1" ref="Z264" ca="1">IF($V264&lt;&gt;"",-TRANSPOSE(INDEX(getcds('CDO Bespoke'!$C289,Z$13,'CDO Bespoke'!$G289/10000,'CDO Bespoke'!I289,'CDO Bespoke'!$L265,'CDO Bespoke'!$C$13,'CDO Bespoke'!$C$14,'CDO Bespoke'!$C$15,'CDO Bespoke'!$C$8,,,TRUE,TRUE,FALSE,'CDO Bespoke'!$C$29:'CDO Bespoke'!$C$31,'CDO Bespoke'!$C$33),{5})),"")</f>
        <v/>
      </c>
      <c r="AA264" s="500" t="str" cm="1">
        <f t="array" aca="1" ref="AA264" ca="1">IF($V264&lt;&gt;"",-TRANSPOSE(INDEX(getcds('CDO Bespoke'!$C289,AA$13,'CDO Bespoke'!$G289/10000,'CDO Bespoke'!J289,'CDO Bespoke'!$L265,'CDO Bespoke'!$C$13,'CDO Bespoke'!$C$14,'CDO Bespoke'!$C$15,'CDO Bespoke'!$C$8,,,TRUE,TRUE,FALSE,'CDO Bespoke'!$C$29:'CDO Bespoke'!$C$31,'CDO Bespoke'!$C$33),{5})),"")</f>
        <v/>
      </c>
      <c r="AB264" s="479"/>
      <c r="AC264" s="515"/>
      <c r="AD264" s="516"/>
      <c r="AE264" s="516"/>
      <c r="AF264" s="516"/>
      <c r="AG264" s="516"/>
      <c r="AH264" s="516"/>
      <c r="AI264" s="516"/>
      <c r="AJ264" s="516"/>
      <c r="AK264" s="516"/>
      <c r="AL264" s="517"/>
      <c r="AM264" s="534"/>
    </row>
    <row r="265" spans="2:39" ht="12" thickBot="1">
      <c r="B265" s="557" t="s">
        <v>591</v>
      </c>
      <c r="C265" s="558" t="s">
        <v>66</v>
      </c>
      <c r="D265" s="558" t="s">
        <v>55</v>
      </c>
      <c r="E265" s="558" t="s">
        <v>660</v>
      </c>
      <c r="F265" s="558" t="s">
        <v>663</v>
      </c>
      <c r="G265" s="559">
        <v>0.01</v>
      </c>
      <c r="H265" s="559">
        <v>4.9890000000000004E-3</v>
      </c>
      <c r="I265" s="560">
        <v>0.4</v>
      </c>
      <c r="J265" s="561">
        <v>81</v>
      </c>
      <c r="K265" s="274"/>
      <c r="L265" s="274"/>
      <c r="M265" s="487" t="str">
        <f ca="1">IF('CDO Bespoke'!O266&lt;&gt;"",'CDO Bespoke'!O266,"")</f>
        <v/>
      </c>
      <c r="N265" s="488" t="str">
        <f ca="1">IF(M265&lt;&gt;"",ABS(MIN(-0.75*('CDO Bespoke'!Q266)+'CDO Bespoke'!T266,0)),"")</f>
        <v/>
      </c>
      <c r="O265" s="488">
        <f t="shared" ca="1" si="12"/>
        <v>0</v>
      </c>
      <c r="P265" s="488">
        <f t="shared" ca="1" si="13"/>
        <v>0</v>
      </c>
      <c r="Q265" s="487" t="str">
        <f ca="1">IF('CDO Bespoke'!O266&lt;&gt;"",'CDO Bespoke'!O266,"")</f>
        <v/>
      </c>
      <c r="R265" s="488" t="str">
        <f ca="1">IF(Q265&lt;&gt;"",ABS(MIN(-0.75*('CDO Bespoke'!K266)+'CDO Bespoke'!T266,0)),"")</f>
        <v/>
      </c>
      <c r="S265" s="488">
        <f t="shared" ca="1" si="14"/>
        <v>0</v>
      </c>
      <c r="T265" s="492">
        <f t="shared" ca="1" si="15"/>
        <v>0</v>
      </c>
      <c r="U265" s="274"/>
      <c r="V265" s="497" t="str">
        <f ca="1">IF('CDO Bespoke'!C290&lt;&gt;"",'CDO Bespoke'!C290,"")</f>
        <v/>
      </c>
      <c r="W265" s="499" t="str" cm="1">
        <f t="array" aca="1" ref="W265" ca="1">IF($V265&lt;&gt;"",-TRANSPOSE(INDEX(getcds('CDO Bespoke'!$C290,W$13,'CDO Bespoke'!$G290/10000,'CDO Bespoke'!F290,'CDO Bespoke'!$L266,'CDO Bespoke'!$C$13,'CDO Bespoke'!$C$14,'CDO Bespoke'!$C$15,'CDO Bespoke'!$C$8,,,TRUE,TRUE,FALSE,'CDO Bespoke'!$C$29:'CDO Bespoke'!$C$31,'CDO Bespoke'!$C$33),{5})),"")</f>
        <v/>
      </c>
      <c r="X265" s="524" t="str" cm="1">
        <f t="array" aca="1" ref="X265" ca="1">IF($V265&lt;&gt;"",-TRANSPOSE(INDEX(getcds('CDO Bespoke'!$C290,X$13,'CDO Bespoke'!$G290/10000,'CDO Bespoke'!G290,'CDO Bespoke'!$L266,'CDO Bespoke'!$C$13,'CDO Bespoke'!$C$14,'CDO Bespoke'!$C$15,'CDO Bespoke'!$C$8,,,TRUE,TRUE,FALSE,'CDO Bespoke'!$C$29:'CDO Bespoke'!$C$31,'CDO Bespoke'!$C$33),{5})),"")</f>
        <v/>
      </c>
      <c r="Y265" s="524" t="str" cm="1">
        <f t="array" aca="1" ref="Y265" ca="1">IF($V265&lt;&gt;"",-TRANSPOSE(INDEX(getcds('CDO Bespoke'!$C290,Y$13,'CDO Bespoke'!$G290/10000,'CDO Bespoke'!H290,'CDO Bespoke'!$L266,'CDO Bespoke'!$C$13,'CDO Bespoke'!$C$14,'CDO Bespoke'!$C$15,'CDO Bespoke'!$C$8,,,TRUE,TRUE,FALSE,'CDO Bespoke'!$C$29:'CDO Bespoke'!$C$31,'CDO Bespoke'!$C$33),{5})),"")</f>
        <v/>
      </c>
      <c r="Z265" s="524" t="str" cm="1">
        <f t="array" aca="1" ref="Z265" ca="1">IF($V265&lt;&gt;"",-TRANSPOSE(INDEX(getcds('CDO Bespoke'!$C290,Z$13,'CDO Bespoke'!$G290/10000,'CDO Bespoke'!I290,'CDO Bespoke'!$L266,'CDO Bespoke'!$C$13,'CDO Bespoke'!$C$14,'CDO Bespoke'!$C$15,'CDO Bespoke'!$C$8,,,TRUE,TRUE,FALSE,'CDO Bespoke'!$C$29:'CDO Bespoke'!$C$31,'CDO Bespoke'!$C$33),{5})),"")</f>
        <v/>
      </c>
      <c r="AA265" s="500" t="str" cm="1">
        <f t="array" aca="1" ref="AA265" ca="1">IF($V265&lt;&gt;"",-TRANSPOSE(INDEX(getcds('CDO Bespoke'!$C290,AA$13,'CDO Bespoke'!$G290/10000,'CDO Bespoke'!J290,'CDO Bespoke'!$L266,'CDO Bespoke'!$C$13,'CDO Bespoke'!$C$14,'CDO Bespoke'!$C$15,'CDO Bespoke'!$C$8,,,TRUE,TRUE,FALSE,'CDO Bespoke'!$C$29:'CDO Bespoke'!$C$31,'CDO Bespoke'!$C$33),{5})),"")</f>
        <v/>
      </c>
      <c r="AB265" s="479"/>
      <c r="AC265" s="515"/>
      <c r="AD265" s="516"/>
      <c r="AE265" s="516"/>
      <c r="AF265" s="516"/>
      <c r="AG265" s="516"/>
      <c r="AH265" s="516"/>
      <c r="AI265" s="516"/>
      <c r="AJ265" s="516"/>
      <c r="AK265" s="516"/>
      <c r="AL265" s="517"/>
      <c r="AM265" s="534"/>
    </row>
    <row r="266" spans="2:39" ht="12" thickBot="1">
      <c r="B266" s="535" t="s">
        <v>591</v>
      </c>
      <c r="C266" s="536" t="s">
        <v>66</v>
      </c>
      <c r="D266" s="536" t="s">
        <v>57</v>
      </c>
      <c r="E266" s="536" t="s">
        <v>660</v>
      </c>
      <c r="F266" s="536" t="s">
        <v>663</v>
      </c>
      <c r="G266" s="543">
        <v>0.01</v>
      </c>
      <c r="H266" s="543">
        <v>1.01E-2</v>
      </c>
      <c r="I266" s="545">
        <v>0.4</v>
      </c>
      <c r="J266" s="537">
        <v>81</v>
      </c>
      <c r="K266" s="274"/>
      <c r="L266" s="274"/>
      <c r="M266" s="487" t="str">
        <f ca="1">IF('CDO Bespoke'!O267&lt;&gt;"",'CDO Bespoke'!O267,"")</f>
        <v/>
      </c>
      <c r="N266" s="488" t="str">
        <f ca="1">IF(M266&lt;&gt;"",ABS(MIN(-0.75*('CDO Bespoke'!Q267)+'CDO Bespoke'!T267,0)),"")</f>
        <v/>
      </c>
      <c r="O266" s="488">
        <f t="shared" ca="1" si="12"/>
        <v>0</v>
      </c>
      <c r="P266" s="488">
        <f t="shared" ca="1" si="13"/>
        <v>0</v>
      </c>
      <c r="Q266" s="487" t="str">
        <f ca="1">IF('CDO Bespoke'!O267&lt;&gt;"",'CDO Bespoke'!O267,"")</f>
        <v/>
      </c>
      <c r="R266" s="488" t="str">
        <f ca="1">IF(Q266&lt;&gt;"",ABS(MIN(-0.75*('CDO Bespoke'!K267)+'CDO Bespoke'!T267,0)),"")</f>
        <v/>
      </c>
      <c r="S266" s="488">
        <f t="shared" ca="1" si="14"/>
        <v>0</v>
      </c>
      <c r="T266" s="492">
        <f t="shared" ca="1" si="15"/>
        <v>0</v>
      </c>
      <c r="U266" s="274"/>
      <c r="V266" s="497" t="str">
        <f ca="1">IF('CDO Bespoke'!C291&lt;&gt;"",'CDO Bespoke'!C291,"")</f>
        <v/>
      </c>
      <c r="W266" s="499" t="str" cm="1">
        <f t="array" aca="1" ref="W266" ca="1">IF($V266&lt;&gt;"",-TRANSPOSE(INDEX(getcds('CDO Bespoke'!$C291,W$13,'CDO Bespoke'!$G291/10000,'CDO Bespoke'!F291,'CDO Bespoke'!$L267,'CDO Bespoke'!$C$13,'CDO Bespoke'!$C$14,'CDO Bespoke'!$C$15,'CDO Bespoke'!$C$8,,,TRUE,TRUE,FALSE,'CDO Bespoke'!$C$29:'CDO Bespoke'!$C$31,'CDO Bespoke'!$C$33),{5})),"")</f>
        <v/>
      </c>
      <c r="X266" s="524" t="str" cm="1">
        <f t="array" aca="1" ref="X266" ca="1">IF($V266&lt;&gt;"",-TRANSPOSE(INDEX(getcds('CDO Bespoke'!$C291,X$13,'CDO Bespoke'!$G291/10000,'CDO Bespoke'!G291,'CDO Bespoke'!$L267,'CDO Bespoke'!$C$13,'CDO Bespoke'!$C$14,'CDO Bespoke'!$C$15,'CDO Bespoke'!$C$8,,,TRUE,TRUE,FALSE,'CDO Bespoke'!$C$29:'CDO Bespoke'!$C$31,'CDO Bespoke'!$C$33),{5})),"")</f>
        <v/>
      </c>
      <c r="Y266" s="524" t="str" cm="1">
        <f t="array" aca="1" ref="Y266" ca="1">IF($V266&lt;&gt;"",-TRANSPOSE(INDEX(getcds('CDO Bespoke'!$C291,Y$13,'CDO Bespoke'!$G291/10000,'CDO Bespoke'!H291,'CDO Bespoke'!$L267,'CDO Bespoke'!$C$13,'CDO Bespoke'!$C$14,'CDO Bespoke'!$C$15,'CDO Bespoke'!$C$8,,,TRUE,TRUE,FALSE,'CDO Bespoke'!$C$29:'CDO Bespoke'!$C$31,'CDO Bespoke'!$C$33),{5})),"")</f>
        <v/>
      </c>
      <c r="Z266" s="524" t="str" cm="1">
        <f t="array" aca="1" ref="Z266" ca="1">IF($V266&lt;&gt;"",-TRANSPOSE(INDEX(getcds('CDO Bespoke'!$C291,Z$13,'CDO Bespoke'!$G291/10000,'CDO Bespoke'!I291,'CDO Bespoke'!$L267,'CDO Bespoke'!$C$13,'CDO Bespoke'!$C$14,'CDO Bespoke'!$C$15,'CDO Bespoke'!$C$8,,,TRUE,TRUE,FALSE,'CDO Bespoke'!$C$29:'CDO Bespoke'!$C$31,'CDO Bespoke'!$C$33),{5})),"")</f>
        <v/>
      </c>
      <c r="AA266" s="500" t="str" cm="1">
        <f t="array" aca="1" ref="AA266" ca="1">IF($V266&lt;&gt;"",-TRANSPOSE(INDEX(getcds('CDO Bespoke'!$C291,AA$13,'CDO Bespoke'!$G291/10000,'CDO Bespoke'!J291,'CDO Bespoke'!$L267,'CDO Bespoke'!$C$13,'CDO Bespoke'!$C$14,'CDO Bespoke'!$C$15,'CDO Bespoke'!$C$8,,,TRUE,TRUE,FALSE,'CDO Bespoke'!$C$29:'CDO Bespoke'!$C$31,'CDO Bespoke'!$C$33),{5})),"")</f>
        <v/>
      </c>
      <c r="AB266" s="479"/>
      <c r="AC266" s="515"/>
      <c r="AD266" s="516"/>
      <c r="AE266" s="516"/>
      <c r="AF266" s="516"/>
      <c r="AG266" s="516"/>
      <c r="AH266" s="516"/>
      <c r="AI266" s="516"/>
      <c r="AJ266" s="516"/>
      <c r="AK266" s="516"/>
      <c r="AL266" s="517"/>
      <c r="AM266" s="534"/>
    </row>
    <row r="267" spans="2:39" ht="12" thickBot="1">
      <c r="B267" s="552" t="s">
        <v>591</v>
      </c>
      <c r="C267" s="553" t="s">
        <v>66</v>
      </c>
      <c r="D267" s="553" t="s">
        <v>59</v>
      </c>
      <c r="E267" s="553" t="s">
        <v>660</v>
      </c>
      <c r="F267" s="553" t="s">
        <v>663</v>
      </c>
      <c r="G267" s="554">
        <v>0.01</v>
      </c>
      <c r="H267" s="554">
        <v>1.474E-2</v>
      </c>
      <c r="I267" s="555">
        <v>0.4</v>
      </c>
      <c r="J267" s="556">
        <v>81</v>
      </c>
      <c r="K267" s="274"/>
      <c r="L267" s="274"/>
      <c r="M267" s="487" t="str">
        <f ca="1">IF('CDO Bespoke'!O268&lt;&gt;"",'CDO Bespoke'!O268,"")</f>
        <v/>
      </c>
      <c r="N267" s="488" t="str">
        <f ca="1">IF(M267&lt;&gt;"",ABS(MIN(-0.75*('CDO Bespoke'!Q268)+'CDO Bespoke'!T268,0)),"")</f>
        <v/>
      </c>
      <c r="O267" s="488">
        <f t="shared" ca="1" si="12"/>
        <v>0</v>
      </c>
      <c r="P267" s="488">
        <f t="shared" ca="1" si="13"/>
        <v>0</v>
      </c>
      <c r="Q267" s="487" t="str">
        <f ca="1">IF('CDO Bespoke'!O268&lt;&gt;"",'CDO Bespoke'!O268,"")</f>
        <v/>
      </c>
      <c r="R267" s="488" t="str">
        <f ca="1">IF(Q267&lt;&gt;"",ABS(MIN(-0.75*('CDO Bespoke'!K268)+'CDO Bespoke'!T268,0)),"")</f>
        <v/>
      </c>
      <c r="S267" s="488">
        <f t="shared" ca="1" si="14"/>
        <v>0</v>
      </c>
      <c r="T267" s="492">
        <f t="shared" ca="1" si="15"/>
        <v>0</v>
      </c>
      <c r="U267" s="274"/>
      <c r="V267" s="497" t="str">
        <f ca="1">IF('CDO Bespoke'!C292&lt;&gt;"",'CDO Bespoke'!C292,"")</f>
        <v/>
      </c>
      <c r="W267" s="499" t="str" cm="1">
        <f t="array" aca="1" ref="W267" ca="1">IF($V267&lt;&gt;"",-TRANSPOSE(INDEX(getcds('CDO Bespoke'!$C292,W$13,'CDO Bespoke'!$G292/10000,'CDO Bespoke'!F292,'CDO Bespoke'!$L268,'CDO Bespoke'!$C$13,'CDO Bespoke'!$C$14,'CDO Bespoke'!$C$15,'CDO Bespoke'!$C$8,,,TRUE,TRUE,FALSE,'CDO Bespoke'!$C$29:'CDO Bespoke'!$C$31,'CDO Bespoke'!$C$33),{5})),"")</f>
        <v/>
      </c>
      <c r="X267" s="524" t="str" cm="1">
        <f t="array" aca="1" ref="X267" ca="1">IF($V267&lt;&gt;"",-TRANSPOSE(INDEX(getcds('CDO Bespoke'!$C292,X$13,'CDO Bespoke'!$G292/10000,'CDO Bespoke'!G292,'CDO Bespoke'!$L268,'CDO Bespoke'!$C$13,'CDO Bespoke'!$C$14,'CDO Bespoke'!$C$15,'CDO Bespoke'!$C$8,,,TRUE,TRUE,FALSE,'CDO Bespoke'!$C$29:'CDO Bespoke'!$C$31,'CDO Bespoke'!$C$33),{5})),"")</f>
        <v/>
      </c>
      <c r="Y267" s="524" t="str" cm="1">
        <f t="array" aca="1" ref="Y267" ca="1">IF($V267&lt;&gt;"",-TRANSPOSE(INDEX(getcds('CDO Bespoke'!$C292,Y$13,'CDO Bespoke'!$G292/10000,'CDO Bespoke'!H292,'CDO Bespoke'!$L268,'CDO Bespoke'!$C$13,'CDO Bespoke'!$C$14,'CDO Bespoke'!$C$15,'CDO Bespoke'!$C$8,,,TRUE,TRUE,FALSE,'CDO Bespoke'!$C$29:'CDO Bespoke'!$C$31,'CDO Bespoke'!$C$33),{5})),"")</f>
        <v/>
      </c>
      <c r="Z267" s="524" t="str" cm="1">
        <f t="array" aca="1" ref="Z267" ca="1">IF($V267&lt;&gt;"",-TRANSPOSE(INDEX(getcds('CDO Bespoke'!$C292,Z$13,'CDO Bespoke'!$G292/10000,'CDO Bespoke'!I292,'CDO Bespoke'!$L268,'CDO Bespoke'!$C$13,'CDO Bespoke'!$C$14,'CDO Bespoke'!$C$15,'CDO Bespoke'!$C$8,,,TRUE,TRUE,FALSE,'CDO Bespoke'!$C$29:'CDO Bespoke'!$C$31,'CDO Bespoke'!$C$33),{5})),"")</f>
        <v/>
      </c>
      <c r="AA267" s="500" t="str" cm="1">
        <f t="array" aca="1" ref="AA267" ca="1">IF($V267&lt;&gt;"",-TRANSPOSE(INDEX(getcds('CDO Bespoke'!$C292,AA$13,'CDO Bespoke'!$G292/10000,'CDO Bespoke'!J292,'CDO Bespoke'!$L268,'CDO Bespoke'!$C$13,'CDO Bespoke'!$C$14,'CDO Bespoke'!$C$15,'CDO Bespoke'!$C$8,,,TRUE,TRUE,FALSE,'CDO Bespoke'!$C$29:'CDO Bespoke'!$C$31,'CDO Bespoke'!$C$33),{5})),"")</f>
        <v/>
      </c>
      <c r="AB267" s="479"/>
      <c r="AC267" s="515"/>
      <c r="AD267" s="516"/>
      <c r="AE267" s="516"/>
      <c r="AF267" s="516"/>
      <c r="AG267" s="516"/>
      <c r="AH267" s="516"/>
      <c r="AI267" s="516"/>
      <c r="AJ267" s="516"/>
      <c r="AK267" s="516"/>
      <c r="AL267" s="517"/>
      <c r="AM267" s="534"/>
    </row>
    <row r="268" spans="2:39" ht="12" thickBot="1">
      <c r="B268" s="557" t="s">
        <v>601</v>
      </c>
      <c r="C268" s="558" t="s">
        <v>66</v>
      </c>
      <c r="D268" s="558" t="s">
        <v>55</v>
      </c>
      <c r="E268" s="558" t="s">
        <v>660</v>
      </c>
      <c r="F268" s="558" t="s">
        <v>669</v>
      </c>
      <c r="G268" s="559">
        <v>0.01</v>
      </c>
      <c r="H268" s="559">
        <v>2.7200000000000002E-3</v>
      </c>
      <c r="I268" s="560">
        <v>0.4</v>
      </c>
      <c r="J268" s="561">
        <v>82</v>
      </c>
      <c r="K268" s="274"/>
      <c r="L268" s="274"/>
      <c r="M268" s="487" t="str">
        <f ca="1">IF('CDO Bespoke'!O269&lt;&gt;"",'CDO Bespoke'!O269,"")</f>
        <v/>
      </c>
      <c r="N268" s="488" t="str">
        <f ca="1">IF(M268&lt;&gt;"",ABS(MIN(-0.75*('CDO Bespoke'!Q269)+'CDO Bespoke'!T269,0)),"")</f>
        <v/>
      </c>
      <c r="O268" s="488">
        <f t="shared" ca="1" si="12"/>
        <v>0</v>
      </c>
      <c r="P268" s="488">
        <f t="shared" ca="1" si="13"/>
        <v>0</v>
      </c>
      <c r="Q268" s="487" t="str">
        <f ca="1">IF('CDO Bespoke'!O269&lt;&gt;"",'CDO Bespoke'!O269,"")</f>
        <v/>
      </c>
      <c r="R268" s="488" t="str">
        <f ca="1">IF(Q268&lt;&gt;"",ABS(MIN(-0.75*('CDO Bespoke'!K269)+'CDO Bespoke'!T269,0)),"")</f>
        <v/>
      </c>
      <c r="S268" s="488">
        <f t="shared" ca="1" si="14"/>
        <v>0</v>
      </c>
      <c r="T268" s="492">
        <f t="shared" ca="1" si="15"/>
        <v>0</v>
      </c>
      <c r="U268" s="274"/>
      <c r="V268" s="497" t="str">
        <f ca="1">IF('CDO Bespoke'!C293&lt;&gt;"",'CDO Bespoke'!C293,"")</f>
        <v/>
      </c>
      <c r="W268" s="499" t="str" cm="1">
        <f t="array" aca="1" ref="W268" ca="1">IF($V268&lt;&gt;"",-TRANSPOSE(INDEX(getcds('CDO Bespoke'!$C293,W$13,'CDO Bespoke'!$G293/10000,'CDO Bespoke'!F293,'CDO Bespoke'!$L269,'CDO Bespoke'!$C$13,'CDO Bespoke'!$C$14,'CDO Bespoke'!$C$15,'CDO Bespoke'!$C$8,,,TRUE,TRUE,FALSE,'CDO Bespoke'!$C$29:'CDO Bespoke'!$C$31,'CDO Bespoke'!$C$33),{5})),"")</f>
        <v/>
      </c>
      <c r="X268" s="524" t="str" cm="1">
        <f t="array" aca="1" ref="X268" ca="1">IF($V268&lt;&gt;"",-TRANSPOSE(INDEX(getcds('CDO Bespoke'!$C293,X$13,'CDO Bespoke'!$G293/10000,'CDO Bespoke'!G293,'CDO Bespoke'!$L269,'CDO Bespoke'!$C$13,'CDO Bespoke'!$C$14,'CDO Bespoke'!$C$15,'CDO Bespoke'!$C$8,,,TRUE,TRUE,FALSE,'CDO Bespoke'!$C$29:'CDO Bespoke'!$C$31,'CDO Bespoke'!$C$33),{5})),"")</f>
        <v/>
      </c>
      <c r="Y268" s="524" t="str" cm="1">
        <f t="array" aca="1" ref="Y268" ca="1">IF($V268&lt;&gt;"",-TRANSPOSE(INDEX(getcds('CDO Bespoke'!$C293,Y$13,'CDO Bespoke'!$G293/10000,'CDO Bespoke'!H293,'CDO Bespoke'!$L269,'CDO Bespoke'!$C$13,'CDO Bespoke'!$C$14,'CDO Bespoke'!$C$15,'CDO Bespoke'!$C$8,,,TRUE,TRUE,FALSE,'CDO Bespoke'!$C$29:'CDO Bespoke'!$C$31,'CDO Bespoke'!$C$33),{5})),"")</f>
        <v/>
      </c>
      <c r="Z268" s="524" t="str" cm="1">
        <f t="array" aca="1" ref="Z268" ca="1">IF($V268&lt;&gt;"",-TRANSPOSE(INDEX(getcds('CDO Bespoke'!$C293,Z$13,'CDO Bespoke'!$G293/10000,'CDO Bespoke'!I293,'CDO Bespoke'!$L269,'CDO Bespoke'!$C$13,'CDO Bespoke'!$C$14,'CDO Bespoke'!$C$15,'CDO Bespoke'!$C$8,,,TRUE,TRUE,FALSE,'CDO Bespoke'!$C$29:'CDO Bespoke'!$C$31,'CDO Bespoke'!$C$33),{5})),"")</f>
        <v/>
      </c>
      <c r="AA268" s="500" t="str" cm="1">
        <f t="array" aca="1" ref="AA268" ca="1">IF($V268&lt;&gt;"",-TRANSPOSE(INDEX(getcds('CDO Bespoke'!$C293,AA$13,'CDO Bespoke'!$G293/10000,'CDO Bespoke'!J293,'CDO Bespoke'!$L269,'CDO Bespoke'!$C$13,'CDO Bespoke'!$C$14,'CDO Bespoke'!$C$15,'CDO Bespoke'!$C$8,,,TRUE,TRUE,FALSE,'CDO Bespoke'!$C$29:'CDO Bespoke'!$C$31,'CDO Bespoke'!$C$33),{5})),"")</f>
        <v/>
      </c>
      <c r="AB268" s="479"/>
      <c r="AC268" s="515"/>
      <c r="AD268" s="516"/>
      <c r="AE268" s="516"/>
      <c r="AF268" s="516"/>
      <c r="AG268" s="516"/>
      <c r="AH268" s="516"/>
      <c r="AI268" s="516"/>
      <c r="AJ268" s="516"/>
      <c r="AK268" s="516"/>
      <c r="AL268" s="517"/>
      <c r="AM268" s="534"/>
    </row>
    <row r="269" spans="2:39" ht="12" thickBot="1">
      <c r="B269" s="535" t="s">
        <v>601</v>
      </c>
      <c r="C269" s="536" t="s">
        <v>66</v>
      </c>
      <c r="D269" s="536" t="s">
        <v>57</v>
      </c>
      <c r="E269" s="536" t="s">
        <v>660</v>
      </c>
      <c r="F269" s="536" t="s">
        <v>669</v>
      </c>
      <c r="G269" s="543">
        <v>0.01</v>
      </c>
      <c r="H269" s="543">
        <v>4.6210000000000001E-3</v>
      </c>
      <c r="I269" s="545">
        <v>0.4</v>
      </c>
      <c r="J269" s="537">
        <v>82</v>
      </c>
      <c r="K269" s="274"/>
      <c r="L269" s="274"/>
      <c r="M269" s="487" t="str">
        <f ca="1">IF('CDO Bespoke'!O270&lt;&gt;"",'CDO Bespoke'!O270,"")</f>
        <v/>
      </c>
      <c r="N269" s="488" t="str">
        <f ca="1">IF(M269&lt;&gt;"",ABS(MIN(-0.75*('CDO Bespoke'!Q270)+'CDO Bespoke'!T270,0)),"")</f>
        <v/>
      </c>
      <c r="O269" s="488">
        <f t="shared" ca="1" si="12"/>
        <v>0</v>
      </c>
      <c r="P269" s="488">
        <f t="shared" ca="1" si="13"/>
        <v>0</v>
      </c>
      <c r="Q269" s="487" t="str">
        <f ca="1">IF('CDO Bespoke'!O270&lt;&gt;"",'CDO Bespoke'!O270,"")</f>
        <v/>
      </c>
      <c r="R269" s="488" t="str">
        <f ca="1">IF(Q269&lt;&gt;"",ABS(MIN(-0.75*('CDO Bespoke'!K270)+'CDO Bespoke'!T270,0)),"")</f>
        <v/>
      </c>
      <c r="S269" s="488">
        <f t="shared" ca="1" si="14"/>
        <v>0</v>
      </c>
      <c r="T269" s="492">
        <f t="shared" ca="1" si="15"/>
        <v>0</v>
      </c>
      <c r="U269" s="274"/>
      <c r="V269" s="497" t="str">
        <f ca="1">IF('CDO Bespoke'!C294&lt;&gt;"",'CDO Bespoke'!C294,"")</f>
        <v/>
      </c>
      <c r="W269" s="499" t="str" cm="1">
        <f t="array" aca="1" ref="W269" ca="1">IF($V269&lt;&gt;"",-TRANSPOSE(INDEX(getcds('CDO Bespoke'!$C294,W$13,'CDO Bespoke'!$G294/10000,'CDO Bespoke'!F294,'CDO Bespoke'!$L270,'CDO Bespoke'!$C$13,'CDO Bespoke'!$C$14,'CDO Bespoke'!$C$15,'CDO Bespoke'!$C$8,,,TRUE,TRUE,FALSE,'CDO Bespoke'!$C$29:'CDO Bespoke'!$C$31,'CDO Bespoke'!$C$33),{5})),"")</f>
        <v/>
      </c>
      <c r="X269" s="524" t="str" cm="1">
        <f t="array" aca="1" ref="X269" ca="1">IF($V269&lt;&gt;"",-TRANSPOSE(INDEX(getcds('CDO Bespoke'!$C294,X$13,'CDO Bespoke'!$G294/10000,'CDO Bespoke'!G294,'CDO Bespoke'!$L270,'CDO Bespoke'!$C$13,'CDO Bespoke'!$C$14,'CDO Bespoke'!$C$15,'CDO Bespoke'!$C$8,,,TRUE,TRUE,FALSE,'CDO Bespoke'!$C$29:'CDO Bespoke'!$C$31,'CDO Bespoke'!$C$33),{5})),"")</f>
        <v/>
      </c>
      <c r="Y269" s="524" t="str" cm="1">
        <f t="array" aca="1" ref="Y269" ca="1">IF($V269&lt;&gt;"",-TRANSPOSE(INDEX(getcds('CDO Bespoke'!$C294,Y$13,'CDO Bespoke'!$G294/10000,'CDO Bespoke'!H294,'CDO Bespoke'!$L270,'CDO Bespoke'!$C$13,'CDO Bespoke'!$C$14,'CDO Bespoke'!$C$15,'CDO Bespoke'!$C$8,,,TRUE,TRUE,FALSE,'CDO Bespoke'!$C$29:'CDO Bespoke'!$C$31,'CDO Bespoke'!$C$33),{5})),"")</f>
        <v/>
      </c>
      <c r="Z269" s="524" t="str" cm="1">
        <f t="array" aca="1" ref="Z269" ca="1">IF($V269&lt;&gt;"",-TRANSPOSE(INDEX(getcds('CDO Bespoke'!$C294,Z$13,'CDO Bespoke'!$G294/10000,'CDO Bespoke'!I294,'CDO Bespoke'!$L270,'CDO Bespoke'!$C$13,'CDO Bespoke'!$C$14,'CDO Bespoke'!$C$15,'CDO Bespoke'!$C$8,,,TRUE,TRUE,FALSE,'CDO Bespoke'!$C$29:'CDO Bespoke'!$C$31,'CDO Bespoke'!$C$33),{5})),"")</f>
        <v/>
      </c>
      <c r="AA269" s="500" t="str" cm="1">
        <f t="array" aca="1" ref="AA269" ca="1">IF($V269&lt;&gt;"",-TRANSPOSE(INDEX(getcds('CDO Bespoke'!$C294,AA$13,'CDO Bespoke'!$G294/10000,'CDO Bespoke'!J294,'CDO Bespoke'!$L270,'CDO Bespoke'!$C$13,'CDO Bespoke'!$C$14,'CDO Bespoke'!$C$15,'CDO Bespoke'!$C$8,,,TRUE,TRUE,FALSE,'CDO Bespoke'!$C$29:'CDO Bespoke'!$C$31,'CDO Bespoke'!$C$33),{5})),"")</f>
        <v/>
      </c>
      <c r="AB269" s="479"/>
      <c r="AC269" s="515"/>
      <c r="AD269" s="516"/>
      <c r="AE269" s="516"/>
      <c r="AF269" s="516"/>
      <c r="AG269" s="516"/>
      <c r="AH269" s="516"/>
      <c r="AI269" s="516"/>
      <c r="AJ269" s="516"/>
      <c r="AK269" s="516"/>
      <c r="AL269" s="517"/>
      <c r="AM269" s="534"/>
    </row>
    <row r="270" spans="2:39" ht="12" thickBot="1">
      <c r="B270" s="552" t="s">
        <v>601</v>
      </c>
      <c r="C270" s="553" t="s">
        <v>66</v>
      </c>
      <c r="D270" s="553" t="s">
        <v>59</v>
      </c>
      <c r="E270" s="553" t="s">
        <v>660</v>
      </c>
      <c r="F270" s="553" t="s">
        <v>669</v>
      </c>
      <c r="G270" s="554">
        <v>0.01</v>
      </c>
      <c r="H270" s="554">
        <v>6.9170000000000004E-3</v>
      </c>
      <c r="I270" s="555">
        <v>0.4</v>
      </c>
      <c r="J270" s="556">
        <v>82</v>
      </c>
      <c r="K270" s="274"/>
      <c r="L270" s="274"/>
      <c r="M270" s="487" t="str">
        <f ca="1">IF('CDO Bespoke'!O271&lt;&gt;"",'CDO Bespoke'!O271,"")</f>
        <v/>
      </c>
      <c r="N270" s="488" t="str">
        <f ca="1">IF(M270&lt;&gt;"",ABS(MIN(-0.75*('CDO Bespoke'!Q271)+'CDO Bespoke'!T271,0)),"")</f>
        <v/>
      </c>
      <c r="O270" s="488">
        <f t="shared" ca="1" si="12"/>
        <v>0</v>
      </c>
      <c r="P270" s="488">
        <f t="shared" ca="1" si="13"/>
        <v>0</v>
      </c>
      <c r="Q270" s="487" t="str">
        <f ca="1">IF('CDO Bespoke'!O271&lt;&gt;"",'CDO Bespoke'!O271,"")</f>
        <v/>
      </c>
      <c r="R270" s="488" t="str">
        <f ca="1">IF(Q270&lt;&gt;"",ABS(MIN(-0.75*('CDO Bespoke'!K271)+'CDO Bespoke'!T271,0)),"")</f>
        <v/>
      </c>
      <c r="S270" s="488">
        <f t="shared" ca="1" si="14"/>
        <v>0</v>
      </c>
      <c r="T270" s="492">
        <f t="shared" ca="1" si="15"/>
        <v>0</v>
      </c>
      <c r="U270" s="274"/>
      <c r="V270" s="497" t="str">
        <f ca="1">IF('CDO Bespoke'!C295&lt;&gt;"",'CDO Bespoke'!C295,"")</f>
        <v/>
      </c>
      <c r="W270" s="499" t="str" cm="1">
        <f t="array" aca="1" ref="W270" ca="1">IF($V270&lt;&gt;"",-TRANSPOSE(INDEX(getcds('CDO Bespoke'!$C295,W$13,'CDO Bespoke'!$G295/10000,'CDO Bespoke'!F295,'CDO Bespoke'!$L271,'CDO Bespoke'!$C$13,'CDO Bespoke'!$C$14,'CDO Bespoke'!$C$15,'CDO Bespoke'!$C$8,,,TRUE,TRUE,FALSE,'CDO Bespoke'!$C$29:'CDO Bespoke'!$C$31,'CDO Bespoke'!$C$33),{5})),"")</f>
        <v/>
      </c>
      <c r="X270" s="524" t="str" cm="1">
        <f t="array" aca="1" ref="X270" ca="1">IF($V270&lt;&gt;"",-TRANSPOSE(INDEX(getcds('CDO Bespoke'!$C295,X$13,'CDO Bespoke'!$G295/10000,'CDO Bespoke'!G295,'CDO Bespoke'!$L271,'CDO Bespoke'!$C$13,'CDO Bespoke'!$C$14,'CDO Bespoke'!$C$15,'CDO Bespoke'!$C$8,,,TRUE,TRUE,FALSE,'CDO Bespoke'!$C$29:'CDO Bespoke'!$C$31,'CDO Bespoke'!$C$33),{5})),"")</f>
        <v/>
      </c>
      <c r="Y270" s="524" t="str" cm="1">
        <f t="array" aca="1" ref="Y270" ca="1">IF($V270&lt;&gt;"",-TRANSPOSE(INDEX(getcds('CDO Bespoke'!$C295,Y$13,'CDO Bespoke'!$G295/10000,'CDO Bespoke'!H295,'CDO Bespoke'!$L271,'CDO Bespoke'!$C$13,'CDO Bespoke'!$C$14,'CDO Bespoke'!$C$15,'CDO Bespoke'!$C$8,,,TRUE,TRUE,FALSE,'CDO Bespoke'!$C$29:'CDO Bespoke'!$C$31,'CDO Bespoke'!$C$33),{5})),"")</f>
        <v/>
      </c>
      <c r="Z270" s="524" t="str" cm="1">
        <f t="array" aca="1" ref="Z270" ca="1">IF($V270&lt;&gt;"",-TRANSPOSE(INDEX(getcds('CDO Bespoke'!$C295,Z$13,'CDO Bespoke'!$G295/10000,'CDO Bespoke'!I295,'CDO Bespoke'!$L271,'CDO Bespoke'!$C$13,'CDO Bespoke'!$C$14,'CDO Bespoke'!$C$15,'CDO Bespoke'!$C$8,,,TRUE,TRUE,FALSE,'CDO Bespoke'!$C$29:'CDO Bespoke'!$C$31,'CDO Bespoke'!$C$33),{5})),"")</f>
        <v/>
      </c>
      <c r="AA270" s="500" t="str" cm="1">
        <f t="array" aca="1" ref="AA270" ca="1">IF($V270&lt;&gt;"",-TRANSPOSE(INDEX(getcds('CDO Bespoke'!$C295,AA$13,'CDO Bespoke'!$G295/10000,'CDO Bespoke'!J295,'CDO Bespoke'!$L271,'CDO Bespoke'!$C$13,'CDO Bespoke'!$C$14,'CDO Bespoke'!$C$15,'CDO Bespoke'!$C$8,,,TRUE,TRUE,FALSE,'CDO Bespoke'!$C$29:'CDO Bespoke'!$C$31,'CDO Bespoke'!$C$33),{5})),"")</f>
        <v/>
      </c>
      <c r="AB270" s="479"/>
      <c r="AC270" s="515"/>
      <c r="AD270" s="516"/>
      <c r="AE270" s="516"/>
      <c r="AF270" s="516"/>
      <c r="AG270" s="516"/>
      <c r="AH270" s="516"/>
      <c r="AI270" s="516"/>
      <c r="AJ270" s="516"/>
      <c r="AK270" s="516"/>
      <c r="AL270" s="517"/>
      <c r="AM270" s="534"/>
    </row>
    <row r="271" spans="2:39" ht="12" thickBot="1">
      <c r="B271" s="557" t="s">
        <v>592</v>
      </c>
      <c r="C271" s="558" t="s">
        <v>66</v>
      </c>
      <c r="D271" s="558" t="s">
        <v>55</v>
      </c>
      <c r="E271" s="558" t="s">
        <v>660</v>
      </c>
      <c r="F271" s="558" t="s">
        <v>669</v>
      </c>
      <c r="G271" s="559">
        <v>0.01</v>
      </c>
      <c r="H271" s="559">
        <v>1.753E-3</v>
      </c>
      <c r="I271" s="560">
        <v>0.4</v>
      </c>
      <c r="J271" s="561">
        <v>83</v>
      </c>
      <c r="K271" s="274"/>
      <c r="L271" s="274"/>
      <c r="M271" s="487" t="str">
        <f ca="1">IF('CDO Bespoke'!O272&lt;&gt;"",'CDO Bespoke'!O272,"")</f>
        <v/>
      </c>
      <c r="N271" s="488" t="str">
        <f ca="1">IF(M271&lt;&gt;"",ABS(MIN(-0.75*('CDO Bespoke'!Q272)+'CDO Bespoke'!T272,0)),"")</f>
        <v/>
      </c>
      <c r="O271" s="488">
        <f t="shared" ca="1" si="12"/>
        <v>0</v>
      </c>
      <c r="P271" s="488">
        <f t="shared" ca="1" si="13"/>
        <v>0</v>
      </c>
      <c r="Q271" s="487" t="str">
        <f ca="1">IF('CDO Bespoke'!O272&lt;&gt;"",'CDO Bespoke'!O272,"")</f>
        <v/>
      </c>
      <c r="R271" s="488" t="str">
        <f ca="1">IF(Q271&lt;&gt;"",ABS(MIN(-0.75*('CDO Bespoke'!K272)+'CDO Bespoke'!T272,0)),"")</f>
        <v/>
      </c>
      <c r="S271" s="488">
        <f t="shared" ca="1" si="14"/>
        <v>0</v>
      </c>
      <c r="T271" s="492">
        <f t="shared" ca="1" si="15"/>
        <v>0</v>
      </c>
      <c r="U271" s="274"/>
      <c r="V271" s="497" t="str">
        <f ca="1">IF('CDO Bespoke'!C296&lt;&gt;"",'CDO Bespoke'!C296,"")</f>
        <v/>
      </c>
      <c r="W271" s="499" t="str" cm="1">
        <f t="array" aca="1" ref="W271" ca="1">IF($V271&lt;&gt;"",-TRANSPOSE(INDEX(getcds('CDO Bespoke'!$C296,W$13,'CDO Bespoke'!$G296/10000,'CDO Bespoke'!F296,'CDO Bespoke'!$L272,'CDO Bespoke'!$C$13,'CDO Bespoke'!$C$14,'CDO Bespoke'!$C$15,'CDO Bespoke'!$C$8,,,TRUE,TRUE,FALSE,'CDO Bespoke'!$C$29:'CDO Bespoke'!$C$31,'CDO Bespoke'!$C$33),{5})),"")</f>
        <v/>
      </c>
      <c r="X271" s="524" t="str" cm="1">
        <f t="array" aca="1" ref="X271" ca="1">IF($V271&lt;&gt;"",-TRANSPOSE(INDEX(getcds('CDO Bespoke'!$C296,X$13,'CDO Bespoke'!$G296/10000,'CDO Bespoke'!G296,'CDO Bespoke'!$L272,'CDO Bespoke'!$C$13,'CDO Bespoke'!$C$14,'CDO Bespoke'!$C$15,'CDO Bespoke'!$C$8,,,TRUE,TRUE,FALSE,'CDO Bespoke'!$C$29:'CDO Bespoke'!$C$31,'CDO Bespoke'!$C$33),{5})),"")</f>
        <v/>
      </c>
      <c r="Y271" s="524" t="str" cm="1">
        <f t="array" aca="1" ref="Y271" ca="1">IF($V271&lt;&gt;"",-TRANSPOSE(INDEX(getcds('CDO Bespoke'!$C296,Y$13,'CDO Bespoke'!$G296/10000,'CDO Bespoke'!H296,'CDO Bespoke'!$L272,'CDO Bespoke'!$C$13,'CDO Bespoke'!$C$14,'CDO Bespoke'!$C$15,'CDO Bespoke'!$C$8,,,TRUE,TRUE,FALSE,'CDO Bespoke'!$C$29:'CDO Bespoke'!$C$31,'CDO Bespoke'!$C$33),{5})),"")</f>
        <v/>
      </c>
      <c r="Z271" s="524" t="str" cm="1">
        <f t="array" aca="1" ref="Z271" ca="1">IF($V271&lt;&gt;"",-TRANSPOSE(INDEX(getcds('CDO Bespoke'!$C296,Z$13,'CDO Bespoke'!$G296/10000,'CDO Bespoke'!I296,'CDO Bespoke'!$L272,'CDO Bespoke'!$C$13,'CDO Bespoke'!$C$14,'CDO Bespoke'!$C$15,'CDO Bespoke'!$C$8,,,TRUE,TRUE,FALSE,'CDO Bespoke'!$C$29:'CDO Bespoke'!$C$31,'CDO Bespoke'!$C$33),{5})),"")</f>
        <v/>
      </c>
      <c r="AA271" s="500" t="str" cm="1">
        <f t="array" aca="1" ref="AA271" ca="1">IF($V271&lt;&gt;"",-TRANSPOSE(INDEX(getcds('CDO Bespoke'!$C296,AA$13,'CDO Bespoke'!$G296/10000,'CDO Bespoke'!J296,'CDO Bespoke'!$L272,'CDO Bespoke'!$C$13,'CDO Bespoke'!$C$14,'CDO Bespoke'!$C$15,'CDO Bespoke'!$C$8,,,TRUE,TRUE,FALSE,'CDO Bespoke'!$C$29:'CDO Bespoke'!$C$31,'CDO Bespoke'!$C$33),{5})),"")</f>
        <v/>
      </c>
      <c r="AB271" s="479"/>
      <c r="AC271" s="515"/>
      <c r="AD271" s="516"/>
      <c r="AE271" s="516"/>
      <c r="AF271" s="516"/>
      <c r="AG271" s="516"/>
      <c r="AH271" s="516"/>
      <c r="AI271" s="516"/>
      <c r="AJ271" s="516"/>
      <c r="AK271" s="516"/>
      <c r="AL271" s="517"/>
      <c r="AM271" s="534"/>
    </row>
    <row r="272" spans="2:39" ht="12" thickBot="1">
      <c r="B272" s="535" t="s">
        <v>592</v>
      </c>
      <c r="C272" s="536" t="s">
        <v>66</v>
      </c>
      <c r="D272" s="536" t="s">
        <v>57</v>
      </c>
      <c r="E272" s="536" t="s">
        <v>660</v>
      </c>
      <c r="F272" s="536" t="s">
        <v>669</v>
      </c>
      <c r="G272" s="543">
        <v>0.01</v>
      </c>
      <c r="H272" s="543">
        <v>3.101E-3</v>
      </c>
      <c r="I272" s="545">
        <v>0.4</v>
      </c>
      <c r="J272" s="537">
        <v>83</v>
      </c>
      <c r="K272" s="274"/>
      <c r="L272" s="274"/>
      <c r="M272" s="487" t="str">
        <f ca="1">IF('CDO Bespoke'!O273&lt;&gt;"",'CDO Bespoke'!O273,"")</f>
        <v/>
      </c>
      <c r="N272" s="488" t="str">
        <f ca="1">IF(M272&lt;&gt;"",ABS(MIN(-0.75*('CDO Bespoke'!Q273)+'CDO Bespoke'!T273,0)),"")</f>
        <v/>
      </c>
      <c r="O272" s="488">
        <f t="shared" ref="O272:O313" ca="1" si="16">IF(M272&lt;&gt;"",IF($N$8,MAX(M272-N272,0),M272),0)</f>
        <v>0</v>
      </c>
      <c r="P272" s="488">
        <f t="shared" ref="P272:P313" ca="1" si="17">IF(M272&lt;&gt;"",IF($N$8,0,N272),0)</f>
        <v>0</v>
      </c>
      <c r="Q272" s="487" t="str">
        <f ca="1">IF('CDO Bespoke'!O273&lt;&gt;"",'CDO Bespoke'!O273,"")</f>
        <v/>
      </c>
      <c r="R272" s="488" t="str">
        <f ca="1">IF(Q272&lt;&gt;"",ABS(MIN(-0.75*('CDO Bespoke'!K273)+'CDO Bespoke'!T273,0)),"")</f>
        <v/>
      </c>
      <c r="S272" s="488">
        <f t="shared" ref="S272:S313" ca="1" si="18">IF(Q272&lt;&gt;"",IF($N$8,MAX(Q272-R272,0),Q272),0)</f>
        <v>0</v>
      </c>
      <c r="T272" s="492">
        <f t="shared" ref="T272:T313" ca="1" si="19">IF(Q272&lt;&gt;"",IF($N$8,0,R272),0)</f>
        <v>0</v>
      </c>
      <c r="U272" s="274"/>
      <c r="V272" s="497" t="str">
        <f ca="1">IF('CDO Bespoke'!C297&lt;&gt;"",'CDO Bespoke'!C297,"")</f>
        <v/>
      </c>
      <c r="W272" s="499" t="str" cm="1">
        <f t="array" aca="1" ref="W272" ca="1">IF($V272&lt;&gt;"",-TRANSPOSE(INDEX(getcds('CDO Bespoke'!$C297,W$13,'CDO Bespoke'!$G297/10000,'CDO Bespoke'!F297,'CDO Bespoke'!$L273,'CDO Bespoke'!$C$13,'CDO Bespoke'!$C$14,'CDO Bespoke'!$C$15,'CDO Bespoke'!$C$8,,,TRUE,TRUE,FALSE,'CDO Bespoke'!$C$29:'CDO Bespoke'!$C$31,'CDO Bespoke'!$C$33),{5})),"")</f>
        <v/>
      </c>
      <c r="X272" s="524" t="str" cm="1">
        <f t="array" aca="1" ref="X272" ca="1">IF($V272&lt;&gt;"",-TRANSPOSE(INDEX(getcds('CDO Bespoke'!$C297,X$13,'CDO Bespoke'!$G297/10000,'CDO Bespoke'!G297,'CDO Bespoke'!$L273,'CDO Bespoke'!$C$13,'CDO Bespoke'!$C$14,'CDO Bespoke'!$C$15,'CDO Bespoke'!$C$8,,,TRUE,TRUE,FALSE,'CDO Bespoke'!$C$29:'CDO Bespoke'!$C$31,'CDO Bespoke'!$C$33),{5})),"")</f>
        <v/>
      </c>
      <c r="Y272" s="524" t="str" cm="1">
        <f t="array" aca="1" ref="Y272" ca="1">IF($V272&lt;&gt;"",-TRANSPOSE(INDEX(getcds('CDO Bespoke'!$C297,Y$13,'CDO Bespoke'!$G297/10000,'CDO Bespoke'!H297,'CDO Bespoke'!$L273,'CDO Bespoke'!$C$13,'CDO Bespoke'!$C$14,'CDO Bespoke'!$C$15,'CDO Bespoke'!$C$8,,,TRUE,TRUE,FALSE,'CDO Bespoke'!$C$29:'CDO Bespoke'!$C$31,'CDO Bespoke'!$C$33),{5})),"")</f>
        <v/>
      </c>
      <c r="Z272" s="524" t="str" cm="1">
        <f t="array" aca="1" ref="Z272" ca="1">IF($V272&lt;&gt;"",-TRANSPOSE(INDEX(getcds('CDO Bespoke'!$C297,Z$13,'CDO Bespoke'!$G297/10000,'CDO Bespoke'!I297,'CDO Bespoke'!$L273,'CDO Bespoke'!$C$13,'CDO Bespoke'!$C$14,'CDO Bespoke'!$C$15,'CDO Bespoke'!$C$8,,,TRUE,TRUE,FALSE,'CDO Bespoke'!$C$29:'CDO Bespoke'!$C$31,'CDO Bespoke'!$C$33),{5})),"")</f>
        <v/>
      </c>
      <c r="AA272" s="500" t="str" cm="1">
        <f t="array" aca="1" ref="AA272" ca="1">IF($V272&lt;&gt;"",-TRANSPOSE(INDEX(getcds('CDO Bespoke'!$C297,AA$13,'CDO Bespoke'!$G297/10000,'CDO Bespoke'!J297,'CDO Bespoke'!$L273,'CDO Bespoke'!$C$13,'CDO Bespoke'!$C$14,'CDO Bespoke'!$C$15,'CDO Bespoke'!$C$8,,,TRUE,TRUE,FALSE,'CDO Bespoke'!$C$29:'CDO Bespoke'!$C$31,'CDO Bespoke'!$C$33),{5})),"")</f>
        <v/>
      </c>
      <c r="AB272" s="479"/>
      <c r="AC272" s="515"/>
      <c r="AD272" s="516"/>
      <c r="AE272" s="516"/>
      <c r="AF272" s="516"/>
      <c r="AG272" s="516"/>
      <c r="AH272" s="516"/>
      <c r="AI272" s="516"/>
      <c r="AJ272" s="516"/>
      <c r="AK272" s="516"/>
      <c r="AL272" s="517"/>
      <c r="AM272" s="534"/>
    </row>
    <row r="273" spans="2:39" ht="12" thickBot="1">
      <c r="B273" s="552" t="s">
        <v>592</v>
      </c>
      <c r="C273" s="553" t="s">
        <v>66</v>
      </c>
      <c r="D273" s="553" t="s">
        <v>59</v>
      </c>
      <c r="E273" s="553" t="s">
        <v>660</v>
      </c>
      <c r="F273" s="553" t="s">
        <v>669</v>
      </c>
      <c r="G273" s="554">
        <v>0.01</v>
      </c>
      <c r="H273" s="554">
        <v>4.653E-3</v>
      </c>
      <c r="I273" s="555">
        <v>0.4</v>
      </c>
      <c r="J273" s="556">
        <v>83</v>
      </c>
      <c r="K273" s="274"/>
      <c r="L273" s="274"/>
      <c r="M273" s="487" t="str">
        <f ca="1">IF('CDO Bespoke'!O274&lt;&gt;"",'CDO Bespoke'!O274,"")</f>
        <v/>
      </c>
      <c r="N273" s="488" t="str">
        <f ca="1">IF(M273&lt;&gt;"",ABS(MIN(-0.75*('CDO Bespoke'!Q274)+'CDO Bespoke'!T274,0)),"")</f>
        <v/>
      </c>
      <c r="O273" s="488">
        <f t="shared" ca="1" si="16"/>
        <v>0</v>
      </c>
      <c r="P273" s="488">
        <f t="shared" ca="1" si="17"/>
        <v>0</v>
      </c>
      <c r="Q273" s="487" t="str">
        <f ca="1">IF('CDO Bespoke'!O274&lt;&gt;"",'CDO Bespoke'!O274,"")</f>
        <v/>
      </c>
      <c r="R273" s="488" t="str">
        <f ca="1">IF(Q273&lt;&gt;"",ABS(MIN(-0.75*('CDO Bespoke'!K274)+'CDO Bespoke'!T274,0)),"")</f>
        <v/>
      </c>
      <c r="S273" s="488">
        <f t="shared" ca="1" si="18"/>
        <v>0</v>
      </c>
      <c r="T273" s="492">
        <f t="shared" ca="1" si="19"/>
        <v>0</v>
      </c>
      <c r="U273" s="274"/>
      <c r="V273" s="497" t="str">
        <f ca="1">IF('CDO Bespoke'!C298&lt;&gt;"",'CDO Bespoke'!C298,"")</f>
        <v/>
      </c>
      <c r="W273" s="499" t="str" cm="1">
        <f t="array" aca="1" ref="W273" ca="1">IF($V273&lt;&gt;"",-TRANSPOSE(INDEX(getcds('CDO Bespoke'!$C298,W$13,'CDO Bespoke'!$G298/10000,'CDO Bespoke'!F298,'CDO Bespoke'!$L274,'CDO Bespoke'!$C$13,'CDO Bespoke'!$C$14,'CDO Bespoke'!$C$15,'CDO Bespoke'!$C$8,,,TRUE,TRUE,FALSE,'CDO Bespoke'!$C$29:'CDO Bespoke'!$C$31,'CDO Bespoke'!$C$33),{5})),"")</f>
        <v/>
      </c>
      <c r="X273" s="524" t="str" cm="1">
        <f t="array" aca="1" ref="X273" ca="1">IF($V273&lt;&gt;"",-TRANSPOSE(INDEX(getcds('CDO Bespoke'!$C298,X$13,'CDO Bespoke'!$G298/10000,'CDO Bespoke'!G298,'CDO Bespoke'!$L274,'CDO Bespoke'!$C$13,'CDO Bespoke'!$C$14,'CDO Bespoke'!$C$15,'CDO Bespoke'!$C$8,,,TRUE,TRUE,FALSE,'CDO Bespoke'!$C$29:'CDO Bespoke'!$C$31,'CDO Bespoke'!$C$33),{5})),"")</f>
        <v/>
      </c>
      <c r="Y273" s="524" t="str" cm="1">
        <f t="array" aca="1" ref="Y273" ca="1">IF($V273&lt;&gt;"",-TRANSPOSE(INDEX(getcds('CDO Bespoke'!$C298,Y$13,'CDO Bespoke'!$G298/10000,'CDO Bespoke'!H298,'CDO Bespoke'!$L274,'CDO Bespoke'!$C$13,'CDO Bespoke'!$C$14,'CDO Bespoke'!$C$15,'CDO Bespoke'!$C$8,,,TRUE,TRUE,FALSE,'CDO Bespoke'!$C$29:'CDO Bespoke'!$C$31,'CDO Bespoke'!$C$33),{5})),"")</f>
        <v/>
      </c>
      <c r="Z273" s="524" t="str" cm="1">
        <f t="array" aca="1" ref="Z273" ca="1">IF($V273&lt;&gt;"",-TRANSPOSE(INDEX(getcds('CDO Bespoke'!$C298,Z$13,'CDO Bespoke'!$G298/10000,'CDO Bespoke'!I298,'CDO Bespoke'!$L274,'CDO Bespoke'!$C$13,'CDO Bespoke'!$C$14,'CDO Bespoke'!$C$15,'CDO Bespoke'!$C$8,,,TRUE,TRUE,FALSE,'CDO Bespoke'!$C$29:'CDO Bespoke'!$C$31,'CDO Bespoke'!$C$33),{5})),"")</f>
        <v/>
      </c>
      <c r="AA273" s="500" t="str" cm="1">
        <f t="array" aca="1" ref="AA273" ca="1">IF($V273&lt;&gt;"",-TRANSPOSE(INDEX(getcds('CDO Bespoke'!$C298,AA$13,'CDO Bespoke'!$G298/10000,'CDO Bespoke'!J298,'CDO Bespoke'!$L274,'CDO Bespoke'!$C$13,'CDO Bespoke'!$C$14,'CDO Bespoke'!$C$15,'CDO Bespoke'!$C$8,,,TRUE,TRUE,FALSE,'CDO Bespoke'!$C$29:'CDO Bespoke'!$C$31,'CDO Bespoke'!$C$33),{5})),"")</f>
        <v/>
      </c>
      <c r="AB273" s="479"/>
      <c r="AC273" s="515"/>
      <c r="AD273" s="516"/>
      <c r="AE273" s="516"/>
      <c r="AF273" s="516"/>
      <c r="AG273" s="516"/>
      <c r="AH273" s="516"/>
      <c r="AI273" s="516"/>
      <c r="AJ273" s="516"/>
      <c r="AK273" s="516"/>
      <c r="AL273" s="517"/>
      <c r="AM273" s="534"/>
    </row>
    <row r="274" spans="2:39" ht="12" thickBot="1">
      <c r="B274" s="557" t="s">
        <v>593</v>
      </c>
      <c r="C274" s="558" t="s">
        <v>66</v>
      </c>
      <c r="D274" s="558" t="s">
        <v>55</v>
      </c>
      <c r="E274" s="558" t="s">
        <v>660</v>
      </c>
      <c r="F274" s="558" t="s">
        <v>663</v>
      </c>
      <c r="G274" s="559">
        <v>0.01</v>
      </c>
      <c r="H274" s="559">
        <v>3.1080000000000001E-3</v>
      </c>
      <c r="I274" s="560">
        <v>0.4</v>
      </c>
      <c r="J274" s="561">
        <v>84</v>
      </c>
      <c r="K274" s="274"/>
      <c r="L274" s="274"/>
      <c r="M274" s="487" t="str">
        <f ca="1">IF('CDO Bespoke'!O275&lt;&gt;"",'CDO Bespoke'!O275,"")</f>
        <v/>
      </c>
      <c r="N274" s="488" t="str">
        <f ca="1">IF(M274&lt;&gt;"",ABS(MIN(-0.75*('CDO Bespoke'!Q275)+'CDO Bespoke'!T275,0)),"")</f>
        <v/>
      </c>
      <c r="O274" s="488">
        <f t="shared" ca="1" si="16"/>
        <v>0</v>
      </c>
      <c r="P274" s="488">
        <f t="shared" ca="1" si="17"/>
        <v>0</v>
      </c>
      <c r="Q274" s="487" t="str">
        <f ca="1">IF('CDO Bespoke'!O275&lt;&gt;"",'CDO Bespoke'!O275,"")</f>
        <v/>
      </c>
      <c r="R274" s="488" t="str">
        <f ca="1">IF(Q274&lt;&gt;"",ABS(MIN(-0.75*('CDO Bespoke'!K275)+'CDO Bespoke'!T275,0)),"")</f>
        <v/>
      </c>
      <c r="S274" s="488">
        <f t="shared" ca="1" si="18"/>
        <v>0</v>
      </c>
      <c r="T274" s="492">
        <f t="shared" ca="1" si="19"/>
        <v>0</v>
      </c>
      <c r="U274" s="274"/>
      <c r="V274" s="497" t="str">
        <f ca="1">IF('CDO Bespoke'!C299&lt;&gt;"",'CDO Bespoke'!C299,"")</f>
        <v/>
      </c>
      <c r="W274" s="499" t="str" cm="1">
        <f t="array" aca="1" ref="W274" ca="1">IF($V274&lt;&gt;"",-TRANSPOSE(INDEX(getcds('CDO Bespoke'!$C299,W$13,'CDO Bespoke'!$G299/10000,'CDO Bespoke'!F299,'CDO Bespoke'!$L275,'CDO Bespoke'!$C$13,'CDO Bespoke'!$C$14,'CDO Bespoke'!$C$15,'CDO Bespoke'!$C$8,,,TRUE,TRUE,FALSE,'CDO Bespoke'!$C$29:'CDO Bespoke'!$C$31,'CDO Bespoke'!$C$33),{5})),"")</f>
        <v/>
      </c>
      <c r="X274" s="524" t="str" cm="1">
        <f t="array" aca="1" ref="X274" ca="1">IF($V274&lt;&gt;"",-TRANSPOSE(INDEX(getcds('CDO Bespoke'!$C299,X$13,'CDO Bespoke'!$G299/10000,'CDO Bespoke'!G299,'CDO Bespoke'!$L275,'CDO Bespoke'!$C$13,'CDO Bespoke'!$C$14,'CDO Bespoke'!$C$15,'CDO Bespoke'!$C$8,,,TRUE,TRUE,FALSE,'CDO Bespoke'!$C$29:'CDO Bespoke'!$C$31,'CDO Bespoke'!$C$33),{5})),"")</f>
        <v/>
      </c>
      <c r="Y274" s="524" t="str" cm="1">
        <f t="array" aca="1" ref="Y274" ca="1">IF($V274&lt;&gt;"",-TRANSPOSE(INDEX(getcds('CDO Bespoke'!$C299,Y$13,'CDO Bespoke'!$G299/10000,'CDO Bespoke'!H299,'CDO Bespoke'!$L275,'CDO Bespoke'!$C$13,'CDO Bespoke'!$C$14,'CDO Bespoke'!$C$15,'CDO Bespoke'!$C$8,,,TRUE,TRUE,FALSE,'CDO Bespoke'!$C$29:'CDO Bespoke'!$C$31,'CDO Bespoke'!$C$33),{5})),"")</f>
        <v/>
      </c>
      <c r="Z274" s="524" t="str" cm="1">
        <f t="array" aca="1" ref="Z274" ca="1">IF($V274&lt;&gt;"",-TRANSPOSE(INDEX(getcds('CDO Bespoke'!$C299,Z$13,'CDO Bespoke'!$G299/10000,'CDO Bespoke'!I299,'CDO Bespoke'!$L275,'CDO Bespoke'!$C$13,'CDO Bespoke'!$C$14,'CDO Bespoke'!$C$15,'CDO Bespoke'!$C$8,,,TRUE,TRUE,FALSE,'CDO Bespoke'!$C$29:'CDO Bespoke'!$C$31,'CDO Bespoke'!$C$33),{5})),"")</f>
        <v/>
      </c>
      <c r="AA274" s="500" t="str" cm="1">
        <f t="array" aca="1" ref="AA274" ca="1">IF($V274&lt;&gt;"",-TRANSPOSE(INDEX(getcds('CDO Bespoke'!$C299,AA$13,'CDO Bespoke'!$G299/10000,'CDO Bespoke'!J299,'CDO Bespoke'!$L275,'CDO Bespoke'!$C$13,'CDO Bespoke'!$C$14,'CDO Bespoke'!$C$15,'CDO Bespoke'!$C$8,,,TRUE,TRUE,FALSE,'CDO Bespoke'!$C$29:'CDO Bespoke'!$C$31,'CDO Bespoke'!$C$33),{5})),"")</f>
        <v/>
      </c>
      <c r="AB274" s="479"/>
      <c r="AC274" s="515"/>
      <c r="AD274" s="516"/>
      <c r="AE274" s="516"/>
      <c r="AF274" s="516"/>
      <c r="AG274" s="516"/>
      <c r="AH274" s="516"/>
      <c r="AI274" s="516"/>
      <c r="AJ274" s="516"/>
      <c r="AK274" s="516"/>
      <c r="AL274" s="517"/>
      <c r="AM274" s="534"/>
    </row>
    <row r="275" spans="2:39" ht="12" thickBot="1">
      <c r="B275" s="535" t="s">
        <v>593</v>
      </c>
      <c r="C275" s="536" t="s">
        <v>66</v>
      </c>
      <c r="D275" s="536" t="s">
        <v>57</v>
      </c>
      <c r="E275" s="536" t="s">
        <v>660</v>
      </c>
      <c r="F275" s="536" t="s">
        <v>663</v>
      </c>
      <c r="G275" s="543">
        <v>0.01</v>
      </c>
      <c r="H275" s="543">
        <v>5.4169999999999999E-3</v>
      </c>
      <c r="I275" s="545">
        <v>0.4</v>
      </c>
      <c r="J275" s="537">
        <v>84</v>
      </c>
      <c r="K275" s="274"/>
      <c r="L275" s="274"/>
      <c r="M275" s="487" t="str">
        <f ca="1">IF('CDO Bespoke'!O276&lt;&gt;"",'CDO Bespoke'!O276,"")</f>
        <v/>
      </c>
      <c r="N275" s="488" t="str">
        <f ca="1">IF(M275&lt;&gt;"",ABS(MIN(-0.75*('CDO Bespoke'!Q276)+'CDO Bespoke'!T276,0)),"")</f>
        <v/>
      </c>
      <c r="O275" s="488">
        <f t="shared" ca="1" si="16"/>
        <v>0</v>
      </c>
      <c r="P275" s="488">
        <f t="shared" ca="1" si="17"/>
        <v>0</v>
      </c>
      <c r="Q275" s="487" t="str">
        <f ca="1">IF('CDO Bespoke'!O276&lt;&gt;"",'CDO Bespoke'!O276,"")</f>
        <v/>
      </c>
      <c r="R275" s="488" t="str">
        <f ca="1">IF(Q275&lt;&gt;"",ABS(MIN(-0.75*('CDO Bespoke'!K276)+'CDO Bespoke'!T276,0)),"")</f>
        <v/>
      </c>
      <c r="S275" s="488">
        <f t="shared" ca="1" si="18"/>
        <v>0</v>
      </c>
      <c r="T275" s="492">
        <f t="shared" ca="1" si="19"/>
        <v>0</v>
      </c>
      <c r="U275" s="274"/>
      <c r="V275" s="497" t="str">
        <f ca="1">IF('CDO Bespoke'!C300&lt;&gt;"",'CDO Bespoke'!C300,"")</f>
        <v/>
      </c>
      <c r="W275" s="499" t="str" cm="1">
        <f t="array" aca="1" ref="W275" ca="1">IF($V275&lt;&gt;"",-TRANSPOSE(INDEX(getcds('CDO Bespoke'!$C300,W$13,'CDO Bespoke'!$G300/10000,'CDO Bespoke'!F300,'CDO Bespoke'!$L276,'CDO Bespoke'!$C$13,'CDO Bespoke'!$C$14,'CDO Bespoke'!$C$15,'CDO Bespoke'!$C$8,,,TRUE,TRUE,FALSE,'CDO Bespoke'!$C$29:'CDO Bespoke'!$C$31,'CDO Bespoke'!$C$33),{5})),"")</f>
        <v/>
      </c>
      <c r="X275" s="524" t="str" cm="1">
        <f t="array" aca="1" ref="X275" ca="1">IF($V275&lt;&gt;"",-TRANSPOSE(INDEX(getcds('CDO Bespoke'!$C300,X$13,'CDO Bespoke'!$G300/10000,'CDO Bespoke'!G300,'CDO Bespoke'!$L276,'CDO Bespoke'!$C$13,'CDO Bespoke'!$C$14,'CDO Bespoke'!$C$15,'CDO Bespoke'!$C$8,,,TRUE,TRUE,FALSE,'CDO Bespoke'!$C$29:'CDO Bespoke'!$C$31,'CDO Bespoke'!$C$33),{5})),"")</f>
        <v/>
      </c>
      <c r="Y275" s="524" t="str" cm="1">
        <f t="array" aca="1" ref="Y275" ca="1">IF($V275&lt;&gt;"",-TRANSPOSE(INDEX(getcds('CDO Bespoke'!$C300,Y$13,'CDO Bespoke'!$G300/10000,'CDO Bespoke'!H300,'CDO Bespoke'!$L276,'CDO Bespoke'!$C$13,'CDO Bespoke'!$C$14,'CDO Bespoke'!$C$15,'CDO Bespoke'!$C$8,,,TRUE,TRUE,FALSE,'CDO Bespoke'!$C$29:'CDO Bespoke'!$C$31,'CDO Bespoke'!$C$33),{5})),"")</f>
        <v/>
      </c>
      <c r="Z275" s="524" t="str" cm="1">
        <f t="array" aca="1" ref="Z275" ca="1">IF($V275&lt;&gt;"",-TRANSPOSE(INDEX(getcds('CDO Bespoke'!$C300,Z$13,'CDO Bespoke'!$G300/10000,'CDO Bespoke'!I300,'CDO Bespoke'!$L276,'CDO Bespoke'!$C$13,'CDO Bespoke'!$C$14,'CDO Bespoke'!$C$15,'CDO Bespoke'!$C$8,,,TRUE,TRUE,FALSE,'CDO Bespoke'!$C$29:'CDO Bespoke'!$C$31,'CDO Bespoke'!$C$33),{5})),"")</f>
        <v/>
      </c>
      <c r="AA275" s="500" t="str" cm="1">
        <f t="array" aca="1" ref="AA275" ca="1">IF($V275&lt;&gt;"",-TRANSPOSE(INDEX(getcds('CDO Bespoke'!$C300,AA$13,'CDO Bespoke'!$G300/10000,'CDO Bespoke'!J300,'CDO Bespoke'!$L276,'CDO Bespoke'!$C$13,'CDO Bespoke'!$C$14,'CDO Bespoke'!$C$15,'CDO Bespoke'!$C$8,,,TRUE,TRUE,FALSE,'CDO Bespoke'!$C$29:'CDO Bespoke'!$C$31,'CDO Bespoke'!$C$33),{5})),"")</f>
        <v/>
      </c>
      <c r="AB275" s="479"/>
      <c r="AC275" s="515"/>
      <c r="AD275" s="516"/>
      <c r="AE275" s="516"/>
      <c r="AF275" s="516"/>
      <c r="AG275" s="516"/>
      <c r="AH275" s="516"/>
      <c r="AI275" s="516"/>
      <c r="AJ275" s="516"/>
      <c r="AK275" s="516"/>
      <c r="AL275" s="517"/>
      <c r="AM275" s="534"/>
    </row>
    <row r="276" spans="2:39" ht="12" thickBot="1">
      <c r="B276" s="552" t="s">
        <v>593</v>
      </c>
      <c r="C276" s="553" t="s">
        <v>66</v>
      </c>
      <c r="D276" s="553" t="s">
        <v>59</v>
      </c>
      <c r="E276" s="553" t="s">
        <v>660</v>
      </c>
      <c r="F276" s="553" t="s">
        <v>663</v>
      </c>
      <c r="G276" s="554">
        <v>0.01</v>
      </c>
      <c r="H276" s="554">
        <v>8.0789999999999994E-3</v>
      </c>
      <c r="I276" s="555">
        <v>0.4</v>
      </c>
      <c r="J276" s="556">
        <v>84</v>
      </c>
      <c r="K276" s="274"/>
      <c r="L276" s="274"/>
      <c r="M276" s="487" t="str">
        <f ca="1">IF('CDO Bespoke'!O277&lt;&gt;"",'CDO Bespoke'!O277,"")</f>
        <v/>
      </c>
      <c r="N276" s="488" t="str">
        <f ca="1">IF(M276&lt;&gt;"",ABS(MIN(-0.75*('CDO Bespoke'!Q277)+'CDO Bespoke'!T277,0)),"")</f>
        <v/>
      </c>
      <c r="O276" s="488">
        <f t="shared" ca="1" si="16"/>
        <v>0</v>
      </c>
      <c r="P276" s="488">
        <f t="shared" ca="1" si="17"/>
        <v>0</v>
      </c>
      <c r="Q276" s="487" t="str">
        <f ca="1">IF('CDO Bespoke'!O277&lt;&gt;"",'CDO Bespoke'!O277,"")</f>
        <v/>
      </c>
      <c r="R276" s="488" t="str">
        <f ca="1">IF(Q276&lt;&gt;"",ABS(MIN(-0.75*('CDO Bespoke'!K277)+'CDO Bespoke'!T277,0)),"")</f>
        <v/>
      </c>
      <c r="S276" s="488">
        <f t="shared" ca="1" si="18"/>
        <v>0</v>
      </c>
      <c r="T276" s="492">
        <f t="shared" ca="1" si="19"/>
        <v>0</v>
      </c>
      <c r="U276" s="274"/>
      <c r="V276" s="497" t="str">
        <f ca="1">IF('CDO Bespoke'!C301&lt;&gt;"",'CDO Bespoke'!C301,"")</f>
        <v/>
      </c>
      <c r="W276" s="499" t="str" cm="1">
        <f t="array" aca="1" ref="W276" ca="1">IF($V276&lt;&gt;"",-TRANSPOSE(INDEX(getcds('CDO Bespoke'!$C301,W$13,'CDO Bespoke'!$G301/10000,'CDO Bespoke'!F301,'CDO Bespoke'!$L277,'CDO Bespoke'!$C$13,'CDO Bespoke'!$C$14,'CDO Bespoke'!$C$15,'CDO Bespoke'!$C$8,,,TRUE,TRUE,FALSE,'CDO Bespoke'!$C$29:'CDO Bespoke'!$C$31,'CDO Bespoke'!$C$33),{5})),"")</f>
        <v/>
      </c>
      <c r="X276" s="524" t="str" cm="1">
        <f t="array" aca="1" ref="X276" ca="1">IF($V276&lt;&gt;"",-TRANSPOSE(INDEX(getcds('CDO Bespoke'!$C301,X$13,'CDO Bespoke'!$G301/10000,'CDO Bespoke'!G301,'CDO Bespoke'!$L277,'CDO Bespoke'!$C$13,'CDO Bespoke'!$C$14,'CDO Bespoke'!$C$15,'CDO Bespoke'!$C$8,,,TRUE,TRUE,FALSE,'CDO Bespoke'!$C$29:'CDO Bespoke'!$C$31,'CDO Bespoke'!$C$33),{5})),"")</f>
        <v/>
      </c>
      <c r="Y276" s="524" t="str" cm="1">
        <f t="array" aca="1" ref="Y276" ca="1">IF($V276&lt;&gt;"",-TRANSPOSE(INDEX(getcds('CDO Bespoke'!$C301,Y$13,'CDO Bespoke'!$G301/10000,'CDO Bespoke'!H301,'CDO Bespoke'!$L277,'CDO Bespoke'!$C$13,'CDO Bespoke'!$C$14,'CDO Bespoke'!$C$15,'CDO Bespoke'!$C$8,,,TRUE,TRUE,FALSE,'CDO Bespoke'!$C$29:'CDO Bespoke'!$C$31,'CDO Bespoke'!$C$33),{5})),"")</f>
        <v/>
      </c>
      <c r="Z276" s="524" t="str" cm="1">
        <f t="array" aca="1" ref="Z276" ca="1">IF($V276&lt;&gt;"",-TRANSPOSE(INDEX(getcds('CDO Bespoke'!$C301,Z$13,'CDO Bespoke'!$G301/10000,'CDO Bespoke'!I301,'CDO Bespoke'!$L277,'CDO Bespoke'!$C$13,'CDO Bespoke'!$C$14,'CDO Bespoke'!$C$15,'CDO Bespoke'!$C$8,,,TRUE,TRUE,FALSE,'CDO Bespoke'!$C$29:'CDO Bespoke'!$C$31,'CDO Bespoke'!$C$33),{5})),"")</f>
        <v/>
      </c>
      <c r="AA276" s="500" t="str" cm="1">
        <f t="array" aca="1" ref="AA276" ca="1">IF($V276&lt;&gt;"",-TRANSPOSE(INDEX(getcds('CDO Bespoke'!$C301,AA$13,'CDO Bespoke'!$G301/10000,'CDO Bespoke'!J301,'CDO Bespoke'!$L277,'CDO Bespoke'!$C$13,'CDO Bespoke'!$C$14,'CDO Bespoke'!$C$15,'CDO Bespoke'!$C$8,,,TRUE,TRUE,FALSE,'CDO Bespoke'!$C$29:'CDO Bespoke'!$C$31,'CDO Bespoke'!$C$33),{5})),"")</f>
        <v/>
      </c>
      <c r="AB276" s="479"/>
      <c r="AC276" s="515"/>
      <c r="AD276" s="516"/>
      <c r="AE276" s="516"/>
      <c r="AF276" s="516"/>
      <c r="AG276" s="516"/>
      <c r="AH276" s="516"/>
      <c r="AI276" s="516"/>
      <c r="AJ276" s="516"/>
      <c r="AK276" s="516"/>
      <c r="AL276" s="517"/>
      <c r="AM276" s="534"/>
    </row>
    <row r="277" spans="2:39" ht="12" thickBot="1">
      <c r="B277" s="557" t="s">
        <v>602</v>
      </c>
      <c r="C277" s="558" t="s">
        <v>66</v>
      </c>
      <c r="D277" s="558" t="s">
        <v>55</v>
      </c>
      <c r="E277" s="558" t="s">
        <v>660</v>
      </c>
      <c r="F277" s="558" t="s">
        <v>663</v>
      </c>
      <c r="G277" s="559">
        <v>0.01</v>
      </c>
      <c r="H277" s="559">
        <v>2.4889999999999999E-3</v>
      </c>
      <c r="I277" s="560">
        <v>0.4</v>
      </c>
      <c r="J277" s="561">
        <v>85</v>
      </c>
      <c r="K277" s="274"/>
      <c r="L277" s="274"/>
      <c r="M277" s="487" t="str">
        <f ca="1">IF('CDO Bespoke'!O278&lt;&gt;"",'CDO Bespoke'!O278,"")</f>
        <v/>
      </c>
      <c r="N277" s="488" t="str">
        <f ca="1">IF(M277&lt;&gt;"",ABS(MIN(-0.75*('CDO Bespoke'!Q278)+'CDO Bespoke'!T278,0)),"")</f>
        <v/>
      </c>
      <c r="O277" s="488">
        <f t="shared" ca="1" si="16"/>
        <v>0</v>
      </c>
      <c r="P277" s="488">
        <f t="shared" ca="1" si="17"/>
        <v>0</v>
      </c>
      <c r="Q277" s="487" t="str">
        <f ca="1">IF('CDO Bespoke'!O278&lt;&gt;"",'CDO Bespoke'!O278,"")</f>
        <v/>
      </c>
      <c r="R277" s="488" t="str">
        <f ca="1">IF(Q277&lt;&gt;"",ABS(MIN(-0.75*('CDO Bespoke'!K278)+'CDO Bespoke'!T278,0)),"")</f>
        <v/>
      </c>
      <c r="S277" s="488">
        <f t="shared" ca="1" si="18"/>
        <v>0</v>
      </c>
      <c r="T277" s="492">
        <f t="shared" ca="1" si="19"/>
        <v>0</v>
      </c>
      <c r="U277" s="274"/>
      <c r="V277" s="497" t="str">
        <f ca="1">IF('CDO Bespoke'!C302&lt;&gt;"",'CDO Bespoke'!C302,"")</f>
        <v/>
      </c>
      <c r="W277" s="499" t="str" cm="1">
        <f t="array" aca="1" ref="W277" ca="1">IF($V277&lt;&gt;"",-TRANSPOSE(INDEX(getcds('CDO Bespoke'!$C302,W$13,'CDO Bespoke'!$G302/10000,'CDO Bespoke'!F302,'CDO Bespoke'!$L278,'CDO Bespoke'!$C$13,'CDO Bespoke'!$C$14,'CDO Bespoke'!$C$15,'CDO Bespoke'!$C$8,,,TRUE,TRUE,FALSE,'CDO Bespoke'!$C$29:'CDO Bespoke'!$C$31,'CDO Bespoke'!$C$33),{5})),"")</f>
        <v/>
      </c>
      <c r="X277" s="524" t="str" cm="1">
        <f t="array" aca="1" ref="X277" ca="1">IF($V277&lt;&gt;"",-TRANSPOSE(INDEX(getcds('CDO Bespoke'!$C302,X$13,'CDO Bespoke'!$G302/10000,'CDO Bespoke'!G302,'CDO Bespoke'!$L278,'CDO Bespoke'!$C$13,'CDO Bespoke'!$C$14,'CDO Bespoke'!$C$15,'CDO Bespoke'!$C$8,,,TRUE,TRUE,FALSE,'CDO Bespoke'!$C$29:'CDO Bespoke'!$C$31,'CDO Bespoke'!$C$33),{5})),"")</f>
        <v/>
      </c>
      <c r="Y277" s="524" t="str" cm="1">
        <f t="array" aca="1" ref="Y277" ca="1">IF($V277&lt;&gt;"",-TRANSPOSE(INDEX(getcds('CDO Bespoke'!$C302,Y$13,'CDO Bespoke'!$G302/10000,'CDO Bespoke'!H302,'CDO Bespoke'!$L278,'CDO Bespoke'!$C$13,'CDO Bespoke'!$C$14,'CDO Bespoke'!$C$15,'CDO Bespoke'!$C$8,,,TRUE,TRUE,FALSE,'CDO Bespoke'!$C$29:'CDO Bespoke'!$C$31,'CDO Bespoke'!$C$33),{5})),"")</f>
        <v/>
      </c>
      <c r="Z277" s="524" t="str" cm="1">
        <f t="array" aca="1" ref="Z277" ca="1">IF($V277&lt;&gt;"",-TRANSPOSE(INDEX(getcds('CDO Bespoke'!$C302,Z$13,'CDO Bespoke'!$G302/10000,'CDO Bespoke'!I302,'CDO Bespoke'!$L278,'CDO Bespoke'!$C$13,'CDO Bespoke'!$C$14,'CDO Bespoke'!$C$15,'CDO Bespoke'!$C$8,,,TRUE,TRUE,FALSE,'CDO Bespoke'!$C$29:'CDO Bespoke'!$C$31,'CDO Bespoke'!$C$33),{5})),"")</f>
        <v/>
      </c>
      <c r="AA277" s="500" t="str" cm="1">
        <f t="array" aca="1" ref="AA277" ca="1">IF($V277&lt;&gt;"",-TRANSPOSE(INDEX(getcds('CDO Bespoke'!$C302,AA$13,'CDO Bespoke'!$G302/10000,'CDO Bespoke'!J302,'CDO Bespoke'!$L278,'CDO Bespoke'!$C$13,'CDO Bespoke'!$C$14,'CDO Bespoke'!$C$15,'CDO Bespoke'!$C$8,,,TRUE,TRUE,FALSE,'CDO Bespoke'!$C$29:'CDO Bespoke'!$C$31,'CDO Bespoke'!$C$33),{5})),"")</f>
        <v/>
      </c>
      <c r="AB277" s="479"/>
      <c r="AC277" s="515"/>
      <c r="AD277" s="516"/>
      <c r="AE277" s="516"/>
      <c r="AF277" s="516"/>
      <c r="AG277" s="516"/>
      <c r="AH277" s="516"/>
      <c r="AI277" s="516"/>
      <c r="AJ277" s="516"/>
      <c r="AK277" s="516"/>
      <c r="AL277" s="517"/>
      <c r="AM277" s="534"/>
    </row>
    <row r="278" spans="2:39" ht="12" thickBot="1">
      <c r="B278" s="535" t="s">
        <v>602</v>
      </c>
      <c r="C278" s="536" t="s">
        <v>66</v>
      </c>
      <c r="D278" s="536" t="s">
        <v>57</v>
      </c>
      <c r="E278" s="536" t="s">
        <v>660</v>
      </c>
      <c r="F278" s="536" t="s">
        <v>663</v>
      </c>
      <c r="G278" s="543">
        <v>0.01</v>
      </c>
      <c r="H278" s="543">
        <v>4.5339999999999998E-3</v>
      </c>
      <c r="I278" s="545">
        <v>0.4</v>
      </c>
      <c r="J278" s="537">
        <v>85</v>
      </c>
      <c r="K278" s="274"/>
      <c r="L278" s="274"/>
      <c r="M278" s="487" t="str">
        <f ca="1">IF('CDO Bespoke'!O279&lt;&gt;"",'CDO Bespoke'!O279,"")</f>
        <v/>
      </c>
      <c r="N278" s="488" t="str">
        <f ca="1">IF(M278&lt;&gt;"",ABS(MIN(-0.75*('CDO Bespoke'!Q279)+'CDO Bespoke'!T279,0)),"")</f>
        <v/>
      </c>
      <c r="O278" s="488">
        <f t="shared" ca="1" si="16"/>
        <v>0</v>
      </c>
      <c r="P278" s="488">
        <f t="shared" ca="1" si="17"/>
        <v>0</v>
      </c>
      <c r="Q278" s="487" t="str">
        <f ca="1">IF('CDO Bespoke'!O279&lt;&gt;"",'CDO Bespoke'!O279,"")</f>
        <v/>
      </c>
      <c r="R278" s="488" t="str">
        <f ca="1">IF(Q278&lt;&gt;"",ABS(MIN(-0.75*('CDO Bespoke'!K279)+'CDO Bespoke'!T279,0)),"")</f>
        <v/>
      </c>
      <c r="S278" s="488">
        <f t="shared" ca="1" si="18"/>
        <v>0</v>
      </c>
      <c r="T278" s="492">
        <f t="shared" ca="1" si="19"/>
        <v>0</v>
      </c>
      <c r="U278" s="274"/>
      <c r="V278" s="497" t="str">
        <f ca="1">IF('CDO Bespoke'!C303&lt;&gt;"",'CDO Bespoke'!C303,"")</f>
        <v/>
      </c>
      <c r="W278" s="499" t="str" cm="1">
        <f t="array" aca="1" ref="W278" ca="1">IF($V278&lt;&gt;"",-TRANSPOSE(INDEX(getcds('CDO Bespoke'!$C303,W$13,'CDO Bespoke'!$G303/10000,'CDO Bespoke'!F303,'CDO Bespoke'!$L279,'CDO Bespoke'!$C$13,'CDO Bespoke'!$C$14,'CDO Bespoke'!$C$15,'CDO Bespoke'!$C$8,,,TRUE,TRUE,FALSE,'CDO Bespoke'!$C$29:'CDO Bespoke'!$C$31,'CDO Bespoke'!$C$33),{5})),"")</f>
        <v/>
      </c>
      <c r="X278" s="524" t="str" cm="1">
        <f t="array" aca="1" ref="X278" ca="1">IF($V278&lt;&gt;"",-TRANSPOSE(INDEX(getcds('CDO Bespoke'!$C303,X$13,'CDO Bespoke'!$G303/10000,'CDO Bespoke'!G303,'CDO Bespoke'!$L279,'CDO Bespoke'!$C$13,'CDO Bespoke'!$C$14,'CDO Bespoke'!$C$15,'CDO Bespoke'!$C$8,,,TRUE,TRUE,FALSE,'CDO Bespoke'!$C$29:'CDO Bespoke'!$C$31,'CDO Bespoke'!$C$33),{5})),"")</f>
        <v/>
      </c>
      <c r="Y278" s="524" t="str" cm="1">
        <f t="array" aca="1" ref="Y278" ca="1">IF($V278&lt;&gt;"",-TRANSPOSE(INDEX(getcds('CDO Bespoke'!$C303,Y$13,'CDO Bespoke'!$G303/10000,'CDO Bespoke'!H303,'CDO Bespoke'!$L279,'CDO Bespoke'!$C$13,'CDO Bespoke'!$C$14,'CDO Bespoke'!$C$15,'CDO Bespoke'!$C$8,,,TRUE,TRUE,FALSE,'CDO Bespoke'!$C$29:'CDO Bespoke'!$C$31,'CDO Bespoke'!$C$33),{5})),"")</f>
        <v/>
      </c>
      <c r="Z278" s="524" t="str" cm="1">
        <f t="array" aca="1" ref="Z278" ca="1">IF($V278&lt;&gt;"",-TRANSPOSE(INDEX(getcds('CDO Bespoke'!$C303,Z$13,'CDO Bespoke'!$G303/10000,'CDO Bespoke'!I303,'CDO Bespoke'!$L279,'CDO Bespoke'!$C$13,'CDO Bespoke'!$C$14,'CDO Bespoke'!$C$15,'CDO Bespoke'!$C$8,,,TRUE,TRUE,FALSE,'CDO Bespoke'!$C$29:'CDO Bespoke'!$C$31,'CDO Bespoke'!$C$33),{5})),"")</f>
        <v/>
      </c>
      <c r="AA278" s="500" t="str" cm="1">
        <f t="array" aca="1" ref="AA278" ca="1">IF($V278&lt;&gt;"",-TRANSPOSE(INDEX(getcds('CDO Bespoke'!$C303,AA$13,'CDO Bespoke'!$G303/10000,'CDO Bespoke'!J303,'CDO Bespoke'!$L279,'CDO Bespoke'!$C$13,'CDO Bespoke'!$C$14,'CDO Bespoke'!$C$15,'CDO Bespoke'!$C$8,,,TRUE,TRUE,FALSE,'CDO Bespoke'!$C$29:'CDO Bespoke'!$C$31,'CDO Bespoke'!$C$33),{5})),"")</f>
        <v/>
      </c>
      <c r="AB278" s="479"/>
      <c r="AC278" s="515"/>
      <c r="AD278" s="516"/>
      <c r="AE278" s="516"/>
      <c r="AF278" s="516"/>
      <c r="AG278" s="516"/>
      <c r="AH278" s="516"/>
      <c r="AI278" s="516"/>
      <c r="AJ278" s="516"/>
      <c r="AK278" s="516"/>
      <c r="AL278" s="517"/>
      <c r="AM278" s="534"/>
    </row>
    <row r="279" spans="2:39" ht="12" thickBot="1">
      <c r="B279" s="552" t="s">
        <v>602</v>
      </c>
      <c r="C279" s="553" t="s">
        <v>66</v>
      </c>
      <c r="D279" s="553" t="s">
        <v>59</v>
      </c>
      <c r="E279" s="553" t="s">
        <v>660</v>
      </c>
      <c r="F279" s="553" t="s">
        <v>663</v>
      </c>
      <c r="G279" s="554">
        <v>0.01</v>
      </c>
      <c r="H279" s="554">
        <v>6.875E-3</v>
      </c>
      <c r="I279" s="555">
        <v>0.4</v>
      </c>
      <c r="J279" s="556">
        <v>85</v>
      </c>
      <c r="K279" s="274"/>
      <c r="L279" s="274"/>
      <c r="M279" s="487" t="str">
        <f ca="1">IF('CDO Bespoke'!O280&lt;&gt;"",'CDO Bespoke'!O280,"")</f>
        <v/>
      </c>
      <c r="N279" s="488" t="str">
        <f ca="1">IF(M279&lt;&gt;"",ABS(MIN(-0.75*('CDO Bespoke'!Q280)+'CDO Bespoke'!T280,0)),"")</f>
        <v/>
      </c>
      <c r="O279" s="488">
        <f t="shared" ca="1" si="16"/>
        <v>0</v>
      </c>
      <c r="P279" s="488">
        <f t="shared" ca="1" si="17"/>
        <v>0</v>
      </c>
      <c r="Q279" s="487" t="str">
        <f ca="1">IF('CDO Bespoke'!O280&lt;&gt;"",'CDO Bespoke'!O280,"")</f>
        <v/>
      </c>
      <c r="R279" s="488" t="str">
        <f ca="1">IF(Q279&lt;&gt;"",ABS(MIN(-0.75*('CDO Bespoke'!K280)+'CDO Bespoke'!T280,0)),"")</f>
        <v/>
      </c>
      <c r="S279" s="488">
        <f t="shared" ca="1" si="18"/>
        <v>0</v>
      </c>
      <c r="T279" s="492">
        <f t="shared" ca="1" si="19"/>
        <v>0</v>
      </c>
      <c r="U279" s="274"/>
      <c r="V279" s="497" t="str">
        <f ca="1">IF('CDO Bespoke'!C304&lt;&gt;"",'CDO Bespoke'!C304,"")</f>
        <v/>
      </c>
      <c r="W279" s="499" t="str" cm="1">
        <f t="array" aca="1" ref="W279" ca="1">IF($V279&lt;&gt;"",-TRANSPOSE(INDEX(getcds('CDO Bespoke'!$C304,W$13,'CDO Bespoke'!$G304/10000,'CDO Bespoke'!F304,'CDO Bespoke'!$L280,'CDO Bespoke'!$C$13,'CDO Bespoke'!$C$14,'CDO Bespoke'!$C$15,'CDO Bespoke'!$C$8,,,TRUE,TRUE,FALSE,'CDO Bespoke'!$C$29:'CDO Bespoke'!$C$31,'CDO Bespoke'!$C$33),{5})),"")</f>
        <v/>
      </c>
      <c r="X279" s="524" t="str" cm="1">
        <f t="array" aca="1" ref="X279" ca="1">IF($V279&lt;&gt;"",-TRANSPOSE(INDEX(getcds('CDO Bespoke'!$C304,X$13,'CDO Bespoke'!$G304/10000,'CDO Bespoke'!G304,'CDO Bespoke'!$L280,'CDO Bespoke'!$C$13,'CDO Bespoke'!$C$14,'CDO Bespoke'!$C$15,'CDO Bespoke'!$C$8,,,TRUE,TRUE,FALSE,'CDO Bespoke'!$C$29:'CDO Bespoke'!$C$31,'CDO Bespoke'!$C$33),{5})),"")</f>
        <v/>
      </c>
      <c r="Y279" s="524" t="str" cm="1">
        <f t="array" aca="1" ref="Y279" ca="1">IF($V279&lt;&gt;"",-TRANSPOSE(INDEX(getcds('CDO Bespoke'!$C304,Y$13,'CDO Bespoke'!$G304/10000,'CDO Bespoke'!H304,'CDO Bespoke'!$L280,'CDO Bespoke'!$C$13,'CDO Bespoke'!$C$14,'CDO Bespoke'!$C$15,'CDO Bespoke'!$C$8,,,TRUE,TRUE,FALSE,'CDO Bespoke'!$C$29:'CDO Bespoke'!$C$31,'CDO Bespoke'!$C$33),{5})),"")</f>
        <v/>
      </c>
      <c r="Z279" s="524" t="str" cm="1">
        <f t="array" aca="1" ref="Z279" ca="1">IF($V279&lt;&gt;"",-TRANSPOSE(INDEX(getcds('CDO Bespoke'!$C304,Z$13,'CDO Bespoke'!$G304/10000,'CDO Bespoke'!I304,'CDO Bespoke'!$L280,'CDO Bespoke'!$C$13,'CDO Bespoke'!$C$14,'CDO Bespoke'!$C$15,'CDO Bespoke'!$C$8,,,TRUE,TRUE,FALSE,'CDO Bespoke'!$C$29:'CDO Bespoke'!$C$31,'CDO Bespoke'!$C$33),{5})),"")</f>
        <v/>
      </c>
      <c r="AA279" s="500" t="str" cm="1">
        <f t="array" aca="1" ref="AA279" ca="1">IF($V279&lt;&gt;"",-TRANSPOSE(INDEX(getcds('CDO Bespoke'!$C304,AA$13,'CDO Bespoke'!$G304/10000,'CDO Bespoke'!J304,'CDO Bespoke'!$L280,'CDO Bespoke'!$C$13,'CDO Bespoke'!$C$14,'CDO Bespoke'!$C$15,'CDO Bespoke'!$C$8,,,TRUE,TRUE,FALSE,'CDO Bespoke'!$C$29:'CDO Bespoke'!$C$31,'CDO Bespoke'!$C$33),{5})),"")</f>
        <v/>
      </c>
      <c r="AB279" s="479"/>
      <c r="AC279" s="515"/>
      <c r="AD279" s="516"/>
      <c r="AE279" s="516"/>
      <c r="AF279" s="516"/>
      <c r="AG279" s="516"/>
      <c r="AH279" s="516"/>
      <c r="AI279" s="516"/>
      <c r="AJ279" s="516"/>
      <c r="AK279" s="516"/>
      <c r="AL279" s="517"/>
      <c r="AM279" s="534"/>
    </row>
    <row r="280" spans="2:39" ht="12" thickBot="1">
      <c r="B280" s="557" t="s">
        <v>594</v>
      </c>
      <c r="C280" s="558" t="s">
        <v>66</v>
      </c>
      <c r="D280" s="558" t="s">
        <v>55</v>
      </c>
      <c r="E280" s="558" t="s">
        <v>660</v>
      </c>
      <c r="F280" s="558" t="s">
        <v>669</v>
      </c>
      <c r="G280" s="559">
        <v>0.01</v>
      </c>
      <c r="H280" s="559">
        <v>9.5580000000000005E-3</v>
      </c>
      <c r="I280" s="560">
        <v>0.4</v>
      </c>
      <c r="J280" s="561">
        <v>86</v>
      </c>
      <c r="K280" s="274"/>
      <c r="L280" s="274"/>
      <c r="M280" s="487" t="str">
        <f ca="1">IF('CDO Bespoke'!O281&lt;&gt;"",'CDO Bespoke'!O281,"")</f>
        <v/>
      </c>
      <c r="N280" s="488" t="str">
        <f ca="1">IF(M280&lt;&gt;"",ABS(MIN(-0.75*('CDO Bespoke'!Q281)+'CDO Bespoke'!T281,0)),"")</f>
        <v/>
      </c>
      <c r="O280" s="488">
        <f t="shared" ca="1" si="16"/>
        <v>0</v>
      </c>
      <c r="P280" s="488">
        <f t="shared" ca="1" si="17"/>
        <v>0</v>
      </c>
      <c r="Q280" s="487" t="str">
        <f ca="1">IF('CDO Bespoke'!O281&lt;&gt;"",'CDO Bespoke'!O281,"")</f>
        <v/>
      </c>
      <c r="R280" s="488" t="str">
        <f ca="1">IF(Q280&lt;&gt;"",ABS(MIN(-0.75*('CDO Bespoke'!K281)+'CDO Bespoke'!T281,0)),"")</f>
        <v/>
      </c>
      <c r="S280" s="488">
        <f t="shared" ca="1" si="18"/>
        <v>0</v>
      </c>
      <c r="T280" s="492">
        <f t="shared" ca="1" si="19"/>
        <v>0</v>
      </c>
      <c r="U280" s="274"/>
      <c r="V280" s="497" t="str">
        <f ca="1">IF('CDO Bespoke'!C305&lt;&gt;"",'CDO Bespoke'!C305,"")</f>
        <v/>
      </c>
      <c r="W280" s="499" t="str" cm="1">
        <f t="array" aca="1" ref="W280" ca="1">IF($V280&lt;&gt;"",-TRANSPOSE(INDEX(getcds('CDO Bespoke'!$C305,W$13,'CDO Bespoke'!$G305/10000,'CDO Bespoke'!F305,'CDO Bespoke'!$L281,'CDO Bespoke'!$C$13,'CDO Bespoke'!$C$14,'CDO Bespoke'!$C$15,'CDO Bespoke'!$C$8,,,TRUE,TRUE,FALSE,'CDO Bespoke'!$C$29:'CDO Bespoke'!$C$31,'CDO Bespoke'!$C$33),{5})),"")</f>
        <v/>
      </c>
      <c r="X280" s="524" t="str" cm="1">
        <f t="array" aca="1" ref="X280" ca="1">IF($V280&lt;&gt;"",-TRANSPOSE(INDEX(getcds('CDO Bespoke'!$C305,X$13,'CDO Bespoke'!$G305/10000,'CDO Bespoke'!G305,'CDO Bespoke'!$L281,'CDO Bespoke'!$C$13,'CDO Bespoke'!$C$14,'CDO Bespoke'!$C$15,'CDO Bespoke'!$C$8,,,TRUE,TRUE,FALSE,'CDO Bespoke'!$C$29:'CDO Bespoke'!$C$31,'CDO Bespoke'!$C$33),{5})),"")</f>
        <v/>
      </c>
      <c r="Y280" s="524" t="str" cm="1">
        <f t="array" aca="1" ref="Y280" ca="1">IF($V280&lt;&gt;"",-TRANSPOSE(INDEX(getcds('CDO Bespoke'!$C305,Y$13,'CDO Bespoke'!$G305/10000,'CDO Bespoke'!H305,'CDO Bespoke'!$L281,'CDO Bespoke'!$C$13,'CDO Bespoke'!$C$14,'CDO Bespoke'!$C$15,'CDO Bespoke'!$C$8,,,TRUE,TRUE,FALSE,'CDO Bespoke'!$C$29:'CDO Bespoke'!$C$31,'CDO Bespoke'!$C$33),{5})),"")</f>
        <v/>
      </c>
      <c r="Z280" s="524" t="str" cm="1">
        <f t="array" aca="1" ref="Z280" ca="1">IF($V280&lt;&gt;"",-TRANSPOSE(INDEX(getcds('CDO Bespoke'!$C305,Z$13,'CDO Bespoke'!$G305/10000,'CDO Bespoke'!I305,'CDO Bespoke'!$L281,'CDO Bespoke'!$C$13,'CDO Bespoke'!$C$14,'CDO Bespoke'!$C$15,'CDO Bespoke'!$C$8,,,TRUE,TRUE,FALSE,'CDO Bespoke'!$C$29:'CDO Bespoke'!$C$31,'CDO Bespoke'!$C$33),{5})),"")</f>
        <v/>
      </c>
      <c r="AA280" s="500" t="str" cm="1">
        <f t="array" aca="1" ref="AA280" ca="1">IF($V280&lt;&gt;"",-TRANSPOSE(INDEX(getcds('CDO Bespoke'!$C305,AA$13,'CDO Bespoke'!$G305/10000,'CDO Bespoke'!J305,'CDO Bespoke'!$L281,'CDO Bespoke'!$C$13,'CDO Bespoke'!$C$14,'CDO Bespoke'!$C$15,'CDO Bespoke'!$C$8,,,TRUE,TRUE,FALSE,'CDO Bespoke'!$C$29:'CDO Bespoke'!$C$31,'CDO Bespoke'!$C$33),{5})),"")</f>
        <v/>
      </c>
      <c r="AB280" s="479"/>
      <c r="AC280" s="515"/>
      <c r="AD280" s="516"/>
      <c r="AE280" s="516"/>
      <c r="AF280" s="516"/>
      <c r="AG280" s="516"/>
      <c r="AH280" s="516"/>
      <c r="AI280" s="516"/>
      <c r="AJ280" s="516"/>
      <c r="AK280" s="516"/>
      <c r="AL280" s="517"/>
      <c r="AM280" s="534"/>
    </row>
    <row r="281" spans="2:39" ht="12" thickBot="1">
      <c r="B281" s="535" t="s">
        <v>594</v>
      </c>
      <c r="C281" s="536" t="s">
        <v>66</v>
      </c>
      <c r="D281" s="536" t="s">
        <v>57</v>
      </c>
      <c r="E281" s="536" t="s">
        <v>660</v>
      </c>
      <c r="F281" s="536" t="s">
        <v>669</v>
      </c>
      <c r="G281" s="543">
        <v>0.01</v>
      </c>
      <c r="H281" s="543">
        <v>1.5862999999999999E-2</v>
      </c>
      <c r="I281" s="545">
        <v>0.4</v>
      </c>
      <c r="J281" s="537">
        <v>86</v>
      </c>
      <c r="K281" s="274"/>
      <c r="L281" s="274"/>
      <c r="M281" s="487" t="str">
        <f ca="1">IF('CDO Bespoke'!O282&lt;&gt;"",'CDO Bespoke'!O282,"")</f>
        <v/>
      </c>
      <c r="N281" s="488" t="str">
        <f ca="1">IF(M281&lt;&gt;"",ABS(MIN(-0.75*('CDO Bespoke'!Q282)+'CDO Bespoke'!T282,0)),"")</f>
        <v/>
      </c>
      <c r="O281" s="488">
        <f t="shared" ca="1" si="16"/>
        <v>0</v>
      </c>
      <c r="P281" s="488">
        <f t="shared" ca="1" si="17"/>
        <v>0</v>
      </c>
      <c r="Q281" s="487" t="str">
        <f ca="1">IF('CDO Bespoke'!O282&lt;&gt;"",'CDO Bespoke'!O282,"")</f>
        <v/>
      </c>
      <c r="R281" s="488" t="str">
        <f ca="1">IF(Q281&lt;&gt;"",ABS(MIN(-0.75*('CDO Bespoke'!K282)+'CDO Bespoke'!T282,0)),"")</f>
        <v/>
      </c>
      <c r="S281" s="488">
        <f t="shared" ca="1" si="18"/>
        <v>0</v>
      </c>
      <c r="T281" s="492">
        <f t="shared" ca="1" si="19"/>
        <v>0</v>
      </c>
      <c r="U281" s="274"/>
      <c r="V281" s="497" t="str">
        <f ca="1">IF('CDO Bespoke'!C306&lt;&gt;"",'CDO Bespoke'!C306,"")</f>
        <v/>
      </c>
      <c r="W281" s="499" t="str" cm="1">
        <f t="array" aca="1" ref="W281" ca="1">IF($V281&lt;&gt;"",-TRANSPOSE(INDEX(getcds('CDO Bespoke'!$C306,W$13,'CDO Bespoke'!$G306/10000,'CDO Bespoke'!F306,'CDO Bespoke'!$L282,'CDO Bespoke'!$C$13,'CDO Bespoke'!$C$14,'CDO Bespoke'!$C$15,'CDO Bespoke'!$C$8,,,TRUE,TRUE,FALSE,'CDO Bespoke'!$C$29:'CDO Bespoke'!$C$31,'CDO Bespoke'!$C$33),{5})),"")</f>
        <v/>
      </c>
      <c r="X281" s="524" t="str" cm="1">
        <f t="array" aca="1" ref="X281" ca="1">IF($V281&lt;&gt;"",-TRANSPOSE(INDEX(getcds('CDO Bespoke'!$C306,X$13,'CDO Bespoke'!$G306/10000,'CDO Bespoke'!G306,'CDO Bespoke'!$L282,'CDO Bespoke'!$C$13,'CDO Bespoke'!$C$14,'CDO Bespoke'!$C$15,'CDO Bespoke'!$C$8,,,TRUE,TRUE,FALSE,'CDO Bespoke'!$C$29:'CDO Bespoke'!$C$31,'CDO Bespoke'!$C$33),{5})),"")</f>
        <v/>
      </c>
      <c r="Y281" s="524" t="str" cm="1">
        <f t="array" aca="1" ref="Y281" ca="1">IF($V281&lt;&gt;"",-TRANSPOSE(INDEX(getcds('CDO Bespoke'!$C306,Y$13,'CDO Bespoke'!$G306/10000,'CDO Bespoke'!H306,'CDO Bespoke'!$L282,'CDO Bespoke'!$C$13,'CDO Bespoke'!$C$14,'CDO Bespoke'!$C$15,'CDO Bespoke'!$C$8,,,TRUE,TRUE,FALSE,'CDO Bespoke'!$C$29:'CDO Bespoke'!$C$31,'CDO Bespoke'!$C$33),{5})),"")</f>
        <v/>
      </c>
      <c r="Z281" s="524" t="str" cm="1">
        <f t="array" aca="1" ref="Z281" ca="1">IF($V281&lt;&gt;"",-TRANSPOSE(INDEX(getcds('CDO Bespoke'!$C306,Z$13,'CDO Bespoke'!$G306/10000,'CDO Bespoke'!I306,'CDO Bespoke'!$L282,'CDO Bespoke'!$C$13,'CDO Bespoke'!$C$14,'CDO Bespoke'!$C$15,'CDO Bespoke'!$C$8,,,TRUE,TRUE,FALSE,'CDO Bespoke'!$C$29:'CDO Bespoke'!$C$31,'CDO Bespoke'!$C$33),{5})),"")</f>
        <v/>
      </c>
      <c r="AA281" s="500" t="str" cm="1">
        <f t="array" aca="1" ref="AA281" ca="1">IF($V281&lt;&gt;"",-TRANSPOSE(INDEX(getcds('CDO Bespoke'!$C306,AA$13,'CDO Bespoke'!$G306/10000,'CDO Bespoke'!J306,'CDO Bespoke'!$L282,'CDO Bespoke'!$C$13,'CDO Bespoke'!$C$14,'CDO Bespoke'!$C$15,'CDO Bespoke'!$C$8,,,TRUE,TRUE,FALSE,'CDO Bespoke'!$C$29:'CDO Bespoke'!$C$31,'CDO Bespoke'!$C$33),{5})),"")</f>
        <v/>
      </c>
      <c r="AB281" s="479"/>
      <c r="AC281" s="515"/>
      <c r="AD281" s="516"/>
      <c r="AE281" s="516"/>
      <c r="AF281" s="516"/>
      <c r="AG281" s="516"/>
      <c r="AH281" s="516"/>
      <c r="AI281" s="516"/>
      <c r="AJ281" s="516"/>
      <c r="AK281" s="516"/>
      <c r="AL281" s="517"/>
      <c r="AM281" s="534"/>
    </row>
    <row r="282" spans="2:39" ht="12" thickBot="1">
      <c r="B282" s="552" t="s">
        <v>594</v>
      </c>
      <c r="C282" s="553" t="s">
        <v>66</v>
      </c>
      <c r="D282" s="553" t="s">
        <v>59</v>
      </c>
      <c r="E282" s="553" t="s">
        <v>660</v>
      </c>
      <c r="F282" s="553" t="s">
        <v>669</v>
      </c>
      <c r="G282" s="554">
        <v>0.01</v>
      </c>
      <c r="H282" s="554">
        <v>1.9740000000000001E-2</v>
      </c>
      <c r="I282" s="555">
        <v>0.4</v>
      </c>
      <c r="J282" s="556">
        <v>86</v>
      </c>
      <c r="K282" s="274"/>
      <c r="L282" s="274"/>
      <c r="M282" s="487" t="str">
        <f ca="1">IF('CDO Bespoke'!O283&lt;&gt;"",'CDO Bespoke'!O283,"")</f>
        <v/>
      </c>
      <c r="N282" s="488" t="str">
        <f ca="1">IF(M282&lt;&gt;"",ABS(MIN(-0.75*('CDO Bespoke'!Q283)+'CDO Bespoke'!T283,0)),"")</f>
        <v/>
      </c>
      <c r="O282" s="488">
        <f t="shared" ca="1" si="16"/>
        <v>0</v>
      </c>
      <c r="P282" s="488">
        <f t="shared" ca="1" si="17"/>
        <v>0</v>
      </c>
      <c r="Q282" s="487" t="str">
        <f ca="1">IF('CDO Bespoke'!O283&lt;&gt;"",'CDO Bespoke'!O283,"")</f>
        <v/>
      </c>
      <c r="R282" s="488" t="str">
        <f ca="1">IF(Q282&lt;&gt;"",ABS(MIN(-0.75*('CDO Bespoke'!K283)+'CDO Bespoke'!T283,0)),"")</f>
        <v/>
      </c>
      <c r="S282" s="488">
        <f t="shared" ca="1" si="18"/>
        <v>0</v>
      </c>
      <c r="T282" s="492">
        <f t="shared" ca="1" si="19"/>
        <v>0</v>
      </c>
      <c r="U282" s="274"/>
      <c r="V282" s="497" t="str">
        <f ca="1">IF('CDO Bespoke'!C307&lt;&gt;"",'CDO Bespoke'!C307,"")</f>
        <v/>
      </c>
      <c r="W282" s="499" t="str" cm="1">
        <f t="array" aca="1" ref="W282" ca="1">IF($V282&lt;&gt;"",-TRANSPOSE(INDEX(getcds('CDO Bespoke'!$C307,W$13,'CDO Bespoke'!$G307/10000,'CDO Bespoke'!F307,'CDO Bespoke'!$L283,'CDO Bespoke'!$C$13,'CDO Bespoke'!$C$14,'CDO Bespoke'!$C$15,'CDO Bespoke'!$C$8,,,TRUE,TRUE,FALSE,'CDO Bespoke'!$C$29:'CDO Bespoke'!$C$31,'CDO Bespoke'!$C$33),{5})),"")</f>
        <v/>
      </c>
      <c r="X282" s="524" t="str" cm="1">
        <f t="array" aca="1" ref="X282" ca="1">IF($V282&lt;&gt;"",-TRANSPOSE(INDEX(getcds('CDO Bespoke'!$C307,X$13,'CDO Bespoke'!$G307/10000,'CDO Bespoke'!G307,'CDO Bespoke'!$L283,'CDO Bespoke'!$C$13,'CDO Bespoke'!$C$14,'CDO Bespoke'!$C$15,'CDO Bespoke'!$C$8,,,TRUE,TRUE,FALSE,'CDO Bespoke'!$C$29:'CDO Bespoke'!$C$31,'CDO Bespoke'!$C$33),{5})),"")</f>
        <v/>
      </c>
      <c r="Y282" s="524" t="str" cm="1">
        <f t="array" aca="1" ref="Y282" ca="1">IF($V282&lt;&gt;"",-TRANSPOSE(INDEX(getcds('CDO Bespoke'!$C307,Y$13,'CDO Bespoke'!$G307/10000,'CDO Bespoke'!H307,'CDO Bespoke'!$L283,'CDO Bespoke'!$C$13,'CDO Bespoke'!$C$14,'CDO Bespoke'!$C$15,'CDO Bespoke'!$C$8,,,TRUE,TRUE,FALSE,'CDO Bespoke'!$C$29:'CDO Bespoke'!$C$31,'CDO Bespoke'!$C$33),{5})),"")</f>
        <v/>
      </c>
      <c r="Z282" s="524" t="str" cm="1">
        <f t="array" aca="1" ref="Z282" ca="1">IF($V282&lt;&gt;"",-TRANSPOSE(INDEX(getcds('CDO Bespoke'!$C307,Z$13,'CDO Bespoke'!$G307/10000,'CDO Bespoke'!I307,'CDO Bespoke'!$L283,'CDO Bespoke'!$C$13,'CDO Bespoke'!$C$14,'CDO Bespoke'!$C$15,'CDO Bespoke'!$C$8,,,TRUE,TRUE,FALSE,'CDO Bespoke'!$C$29:'CDO Bespoke'!$C$31,'CDO Bespoke'!$C$33),{5})),"")</f>
        <v/>
      </c>
      <c r="AA282" s="500" t="str" cm="1">
        <f t="array" aca="1" ref="AA282" ca="1">IF($V282&lt;&gt;"",-TRANSPOSE(INDEX(getcds('CDO Bespoke'!$C307,AA$13,'CDO Bespoke'!$G307/10000,'CDO Bespoke'!J307,'CDO Bespoke'!$L283,'CDO Bespoke'!$C$13,'CDO Bespoke'!$C$14,'CDO Bespoke'!$C$15,'CDO Bespoke'!$C$8,,,TRUE,TRUE,FALSE,'CDO Bespoke'!$C$29:'CDO Bespoke'!$C$31,'CDO Bespoke'!$C$33),{5})),"")</f>
        <v/>
      </c>
      <c r="AB282" s="479"/>
      <c r="AC282" s="515"/>
      <c r="AD282" s="516"/>
      <c r="AE282" s="516"/>
      <c r="AF282" s="516"/>
      <c r="AG282" s="516"/>
      <c r="AH282" s="516"/>
      <c r="AI282" s="516"/>
      <c r="AJ282" s="516"/>
      <c r="AK282" s="516"/>
      <c r="AL282" s="517"/>
      <c r="AM282" s="534"/>
    </row>
    <row r="283" spans="2:39" ht="12" thickBot="1">
      <c r="B283" s="557" t="s">
        <v>628</v>
      </c>
      <c r="C283" s="558" t="s">
        <v>66</v>
      </c>
      <c r="D283" s="558" t="s">
        <v>55</v>
      </c>
      <c r="E283" s="558" t="s">
        <v>658</v>
      </c>
      <c r="F283" s="558" t="s">
        <v>663</v>
      </c>
      <c r="G283" s="559">
        <v>0.01</v>
      </c>
      <c r="H283" s="559">
        <v>7.8799999999999996E-4</v>
      </c>
      <c r="I283" s="560">
        <v>0.4</v>
      </c>
      <c r="J283" s="561">
        <v>87</v>
      </c>
      <c r="K283" s="274"/>
      <c r="L283" s="274"/>
      <c r="M283" s="487" t="str">
        <f ca="1">IF('CDO Bespoke'!O284&lt;&gt;"",'CDO Bespoke'!O284,"")</f>
        <v/>
      </c>
      <c r="N283" s="488" t="str">
        <f ca="1">IF(M283&lt;&gt;"",ABS(MIN(-0.75*('CDO Bespoke'!Q284)+'CDO Bespoke'!T284,0)),"")</f>
        <v/>
      </c>
      <c r="O283" s="488">
        <f t="shared" ca="1" si="16"/>
        <v>0</v>
      </c>
      <c r="P283" s="488">
        <f t="shared" ca="1" si="17"/>
        <v>0</v>
      </c>
      <c r="Q283" s="487" t="str">
        <f ca="1">IF('CDO Bespoke'!O284&lt;&gt;"",'CDO Bespoke'!O284,"")</f>
        <v/>
      </c>
      <c r="R283" s="488" t="str">
        <f ca="1">IF(Q283&lt;&gt;"",ABS(MIN(-0.75*('CDO Bespoke'!K284)+'CDO Bespoke'!T284,0)),"")</f>
        <v/>
      </c>
      <c r="S283" s="488">
        <f t="shared" ca="1" si="18"/>
        <v>0</v>
      </c>
      <c r="T283" s="492">
        <f t="shared" ca="1" si="19"/>
        <v>0</v>
      </c>
      <c r="U283" s="274"/>
      <c r="V283" s="497" t="str">
        <f ca="1">IF('CDO Bespoke'!C308&lt;&gt;"",'CDO Bespoke'!C308,"")</f>
        <v/>
      </c>
      <c r="W283" s="499" t="str" cm="1">
        <f t="array" aca="1" ref="W283" ca="1">IF($V283&lt;&gt;"",-TRANSPOSE(INDEX(getcds('CDO Bespoke'!$C308,W$13,'CDO Bespoke'!$G308/10000,'CDO Bespoke'!F308,'CDO Bespoke'!$L284,'CDO Bespoke'!$C$13,'CDO Bespoke'!$C$14,'CDO Bespoke'!$C$15,'CDO Bespoke'!$C$8,,,TRUE,TRUE,FALSE,'CDO Bespoke'!$C$29:'CDO Bespoke'!$C$31,'CDO Bespoke'!$C$33),{5})),"")</f>
        <v/>
      </c>
      <c r="X283" s="524" t="str" cm="1">
        <f t="array" aca="1" ref="X283" ca="1">IF($V283&lt;&gt;"",-TRANSPOSE(INDEX(getcds('CDO Bespoke'!$C308,X$13,'CDO Bespoke'!$G308/10000,'CDO Bespoke'!G308,'CDO Bespoke'!$L284,'CDO Bespoke'!$C$13,'CDO Bespoke'!$C$14,'CDO Bespoke'!$C$15,'CDO Bespoke'!$C$8,,,TRUE,TRUE,FALSE,'CDO Bespoke'!$C$29:'CDO Bespoke'!$C$31,'CDO Bespoke'!$C$33),{5})),"")</f>
        <v/>
      </c>
      <c r="Y283" s="524" t="str" cm="1">
        <f t="array" aca="1" ref="Y283" ca="1">IF($V283&lt;&gt;"",-TRANSPOSE(INDEX(getcds('CDO Bespoke'!$C308,Y$13,'CDO Bespoke'!$G308/10000,'CDO Bespoke'!H308,'CDO Bespoke'!$L284,'CDO Bespoke'!$C$13,'CDO Bespoke'!$C$14,'CDO Bespoke'!$C$15,'CDO Bespoke'!$C$8,,,TRUE,TRUE,FALSE,'CDO Bespoke'!$C$29:'CDO Bespoke'!$C$31,'CDO Bespoke'!$C$33),{5})),"")</f>
        <v/>
      </c>
      <c r="Z283" s="524" t="str" cm="1">
        <f t="array" aca="1" ref="Z283" ca="1">IF($V283&lt;&gt;"",-TRANSPOSE(INDEX(getcds('CDO Bespoke'!$C308,Z$13,'CDO Bespoke'!$G308/10000,'CDO Bespoke'!I308,'CDO Bespoke'!$L284,'CDO Bespoke'!$C$13,'CDO Bespoke'!$C$14,'CDO Bespoke'!$C$15,'CDO Bespoke'!$C$8,,,TRUE,TRUE,FALSE,'CDO Bespoke'!$C$29:'CDO Bespoke'!$C$31,'CDO Bespoke'!$C$33),{5})),"")</f>
        <v/>
      </c>
      <c r="AA283" s="500" t="str" cm="1">
        <f t="array" aca="1" ref="AA283" ca="1">IF($V283&lt;&gt;"",-TRANSPOSE(INDEX(getcds('CDO Bespoke'!$C308,AA$13,'CDO Bespoke'!$G308/10000,'CDO Bespoke'!J308,'CDO Bespoke'!$L284,'CDO Bespoke'!$C$13,'CDO Bespoke'!$C$14,'CDO Bespoke'!$C$15,'CDO Bespoke'!$C$8,,,TRUE,TRUE,FALSE,'CDO Bespoke'!$C$29:'CDO Bespoke'!$C$31,'CDO Bespoke'!$C$33),{5})),"")</f>
        <v/>
      </c>
      <c r="AB283" s="479"/>
      <c r="AC283" s="515"/>
      <c r="AD283" s="516"/>
      <c r="AE283" s="516"/>
      <c r="AF283" s="516"/>
      <c r="AG283" s="516"/>
      <c r="AH283" s="516"/>
      <c r="AI283" s="516"/>
      <c r="AJ283" s="516"/>
      <c r="AK283" s="516"/>
      <c r="AL283" s="517"/>
      <c r="AM283" s="534"/>
    </row>
    <row r="284" spans="2:39" ht="12" thickBot="1">
      <c r="B284" s="535" t="s">
        <v>628</v>
      </c>
      <c r="C284" s="536" t="s">
        <v>66</v>
      </c>
      <c r="D284" s="536" t="s">
        <v>57</v>
      </c>
      <c r="E284" s="536" t="s">
        <v>658</v>
      </c>
      <c r="F284" s="536" t="s">
        <v>663</v>
      </c>
      <c r="G284" s="543">
        <v>0.01</v>
      </c>
      <c r="H284" s="543">
        <v>1.3649999999999999E-3</v>
      </c>
      <c r="I284" s="545">
        <v>0.4</v>
      </c>
      <c r="J284" s="537">
        <v>87</v>
      </c>
      <c r="K284" s="274"/>
      <c r="L284" s="274"/>
      <c r="M284" s="487" t="str">
        <f ca="1">IF('CDO Bespoke'!O285&lt;&gt;"",'CDO Bespoke'!O285,"")</f>
        <v/>
      </c>
      <c r="N284" s="488" t="str">
        <f ca="1">IF(M284&lt;&gt;"",ABS(MIN(-0.75*('CDO Bespoke'!Q285)+'CDO Bespoke'!T285,0)),"")</f>
        <v/>
      </c>
      <c r="O284" s="488">
        <f t="shared" ca="1" si="16"/>
        <v>0</v>
      </c>
      <c r="P284" s="488">
        <f t="shared" ca="1" si="17"/>
        <v>0</v>
      </c>
      <c r="Q284" s="487" t="str">
        <f ca="1">IF('CDO Bespoke'!O285&lt;&gt;"",'CDO Bespoke'!O285,"")</f>
        <v/>
      </c>
      <c r="R284" s="488" t="str">
        <f ca="1">IF(Q284&lt;&gt;"",ABS(MIN(-0.75*('CDO Bespoke'!K285)+'CDO Bespoke'!T285,0)),"")</f>
        <v/>
      </c>
      <c r="S284" s="488">
        <f t="shared" ca="1" si="18"/>
        <v>0</v>
      </c>
      <c r="T284" s="492">
        <f t="shared" ca="1" si="19"/>
        <v>0</v>
      </c>
      <c r="U284" s="274"/>
      <c r="V284" s="497" t="str">
        <f ca="1">IF('CDO Bespoke'!C309&lt;&gt;"",'CDO Bespoke'!C309,"")</f>
        <v/>
      </c>
      <c r="W284" s="499" t="str" cm="1">
        <f t="array" aca="1" ref="W284" ca="1">IF($V284&lt;&gt;"",-TRANSPOSE(INDEX(getcds('CDO Bespoke'!$C309,W$13,'CDO Bespoke'!$G309/10000,'CDO Bespoke'!F309,'CDO Bespoke'!$L285,'CDO Bespoke'!$C$13,'CDO Bespoke'!$C$14,'CDO Bespoke'!$C$15,'CDO Bespoke'!$C$8,,,TRUE,TRUE,FALSE,'CDO Bespoke'!$C$29:'CDO Bespoke'!$C$31,'CDO Bespoke'!$C$33),{5})),"")</f>
        <v/>
      </c>
      <c r="X284" s="524" t="str" cm="1">
        <f t="array" aca="1" ref="X284" ca="1">IF($V284&lt;&gt;"",-TRANSPOSE(INDEX(getcds('CDO Bespoke'!$C309,X$13,'CDO Bespoke'!$G309/10000,'CDO Bespoke'!G309,'CDO Bespoke'!$L285,'CDO Bespoke'!$C$13,'CDO Bespoke'!$C$14,'CDO Bespoke'!$C$15,'CDO Bespoke'!$C$8,,,TRUE,TRUE,FALSE,'CDO Bespoke'!$C$29:'CDO Bespoke'!$C$31,'CDO Bespoke'!$C$33),{5})),"")</f>
        <v/>
      </c>
      <c r="Y284" s="524" t="str" cm="1">
        <f t="array" aca="1" ref="Y284" ca="1">IF($V284&lt;&gt;"",-TRANSPOSE(INDEX(getcds('CDO Bespoke'!$C309,Y$13,'CDO Bespoke'!$G309/10000,'CDO Bespoke'!H309,'CDO Bespoke'!$L285,'CDO Bespoke'!$C$13,'CDO Bespoke'!$C$14,'CDO Bespoke'!$C$15,'CDO Bespoke'!$C$8,,,TRUE,TRUE,FALSE,'CDO Bespoke'!$C$29:'CDO Bespoke'!$C$31,'CDO Bespoke'!$C$33),{5})),"")</f>
        <v/>
      </c>
      <c r="Z284" s="524" t="str" cm="1">
        <f t="array" aca="1" ref="Z284" ca="1">IF($V284&lt;&gt;"",-TRANSPOSE(INDEX(getcds('CDO Bespoke'!$C309,Z$13,'CDO Bespoke'!$G309/10000,'CDO Bespoke'!I309,'CDO Bespoke'!$L285,'CDO Bespoke'!$C$13,'CDO Bespoke'!$C$14,'CDO Bespoke'!$C$15,'CDO Bespoke'!$C$8,,,TRUE,TRUE,FALSE,'CDO Bespoke'!$C$29:'CDO Bespoke'!$C$31,'CDO Bespoke'!$C$33),{5})),"")</f>
        <v/>
      </c>
      <c r="AA284" s="500" t="str" cm="1">
        <f t="array" aca="1" ref="AA284" ca="1">IF($V284&lt;&gt;"",-TRANSPOSE(INDEX(getcds('CDO Bespoke'!$C309,AA$13,'CDO Bespoke'!$G309/10000,'CDO Bespoke'!J309,'CDO Bespoke'!$L285,'CDO Bespoke'!$C$13,'CDO Bespoke'!$C$14,'CDO Bespoke'!$C$15,'CDO Bespoke'!$C$8,,,TRUE,TRUE,FALSE,'CDO Bespoke'!$C$29:'CDO Bespoke'!$C$31,'CDO Bespoke'!$C$33),{5})),"")</f>
        <v/>
      </c>
      <c r="AB284" s="479"/>
      <c r="AC284" s="515"/>
      <c r="AD284" s="516"/>
      <c r="AE284" s="516"/>
      <c r="AF284" s="516"/>
      <c r="AG284" s="516"/>
      <c r="AH284" s="516"/>
      <c r="AI284" s="516"/>
      <c r="AJ284" s="516"/>
      <c r="AK284" s="516"/>
      <c r="AL284" s="517"/>
      <c r="AM284" s="534"/>
    </row>
    <row r="285" spans="2:39" ht="12" thickBot="1">
      <c r="B285" s="552" t="s">
        <v>628</v>
      </c>
      <c r="C285" s="553" t="s">
        <v>66</v>
      </c>
      <c r="D285" s="553" t="s">
        <v>59</v>
      </c>
      <c r="E285" s="553" t="s">
        <v>658</v>
      </c>
      <c r="F285" s="553" t="s">
        <v>663</v>
      </c>
      <c r="G285" s="554">
        <v>0.01</v>
      </c>
      <c r="H285" s="554">
        <v>2.568E-3</v>
      </c>
      <c r="I285" s="555">
        <v>0.4</v>
      </c>
      <c r="J285" s="556">
        <v>87</v>
      </c>
      <c r="K285" s="274"/>
      <c r="L285" s="274"/>
      <c r="M285" s="487" t="str">
        <f ca="1">IF('CDO Bespoke'!O286&lt;&gt;"",'CDO Bespoke'!O286,"")</f>
        <v/>
      </c>
      <c r="N285" s="488" t="str">
        <f ca="1">IF(M285&lt;&gt;"",ABS(MIN(-0.75*('CDO Bespoke'!Q286)+'CDO Bespoke'!T286,0)),"")</f>
        <v/>
      </c>
      <c r="O285" s="488">
        <f t="shared" ca="1" si="16"/>
        <v>0</v>
      </c>
      <c r="P285" s="488">
        <f t="shared" ca="1" si="17"/>
        <v>0</v>
      </c>
      <c r="Q285" s="487" t="str">
        <f ca="1">IF('CDO Bespoke'!O286&lt;&gt;"",'CDO Bespoke'!O286,"")</f>
        <v/>
      </c>
      <c r="R285" s="488" t="str">
        <f ca="1">IF(Q285&lt;&gt;"",ABS(MIN(-0.75*('CDO Bespoke'!K286)+'CDO Bespoke'!T286,0)),"")</f>
        <v/>
      </c>
      <c r="S285" s="488">
        <f t="shared" ca="1" si="18"/>
        <v>0</v>
      </c>
      <c r="T285" s="492">
        <f t="shared" ca="1" si="19"/>
        <v>0</v>
      </c>
      <c r="U285" s="274"/>
      <c r="V285" s="497" t="str">
        <f ca="1">IF('CDO Bespoke'!C310&lt;&gt;"",'CDO Bespoke'!C310,"")</f>
        <v/>
      </c>
      <c r="W285" s="499" t="str" cm="1">
        <f t="array" aca="1" ref="W285" ca="1">IF($V285&lt;&gt;"",-TRANSPOSE(INDEX(getcds('CDO Bespoke'!$C310,W$13,'CDO Bespoke'!$G310/10000,'CDO Bespoke'!F310,'CDO Bespoke'!$L286,'CDO Bespoke'!$C$13,'CDO Bespoke'!$C$14,'CDO Bespoke'!$C$15,'CDO Bespoke'!$C$8,,,TRUE,TRUE,FALSE,'CDO Bespoke'!$C$29:'CDO Bespoke'!$C$31,'CDO Bespoke'!$C$33),{5})),"")</f>
        <v/>
      </c>
      <c r="X285" s="524" t="str" cm="1">
        <f t="array" aca="1" ref="X285" ca="1">IF($V285&lt;&gt;"",-TRANSPOSE(INDEX(getcds('CDO Bespoke'!$C310,X$13,'CDO Bespoke'!$G310/10000,'CDO Bespoke'!G310,'CDO Bespoke'!$L286,'CDO Bespoke'!$C$13,'CDO Bespoke'!$C$14,'CDO Bespoke'!$C$15,'CDO Bespoke'!$C$8,,,TRUE,TRUE,FALSE,'CDO Bespoke'!$C$29:'CDO Bespoke'!$C$31,'CDO Bespoke'!$C$33),{5})),"")</f>
        <v/>
      </c>
      <c r="Y285" s="524" t="str" cm="1">
        <f t="array" aca="1" ref="Y285" ca="1">IF($V285&lt;&gt;"",-TRANSPOSE(INDEX(getcds('CDO Bespoke'!$C310,Y$13,'CDO Bespoke'!$G310/10000,'CDO Bespoke'!H310,'CDO Bespoke'!$L286,'CDO Bespoke'!$C$13,'CDO Bespoke'!$C$14,'CDO Bespoke'!$C$15,'CDO Bespoke'!$C$8,,,TRUE,TRUE,FALSE,'CDO Bespoke'!$C$29:'CDO Bespoke'!$C$31,'CDO Bespoke'!$C$33),{5})),"")</f>
        <v/>
      </c>
      <c r="Z285" s="524" t="str" cm="1">
        <f t="array" aca="1" ref="Z285" ca="1">IF($V285&lt;&gt;"",-TRANSPOSE(INDEX(getcds('CDO Bespoke'!$C310,Z$13,'CDO Bespoke'!$G310/10000,'CDO Bespoke'!I310,'CDO Bespoke'!$L286,'CDO Bespoke'!$C$13,'CDO Bespoke'!$C$14,'CDO Bespoke'!$C$15,'CDO Bespoke'!$C$8,,,TRUE,TRUE,FALSE,'CDO Bespoke'!$C$29:'CDO Bespoke'!$C$31,'CDO Bespoke'!$C$33),{5})),"")</f>
        <v/>
      </c>
      <c r="AA285" s="500" t="str" cm="1">
        <f t="array" aca="1" ref="AA285" ca="1">IF($V285&lt;&gt;"",-TRANSPOSE(INDEX(getcds('CDO Bespoke'!$C310,AA$13,'CDO Bespoke'!$G310/10000,'CDO Bespoke'!J310,'CDO Bespoke'!$L286,'CDO Bespoke'!$C$13,'CDO Bespoke'!$C$14,'CDO Bespoke'!$C$15,'CDO Bespoke'!$C$8,,,TRUE,TRUE,FALSE,'CDO Bespoke'!$C$29:'CDO Bespoke'!$C$31,'CDO Bespoke'!$C$33),{5})),"")</f>
        <v/>
      </c>
      <c r="AB285" s="479"/>
      <c r="AC285" s="515"/>
      <c r="AD285" s="516"/>
      <c r="AE285" s="516"/>
      <c r="AF285" s="516"/>
      <c r="AG285" s="516"/>
      <c r="AH285" s="516"/>
      <c r="AI285" s="516"/>
      <c r="AJ285" s="516"/>
      <c r="AK285" s="516"/>
      <c r="AL285" s="517"/>
      <c r="AM285" s="534"/>
    </row>
    <row r="286" spans="2:39" ht="12" thickBot="1">
      <c r="B286" s="557" t="s">
        <v>595</v>
      </c>
      <c r="C286" s="558" t="s">
        <v>66</v>
      </c>
      <c r="D286" s="558" t="s">
        <v>55</v>
      </c>
      <c r="E286" s="558" t="s">
        <v>660</v>
      </c>
      <c r="F286" s="558" t="s">
        <v>670</v>
      </c>
      <c r="G286" s="559">
        <v>0.01</v>
      </c>
      <c r="H286" s="559">
        <v>1.861E-3</v>
      </c>
      <c r="I286" s="560">
        <v>0.4</v>
      </c>
      <c r="J286" s="561">
        <v>88</v>
      </c>
      <c r="K286" s="274"/>
      <c r="L286" s="274"/>
      <c r="M286" s="487" t="str">
        <f ca="1">IF('CDO Bespoke'!O287&lt;&gt;"",'CDO Bespoke'!O287,"")</f>
        <v/>
      </c>
      <c r="N286" s="488" t="str">
        <f ca="1">IF(M286&lt;&gt;"",ABS(MIN(-0.75*('CDO Bespoke'!Q287)+'CDO Bespoke'!T287,0)),"")</f>
        <v/>
      </c>
      <c r="O286" s="488">
        <f t="shared" ca="1" si="16"/>
        <v>0</v>
      </c>
      <c r="P286" s="488">
        <f t="shared" ca="1" si="17"/>
        <v>0</v>
      </c>
      <c r="Q286" s="487" t="str">
        <f ca="1">IF('CDO Bespoke'!O287&lt;&gt;"",'CDO Bespoke'!O287,"")</f>
        <v/>
      </c>
      <c r="R286" s="488" t="str">
        <f ca="1">IF(Q286&lt;&gt;"",ABS(MIN(-0.75*('CDO Bespoke'!K287)+'CDO Bespoke'!T287,0)),"")</f>
        <v/>
      </c>
      <c r="S286" s="488">
        <f t="shared" ca="1" si="18"/>
        <v>0</v>
      </c>
      <c r="T286" s="492">
        <f t="shared" ca="1" si="19"/>
        <v>0</v>
      </c>
      <c r="U286" s="274"/>
      <c r="V286" s="497" t="str">
        <f ca="1">IF('CDO Bespoke'!C311&lt;&gt;"",'CDO Bespoke'!C311,"")</f>
        <v/>
      </c>
      <c r="W286" s="499" t="str" cm="1">
        <f t="array" aca="1" ref="W286" ca="1">IF($V286&lt;&gt;"",-TRANSPOSE(INDEX(getcds('CDO Bespoke'!$C311,W$13,'CDO Bespoke'!$G311/10000,'CDO Bespoke'!F311,'CDO Bespoke'!$L287,'CDO Bespoke'!$C$13,'CDO Bespoke'!$C$14,'CDO Bespoke'!$C$15,'CDO Bespoke'!$C$8,,,TRUE,TRUE,FALSE,'CDO Bespoke'!$C$29:'CDO Bespoke'!$C$31,'CDO Bespoke'!$C$33),{5})),"")</f>
        <v/>
      </c>
      <c r="X286" s="524" t="str" cm="1">
        <f t="array" aca="1" ref="X286" ca="1">IF($V286&lt;&gt;"",-TRANSPOSE(INDEX(getcds('CDO Bespoke'!$C311,X$13,'CDO Bespoke'!$G311/10000,'CDO Bespoke'!G311,'CDO Bespoke'!$L287,'CDO Bespoke'!$C$13,'CDO Bespoke'!$C$14,'CDO Bespoke'!$C$15,'CDO Bespoke'!$C$8,,,TRUE,TRUE,FALSE,'CDO Bespoke'!$C$29:'CDO Bespoke'!$C$31,'CDO Bespoke'!$C$33),{5})),"")</f>
        <v/>
      </c>
      <c r="Y286" s="524" t="str" cm="1">
        <f t="array" aca="1" ref="Y286" ca="1">IF($V286&lt;&gt;"",-TRANSPOSE(INDEX(getcds('CDO Bespoke'!$C311,Y$13,'CDO Bespoke'!$G311/10000,'CDO Bespoke'!H311,'CDO Bespoke'!$L287,'CDO Bespoke'!$C$13,'CDO Bespoke'!$C$14,'CDO Bespoke'!$C$15,'CDO Bespoke'!$C$8,,,TRUE,TRUE,FALSE,'CDO Bespoke'!$C$29:'CDO Bespoke'!$C$31,'CDO Bespoke'!$C$33),{5})),"")</f>
        <v/>
      </c>
      <c r="Z286" s="524" t="str" cm="1">
        <f t="array" aca="1" ref="Z286" ca="1">IF($V286&lt;&gt;"",-TRANSPOSE(INDEX(getcds('CDO Bespoke'!$C311,Z$13,'CDO Bespoke'!$G311/10000,'CDO Bespoke'!I311,'CDO Bespoke'!$L287,'CDO Bespoke'!$C$13,'CDO Bespoke'!$C$14,'CDO Bespoke'!$C$15,'CDO Bespoke'!$C$8,,,TRUE,TRUE,FALSE,'CDO Bespoke'!$C$29:'CDO Bespoke'!$C$31,'CDO Bespoke'!$C$33),{5})),"")</f>
        <v/>
      </c>
      <c r="AA286" s="500" t="str" cm="1">
        <f t="array" aca="1" ref="AA286" ca="1">IF($V286&lt;&gt;"",-TRANSPOSE(INDEX(getcds('CDO Bespoke'!$C311,AA$13,'CDO Bespoke'!$G311/10000,'CDO Bespoke'!J311,'CDO Bespoke'!$L287,'CDO Bespoke'!$C$13,'CDO Bespoke'!$C$14,'CDO Bespoke'!$C$15,'CDO Bespoke'!$C$8,,,TRUE,TRUE,FALSE,'CDO Bespoke'!$C$29:'CDO Bespoke'!$C$31,'CDO Bespoke'!$C$33),{5})),"")</f>
        <v/>
      </c>
      <c r="AB286" s="479"/>
      <c r="AC286" s="515"/>
      <c r="AD286" s="516"/>
      <c r="AE286" s="516"/>
      <c r="AF286" s="516"/>
      <c r="AG286" s="516"/>
      <c r="AH286" s="516"/>
      <c r="AI286" s="516"/>
      <c r="AJ286" s="516"/>
      <c r="AK286" s="516"/>
      <c r="AL286" s="517"/>
      <c r="AM286" s="534"/>
    </row>
    <row r="287" spans="2:39" ht="12" thickBot="1">
      <c r="B287" s="535" t="s">
        <v>595</v>
      </c>
      <c r="C287" s="536" t="s">
        <v>66</v>
      </c>
      <c r="D287" s="536" t="s">
        <v>57</v>
      </c>
      <c r="E287" s="536" t="s">
        <v>660</v>
      </c>
      <c r="F287" s="536" t="s">
        <v>670</v>
      </c>
      <c r="G287" s="543">
        <v>0.01</v>
      </c>
      <c r="H287" s="543">
        <v>3.0709999999999999E-3</v>
      </c>
      <c r="I287" s="545">
        <v>0.4</v>
      </c>
      <c r="J287" s="537">
        <v>88</v>
      </c>
      <c r="K287" s="274"/>
      <c r="L287" s="274"/>
      <c r="M287" s="487" t="str">
        <f ca="1">IF('CDO Bespoke'!O288&lt;&gt;"",'CDO Bespoke'!O288,"")</f>
        <v/>
      </c>
      <c r="N287" s="488" t="str">
        <f ca="1">IF(M287&lt;&gt;"",ABS(MIN(-0.75*('CDO Bespoke'!Q288)+'CDO Bespoke'!T288,0)),"")</f>
        <v/>
      </c>
      <c r="O287" s="488">
        <f t="shared" ca="1" si="16"/>
        <v>0</v>
      </c>
      <c r="P287" s="488">
        <f t="shared" ca="1" si="17"/>
        <v>0</v>
      </c>
      <c r="Q287" s="487" t="str">
        <f ca="1">IF('CDO Bespoke'!O288&lt;&gt;"",'CDO Bespoke'!O288,"")</f>
        <v/>
      </c>
      <c r="R287" s="488" t="str">
        <f ca="1">IF(Q287&lt;&gt;"",ABS(MIN(-0.75*('CDO Bespoke'!K288)+'CDO Bespoke'!T288,0)),"")</f>
        <v/>
      </c>
      <c r="S287" s="488">
        <f t="shared" ca="1" si="18"/>
        <v>0</v>
      </c>
      <c r="T287" s="492">
        <f t="shared" ca="1" si="19"/>
        <v>0</v>
      </c>
      <c r="U287" s="274"/>
      <c r="V287" s="497" t="str">
        <f ca="1">IF('CDO Bespoke'!C312&lt;&gt;"",'CDO Bespoke'!C312,"")</f>
        <v/>
      </c>
      <c r="W287" s="499" t="str" cm="1">
        <f t="array" aca="1" ref="W287" ca="1">IF($V287&lt;&gt;"",-TRANSPOSE(INDEX(getcds('CDO Bespoke'!$C312,W$13,'CDO Bespoke'!$G312/10000,'CDO Bespoke'!F312,'CDO Bespoke'!$L288,'CDO Bespoke'!$C$13,'CDO Bespoke'!$C$14,'CDO Bespoke'!$C$15,'CDO Bespoke'!$C$8,,,TRUE,TRUE,FALSE,'CDO Bespoke'!$C$29:'CDO Bespoke'!$C$31,'CDO Bespoke'!$C$33),{5})),"")</f>
        <v/>
      </c>
      <c r="X287" s="524" t="str" cm="1">
        <f t="array" aca="1" ref="X287" ca="1">IF($V287&lt;&gt;"",-TRANSPOSE(INDEX(getcds('CDO Bespoke'!$C312,X$13,'CDO Bespoke'!$G312/10000,'CDO Bespoke'!G312,'CDO Bespoke'!$L288,'CDO Bespoke'!$C$13,'CDO Bespoke'!$C$14,'CDO Bespoke'!$C$15,'CDO Bespoke'!$C$8,,,TRUE,TRUE,FALSE,'CDO Bespoke'!$C$29:'CDO Bespoke'!$C$31,'CDO Bespoke'!$C$33),{5})),"")</f>
        <v/>
      </c>
      <c r="Y287" s="524" t="str" cm="1">
        <f t="array" aca="1" ref="Y287" ca="1">IF($V287&lt;&gt;"",-TRANSPOSE(INDEX(getcds('CDO Bespoke'!$C312,Y$13,'CDO Bespoke'!$G312/10000,'CDO Bespoke'!H312,'CDO Bespoke'!$L288,'CDO Bespoke'!$C$13,'CDO Bespoke'!$C$14,'CDO Bespoke'!$C$15,'CDO Bespoke'!$C$8,,,TRUE,TRUE,FALSE,'CDO Bespoke'!$C$29:'CDO Bespoke'!$C$31,'CDO Bespoke'!$C$33),{5})),"")</f>
        <v/>
      </c>
      <c r="Z287" s="524" t="str" cm="1">
        <f t="array" aca="1" ref="Z287" ca="1">IF($V287&lt;&gt;"",-TRANSPOSE(INDEX(getcds('CDO Bespoke'!$C312,Z$13,'CDO Bespoke'!$G312/10000,'CDO Bespoke'!I312,'CDO Bespoke'!$L288,'CDO Bespoke'!$C$13,'CDO Bespoke'!$C$14,'CDO Bespoke'!$C$15,'CDO Bespoke'!$C$8,,,TRUE,TRUE,FALSE,'CDO Bespoke'!$C$29:'CDO Bespoke'!$C$31,'CDO Bespoke'!$C$33),{5})),"")</f>
        <v/>
      </c>
      <c r="AA287" s="500" t="str" cm="1">
        <f t="array" aca="1" ref="AA287" ca="1">IF($V287&lt;&gt;"",-TRANSPOSE(INDEX(getcds('CDO Bespoke'!$C312,AA$13,'CDO Bespoke'!$G312/10000,'CDO Bespoke'!J312,'CDO Bespoke'!$L288,'CDO Bespoke'!$C$13,'CDO Bespoke'!$C$14,'CDO Bespoke'!$C$15,'CDO Bespoke'!$C$8,,,TRUE,TRUE,FALSE,'CDO Bespoke'!$C$29:'CDO Bespoke'!$C$31,'CDO Bespoke'!$C$33),{5})),"")</f>
        <v/>
      </c>
      <c r="AB287" s="479"/>
      <c r="AC287" s="515"/>
      <c r="AD287" s="516"/>
      <c r="AE287" s="516"/>
      <c r="AF287" s="516"/>
      <c r="AG287" s="516"/>
      <c r="AH287" s="516"/>
      <c r="AI287" s="516"/>
      <c r="AJ287" s="516"/>
      <c r="AK287" s="516"/>
      <c r="AL287" s="517"/>
      <c r="AM287" s="534"/>
    </row>
    <row r="288" spans="2:39" ht="12" thickBot="1">
      <c r="B288" s="552" t="s">
        <v>595</v>
      </c>
      <c r="C288" s="553" t="s">
        <v>66</v>
      </c>
      <c r="D288" s="553" t="s">
        <v>59</v>
      </c>
      <c r="E288" s="553" t="s">
        <v>660</v>
      </c>
      <c r="F288" s="553" t="s">
        <v>670</v>
      </c>
      <c r="G288" s="554">
        <v>0.01</v>
      </c>
      <c r="H288" s="554">
        <v>4.4549999999999998E-3</v>
      </c>
      <c r="I288" s="555">
        <v>0.4</v>
      </c>
      <c r="J288" s="556">
        <v>88</v>
      </c>
      <c r="K288" s="274"/>
      <c r="L288" s="274"/>
      <c r="M288" s="487" t="str">
        <f ca="1">IF('CDO Bespoke'!O289&lt;&gt;"",'CDO Bespoke'!O289,"")</f>
        <v/>
      </c>
      <c r="N288" s="488" t="str">
        <f ca="1">IF(M288&lt;&gt;"",ABS(MIN(-0.75*('CDO Bespoke'!Q289)+'CDO Bespoke'!T289,0)),"")</f>
        <v/>
      </c>
      <c r="O288" s="488">
        <f t="shared" ca="1" si="16"/>
        <v>0</v>
      </c>
      <c r="P288" s="488">
        <f t="shared" ca="1" si="17"/>
        <v>0</v>
      </c>
      <c r="Q288" s="487" t="str">
        <f ca="1">IF('CDO Bespoke'!O289&lt;&gt;"",'CDO Bespoke'!O289,"")</f>
        <v/>
      </c>
      <c r="R288" s="488" t="str">
        <f ca="1">IF(Q288&lt;&gt;"",ABS(MIN(-0.75*('CDO Bespoke'!K289)+'CDO Bespoke'!T289,0)),"")</f>
        <v/>
      </c>
      <c r="S288" s="488">
        <f t="shared" ca="1" si="18"/>
        <v>0</v>
      </c>
      <c r="T288" s="492">
        <f t="shared" ca="1" si="19"/>
        <v>0</v>
      </c>
      <c r="U288" s="274"/>
      <c r="V288" s="497" t="str">
        <f ca="1">IF('CDO Bespoke'!C313&lt;&gt;"",'CDO Bespoke'!C313,"")</f>
        <v/>
      </c>
      <c r="W288" s="499" t="str" cm="1">
        <f t="array" aca="1" ref="W288" ca="1">IF($V288&lt;&gt;"",-TRANSPOSE(INDEX(getcds('CDO Bespoke'!$C313,W$13,'CDO Bespoke'!$G313/10000,'CDO Bespoke'!F313,'CDO Bespoke'!$L289,'CDO Bespoke'!$C$13,'CDO Bespoke'!$C$14,'CDO Bespoke'!$C$15,'CDO Bespoke'!$C$8,,,TRUE,TRUE,FALSE,'CDO Bespoke'!$C$29:'CDO Bespoke'!$C$31,'CDO Bespoke'!$C$33),{5})),"")</f>
        <v/>
      </c>
      <c r="X288" s="524" t="str" cm="1">
        <f t="array" aca="1" ref="X288" ca="1">IF($V288&lt;&gt;"",-TRANSPOSE(INDEX(getcds('CDO Bespoke'!$C313,X$13,'CDO Bespoke'!$G313/10000,'CDO Bespoke'!G313,'CDO Bespoke'!$L289,'CDO Bespoke'!$C$13,'CDO Bespoke'!$C$14,'CDO Bespoke'!$C$15,'CDO Bespoke'!$C$8,,,TRUE,TRUE,FALSE,'CDO Bespoke'!$C$29:'CDO Bespoke'!$C$31,'CDO Bespoke'!$C$33),{5})),"")</f>
        <v/>
      </c>
      <c r="Y288" s="524" t="str" cm="1">
        <f t="array" aca="1" ref="Y288" ca="1">IF($V288&lt;&gt;"",-TRANSPOSE(INDEX(getcds('CDO Bespoke'!$C313,Y$13,'CDO Bespoke'!$G313/10000,'CDO Bespoke'!H313,'CDO Bespoke'!$L289,'CDO Bespoke'!$C$13,'CDO Bespoke'!$C$14,'CDO Bespoke'!$C$15,'CDO Bespoke'!$C$8,,,TRUE,TRUE,FALSE,'CDO Bespoke'!$C$29:'CDO Bespoke'!$C$31,'CDO Bespoke'!$C$33),{5})),"")</f>
        <v/>
      </c>
      <c r="Z288" s="524" t="str" cm="1">
        <f t="array" aca="1" ref="Z288" ca="1">IF($V288&lt;&gt;"",-TRANSPOSE(INDEX(getcds('CDO Bespoke'!$C313,Z$13,'CDO Bespoke'!$G313/10000,'CDO Bespoke'!I313,'CDO Bespoke'!$L289,'CDO Bespoke'!$C$13,'CDO Bespoke'!$C$14,'CDO Bespoke'!$C$15,'CDO Bespoke'!$C$8,,,TRUE,TRUE,FALSE,'CDO Bespoke'!$C$29:'CDO Bespoke'!$C$31,'CDO Bespoke'!$C$33),{5})),"")</f>
        <v/>
      </c>
      <c r="AA288" s="500" t="str" cm="1">
        <f t="array" aca="1" ref="AA288" ca="1">IF($V288&lt;&gt;"",-TRANSPOSE(INDEX(getcds('CDO Bespoke'!$C313,AA$13,'CDO Bespoke'!$G313/10000,'CDO Bespoke'!J313,'CDO Bespoke'!$L289,'CDO Bespoke'!$C$13,'CDO Bespoke'!$C$14,'CDO Bespoke'!$C$15,'CDO Bespoke'!$C$8,,,TRUE,TRUE,FALSE,'CDO Bespoke'!$C$29:'CDO Bespoke'!$C$31,'CDO Bespoke'!$C$33),{5})),"")</f>
        <v/>
      </c>
      <c r="AB288" s="479"/>
      <c r="AC288" s="515"/>
      <c r="AD288" s="516"/>
      <c r="AE288" s="516"/>
      <c r="AF288" s="516"/>
      <c r="AG288" s="516"/>
      <c r="AH288" s="516"/>
      <c r="AI288" s="516"/>
      <c r="AJ288" s="516"/>
      <c r="AK288" s="516"/>
      <c r="AL288" s="517"/>
      <c r="AM288" s="534"/>
    </row>
    <row r="289" spans="2:39" ht="12" thickBot="1">
      <c r="B289" s="557" t="s">
        <v>603</v>
      </c>
      <c r="C289" s="558" t="s">
        <v>66</v>
      </c>
      <c r="D289" s="558" t="s">
        <v>55</v>
      </c>
      <c r="E289" s="558" t="s">
        <v>660</v>
      </c>
      <c r="F289" s="558" t="s">
        <v>669</v>
      </c>
      <c r="G289" s="559">
        <v>0.01</v>
      </c>
      <c r="H289" s="559">
        <v>3.8760000000000001E-3</v>
      </c>
      <c r="I289" s="560">
        <v>0.4</v>
      </c>
      <c r="J289" s="561">
        <v>89</v>
      </c>
      <c r="K289" s="274"/>
      <c r="L289" s="274"/>
      <c r="M289" s="487" t="str">
        <f ca="1">IF('CDO Bespoke'!O290&lt;&gt;"",'CDO Bespoke'!O290,"")</f>
        <v/>
      </c>
      <c r="N289" s="488" t="str">
        <f ca="1">IF(M289&lt;&gt;"",ABS(MIN(-0.75*('CDO Bespoke'!Q290)+'CDO Bespoke'!T290,0)),"")</f>
        <v/>
      </c>
      <c r="O289" s="488">
        <f t="shared" ca="1" si="16"/>
        <v>0</v>
      </c>
      <c r="P289" s="488">
        <f t="shared" ca="1" si="17"/>
        <v>0</v>
      </c>
      <c r="Q289" s="487" t="str">
        <f ca="1">IF('CDO Bespoke'!O290&lt;&gt;"",'CDO Bespoke'!O290,"")</f>
        <v/>
      </c>
      <c r="R289" s="488" t="str">
        <f ca="1">IF(Q289&lt;&gt;"",ABS(MIN(-0.75*('CDO Bespoke'!K290)+'CDO Bespoke'!T290,0)),"")</f>
        <v/>
      </c>
      <c r="S289" s="488">
        <f t="shared" ca="1" si="18"/>
        <v>0</v>
      </c>
      <c r="T289" s="492">
        <f t="shared" ca="1" si="19"/>
        <v>0</v>
      </c>
      <c r="U289" s="274"/>
      <c r="V289" s="497" t="str">
        <f ca="1">IF('CDO Bespoke'!C314&lt;&gt;"",'CDO Bespoke'!C314,"")</f>
        <v/>
      </c>
      <c r="W289" s="499" t="str" cm="1">
        <f t="array" aca="1" ref="W289" ca="1">IF($V289&lt;&gt;"",-TRANSPOSE(INDEX(getcds('CDO Bespoke'!$C314,W$13,'CDO Bespoke'!$G314/10000,'CDO Bespoke'!F314,'CDO Bespoke'!$L290,'CDO Bespoke'!$C$13,'CDO Bespoke'!$C$14,'CDO Bespoke'!$C$15,'CDO Bespoke'!$C$8,,,TRUE,TRUE,FALSE,'CDO Bespoke'!$C$29:'CDO Bespoke'!$C$31,'CDO Bespoke'!$C$33),{5})),"")</f>
        <v/>
      </c>
      <c r="X289" s="524" t="str" cm="1">
        <f t="array" aca="1" ref="X289" ca="1">IF($V289&lt;&gt;"",-TRANSPOSE(INDEX(getcds('CDO Bespoke'!$C314,X$13,'CDO Bespoke'!$G314/10000,'CDO Bespoke'!G314,'CDO Bespoke'!$L290,'CDO Bespoke'!$C$13,'CDO Bespoke'!$C$14,'CDO Bespoke'!$C$15,'CDO Bespoke'!$C$8,,,TRUE,TRUE,FALSE,'CDO Bespoke'!$C$29:'CDO Bespoke'!$C$31,'CDO Bespoke'!$C$33),{5})),"")</f>
        <v/>
      </c>
      <c r="Y289" s="524" t="str" cm="1">
        <f t="array" aca="1" ref="Y289" ca="1">IF($V289&lt;&gt;"",-TRANSPOSE(INDEX(getcds('CDO Bespoke'!$C314,Y$13,'CDO Bespoke'!$G314/10000,'CDO Bespoke'!H314,'CDO Bespoke'!$L290,'CDO Bespoke'!$C$13,'CDO Bespoke'!$C$14,'CDO Bespoke'!$C$15,'CDO Bespoke'!$C$8,,,TRUE,TRUE,FALSE,'CDO Bespoke'!$C$29:'CDO Bespoke'!$C$31,'CDO Bespoke'!$C$33),{5})),"")</f>
        <v/>
      </c>
      <c r="Z289" s="524" t="str" cm="1">
        <f t="array" aca="1" ref="Z289" ca="1">IF($V289&lt;&gt;"",-TRANSPOSE(INDEX(getcds('CDO Bespoke'!$C314,Z$13,'CDO Bespoke'!$G314/10000,'CDO Bespoke'!I314,'CDO Bespoke'!$L290,'CDO Bespoke'!$C$13,'CDO Bespoke'!$C$14,'CDO Bespoke'!$C$15,'CDO Bespoke'!$C$8,,,TRUE,TRUE,FALSE,'CDO Bespoke'!$C$29:'CDO Bespoke'!$C$31,'CDO Bespoke'!$C$33),{5})),"")</f>
        <v/>
      </c>
      <c r="AA289" s="500" t="str" cm="1">
        <f t="array" aca="1" ref="AA289" ca="1">IF($V289&lt;&gt;"",-TRANSPOSE(INDEX(getcds('CDO Bespoke'!$C314,AA$13,'CDO Bespoke'!$G314/10000,'CDO Bespoke'!J314,'CDO Bespoke'!$L290,'CDO Bespoke'!$C$13,'CDO Bespoke'!$C$14,'CDO Bespoke'!$C$15,'CDO Bespoke'!$C$8,,,TRUE,TRUE,FALSE,'CDO Bespoke'!$C$29:'CDO Bespoke'!$C$31,'CDO Bespoke'!$C$33),{5})),"")</f>
        <v/>
      </c>
      <c r="AB289" s="479"/>
      <c r="AC289" s="515"/>
      <c r="AD289" s="516"/>
      <c r="AE289" s="516"/>
      <c r="AF289" s="516"/>
      <c r="AG289" s="516"/>
      <c r="AH289" s="516"/>
      <c r="AI289" s="516"/>
      <c r="AJ289" s="516"/>
      <c r="AK289" s="516"/>
      <c r="AL289" s="517"/>
      <c r="AM289" s="534"/>
    </row>
    <row r="290" spans="2:39" ht="12" thickBot="1">
      <c r="B290" s="535" t="s">
        <v>603</v>
      </c>
      <c r="C290" s="536" t="s">
        <v>66</v>
      </c>
      <c r="D290" s="536" t="s">
        <v>57</v>
      </c>
      <c r="E290" s="536" t="s">
        <v>660</v>
      </c>
      <c r="F290" s="536" t="s">
        <v>669</v>
      </c>
      <c r="G290" s="543">
        <v>0.01</v>
      </c>
      <c r="H290" s="543">
        <v>6.6940000000000003E-3</v>
      </c>
      <c r="I290" s="545">
        <v>0.4</v>
      </c>
      <c r="J290" s="537">
        <v>89</v>
      </c>
      <c r="K290" s="274"/>
      <c r="L290" s="274"/>
      <c r="M290" s="487" t="str">
        <f ca="1">IF('CDO Bespoke'!O291&lt;&gt;"",'CDO Bespoke'!O291,"")</f>
        <v/>
      </c>
      <c r="N290" s="488" t="str">
        <f ca="1">IF(M290&lt;&gt;"",ABS(MIN(-0.75*('CDO Bespoke'!Q291)+'CDO Bespoke'!T291,0)),"")</f>
        <v/>
      </c>
      <c r="O290" s="488">
        <f t="shared" ca="1" si="16"/>
        <v>0</v>
      </c>
      <c r="P290" s="488">
        <f t="shared" ca="1" si="17"/>
        <v>0</v>
      </c>
      <c r="Q290" s="487" t="str">
        <f ca="1">IF('CDO Bespoke'!O291&lt;&gt;"",'CDO Bespoke'!O291,"")</f>
        <v/>
      </c>
      <c r="R290" s="488" t="str">
        <f ca="1">IF(Q290&lt;&gt;"",ABS(MIN(-0.75*('CDO Bespoke'!K291)+'CDO Bespoke'!T291,0)),"")</f>
        <v/>
      </c>
      <c r="S290" s="488">
        <f t="shared" ca="1" si="18"/>
        <v>0</v>
      </c>
      <c r="T290" s="492">
        <f t="shared" ca="1" si="19"/>
        <v>0</v>
      </c>
      <c r="U290" s="274"/>
      <c r="V290" s="497" t="str">
        <f ca="1">IF('CDO Bespoke'!C315&lt;&gt;"",'CDO Bespoke'!C315,"")</f>
        <v/>
      </c>
      <c r="W290" s="499" t="str" cm="1">
        <f t="array" aca="1" ref="W290" ca="1">IF($V290&lt;&gt;"",-TRANSPOSE(INDEX(getcds('CDO Bespoke'!$C315,W$13,'CDO Bespoke'!$G315/10000,'CDO Bespoke'!F315,'CDO Bespoke'!$L291,'CDO Bespoke'!$C$13,'CDO Bespoke'!$C$14,'CDO Bespoke'!$C$15,'CDO Bespoke'!$C$8,,,TRUE,TRUE,FALSE,'CDO Bespoke'!$C$29:'CDO Bespoke'!$C$31,'CDO Bespoke'!$C$33),{5})),"")</f>
        <v/>
      </c>
      <c r="X290" s="524" t="str" cm="1">
        <f t="array" aca="1" ref="X290" ca="1">IF($V290&lt;&gt;"",-TRANSPOSE(INDEX(getcds('CDO Bespoke'!$C315,X$13,'CDO Bespoke'!$G315/10000,'CDO Bespoke'!G315,'CDO Bespoke'!$L291,'CDO Bespoke'!$C$13,'CDO Bespoke'!$C$14,'CDO Bespoke'!$C$15,'CDO Bespoke'!$C$8,,,TRUE,TRUE,FALSE,'CDO Bespoke'!$C$29:'CDO Bespoke'!$C$31,'CDO Bespoke'!$C$33),{5})),"")</f>
        <v/>
      </c>
      <c r="Y290" s="524" t="str" cm="1">
        <f t="array" aca="1" ref="Y290" ca="1">IF($V290&lt;&gt;"",-TRANSPOSE(INDEX(getcds('CDO Bespoke'!$C315,Y$13,'CDO Bespoke'!$G315/10000,'CDO Bespoke'!H315,'CDO Bespoke'!$L291,'CDO Bespoke'!$C$13,'CDO Bespoke'!$C$14,'CDO Bespoke'!$C$15,'CDO Bespoke'!$C$8,,,TRUE,TRUE,FALSE,'CDO Bespoke'!$C$29:'CDO Bespoke'!$C$31,'CDO Bespoke'!$C$33),{5})),"")</f>
        <v/>
      </c>
      <c r="Z290" s="524" t="str" cm="1">
        <f t="array" aca="1" ref="Z290" ca="1">IF($V290&lt;&gt;"",-TRANSPOSE(INDEX(getcds('CDO Bespoke'!$C315,Z$13,'CDO Bespoke'!$G315/10000,'CDO Bespoke'!I315,'CDO Bespoke'!$L291,'CDO Bespoke'!$C$13,'CDO Bespoke'!$C$14,'CDO Bespoke'!$C$15,'CDO Bespoke'!$C$8,,,TRUE,TRUE,FALSE,'CDO Bespoke'!$C$29:'CDO Bespoke'!$C$31,'CDO Bespoke'!$C$33),{5})),"")</f>
        <v/>
      </c>
      <c r="AA290" s="500" t="str" cm="1">
        <f t="array" aca="1" ref="AA290" ca="1">IF($V290&lt;&gt;"",-TRANSPOSE(INDEX(getcds('CDO Bespoke'!$C315,AA$13,'CDO Bespoke'!$G315/10000,'CDO Bespoke'!J315,'CDO Bespoke'!$L291,'CDO Bespoke'!$C$13,'CDO Bespoke'!$C$14,'CDO Bespoke'!$C$15,'CDO Bespoke'!$C$8,,,TRUE,TRUE,FALSE,'CDO Bespoke'!$C$29:'CDO Bespoke'!$C$31,'CDO Bespoke'!$C$33),{5})),"")</f>
        <v/>
      </c>
      <c r="AB290" s="479"/>
      <c r="AC290" s="515"/>
      <c r="AD290" s="516"/>
      <c r="AE290" s="516"/>
      <c r="AF290" s="516"/>
      <c r="AG290" s="516"/>
      <c r="AH290" s="516"/>
      <c r="AI290" s="516"/>
      <c r="AJ290" s="516"/>
      <c r="AK290" s="516"/>
      <c r="AL290" s="517"/>
      <c r="AM290" s="534"/>
    </row>
    <row r="291" spans="2:39" ht="12" thickBot="1">
      <c r="B291" s="552" t="s">
        <v>603</v>
      </c>
      <c r="C291" s="553" t="s">
        <v>66</v>
      </c>
      <c r="D291" s="553" t="s">
        <v>59</v>
      </c>
      <c r="E291" s="553" t="s">
        <v>660</v>
      </c>
      <c r="F291" s="553" t="s">
        <v>669</v>
      </c>
      <c r="G291" s="554">
        <v>0.01</v>
      </c>
      <c r="H291" s="554">
        <v>1.0071999999999999E-2</v>
      </c>
      <c r="I291" s="555">
        <v>0.4</v>
      </c>
      <c r="J291" s="556">
        <v>89</v>
      </c>
      <c r="K291" s="274"/>
      <c r="L291" s="274"/>
      <c r="M291" s="487" t="str">
        <f ca="1">IF('CDO Bespoke'!O292&lt;&gt;"",'CDO Bespoke'!O292,"")</f>
        <v/>
      </c>
      <c r="N291" s="488" t="str">
        <f ca="1">IF(M291&lt;&gt;"",ABS(MIN(-0.75*('CDO Bespoke'!Q292)+'CDO Bespoke'!T292,0)),"")</f>
        <v/>
      </c>
      <c r="O291" s="488">
        <f t="shared" ca="1" si="16"/>
        <v>0</v>
      </c>
      <c r="P291" s="488">
        <f t="shared" ca="1" si="17"/>
        <v>0</v>
      </c>
      <c r="Q291" s="487" t="str">
        <f ca="1">IF('CDO Bespoke'!O292&lt;&gt;"",'CDO Bespoke'!O292,"")</f>
        <v/>
      </c>
      <c r="R291" s="488" t="str">
        <f ca="1">IF(Q291&lt;&gt;"",ABS(MIN(-0.75*('CDO Bespoke'!K292)+'CDO Bespoke'!T292,0)),"")</f>
        <v/>
      </c>
      <c r="S291" s="488">
        <f t="shared" ca="1" si="18"/>
        <v>0</v>
      </c>
      <c r="T291" s="492">
        <f t="shared" ca="1" si="19"/>
        <v>0</v>
      </c>
      <c r="U291" s="274"/>
      <c r="V291" s="497" t="str">
        <f ca="1">IF('CDO Bespoke'!C316&lt;&gt;"",'CDO Bespoke'!C316,"")</f>
        <v/>
      </c>
      <c r="W291" s="499" t="str" cm="1">
        <f t="array" aca="1" ref="W291" ca="1">IF($V291&lt;&gt;"",-TRANSPOSE(INDEX(getcds('CDO Bespoke'!$C316,W$13,'CDO Bespoke'!$G316/10000,'CDO Bespoke'!F316,'CDO Bespoke'!$L292,'CDO Bespoke'!$C$13,'CDO Bespoke'!$C$14,'CDO Bespoke'!$C$15,'CDO Bespoke'!$C$8,,,TRUE,TRUE,FALSE,'CDO Bespoke'!$C$29:'CDO Bespoke'!$C$31,'CDO Bespoke'!$C$33),{5})),"")</f>
        <v/>
      </c>
      <c r="X291" s="524" t="str" cm="1">
        <f t="array" aca="1" ref="X291" ca="1">IF($V291&lt;&gt;"",-TRANSPOSE(INDEX(getcds('CDO Bespoke'!$C316,X$13,'CDO Bespoke'!$G316/10000,'CDO Bespoke'!G316,'CDO Bespoke'!$L292,'CDO Bespoke'!$C$13,'CDO Bespoke'!$C$14,'CDO Bespoke'!$C$15,'CDO Bespoke'!$C$8,,,TRUE,TRUE,FALSE,'CDO Bespoke'!$C$29:'CDO Bespoke'!$C$31,'CDO Bespoke'!$C$33),{5})),"")</f>
        <v/>
      </c>
      <c r="Y291" s="524" t="str" cm="1">
        <f t="array" aca="1" ref="Y291" ca="1">IF($V291&lt;&gt;"",-TRANSPOSE(INDEX(getcds('CDO Bespoke'!$C316,Y$13,'CDO Bespoke'!$G316/10000,'CDO Bespoke'!H316,'CDO Bespoke'!$L292,'CDO Bespoke'!$C$13,'CDO Bespoke'!$C$14,'CDO Bespoke'!$C$15,'CDO Bespoke'!$C$8,,,TRUE,TRUE,FALSE,'CDO Bespoke'!$C$29:'CDO Bespoke'!$C$31,'CDO Bespoke'!$C$33),{5})),"")</f>
        <v/>
      </c>
      <c r="Z291" s="524" t="str" cm="1">
        <f t="array" aca="1" ref="Z291" ca="1">IF($V291&lt;&gt;"",-TRANSPOSE(INDEX(getcds('CDO Bespoke'!$C316,Z$13,'CDO Bespoke'!$G316/10000,'CDO Bespoke'!I316,'CDO Bespoke'!$L292,'CDO Bespoke'!$C$13,'CDO Bespoke'!$C$14,'CDO Bespoke'!$C$15,'CDO Bespoke'!$C$8,,,TRUE,TRUE,FALSE,'CDO Bespoke'!$C$29:'CDO Bespoke'!$C$31,'CDO Bespoke'!$C$33),{5})),"")</f>
        <v/>
      </c>
      <c r="AA291" s="500" t="str" cm="1">
        <f t="array" aca="1" ref="AA291" ca="1">IF($V291&lt;&gt;"",-TRANSPOSE(INDEX(getcds('CDO Bespoke'!$C316,AA$13,'CDO Bespoke'!$G316/10000,'CDO Bespoke'!J316,'CDO Bespoke'!$L292,'CDO Bespoke'!$C$13,'CDO Bespoke'!$C$14,'CDO Bespoke'!$C$15,'CDO Bespoke'!$C$8,,,TRUE,TRUE,FALSE,'CDO Bespoke'!$C$29:'CDO Bespoke'!$C$31,'CDO Bespoke'!$C$33),{5})),"")</f>
        <v/>
      </c>
      <c r="AB291" s="479"/>
      <c r="AC291" s="515"/>
      <c r="AD291" s="516"/>
      <c r="AE291" s="516"/>
      <c r="AF291" s="516"/>
      <c r="AG291" s="516"/>
      <c r="AH291" s="516"/>
      <c r="AI291" s="516"/>
      <c r="AJ291" s="516"/>
      <c r="AK291" s="516"/>
      <c r="AL291" s="517"/>
      <c r="AM291" s="534"/>
    </row>
    <row r="292" spans="2:39" ht="12" thickBot="1">
      <c r="B292" s="557" t="s">
        <v>596</v>
      </c>
      <c r="C292" s="558" t="s">
        <v>66</v>
      </c>
      <c r="D292" s="558" t="s">
        <v>55</v>
      </c>
      <c r="E292" s="558" t="s">
        <v>658</v>
      </c>
      <c r="F292" s="558" t="s">
        <v>669</v>
      </c>
      <c r="G292" s="559">
        <v>0.01</v>
      </c>
      <c r="H292" s="559">
        <v>1.3079999999999999E-3</v>
      </c>
      <c r="I292" s="560">
        <v>0.4</v>
      </c>
      <c r="J292" s="561">
        <v>90</v>
      </c>
      <c r="K292" s="274"/>
      <c r="L292" s="274"/>
      <c r="M292" s="487" t="str">
        <f ca="1">IF('CDO Bespoke'!O293&lt;&gt;"",'CDO Bespoke'!O293,"")</f>
        <v/>
      </c>
      <c r="N292" s="488" t="str">
        <f ca="1">IF(M292&lt;&gt;"",ABS(MIN(-0.75*('CDO Bespoke'!Q293)+'CDO Bespoke'!T293,0)),"")</f>
        <v/>
      </c>
      <c r="O292" s="488">
        <f t="shared" ca="1" si="16"/>
        <v>0</v>
      </c>
      <c r="P292" s="488">
        <f t="shared" ca="1" si="17"/>
        <v>0</v>
      </c>
      <c r="Q292" s="487" t="str">
        <f ca="1">IF('CDO Bespoke'!O293&lt;&gt;"",'CDO Bespoke'!O293,"")</f>
        <v/>
      </c>
      <c r="R292" s="488" t="str">
        <f ca="1">IF(Q292&lt;&gt;"",ABS(MIN(-0.75*('CDO Bespoke'!K293)+'CDO Bespoke'!T293,0)),"")</f>
        <v/>
      </c>
      <c r="S292" s="488">
        <f t="shared" ca="1" si="18"/>
        <v>0</v>
      </c>
      <c r="T292" s="492">
        <f t="shared" ca="1" si="19"/>
        <v>0</v>
      </c>
      <c r="U292" s="274"/>
      <c r="V292" s="497" t="str">
        <f ca="1">IF('CDO Bespoke'!C317&lt;&gt;"",'CDO Bespoke'!C317,"")</f>
        <v/>
      </c>
      <c r="W292" s="499" t="str" cm="1">
        <f t="array" aca="1" ref="W292" ca="1">IF($V292&lt;&gt;"",-TRANSPOSE(INDEX(getcds('CDO Bespoke'!$C317,W$13,'CDO Bespoke'!$G317/10000,'CDO Bespoke'!F317,'CDO Bespoke'!$L293,'CDO Bespoke'!$C$13,'CDO Bespoke'!$C$14,'CDO Bespoke'!$C$15,'CDO Bespoke'!$C$8,,,TRUE,TRUE,FALSE,'CDO Bespoke'!$C$29:'CDO Bespoke'!$C$31,'CDO Bespoke'!$C$33),{5})),"")</f>
        <v/>
      </c>
      <c r="X292" s="524" t="str" cm="1">
        <f t="array" aca="1" ref="X292" ca="1">IF($V292&lt;&gt;"",-TRANSPOSE(INDEX(getcds('CDO Bespoke'!$C317,X$13,'CDO Bespoke'!$G317/10000,'CDO Bespoke'!G317,'CDO Bespoke'!$L293,'CDO Bespoke'!$C$13,'CDO Bespoke'!$C$14,'CDO Bespoke'!$C$15,'CDO Bespoke'!$C$8,,,TRUE,TRUE,FALSE,'CDO Bespoke'!$C$29:'CDO Bespoke'!$C$31,'CDO Bespoke'!$C$33),{5})),"")</f>
        <v/>
      </c>
      <c r="Y292" s="524" t="str" cm="1">
        <f t="array" aca="1" ref="Y292" ca="1">IF($V292&lt;&gt;"",-TRANSPOSE(INDEX(getcds('CDO Bespoke'!$C317,Y$13,'CDO Bespoke'!$G317/10000,'CDO Bespoke'!H317,'CDO Bespoke'!$L293,'CDO Bespoke'!$C$13,'CDO Bespoke'!$C$14,'CDO Bespoke'!$C$15,'CDO Bespoke'!$C$8,,,TRUE,TRUE,FALSE,'CDO Bespoke'!$C$29:'CDO Bespoke'!$C$31,'CDO Bespoke'!$C$33),{5})),"")</f>
        <v/>
      </c>
      <c r="Z292" s="524" t="str" cm="1">
        <f t="array" aca="1" ref="Z292" ca="1">IF($V292&lt;&gt;"",-TRANSPOSE(INDEX(getcds('CDO Bespoke'!$C317,Z$13,'CDO Bespoke'!$G317/10000,'CDO Bespoke'!I317,'CDO Bespoke'!$L293,'CDO Bespoke'!$C$13,'CDO Bespoke'!$C$14,'CDO Bespoke'!$C$15,'CDO Bespoke'!$C$8,,,TRUE,TRUE,FALSE,'CDO Bespoke'!$C$29:'CDO Bespoke'!$C$31,'CDO Bespoke'!$C$33),{5})),"")</f>
        <v/>
      </c>
      <c r="AA292" s="500" t="str" cm="1">
        <f t="array" aca="1" ref="AA292" ca="1">IF($V292&lt;&gt;"",-TRANSPOSE(INDEX(getcds('CDO Bespoke'!$C317,AA$13,'CDO Bespoke'!$G317/10000,'CDO Bespoke'!J317,'CDO Bespoke'!$L293,'CDO Bespoke'!$C$13,'CDO Bespoke'!$C$14,'CDO Bespoke'!$C$15,'CDO Bespoke'!$C$8,,,TRUE,TRUE,FALSE,'CDO Bespoke'!$C$29:'CDO Bespoke'!$C$31,'CDO Bespoke'!$C$33),{5})),"")</f>
        <v/>
      </c>
      <c r="AB292" s="479"/>
      <c r="AC292" s="515"/>
      <c r="AD292" s="516"/>
      <c r="AE292" s="516"/>
      <c r="AF292" s="516"/>
      <c r="AG292" s="516"/>
      <c r="AH292" s="516"/>
      <c r="AI292" s="516"/>
      <c r="AJ292" s="516"/>
      <c r="AK292" s="516"/>
      <c r="AL292" s="517"/>
      <c r="AM292" s="534"/>
    </row>
    <row r="293" spans="2:39" ht="12" thickBot="1">
      <c r="B293" s="535" t="s">
        <v>596</v>
      </c>
      <c r="C293" s="536" t="s">
        <v>66</v>
      </c>
      <c r="D293" s="536" t="s">
        <v>57</v>
      </c>
      <c r="E293" s="536" t="s">
        <v>658</v>
      </c>
      <c r="F293" s="536" t="s">
        <v>669</v>
      </c>
      <c r="G293" s="543">
        <v>0.01</v>
      </c>
      <c r="H293" s="543">
        <v>2.3080000000000002E-3</v>
      </c>
      <c r="I293" s="545">
        <v>0.4</v>
      </c>
      <c r="J293" s="537">
        <v>90</v>
      </c>
      <c r="K293" s="274"/>
      <c r="L293" s="274"/>
      <c r="M293" s="487" t="str">
        <f ca="1">IF('CDO Bespoke'!O294&lt;&gt;"",'CDO Bespoke'!O294,"")</f>
        <v/>
      </c>
      <c r="N293" s="488" t="str">
        <f ca="1">IF(M293&lt;&gt;"",ABS(MIN(-0.75*('CDO Bespoke'!Q294)+'CDO Bespoke'!T294,0)),"")</f>
        <v/>
      </c>
      <c r="O293" s="488">
        <f t="shared" ca="1" si="16"/>
        <v>0</v>
      </c>
      <c r="P293" s="488">
        <f t="shared" ca="1" si="17"/>
        <v>0</v>
      </c>
      <c r="Q293" s="487" t="str">
        <f ca="1">IF('CDO Bespoke'!O294&lt;&gt;"",'CDO Bespoke'!O294,"")</f>
        <v/>
      </c>
      <c r="R293" s="488" t="str">
        <f ca="1">IF(Q293&lt;&gt;"",ABS(MIN(-0.75*('CDO Bespoke'!K294)+'CDO Bespoke'!T294,0)),"")</f>
        <v/>
      </c>
      <c r="S293" s="488">
        <f t="shared" ca="1" si="18"/>
        <v>0</v>
      </c>
      <c r="T293" s="492">
        <f t="shared" ca="1" si="19"/>
        <v>0</v>
      </c>
      <c r="U293" s="274"/>
      <c r="V293" s="497" t="str">
        <f ca="1">IF('CDO Bespoke'!C318&lt;&gt;"",'CDO Bespoke'!C318,"")</f>
        <v/>
      </c>
      <c r="W293" s="499" t="str" cm="1">
        <f t="array" aca="1" ref="W293" ca="1">IF($V293&lt;&gt;"",-TRANSPOSE(INDEX(getcds('CDO Bespoke'!$C318,W$13,'CDO Bespoke'!$G318/10000,'CDO Bespoke'!F318,'CDO Bespoke'!$L294,'CDO Bespoke'!$C$13,'CDO Bespoke'!$C$14,'CDO Bespoke'!$C$15,'CDO Bespoke'!$C$8,,,TRUE,TRUE,FALSE,'CDO Bespoke'!$C$29:'CDO Bespoke'!$C$31,'CDO Bespoke'!$C$33),{5})),"")</f>
        <v/>
      </c>
      <c r="X293" s="524" t="str" cm="1">
        <f t="array" aca="1" ref="X293" ca="1">IF($V293&lt;&gt;"",-TRANSPOSE(INDEX(getcds('CDO Bespoke'!$C318,X$13,'CDO Bespoke'!$G318/10000,'CDO Bespoke'!G318,'CDO Bespoke'!$L294,'CDO Bespoke'!$C$13,'CDO Bespoke'!$C$14,'CDO Bespoke'!$C$15,'CDO Bespoke'!$C$8,,,TRUE,TRUE,FALSE,'CDO Bespoke'!$C$29:'CDO Bespoke'!$C$31,'CDO Bespoke'!$C$33),{5})),"")</f>
        <v/>
      </c>
      <c r="Y293" s="524" t="str" cm="1">
        <f t="array" aca="1" ref="Y293" ca="1">IF($V293&lt;&gt;"",-TRANSPOSE(INDEX(getcds('CDO Bespoke'!$C318,Y$13,'CDO Bespoke'!$G318/10000,'CDO Bespoke'!H318,'CDO Bespoke'!$L294,'CDO Bespoke'!$C$13,'CDO Bespoke'!$C$14,'CDO Bespoke'!$C$15,'CDO Bespoke'!$C$8,,,TRUE,TRUE,FALSE,'CDO Bespoke'!$C$29:'CDO Bespoke'!$C$31,'CDO Bespoke'!$C$33),{5})),"")</f>
        <v/>
      </c>
      <c r="Z293" s="524" t="str" cm="1">
        <f t="array" aca="1" ref="Z293" ca="1">IF($V293&lt;&gt;"",-TRANSPOSE(INDEX(getcds('CDO Bespoke'!$C318,Z$13,'CDO Bespoke'!$G318/10000,'CDO Bespoke'!I318,'CDO Bespoke'!$L294,'CDO Bespoke'!$C$13,'CDO Bespoke'!$C$14,'CDO Bespoke'!$C$15,'CDO Bespoke'!$C$8,,,TRUE,TRUE,FALSE,'CDO Bespoke'!$C$29:'CDO Bespoke'!$C$31,'CDO Bespoke'!$C$33),{5})),"")</f>
        <v/>
      </c>
      <c r="AA293" s="500" t="str" cm="1">
        <f t="array" aca="1" ref="AA293" ca="1">IF($V293&lt;&gt;"",-TRANSPOSE(INDEX(getcds('CDO Bespoke'!$C318,AA$13,'CDO Bespoke'!$G318/10000,'CDO Bespoke'!J318,'CDO Bespoke'!$L294,'CDO Bespoke'!$C$13,'CDO Bespoke'!$C$14,'CDO Bespoke'!$C$15,'CDO Bespoke'!$C$8,,,TRUE,TRUE,FALSE,'CDO Bespoke'!$C$29:'CDO Bespoke'!$C$31,'CDO Bespoke'!$C$33),{5})),"")</f>
        <v/>
      </c>
      <c r="AB293" s="479"/>
      <c r="AC293" s="515"/>
      <c r="AD293" s="516"/>
      <c r="AE293" s="516"/>
      <c r="AF293" s="516"/>
      <c r="AG293" s="516"/>
      <c r="AH293" s="516"/>
      <c r="AI293" s="516"/>
      <c r="AJ293" s="516"/>
      <c r="AK293" s="516"/>
      <c r="AL293" s="517"/>
      <c r="AM293" s="534"/>
    </row>
    <row r="294" spans="2:39" ht="12" thickBot="1">
      <c r="B294" s="552" t="s">
        <v>596</v>
      </c>
      <c r="C294" s="553" t="s">
        <v>66</v>
      </c>
      <c r="D294" s="553" t="s">
        <v>59</v>
      </c>
      <c r="E294" s="553" t="s">
        <v>658</v>
      </c>
      <c r="F294" s="553" t="s">
        <v>669</v>
      </c>
      <c r="G294" s="554">
        <v>0.01</v>
      </c>
      <c r="H294" s="554">
        <v>3.643E-3</v>
      </c>
      <c r="I294" s="555">
        <v>0.4</v>
      </c>
      <c r="J294" s="556">
        <v>90</v>
      </c>
      <c r="K294" s="274"/>
      <c r="L294" s="274"/>
      <c r="M294" s="487" t="str">
        <f ca="1">IF('CDO Bespoke'!O295&lt;&gt;"",'CDO Bespoke'!O295,"")</f>
        <v/>
      </c>
      <c r="N294" s="488" t="str">
        <f ca="1">IF(M294&lt;&gt;"",ABS(MIN(-0.75*('CDO Bespoke'!Q295)+'CDO Bespoke'!T295,0)),"")</f>
        <v/>
      </c>
      <c r="O294" s="488">
        <f t="shared" ca="1" si="16"/>
        <v>0</v>
      </c>
      <c r="P294" s="488">
        <f t="shared" ca="1" si="17"/>
        <v>0</v>
      </c>
      <c r="Q294" s="487" t="str">
        <f ca="1">IF('CDO Bespoke'!O295&lt;&gt;"",'CDO Bespoke'!O295,"")</f>
        <v/>
      </c>
      <c r="R294" s="488" t="str">
        <f ca="1">IF(Q294&lt;&gt;"",ABS(MIN(-0.75*('CDO Bespoke'!K295)+'CDO Bespoke'!T295,0)),"")</f>
        <v/>
      </c>
      <c r="S294" s="488">
        <f t="shared" ca="1" si="18"/>
        <v>0</v>
      </c>
      <c r="T294" s="492">
        <f t="shared" ca="1" si="19"/>
        <v>0</v>
      </c>
      <c r="U294" s="274"/>
      <c r="V294" s="497" t="str">
        <f ca="1">IF('CDO Bespoke'!C319&lt;&gt;"",'CDO Bespoke'!C319,"")</f>
        <v/>
      </c>
      <c r="W294" s="499" t="str" cm="1">
        <f t="array" aca="1" ref="W294" ca="1">IF($V294&lt;&gt;"",-TRANSPOSE(INDEX(getcds('CDO Bespoke'!$C319,W$13,'CDO Bespoke'!$G319/10000,'CDO Bespoke'!F319,'CDO Bespoke'!$L295,'CDO Bespoke'!$C$13,'CDO Bespoke'!$C$14,'CDO Bespoke'!$C$15,'CDO Bespoke'!$C$8,,,TRUE,TRUE,FALSE,'CDO Bespoke'!$C$29:'CDO Bespoke'!$C$31,'CDO Bespoke'!$C$33),{5})),"")</f>
        <v/>
      </c>
      <c r="X294" s="524" t="str" cm="1">
        <f t="array" aca="1" ref="X294" ca="1">IF($V294&lt;&gt;"",-TRANSPOSE(INDEX(getcds('CDO Bespoke'!$C319,X$13,'CDO Bespoke'!$G319/10000,'CDO Bespoke'!G319,'CDO Bespoke'!$L295,'CDO Bespoke'!$C$13,'CDO Bespoke'!$C$14,'CDO Bespoke'!$C$15,'CDO Bespoke'!$C$8,,,TRUE,TRUE,FALSE,'CDO Bespoke'!$C$29:'CDO Bespoke'!$C$31,'CDO Bespoke'!$C$33),{5})),"")</f>
        <v/>
      </c>
      <c r="Y294" s="524" t="str" cm="1">
        <f t="array" aca="1" ref="Y294" ca="1">IF($V294&lt;&gt;"",-TRANSPOSE(INDEX(getcds('CDO Bespoke'!$C319,Y$13,'CDO Bespoke'!$G319/10000,'CDO Bespoke'!H319,'CDO Bespoke'!$L295,'CDO Bespoke'!$C$13,'CDO Bespoke'!$C$14,'CDO Bespoke'!$C$15,'CDO Bespoke'!$C$8,,,TRUE,TRUE,FALSE,'CDO Bespoke'!$C$29:'CDO Bespoke'!$C$31,'CDO Bespoke'!$C$33),{5})),"")</f>
        <v/>
      </c>
      <c r="Z294" s="524" t="str" cm="1">
        <f t="array" aca="1" ref="Z294" ca="1">IF($V294&lt;&gt;"",-TRANSPOSE(INDEX(getcds('CDO Bespoke'!$C319,Z$13,'CDO Bespoke'!$G319/10000,'CDO Bespoke'!I319,'CDO Bespoke'!$L295,'CDO Bespoke'!$C$13,'CDO Bespoke'!$C$14,'CDO Bespoke'!$C$15,'CDO Bespoke'!$C$8,,,TRUE,TRUE,FALSE,'CDO Bespoke'!$C$29:'CDO Bespoke'!$C$31,'CDO Bespoke'!$C$33),{5})),"")</f>
        <v/>
      </c>
      <c r="AA294" s="500" t="str" cm="1">
        <f t="array" aca="1" ref="AA294" ca="1">IF($V294&lt;&gt;"",-TRANSPOSE(INDEX(getcds('CDO Bespoke'!$C319,AA$13,'CDO Bespoke'!$G319/10000,'CDO Bespoke'!J319,'CDO Bespoke'!$L295,'CDO Bespoke'!$C$13,'CDO Bespoke'!$C$14,'CDO Bespoke'!$C$15,'CDO Bespoke'!$C$8,,,TRUE,TRUE,FALSE,'CDO Bespoke'!$C$29:'CDO Bespoke'!$C$31,'CDO Bespoke'!$C$33),{5})),"")</f>
        <v/>
      </c>
      <c r="AB294" s="479"/>
      <c r="AC294" s="515"/>
      <c r="AD294" s="516"/>
      <c r="AE294" s="516"/>
      <c r="AF294" s="516"/>
      <c r="AG294" s="516"/>
      <c r="AH294" s="516"/>
      <c r="AI294" s="516"/>
      <c r="AJ294" s="516"/>
      <c r="AK294" s="516"/>
      <c r="AL294" s="517"/>
      <c r="AM294" s="534"/>
    </row>
    <row r="295" spans="2:39" ht="12" thickBot="1">
      <c r="B295" s="557" t="s">
        <v>604</v>
      </c>
      <c r="C295" s="558" t="s">
        <v>66</v>
      </c>
      <c r="D295" s="558" t="s">
        <v>55</v>
      </c>
      <c r="E295" s="558" t="s">
        <v>660</v>
      </c>
      <c r="F295" s="558" t="s">
        <v>669</v>
      </c>
      <c r="G295" s="559">
        <v>0.01</v>
      </c>
      <c r="H295" s="559">
        <v>1.5479999999999999E-3</v>
      </c>
      <c r="I295" s="560">
        <v>0.4</v>
      </c>
      <c r="J295" s="561">
        <v>91</v>
      </c>
      <c r="K295" s="274"/>
      <c r="L295" s="274"/>
      <c r="M295" s="487" t="str">
        <f ca="1">IF('CDO Bespoke'!O296&lt;&gt;"",'CDO Bespoke'!O296,"")</f>
        <v/>
      </c>
      <c r="N295" s="488" t="str">
        <f ca="1">IF(M295&lt;&gt;"",ABS(MIN(-0.75*('CDO Bespoke'!Q296)+'CDO Bespoke'!T296,0)),"")</f>
        <v/>
      </c>
      <c r="O295" s="488">
        <f t="shared" ca="1" si="16"/>
        <v>0</v>
      </c>
      <c r="P295" s="488">
        <f t="shared" ca="1" si="17"/>
        <v>0</v>
      </c>
      <c r="Q295" s="487" t="str">
        <f ca="1">IF('CDO Bespoke'!O296&lt;&gt;"",'CDO Bespoke'!O296,"")</f>
        <v/>
      </c>
      <c r="R295" s="488" t="str">
        <f ca="1">IF(Q295&lt;&gt;"",ABS(MIN(-0.75*('CDO Bespoke'!K296)+'CDO Bespoke'!T296,0)),"")</f>
        <v/>
      </c>
      <c r="S295" s="488">
        <f t="shared" ca="1" si="18"/>
        <v>0</v>
      </c>
      <c r="T295" s="492">
        <f t="shared" ca="1" si="19"/>
        <v>0</v>
      </c>
      <c r="U295" s="274"/>
      <c r="V295" s="497" t="str">
        <f ca="1">IF('CDO Bespoke'!C320&lt;&gt;"",'CDO Bespoke'!C320,"")</f>
        <v/>
      </c>
      <c r="W295" s="499" t="str" cm="1">
        <f t="array" aca="1" ref="W295" ca="1">IF($V295&lt;&gt;"",-TRANSPOSE(INDEX(getcds('CDO Bespoke'!$C320,W$13,'CDO Bespoke'!$G320/10000,'CDO Bespoke'!F320,'CDO Bespoke'!$L296,'CDO Bespoke'!$C$13,'CDO Bespoke'!$C$14,'CDO Bespoke'!$C$15,'CDO Bespoke'!$C$8,,,TRUE,TRUE,FALSE,'CDO Bespoke'!$C$29:'CDO Bespoke'!$C$31,'CDO Bespoke'!$C$33),{5})),"")</f>
        <v/>
      </c>
      <c r="X295" s="524" t="str" cm="1">
        <f t="array" aca="1" ref="X295" ca="1">IF($V295&lt;&gt;"",-TRANSPOSE(INDEX(getcds('CDO Bespoke'!$C320,X$13,'CDO Bespoke'!$G320/10000,'CDO Bespoke'!G320,'CDO Bespoke'!$L296,'CDO Bespoke'!$C$13,'CDO Bespoke'!$C$14,'CDO Bespoke'!$C$15,'CDO Bespoke'!$C$8,,,TRUE,TRUE,FALSE,'CDO Bespoke'!$C$29:'CDO Bespoke'!$C$31,'CDO Bespoke'!$C$33),{5})),"")</f>
        <v/>
      </c>
      <c r="Y295" s="524" t="str" cm="1">
        <f t="array" aca="1" ref="Y295" ca="1">IF($V295&lt;&gt;"",-TRANSPOSE(INDEX(getcds('CDO Bespoke'!$C320,Y$13,'CDO Bespoke'!$G320/10000,'CDO Bespoke'!H320,'CDO Bespoke'!$L296,'CDO Bespoke'!$C$13,'CDO Bespoke'!$C$14,'CDO Bespoke'!$C$15,'CDO Bespoke'!$C$8,,,TRUE,TRUE,FALSE,'CDO Bespoke'!$C$29:'CDO Bespoke'!$C$31,'CDO Bespoke'!$C$33),{5})),"")</f>
        <v/>
      </c>
      <c r="Z295" s="524" t="str" cm="1">
        <f t="array" aca="1" ref="Z295" ca="1">IF($V295&lt;&gt;"",-TRANSPOSE(INDEX(getcds('CDO Bespoke'!$C320,Z$13,'CDO Bespoke'!$G320/10000,'CDO Bespoke'!I320,'CDO Bespoke'!$L296,'CDO Bespoke'!$C$13,'CDO Bespoke'!$C$14,'CDO Bespoke'!$C$15,'CDO Bespoke'!$C$8,,,TRUE,TRUE,FALSE,'CDO Bespoke'!$C$29:'CDO Bespoke'!$C$31,'CDO Bespoke'!$C$33),{5})),"")</f>
        <v/>
      </c>
      <c r="AA295" s="500" t="str" cm="1">
        <f t="array" aca="1" ref="AA295" ca="1">IF($V295&lt;&gt;"",-TRANSPOSE(INDEX(getcds('CDO Bespoke'!$C320,AA$13,'CDO Bespoke'!$G320/10000,'CDO Bespoke'!J320,'CDO Bespoke'!$L296,'CDO Bespoke'!$C$13,'CDO Bespoke'!$C$14,'CDO Bespoke'!$C$15,'CDO Bespoke'!$C$8,,,TRUE,TRUE,FALSE,'CDO Bespoke'!$C$29:'CDO Bespoke'!$C$31,'CDO Bespoke'!$C$33),{5})),"")</f>
        <v/>
      </c>
      <c r="AB295" s="479"/>
      <c r="AC295" s="515"/>
      <c r="AD295" s="516"/>
      <c r="AE295" s="516"/>
      <c r="AF295" s="516"/>
      <c r="AG295" s="516"/>
      <c r="AH295" s="516"/>
      <c r="AI295" s="516"/>
      <c r="AJ295" s="516"/>
      <c r="AK295" s="516"/>
      <c r="AL295" s="517"/>
      <c r="AM295" s="534"/>
    </row>
    <row r="296" spans="2:39" ht="12" thickBot="1">
      <c r="B296" s="535" t="s">
        <v>604</v>
      </c>
      <c r="C296" s="536" t="s">
        <v>66</v>
      </c>
      <c r="D296" s="536" t="s">
        <v>57</v>
      </c>
      <c r="E296" s="536" t="s">
        <v>660</v>
      </c>
      <c r="F296" s="536" t="s">
        <v>669</v>
      </c>
      <c r="G296" s="543">
        <v>0.01</v>
      </c>
      <c r="H296" s="543">
        <v>2.565E-3</v>
      </c>
      <c r="I296" s="545">
        <v>0.4</v>
      </c>
      <c r="J296" s="537">
        <v>91</v>
      </c>
      <c r="K296" s="274"/>
      <c r="L296" s="274"/>
      <c r="M296" s="487" t="str">
        <f ca="1">IF('CDO Bespoke'!O297&lt;&gt;"",'CDO Bespoke'!O297,"")</f>
        <v/>
      </c>
      <c r="N296" s="488" t="str">
        <f ca="1">IF(M296&lt;&gt;"",ABS(MIN(-0.75*('CDO Bespoke'!Q297)+'CDO Bespoke'!T297,0)),"")</f>
        <v/>
      </c>
      <c r="O296" s="488">
        <f t="shared" ca="1" si="16"/>
        <v>0</v>
      </c>
      <c r="P296" s="488">
        <f t="shared" ca="1" si="17"/>
        <v>0</v>
      </c>
      <c r="Q296" s="487" t="str">
        <f ca="1">IF('CDO Bespoke'!O297&lt;&gt;"",'CDO Bespoke'!O297,"")</f>
        <v/>
      </c>
      <c r="R296" s="488" t="str">
        <f ca="1">IF(Q296&lt;&gt;"",ABS(MIN(-0.75*('CDO Bespoke'!K297)+'CDO Bespoke'!T297,0)),"")</f>
        <v/>
      </c>
      <c r="S296" s="488">
        <f t="shared" ca="1" si="18"/>
        <v>0</v>
      </c>
      <c r="T296" s="492">
        <f t="shared" ca="1" si="19"/>
        <v>0</v>
      </c>
      <c r="U296" s="274"/>
      <c r="V296" s="497" t="str">
        <f ca="1">IF('CDO Bespoke'!C321&lt;&gt;"",'CDO Bespoke'!C321,"")</f>
        <v/>
      </c>
      <c r="W296" s="499" t="str" cm="1">
        <f t="array" aca="1" ref="W296" ca="1">IF($V296&lt;&gt;"",-TRANSPOSE(INDEX(getcds('CDO Bespoke'!$C321,W$13,'CDO Bespoke'!$G321/10000,'CDO Bespoke'!F321,'CDO Bespoke'!$L297,'CDO Bespoke'!$C$13,'CDO Bespoke'!$C$14,'CDO Bespoke'!$C$15,'CDO Bespoke'!$C$8,,,TRUE,TRUE,FALSE,'CDO Bespoke'!$C$29:'CDO Bespoke'!$C$31,'CDO Bespoke'!$C$33),{5})),"")</f>
        <v/>
      </c>
      <c r="X296" s="524" t="str" cm="1">
        <f t="array" aca="1" ref="X296" ca="1">IF($V296&lt;&gt;"",-TRANSPOSE(INDEX(getcds('CDO Bespoke'!$C321,X$13,'CDO Bespoke'!$G321/10000,'CDO Bespoke'!G321,'CDO Bespoke'!$L297,'CDO Bespoke'!$C$13,'CDO Bespoke'!$C$14,'CDO Bespoke'!$C$15,'CDO Bespoke'!$C$8,,,TRUE,TRUE,FALSE,'CDO Bespoke'!$C$29:'CDO Bespoke'!$C$31,'CDO Bespoke'!$C$33),{5})),"")</f>
        <v/>
      </c>
      <c r="Y296" s="524" t="str" cm="1">
        <f t="array" aca="1" ref="Y296" ca="1">IF($V296&lt;&gt;"",-TRANSPOSE(INDEX(getcds('CDO Bespoke'!$C321,Y$13,'CDO Bespoke'!$G321/10000,'CDO Bespoke'!H321,'CDO Bespoke'!$L297,'CDO Bespoke'!$C$13,'CDO Bespoke'!$C$14,'CDO Bespoke'!$C$15,'CDO Bespoke'!$C$8,,,TRUE,TRUE,FALSE,'CDO Bespoke'!$C$29:'CDO Bespoke'!$C$31,'CDO Bespoke'!$C$33),{5})),"")</f>
        <v/>
      </c>
      <c r="Z296" s="524" t="str" cm="1">
        <f t="array" aca="1" ref="Z296" ca="1">IF($V296&lt;&gt;"",-TRANSPOSE(INDEX(getcds('CDO Bespoke'!$C321,Z$13,'CDO Bespoke'!$G321/10000,'CDO Bespoke'!I321,'CDO Bespoke'!$L297,'CDO Bespoke'!$C$13,'CDO Bespoke'!$C$14,'CDO Bespoke'!$C$15,'CDO Bespoke'!$C$8,,,TRUE,TRUE,FALSE,'CDO Bespoke'!$C$29:'CDO Bespoke'!$C$31,'CDO Bespoke'!$C$33),{5})),"")</f>
        <v/>
      </c>
      <c r="AA296" s="500" t="str" cm="1">
        <f t="array" aca="1" ref="AA296" ca="1">IF($V296&lt;&gt;"",-TRANSPOSE(INDEX(getcds('CDO Bespoke'!$C321,AA$13,'CDO Bespoke'!$G321/10000,'CDO Bespoke'!J321,'CDO Bespoke'!$L297,'CDO Bespoke'!$C$13,'CDO Bespoke'!$C$14,'CDO Bespoke'!$C$15,'CDO Bespoke'!$C$8,,,TRUE,TRUE,FALSE,'CDO Bespoke'!$C$29:'CDO Bespoke'!$C$31,'CDO Bespoke'!$C$33),{5})),"")</f>
        <v/>
      </c>
      <c r="AB296" s="479"/>
      <c r="AC296" s="515"/>
      <c r="AD296" s="516"/>
      <c r="AE296" s="516"/>
      <c r="AF296" s="516"/>
      <c r="AG296" s="516"/>
      <c r="AH296" s="516"/>
      <c r="AI296" s="516"/>
      <c r="AJ296" s="516"/>
      <c r="AK296" s="516"/>
      <c r="AL296" s="517"/>
      <c r="AM296" s="534"/>
    </row>
    <row r="297" spans="2:39" ht="12" thickBot="1">
      <c r="B297" s="552" t="s">
        <v>604</v>
      </c>
      <c r="C297" s="553" t="s">
        <v>66</v>
      </c>
      <c r="D297" s="553" t="s">
        <v>59</v>
      </c>
      <c r="E297" s="553" t="s">
        <v>660</v>
      </c>
      <c r="F297" s="553" t="s">
        <v>669</v>
      </c>
      <c r="G297" s="554">
        <v>0.01</v>
      </c>
      <c r="H297" s="554">
        <v>3.594E-3</v>
      </c>
      <c r="I297" s="555">
        <v>0.4</v>
      </c>
      <c r="J297" s="556">
        <v>91</v>
      </c>
      <c r="K297" s="274"/>
      <c r="L297" s="274"/>
      <c r="M297" s="487" t="str">
        <f ca="1">IF('CDO Bespoke'!O298&lt;&gt;"",'CDO Bespoke'!O298,"")</f>
        <v/>
      </c>
      <c r="N297" s="488" t="str">
        <f ca="1">IF(M297&lt;&gt;"",ABS(MIN(-0.75*('CDO Bespoke'!Q298)+'CDO Bespoke'!T298,0)),"")</f>
        <v/>
      </c>
      <c r="O297" s="488">
        <f t="shared" ca="1" si="16"/>
        <v>0</v>
      </c>
      <c r="P297" s="488">
        <f t="shared" ca="1" si="17"/>
        <v>0</v>
      </c>
      <c r="Q297" s="487" t="str">
        <f ca="1">IF('CDO Bespoke'!O298&lt;&gt;"",'CDO Bespoke'!O298,"")</f>
        <v/>
      </c>
      <c r="R297" s="488" t="str">
        <f ca="1">IF(Q297&lt;&gt;"",ABS(MIN(-0.75*('CDO Bespoke'!K298)+'CDO Bespoke'!T298,0)),"")</f>
        <v/>
      </c>
      <c r="S297" s="488">
        <f t="shared" ca="1" si="18"/>
        <v>0</v>
      </c>
      <c r="T297" s="492">
        <f t="shared" ca="1" si="19"/>
        <v>0</v>
      </c>
      <c r="U297" s="274"/>
      <c r="V297" s="497" t="str">
        <f ca="1">IF('CDO Bespoke'!C322&lt;&gt;"",'CDO Bespoke'!C322,"")</f>
        <v/>
      </c>
      <c r="W297" s="499" t="str" cm="1">
        <f t="array" aca="1" ref="W297" ca="1">IF($V297&lt;&gt;"",-TRANSPOSE(INDEX(getcds('CDO Bespoke'!$C322,W$13,'CDO Bespoke'!$G322/10000,'CDO Bespoke'!F322,'CDO Bespoke'!$L298,'CDO Bespoke'!$C$13,'CDO Bespoke'!$C$14,'CDO Bespoke'!$C$15,'CDO Bespoke'!$C$8,,,TRUE,TRUE,FALSE,'CDO Bespoke'!$C$29:'CDO Bespoke'!$C$31,'CDO Bespoke'!$C$33),{5})),"")</f>
        <v/>
      </c>
      <c r="X297" s="524" t="str" cm="1">
        <f t="array" aca="1" ref="X297" ca="1">IF($V297&lt;&gt;"",-TRANSPOSE(INDEX(getcds('CDO Bespoke'!$C322,X$13,'CDO Bespoke'!$G322/10000,'CDO Bespoke'!G322,'CDO Bespoke'!$L298,'CDO Bespoke'!$C$13,'CDO Bespoke'!$C$14,'CDO Bespoke'!$C$15,'CDO Bespoke'!$C$8,,,TRUE,TRUE,FALSE,'CDO Bespoke'!$C$29:'CDO Bespoke'!$C$31,'CDO Bespoke'!$C$33),{5})),"")</f>
        <v/>
      </c>
      <c r="Y297" s="524" t="str" cm="1">
        <f t="array" aca="1" ref="Y297" ca="1">IF($V297&lt;&gt;"",-TRANSPOSE(INDEX(getcds('CDO Bespoke'!$C322,Y$13,'CDO Bespoke'!$G322/10000,'CDO Bespoke'!H322,'CDO Bespoke'!$L298,'CDO Bespoke'!$C$13,'CDO Bespoke'!$C$14,'CDO Bespoke'!$C$15,'CDO Bespoke'!$C$8,,,TRUE,TRUE,FALSE,'CDO Bespoke'!$C$29:'CDO Bespoke'!$C$31,'CDO Bespoke'!$C$33),{5})),"")</f>
        <v/>
      </c>
      <c r="Z297" s="524" t="str" cm="1">
        <f t="array" aca="1" ref="Z297" ca="1">IF($V297&lt;&gt;"",-TRANSPOSE(INDEX(getcds('CDO Bespoke'!$C322,Z$13,'CDO Bespoke'!$G322/10000,'CDO Bespoke'!I322,'CDO Bespoke'!$L298,'CDO Bespoke'!$C$13,'CDO Bespoke'!$C$14,'CDO Bespoke'!$C$15,'CDO Bespoke'!$C$8,,,TRUE,TRUE,FALSE,'CDO Bespoke'!$C$29:'CDO Bespoke'!$C$31,'CDO Bespoke'!$C$33),{5})),"")</f>
        <v/>
      </c>
      <c r="AA297" s="500" t="str" cm="1">
        <f t="array" aca="1" ref="AA297" ca="1">IF($V297&lt;&gt;"",-TRANSPOSE(INDEX(getcds('CDO Bespoke'!$C322,AA$13,'CDO Bespoke'!$G322/10000,'CDO Bespoke'!J322,'CDO Bespoke'!$L298,'CDO Bespoke'!$C$13,'CDO Bespoke'!$C$14,'CDO Bespoke'!$C$15,'CDO Bespoke'!$C$8,,,TRUE,TRUE,FALSE,'CDO Bespoke'!$C$29:'CDO Bespoke'!$C$31,'CDO Bespoke'!$C$33),{5})),"")</f>
        <v/>
      </c>
      <c r="AB297" s="479"/>
      <c r="AC297" s="515"/>
      <c r="AD297" s="516"/>
      <c r="AE297" s="516"/>
      <c r="AF297" s="516"/>
      <c r="AG297" s="516"/>
      <c r="AH297" s="516"/>
      <c r="AI297" s="516"/>
      <c r="AJ297" s="516"/>
      <c r="AK297" s="516"/>
      <c r="AL297" s="517"/>
      <c r="AM297" s="534"/>
    </row>
    <row r="298" spans="2:39" ht="12" thickBot="1">
      <c r="B298" s="557" t="s">
        <v>597</v>
      </c>
      <c r="C298" s="558" t="s">
        <v>66</v>
      </c>
      <c r="D298" s="558" t="s">
        <v>55</v>
      </c>
      <c r="E298" s="558" t="s">
        <v>660</v>
      </c>
      <c r="F298" s="558" t="s">
        <v>669</v>
      </c>
      <c r="G298" s="559">
        <v>0.01</v>
      </c>
      <c r="H298" s="559">
        <v>1.606E-3</v>
      </c>
      <c r="I298" s="560">
        <v>0.4</v>
      </c>
      <c r="J298" s="561">
        <v>92</v>
      </c>
      <c r="K298" s="274"/>
      <c r="L298" s="274"/>
      <c r="M298" s="487" t="str">
        <f ca="1">IF('CDO Bespoke'!O299&lt;&gt;"",'CDO Bespoke'!O299,"")</f>
        <v/>
      </c>
      <c r="N298" s="488" t="str">
        <f ca="1">IF(M298&lt;&gt;"",ABS(MIN(-0.75*('CDO Bespoke'!Q299)+'CDO Bespoke'!T299,0)),"")</f>
        <v/>
      </c>
      <c r="O298" s="488">
        <f t="shared" ca="1" si="16"/>
        <v>0</v>
      </c>
      <c r="P298" s="488">
        <f t="shared" ca="1" si="17"/>
        <v>0</v>
      </c>
      <c r="Q298" s="487" t="str">
        <f ca="1">IF('CDO Bespoke'!O299&lt;&gt;"",'CDO Bespoke'!O299,"")</f>
        <v/>
      </c>
      <c r="R298" s="488" t="str">
        <f ca="1">IF(Q298&lt;&gt;"",ABS(MIN(-0.75*('CDO Bespoke'!K299)+'CDO Bespoke'!T299,0)),"")</f>
        <v/>
      </c>
      <c r="S298" s="488">
        <f t="shared" ca="1" si="18"/>
        <v>0</v>
      </c>
      <c r="T298" s="492">
        <f t="shared" ca="1" si="19"/>
        <v>0</v>
      </c>
      <c r="U298" s="274"/>
      <c r="V298" s="497" t="str">
        <f ca="1">IF('CDO Bespoke'!C323&lt;&gt;"",'CDO Bespoke'!C323,"")</f>
        <v/>
      </c>
      <c r="W298" s="499" t="str" cm="1">
        <f t="array" aca="1" ref="W298" ca="1">IF($V298&lt;&gt;"",-TRANSPOSE(INDEX(getcds('CDO Bespoke'!$C323,W$13,'CDO Bespoke'!$G323/10000,'CDO Bespoke'!F323,'CDO Bespoke'!$L299,'CDO Bespoke'!$C$13,'CDO Bespoke'!$C$14,'CDO Bespoke'!$C$15,'CDO Bespoke'!$C$8,,,TRUE,TRUE,FALSE,'CDO Bespoke'!$C$29:'CDO Bespoke'!$C$31,'CDO Bespoke'!$C$33),{5})),"")</f>
        <v/>
      </c>
      <c r="X298" s="524" t="str" cm="1">
        <f t="array" aca="1" ref="X298" ca="1">IF($V298&lt;&gt;"",-TRANSPOSE(INDEX(getcds('CDO Bespoke'!$C323,X$13,'CDO Bespoke'!$G323/10000,'CDO Bespoke'!G323,'CDO Bespoke'!$L299,'CDO Bespoke'!$C$13,'CDO Bespoke'!$C$14,'CDO Bespoke'!$C$15,'CDO Bespoke'!$C$8,,,TRUE,TRUE,FALSE,'CDO Bespoke'!$C$29:'CDO Bespoke'!$C$31,'CDO Bespoke'!$C$33),{5})),"")</f>
        <v/>
      </c>
      <c r="Y298" s="524" t="str" cm="1">
        <f t="array" aca="1" ref="Y298" ca="1">IF($V298&lt;&gt;"",-TRANSPOSE(INDEX(getcds('CDO Bespoke'!$C323,Y$13,'CDO Bespoke'!$G323/10000,'CDO Bespoke'!H323,'CDO Bespoke'!$L299,'CDO Bespoke'!$C$13,'CDO Bespoke'!$C$14,'CDO Bespoke'!$C$15,'CDO Bespoke'!$C$8,,,TRUE,TRUE,FALSE,'CDO Bespoke'!$C$29:'CDO Bespoke'!$C$31,'CDO Bespoke'!$C$33),{5})),"")</f>
        <v/>
      </c>
      <c r="Z298" s="524" t="str" cm="1">
        <f t="array" aca="1" ref="Z298" ca="1">IF($V298&lt;&gt;"",-TRANSPOSE(INDEX(getcds('CDO Bespoke'!$C323,Z$13,'CDO Bespoke'!$G323/10000,'CDO Bespoke'!I323,'CDO Bespoke'!$L299,'CDO Bespoke'!$C$13,'CDO Bespoke'!$C$14,'CDO Bespoke'!$C$15,'CDO Bespoke'!$C$8,,,TRUE,TRUE,FALSE,'CDO Bespoke'!$C$29:'CDO Bespoke'!$C$31,'CDO Bespoke'!$C$33),{5})),"")</f>
        <v/>
      </c>
      <c r="AA298" s="500" t="str" cm="1">
        <f t="array" aca="1" ref="AA298" ca="1">IF($V298&lt;&gt;"",-TRANSPOSE(INDEX(getcds('CDO Bespoke'!$C323,AA$13,'CDO Bespoke'!$G323/10000,'CDO Bespoke'!J323,'CDO Bespoke'!$L299,'CDO Bespoke'!$C$13,'CDO Bespoke'!$C$14,'CDO Bespoke'!$C$15,'CDO Bespoke'!$C$8,,,TRUE,TRUE,FALSE,'CDO Bespoke'!$C$29:'CDO Bespoke'!$C$31,'CDO Bespoke'!$C$33),{5})),"")</f>
        <v/>
      </c>
      <c r="AB298" s="479"/>
      <c r="AC298" s="515"/>
      <c r="AD298" s="516"/>
      <c r="AE298" s="516"/>
      <c r="AF298" s="516"/>
      <c r="AG298" s="516"/>
      <c r="AH298" s="516"/>
      <c r="AI298" s="516"/>
      <c r="AJ298" s="516"/>
      <c r="AK298" s="516"/>
      <c r="AL298" s="517"/>
      <c r="AM298" s="534"/>
    </row>
    <row r="299" spans="2:39" ht="12" thickBot="1">
      <c r="B299" s="535" t="s">
        <v>597</v>
      </c>
      <c r="C299" s="536" t="s">
        <v>66</v>
      </c>
      <c r="D299" s="536" t="s">
        <v>57</v>
      </c>
      <c r="E299" s="536" t="s">
        <v>660</v>
      </c>
      <c r="F299" s="536" t="s">
        <v>669</v>
      </c>
      <c r="G299" s="543">
        <v>0.01</v>
      </c>
      <c r="H299" s="543">
        <v>2.6679999999999998E-3</v>
      </c>
      <c r="I299" s="545">
        <v>0.4</v>
      </c>
      <c r="J299" s="537">
        <v>92</v>
      </c>
      <c r="K299" s="274"/>
      <c r="L299" s="274"/>
      <c r="M299" s="487" t="str">
        <f ca="1">IF('CDO Bespoke'!O300&lt;&gt;"",'CDO Bespoke'!O300,"")</f>
        <v/>
      </c>
      <c r="N299" s="488" t="str">
        <f ca="1">IF(M299&lt;&gt;"",ABS(MIN(-0.75*('CDO Bespoke'!Q300)+'CDO Bespoke'!T300,0)),"")</f>
        <v/>
      </c>
      <c r="O299" s="488">
        <f t="shared" ca="1" si="16"/>
        <v>0</v>
      </c>
      <c r="P299" s="488">
        <f t="shared" ca="1" si="17"/>
        <v>0</v>
      </c>
      <c r="Q299" s="487" t="str">
        <f ca="1">IF('CDO Bespoke'!O300&lt;&gt;"",'CDO Bespoke'!O300,"")</f>
        <v/>
      </c>
      <c r="R299" s="488" t="str">
        <f ca="1">IF(Q299&lt;&gt;"",ABS(MIN(-0.75*('CDO Bespoke'!K300)+'CDO Bespoke'!T300,0)),"")</f>
        <v/>
      </c>
      <c r="S299" s="488">
        <f t="shared" ca="1" si="18"/>
        <v>0</v>
      </c>
      <c r="T299" s="492">
        <f t="shared" ca="1" si="19"/>
        <v>0</v>
      </c>
      <c r="U299" s="274"/>
      <c r="V299" s="497" t="str">
        <f ca="1">IF('CDO Bespoke'!C324&lt;&gt;"",'CDO Bespoke'!C324,"")</f>
        <v/>
      </c>
      <c r="W299" s="499" t="str" cm="1">
        <f t="array" aca="1" ref="W299" ca="1">IF($V299&lt;&gt;"",-TRANSPOSE(INDEX(getcds('CDO Bespoke'!$C324,W$13,'CDO Bespoke'!$G324/10000,'CDO Bespoke'!F324,'CDO Bespoke'!$L300,'CDO Bespoke'!$C$13,'CDO Bespoke'!$C$14,'CDO Bespoke'!$C$15,'CDO Bespoke'!$C$8,,,TRUE,TRUE,FALSE,'CDO Bespoke'!$C$29:'CDO Bespoke'!$C$31,'CDO Bespoke'!$C$33),{5})),"")</f>
        <v/>
      </c>
      <c r="X299" s="524" t="str" cm="1">
        <f t="array" aca="1" ref="X299" ca="1">IF($V299&lt;&gt;"",-TRANSPOSE(INDEX(getcds('CDO Bespoke'!$C324,X$13,'CDO Bespoke'!$G324/10000,'CDO Bespoke'!G324,'CDO Bespoke'!$L300,'CDO Bespoke'!$C$13,'CDO Bespoke'!$C$14,'CDO Bespoke'!$C$15,'CDO Bespoke'!$C$8,,,TRUE,TRUE,FALSE,'CDO Bespoke'!$C$29:'CDO Bespoke'!$C$31,'CDO Bespoke'!$C$33),{5})),"")</f>
        <v/>
      </c>
      <c r="Y299" s="524" t="str" cm="1">
        <f t="array" aca="1" ref="Y299" ca="1">IF($V299&lt;&gt;"",-TRANSPOSE(INDEX(getcds('CDO Bespoke'!$C324,Y$13,'CDO Bespoke'!$G324/10000,'CDO Bespoke'!H324,'CDO Bespoke'!$L300,'CDO Bespoke'!$C$13,'CDO Bespoke'!$C$14,'CDO Bespoke'!$C$15,'CDO Bespoke'!$C$8,,,TRUE,TRUE,FALSE,'CDO Bespoke'!$C$29:'CDO Bespoke'!$C$31,'CDO Bespoke'!$C$33),{5})),"")</f>
        <v/>
      </c>
      <c r="Z299" s="524" t="str" cm="1">
        <f t="array" aca="1" ref="Z299" ca="1">IF($V299&lt;&gt;"",-TRANSPOSE(INDEX(getcds('CDO Bespoke'!$C324,Z$13,'CDO Bespoke'!$G324/10000,'CDO Bespoke'!I324,'CDO Bespoke'!$L300,'CDO Bespoke'!$C$13,'CDO Bespoke'!$C$14,'CDO Bespoke'!$C$15,'CDO Bespoke'!$C$8,,,TRUE,TRUE,FALSE,'CDO Bespoke'!$C$29:'CDO Bespoke'!$C$31,'CDO Bespoke'!$C$33),{5})),"")</f>
        <v/>
      </c>
      <c r="AA299" s="500" t="str" cm="1">
        <f t="array" aca="1" ref="AA299" ca="1">IF($V299&lt;&gt;"",-TRANSPOSE(INDEX(getcds('CDO Bespoke'!$C324,AA$13,'CDO Bespoke'!$G324/10000,'CDO Bespoke'!J324,'CDO Bespoke'!$L300,'CDO Bespoke'!$C$13,'CDO Bespoke'!$C$14,'CDO Bespoke'!$C$15,'CDO Bespoke'!$C$8,,,TRUE,TRUE,FALSE,'CDO Bespoke'!$C$29:'CDO Bespoke'!$C$31,'CDO Bespoke'!$C$33),{5})),"")</f>
        <v/>
      </c>
      <c r="AB299" s="479"/>
      <c r="AC299" s="515"/>
      <c r="AD299" s="516"/>
      <c r="AE299" s="516"/>
      <c r="AF299" s="516"/>
      <c r="AG299" s="516"/>
      <c r="AH299" s="516"/>
      <c r="AI299" s="516"/>
      <c r="AJ299" s="516"/>
      <c r="AK299" s="516"/>
      <c r="AL299" s="517"/>
      <c r="AM299" s="534"/>
    </row>
    <row r="300" spans="2:39" ht="12" thickBot="1">
      <c r="B300" s="552" t="s">
        <v>597</v>
      </c>
      <c r="C300" s="553" t="s">
        <v>66</v>
      </c>
      <c r="D300" s="553" t="s">
        <v>59</v>
      </c>
      <c r="E300" s="553" t="s">
        <v>660</v>
      </c>
      <c r="F300" s="553" t="s">
        <v>669</v>
      </c>
      <c r="G300" s="554">
        <v>0.01</v>
      </c>
      <c r="H300" s="554">
        <v>3.9750000000000002E-3</v>
      </c>
      <c r="I300" s="555">
        <v>0.4</v>
      </c>
      <c r="J300" s="556">
        <v>92</v>
      </c>
      <c r="K300" s="274"/>
      <c r="L300" s="274"/>
      <c r="M300" s="487" t="str">
        <f ca="1">IF('CDO Bespoke'!O301&lt;&gt;"",'CDO Bespoke'!O301,"")</f>
        <v/>
      </c>
      <c r="N300" s="488" t="str">
        <f ca="1">IF(M300&lt;&gt;"",ABS(MIN(-0.75*('CDO Bespoke'!Q301)+'CDO Bespoke'!T301,0)),"")</f>
        <v/>
      </c>
      <c r="O300" s="488">
        <f t="shared" ca="1" si="16"/>
        <v>0</v>
      </c>
      <c r="P300" s="488">
        <f t="shared" ca="1" si="17"/>
        <v>0</v>
      </c>
      <c r="Q300" s="487" t="str">
        <f ca="1">IF('CDO Bespoke'!O301&lt;&gt;"",'CDO Bespoke'!O301,"")</f>
        <v/>
      </c>
      <c r="R300" s="488" t="str">
        <f ca="1">IF(Q300&lt;&gt;"",ABS(MIN(-0.75*('CDO Bespoke'!K301)+'CDO Bespoke'!T301,0)),"")</f>
        <v/>
      </c>
      <c r="S300" s="488">
        <f t="shared" ca="1" si="18"/>
        <v>0</v>
      </c>
      <c r="T300" s="492">
        <f t="shared" ca="1" si="19"/>
        <v>0</v>
      </c>
      <c r="U300" s="274"/>
      <c r="V300" s="497" t="str">
        <f ca="1">IF('CDO Bespoke'!C325&lt;&gt;"",'CDO Bespoke'!C325,"")</f>
        <v/>
      </c>
      <c r="W300" s="499" t="str" cm="1">
        <f t="array" aca="1" ref="W300" ca="1">IF($V300&lt;&gt;"",-TRANSPOSE(INDEX(getcds('CDO Bespoke'!$C325,W$13,'CDO Bespoke'!$G325/10000,'CDO Bespoke'!F325,'CDO Bespoke'!$L301,'CDO Bespoke'!$C$13,'CDO Bespoke'!$C$14,'CDO Bespoke'!$C$15,'CDO Bespoke'!$C$8,,,TRUE,TRUE,FALSE,'CDO Bespoke'!$C$29:'CDO Bespoke'!$C$31,'CDO Bespoke'!$C$33),{5})),"")</f>
        <v/>
      </c>
      <c r="X300" s="524" t="str" cm="1">
        <f t="array" aca="1" ref="X300" ca="1">IF($V300&lt;&gt;"",-TRANSPOSE(INDEX(getcds('CDO Bespoke'!$C325,X$13,'CDO Bespoke'!$G325/10000,'CDO Bespoke'!G325,'CDO Bespoke'!$L301,'CDO Bespoke'!$C$13,'CDO Bespoke'!$C$14,'CDO Bespoke'!$C$15,'CDO Bespoke'!$C$8,,,TRUE,TRUE,FALSE,'CDO Bespoke'!$C$29:'CDO Bespoke'!$C$31,'CDO Bespoke'!$C$33),{5})),"")</f>
        <v/>
      </c>
      <c r="Y300" s="524" t="str" cm="1">
        <f t="array" aca="1" ref="Y300" ca="1">IF($V300&lt;&gt;"",-TRANSPOSE(INDEX(getcds('CDO Bespoke'!$C325,Y$13,'CDO Bespoke'!$G325/10000,'CDO Bespoke'!H325,'CDO Bespoke'!$L301,'CDO Bespoke'!$C$13,'CDO Bespoke'!$C$14,'CDO Bespoke'!$C$15,'CDO Bespoke'!$C$8,,,TRUE,TRUE,FALSE,'CDO Bespoke'!$C$29:'CDO Bespoke'!$C$31,'CDO Bespoke'!$C$33),{5})),"")</f>
        <v/>
      </c>
      <c r="Z300" s="524" t="str" cm="1">
        <f t="array" aca="1" ref="Z300" ca="1">IF($V300&lt;&gt;"",-TRANSPOSE(INDEX(getcds('CDO Bespoke'!$C325,Z$13,'CDO Bespoke'!$G325/10000,'CDO Bespoke'!I325,'CDO Bespoke'!$L301,'CDO Bespoke'!$C$13,'CDO Bespoke'!$C$14,'CDO Bespoke'!$C$15,'CDO Bespoke'!$C$8,,,TRUE,TRUE,FALSE,'CDO Bespoke'!$C$29:'CDO Bespoke'!$C$31,'CDO Bespoke'!$C$33),{5})),"")</f>
        <v/>
      </c>
      <c r="AA300" s="500" t="str" cm="1">
        <f t="array" aca="1" ref="AA300" ca="1">IF($V300&lt;&gt;"",-TRANSPOSE(INDEX(getcds('CDO Bespoke'!$C325,AA$13,'CDO Bespoke'!$G325/10000,'CDO Bespoke'!J325,'CDO Bespoke'!$L301,'CDO Bespoke'!$C$13,'CDO Bespoke'!$C$14,'CDO Bespoke'!$C$15,'CDO Bespoke'!$C$8,,,TRUE,TRUE,FALSE,'CDO Bespoke'!$C$29:'CDO Bespoke'!$C$31,'CDO Bespoke'!$C$33),{5})),"")</f>
        <v/>
      </c>
      <c r="AB300" s="479"/>
      <c r="AC300" s="515"/>
      <c r="AD300" s="516"/>
      <c r="AE300" s="516"/>
      <c r="AF300" s="516"/>
      <c r="AG300" s="516"/>
      <c r="AH300" s="516"/>
      <c r="AI300" s="516"/>
      <c r="AJ300" s="516"/>
      <c r="AK300" s="516"/>
      <c r="AL300" s="517"/>
      <c r="AM300" s="534"/>
    </row>
    <row r="301" spans="2:39" ht="12" thickBot="1">
      <c r="B301" s="557" t="s">
        <v>598</v>
      </c>
      <c r="C301" s="558" t="s">
        <v>66</v>
      </c>
      <c r="D301" s="558" t="s">
        <v>55</v>
      </c>
      <c r="E301" s="558" t="s">
        <v>660</v>
      </c>
      <c r="F301" s="558" t="s">
        <v>663</v>
      </c>
      <c r="G301" s="559">
        <v>0.01</v>
      </c>
      <c r="H301" s="559">
        <v>3.0330000000000001E-3</v>
      </c>
      <c r="I301" s="560">
        <v>0.4</v>
      </c>
      <c r="J301" s="561">
        <v>93</v>
      </c>
      <c r="K301" s="274"/>
      <c r="L301" s="274"/>
      <c r="M301" s="487" t="str">
        <f ca="1">IF('CDO Bespoke'!O302&lt;&gt;"",'CDO Bespoke'!O302,"")</f>
        <v/>
      </c>
      <c r="N301" s="488" t="str">
        <f ca="1">IF(M301&lt;&gt;"",ABS(MIN(-0.75*('CDO Bespoke'!Q302)+'CDO Bespoke'!T302,0)),"")</f>
        <v/>
      </c>
      <c r="O301" s="488">
        <f t="shared" ca="1" si="16"/>
        <v>0</v>
      </c>
      <c r="P301" s="488">
        <f t="shared" ca="1" si="17"/>
        <v>0</v>
      </c>
      <c r="Q301" s="487" t="str">
        <f ca="1">IF('CDO Bespoke'!O302&lt;&gt;"",'CDO Bespoke'!O302,"")</f>
        <v/>
      </c>
      <c r="R301" s="488" t="str">
        <f ca="1">IF(Q301&lt;&gt;"",ABS(MIN(-0.75*('CDO Bespoke'!K302)+'CDO Bespoke'!T302,0)),"")</f>
        <v/>
      </c>
      <c r="S301" s="488">
        <f t="shared" ca="1" si="18"/>
        <v>0</v>
      </c>
      <c r="T301" s="492">
        <f t="shared" ca="1" si="19"/>
        <v>0</v>
      </c>
      <c r="U301" s="274"/>
      <c r="V301" s="497" t="str">
        <f ca="1">IF('CDO Bespoke'!C326&lt;&gt;"",'CDO Bespoke'!C326,"")</f>
        <v/>
      </c>
      <c r="W301" s="499" t="str" cm="1">
        <f t="array" aca="1" ref="W301" ca="1">IF($V301&lt;&gt;"",-TRANSPOSE(INDEX(getcds('CDO Bespoke'!$C326,W$13,'CDO Bespoke'!$G326/10000,'CDO Bespoke'!F326,'CDO Bespoke'!$L302,'CDO Bespoke'!$C$13,'CDO Bespoke'!$C$14,'CDO Bespoke'!$C$15,'CDO Bespoke'!$C$8,,,TRUE,TRUE,FALSE,'CDO Bespoke'!$C$29:'CDO Bespoke'!$C$31,'CDO Bespoke'!$C$33),{5})),"")</f>
        <v/>
      </c>
      <c r="X301" s="524" t="str" cm="1">
        <f t="array" aca="1" ref="X301" ca="1">IF($V301&lt;&gt;"",-TRANSPOSE(INDEX(getcds('CDO Bespoke'!$C326,X$13,'CDO Bespoke'!$G326/10000,'CDO Bespoke'!G326,'CDO Bespoke'!$L302,'CDO Bespoke'!$C$13,'CDO Bespoke'!$C$14,'CDO Bespoke'!$C$15,'CDO Bespoke'!$C$8,,,TRUE,TRUE,FALSE,'CDO Bespoke'!$C$29:'CDO Bespoke'!$C$31,'CDO Bespoke'!$C$33),{5})),"")</f>
        <v/>
      </c>
      <c r="Y301" s="524" t="str" cm="1">
        <f t="array" aca="1" ref="Y301" ca="1">IF($V301&lt;&gt;"",-TRANSPOSE(INDEX(getcds('CDO Bespoke'!$C326,Y$13,'CDO Bespoke'!$G326/10000,'CDO Bespoke'!H326,'CDO Bespoke'!$L302,'CDO Bespoke'!$C$13,'CDO Bespoke'!$C$14,'CDO Bespoke'!$C$15,'CDO Bespoke'!$C$8,,,TRUE,TRUE,FALSE,'CDO Bespoke'!$C$29:'CDO Bespoke'!$C$31,'CDO Bespoke'!$C$33),{5})),"")</f>
        <v/>
      </c>
      <c r="Z301" s="524" t="str" cm="1">
        <f t="array" aca="1" ref="Z301" ca="1">IF($V301&lt;&gt;"",-TRANSPOSE(INDEX(getcds('CDO Bespoke'!$C326,Z$13,'CDO Bespoke'!$G326/10000,'CDO Bespoke'!I326,'CDO Bespoke'!$L302,'CDO Bespoke'!$C$13,'CDO Bespoke'!$C$14,'CDO Bespoke'!$C$15,'CDO Bespoke'!$C$8,,,TRUE,TRUE,FALSE,'CDO Bespoke'!$C$29:'CDO Bespoke'!$C$31,'CDO Bespoke'!$C$33),{5})),"")</f>
        <v/>
      </c>
      <c r="AA301" s="500" t="str" cm="1">
        <f t="array" aca="1" ref="AA301" ca="1">IF($V301&lt;&gt;"",-TRANSPOSE(INDEX(getcds('CDO Bespoke'!$C326,AA$13,'CDO Bespoke'!$G326/10000,'CDO Bespoke'!J326,'CDO Bespoke'!$L302,'CDO Bespoke'!$C$13,'CDO Bespoke'!$C$14,'CDO Bespoke'!$C$15,'CDO Bespoke'!$C$8,,,TRUE,TRUE,FALSE,'CDO Bespoke'!$C$29:'CDO Bespoke'!$C$31,'CDO Bespoke'!$C$33),{5})),"")</f>
        <v/>
      </c>
      <c r="AB301" s="479"/>
      <c r="AC301" s="515"/>
      <c r="AD301" s="516"/>
      <c r="AE301" s="516"/>
      <c r="AF301" s="516"/>
      <c r="AG301" s="516"/>
      <c r="AH301" s="516"/>
      <c r="AI301" s="516"/>
      <c r="AJ301" s="516"/>
      <c r="AK301" s="516"/>
      <c r="AL301" s="517"/>
      <c r="AM301" s="534"/>
    </row>
    <row r="302" spans="2:39" ht="12" thickBot="1">
      <c r="B302" s="535" t="s">
        <v>598</v>
      </c>
      <c r="C302" s="536" t="s">
        <v>66</v>
      </c>
      <c r="D302" s="536" t="s">
        <v>57</v>
      </c>
      <c r="E302" s="536" t="s">
        <v>660</v>
      </c>
      <c r="F302" s="536" t="s">
        <v>663</v>
      </c>
      <c r="G302" s="543">
        <v>0.01</v>
      </c>
      <c r="H302" s="543">
        <v>5.5510000000000004E-3</v>
      </c>
      <c r="I302" s="545">
        <v>0.4</v>
      </c>
      <c r="J302" s="537">
        <v>93</v>
      </c>
      <c r="K302" s="274"/>
      <c r="L302" s="274"/>
      <c r="M302" s="487" t="str">
        <f ca="1">IF('CDO Bespoke'!O303&lt;&gt;"",'CDO Bespoke'!O303,"")</f>
        <v/>
      </c>
      <c r="N302" s="488" t="str">
        <f ca="1">IF(M302&lt;&gt;"",ABS(MIN(-0.75*('CDO Bespoke'!Q303)+'CDO Bespoke'!T303,0)),"")</f>
        <v/>
      </c>
      <c r="O302" s="488">
        <f t="shared" ca="1" si="16"/>
        <v>0</v>
      </c>
      <c r="P302" s="488">
        <f t="shared" ca="1" si="17"/>
        <v>0</v>
      </c>
      <c r="Q302" s="487" t="str">
        <f ca="1">IF('CDO Bespoke'!O303&lt;&gt;"",'CDO Bespoke'!O303,"")</f>
        <v/>
      </c>
      <c r="R302" s="488" t="str">
        <f ca="1">IF(Q302&lt;&gt;"",ABS(MIN(-0.75*('CDO Bespoke'!K303)+'CDO Bespoke'!T303,0)),"")</f>
        <v/>
      </c>
      <c r="S302" s="488">
        <f t="shared" ca="1" si="18"/>
        <v>0</v>
      </c>
      <c r="T302" s="492">
        <f t="shared" ca="1" si="19"/>
        <v>0</v>
      </c>
      <c r="U302" s="274"/>
      <c r="V302" s="497" t="str">
        <f ca="1">IF('CDO Bespoke'!C327&lt;&gt;"",'CDO Bespoke'!C327,"")</f>
        <v/>
      </c>
      <c r="W302" s="499" t="str" cm="1">
        <f t="array" aca="1" ref="W302" ca="1">IF($V302&lt;&gt;"",-TRANSPOSE(INDEX(getcds('CDO Bespoke'!$C327,W$13,'CDO Bespoke'!$G327/10000,'CDO Bespoke'!F327,'CDO Bespoke'!$L303,'CDO Bespoke'!$C$13,'CDO Bespoke'!$C$14,'CDO Bespoke'!$C$15,'CDO Bespoke'!$C$8,,,TRUE,TRUE,FALSE,'CDO Bespoke'!$C$29:'CDO Bespoke'!$C$31,'CDO Bespoke'!$C$33),{5})),"")</f>
        <v/>
      </c>
      <c r="X302" s="524" t="str" cm="1">
        <f t="array" aca="1" ref="X302" ca="1">IF($V302&lt;&gt;"",-TRANSPOSE(INDEX(getcds('CDO Bespoke'!$C327,X$13,'CDO Bespoke'!$G327/10000,'CDO Bespoke'!G327,'CDO Bespoke'!$L303,'CDO Bespoke'!$C$13,'CDO Bespoke'!$C$14,'CDO Bespoke'!$C$15,'CDO Bespoke'!$C$8,,,TRUE,TRUE,FALSE,'CDO Bespoke'!$C$29:'CDO Bespoke'!$C$31,'CDO Bespoke'!$C$33),{5})),"")</f>
        <v/>
      </c>
      <c r="Y302" s="524" t="str" cm="1">
        <f t="array" aca="1" ref="Y302" ca="1">IF($V302&lt;&gt;"",-TRANSPOSE(INDEX(getcds('CDO Bespoke'!$C327,Y$13,'CDO Bespoke'!$G327/10000,'CDO Bespoke'!H327,'CDO Bespoke'!$L303,'CDO Bespoke'!$C$13,'CDO Bespoke'!$C$14,'CDO Bespoke'!$C$15,'CDO Bespoke'!$C$8,,,TRUE,TRUE,FALSE,'CDO Bespoke'!$C$29:'CDO Bespoke'!$C$31,'CDO Bespoke'!$C$33),{5})),"")</f>
        <v/>
      </c>
      <c r="Z302" s="524" t="str" cm="1">
        <f t="array" aca="1" ref="Z302" ca="1">IF($V302&lt;&gt;"",-TRANSPOSE(INDEX(getcds('CDO Bespoke'!$C327,Z$13,'CDO Bespoke'!$G327/10000,'CDO Bespoke'!I327,'CDO Bespoke'!$L303,'CDO Bespoke'!$C$13,'CDO Bespoke'!$C$14,'CDO Bespoke'!$C$15,'CDO Bespoke'!$C$8,,,TRUE,TRUE,FALSE,'CDO Bespoke'!$C$29:'CDO Bespoke'!$C$31,'CDO Bespoke'!$C$33),{5})),"")</f>
        <v/>
      </c>
      <c r="AA302" s="500" t="str" cm="1">
        <f t="array" aca="1" ref="AA302" ca="1">IF($V302&lt;&gt;"",-TRANSPOSE(INDEX(getcds('CDO Bespoke'!$C327,AA$13,'CDO Bespoke'!$G327/10000,'CDO Bespoke'!J327,'CDO Bespoke'!$L303,'CDO Bespoke'!$C$13,'CDO Bespoke'!$C$14,'CDO Bespoke'!$C$15,'CDO Bespoke'!$C$8,,,TRUE,TRUE,FALSE,'CDO Bespoke'!$C$29:'CDO Bespoke'!$C$31,'CDO Bespoke'!$C$33),{5})),"")</f>
        <v/>
      </c>
      <c r="AB302" s="479"/>
      <c r="AC302" s="515"/>
      <c r="AD302" s="516"/>
      <c r="AE302" s="516"/>
      <c r="AF302" s="516"/>
      <c r="AG302" s="516"/>
      <c r="AH302" s="516"/>
      <c r="AI302" s="516"/>
      <c r="AJ302" s="516"/>
      <c r="AK302" s="516"/>
      <c r="AL302" s="517"/>
      <c r="AM302" s="534"/>
    </row>
    <row r="303" spans="2:39" ht="12" thickBot="1">
      <c r="B303" s="552" t="s">
        <v>598</v>
      </c>
      <c r="C303" s="553" t="s">
        <v>66</v>
      </c>
      <c r="D303" s="553" t="s">
        <v>59</v>
      </c>
      <c r="E303" s="553" t="s">
        <v>660</v>
      </c>
      <c r="F303" s="553" t="s">
        <v>663</v>
      </c>
      <c r="G303" s="554">
        <v>0.01</v>
      </c>
      <c r="H303" s="554">
        <v>8.4740000000000006E-3</v>
      </c>
      <c r="I303" s="555">
        <v>0.4</v>
      </c>
      <c r="J303" s="556">
        <v>93</v>
      </c>
      <c r="K303" s="274"/>
      <c r="L303" s="274"/>
      <c r="M303" s="487" t="str">
        <f ca="1">IF('CDO Bespoke'!O304&lt;&gt;"",'CDO Bespoke'!O304,"")</f>
        <v/>
      </c>
      <c r="N303" s="488" t="str">
        <f ca="1">IF(M303&lt;&gt;"",ABS(MIN(-0.75*('CDO Bespoke'!Q304)+'CDO Bespoke'!T304,0)),"")</f>
        <v/>
      </c>
      <c r="O303" s="488">
        <f t="shared" ca="1" si="16"/>
        <v>0</v>
      </c>
      <c r="P303" s="488">
        <f t="shared" ca="1" si="17"/>
        <v>0</v>
      </c>
      <c r="Q303" s="487" t="str">
        <f ca="1">IF('CDO Bespoke'!O304&lt;&gt;"",'CDO Bespoke'!O304,"")</f>
        <v/>
      </c>
      <c r="R303" s="488" t="str">
        <f ca="1">IF(Q303&lt;&gt;"",ABS(MIN(-0.75*('CDO Bespoke'!K304)+'CDO Bespoke'!T304,0)),"")</f>
        <v/>
      </c>
      <c r="S303" s="488">
        <f t="shared" ca="1" si="18"/>
        <v>0</v>
      </c>
      <c r="T303" s="492">
        <f t="shared" ca="1" si="19"/>
        <v>0</v>
      </c>
      <c r="U303" s="274"/>
      <c r="V303" s="497" t="str">
        <f ca="1">IF('CDO Bespoke'!C328&lt;&gt;"",'CDO Bespoke'!C328,"")</f>
        <v/>
      </c>
      <c r="W303" s="499" t="str" cm="1">
        <f t="array" aca="1" ref="W303" ca="1">IF($V303&lt;&gt;"",-TRANSPOSE(INDEX(getcds('CDO Bespoke'!$C328,W$13,'CDO Bespoke'!$G328/10000,'CDO Bespoke'!F328,'CDO Bespoke'!$L304,'CDO Bespoke'!$C$13,'CDO Bespoke'!$C$14,'CDO Bespoke'!$C$15,'CDO Bespoke'!$C$8,,,TRUE,TRUE,FALSE,'CDO Bespoke'!$C$29:'CDO Bespoke'!$C$31,'CDO Bespoke'!$C$33),{5})),"")</f>
        <v/>
      </c>
      <c r="X303" s="524" t="str" cm="1">
        <f t="array" aca="1" ref="X303" ca="1">IF($V303&lt;&gt;"",-TRANSPOSE(INDEX(getcds('CDO Bespoke'!$C328,X$13,'CDO Bespoke'!$G328/10000,'CDO Bespoke'!G328,'CDO Bespoke'!$L304,'CDO Bespoke'!$C$13,'CDO Bespoke'!$C$14,'CDO Bespoke'!$C$15,'CDO Bespoke'!$C$8,,,TRUE,TRUE,FALSE,'CDO Bespoke'!$C$29:'CDO Bespoke'!$C$31,'CDO Bespoke'!$C$33),{5})),"")</f>
        <v/>
      </c>
      <c r="Y303" s="524" t="str" cm="1">
        <f t="array" aca="1" ref="Y303" ca="1">IF($V303&lt;&gt;"",-TRANSPOSE(INDEX(getcds('CDO Bespoke'!$C328,Y$13,'CDO Bespoke'!$G328/10000,'CDO Bespoke'!H328,'CDO Bespoke'!$L304,'CDO Bespoke'!$C$13,'CDO Bespoke'!$C$14,'CDO Bespoke'!$C$15,'CDO Bespoke'!$C$8,,,TRUE,TRUE,FALSE,'CDO Bespoke'!$C$29:'CDO Bespoke'!$C$31,'CDO Bespoke'!$C$33),{5})),"")</f>
        <v/>
      </c>
      <c r="Z303" s="524" t="str" cm="1">
        <f t="array" aca="1" ref="Z303" ca="1">IF($V303&lt;&gt;"",-TRANSPOSE(INDEX(getcds('CDO Bespoke'!$C328,Z$13,'CDO Bespoke'!$G328/10000,'CDO Bespoke'!I328,'CDO Bespoke'!$L304,'CDO Bespoke'!$C$13,'CDO Bespoke'!$C$14,'CDO Bespoke'!$C$15,'CDO Bespoke'!$C$8,,,TRUE,TRUE,FALSE,'CDO Bespoke'!$C$29:'CDO Bespoke'!$C$31,'CDO Bespoke'!$C$33),{5})),"")</f>
        <v/>
      </c>
      <c r="AA303" s="500" t="str" cm="1">
        <f t="array" aca="1" ref="AA303" ca="1">IF($V303&lt;&gt;"",-TRANSPOSE(INDEX(getcds('CDO Bespoke'!$C328,AA$13,'CDO Bespoke'!$G328/10000,'CDO Bespoke'!J328,'CDO Bespoke'!$L304,'CDO Bespoke'!$C$13,'CDO Bespoke'!$C$14,'CDO Bespoke'!$C$15,'CDO Bespoke'!$C$8,,,TRUE,TRUE,FALSE,'CDO Bespoke'!$C$29:'CDO Bespoke'!$C$31,'CDO Bespoke'!$C$33),{5})),"")</f>
        <v/>
      </c>
      <c r="AB303" s="479"/>
      <c r="AC303" s="515"/>
      <c r="AD303" s="516"/>
      <c r="AE303" s="516"/>
      <c r="AF303" s="516"/>
      <c r="AG303" s="516"/>
      <c r="AH303" s="516"/>
      <c r="AI303" s="516"/>
      <c r="AJ303" s="516"/>
      <c r="AK303" s="516"/>
      <c r="AL303" s="517"/>
      <c r="AM303" s="534"/>
    </row>
    <row r="304" spans="2:39" ht="12" thickBot="1">
      <c r="B304" s="557" t="s">
        <v>599</v>
      </c>
      <c r="C304" s="558" t="s">
        <v>66</v>
      </c>
      <c r="D304" s="558" t="s">
        <v>55</v>
      </c>
      <c r="E304" s="558" t="s">
        <v>660</v>
      </c>
      <c r="F304" s="558" t="s">
        <v>669</v>
      </c>
      <c r="G304" s="559">
        <v>0.01</v>
      </c>
      <c r="H304" s="559">
        <v>3.7399999999999998E-3</v>
      </c>
      <c r="I304" s="560">
        <v>0.4</v>
      </c>
      <c r="J304" s="561">
        <v>94</v>
      </c>
      <c r="K304" s="274"/>
      <c r="L304" s="274"/>
      <c r="M304" s="487" t="str">
        <f ca="1">IF('CDO Bespoke'!O305&lt;&gt;"",'CDO Bespoke'!O305,"")</f>
        <v/>
      </c>
      <c r="N304" s="488" t="str">
        <f ca="1">IF(M304&lt;&gt;"",ABS(MIN(-0.75*('CDO Bespoke'!Q305)+'CDO Bespoke'!T305,0)),"")</f>
        <v/>
      </c>
      <c r="O304" s="488">
        <f t="shared" ca="1" si="16"/>
        <v>0</v>
      </c>
      <c r="P304" s="488">
        <f t="shared" ca="1" si="17"/>
        <v>0</v>
      </c>
      <c r="Q304" s="487" t="str">
        <f ca="1">IF('CDO Bespoke'!O305&lt;&gt;"",'CDO Bespoke'!O305,"")</f>
        <v/>
      </c>
      <c r="R304" s="488" t="str">
        <f ca="1">IF(Q304&lt;&gt;"",ABS(MIN(-0.75*('CDO Bespoke'!K305)+'CDO Bespoke'!T305,0)),"")</f>
        <v/>
      </c>
      <c r="S304" s="488">
        <f t="shared" ca="1" si="18"/>
        <v>0</v>
      </c>
      <c r="T304" s="492">
        <f t="shared" ca="1" si="19"/>
        <v>0</v>
      </c>
      <c r="U304" s="274"/>
      <c r="V304" s="497" t="str">
        <f ca="1">IF('CDO Bespoke'!C329&lt;&gt;"",'CDO Bespoke'!C329,"")</f>
        <v/>
      </c>
      <c r="W304" s="499" t="str" cm="1">
        <f t="array" aca="1" ref="W304" ca="1">IF($V304&lt;&gt;"",-TRANSPOSE(INDEX(getcds('CDO Bespoke'!$C329,W$13,'CDO Bespoke'!$G329/10000,'CDO Bespoke'!F329,'CDO Bespoke'!$L305,'CDO Bespoke'!$C$13,'CDO Bespoke'!$C$14,'CDO Bespoke'!$C$15,'CDO Bespoke'!$C$8,,,TRUE,TRUE,FALSE,'CDO Bespoke'!$C$29:'CDO Bespoke'!$C$31,'CDO Bespoke'!$C$33),{5})),"")</f>
        <v/>
      </c>
      <c r="X304" s="524" t="str" cm="1">
        <f t="array" aca="1" ref="X304" ca="1">IF($V304&lt;&gt;"",-TRANSPOSE(INDEX(getcds('CDO Bespoke'!$C329,X$13,'CDO Bespoke'!$G329/10000,'CDO Bespoke'!G329,'CDO Bespoke'!$L305,'CDO Bespoke'!$C$13,'CDO Bespoke'!$C$14,'CDO Bespoke'!$C$15,'CDO Bespoke'!$C$8,,,TRUE,TRUE,FALSE,'CDO Bespoke'!$C$29:'CDO Bespoke'!$C$31,'CDO Bespoke'!$C$33),{5})),"")</f>
        <v/>
      </c>
      <c r="Y304" s="524" t="str" cm="1">
        <f t="array" aca="1" ref="Y304" ca="1">IF($V304&lt;&gt;"",-TRANSPOSE(INDEX(getcds('CDO Bespoke'!$C329,Y$13,'CDO Bespoke'!$G329/10000,'CDO Bespoke'!H329,'CDO Bespoke'!$L305,'CDO Bespoke'!$C$13,'CDO Bespoke'!$C$14,'CDO Bespoke'!$C$15,'CDO Bespoke'!$C$8,,,TRUE,TRUE,FALSE,'CDO Bespoke'!$C$29:'CDO Bespoke'!$C$31,'CDO Bespoke'!$C$33),{5})),"")</f>
        <v/>
      </c>
      <c r="Z304" s="524" t="str" cm="1">
        <f t="array" aca="1" ref="Z304" ca="1">IF($V304&lt;&gt;"",-TRANSPOSE(INDEX(getcds('CDO Bespoke'!$C329,Z$13,'CDO Bespoke'!$G329/10000,'CDO Bespoke'!I329,'CDO Bespoke'!$L305,'CDO Bespoke'!$C$13,'CDO Bespoke'!$C$14,'CDO Bespoke'!$C$15,'CDO Bespoke'!$C$8,,,TRUE,TRUE,FALSE,'CDO Bespoke'!$C$29:'CDO Bespoke'!$C$31,'CDO Bespoke'!$C$33),{5})),"")</f>
        <v/>
      </c>
      <c r="AA304" s="500" t="str" cm="1">
        <f t="array" aca="1" ref="AA304" ca="1">IF($V304&lt;&gt;"",-TRANSPOSE(INDEX(getcds('CDO Bespoke'!$C329,AA$13,'CDO Bespoke'!$G329/10000,'CDO Bespoke'!J329,'CDO Bespoke'!$L305,'CDO Bespoke'!$C$13,'CDO Bespoke'!$C$14,'CDO Bespoke'!$C$15,'CDO Bespoke'!$C$8,,,TRUE,TRUE,FALSE,'CDO Bespoke'!$C$29:'CDO Bespoke'!$C$31,'CDO Bespoke'!$C$33),{5})),"")</f>
        <v/>
      </c>
      <c r="AB304" s="479"/>
      <c r="AC304" s="515"/>
      <c r="AD304" s="516"/>
      <c r="AE304" s="516"/>
      <c r="AF304" s="516"/>
      <c r="AG304" s="516"/>
      <c r="AH304" s="516"/>
      <c r="AI304" s="516"/>
      <c r="AJ304" s="516"/>
      <c r="AK304" s="516"/>
      <c r="AL304" s="517"/>
      <c r="AM304" s="534"/>
    </row>
    <row r="305" spans="2:39" ht="12" thickBot="1">
      <c r="B305" s="535" t="s">
        <v>599</v>
      </c>
      <c r="C305" s="536" t="s">
        <v>66</v>
      </c>
      <c r="D305" s="536" t="s">
        <v>57</v>
      </c>
      <c r="E305" s="536" t="s">
        <v>660</v>
      </c>
      <c r="F305" s="536" t="s">
        <v>669</v>
      </c>
      <c r="G305" s="543">
        <v>0.01</v>
      </c>
      <c r="H305" s="543">
        <v>6.6239999999999997E-3</v>
      </c>
      <c r="I305" s="545">
        <v>0.4</v>
      </c>
      <c r="J305" s="537">
        <v>94</v>
      </c>
      <c r="K305" s="274"/>
      <c r="L305" s="274"/>
      <c r="M305" s="487" t="str">
        <f ca="1">IF('CDO Bespoke'!O306&lt;&gt;"",'CDO Bespoke'!O306,"")</f>
        <v/>
      </c>
      <c r="N305" s="488" t="str">
        <f ca="1">IF(M305&lt;&gt;"",ABS(MIN(-0.75*('CDO Bespoke'!Q306)+'CDO Bespoke'!T306,0)),"")</f>
        <v/>
      </c>
      <c r="O305" s="488">
        <f t="shared" ca="1" si="16"/>
        <v>0</v>
      </c>
      <c r="P305" s="488">
        <f t="shared" ca="1" si="17"/>
        <v>0</v>
      </c>
      <c r="Q305" s="487" t="str">
        <f ca="1">IF('CDO Bespoke'!O306&lt;&gt;"",'CDO Bespoke'!O306,"")</f>
        <v/>
      </c>
      <c r="R305" s="488" t="str">
        <f ca="1">IF(Q305&lt;&gt;"",ABS(MIN(-0.75*('CDO Bespoke'!K306)+'CDO Bespoke'!T306,0)),"")</f>
        <v/>
      </c>
      <c r="S305" s="488">
        <f t="shared" ca="1" si="18"/>
        <v>0</v>
      </c>
      <c r="T305" s="492">
        <f t="shared" ca="1" si="19"/>
        <v>0</v>
      </c>
      <c r="U305" s="274"/>
      <c r="V305" s="497" t="str">
        <f ca="1">IF('CDO Bespoke'!C330&lt;&gt;"",'CDO Bespoke'!C330,"")</f>
        <v/>
      </c>
      <c r="W305" s="499" t="str" cm="1">
        <f t="array" aca="1" ref="W305" ca="1">IF($V305&lt;&gt;"",-TRANSPOSE(INDEX(getcds('CDO Bespoke'!$C330,W$13,'CDO Bespoke'!$G330/10000,'CDO Bespoke'!F330,'CDO Bespoke'!$L306,'CDO Bespoke'!$C$13,'CDO Bespoke'!$C$14,'CDO Bespoke'!$C$15,'CDO Bespoke'!$C$8,,,TRUE,TRUE,FALSE,'CDO Bespoke'!$C$29:'CDO Bespoke'!$C$31,'CDO Bespoke'!$C$33),{5})),"")</f>
        <v/>
      </c>
      <c r="X305" s="524" t="str" cm="1">
        <f t="array" aca="1" ref="X305" ca="1">IF($V305&lt;&gt;"",-TRANSPOSE(INDEX(getcds('CDO Bespoke'!$C330,X$13,'CDO Bespoke'!$G330/10000,'CDO Bespoke'!G330,'CDO Bespoke'!$L306,'CDO Bespoke'!$C$13,'CDO Bespoke'!$C$14,'CDO Bespoke'!$C$15,'CDO Bespoke'!$C$8,,,TRUE,TRUE,FALSE,'CDO Bespoke'!$C$29:'CDO Bespoke'!$C$31,'CDO Bespoke'!$C$33),{5})),"")</f>
        <v/>
      </c>
      <c r="Y305" s="524" t="str" cm="1">
        <f t="array" aca="1" ref="Y305" ca="1">IF($V305&lt;&gt;"",-TRANSPOSE(INDEX(getcds('CDO Bespoke'!$C330,Y$13,'CDO Bespoke'!$G330/10000,'CDO Bespoke'!H330,'CDO Bespoke'!$L306,'CDO Bespoke'!$C$13,'CDO Bespoke'!$C$14,'CDO Bespoke'!$C$15,'CDO Bespoke'!$C$8,,,TRUE,TRUE,FALSE,'CDO Bespoke'!$C$29:'CDO Bespoke'!$C$31,'CDO Bespoke'!$C$33),{5})),"")</f>
        <v/>
      </c>
      <c r="Z305" s="524" t="str" cm="1">
        <f t="array" aca="1" ref="Z305" ca="1">IF($V305&lt;&gt;"",-TRANSPOSE(INDEX(getcds('CDO Bespoke'!$C330,Z$13,'CDO Bespoke'!$G330/10000,'CDO Bespoke'!I330,'CDO Bespoke'!$L306,'CDO Bespoke'!$C$13,'CDO Bespoke'!$C$14,'CDO Bespoke'!$C$15,'CDO Bespoke'!$C$8,,,TRUE,TRUE,FALSE,'CDO Bespoke'!$C$29:'CDO Bespoke'!$C$31,'CDO Bespoke'!$C$33),{5})),"")</f>
        <v/>
      </c>
      <c r="AA305" s="500" t="str" cm="1">
        <f t="array" aca="1" ref="AA305" ca="1">IF($V305&lt;&gt;"",-TRANSPOSE(INDEX(getcds('CDO Bespoke'!$C330,AA$13,'CDO Bespoke'!$G330/10000,'CDO Bespoke'!J330,'CDO Bespoke'!$L306,'CDO Bespoke'!$C$13,'CDO Bespoke'!$C$14,'CDO Bespoke'!$C$15,'CDO Bespoke'!$C$8,,,TRUE,TRUE,FALSE,'CDO Bespoke'!$C$29:'CDO Bespoke'!$C$31,'CDO Bespoke'!$C$33),{5})),"")</f>
        <v/>
      </c>
      <c r="AB305" s="479"/>
      <c r="AC305" s="515"/>
      <c r="AD305" s="516"/>
      <c r="AE305" s="516"/>
      <c r="AF305" s="516"/>
      <c r="AG305" s="516"/>
      <c r="AH305" s="516"/>
      <c r="AI305" s="516"/>
      <c r="AJ305" s="516"/>
      <c r="AK305" s="516"/>
      <c r="AL305" s="517"/>
      <c r="AM305" s="534"/>
    </row>
    <row r="306" spans="2:39" ht="12" thickBot="1">
      <c r="B306" s="552" t="s">
        <v>599</v>
      </c>
      <c r="C306" s="553" t="s">
        <v>66</v>
      </c>
      <c r="D306" s="553" t="s">
        <v>59</v>
      </c>
      <c r="E306" s="553" t="s">
        <v>660</v>
      </c>
      <c r="F306" s="553" t="s">
        <v>669</v>
      </c>
      <c r="G306" s="554">
        <v>0.01</v>
      </c>
      <c r="H306" s="554">
        <v>9.2910000000000006E-3</v>
      </c>
      <c r="I306" s="555">
        <v>0.4</v>
      </c>
      <c r="J306" s="556">
        <v>94</v>
      </c>
      <c r="K306" s="274"/>
      <c r="L306" s="274"/>
      <c r="M306" s="487" t="str">
        <f ca="1">IF('CDO Bespoke'!O307&lt;&gt;"",'CDO Bespoke'!O307,"")</f>
        <v/>
      </c>
      <c r="N306" s="488" t="str">
        <f ca="1">IF(M306&lt;&gt;"",ABS(MIN(-0.75*('CDO Bespoke'!Q307)+'CDO Bespoke'!T307,0)),"")</f>
        <v/>
      </c>
      <c r="O306" s="488">
        <f t="shared" ca="1" si="16"/>
        <v>0</v>
      </c>
      <c r="P306" s="488">
        <f t="shared" ca="1" si="17"/>
        <v>0</v>
      </c>
      <c r="Q306" s="487" t="str">
        <f ca="1">IF('CDO Bespoke'!O307&lt;&gt;"",'CDO Bespoke'!O307,"")</f>
        <v/>
      </c>
      <c r="R306" s="488" t="str">
        <f ca="1">IF(Q306&lt;&gt;"",ABS(MIN(-0.75*('CDO Bespoke'!K307)+'CDO Bespoke'!T307,0)),"")</f>
        <v/>
      </c>
      <c r="S306" s="488">
        <f t="shared" ca="1" si="18"/>
        <v>0</v>
      </c>
      <c r="T306" s="492">
        <f t="shared" ca="1" si="19"/>
        <v>0</v>
      </c>
      <c r="U306" s="274"/>
      <c r="V306" s="497" t="str">
        <f ca="1">IF('CDO Bespoke'!C331&lt;&gt;"",'CDO Bespoke'!C331,"")</f>
        <v/>
      </c>
      <c r="W306" s="499" t="str" cm="1">
        <f t="array" aca="1" ref="W306" ca="1">IF($V306&lt;&gt;"",-TRANSPOSE(INDEX(getcds('CDO Bespoke'!$C331,W$13,'CDO Bespoke'!$G331/10000,'CDO Bespoke'!F331,'CDO Bespoke'!$L307,'CDO Bespoke'!$C$13,'CDO Bespoke'!$C$14,'CDO Bespoke'!$C$15,'CDO Bespoke'!$C$8,,,TRUE,TRUE,FALSE,'CDO Bespoke'!$C$29:'CDO Bespoke'!$C$31,'CDO Bespoke'!$C$33),{5})),"")</f>
        <v/>
      </c>
      <c r="X306" s="524" t="str" cm="1">
        <f t="array" aca="1" ref="X306" ca="1">IF($V306&lt;&gt;"",-TRANSPOSE(INDEX(getcds('CDO Bespoke'!$C331,X$13,'CDO Bespoke'!$G331/10000,'CDO Bespoke'!G331,'CDO Bespoke'!$L307,'CDO Bespoke'!$C$13,'CDO Bespoke'!$C$14,'CDO Bespoke'!$C$15,'CDO Bespoke'!$C$8,,,TRUE,TRUE,FALSE,'CDO Bespoke'!$C$29:'CDO Bespoke'!$C$31,'CDO Bespoke'!$C$33),{5})),"")</f>
        <v/>
      </c>
      <c r="Y306" s="524" t="str" cm="1">
        <f t="array" aca="1" ref="Y306" ca="1">IF($V306&lt;&gt;"",-TRANSPOSE(INDEX(getcds('CDO Bespoke'!$C331,Y$13,'CDO Bespoke'!$G331/10000,'CDO Bespoke'!H331,'CDO Bespoke'!$L307,'CDO Bespoke'!$C$13,'CDO Bespoke'!$C$14,'CDO Bespoke'!$C$15,'CDO Bespoke'!$C$8,,,TRUE,TRUE,FALSE,'CDO Bespoke'!$C$29:'CDO Bespoke'!$C$31,'CDO Bespoke'!$C$33),{5})),"")</f>
        <v/>
      </c>
      <c r="Z306" s="524" t="str" cm="1">
        <f t="array" aca="1" ref="Z306" ca="1">IF($V306&lt;&gt;"",-TRANSPOSE(INDEX(getcds('CDO Bespoke'!$C331,Z$13,'CDO Bespoke'!$G331/10000,'CDO Bespoke'!I331,'CDO Bespoke'!$L307,'CDO Bespoke'!$C$13,'CDO Bespoke'!$C$14,'CDO Bespoke'!$C$15,'CDO Bespoke'!$C$8,,,TRUE,TRUE,FALSE,'CDO Bespoke'!$C$29:'CDO Bespoke'!$C$31,'CDO Bespoke'!$C$33),{5})),"")</f>
        <v/>
      </c>
      <c r="AA306" s="500" t="str" cm="1">
        <f t="array" aca="1" ref="AA306" ca="1">IF($V306&lt;&gt;"",-TRANSPOSE(INDEX(getcds('CDO Bespoke'!$C331,AA$13,'CDO Bespoke'!$G331/10000,'CDO Bespoke'!J331,'CDO Bespoke'!$L307,'CDO Bespoke'!$C$13,'CDO Bespoke'!$C$14,'CDO Bespoke'!$C$15,'CDO Bespoke'!$C$8,,,TRUE,TRUE,FALSE,'CDO Bespoke'!$C$29:'CDO Bespoke'!$C$31,'CDO Bespoke'!$C$33),{5})),"")</f>
        <v/>
      </c>
      <c r="AB306" s="479"/>
      <c r="AC306" s="515"/>
      <c r="AD306" s="516"/>
      <c r="AE306" s="516"/>
      <c r="AF306" s="516"/>
      <c r="AG306" s="516"/>
      <c r="AH306" s="516"/>
      <c r="AI306" s="516"/>
      <c r="AJ306" s="516"/>
      <c r="AK306" s="516"/>
      <c r="AL306" s="517"/>
      <c r="AM306" s="534"/>
    </row>
    <row r="307" spans="2:39" ht="12" thickBot="1">
      <c r="B307" s="557" t="s">
        <v>600</v>
      </c>
      <c r="C307" s="558" t="s">
        <v>66</v>
      </c>
      <c r="D307" s="558" t="s">
        <v>55</v>
      </c>
      <c r="E307" s="558" t="s">
        <v>660</v>
      </c>
      <c r="F307" s="558" t="s">
        <v>663</v>
      </c>
      <c r="G307" s="559">
        <v>0.01</v>
      </c>
      <c r="H307" s="559">
        <v>3.8470000000000002E-3</v>
      </c>
      <c r="I307" s="560">
        <v>0.4</v>
      </c>
      <c r="J307" s="561">
        <v>95</v>
      </c>
      <c r="K307" s="274"/>
      <c r="L307" s="274"/>
      <c r="M307" s="487" t="str">
        <f ca="1">IF('CDO Bespoke'!O308&lt;&gt;"",'CDO Bespoke'!O308,"")</f>
        <v/>
      </c>
      <c r="N307" s="488" t="str">
        <f ca="1">IF(M307&lt;&gt;"",ABS(MIN(-0.75*('CDO Bespoke'!Q308)+'CDO Bespoke'!T308,0)),"")</f>
        <v/>
      </c>
      <c r="O307" s="488">
        <f t="shared" ca="1" si="16"/>
        <v>0</v>
      </c>
      <c r="P307" s="488">
        <f t="shared" ca="1" si="17"/>
        <v>0</v>
      </c>
      <c r="Q307" s="487" t="str">
        <f ca="1">IF('CDO Bespoke'!O308&lt;&gt;"",'CDO Bespoke'!O308,"")</f>
        <v/>
      </c>
      <c r="R307" s="488" t="str">
        <f ca="1">IF(Q307&lt;&gt;"",ABS(MIN(-0.75*('CDO Bespoke'!K308)+'CDO Bespoke'!T308,0)),"")</f>
        <v/>
      </c>
      <c r="S307" s="488">
        <f t="shared" ca="1" si="18"/>
        <v>0</v>
      </c>
      <c r="T307" s="492">
        <f t="shared" ca="1" si="19"/>
        <v>0</v>
      </c>
      <c r="U307" s="274"/>
      <c r="V307" s="497" t="str">
        <f ca="1">IF('CDO Bespoke'!C332&lt;&gt;"",'CDO Bespoke'!C332,"")</f>
        <v/>
      </c>
      <c r="W307" s="499" t="str" cm="1">
        <f t="array" aca="1" ref="W307" ca="1">IF($V307&lt;&gt;"",-TRANSPOSE(INDEX(getcds('CDO Bespoke'!$C332,W$13,'CDO Bespoke'!$G332/10000,'CDO Bespoke'!F332,'CDO Bespoke'!$L308,'CDO Bespoke'!$C$13,'CDO Bespoke'!$C$14,'CDO Bespoke'!$C$15,'CDO Bespoke'!$C$8,,,TRUE,TRUE,FALSE,'CDO Bespoke'!$C$29:'CDO Bespoke'!$C$31,'CDO Bespoke'!$C$33),{5})),"")</f>
        <v/>
      </c>
      <c r="X307" s="524" t="str" cm="1">
        <f t="array" aca="1" ref="X307" ca="1">IF($V307&lt;&gt;"",-TRANSPOSE(INDEX(getcds('CDO Bespoke'!$C332,X$13,'CDO Bespoke'!$G332/10000,'CDO Bespoke'!G332,'CDO Bespoke'!$L308,'CDO Bespoke'!$C$13,'CDO Bespoke'!$C$14,'CDO Bespoke'!$C$15,'CDO Bespoke'!$C$8,,,TRUE,TRUE,FALSE,'CDO Bespoke'!$C$29:'CDO Bespoke'!$C$31,'CDO Bespoke'!$C$33),{5})),"")</f>
        <v/>
      </c>
      <c r="Y307" s="524" t="str" cm="1">
        <f t="array" aca="1" ref="Y307" ca="1">IF($V307&lt;&gt;"",-TRANSPOSE(INDEX(getcds('CDO Bespoke'!$C332,Y$13,'CDO Bespoke'!$G332/10000,'CDO Bespoke'!H332,'CDO Bespoke'!$L308,'CDO Bespoke'!$C$13,'CDO Bespoke'!$C$14,'CDO Bespoke'!$C$15,'CDO Bespoke'!$C$8,,,TRUE,TRUE,FALSE,'CDO Bespoke'!$C$29:'CDO Bespoke'!$C$31,'CDO Bespoke'!$C$33),{5})),"")</f>
        <v/>
      </c>
      <c r="Z307" s="524" t="str" cm="1">
        <f t="array" aca="1" ref="Z307" ca="1">IF($V307&lt;&gt;"",-TRANSPOSE(INDEX(getcds('CDO Bespoke'!$C332,Z$13,'CDO Bespoke'!$G332/10000,'CDO Bespoke'!I332,'CDO Bespoke'!$L308,'CDO Bespoke'!$C$13,'CDO Bespoke'!$C$14,'CDO Bespoke'!$C$15,'CDO Bespoke'!$C$8,,,TRUE,TRUE,FALSE,'CDO Bespoke'!$C$29:'CDO Bespoke'!$C$31,'CDO Bespoke'!$C$33),{5})),"")</f>
        <v/>
      </c>
      <c r="AA307" s="500" t="str" cm="1">
        <f t="array" aca="1" ref="AA307" ca="1">IF($V307&lt;&gt;"",-TRANSPOSE(INDEX(getcds('CDO Bespoke'!$C332,AA$13,'CDO Bespoke'!$G332/10000,'CDO Bespoke'!J332,'CDO Bespoke'!$L308,'CDO Bespoke'!$C$13,'CDO Bespoke'!$C$14,'CDO Bespoke'!$C$15,'CDO Bespoke'!$C$8,,,TRUE,TRUE,FALSE,'CDO Bespoke'!$C$29:'CDO Bespoke'!$C$31,'CDO Bespoke'!$C$33),{5})),"")</f>
        <v/>
      </c>
      <c r="AB307" s="479"/>
      <c r="AC307" s="515"/>
      <c r="AD307" s="516"/>
      <c r="AE307" s="516"/>
      <c r="AF307" s="516"/>
      <c r="AG307" s="516"/>
      <c r="AH307" s="516"/>
      <c r="AI307" s="516"/>
      <c r="AJ307" s="516"/>
      <c r="AK307" s="516"/>
      <c r="AL307" s="517"/>
      <c r="AM307" s="534"/>
    </row>
    <row r="308" spans="2:39" ht="12" thickBot="1">
      <c r="B308" s="535" t="s">
        <v>600</v>
      </c>
      <c r="C308" s="536" t="s">
        <v>66</v>
      </c>
      <c r="D308" s="536" t="s">
        <v>57</v>
      </c>
      <c r="E308" s="536" t="s">
        <v>660</v>
      </c>
      <c r="F308" s="536" t="s">
        <v>663</v>
      </c>
      <c r="G308" s="543">
        <v>0.01</v>
      </c>
      <c r="H308" s="543">
        <v>6.4609999999999997E-3</v>
      </c>
      <c r="I308" s="545">
        <v>0.4</v>
      </c>
      <c r="J308" s="537">
        <v>95</v>
      </c>
      <c r="K308" s="274"/>
      <c r="L308" s="274"/>
      <c r="M308" s="487" t="str">
        <f ca="1">IF('CDO Bespoke'!O309&lt;&gt;"",'CDO Bespoke'!O309,"")</f>
        <v/>
      </c>
      <c r="N308" s="488" t="str">
        <f ca="1">IF(M308&lt;&gt;"",ABS(MIN(-0.75*('CDO Bespoke'!Q309)+'CDO Bespoke'!T309,0)),"")</f>
        <v/>
      </c>
      <c r="O308" s="488">
        <f t="shared" ca="1" si="16"/>
        <v>0</v>
      </c>
      <c r="P308" s="488">
        <f t="shared" ca="1" si="17"/>
        <v>0</v>
      </c>
      <c r="Q308" s="487" t="str">
        <f ca="1">IF('CDO Bespoke'!O309&lt;&gt;"",'CDO Bespoke'!O309,"")</f>
        <v/>
      </c>
      <c r="R308" s="488" t="str">
        <f ca="1">IF(Q308&lt;&gt;"",ABS(MIN(-0.75*('CDO Bespoke'!K309)+'CDO Bespoke'!T309,0)),"")</f>
        <v/>
      </c>
      <c r="S308" s="488">
        <f t="shared" ca="1" si="18"/>
        <v>0</v>
      </c>
      <c r="T308" s="492">
        <f t="shared" ca="1" si="19"/>
        <v>0</v>
      </c>
      <c r="U308" s="274"/>
      <c r="V308" s="497" t="str">
        <f ca="1">IF('CDO Bespoke'!C333&lt;&gt;"",'CDO Bespoke'!C333,"")</f>
        <v/>
      </c>
      <c r="W308" s="499" t="str" cm="1">
        <f t="array" aca="1" ref="W308" ca="1">IF($V308&lt;&gt;"",-TRANSPOSE(INDEX(getcds('CDO Bespoke'!$C333,W$13,'CDO Bespoke'!$G333/10000,'CDO Bespoke'!F333,'CDO Bespoke'!$L309,'CDO Bespoke'!$C$13,'CDO Bespoke'!$C$14,'CDO Bespoke'!$C$15,'CDO Bespoke'!$C$8,,,TRUE,TRUE,FALSE,'CDO Bespoke'!$C$29:'CDO Bespoke'!$C$31,'CDO Bespoke'!$C$33),{5})),"")</f>
        <v/>
      </c>
      <c r="X308" s="524" t="str" cm="1">
        <f t="array" aca="1" ref="X308" ca="1">IF($V308&lt;&gt;"",-TRANSPOSE(INDEX(getcds('CDO Bespoke'!$C333,X$13,'CDO Bespoke'!$G333/10000,'CDO Bespoke'!G333,'CDO Bespoke'!$L309,'CDO Bespoke'!$C$13,'CDO Bespoke'!$C$14,'CDO Bespoke'!$C$15,'CDO Bespoke'!$C$8,,,TRUE,TRUE,FALSE,'CDO Bespoke'!$C$29:'CDO Bespoke'!$C$31,'CDO Bespoke'!$C$33),{5})),"")</f>
        <v/>
      </c>
      <c r="Y308" s="524" t="str" cm="1">
        <f t="array" aca="1" ref="Y308" ca="1">IF($V308&lt;&gt;"",-TRANSPOSE(INDEX(getcds('CDO Bespoke'!$C333,Y$13,'CDO Bespoke'!$G333/10000,'CDO Bespoke'!H333,'CDO Bespoke'!$L309,'CDO Bespoke'!$C$13,'CDO Bespoke'!$C$14,'CDO Bespoke'!$C$15,'CDO Bespoke'!$C$8,,,TRUE,TRUE,FALSE,'CDO Bespoke'!$C$29:'CDO Bespoke'!$C$31,'CDO Bespoke'!$C$33),{5})),"")</f>
        <v/>
      </c>
      <c r="Z308" s="524" t="str" cm="1">
        <f t="array" aca="1" ref="Z308" ca="1">IF($V308&lt;&gt;"",-TRANSPOSE(INDEX(getcds('CDO Bespoke'!$C333,Z$13,'CDO Bespoke'!$G333/10000,'CDO Bespoke'!I333,'CDO Bespoke'!$L309,'CDO Bespoke'!$C$13,'CDO Bespoke'!$C$14,'CDO Bespoke'!$C$15,'CDO Bespoke'!$C$8,,,TRUE,TRUE,FALSE,'CDO Bespoke'!$C$29:'CDO Bespoke'!$C$31,'CDO Bespoke'!$C$33),{5})),"")</f>
        <v/>
      </c>
      <c r="AA308" s="500" t="str" cm="1">
        <f t="array" aca="1" ref="AA308" ca="1">IF($V308&lt;&gt;"",-TRANSPOSE(INDEX(getcds('CDO Bespoke'!$C333,AA$13,'CDO Bespoke'!$G333/10000,'CDO Bespoke'!J333,'CDO Bespoke'!$L309,'CDO Bespoke'!$C$13,'CDO Bespoke'!$C$14,'CDO Bespoke'!$C$15,'CDO Bespoke'!$C$8,,,TRUE,TRUE,FALSE,'CDO Bespoke'!$C$29:'CDO Bespoke'!$C$31,'CDO Bespoke'!$C$33),{5})),"")</f>
        <v/>
      </c>
      <c r="AB308" s="479"/>
      <c r="AC308" s="515"/>
      <c r="AD308" s="516"/>
      <c r="AE308" s="516"/>
      <c r="AF308" s="516"/>
      <c r="AG308" s="516"/>
      <c r="AH308" s="516"/>
      <c r="AI308" s="516"/>
      <c r="AJ308" s="516"/>
      <c r="AK308" s="516"/>
      <c r="AL308" s="517"/>
      <c r="AM308" s="534"/>
    </row>
    <row r="309" spans="2:39" ht="12" thickBot="1">
      <c r="B309" s="552" t="s">
        <v>600</v>
      </c>
      <c r="C309" s="553" t="s">
        <v>66</v>
      </c>
      <c r="D309" s="553" t="s">
        <v>59</v>
      </c>
      <c r="E309" s="553" t="s">
        <v>660</v>
      </c>
      <c r="F309" s="553" t="s">
        <v>663</v>
      </c>
      <c r="G309" s="554">
        <v>0.01</v>
      </c>
      <c r="H309" s="554">
        <v>8.9420000000000003E-3</v>
      </c>
      <c r="I309" s="555">
        <v>0.4</v>
      </c>
      <c r="J309" s="556">
        <v>95</v>
      </c>
      <c r="K309" s="274"/>
      <c r="L309" s="274"/>
      <c r="M309" s="487" t="str">
        <f ca="1">IF('CDO Bespoke'!O310&lt;&gt;"",'CDO Bespoke'!O310,"")</f>
        <v/>
      </c>
      <c r="N309" s="488" t="str">
        <f ca="1">IF(M309&lt;&gt;"",ABS(MIN(-0.75*('CDO Bespoke'!Q310)+'CDO Bespoke'!T310,0)),"")</f>
        <v/>
      </c>
      <c r="O309" s="488">
        <f t="shared" ca="1" si="16"/>
        <v>0</v>
      </c>
      <c r="P309" s="488">
        <f t="shared" ca="1" si="17"/>
        <v>0</v>
      </c>
      <c r="Q309" s="487" t="str">
        <f ca="1">IF('CDO Bespoke'!O310&lt;&gt;"",'CDO Bespoke'!O310,"")</f>
        <v/>
      </c>
      <c r="R309" s="488" t="str">
        <f ca="1">IF(Q309&lt;&gt;"",ABS(MIN(-0.75*('CDO Bespoke'!K310)+'CDO Bespoke'!T310,0)),"")</f>
        <v/>
      </c>
      <c r="S309" s="488">
        <f t="shared" ca="1" si="18"/>
        <v>0</v>
      </c>
      <c r="T309" s="492">
        <f t="shared" ca="1" si="19"/>
        <v>0</v>
      </c>
      <c r="U309" s="274"/>
      <c r="V309" s="497" t="str">
        <f ca="1">IF('CDO Bespoke'!C334&lt;&gt;"",'CDO Bespoke'!C334,"")</f>
        <v/>
      </c>
      <c r="W309" s="499" t="str" cm="1">
        <f t="array" aca="1" ref="W309" ca="1">IF($V309&lt;&gt;"",-TRANSPOSE(INDEX(getcds('CDO Bespoke'!$C334,W$13,'CDO Bespoke'!$G334/10000,'CDO Bespoke'!F334,'CDO Bespoke'!$L310,'CDO Bespoke'!$C$13,'CDO Bespoke'!$C$14,'CDO Bespoke'!$C$15,'CDO Bespoke'!$C$8,,,TRUE,TRUE,FALSE,'CDO Bespoke'!$C$29:'CDO Bespoke'!$C$31,'CDO Bespoke'!$C$33),{5})),"")</f>
        <v/>
      </c>
      <c r="X309" s="524" t="str" cm="1">
        <f t="array" aca="1" ref="X309" ca="1">IF($V309&lt;&gt;"",-TRANSPOSE(INDEX(getcds('CDO Bespoke'!$C334,X$13,'CDO Bespoke'!$G334/10000,'CDO Bespoke'!G334,'CDO Bespoke'!$L310,'CDO Bespoke'!$C$13,'CDO Bespoke'!$C$14,'CDO Bespoke'!$C$15,'CDO Bespoke'!$C$8,,,TRUE,TRUE,FALSE,'CDO Bespoke'!$C$29:'CDO Bespoke'!$C$31,'CDO Bespoke'!$C$33),{5})),"")</f>
        <v/>
      </c>
      <c r="Y309" s="524" t="str" cm="1">
        <f t="array" aca="1" ref="Y309" ca="1">IF($V309&lt;&gt;"",-TRANSPOSE(INDEX(getcds('CDO Bespoke'!$C334,Y$13,'CDO Bespoke'!$G334/10000,'CDO Bespoke'!H334,'CDO Bespoke'!$L310,'CDO Bespoke'!$C$13,'CDO Bespoke'!$C$14,'CDO Bespoke'!$C$15,'CDO Bespoke'!$C$8,,,TRUE,TRUE,FALSE,'CDO Bespoke'!$C$29:'CDO Bespoke'!$C$31,'CDO Bespoke'!$C$33),{5})),"")</f>
        <v/>
      </c>
      <c r="Z309" s="524" t="str" cm="1">
        <f t="array" aca="1" ref="Z309" ca="1">IF($V309&lt;&gt;"",-TRANSPOSE(INDEX(getcds('CDO Bespoke'!$C334,Z$13,'CDO Bespoke'!$G334/10000,'CDO Bespoke'!I334,'CDO Bespoke'!$L310,'CDO Bespoke'!$C$13,'CDO Bespoke'!$C$14,'CDO Bespoke'!$C$15,'CDO Bespoke'!$C$8,,,TRUE,TRUE,FALSE,'CDO Bespoke'!$C$29:'CDO Bespoke'!$C$31,'CDO Bespoke'!$C$33),{5})),"")</f>
        <v/>
      </c>
      <c r="AA309" s="500" t="str" cm="1">
        <f t="array" aca="1" ref="AA309" ca="1">IF($V309&lt;&gt;"",-TRANSPOSE(INDEX(getcds('CDO Bespoke'!$C334,AA$13,'CDO Bespoke'!$G334/10000,'CDO Bespoke'!J334,'CDO Bespoke'!$L310,'CDO Bespoke'!$C$13,'CDO Bespoke'!$C$14,'CDO Bespoke'!$C$15,'CDO Bespoke'!$C$8,,,TRUE,TRUE,FALSE,'CDO Bespoke'!$C$29:'CDO Bespoke'!$C$31,'CDO Bespoke'!$C$33),{5})),"")</f>
        <v/>
      </c>
      <c r="AB309" s="479"/>
      <c r="AC309" s="515"/>
      <c r="AD309" s="516"/>
      <c r="AE309" s="516"/>
      <c r="AF309" s="516"/>
      <c r="AG309" s="516"/>
      <c r="AH309" s="516"/>
      <c r="AI309" s="516"/>
      <c r="AJ309" s="516"/>
      <c r="AK309" s="516"/>
      <c r="AL309" s="517"/>
      <c r="AM309" s="534"/>
    </row>
    <row r="310" spans="2:39" ht="12" thickBot="1">
      <c r="B310" s="557"/>
      <c r="C310" s="558" t="s">
        <v>66</v>
      </c>
      <c r="D310" s="558" t="s">
        <v>55</v>
      </c>
      <c r="E310" s="558"/>
      <c r="F310" s="558"/>
      <c r="G310" s="559">
        <v>0.01</v>
      </c>
      <c r="H310" s="559"/>
      <c r="I310" s="560">
        <v>0.4</v>
      </c>
      <c r="J310" s="561">
        <v>96</v>
      </c>
      <c r="K310" s="274"/>
      <c r="L310" s="274"/>
      <c r="M310" s="487" t="str">
        <f ca="1">IF('CDO Bespoke'!O311&lt;&gt;"",'CDO Bespoke'!O311,"")</f>
        <v/>
      </c>
      <c r="N310" s="488" t="str">
        <f ca="1">IF(M310&lt;&gt;"",ABS(MIN(-0.75*('CDO Bespoke'!Q311)+'CDO Bespoke'!T311,0)),"")</f>
        <v/>
      </c>
      <c r="O310" s="488">
        <f t="shared" ca="1" si="16"/>
        <v>0</v>
      </c>
      <c r="P310" s="488">
        <f t="shared" ca="1" si="17"/>
        <v>0</v>
      </c>
      <c r="Q310" s="487" t="str">
        <f ca="1">IF('CDO Bespoke'!O311&lt;&gt;"",'CDO Bespoke'!O311,"")</f>
        <v/>
      </c>
      <c r="R310" s="488" t="str">
        <f ca="1">IF(Q310&lt;&gt;"",ABS(MIN(-0.75*('CDO Bespoke'!K311)+'CDO Bespoke'!T311,0)),"")</f>
        <v/>
      </c>
      <c r="S310" s="488">
        <f t="shared" ca="1" si="18"/>
        <v>0</v>
      </c>
      <c r="T310" s="492">
        <f t="shared" ca="1" si="19"/>
        <v>0</v>
      </c>
      <c r="U310" s="274"/>
      <c r="V310" s="497" t="str">
        <f ca="1">IF('CDO Bespoke'!C335&lt;&gt;"",'CDO Bespoke'!C335,"")</f>
        <v/>
      </c>
      <c r="W310" s="499" t="str" cm="1">
        <f t="array" aca="1" ref="W310" ca="1">IF($V310&lt;&gt;"",-TRANSPOSE(INDEX(getcds('CDO Bespoke'!$C335,W$13,'CDO Bespoke'!$G335/10000,'CDO Bespoke'!F335,'CDO Bespoke'!$L311,'CDO Bespoke'!$C$13,'CDO Bespoke'!$C$14,'CDO Bespoke'!$C$15,'CDO Bespoke'!$C$8,,,TRUE,TRUE,FALSE,'CDO Bespoke'!$C$29:'CDO Bespoke'!$C$31,'CDO Bespoke'!$C$33),{5})),"")</f>
        <v/>
      </c>
      <c r="X310" s="524" t="str" cm="1">
        <f t="array" aca="1" ref="X310" ca="1">IF($V310&lt;&gt;"",-TRANSPOSE(INDEX(getcds('CDO Bespoke'!$C335,X$13,'CDO Bespoke'!$G335/10000,'CDO Bespoke'!G335,'CDO Bespoke'!$L311,'CDO Bespoke'!$C$13,'CDO Bespoke'!$C$14,'CDO Bespoke'!$C$15,'CDO Bespoke'!$C$8,,,TRUE,TRUE,FALSE,'CDO Bespoke'!$C$29:'CDO Bespoke'!$C$31,'CDO Bespoke'!$C$33),{5})),"")</f>
        <v/>
      </c>
      <c r="Y310" s="524" t="str" cm="1">
        <f t="array" aca="1" ref="Y310" ca="1">IF($V310&lt;&gt;"",-TRANSPOSE(INDEX(getcds('CDO Bespoke'!$C335,Y$13,'CDO Bespoke'!$G335/10000,'CDO Bespoke'!H335,'CDO Bespoke'!$L311,'CDO Bespoke'!$C$13,'CDO Bespoke'!$C$14,'CDO Bespoke'!$C$15,'CDO Bespoke'!$C$8,,,TRUE,TRUE,FALSE,'CDO Bespoke'!$C$29:'CDO Bespoke'!$C$31,'CDO Bespoke'!$C$33),{5})),"")</f>
        <v/>
      </c>
      <c r="Z310" s="524" t="str" cm="1">
        <f t="array" aca="1" ref="Z310" ca="1">IF($V310&lt;&gt;"",-TRANSPOSE(INDEX(getcds('CDO Bespoke'!$C335,Z$13,'CDO Bespoke'!$G335/10000,'CDO Bespoke'!I335,'CDO Bespoke'!$L311,'CDO Bespoke'!$C$13,'CDO Bespoke'!$C$14,'CDO Bespoke'!$C$15,'CDO Bespoke'!$C$8,,,TRUE,TRUE,FALSE,'CDO Bespoke'!$C$29:'CDO Bespoke'!$C$31,'CDO Bespoke'!$C$33),{5})),"")</f>
        <v/>
      </c>
      <c r="AA310" s="500" t="str" cm="1">
        <f t="array" aca="1" ref="AA310" ca="1">IF($V310&lt;&gt;"",-TRANSPOSE(INDEX(getcds('CDO Bespoke'!$C335,AA$13,'CDO Bespoke'!$G335/10000,'CDO Bespoke'!J335,'CDO Bespoke'!$L311,'CDO Bespoke'!$C$13,'CDO Bespoke'!$C$14,'CDO Bespoke'!$C$15,'CDO Bespoke'!$C$8,,,TRUE,TRUE,FALSE,'CDO Bespoke'!$C$29:'CDO Bespoke'!$C$31,'CDO Bespoke'!$C$33),{5})),"")</f>
        <v/>
      </c>
      <c r="AB310" s="479"/>
      <c r="AC310" s="515"/>
      <c r="AD310" s="516"/>
      <c r="AE310" s="516"/>
      <c r="AF310" s="516"/>
      <c r="AG310" s="516"/>
      <c r="AH310" s="516"/>
      <c r="AI310" s="516"/>
      <c r="AJ310" s="516"/>
      <c r="AK310" s="516"/>
      <c r="AL310" s="517"/>
      <c r="AM310" s="534"/>
    </row>
    <row r="311" spans="2:39" ht="12" thickBot="1">
      <c r="B311" s="535"/>
      <c r="C311" s="536" t="s">
        <v>66</v>
      </c>
      <c r="D311" s="536" t="s">
        <v>57</v>
      </c>
      <c r="E311" s="536"/>
      <c r="F311" s="536"/>
      <c r="G311" s="543">
        <v>0.01</v>
      </c>
      <c r="H311" s="543"/>
      <c r="I311" s="545">
        <v>0.4</v>
      </c>
      <c r="J311" s="537">
        <v>96</v>
      </c>
      <c r="K311" s="274"/>
      <c r="L311" s="274"/>
      <c r="M311" s="487" t="str">
        <f ca="1">IF('CDO Bespoke'!O312&lt;&gt;"",'CDO Bespoke'!O312,"")</f>
        <v/>
      </c>
      <c r="N311" s="488" t="str">
        <f ca="1">IF(M311&lt;&gt;"",ABS(MIN(-0.75*('CDO Bespoke'!Q312)+'CDO Bespoke'!T312,0)),"")</f>
        <v/>
      </c>
      <c r="O311" s="488">
        <f t="shared" ca="1" si="16"/>
        <v>0</v>
      </c>
      <c r="P311" s="488">
        <f t="shared" ca="1" si="17"/>
        <v>0</v>
      </c>
      <c r="Q311" s="487" t="str">
        <f ca="1">IF('CDO Bespoke'!O312&lt;&gt;"",'CDO Bespoke'!O312,"")</f>
        <v/>
      </c>
      <c r="R311" s="488" t="str">
        <f ca="1">IF(Q311&lt;&gt;"",ABS(MIN(-0.75*('CDO Bespoke'!K312)+'CDO Bespoke'!T312,0)),"")</f>
        <v/>
      </c>
      <c r="S311" s="488">
        <f t="shared" ca="1" si="18"/>
        <v>0</v>
      </c>
      <c r="T311" s="492">
        <f t="shared" ca="1" si="19"/>
        <v>0</v>
      </c>
      <c r="U311" s="274"/>
      <c r="V311" s="497" t="str">
        <f ca="1">IF('CDO Bespoke'!C336&lt;&gt;"",'CDO Bespoke'!C336,"")</f>
        <v/>
      </c>
      <c r="W311" s="499" t="str" cm="1">
        <f t="array" aca="1" ref="W311" ca="1">IF($V311&lt;&gt;"",-TRANSPOSE(INDEX(getcds('CDO Bespoke'!$C336,W$13,'CDO Bespoke'!$G336/10000,'CDO Bespoke'!F336,'CDO Bespoke'!$L312,'CDO Bespoke'!$C$13,'CDO Bespoke'!$C$14,'CDO Bespoke'!$C$15,'CDO Bespoke'!$C$8,,,TRUE,TRUE,FALSE,'CDO Bespoke'!$C$29:'CDO Bespoke'!$C$31,'CDO Bespoke'!$C$33),{5})),"")</f>
        <v/>
      </c>
      <c r="X311" s="524" t="str" cm="1">
        <f t="array" aca="1" ref="X311" ca="1">IF($V311&lt;&gt;"",-TRANSPOSE(INDEX(getcds('CDO Bespoke'!$C336,X$13,'CDO Bespoke'!$G336/10000,'CDO Bespoke'!G336,'CDO Bespoke'!$L312,'CDO Bespoke'!$C$13,'CDO Bespoke'!$C$14,'CDO Bespoke'!$C$15,'CDO Bespoke'!$C$8,,,TRUE,TRUE,FALSE,'CDO Bespoke'!$C$29:'CDO Bespoke'!$C$31,'CDO Bespoke'!$C$33),{5})),"")</f>
        <v/>
      </c>
      <c r="Y311" s="524" t="str" cm="1">
        <f t="array" aca="1" ref="Y311" ca="1">IF($V311&lt;&gt;"",-TRANSPOSE(INDEX(getcds('CDO Bespoke'!$C336,Y$13,'CDO Bespoke'!$G336/10000,'CDO Bespoke'!H336,'CDO Bespoke'!$L312,'CDO Bespoke'!$C$13,'CDO Bespoke'!$C$14,'CDO Bespoke'!$C$15,'CDO Bespoke'!$C$8,,,TRUE,TRUE,FALSE,'CDO Bespoke'!$C$29:'CDO Bespoke'!$C$31,'CDO Bespoke'!$C$33),{5})),"")</f>
        <v/>
      </c>
      <c r="Z311" s="524" t="str" cm="1">
        <f t="array" aca="1" ref="Z311" ca="1">IF($V311&lt;&gt;"",-TRANSPOSE(INDEX(getcds('CDO Bespoke'!$C336,Z$13,'CDO Bespoke'!$G336/10000,'CDO Bespoke'!I336,'CDO Bespoke'!$L312,'CDO Bespoke'!$C$13,'CDO Bespoke'!$C$14,'CDO Bespoke'!$C$15,'CDO Bespoke'!$C$8,,,TRUE,TRUE,FALSE,'CDO Bespoke'!$C$29:'CDO Bespoke'!$C$31,'CDO Bespoke'!$C$33),{5})),"")</f>
        <v/>
      </c>
      <c r="AA311" s="500" t="str" cm="1">
        <f t="array" aca="1" ref="AA311" ca="1">IF($V311&lt;&gt;"",-TRANSPOSE(INDEX(getcds('CDO Bespoke'!$C336,AA$13,'CDO Bespoke'!$G336/10000,'CDO Bespoke'!J336,'CDO Bespoke'!$L312,'CDO Bespoke'!$C$13,'CDO Bespoke'!$C$14,'CDO Bespoke'!$C$15,'CDO Bespoke'!$C$8,,,TRUE,TRUE,FALSE,'CDO Bespoke'!$C$29:'CDO Bespoke'!$C$31,'CDO Bespoke'!$C$33),{5})),"")</f>
        <v/>
      </c>
      <c r="AB311" s="479"/>
      <c r="AC311" s="515"/>
      <c r="AD311" s="516"/>
      <c r="AE311" s="516"/>
      <c r="AF311" s="516"/>
      <c r="AG311" s="516"/>
      <c r="AH311" s="516"/>
      <c r="AI311" s="516"/>
      <c r="AJ311" s="516"/>
      <c r="AK311" s="516"/>
      <c r="AL311" s="517"/>
      <c r="AM311" s="534"/>
    </row>
    <row r="312" spans="2:39" ht="12" thickBot="1">
      <c r="B312" s="552"/>
      <c r="C312" s="553" t="s">
        <v>66</v>
      </c>
      <c r="D312" s="553" t="s">
        <v>59</v>
      </c>
      <c r="E312" s="553"/>
      <c r="F312" s="553"/>
      <c r="G312" s="554">
        <v>0.01</v>
      </c>
      <c r="H312" s="554"/>
      <c r="I312" s="555">
        <v>0.4</v>
      </c>
      <c r="J312" s="556">
        <v>96</v>
      </c>
      <c r="K312" s="274"/>
      <c r="L312" s="274"/>
      <c r="M312" s="487" t="str">
        <f ca="1">IF('CDO Bespoke'!O313&lt;&gt;"",'CDO Bespoke'!O313,"")</f>
        <v/>
      </c>
      <c r="N312" s="488" t="str">
        <f ca="1">IF(M312&lt;&gt;"",ABS(MIN(-0.75*('CDO Bespoke'!Q313)+'CDO Bespoke'!T313,0)),"")</f>
        <v/>
      </c>
      <c r="O312" s="488">
        <f t="shared" ca="1" si="16"/>
        <v>0</v>
      </c>
      <c r="P312" s="488">
        <f t="shared" ca="1" si="17"/>
        <v>0</v>
      </c>
      <c r="Q312" s="487" t="str">
        <f ca="1">IF('CDO Bespoke'!O313&lt;&gt;"",'CDO Bespoke'!O313,"")</f>
        <v/>
      </c>
      <c r="R312" s="488" t="str">
        <f ca="1">IF(Q312&lt;&gt;"",ABS(MIN(-0.75*('CDO Bespoke'!K313)+'CDO Bespoke'!T313,0)),"")</f>
        <v/>
      </c>
      <c r="S312" s="488">
        <f t="shared" ca="1" si="18"/>
        <v>0</v>
      </c>
      <c r="T312" s="492">
        <f t="shared" ca="1" si="19"/>
        <v>0</v>
      </c>
      <c r="U312" s="274"/>
      <c r="V312" s="497" t="str">
        <f ca="1">IF('CDO Bespoke'!C337&lt;&gt;"",'CDO Bespoke'!C337,"")</f>
        <v/>
      </c>
      <c r="W312" s="499" t="str" cm="1">
        <f t="array" aca="1" ref="W312" ca="1">IF($V312&lt;&gt;"",-TRANSPOSE(INDEX(getcds('CDO Bespoke'!$C337,W$13,'CDO Bespoke'!$G337/10000,'CDO Bespoke'!F337,'CDO Bespoke'!$L313,'CDO Bespoke'!$C$13,'CDO Bespoke'!$C$14,'CDO Bespoke'!$C$15,'CDO Bespoke'!$C$8,,,TRUE,TRUE,FALSE,'CDO Bespoke'!$C$29:'CDO Bespoke'!$C$31,'CDO Bespoke'!$C$33),{5})),"")</f>
        <v/>
      </c>
      <c r="X312" s="524" t="str" cm="1">
        <f t="array" aca="1" ref="X312" ca="1">IF($V312&lt;&gt;"",-TRANSPOSE(INDEX(getcds('CDO Bespoke'!$C337,X$13,'CDO Bespoke'!$G337/10000,'CDO Bespoke'!G337,'CDO Bespoke'!$L313,'CDO Bespoke'!$C$13,'CDO Bespoke'!$C$14,'CDO Bespoke'!$C$15,'CDO Bespoke'!$C$8,,,TRUE,TRUE,FALSE,'CDO Bespoke'!$C$29:'CDO Bespoke'!$C$31,'CDO Bespoke'!$C$33),{5})),"")</f>
        <v/>
      </c>
      <c r="Y312" s="524" t="str" cm="1">
        <f t="array" aca="1" ref="Y312" ca="1">IF($V312&lt;&gt;"",-TRANSPOSE(INDEX(getcds('CDO Bespoke'!$C337,Y$13,'CDO Bespoke'!$G337/10000,'CDO Bespoke'!H337,'CDO Bespoke'!$L313,'CDO Bespoke'!$C$13,'CDO Bespoke'!$C$14,'CDO Bespoke'!$C$15,'CDO Bespoke'!$C$8,,,TRUE,TRUE,FALSE,'CDO Bespoke'!$C$29:'CDO Bespoke'!$C$31,'CDO Bespoke'!$C$33),{5})),"")</f>
        <v/>
      </c>
      <c r="Z312" s="524" t="str" cm="1">
        <f t="array" aca="1" ref="Z312" ca="1">IF($V312&lt;&gt;"",-TRANSPOSE(INDEX(getcds('CDO Bespoke'!$C337,Z$13,'CDO Bespoke'!$G337/10000,'CDO Bespoke'!I337,'CDO Bespoke'!$L313,'CDO Bespoke'!$C$13,'CDO Bespoke'!$C$14,'CDO Bespoke'!$C$15,'CDO Bespoke'!$C$8,,,TRUE,TRUE,FALSE,'CDO Bespoke'!$C$29:'CDO Bespoke'!$C$31,'CDO Bespoke'!$C$33),{5})),"")</f>
        <v/>
      </c>
      <c r="AA312" s="500" t="str" cm="1">
        <f t="array" aca="1" ref="AA312" ca="1">IF($V312&lt;&gt;"",-TRANSPOSE(INDEX(getcds('CDO Bespoke'!$C337,AA$13,'CDO Bespoke'!$G337/10000,'CDO Bespoke'!J337,'CDO Bespoke'!$L313,'CDO Bespoke'!$C$13,'CDO Bespoke'!$C$14,'CDO Bespoke'!$C$15,'CDO Bespoke'!$C$8,,,TRUE,TRUE,FALSE,'CDO Bespoke'!$C$29:'CDO Bespoke'!$C$31,'CDO Bespoke'!$C$33),{5})),"")</f>
        <v/>
      </c>
      <c r="AB312" s="479"/>
      <c r="AC312" s="515"/>
      <c r="AD312" s="516"/>
      <c r="AE312" s="516"/>
      <c r="AF312" s="516"/>
      <c r="AG312" s="516"/>
      <c r="AH312" s="516"/>
      <c r="AI312" s="516"/>
      <c r="AJ312" s="516"/>
      <c r="AK312" s="516"/>
      <c r="AL312" s="517"/>
      <c r="AM312" s="534"/>
    </row>
    <row r="313" spans="2:39" ht="12" thickBot="1">
      <c r="B313" s="557"/>
      <c r="C313" s="558" t="s">
        <v>66</v>
      </c>
      <c r="D313" s="558" t="s">
        <v>55</v>
      </c>
      <c r="E313" s="558"/>
      <c r="F313" s="558"/>
      <c r="G313" s="559">
        <v>0.01</v>
      </c>
      <c r="H313" s="559"/>
      <c r="I313" s="560">
        <v>0.4</v>
      </c>
      <c r="J313" s="561">
        <v>97</v>
      </c>
      <c r="K313" s="274"/>
      <c r="L313" s="274"/>
      <c r="M313" s="493" t="str">
        <f ca="1">IF('CDO Bespoke'!O314&lt;&gt;"",'CDO Bespoke'!O314,"")</f>
        <v/>
      </c>
      <c r="N313" s="494" t="str">
        <f ca="1">IF(M313&lt;&gt;"",ABS(MIN(-0.75*('CDO Bespoke'!Q314)+'CDO Bespoke'!T314,0)),"")</f>
        <v/>
      </c>
      <c r="O313" s="494">
        <f t="shared" ca="1" si="16"/>
        <v>0</v>
      </c>
      <c r="P313" s="494">
        <f t="shared" ca="1" si="17"/>
        <v>0</v>
      </c>
      <c r="Q313" s="493" t="str">
        <f ca="1">IF('CDO Bespoke'!O314&lt;&gt;"",'CDO Bespoke'!O314,"")</f>
        <v/>
      </c>
      <c r="R313" s="494" t="str">
        <f ca="1">IF(Q313&lt;&gt;"",ABS(MIN(-0.75*('CDO Bespoke'!K314)+'CDO Bespoke'!T314,0)),"")</f>
        <v/>
      </c>
      <c r="S313" s="494">
        <f t="shared" ca="1" si="18"/>
        <v>0</v>
      </c>
      <c r="T313" s="495">
        <f t="shared" ca="1" si="19"/>
        <v>0</v>
      </c>
      <c r="U313" s="274"/>
      <c r="V313" s="498" t="str">
        <f ca="1">IF('CDO Bespoke'!C338&lt;&gt;"",'CDO Bespoke'!C338,"")</f>
        <v/>
      </c>
      <c r="W313" s="501" t="str" cm="1">
        <f t="array" aca="1" ref="W313" ca="1">IF($V313&lt;&gt;"",-TRANSPOSE(INDEX(getcds('CDO Bespoke'!$C338,W$13,'CDO Bespoke'!$G338/10000,'CDO Bespoke'!F338,'CDO Bespoke'!$L314,'CDO Bespoke'!$C$13,'CDO Bespoke'!$C$14,'CDO Bespoke'!$C$15,'CDO Bespoke'!$C$8,,,TRUE,TRUE,FALSE,'CDO Bespoke'!$C$29:'CDO Bespoke'!$C$31,'CDO Bespoke'!$C$33),{5})),"")</f>
        <v/>
      </c>
      <c r="X313" s="502" t="str" cm="1">
        <f t="array" aca="1" ref="X313" ca="1">IF($V313&lt;&gt;"",-TRANSPOSE(INDEX(getcds('CDO Bespoke'!$C338,X$13,'CDO Bespoke'!$G338/10000,'CDO Bespoke'!G338,'CDO Bespoke'!$L314,'CDO Bespoke'!$C$13,'CDO Bespoke'!$C$14,'CDO Bespoke'!$C$15,'CDO Bespoke'!$C$8,,,TRUE,TRUE,FALSE,'CDO Bespoke'!$C$29:'CDO Bespoke'!$C$31,'CDO Bespoke'!$C$33),{5})),"")</f>
        <v/>
      </c>
      <c r="Y313" s="502" t="str" cm="1">
        <f t="array" aca="1" ref="Y313" ca="1">IF($V313&lt;&gt;"",-TRANSPOSE(INDEX(getcds('CDO Bespoke'!$C338,Y$13,'CDO Bespoke'!$G338/10000,'CDO Bespoke'!H338,'CDO Bespoke'!$L314,'CDO Bespoke'!$C$13,'CDO Bespoke'!$C$14,'CDO Bespoke'!$C$15,'CDO Bespoke'!$C$8,,,TRUE,TRUE,FALSE,'CDO Bespoke'!$C$29:'CDO Bespoke'!$C$31,'CDO Bespoke'!$C$33),{5})),"")</f>
        <v/>
      </c>
      <c r="Z313" s="502" t="str" cm="1">
        <f t="array" aca="1" ref="Z313" ca="1">IF($V313&lt;&gt;"",-TRANSPOSE(INDEX(getcds('CDO Bespoke'!$C338,Z$13,'CDO Bespoke'!$G338/10000,'CDO Bespoke'!I338,'CDO Bespoke'!$L314,'CDO Bespoke'!$C$13,'CDO Bespoke'!$C$14,'CDO Bespoke'!$C$15,'CDO Bespoke'!$C$8,,,TRUE,TRUE,FALSE,'CDO Bespoke'!$C$29:'CDO Bespoke'!$C$31,'CDO Bespoke'!$C$33),{5})),"")</f>
        <v/>
      </c>
      <c r="AA313" s="503" t="str" cm="1">
        <f t="array" aca="1" ref="AA313" ca="1">IF($V313&lt;&gt;"",-TRANSPOSE(INDEX(getcds('CDO Bespoke'!$C338,AA$13,'CDO Bespoke'!$G338/10000,'CDO Bespoke'!J338,'CDO Bespoke'!$L314,'CDO Bespoke'!$C$13,'CDO Bespoke'!$C$14,'CDO Bespoke'!$C$15,'CDO Bespoke'!$C$8,,,TRUE,TRUE,FALSE,'CDO Bespoke'!$C$29:'CDO Bespoke'!$C$31,'CDO Bespoke'!$C$33),{5})),"")</f>
        <v/>
      </c>
      <c r="AB313" s="479"/>
      <c r="AC313" s="518"/>
      <c r="AD313" s="519"/>
      <c r="AE313" s="519"/>
      <c r="AF313" s="519"/>
      <c r="AG313" s="519"/>
      <c r="AH313" s="519"/>
      <c r="AI313" s="519"/>
      <c r="AJ313" s="519"/>
      <c r="AK313" s="519"/>
      <c r="AL313" s="520"/>
      <c r="AM313" s="534"/>
    </row>
    <row r="314" spans="2:39">
      <c r="B314" s="535"/>
      <c r="C314" s="536" t="s">
        <v>66</v>
      </c>
      <c r="D314" s="536" t="s">
        <v>57</v>
      </c>
      <c r="E314" s="536"/>
      <c r="F314" s="536"/>
      <c r="G314" s="543">
        <v>0.01</v>
      </c>
      <c r="H314" s="543"/>
      <c r="I314" s="545">
        <v>0.4</v>
      </c>
      <c r="J314" s="537">
        <v>97</v>
      </c>
      <c r="K314" s="274"/>
      <c r="L314" s="274"/>
      <c r="M314" s="274"/>
      <c r="N314" s="274"/>
      <c r="O314" s="274"/>
      <c r="P314" s="274"/>
      <c r="Q314" s="274"/>
      <c r="R314" s="274"/>
      <c r="S314" s="274"/>
      <c r="T314" s="274"/>
      <c r="U314" s="274"/>
      <c r="V314" s="274"/>
      <c r="W314" s="274"/>
      <c r="X314" s="274"/>
      <c r="Y314" s="274"/>
      <c r="Z314" s="274"/>
      <c r="AA314" s="274"/>
      <c r="AB314" s="274"/>
      <c r="AC314" s="274"/>
      <c r="AD314" s="274"/>
      <c r="AE314" s="274"/>
    </row>
    <row r="315" spans="2:39">
      <c r="B315" s="552"/>
      <c r="C315" s="553" t="s">
        <v>66</v>
      </c>
      <c r="D315" s="553" t="s">
        <v>59</v>
      </c>
      <c r="E315" s="553"/>
      <c r="F315" s="553"/>
      <c r="G315" s="554">
        <v>0.01</v>
      </c>
      <c r="H315" s="554"/>
      <c r="I315" s="555">
        <v>0.4</v>
      </c>
      <c r="J315" s="556">
        <v>97</v>
      </c>
      <c r="K315" s="274"/>
      <c r="L315" s="274"/>
      <c r="M315" s="274"/>
      <c r="N315" s="274"/>
      <c r="O315" s="274"/>
      <c r="P315" s="274"/>
      <c r="Q315" s="274"/>
      <c r="R315" s="274"/>
      <c r="S315" s="274"/>
      <c r="T315" s="274"/>
      <c r="U315" s="274"/>
      <c r="V315" s="274"/>
      <c r="W315" s="274"/>
      <c r="X315" s="274"/>
      <c r="Y315" s="274"/>
      <c r="Z315" s="274"/>
      <c r="AA315" s="274"/>
      <c r="AB315" s="274"/>
      <c r="AC315" s="274"/>
      <c r="AD315" s="274"/>
      <c r="AE315" s="274"/>
    </row>
    <row r="316" spans="2:39">
      <c r="B316" s="557"/>
      <c r="C316" s="558" t="s">
        <v>66</v>
      </c>
      <c r="D316" s="558" t="s">
        <v>55</v>
      </c>
      <c r="E316" s="558"/>
      <c r="F316" s="558"/>
      <c r="G316" s="559">
        <v>0.01</v>
      </c>
      <c r="H316" s="559"/>
      <c r="I316" s="560">
        <v>0.4</v>
      </c>
      <c r="J316" s="561">
        <v>98</v>
      </c>
      <c r="K316" s="274"/>
      <c r="L316" s="274"/>
      <c r="M316" s="274"/>
      <c r="N316" s="274"/>
      <c r="O316" s="274"/>
      <c r="P316" s="274"/>
      <c r="Q316" s="274"/>
      <c r="R316" s="274"/>
      <c r="S316" s="274"/>
      <c r="T316" s="274"/>
      <c r="U316" s="274"/>
      <c r="V316" s="274"/>
      <c r="W316" s="274"/>
      <c r="X316" s="274"/>
      <c r="Y316" s="274"/>
      <c r="Z316" s="274"/>
      <c r="AA316" s="274"/>
      <c r="AB316" s="274"/>
      <c r="AC316" s="274"/>
      <c r="AD316" s="274"/>
      <c r="AE316" s="274"/>
    </row>
    <row r="317" spans="2:39">
      <c r="B317" s="535"/>
      <c r="C317" s="536" t="s">
        <v>66</v>
      </c>
      <c r="D317" s="536" t="s">
        <v>57</v>
      </c>
      <c r="E317" s="536"/>
      <c r="F317" s="536"/>
      <c r="G317" s="543">
        <v>0.01</v>
      </c>
      <c r="H317" s="543"/>
      <c r="I317" s="545">
        <v>0.4</v>
      </c>
      <c r="J317" s="537">
        <v>98</v>
      </c>
      <c r="K317" s="274"/>
      <c r="L317" s="274"/>
      <c r="M317" s="274"/>
      <c r="N317" s="274"/>
      <c r="O317" s="274"/>
      <c r="P317" s="274"/>
      <c r="Q317" s="274"/>
      <c r="R317" s="274"/>
      <c r="S317" s="274"/>
      <c r="T317" s="274"/>
      <c r="U317" s="274"/>
      <c r="V317" s="274"/>
      <c r="W317" s="274"/>
      <c r="X317" s="274"/>
      <c r="Y317" s="274"/>
      <c r="Z317" s="274"/>
      <c r="AA317" s="274"/>
      <c r="AB317" s="274"/>
      <c r="AC317" s="274"/>
      <c r="AD317" s="274"/>
      <c r="AE317" s="274"/>
    </row>
    <row r="318" spans="2:39">
      <c r="B318" s="552"/>
      <c r="C318" s="553" t="s">
        <v>66</v>
      </c>
      <c r="D318" s="553" t="s">
        <v>59</v>
      </c>
      <c r="E318" s="553"/>
      <c r="F318" s="553"/>
      <c r="G318" s="554">
        <v>0.01</v>
      </c>
      <c r="H318" s="554"/>
      <c r="I318" s="555">
        <v>0.4</v>
      </c>
      <c r="J318" s="556">
        <v>98</v>
      </c>
      <c r="K318" s="274"/>
      <c r="L318" s="274"/>
      <c r="M318" s="274"/>
      <c r="N318" s="274"/>
      <c r="O318" s="274"/>
      <c r="P318" s="274"/>
      <c r="Q318" s="274"/>
      <c r="R318" s="274"/>
      <c r="S318" s="274"/>
      <c r="T318" s="274"/>
      <c r="U318" s="274"/>
      <c r="V318" s="274"/>
      <c r="W318" s="274"/>
      <c r="X318" s="274"/>
      <c r="Y318" s="274"/>
      <c r="Z318" s="274"/>
      <c r="AA318" s="274"/>
      <c r="AB318" s="274"/>
      <c r="AC318" s="274"/>
      <c r="AD318" s="274"/>
      <c r="AE318" s="274"/>
    </row>
    <row r="319" spans="2:39">
      <c r="B319" s="557"/>
      <c r="C319" s="558" t="s">
        <v>66</v>
      </c>
      <c r="D319" s="558" t="s">
        <v>55</v>
      </c>
      <c r="E319" s="558"/>
      <c r="F319" s="558"/>
      <c r="G319" s="559">
        <v>0.01</v>
      </c>
      <c r="H319" s="559"/>
      <c r="I319" s="560">
        <v>0.4</v>
      </c>
      <c r="J319" s="561">
        <v>99</v>
      </c>
      <c r="K319" s="274"/>
      <c r="L319" s="274"/>
      <c r="M319" s="274"/>
      <c r="N319" s="274"/>
      <c r="O319" s="274"/>
      <c r="P319" s="274"/>
      <c r="Q319" s="274"/>
      <c r="R319" s="274"/>
      <c r="S319" s="274"/>
      <c r="T319" s="274"/>
      <c r="U319" s="274"/>
      <c r="V319" s="274"/>
      <c r="W319" s="274"/>
      <c r="X319" s="274"/>
      <c r="Y319" s="274"/>
      <c r="Z319" s="274"/>
      <c r="AA319" s="274"/>
      <c r="AB319" s="274"/>
      <c r="AC319" s="274"/>
      <c r="AD319" s="274"/>
      <c r="AE319" s="274"/>
    </row>
    <row r="320" spans="2:39">
      <c r="B320" s="535"/>
      <c r="C320" s="536" t="s">
        <v>66</v>
      </c>
      <c r="D320" s="536" t="s">
        <v>57</v>
      </c>
      <c r="E320" s="536"/>
      <c r="F320" s="536"/>
      <c r="G320" s="543">
        <v>0.01</v>
      </c>
      <c r="H320" s="543"/>
      <c r="I320" s="545">
        <v>0.4</v>
      </c>
      <c r="J320" s="537">
        <v>99</v>
      </c>
      <c r="K320" s="274"/>
      <c r="L320" s="274"/>
      <c r="M320" s="274"/>
      <c r="N320" s="274"/>
      <c r="O320" s="274"/>
      <c r="P320" s="274"/>
      <c r="Q320" s="274"/>
      <c r="R320" s="274"/>
      <c r="S320" s="274"/>
      <c r="T320" s="274"/>
      <c r="U320" s="274"/>
      <c r="V320" s="274"/>
      <c r="W320" s="274"/>
      <c r="X320" s="274"/>
      <c r="Y320" s="274"/>
      <c r="Z320" s="274"/>
      <c r="AA320" s="274"/>
      <c r="AB320" s="274"/>
      <c r="AC320" s="274"/>
      <c r="AD320" s="274"/>
      <c r="AE320" s="274"/>
    </row>
    <row r="321" spans="2:31">
      <c r="B321" s="552"/>
      <c r="C321" s="553" t="s">
        <v>66</v>
      </c>
      <c r="D321" s="553" t="s">
        <v>59</v>
      </c>
      <c r="E321" s="553"/>
      <c r="F321" s="553"/>
      <c r="G321" s="554">
        <v>0.01</v>
      </c>
      <c r="H321" s="554"/>
      <c r="I321" s="555">
        <v>0.4</v>
      </c>
      <c r="J321" s="556">
        <v>99</v>
      </c>
      <c r="K321" s="274"/>
      <c r="L321" s="274"/>
      <c r="M321" s="274"/>
      <c r="N321" s="274"/>
      <c r="O321" s="274"/>
      <c r="P321" s="274"/>
      <c r="Q321" s="274"/>
      <c r="R321" s="274"/>
      <c r="S321" s="274"/>
      <c r="T321" s="274"/>
      <c r="U321" s="274"/>
      <c r="V321" s="274"/>
      <c r="W321" s="274"/>
      <c r="X321" s="274"/>
      <c r="Y321" s="274"/>
      <c r="Z321" s="274"/>
      <c r="AA321" s="274"/>
      <c r="AB321" s="274"/>
      <c r="AC321" s="274"/>
      <c r="AD321" s="274"/>
      <c r="AE321" s="274"/>
    </row>
    <row r="322" spans="2:31">
      <c r="B322" s="557"/>
      <c r="C322" s="558" t="s">
        <v>66</v>
      </c>
      <c r="D322" s="558" t="s">
        <v>55</v>
      </c>
      <c r="E322" s="558"/>
      <c r="F322" s="558"/>
      <c r="G322" s="559">
        <v>0.01</v>
      </c>
      <c r="H322" s="559"/>
      <c r="I322" s="560">
        <v>0.4</v>
      </c>
      <c r="J322" s="561">
        <v>100</v>
      </c>
      <c r="K322" s="274"/>
      <c r="L322" s="274"/>
      <c r="M322" s="274"/>
      <c r="N322" s="274"/>
      <c r="O322" s="274"/>
      <c r="P322" s="274"/>
      <c r="Q322" s="274"/>
      <c r="R322" s="274"/>
      <c r="S322" s="274"/>
      <c r="T322" s="274"/>
      <c r="U322" s="274"/>
      <c r="V322" s="274"/>
      <c r="W322" s="274"/>
      <c r="X322" s="274"/>
      <c r="Y322" s="274"/>
      <c r="Z322" s="274"/>
      <c r="AA322" s="274"/>
      <c r="AB322" s="274"/>
      <c r="AC322" s="274"/>
      <c r="AD322" s="274"/>
      <c r="AE322" s="274"/>
    </row>
    <row r="323" spans="2:31">
      <c r="B323" s="535"/>
      <c r="C323" s="536" t="s">
        <v>66</v>
      </c>
      <c r="D323" s="536" t="s">
        <v>57</v>
      </c>
      <c r="E323" s="536"/>
      <c r="F323" s="536"/>
      <c r="G323" s="543">
        <v>0.01</v>
      </c>
      <c r="H323" s="543"/>
      <c r="I323" s="545">
        <v>0.4</v>
      </c>
      <c r="J323" s="537">
        <v>100</v>
      </c>
      <c r="K323" s="274"/>
      <c r="L323" s="274"/>
      <c r="M323" s="274"/>
      <c r="N323" s="274"/>
      <c r="O323" s="274"/>
      <c r="P323" s="274"/>
      <c r="Q323" s="274"/>
      <c r="R323" s="274"/>
      <c r="S323" s="274"/>
      <c r="T323" s="274"/>
      <c r="U323" s="274"/>
      <c r="V323" s="274"/>
      <c r="W323" s="274"/>
      <c r="X323" s="274"/>
      <c r="Y323" s="274"/>
      <c r="Z323" s="274"/>
      <c r="AA323" s="274"/>
      <c r="AB323" s="274"/>
      <c r="AC323" s="274"/>
      <c r="AD323" s="274"/>
      <c r="AE323" s="274"/>
    </row>
    <row r="324" spans="2:31">
      <c r="B324" s="552"/>
      <c r="C324" s="553" t="s">
        <v>66</v>
      </c>
      <c r="D324" s="553" t="s">
        <v>59</v>
      </c>
      <c r="E324" s="553"/>
      <c r="F324" s="553"/>
      <c r="G324" s="554">
        <v>0.01</v>
      </c>
      <c r="H324" s="554"/>
      <c r="I324" s="555">
        <v>0.4</v>
      </c>
      <c r="J324" s="556">
        <v>100</v>
      </c>
      <c r="K324" s="274"/>
      <c r="L324" s="274"/>
      <c r="M324" s="274"/>
      <c r="N324" s="274"/>
      <c r="O324" s="274"/>
      <c r="P324" s="274"/>
      <c r="Q324" s="274"/>
      <c r="R324" s="274"/>
      <c r="S324" s="274"/>
      <c r="T324" s="274"/>
      <c r="U324" s="274"/>
      <c r="V324" s="274"/>
      <c r="W324" s="274"/>
      <c r="X324" s="274"/>
      <c r="Y324" s="274"/>
      <c r="Z324" s="274"/>
      <c r="AA324" s="274"/>
      <c r="AB324" s="274"/>
      <c r="AC324" s="274"/>
      <c r="AD324" s="274"/>
      <c r="AE324" s="274"/>
    </row>
    <row r="325" spans="2:31">
      <c r="B325" s="557"/>
      <c r="C325" s="558" t="s">
        <v>66</v>
      </c>
      <c r="D325" s="558" t="s">
        <v>55</v>
      </c>
      <c r="E325" s="558"/>
      <c r="F325" s="558"/>
      <c r="G325" s="559">
        <v>0.01</v>
      </c>
      <c r="H325" s="559"/>
      <c r="I325" s="560">
        <v>0.4</v>
      </c>
      <c r="J325" s="561">
        <v>101</v>
      </c>
      <c r="K325" s="274"/>
      <c r="L325" s="274"/>
      <c r="M325" s="274"/>
      <c r="N325" s="274"/>
      <c r="O325" s="274"/>
      <c r="P325" s="274"/>
      <c r="Q325" s="274"/>
      <c r="R325" s="274"/>
      <c r="S325" s="274"/>
      <c r="T325" s="274"/>
      <c r="U325" s="274"/>
      <c r="V325" s="274"/>
      <c r="W325" s="274"/>
      <c r="X325" s="274"/>
      <c r="Y325" s="274"/>
      <c r="Z325" s="274"/>
      <c r="AA325" s="274"/>
      <c r="AB325" s="274"/>
      <c r="AC325" s="274"/>
      <c r="AD325" s="274"/>
      <c r="AE325" s="274"/>
    </row>
    <row r="326" spans="2:31">
      <c r="B326" s="535"/>
      <c r="C326" s="536" t="s">
        <v>66</v>
      </c>
      <c r="D326" s="536" t="s">
        <v>57</v>
      </c>
      <c r="E326" s="536"/>
      <c r="F326" s="536"/>
      <c r="G326" s="543">
        <v>0.01</v>
      </c>
      <c r="H326" s="543"/>
      <c r="I326" s="545">
        <v>0.4</v>
      </c>
      <c r="J326" s="537">
        <v>101</v>
      </c>
      <c r="K326" s="274"/>
      <c r="L326" s="274"/>
      <c r="M326" s="274"/>
      <c r="N326" s="274"/>
      <c r="O326" s="274"/>
      <c r="P326" s="274"/>
      <c r="Q326" s="274"/>
      <c r="R326" s="274"/>
      <c r="S326" s="274"/>
      <c r="T326" s="274"/>
      <c r="U326" s="274"/>
      <c r="V326" s="274"/>
      <c r="W326" s="274"/>
      <c r="X326" s="274"/>
      <c r="Y326" s="274"/>
      <c r="Z326" s="274"/>
      <c r="AA326" s="274"/>
      <c r="AB326" s="274"/>
      <c r="AC326" s="274"/>
      <c r="AD326" s="274"/>
      <c r="AE326" s="274"/>
    </row>
    <row r="327" spans="2:31">
      <c r="B327" s="552"/>
      <c r="C327" s="553" t="s">
        <v>66</v>
      </c>
      <c r="D327" s="553" t="s">
        <v>59</v>
      </c>
      <c r="E327" s="553"/>
      <c r="F327" s="553"/>
      <c r="G327" s="554">
        <v>0.01</v>
      </c>
      <c r="H327" s="554"/>
      <c r="I327" s="555">
        <v>0.4</v>
      </c>
      <c r="J327" s="556">
        <v>101</v>
      </c>
      <c r="K327" s="274"/>
      <c r="L327" s="274"/>
      <c r="M327" s="274"/>
      <c r="N327" s="274"/>
      <c r="O327" s="274"/>
      <c r="P327" s="274"/>
      <c r="Q327" s="274"/>
      <c r="R327" s="274"/>
      <c r="S327" s="274"/>
      <c r="T327" s="274"/>
      <c r="U327" s="274"/>
      <c r="V327" s="274"/>
      <c r="W327" s="274"/>
      <c r="X327" s="274"/>
      <c r="Y327" s="274"/>
      <c r="Z327" s="274"/>
      <c r="AA327" s="274"/>
      <c r="AB327" s="274"/>
      <c r="AC327" s="274"/>
      <c r="AD327" s="274"/>
      <c r="AE327" s="274"/>
    </row>
    <row r="328" spans="2:31">
      <c r="B328" s="557"/>
      <c r="C328" s="558" t="s">
        <v>66</v>
      </c>
      <c r="D328" s="558" t="s">
        <v>55</v>
      </c>
      <c r="E328" s="558"/>
      <c r="F328" s="558"/>
      <c r="G328" s="559">
        <v>0.01</v>
      </c>
      <c r="H328" s="559"/>
      <c r="I328" s="560">
        <v>0.4</v>
      </c>
      <c r="J328" s="561">
        <v>102</v>
      </c>
      <c r="K328" s="274"/>
      <c r="L328" s="274"/>
      <c r="M328" s="274"/>
      <c r="N328" s="274"/>
      <c r="O328" s="274"/>
      <c r="P328" s="274"/>
      <c r="Q328" s="274"/>
      <c r="R328" s="274"/>
      <c r="S328" s="274"/>
      <c r="T328" s="274"/>
      <c r="U328" s="274"/>
      <c r="V328" s="274"/>
      <c r="W328" s="274"/>
      <c r="X328" s="274"/>
      <c r="Y328" s="274"/>
      <c r="Z328" s="274"/>
      <c r="AA328" s="274"/>
      <c r="AB328" s="274"/>
      <c r="AC328" s="274"/>
      <c r="AD328" s="274"/>
      <c r="AE328" s="274"/>
    </row>
    <row r="329" spans="2:31">
      <c r="B329" s="535"/>
      <c r="C329" s="536" t="s">
        <v>66</v>
      </c>
      <c r="D329" s="536" t="s">
        <v>57</v>
      </c>
      <c r="E329" s="536"/>
      <c r="F329" s="536"/>
      <c r="G329" s="543">
        <v>0.01</v>
      </c>
      <c r="H329" s="543"/>
      <c r="I329" s="545">
        <v>0.4</v>
      </c>
      <c r="J329" s="537">
        <v>102</v>
      </c>
      <c r="K329" s="274"/>
      <c r="L329" s="274"/>
      <c r="M329" s="274"/>
      <c r="N329" s="274"/>
      <c r="O329" s="274"/>
      <c r="P329" s="274"/>
      <c r="Q329" s="274"/>
      <c r="R329" s="274"/>
      <c r="S329" s="274"/>
      <c r="T329" s="274"/>
      <c r="U329" s="274"/>
      <c r="V329" s="274"/>
      <c r="W329" s="274"/>
      <c r="X329" s="274"/>
      <c r="Y329" s="274"/>
      <c r="Z329" s="274"/>
      <c r="AA329" s="274"/>
      <c r="AB329" s="274"/>
      <c r="AC329" s="274"/>
      <c r="AD329" s="274"/>
      <c r="AE329" s="274"/>
    </row>
    <row r="330" spans="2:31">
      <c r="B330" s="552"/>
      <c r="C330" s="553" t="s">
        <v>66</v>
      </c>
      <c r="D330" s="553" t="s">
        <v>59</v>
      </c>
      <c r="E330" s="553"/>
      <c r="F330" s="553"/>
      <c r="G330" s="554">
        <v>0.01</v>
      </c>
      <c r="H330" s="554"/>
      <c r="I330" s="555">
        <v>0.4</v>
      </c>
      <c r="J330" s="556">
        <v>102</v>
      </c>
      <c r="K330" s="274"/>
      <c r="L330" s="274"/>
      <c r="M330" s="274"/>
      <c r="N330" s="274"/>
      <c r="O330" s="274"/>
      <c r="P330" s="274"/>
      <c r="Q330" s="274"/>
      <c r="R330" s="274"/>
      <c r="S330" s="274"/>
      <c r="T330" s="274"/>
      <c r="U330" s="274"/>
      <c r="V330" s="274"/>
      <c r="W330" s="274"/>
      <c r="X330" s="274"/>
      <c r="Y330" s="274"/>
      <c r="Z330" s="274"/>
      <c r="AA330" s="274"/>
      <c r="AB330" s="274"/>
      <c r="AC330" s="274"/>
      <c r="AD330" s="274"/>
      <c r="AE330" s="274"/>
    </row>
    <row r="331" spans="2:31">
      <c r="B331" s="557"/>
      <c r="C331" s="558" t="s">
        <v>66</v>
      </c>
      <c r="D331" s="558" t="s">
        <v>55</v>
      </c>
      <c r="E331" s="558"/>
      <c r="F331" s="558"/>
      <c r="G331" s="559">
        <v>0.01</v>
      </c>
      <c r="H331" s="559"/>
      <c r="I331" s="560">
        <v>0.4</v>
      </c>
      <c r="J331" s="561">
        <v>103</v>
      </c>
      <c r="K331" s="274"/>
      <c r="L331" s="274"/>
      <c r="M331" s="274"/>
      <c r="N331" s="274"/>
      <c r="O331" s="274"/>
      <c r="P331" s="274"/>
      <c r="Q331" s="274"/>
      <c r="R331" s="274"/>
      <c r="S331" s="274"/>
      <c r="T331" s="274"/>
      <c r="U331" s="274"/>
      <c r="V331" s="274"/>
      <c r="W331" s="274"/>
      <c r="X331" s="274"/>
      <c r="Y331" s="274"/>
      <c r="Z331" s="274"/>
      <c r="AA331" s="274"/>
      <c r="AB331" s="274"/>
      <c r="AC331" s="274"/>
      <c r="AD331" s="274"/>
      <c r="AE331" s="274"/>
    </row>
    <row r="332" spans="2:31">
      <c r="B332" s="535"/>
      <c r="C332" s="536" t="s">
        <v>66</v>
      </c>
      <c r="D332" s="536" t="s">
        <v>57</v>
      </c>
      <c r="E332" s="536"/>
      <c r="F332" s="536"/>
      <c r="G332" s="543">
        <v>0.01</v>
      </c>
      <c r="H332" s="543"/>
      <c r="I332" s="545">
        <v>0.4</v>
      </c>
      <c r="J332" s="537">
        <v>103</v>
      </c>
      <c r="K332" s="274"/>
      <c r="L332" s="274"/>
      <c r="M332" s="274"/>
      <c r="N332" s="274"/>
      <c r="O332" s="274"/>
      <c r="P332" s="274"/>
      <c r="Q332" s="274"/>
      <c r="R332" s="274"/>
      <c r="S332" s="274"/>
      <c r="T332" s="274"/>
      <c r="U332" s="274"/>
      <c r="V332" s="274"/>
      <c r="W332" s="274"/>
      <c r="X332" s="274"/>
      <c r="Y332" s="274"/>
      <c r="Z332" s="274"/>
      <c r="AA332" s="274"/>
      <c r="AB332" s="274"/>
      <c r="AC332" s="274"/>
      <c r="AD332" s="274"/>
      <c r="AE332" s="274"/>
    </row>
    <row r="333" spans="2:31">
      <c r="B333" s="552"/>
      <c r="C333" s="553" t="s">
        <v>66</v>
      </c>
      <c r="D333" s="553" t="s">
        <v>59</v>
      </c>
      <c r="E333" s="553"/>
      <c r="F333" s="553"/>
      <c r="G333" s="554">
        <v>0.01</v>
      </c>
      <c r="H333" s="554"/>
      <c r="I333" s="555">
        <v>0.4</v>
      </c>
      <c r="J333" s="556">
        <v>103</v>
      </c>
      <c r="K333" s="274"/>
      <c r="L333" s="274"/>
      <c r="M333" s="274"/>
      <c r="N333" s="274"/>
      <c r="O333" s="274"/>
      <c r="P333" s="274"/>
      <c r="Q333" s="274"/>
      <c r="R333" s="274"/>
      <c r="S333" s="274"/>
      <c r="T333" s="274"/>
      <c r="U333" s="274"/>
      <c r="V333" s="274"/>
      <c r="W333" s="274"/>
      <c r="X333" s="274"/>
      <c r="Y333" s="274"/>
      <c r="Z333" s="274"/>
      <c r="AA333" s="274"/>
      <c r="AB333" s="274"/>
      <c r="AC333" s="274"/>
      <c r="AD333" s="274"/>
      <c r="AE333" s="274"/>
    </row>
    <row r="334" spans="2:31">
      <c r="B334" s="557"/>
      <c r="C334" s="558" t="s">
        <v>66</v>
      </c>
      <c r="D334" s="558" t="s">
        <v>55</v>
      </c>
      <c r="E334" s="558"/>
      <c r="F334" s="558"/>
      <c r="G334" s="559">
        <v>0.01</v>
      </c>
      <c r="H334" s="559"/>
      <c r="I334" s="560">
        <v>0.4</v>
      </c>
      <c r="J334" s="561">
        <v>104</v>
      </c>
      <c r="K334" s="274"/>
      <c r="L334" s="274"/>
      <c r="M334" s="274"/>
      <c r="N334" s="274"/>
      <c r="O334" s="274"/>
      <c r="P334" s="274"/>
      <c r="Q334" s="274"/>
      <c r="R334" s="274"/>
      <c r="S334" s="274"/>
      <c r="T334" s="274"/>
      <c r="U334" s="274"/>
      <c r="V334" s="274"/>
      <c r="W334" s="274"/>
      <c r="X334" s="274"/>
      <c r="Y334" s="274"/>
      <c r="Z334" s="274"/>
      <c r="AA334" s="274"/>
      <c r="AB334" s="274"/>
      <c r="AC334" s="274"/>
      <c r="AD334" s="274"/>
      <c r="AE334" s="274"/>
    </row>
    <row r="335" spans="2:31">
      <c r="B335" s="535"/>
      <c r="C335" s="536" t="s">
        <v>66</v>
      </c>
      <c r="D335" s="536" t="s">
        <v>57</v>
      </c>
      <c r="E335" s="536"/>
      <c r="F335" s="536"/>
      <c r="G335" s="543">
        <v>0.01</v>
      </c>
      <c r="H335" s="543"/>
      <c r="I335" s="545">
        <v>0.4</v>
      </c>
      <c r="J335" s="537">
        <v>104</v>
      </c>
      <c r="K335" s="274"/>
      <c r="L335" s="274"/>
      <c r="M335" s="274"/>
      <c r="N335" s="274"/>
      <c r="O335" s="274"/>
      <c r="P335" s="274"/>
      <c r="Q335" s="274"/>
      <c r="R335" s="274"/>
      <c r="S335" s="274"/>
      <c r="T335" s="274"/>
      <c r="U335" s="274"/>
      <c r="V335" s="274"/>
      <c r="W335" s="274"/>
      <c r="X335" s="274"/>
      <c r="Y335" s="274"/>
      <c r="Z335" s="274"/>
      <c r="AA335" s="274"/>
      <c r="AB335" s="274"/>
      <c r="AC335" s="274"/>
      <c r="AD335" s="274"/>
      <c r="AE335" s="274"/>
    </row>
    <row r="336" spans="2:31">
      <c r="B336" s="552"/>
      <c r="C336" s="553" t="s">
        <v>66</v>
      </c>
      <c r="D336" s="553" t="s">
        <v>59</v>
      </c>
      <c r="E336" s="553"/>
      <c r="F336" s="553"/>
      <c r="G336" s="554">
        <v>0.01</v>
      </c>
      <c r="H336" s="554"/>
      <c r="I336" s="555">
        <v>0.4</v>
      </c>
      <c r="J336" s="556">
        <v>104</v>
      </c>
      <c r="K336" s="274"/>
      <c r="L336" s="274"/>
      <c r="M336" s="274"/>
      <c r="N336" s="274"/>
      <c r="O336" s="274"/>
      <c r="P336" s="274"/>
      <c r="Q336" s="274"/>
      <c r="R336" s="274"/>
      <c r="S336" s="274"/>
      <c r="T336" s="274"/>
      <c r="U336" s="274"/>
      <c r="V336" s="274"/>
      <c r="W336" s="274"/>
      <c r="X336" s="274"/>
      <c r="Y336" s="274"/>
      <c r="Z336" s="274"/>
      <c r="AA336" s="274"/>
      <c r="AB336" s="274"/>
      <c r="AC336" s="274"/>
      <c r="AD336" s="274"/>
      <c r="AE336" s="274"/>
    </row>
    <row r="337" spans="2:10" s="274" customFormat="1">
      <c r="B337" s="557"/>
      <c r="C337" s="558" t="s">
        <v>66</v>
      </c>
      <c r="D337" s="558" t="s">
        <v>55</v>
      </c>
      <c r="E337" s="558"/>
      <c r="F337" s="558"/>
      <c r="G337" s="559">
        <v>0.01</v>
      </c>
      <c r="H337" s="559"/>
      <c r="I337" s="560">
        <v>0.4</v>
      </c>
      <c r="J337" s="561">
        <v>105</v>
      </c>
    </row>
    <row r="338" spans="2:10" s="274" customFormat="1">
      <c r="B338" s="535"/>
      <c r="C338" s="536" t="s">
        <v>66</v>
      </c>
      <c r="D338" s="536" t="s">
        <v>57</v>
      </c>
      <c r="E338" s="536"/>
      <c r="F338" s="536"/>
      <c r="G338" s="543">
        <v>0.01</v>
      </c>
      <c r="H338" s="543"/>
      <c r="I338" s="545">
        <v>0.4</v>
      </c>
      <c r="J338" s="537">
        <v>105</v>
      </c>
    </row>
    <row r="339" spans="2:10" s="274" customFormat="1">
      <c r="B339" s="552"/>
      <c r="C339" s="553" t="s">
        <v>66</v>
      </c>
      <c r="D339" s="553" t="s">
        <v>59</v>
      </c>
      <c r="E339" s="553"/>
      <c r="F339" s="553"/>
      <c r="G339" s="554">
        <v>0.01</v>
      </c>
      <c r="H339" s="554"/>
      <c r="I339" s="555">
        <v>0.4</v>
      </c>
      <c r="J339" s="556">
        <v>105</v>
      </c>
    </row>
    <row r="340" spans="2:10" s="274" customFormat="1">
      <c r="B340" s="557"/>
      <c r="C340" s="558" t="s">
        <v>66</v>
      </c>
      <c r="D340" s="558" t="s">
        <v>55</v>
      </c>
      <c r="E340" s="558"/>
      <c r="F340" s="558"/>
      <c r="G340" s="559">
        <v>0.01</v>
      </c>
      <c r="H340" s="559"/>
      <c r="I340" s="560">
        <v>0.4</v>
      </c>
      <c r="J340" s="561">
        <v>106</v>
      </c>
    </row>
    <row r="341" spans="2:10" s="274" customFormat="1">
      <c r="B341" s="535"/>
      <c r="C341" s="536" t="s">
        <v>66</v>
      </c>
      <c r="D341" s="536" t="s">
        <v>57</v>
      </c>
      <c r="E341" s="536"/>
      <c r="F341" s="536"/>
      <c r="G341" s="543">
        <v>0.01</v>
      </c>
      <c r="H341" s="543"/>
      <c r="I341" s="545">
        <v>0.4</v>
      </c>
      <c r="J341" s="537">
        <v>106</v>
      </c>
    </row>
    <row r="342" spans="2:10" s="274" customFormat="1">
      <c r="B342" s="552"/>
      <c r="C342" s="553" t="s">
        <v>66</v>
      </c>
      <c r="D342" s="553" t="s">
        <v>59</v>
      </c>
      <c r="E342" s="553"/>
      <c r="F342" s="553"/>
      <c r="G342" s="554">
        <v>0.01</v>
      </c>
      <c r="H342" s="554"/>
      <c r="I342" s="555">
        <v>0.4</v>
      </c>
      <c r="J342" s="556">
        <v>106</v>
      </c>
    </row>
    <row r="343" spans="2:10" s="274" customFormat="1">
      <c r="B343" s="557"/>
      <c r="C343" s="558" t="s">
        <v>66</v>
      </c>
      <c r="D343" s="558" t="s">
        <v>55</v>
      </c>
      <c r="E343" s="558"/>
      <c r="F343" s="558"/>
      <c r="G343" s="559">
        <v>0.01</v>
      </c>
      <c r="H343" s="559"/>
      <c r="I343" s="560">
        <v>0.4</v>
      </c>
      <c r="J343" s="561">
        <v>107</v>
      </c>
    </row>
    <row r="344" spans="2:10" s="274" customFormat="1">
      <c r="B344" s="535"/>
      <c r="C344" s="536" t="s">
        <v>66</v>
      </c>
      <c r="D344" s="536" t="s">
        <v>57</v>
      </c>
      <c r="E344" s="536"/>
      <c r="F344" s="536"/>
      <c r="G344" s="543">
        <v>0.01</v>
      </c>
      <c r="H344" s="543"/>
      <c r="I344" s="545">
        <v>0.4</v>
      </c>
      <c r="J344" s="537">
        <v>107</v>
      </c>
    </row>
    <row r="345" spans="2:10" s="274" customFormat="1">
      <c r="B345" s="552"/>
      <c r="C345" s="553" t="s">
        <v>66</v>
      </c>
      <c r="D345" s="553" t="s">
        <v>59</v>
      </c>
      <c r="E345" s="553"/>
      <c r="F345" s="553"/>
      <c r="G345" s="554">
        <v>0.01</v>
      </c>
      <c r="H345" s="554"/>
      <c r="I345" s="555">
        <v>0.4</v>
      </c>
      <c r="J345" s="556">
        <v>107</v>
      </c>
    </row>
    <row r="346" spans="2:10" s="274" customFormat="1">
      <c r="B346" s="557"/>
      <c r="C346" s="558" t="s">
        <v>66</v>
      </c>
      <c r="D346" s="558" t="s">
        <v>55</v>
      </c>
      <c r="E346" s="558"/>
      <c r="F346" s="558"/>
      <c r="G346" s="559">
        <v>0.01</v>
      </c>
      <c r="H346" s="559"/>
      <c r="I346" s="560">
        <v>0.4</v>
      </c>
      <c r="J346" s="561">
        <v>108</v>
      </c>
    </row>
    <row r="347" spans="2:10" s="274" customFormat="1">
      <c r="B347" s="535"/>
      <c r="C347" s="536" t="s">
        <v>66</v>
      </c>
      <c r="D347" s="536" t="s">
        <v>57</v>
      </c>
      <c r="E347" s="536"/>
      <c r="F347" s="536"/>
      <c r="G347" s="543">
        <v>0.01</v>
      </c>
      <c r="H347" s="543"/>
      <c r="I347" s="545">
        <v>0.4</v>
      </c>
      <c r="J347" s="537">
        <v>108</v>
      </c>
    </row>
    <row r="348" spans="2:10" s="274" customFormat="1">
      <c r="B348" s="552"/>
      <c r="C348" s="553" t="s">
        <v>66</v>
      </c>
      <c r="D348" s="553" t="s">
        <v>59</v>
      </c>
      <c r="E348" s="553"/>
      <c r="F348" s="553"/>
      <c r="G348" s="554">
        <v>0.01</v>
      </c>
      <c r="H348" s="554"/>
      <c r="I348" s="555">
        <v>0.4</v>
      </c>
      <c r="J348" s="556">
        <v>108</v>
      </c>
    </row>
    <row r="349" spans="2:10" s="274" customFormat="1">
      <c r="B349" s="557"/>
      <c r="C349" s="558" t="s">
        <v>66</v>
      </c>
      <c r="D349" s="558" t="s">
        <v>55</v>
      </c>
      <c r="E349" s="558"/>
      <c r="F349" s="558"/>
      <c r="G349" s="559">
        <v>0.01</v>
      </c>
      <c r="H349" s="559"/>
      <c r="I349" s="560">
        <v>0.4</v>
      </c>
      <c r="J349" s="561">
        <v>109</v>
      </c>
    </row>
    <row r="350" spans="2:10" s="274" customFormat="1">
      <c r="B350" s="535"/>
      <c r="C350" s="536" t="s">
        <v>66</v>
      </c>
      <c r="D350" s="536" t="s">
        <v>57</v>
      </c>
      <c r="E350" s="536"/>
      <c r="F350" s="536"/>
      <c r="G350" s="543">
        <v>0.01</v>
      </c>
      <c r="H350" s="543"/>
      <c r="I350" s="545">
        <v>0.4</v>
      </c>
      <c r="J350" s="537">
        <v>109</v>
      </c>
    </row>
    <row r="351" spans="2:10" s="274" customFormat="1">
      <c r="B351" s="552"/>
      <c r="C351" s="553" t="s">
        <v>66</v>
      </c>
      <c r="D351" s="553" t="s">
        <v>59</v>
      </c>
      <c r="E351" s="553"/>
      <c r="F351" s="553"/>
      <c r="G351" s="554">
        <v>0.01</v>
      </c>
      <c r="H351" s="554"/>
      <c r="I351" s="555">
        <v>0.4</v>
      </c>
      <c r="J351" s="556">
        <v>109</v>
      </c>
    </row>
    <row r="352" spans="2:10" s="274" customFormat="1">
      <c r="B352" s="557"/>
      <c r="C352" s="558" t="s">
        <v>66</v>
      </c>
      <c r="D352" s="558" t="s">
        <v>55</v>
      </c>
      <c r="E352" s="558"/>
      <c r="F352" s="558"/>
      <c r="G352" s="559">
        <v>0.01</v>
      </c>
      <c r="H352" s="559"/>
      <c r="I352" s="560">
        <v>0.4</v>
      </c>
      <c r="J352" s="561">
        <v>110</v>
      </c>
    </row>
    <row r="353" spans="2:10" s="274" customFormat="1">
      <c r="B353" s="535"/>
      <c r="C353" s="536" t="s">
        <v>66</v>
      </c>
      <c r="D353" s="536" t="s">
        <v>57</v>
      </c>
      <c r="E353" s="536"/>
      <c r="F353" s="536"/>
      <c r="G353" s="543">
        <v>0.01</v>
      </c>
      <c r="H353" s="543"/>
      <c r="I353" s="545">
        <v>0.4</v>
      </c>
      <c r="J353" s="537">
        <v>110</v>
      </c>
    </row>
    <row r="354" spans="2:10" s="274" customFormat="1">
      <c r="B354" s="552"/>
      <c r="C354" s="553" t="s">
        <v>66</v>
      </c>
      <c r="D354" s="553" t="s">
        <v>59</v>
      </c>
      <c r="E354" s="553"/>
      <c r="F354" s="553"/>
      <c r="G354" s="554">
        <v>0.01</v>
      </c>
      <c r="H354" s="554"/>
      <c r="I354" s="555">
        <v>0.4</v>
      </c>
      <c r="J354" s="556">
        <v>110</v>
      </c>
    </row>
    <row r="355" spans="2:10" s="274" customFormat="1">
      <c r="B355" s="557"/>
      <c r="C355" s="558" t="s">
        <v>66</v>
      </c>
      <c r="D355" s="558" t="s">
        <v>55</v>
      </c>
      <c r="E355" s="558"/>
      <c r="F355" s="558"/>
      <c r="G355" s="559">
        <v>0.01</v>
      </c>
      <c r="H355" s="559"/>
      <c r="I355" s="560">
        <v>0.4</v>
      </c>
      <c r="J355" s="561">
        <v>111</v>
      </c>
    </row>
    <row r="356" spans="2:10" s="274" customFormat="1">
      <c r="B356" s="535"/>
      <c r="C356" s="536" t="s">
        <v>66</v>
      </c>
      <c r="D356" s="536" t="s">
        <v>57</v>
      </c>
      <c r="E356" s="536"/>
      <c r="F356" s="536"/>
      <c r="G356" s="543">
        <v>0.01</v>
      </c>
      <c r="H356" s="543"/>
      <c r="I356" s="545">
        <v>0.4</v>
      </c>
      <c r="J356" s="537">
        <v>111</v>
      </c>
    </row>
    <row r="357" spans="2:10" s="274" customFormat="1">
      <c r="B357" s="552"/>
      <c r="C357" s="553" t="s">
        <v>66</v>
      </c>
      <c r="D357" s="553" t="s">
        <v>59</v>
      </c>
      <c r="E357" s="553"/>
      <c r="F357" s="553"/>
      <c r="G357" s="554">
        <v>0.01</v>
      </c>
      <c r="H357" s="554"/>
      <c r="I357" s="555">
        <v>0.4</v>
      </c>
      <c r="J357" s="556">
        <v>111</v>
      </c>
    </row>
    <row r="358" spans="2:10" s="274" customFormat="1">
      <c r="B358" s="557"/>
      <c r="C358" s="558" t="s">
        <v>66</v>
      </c>
      <c r="D358" s="558" t="s">
        <v>55</v>
      </c>
      <c r="E358" s="558"/>
      <c r="F358" s="558"/>
      <c r="G358" s="559">
        <v>0.01</v>
      </c>
      <c r="H358" s="559"/>
      <c r="I358" s="560">
        <v>0.4</v>
      </c>
      <c r="J358" s="561">
        <v>112</v>
      </c>
    </row>
    <row r="359" spans="2:10" s="274" customFormat="1">
      <c r="B359" s="535"/>
      <c r="C359" s="536" t="s">
        <v>66</v>
      </c>
      <c r="D359" s="536" t="s">
        <v>57</v>
      </c>
      <c r="E359" s="536"/>
      <c r="F359" s="536"/>
      <c r="G359" s="543">
        <v>0.01</v>
      </c>
      <c r="H359" s="543"/>
      <c r="I359" s="545">
        <v>0.4</v>
      </c>
      <c r="J359" s="537">
        <v>112</v>
      </c>
    </row>
    <row r="360" spans="2:10" s="274" customFormat="1">
      <c r="B360" s="552"/>
      <c r="C360" s="553" t="s">
        <v>66</v>
      </c>
      <c r="D360" s="553" t="s">
        <v>59</v>
      </c>
      <c r="E360" s="553"/>
      <c r="F360" s="553"/>
      <c r="G360" s="554">
        <v>0.01</v>
      </c>
      <c r="H360" s="554"/>
      <c r="I360" s="555">
        <v>0.4</v>
      </c>
      <c r="J360" s="556">
        <v>112</v>
      </c>
    </row>
    <row r="361" spans="2:10" s="274" customFormat="1">
      <c r="B361" s="557"/>
      <c r="C361" s="558" t="s">
        <v>66</v>
      </c>
      <c r="D361" s="558" t="s">
        <v>55</v>
      </c>
      <c r="E361" s="558"/>
      <c r="F361" s="558"/>
      <c r="G361" s="559">
        <v>0.01</v>
      </c>
      <c r="H361" s="559"/>
      <c r="I361" s="560">
        <v>0.4</v>
      </c>
      <c r="J361" s="561">
        <v>113</v>
      </c>
    </row>
    <row r="362" spans="2:10" s="274" customFormat="1">
      <c r="B362" s="535"/>
      <c r="C362" s="536" t="s">
        <v>66</v>
      </c>
      <c r="D362" s="536" t="s">
        <v>57</v>
      </c>
      <c r="E362" s="536"/>
      <c r="F362" s="536"/>
      <c r="G362" s="543">
        <v>0.01</v>
      </c>
      <c r="H362" s="543"/>
      <c r="I362" s="545">
        <v>0.4</v>
      </c>
      <c r="J362" s="537">
        <v>113</v>
      </c>
    </row>
    <row r="363" spans="2:10" s="274" customFormat="1">
      <c r="B363" s="552"/>
      <c r="C363" s="553" t="s">
        <v>66</v>
      </c>
      <c r="D363" s="553" t="s">
        <v>59</v>
      </c>
      <c r="E363" s="553"/>
      <c r="F363" s="553"/>
      <c r="G363" s="554">
        <v>0.01</v>
      </c>
      <c r="H363" s="554"/>
      <c r="I363" s="555">
        <v>0.4</v>
      </c>
      <c r="J363" s="556">
        <v>113</v>
      </c>
    </row>
    <row r="364" spans="2:10" s="274" customFormat="1">
      <c r="B364" s="557"/>
      <c r="C364" s="558" t="s">
        <v>66</v>
      </c>
      <c r="D364" s="558" t="s">
        <v>55</v>
      </c>
      <c r="E364" s="558"/>
      <c r="F364" s="558"/>
      <c r="G364" s="559">
        <v>0.01</v>
      </c>
      <c r="H364" s="559"/>
      <c r="I364" s="560">
        <v>0.4</v>
      </c>
      <c r="J364" s="561">
        <v>114</v>
      </c>
    </row>
    <row r="365" spans="2:10" s="274" customFormat="1">
      <c r="B365" s="535"/>
      <c r="C365" s="536" t="s">
        <v>66</v>
      </c>
      <c r="D365" s="536" t="s">
        <v>57</v>
      </c>
      <c r="E365" s="536"/>
      <c r="F365" s="536"/>
      <c r="G365" s="543">
        <v>0.01</v>
      </c>
      <c r="H365" s="543"/>
      <c r="I365" s="545">
        <v>0.4</v>
      </c>
      <c r="J365" s="537">
        <v>114</v>
      </c>
    </row>
    <row r="366" spans="2:10" s="274" customFormat="1">
      <c r="B366" s="552"/>
      <c r="C366" s="553" t="s">
        <v>66</v>
      </c>
      <c r="D366" s="553" t="s">
        <v>59</v>
      </c>
      <c r="E366" s="553"/>
      <c r="F366" s="553"/>
      <c r="G366" s="554">
        <v>0.01</v>
      </c>
      <c r="H366" s="554"/>
      <c r="I366" s="555">
        <v>0.4</v>
      </c>
      <c r="J366" s="556">
        <v>114</v>
      </c>
    </row>
    <row r="367" spans="2:10" s="274" customFormat="1">
      <c r="B367" s="557"/>
      <c r="C367" s="558" t="s">
        <v>66</v>
      </c>
      <c r="D367" s="558" t="s">
        <v>55</v>
      </c>
      <c r="E367" s="558"/>
      <c r="F367" s="558"/>
      <c r="G367" s="559">
        <v>0.01</v>
      </c>
      <c r="H367" s="559"/>
      <c r="I367" s="560">
        <v>0.4</v>
      </c>
      <c r="J367" s="561">
        <v>115</v>
      </c>
    </row>
    <row r="368" spans="2:10" s="274" customFormat="1">
      <c r="B368" s="535"/>
      <c r="C368" s="536" t="s">
        <v>66</v>
      </c>
      <c r="D368" s="536" t="s">
        <v>57</v>
      </c>
      <c r="E368" s="536"/>
      <c r="F368" s="536"/>
      <c r="G368" s="543">
        <v>0.01</v>
      </c>
      <c r="H368" s="543"/>
      <c r="I368" s="545">
        <v>0.4</v>
      </c>
      <c r="J368" s="537">
        <v>115</v>
      </c>
    </row>
    <row r="369" spans="2:10" s="274" customFormat="1">
      <c r="B369" s="552"/>
      <c r="C369" s="553" t="s">
        <v>66</v>
      </c>
      <c r="D369" s="553" t="s">
        <v>59</v>
      </c>
      <c r="E369" s="553"/>
      <c r="F369" s="553"/>
      <c r="G369" s="554">
        <v>0.01</v>
      </c>
      <c r="H369" s="554"/>
      <c r="I369" s="555">
        <v>0.4</v>
      </c>
      <c r="J369" s="556">
        <v>115</v>
      </c>
    </row>
    <row r="370" spans="2:10" s="274" customFormat="1">
      <c r="B370" s="557"/>
      <c r="C370" s="558" t="s">
        <v>66</v>
      </c>
      <c r="D370" s="558" t="s">
        <v>55</v>
      </c>
      <c r="E370" s="558"/>
      <c r="F370" s="558"/>
      <c r="G370" s="559">
        <v>0.01</v>
      </c>
      <c r="H370" s="559"/>
      <c r="I370" s="560">
        <v>0.4</v>
      </c>
      <c r="J370" s="561">
        <v>116</v>
      </c>
    </row>
    <row r="371" spans="2:10" s="274" customFormat="1">
      <c r="B371" s="535"/>
      <c r="C371" s="536" t="s">
        <v>66</v>
      </c>
      <c r="D371" s="536" t="s">
        <v>57</v>
      </c>
      <c r="E371" s="536"/>
      <c r="F371" s="536"/>
      <c r="G371" s="543">
        <v>0.01</v>
      </c>
      <c r="H371" s="543"/>
      <c r="I371" s="545">
        <v>0.4</v>
      </c>
      <c r="J371" s="537">
        <v>116</v>
      </c>
    </row>
    <row r="372" spans="2:10" s="274" customFormat="1">
      <c r="B372" s="552"/>
      <c r="C372" s="553" t="s">
        <v>66</v>
      </c>
      <c r="D372" s="553" t="s">
        <v>59</v>
      </c>
      <c r="E372" s="553"/>
      <c r="F372" s="553"/>
      <c r="G372" s="554">
        <v>0.01</v>
      </c>
      <c r="H372" s="554"/>
      <c r="I372" s="555">
        <v>0.4</v>
      </c>
      <c r="J372" s="556">
        <v>116</v>
      </c>
    </row>
    <row r="373" spans="2:10" s="274" customFormat="1">
      <c r="B373" s="557"/>
      <c r="C373" s="558" t="s">
        <v>66</v>
      </c>
      <c r="D373" s="558" t="s">
        <v>55</v>
      </c>
      <c r="E373" s="558"/>
      <c r="F373" s="558"/>
      <c r="G373" s="559">
        <v>0.01</v>
      </c>
      <c r="H373" s="559"/>
      <c r="I373" s="560">
        <v>0.4</v>
      </c>
      <c r="J373" s="561">
        <v>117</v>
      </c>
    </row>
    <row r="374" spans="2:10" s="274" customFormat="1">
      <c r="B374" s="535"/>
      <c r="C374" s="536" t="s">
        <v>66</v>
      </c>
      <c r="D374" s="536" t="s">
        <v>57</v>
      </c>
      <c r="E374" s="536"/>
      <c r="F374" s="536"/>
      <c r="G374" s="543">
        <v>0.01</v>
      </c>
      <c r="H374" s="543"/>
      <c r="I374" s="545">
        <v>0.4</v>
      </c>
      <c r="J374" s="537">
        <v>117</v>
      </c>
    </row>
    <row r="375" spans="2:10" s="274" customFormat="1">
      <c r="B375" s="552"/>
      <c r="C375" s="553" t="s">
        <v>66</v>
      </c>
      <c r="D375" s="553" t="s">
        <v>59</v>
      </c>
      <c r="E375" s="553"/>
      <c r="F375" s="553"/>
      <c r="G375" s="554">
        <v>0.01</v>
      </c>
      <c r="H375" s="554"/>
      <c r="I375" s="555">
        <v>0.4</v>
      </c>
      <c r="J375" s="556">
        <v>117</v>
      </c>
    </row>
    <row r="376" spans="2:10" s="274" customFormat="1">
      <c r="B376" s="557"/>
      <c r="C376" s="558" t="s">
        <v>66</v>
      </c>
      <c r="D376" s="558" t="s">
        <v>55</v>
      </c>
      <c r="E376" s="558"/>
      <c r="F376" s="558"/>
      <c r="G376" s="559">
        <v>0.01</v>
      </c>
      <c r="H376" s="559"/>
      <c r="I376" s="560">
        <v>0.4</v>
      </c>
      <c r="J376" s="561">
        <v>118</v>
      </c>
    </row>
    <row r="377" spans="2:10" s="274" customFormat="1">
      <c r="B377" s="535"/>
      <c r="C377" s="536" t="s">
        <v>66</v>
      </c>
      <c r="D377" s="536" t="s">
        <v>57</v>
      </c>
      <c r="E377" s="536"/>
      <c r="F377" s="536"/>
      <c r="G377" s="543">
        <v>0.01</v>
      </c>
      <c r="H377" s="543"/>
      <c r="I377" s="545">
        <v>0.4</v>
      </c>
      <c r="J377" s="537">
        <v>118</v>
      </c>
    </row>
    <row r="378" spans="2:10" s="274" customFormat="1">
      <c r="B378" s="552"/>
      <c r="C378" s="553" t="s">
        <v>66</v>
      </c>
      <c r="D378" s="553" t="s">
        <v>59</v>
      </c>
      <c r="E378" s="553"/>
      <c r="F378" s="553"/>
      <c r="G378" s="554">
        <v>0.01</v>
      </c>
      <c r="H378" s="554"/>
      <c r="I378" s="555">
        <v>0.4</v>
      </c>
      <c r="J378" s="556">
        <v>118</v>
      </c>
    </row>
    <row r="379" spans="2:10" s="274" customFormat="1">
      <c r="B379" s="557"/>
      <c r="C379" s="558" t="s">
        <v>66</v>
      </c>
      <c r="D379" s="558" t="s">
        <v>55</v>
      </c>
      <c r="E379" s="558"/>
      <c r="F379" s="558"/>
      <c r="G379" s="559">
        <v>0.01</v>
      </c>
      <c r="H379" s="559"/>
      <c r="I379" s="560">
        <v>0.4</v>
      </c>
      <c r="J379" s="561">
        <v>119</v>
      </c>
    </row>
    <row r="380" spans="2:10" s="274" customFormat="1">
      <c r="B380" s="535"/>
      <c r="C380" s="536" t="s">
        <v>66</v>
      </c>
      <c r="D380" s="536" t="s">
        <v>57</v>
      </c>
      <c r="E380" s="536"/>
      <c r="F380" s="536"/>
      <c r="G380" s="543">
        <v>0.01</v>
      </c>
      <c r="H380" s="543"/>
      <c r="I380" s="545">
        <v>0.4</v>
      </c>
      <c r="J380" s="537">
        <v>119</v>
      </c>
    </row>
    <row r="381" spans="2:10" s="274" customFormat="1">
      <c r="B381" s="552"/>
      <c r="C381" s="553" t="s">
        <v>66</v>
      </c>
      <c r="D381" s="553" t="s">
        <v>59</v>
      </c>
      <c r="E381" s="553"/>
      <c r="F381" s="553"/>
      <c r="G381" s="554">
        <v>0.01</v>
      </c>
      <c r="H381" s="554"/>
      <c r="I381" s="555">
        <v>0.4</v>
      </c>
      <c r="J381" s="556">
        <v>119</v>
      </c>
    </row>
    <row r="382" spans="2:10" s="274" customFormat="1">
      <c r="B382" s="557"/>
      <c r="C382" s="558" t="s">
        <v>66</v>
      </c>
      <c r="D382" s="558" t="s">
        <v>55</v>
      </c>
      <c r="E382" s="558"/>
      <c r="F382" s="558"/>
      <c r="G382" s="559">
        <v>0.01</v>
      </c>
      <c r="H382" s="559"/>
      <c r="I382" s="560">
        <v>0.4</v>
      </c>
      <c r="J382" s="561">
        <v>120</v>
      </c>
    </row>
    <row r="383" spans="2:10" s="274" customFormat="1">
      <c r="B383" s="535"/>
      <c r="C383" s="536" t="s">
        <v>66</v>
      </c>
      <c r="D383" s="536" t="s">
        <v>57</v>
      </c>
      <c r="E383" s="536"/>
      <c r="F383" s="536"/>
      <c r="G383" s="543">
        <v>0.01</v>
      </c>
      <c r="H383" s="543"/>
      <c r="I383" s="545">
        <v>0.4</v>
      </c>
      <c r="J383" s="537">
        <v>120</v>
      </c>
    </row>
    <row r="384" spans="2:10" s="274" customFormat="1">
      <c r="B384" s="552"/>
      <c r="C384" s="553" t="s">
        <v>66</v>
      </c>
      <c r="D384" s="553" t="s">
        <v>59</v>
      </c>
      <c r="E384" s="553"/>
      <c r="F384" s="553"/>
      <c r="G384" s="554">
        <v>0.01</v>
      </c>
      <c r="H384" s="554"/>
      <c r="I384" s="555">
        <v>0.4</v>
      </c>
      <c r="J384" s="556">
        <v>120</v>
      </c>
    </row>
    <row r="385" spans="2:10" s="274" customFormat="1">
      <c r="B385" s="557"/>
      <c r="C385" s="558" t="s">
        <v>66</v>
      </c>
      <c r="D385" s="558" t="s">
        <v>55</v>
      </c>
      <c r="E385" s="558"/>
      <c r="F385" s="558"/>
      <c r="G385" s="559">
        <v>0.01</v>
      </c>
      <c r="H385" s="559"/>
      <c r="I385" s="560">
        <v>0.4</v>
      </c>
      <c r="J385" s="561">
        <v>121</v>
      </c>
    </row>
    <row r="386" spans="2:10" s="274" customFormat="1">
      <c r="B386" s="535"/>
      <c r="C386" s="536" t="s">
        <v>66</v>
      </c>
      <c r="D386" s="536" t="s">
        <v>57</v>
      </c>
      <c r="E386" s="536"/>
      <c r="F386" s="536"/>
      <c r="G386" s="543">
        <v>0.01</v>
      </c>
      <c r="H386" s="543"/>
      <c r="I386" s="545">
        <v>0.4</v>
      </c>
      <c r="J386" s="537">
        <v>121</v>
      </c>
    </row>
    <row r="387" spans="2:10" s="274" customFormat="1">
      <c r="B387" s="552"/>
      <c r="C387" s="553" t="s">
        <v>66</v>
      </c>
      <c r="D387" s="553" t="s">
        <v>59</v>
      </c>
      <c r="E387" s="553"/>
      <c r="F387" s="553"/>
      <c r="G387" s="554">
        <v>0.01</v>
      </c>
      <c r="H387" s="554"/>
      <c r="I387" s="555">
        <v>0.4</v>
      </c>
      <c r="J387" s="556">
        <v>121</v>
      </c>
    </row>
    <row r="388" spans="2:10" s="274" customFormat="1">
      <c r="B388" s="557"/>
      <c r="C388" s="558" t="s">
        <v>66</v>
      </c>
      <c r="D388" s="558" t="s">
        <v>55</v>
      </c>
      <c r="E388" s="558"/>
      <c r="F388" s="558"/>
      <c r="G388" s="559">
        <v>0.01</v>
      </c>
      <c r="H388" s="559"/>
      <c r="I388" s="560">
        <v>0.4</v>
      </c>
      <c r="J388" s="561">
        <v>122</v>
      </c>
    </row>
    <row r="389" spans="2:10" s="274" customFormat="1">
      <c r="B389" s="535"/>
      <c r="C389" s="536" t="s">
        <v>66</v>
      </c>
      <c r="D389" s="536" t="s">
        <v>57</v>
      </c>
      <c r="E389" s="536"/>
      <c r="F389" s="536"/>
      <c r="G389" s="543">
        <v>0.01</v>
      </c>
      <c r="H389" s="543"/>
      <c r="I389" s="545">
        <v>0.4</v>
      </c>
      <c r="J389" s="537">
        <v>122</v>
      </c>
    </row>
    <row r="390" spans="2:10" s="274" customFormat="1">
      <c r="B390" s="552"/>
      <c r="C390" s="553" t="s">
        <v>66</v>
      </c>
      <c r="D390" s="553" t="s">
        <v>59</v>
      </c>
      <c r="E390" s="553"/>
      <c r="F390" s="553"/>
      <c r="G390" s="554">
        <v>0.01</v>
      </c>
      <c r="H390" s="554"/>
      <c r="I390" s="555">
        <v>0.4</v>
      </c>
      <c r="J390" s="556">
        <v>122</v>
      </c>
    </row>
    <row r="391" spans="2:10" s="274" customFormat="1">
      <c r="B391" s="557"/>
      <c r="C391" s="558" t="s">
        <v>66</v>
      </c>
      <c r="D391" s="558" t="s">
        <v>55</v>
      </c>
      <c r="E391" s="558"/>
      <c r="F391" s="558"/>
      <c r="G391" s="559">
        <v>0.01</v>
      </c>
      <c r="H391" s="559"/>
      <c r="I391" s="560">
        <v>0.4</v>
      </c>
      <c r="J391" s="561">
        <v>123</v>
      </c>
    </row>
    <row r="392" spans="2:10" s="274" customFormat="1">
      <c r="B392" s="535"/>
      <c r="C392" s="536" t="s">
        <v>66</v>
      </c>
      <c r="D392" s="536" t="s">
        <v>57</v>
      </c>
      <c r="E392" s="536"/>
      <c r="F392" s="536"/>
      <c r="G392" s="543">
        <v>0.01</v>
      </c>
      <c r="H392" s="543"/>
      <c r="I392" s="545">
        <v>0.4</v>
      </c>
      <c r="J392" s="537">
        <v>123</v>
      </c>
    </row>
    <row r="393" spans="2:10" s="274" customFormat="1">
      <c r="B393" s="552"/>
      <c r="C393" s="553" t="s">
        <v>66</v>
      </c>
      <c r="D393" s="553" t="s">
        <v>59</v>
      </c>
      <c r="E393" s="553"/>
      <c r="F393" s="553"/>
      <c r="G393" s="554">
        <v>0.01</v>
      </c>
      <c r="H393" s="554"/>
      <c r="I393" s="555">
        <v>0.4</v>
      </c>
      <c r="J393" s="556">
        <v>123</v>
      </c>
    </row>
    <row r="394" spans="2:10" s="274" customFormat="1">
      <c r="B394" s="557"/>
      <c r="C394" s="558" t="s">
        <v>66</v>
      </c>
      <c r="D394" s="558" t="s">
        <v>55</v>
      </c>
      <c r="E394" s="558"/>
      <c r="F394" s="558"/>
      <c r="G394" s="559">
        <v>0.01</v>
      </c>
      <c r="H394" s="559"/>
      <c r="I394" s="560">
        <v>0.4</v>
      </c>
      <c r="J394" s="561">
        <v>124</v>
      </c>
    </row>
    <row r="395" spans="2:10" s="274" customFormat="1">
      <c r="B395" s="535"/>
      <c r="C395" s="536" t="s">
        <v>66</v>
      </c>
      <c r="D395" s="536" t="s">
        <v>57</v>
      </c>
      <c r="E395" s="536"/>
      <c r="F395" s="536"/>
      <c r="G395" s="543">
        <v>0.01</v>
      </c>
      <c r="H395" s="543"/>
      <c r="I395" s="545">
        <v>0.4</v>
      </c>
      <c r="J395" s="537">
        <v>124</v>
      </c>
    </row>
    <row r="396" spans="2:10" s="274" customFormat="1">
      <c r="B396" s="552"/>
      <c r="C396" s="553" t="s">
        <v>66</v>
      </c>
      <c r="D396" s="553" t="s">
        <v>59</v>
      </c>
      <c r="E396" s="553"/>
      <c r="F396" s="553"/>
      <c r="G396" s="554">
        <v>0.01</v>
      </c>
      <c r="H396" s="554"/>
      <c r="I396" s="555">
        <v>0.4</v>
      </c>
      <c r="J396" s="556">
        <v>124</v>
      </c>
    </row>
    <row r="397" spans="2:10" s="274" customFormat="1">
      <c r="B397" s="535"/>
      <c r="C397" s="536" t="s">
        <v>66</v>
      </c>
      <c r="D397" s="536" t="s">
        <v>55</v>
      </c>
      <c r="E397" s="536"/>
      <c r="F397" s="536"/>
      <c r="G397" s="543">
        <v>0.01</v>
      </c>
      <c r="H397" s="543"/>
      <c r="I397" s="545">
        <v>0.4</v>
      </c>
      <c r="J397" s="537">
        <v>125</v>
      </c>
    </row>
    <row r="398" spans="2:10" s="274" customFormat="1">
      <c r="B398" s="535"/>
      <c r="C398" s="536" t="s">
        <v>66</v>
      </c>
      <c r="D398" s="536" t="s">
        <v>57</v>
      </c>
      <c r="E398" s="536"/>
      <c r="F398" s="536"/>
      <c r="G398" s="543">
        <v>0.01</v>
      </c>
      <c r="H398" s="543"/>
      <c r="I398" s="545">
        <v>0.4</v>
      </c>
      <c r="J398" s="537">
        <v>125</v>
      </c>
    </row>
    <row r="399" spans="2:10" s="274" customFormat="1" ht="12" thickBot="1">
      <c r="B399" s="538"/>
      <c r="C399" s="539" t="s">
        <v>66</v>
      </c>
      <c r="D399" s="539" t="s">
        <v>59</v>
      </c>
      <c r="E399" s="539"/>
      <c r="F399" s="539"/>
      <c r="G399" s="544">
        <v>0.01</v>
      </c>
      <c r="H399" s="544"/>
      <c r="I399" s="546">
        <v>0.4</v>
      </c>
      <c r="J399" s="540">
        <v>125</v>
      </c>
    </row>
    <row r="400" spans="2:10" s="274" customFormat="1"/>
    <row r="401" spans="2:5" s="274" customFormat="1" ht="12" thickBot="1"/>
    <row r="402" spans="2:5" s="274" customFormat="1" ht="12" thickBot="1">
      <c r="B402" s="471" t="s">
        <v>682</v>
      </c>
      <c r="C402" s="479" t="s">
        <v>671</v>
      </c>
      <c r="D402" s="479" t="s">
        <v>683</v>
      </c>
      <c r="E402" s="479" t="s">
        <v>684</v>
      </c>
    </row>
    <row r="403" spans="2:5" s="274" customFormat="1">
      <c r="B403" s="594" cm="1">
        <f t="array" aca="1" ref="B403:C527" ca="1">riskWeight(E25:E399)</f>
        <v>0.03</v>
      </c>
      <c r="C403" s="591">
        <f ca="1"/>
        <v>1</v>
      </c>
      <c r="D403" s="595">
        <f ca="1">P14*B403</f>
        <v>0</v>
      </c>
      <c r="E403" s="595">
        <f ca="1">T14*B403</f>
        <v>0</v>
      </c>
    </row>
    <row r="404" spans="2:5" s="274" customFormat="1">
      <c r="B404" s="595">
        <f ca="1"/>
        <v>0.03</v>
      </c>
      <c r="C404" s="592">
        <f ca="1"/>
        <v>2</v>
      </c>
      <c r="D404" s="595">
        <f t="shared" ref="D404:D467" ca="1" si="20">P15*B404</f>
        <v>0</v>
      </c>
      <c r="E404" s="595">
        <f t="shared" ref="E404:E467" ca="1" si="21">T15*B404</f>
        <v>0</v>
      </c>
    </row>
    <row r="405" spans="2:5" s="274" customFormat="1">
      <c r="B405" s="595">
        <f ca="1"/>
        <v>0.06</v>
      </c>
      <c r="C405" s="592">
        <f ca="1"/>
        <v>3</v>
      </c>
      <c r="D405" s="595">
        <f t="shared" ca="1" si="20"/>
        <v>0</v>
      </c>
      <c r="E405" s="595">
        <f t="shared" ca="1" si="21"/>
        <v>0</v>
      </c>
    </row>
    <row r="406" spans="2:5" s="274" customFormat="1">
      <c r="B406" s="595">
        <f ca="1"/>
        <v>0.06</v>
      </c>
      <c r="C406" s="592">
        <f ca="1"/>
        <v>4</v>
      </c>
      <c r="D406" s="595">
        <f t="shared" ca="1" si="20"/>
        <v>0</v>
      </c>
      <c r="E406" s="595">
        <f t="shared" ca="1" si="21"/>
        <v>0</v>
      </c>
    </row>
    <row r="407" spans="2:5" s="274" customFormat="1">
      <c r="B407" s="595">
        <f ca="1"/>
        <v>0.06</v>
      </c>
      <c r="C407" s="592">
        <f ca="1"/>
        <v>5</v>
      </c>
      <c r="D407" s="595">
        <f t="shared" ca="1" si="20"/>
        <v>0</v>
      </c>
      <c r="E407" s="595">
        <f t="shared" ca="1" si="21"/>
        <v>0</v>
      </c>
    </row>
    <row r="408" spans="2:5" s="274" customFormat="1">
      <c r="B408" s="595">
        <f ca="1"/>
        <v>0.06</v>
      </c>
      <c r="C408" s="592">
        <f ca="1"/>
        <v>6</v>
      </c>
      <c r="D408" s="595">
        <f t="shared" ca="1" si="20"/>
        <v>0</v>
      </c>
      <c r="E408" s="595">
        <f t="shared" ca="1" si="21"/>
        <v>0</v>
      </c>
    </row>
    <row r="409" spans="2:5" s="274" customFormat="1">
      <c r="B409" s="595">
        <f ca="1"/>
        <v>0.03</v>
      </c>
      <c r="C409" s="592">
        <f ca="1"/>
        <v>7</v>
      </c>
      <c r="D409" s="595">
        <f t="shared" ca="1" si="20"/>
        <v>0</v>
      </c>
      <c r="E409" s="595">
        <f t="shared" ca="1" si="21"/>
        <v>0</v>
      </c>
    </row>
    <row r="410" spans="2:5" s="274" customFormat="1">
      <c r="B410" s="595">
        <f ca="1"/>
        <v>0.06</v>
      </c>
      <c r="C410" s="592">
        <f ca="1"/>
        <v>8</v>
      </c>
      <c r="D410" s="595">
        <f t="shared" ca="1" si="20"/>
        <v>0</v>
      </c>
      <c r="E410" s="595">
        <f t="shared" ca="1" si="21"/>
        <v>0</v>
      </c>
    </row>
    <row r="411" spans="2:5" s="274" customFormat="1">
      <c r="B411" s="595">
        <f ca="1"/>
        <v>0.03</v>
      </c>
      <c r="C411" s="592">
        <f ca="1"/>
        <v>9</v>
      </c>
      <c r="D411" s="595">
        <f t="shared" ca="1" si="20"/>
        <v>0</v>
      </c>
      <c r="E411" s="595">
        <f t="shared" ca="1" si="21"/>
        <v>0</v>
      </c>
    </row>
    <row r="412" spans="2:5" s="274" customFormat="1">
      <c r="B412" s="595">
        <f ca="1"/>
        <v>0.06</v>
      </c>
      <c r="C412" s="592">
        <f ca="1"/>
        <v>10</v>
      </c>
      <c r="D412" s="595">
        <f t="shared" ca="1" si="20"/>
        <v>0</v>
      </c>
      <c r="E412" s="595">
        <f t="shared" ca="1" si="21"/>
        <v>0</v>
      </c>
    </row>
    <row r="413" spans="2:5" s="274" customFormat="1">
      <c r="B413" s="595">
        <f ca="1"/>
        <v>0.03</v>
      </c>
      <c r="C413" s="592">
        <f ca="1"/>
        <v>11</v>
      </c>
      <c r="D413" s="595">
        <f t="shared" ca="1" si="20"/>
        <v>0</v>
      </c>
      <c r="E413" s="595">
        <f t="shared" ca="1" si="21"/>
        <v>0</v>
      </c>
    </row>
    <row r="414" spans="2:5" s="274" customFormat="1">
      <c r="B414" s="595">
        <f ca="1"/>
        <v>0.03</v>
      </c>
      <c r="C414" s="592">
        <f ca="1"/>
        <v>12</v>
      </c>
      <c r="D414" s="595">
        <f t="shared" ca="1" si="20"/>
        <v>0</v>
      </c>
      <c r="E414" s="595">
        <f t="shared" ca="1" si="21"/>
        <v>0</v>
      </c>
    </row>
    <row r="415" spans="2:5" s="274" customFormat="1">
      <c r="B415" s="595">
        <f ca="1"/>
        <v>0.06</v>
      </c>
      <c r="C415" s="592">
        <f ca="1"/>
        <v>13</v>
      </c>
      <c r="D415" s="595">
        <f t="shared" ca="1" si="20"/>
        <v>0</v>
      </c>
      <c r="E415" s="595">
        <f t="shared" ca="1" si="21"/>
        <v>0</v>
      </c>
    </row>
    <row r="416" spans="2:5" s="274" customFormat="1">
      <c r="B416" s="595">
        <f ca="1"/>
        <v>0.06</v>
      </c>
      <c r="C416" s="592">
        <f ca="1"/>
        <v>14</v>
      </c>
      <c r="D416" s="595">
        <f t="shared" ca="1" si="20"/>
        <v>0</v>
      </c>
      <c r="E416" s="595">
        <f t="shared" ca="1" si="21"/>
        <v>0</v>
      </c>
    </row>
    <row r="417" spans="2:5" s="274" customFormat="1">
      <c r="B417" s="595">
        <f ca="1"/>
        <v>0.06</v>
      </c>
      <c r="C417" s="592">
        <f ca="1"/>
        <v>15</v>
      </c>
      <c r="D417" s="595">
        <f t="shared" ca="1" si="20"/>
        <v>0</v>
      </c>
      <c r="E417" s="595">
        <f t="shared" ca="1" si="21"/>
        <v>0</v>
      </c>
    </row>
    <row r="418" spans="2:5" s="274" customFormat="1">
      <c r="B418" s="595">
        <f ca="1"/>
        <v>0.06</v>
      </c>
      <c r="C418" s="592">
        <f ca="1"/>
        <v>16</v>
      </c>
      <c r="D418" s="595">
        <f t="shared" ca="1" si="20"/>
        <v>0</v>
      </c>
      <c r="E418" s="595">
        <f t="shared" ca="1" si="21"/>
        <v>0</v>
      </c>
    </row>
    <row r="419" spans="2:5" s="274" customFormat="1">
      <c r="B419" s="595">
        <f ca="1"/>
        <v>0.03</v>
      </c>
      <c r="C419" s="592">
        <f ca="1"/>
        <v>17</v>
      </c>
      <c r="D419" s="595">
        <f t="shared" ca="1" si="20"/>
        <v>0</v>
      </c>
      <c r="E419" s="595">
        <f t="shared" ca="1" si="21"/>
        <v>0</v>
      </c>
    </row>
    <row r="420" spans="2:5" s="274" customFormat="1">
      <c r="B420" s="595">
        <f ca="1"/>
        <v>0.06</v>
      </c>
      <c r="C420" s="592">
        <f ca="1"/>
        <v>18</v>
      </c>
      <c r="D420" s="595">
        <f t="shared" ca="1" si="20"/>
        <v>0</v>
      </c>
      <c r="E420" s="595">
        <f t="shared" ca="1" si="21"/>
        <v>0</v>
      </c>
    </row>
    <row r="421" spans="2:5" s="274" customFormat="1">
      <c r="B421" s="595">
        <f ca="1"/>
        <v>0.06</v>
      </c>
      <c r="C421" s="592">
        <f ca="1"/>
        <v>19</v>
      </c>
      <c r="D421" s="595">
        <f t="shared" ca="1" si="20"/>
        <v>0</v>
      </c>
      <c r="E421" s="595">
        <f t="shared" ca="1" si="21"/>
        <v>0</v>
      </c>
    </row>
    <row r="422" spans="2:5" s="274" customFormat="1">
      <c r="B422" s="595">
        <f ca="1"/>
        <v>5.0000000000000001E-3</v>
      </c>
      <c r="C422" s="592">
        <f ca="1"/>
        <v>20</v>
      </c>
      <c r="D422" s="595">
        <f t="shared" ca="1" si="20"/>
        <v>0</v>
      </c>
      <c r="E422" s="595">
        <f t="shared" ca="1" si="21"/>
        <v>0</v>
      </c>
    </row>
    <row r="423" spans="2:5" s="274" customFormat="1">
      <c r="B423" s="595">
        <f ca="1"/>
        <v>0.03</v>
      </c>
      <c r="C423" s="592">
        <f ca="1"/>
        <v>21</v>
      </c>
      <c r="D423" s="595">
        <f t="shared" ca="1" si="20"/>
        <v>0</v>
      </c>
      <c r="E423" s="595">
        <f t="shared" ca="1" si="21"/>
        <v>0</v>
      </c>
    </row>
    <row r="424" spans="2:5" s="274" customFormat="1">
      <c r="B424" s="595">
        <f ca="1"/>
        <v>0.06</v>
      </c>
      <c r="C424" s="592">
        <f ca="1"/>
        <v>22</v>
      </c>
      <c r="D424" s="595">
        <f t="shared" ca="1" si="20"/>
        <v>0</v>
      </c>
      <c r="E424" s="595">
        <f t="shared" ca="1" si="21"/>
        <v>0</v>
      </c>
    </row>
    <row r="425" spans="2:5" s="274" customFormat="1">
      <c r="B425" s="595">
        <f ca="1"/>
        <v>0.06</v>
      </c>
      <c r="C425" s="592">
        <f ca="1"/>
        <v>23</v>
      </c>
      <c r="D425" s="595">
        <f t="shared" ca="1" si="20"/>
        <v>0</v>
      </c>
      <c r="E425" s="595">
        <f t="shared" ca="1" si="21"/>
        <v>0</v>
      </c>
    </row>
    <row r="426" spans="2:5" s="274" customFormat="1">
      <c r="B426" s="595">
        <f ca="1"/>
        <v>0.03</v>
      </c>
      <c r="C426" s="592">
        <f ca="1"/>
        <v>24</v>
      </c>
      <c r="D426" s="595">
        <f t="shared" ca="1" si="20"/>
        <v>0</v>
      </c>
      <c r="E426" s="595">
        <f t="shared" ca="1" si="21"/>
        <v>0</v>
      </c>
    </row>
    <row r="427" spans="2:5" s="274" customFormat="1">
      <c r="B427" s="595">
        <f ca="1"/>
        <v>0.06</v>
      </c>
      <c r="C427" s="592">
        <f ca="1"/>
        <v>25</v>
      </c>
      <c r="D427" s="595">
        <f t="shared" ca="1" si="20"/>
        <v>0</v>
      </c>
      <c r="E427" s="595">
        <f t="shared" ca="1" si="21"/>
        <v>0</v>
      </c>
    </row>
    <row r="428" spans="2:5" s="274" customFormat="1">
      <c r="B428" s="595">
        <f ca="1"/>
        <v>0.06</v>
      </c>
      <c r="C428" s="592">
        <f ca="1"/>
        <v>26</v>
      </c>
      <c r="D428" s="595">
        <f t="shared" ca="1" si="20"/>
        <v>0</v>
      </c>
      <c r="E428" s="595">
        <f t="shared" ca="1" si="21"/>
        <v>0</v>
      </c>
    </row>
    <row r="429" spans="2:5" s="274" customFormat="1">
      <c r="B429" s="595">
        <f ca="1"/>
        <v>0.02</v>
      </c>
      <c r="C429" s="592">
        <f ca="1"/>
        <v>27</v>
      </c>
      <c r="D429" s="595">
        <f t="shared" ca="1" si="20"/>
        <v>0</v>
      </c>
      <c r="E429" s="595">
        <f t="shared" ca="1" si="21"/>
        <v>0</v>
      </c>
    </row>
    <row r="430" spans="2:5" s="274" customFormat="1">
      <c r="B430" s="595">
        <f ca="1"/>
        <v>0.02</v>
      </c>
      <c r="C430" s="592">
        <f ca="1"/>
        <v>28</v>
      </c>
      <c r="D430" s="595">
        <f t="shared" ca="1" si="20"/>
        <v>0</v>
      </c>
      <c r="E430" s="595">
        <f t="shared" ca="1" si="21"/>
        <v>0</v>
      </c>
    </row>
    <row r="431" spans="2:5" s="274" customFormat="1">
      <c r="B431" s="595">
        <f ca="1"/>
        <v>0.06</v>
      </c>
      <c r="C431" s="592">
        <f ca="1"/>
        <v>29</v>
      </c>
      <c r="D431" s="595">
        <f t="shared" ca="1" si="20"/>
        <v>0</v>
      </c>
      <c r="E431" s="595">
        <f t="shared" ca="1" si="21"/>
        <v>0</v>
      </c>
    </row>
    <row r="432" spans="2:5" s="274" customFormat="1">
      <c r="B432" s="595">
        <f ca="1"/>
        <v>0.06</v>
      </c>
      <c r="C432" s="592">
        <f ca="1"/>
        <v>30</v>
      </c>
      <c r="D432" s="595">
        <f t="shared" ca="1" si="20"/>
        <v>0</v>
      </c>
      <c r="E432" s="595">
        <f t="shared" ca="1" si="21"/>
        <v>0</v>
      </c>
    </row>
    <row r="433" spans="2:5" s="274" customFormat="1">
      <c r="B433" s="595">
        <f ca="1"/>
        <v>0.06</v>
      </c>
      <c r="C433" s="592">
        <f ca="1"/>
        <v>31</v>
      </c>
      <c r="D433" s="595">
        <f t="shared" ca="1" si="20"/>
        <v>0</v>
      </c>
      <c r="E433" s="595">
        <f t="shared" ca="1" si="21"/>
        <v>0</v>
      </c>
    </row>
    <row r="434" spans="2:5" s="274" customFormat="1">
      <c r="B434" s="595">
        <f ca="1"/>
        <v>0.06</v>
      </c>
      <c r="C434" s="592">
        <f ca="1"/>
        <v>32</v>
      </c>
      <c r="D434" s="595">
        <f t="shared" ca="1" si="20"/>
        <v>0</v>
      </c>
      <c r="E434" s="595">
        <f t="shared" ca="1" si="21"/>
        <v>0</v>
      </c>
    </row>
    <row r="435" spans="2:5" s="274" customFormat="1">
      <c r="B435" s="595">
        <f ca="1"/>
        <v>0.06</v>
      </c>
      <c r="C435" s="592">
        <f ca="1"/>
        <v>33</v>
      </c>
      <c r="D435" s="595">
        <f t="shared" ca="1" si="20"/>
        <v>0</v>
      </c>
      <c r="E435" s="595">
        <f t="shared" ca="1" si="21"/>
        <v>0</v>
      </c>
    </row>
    <row r="436" spans="2:5" s="274" customFormat="1">
      <c r="B436" s="595">
        <f ca="1"/>
        <v>0.03</v>
      </c>
      <c r="C436" s="592">
        <f ca="1"/>
        <v>34</v>
      </c>
      <c r="D436" s="595">
        <f t="shared" ca="1" si="20"/>
        <v>0</v>
      </c>
      <c r="E436" s="595">
        <f t="shared" ca="1" si="21"/>
        <v>0</v>
      </c>
    </row>
    <row r="437" spans="2:5" s="274" customFormat="1">
      <c r="B437" s="595">
        <f ca="1"/>
        <v>0.03</v>
      </c>
      <c r="C437" s="592">
        <f ca="1"/>
        <v>35</v>
      </c>
      <c r="D437" s="595">
        <f t="shared" ca="1" si="20"/>
        <v>0</v>
      </c>
      <c r="E437" s="595">
        <f t="shared" ca="1" si="21"/>
        <v>0</v>
      </c>
    </row>
    <row r="438" spans="2:5" s="274" customFormat="1">
      <c r="B438" s="595">
        <f ca="1"/>
        <v>0.06</v>
      </c>
      <c r="C438" s="592">
        <f ca="1"/>
        <v>36</v>
      </c>
      <c r="D438" s="595">
        <f t="shared" ca="1" si="20"/>
        <v>0</v>
      </c>
      <c r="E438" s="595">
        <f t="shared" ca="1" si="21"/>
        <v>0</v>
      </c>
    </row>
    <row r="439" spans="2:5" s="274" customFormat="1">
      <c r="B439" s="595">
        <f ca="1"/>
        <v>0.06</v>
      </c>
      <c r="C439" s="592">
        <f ca="1"/>
        <v>37</v>
      </c>
      <c r="D439" s="595">
        <f t="shared" ca="1" si="20"/>
        <v>0</v>
      </c>
      <c r="E439" s="595">
        <f t="shared" ca="1" si="21"/>
        <v>0</v>
      </c>
    </row>
    <row r="440" spans="2:5" s="274" customFormat="1">
      <c r="B440" s="595">
        <f ca="1"/>
        <v>0.03</v>
      </c>
      <c r="C440" s="592">
        <f ca="1"/>
        <v>38</v>
      </c>
      <c r="D440" s="595">
        <f t="shared" ca="1" si="20"/>
        <v>0</v>
      </c>
      <c r="E440" s="595">
        <f t="shared" ca="1" si="21"/>
        <v>0</v>
      </c>
    </row>
    <row r="441" spans="2:5" s="274" customFormat="1">
      <c r="B441" s="595">
        <f ca="1"/>
        <v>0.06</v>
      </c>
      <c r="C441" s="592">
        <f ca="1"/>
        <v>39</v>
      </c>
      <c r="D441" s="595">
        <f t="shared" ca="1" si="20"/>
        <v>0</v>
      </c>
      <c r="E441" s="595">
        <f t="shared" ca="1" si="21"/>
        <v>0</v>
      </c>
    </row>
    <row r="442" spans="2:5" s="274" customFormat="1">
      <c r="B442" s="595">
        <f ca="1"/>
        <v>0.02</v>
      </c>
      <c r="C442" s="592">
        <f ca="1"/>
        <v>40</v>
      </c>
      <c r="D442" s="595">
        <f t="shared" ca="1" si="20"/>
        <v>0</v>
      </c>
      <c r="E442" s="595">
        <f t="shared" ca="1" si="21"/>
        <v>0</v>
      </c>
    </row>
    <row r="443" spans="2:5" s="274" customFormat="1">
      <c r="B443" s="595">
        <f ca="1"/>
        <v>0.06</v>
      </c>
      <c r="C443" s="592">
        <f ca="1"/>
        <v>41</v>
      </c>
      <c r="D443" s="595">
        <f t="shared" ca="1" si="20"/>
        <v>0</v>
      </c>
      <c r="E443" s="595">
        <f t="shared" ca="1" si="21"/>
        <v>0</v>
      </c>
    </row>
    <row r="444" spans="2:5" s="274" customFormat="1">
      <c r="B444" s="595">
        <f ca="1"/>
        <v>0.02</v>
      </c>
      <c r="C444" s="592">
        <f ca="1"/>
        <v>42</v>
      </c>
      <c r="D444" s="595">
        <f t="shared" ca="1" si="20"/>
        <v>0</v>
      </c>
      <c r="E444" s="595">
        <f t="shared" ca="1" si="21"/>
        <v>0</v>
      </c>
    </row>
    <row r="445" spans="2:5" s="274" customFormat="1">
      <c r="B445" s="595">
        <f ca="1"/>
        <v>0.03</v>
      </c>
      <c r="C445" s="592">
        <f ca="1"/>
        <v>43</v>
      </c>
      <c r="D445" s="595">
        <f t="shared" ca="1" si="20"/>
        <v>0</v>
      </c>
      <c r="E445" s="595">
        <f t="shared" ca="1" si="21"/>
        <v>0</v>
      </c>
    </row>
    <row r="446" spans="2:5" s="274" customFormat="1">
      <c r="B446" s="595">
        <f ca="1"/>
        <v>0.02</v>
      </c>
      <c r="C446" s="592">
        <f ca="1"/>
        <v>44</v>
      </c>
      <c r="D446" s="595">
        <f t="shared" ca="1" si="20"/>
        <v>0</v>
      </c>
      <c r="E446" s="595">
        <f t="shared" ca="1" si="21"/>
        <v>0</v>
      </c>
    </row>
    <row r="447" spans="2:5" s="274" customFormat="1">
      <c r="B447" s="595">
        <f ca="1"/>
        <v>0.06</v>
      </c>
      <c r="C447" s="592">
        <f ca="1"/>
        <v>45</v>
      </c>
      <c r="D447" s="595">
        <f t="shared" ca="1" si="20"/>
        <v>0</v>
      </c>
      <c r="E447" s="595">
        <f t="shared" ca="1" si="21"/>
        <v>0</v>
      </c>
    </row>
    <row r="448" spans="2:5" s="274" customFormat="1">
      <c r="B448" s="595">
        <f ca="1"/>
        <v>0.06</v>
      </c>
      <c r="C448" s="592">
        <f ca="1"/>
        <v>46</v>
      </c>
      <c r="D448" s="595">
        <f t="shared" ca="1" si="20"/>
        <v>0</v>
      </c>
      <c r="E448" s="595">
        <f t="shared" ca="1" si="21"/>
        <v>0</v>
      </c>
    </row>
    <row r="449" spans="2:5" s="274" customFormat="1">
      <c r="B449" s="595">
        <f ca="1"/>
        <v>0.03</v>
      </c>
      <c r="C449" s="592">
        <f ca="1"/>
        <v>47</v>
      </c>
      <c r="D449" s="595">
        <f t="shared" ca="1" si="20"/>
        <v>0</v>
      </c>
      <c r="E449" s="595">
        <f t="shared" ca="1" si="21"/>
        <v>0</v>
      </c>
    </row>
    <row r="450" spans="2:5" s="274" customFormat="1">
      <c r="B450" s="595">
        <f ca="1"/>
        <v>0.06</v>
      </c>
      <c r="C450" s="592">
        <f ca="1"/>
        <v>48</v>
      </c>
      <c r="D450" s="595">
        <f t="shared" ca="1" si="20"/>
        <v>0</v>
      </c>
      <c r="E450" s="595">
        <f t="shared" ca="1" si="21"/>
        <v>0</v>
      </c>
    </row>
    <row r="451" spans="2:5" s="274" customFormat="1">
      <c r="B451" s="595">
        <f ca="1"/>
        <v>0.03</v>
      </c>
      <c r="C451" s="592">
        <f ca="1"/>
        <v>49</v>
      </c>
      <c r="D451" s="595">
        <f t="shared" ca="1" si="20"/>
        <v>0</v>
      </c>
      <c r="E451" s="595">
        <f t="shared" ca="1" si="21"/>
        <v>0</v>
      </c>
    </row>
    <row r="452" spans="2:5" s="274" customFormat="1">
      <c r="B452" s="595">
        <f ca="1"/>
        <v>0.06</v>
      </c>
      <c r="C452" s="592">
        <f ca="1"/>
        <v>50</v>
      </c>
      <c r="D452" s="595">
        <f t="shared" ca="1" si="20"/>
        <v>0</v>
      </c>
      <c r="E452" s="595">
        <f t="shared" ca="1" si="21"/>
        <v>0</v>
      </c>
    </row>
    <row r="453" spans="2:5" s="274" customFormat="1">
      <c r="B453" s="595">
        <f ca="1"/>
        <v>0.06</v>
      </c>
      <c r="C453" s="592">
        <f ca="1"/>
        <v>51</v>
      </c>
      <c r="D453" s="595">
        <f t="shared" ca="1" si="20"/>
        <v>0</v>
      </c>
      <c r="E453" s="595">
        <f t="shared" ca="1" si="21"/>
        <v>0</v>
      </c>
    </row>
    <row r="454" spans="2:5" s="274" customFormat="1">
      <c r="B454" s="595">
        <f ca="1"/>
        <v>0.06</v>
      </c>
      <c r="C454" s="592">
        <f ca="1"/>
        <v>52</v>
      </c>
      <c r="D454" s="595">
        <f t="shared" ca="1" si="20"/>
        <v>0</v>
      </c>
      <c r="E454" s="595">
        <f t="shared" ca="1" si="21"/>
        <v>0</v>
      </c>
    </row>
    <row r="455" spans="2:5" s="274" customFormat="1">
      <c r="B455" s="595">
        <f ca="1"/>
        <v>0.02</v>
      </c>
      <c r="C455" s="592">
        <f ca="1"/>
        <v>53</v>
      </c>
      <c r="D455" s="595">
        <f t="shared" ca="1" si="20"/>
        <v>0</v>
      </c>
      <c r="E455" s="595">
        <f t="shared" ca="1" si="21"/>
        <v>0</v>
      </c>
    </row>
    <row r="456" spans="2:5" s="274" customFormat="1">
      <c r="B456" s="595">
        <f ca="1"/>
        <v>0.02</v>
      </c>
      <c r="C456" s="592">
        <f ca="1"/>
        <v>54</v>
      </c>
      <c r="D456" s="595">
        <f t="shared" ca="1" si="20"/>
        <v>0</v>
      </c>
      <c r="E456" s="595">
        <f t="shared" ca="1" si="21"/>
        <v>0</v>
      </c>
    </row>
    <row r="457" spans="2:5" s="274" customFormat="1">
      <c r="B457" s="595">
        <f ca="1"/>
        <v>0.06</v>
      </c>
      <c r="C457" s="592">
        <f ca="1"/>
        <v>55</v>
      </c>
      <c r="D457" s="595">
        <f t="shared" ca="1" si="20"/>
        <v>0</v>
      </c>
      <c r="E457" s="595">
        <f t="shared" ca="1" si="21"/>
        <v>0</v>
      </c>
    </row>
    <row r="458" spans="2:5" s="274" customFormat="1">
      <c r="B458" s="595">
        <f ca="1"/>
        <v>0.06</v>
      </c>
      <c r="C458" s="592">
        <f ca="1"/>
        <v>56</v>
      </c>
      <c r="D458" s="595">
        <f t="shared" ca="1" si="20"/>
        <v>0</v>
      </c>
      <c r="E458" s="595">
        <f t="shared" ca="1" si="21"/>
        <v>0</v>
      </c>
    </row>
    <row r="459" spans="2:5" s="274" customFormat="1">
      <c r="B459" s="595">
        <f ca="1"/>
        <v>0.06</v>
      </c>
      <c r="C459" s="592">
        <f ca="1"/>
        <v>57</v>
      </c>
      <c r="D459" s="595">
        <f t="shared" ca="1" si="20"/>
        <v>0</v>
      </c>
      <c r="E459" s="595">
        <f t="shared" ca="1" si="21"/>
        <v>0</v>
      </c>
    </row>
    <row r="460" spans="2:5" s="274" customFormat="1">
      <c r="B460" s="595">
        <f ca="1"/>
        <v>0.06</v>
      </c>
      <c r="C460" s="592">
        <f ca="1"/>
        <v>58</v>
      </c>
      <c r="D460" s="595">
        <f t="shared" ca="1" si="20"/>
        <v>0</v>
      </c>
      <c r="E460" s="595">
        <f t="shared" ca="1" si="21"/>
        <v>0</v>
      </c>
    </row>
    <row r="461" spans="2:5" s="274" customFormat="1">
      <c r="B461" s="595">
        <f ca="1"/>
        <v>0.06</v>
      </c>
      <c r="C461" s="592">
        <f ca="1"/>
        <v>59</v>
      </c>
      <c r="D461" s="595">
        <f t="shared" ca="1" si="20"/>
        <v>0</v>
      </c>
      <c r="E461" s="595">
        <f t="shared" ca="1" si="21"/>
        <v>0</v>
      </c>
    </row>
    <row r="462" spans="2:5" s="274" customFormat="1">
      <c r="B462" s="595">
        <f ca="1"/>
        <v>0.03</v>
      </c>
      <c r="C462" s="592">
        <f ca="1"/>
        <v>60</v>
      </c>
      <c r="D462" s="595">
        <f t="shared" ca="1" si="20"/>
        <v>0</v>
      </c>
      <c r="E462" s="595">
        <f t="shared" ca="1" si="21"/>
        <v>0</v>
      </c>
    </row>
    <row r="463" spans="2:5" s="274" customFormat="1">
      <c r="B463" s="595">
        <f ca="1"/>
        <v>0.03</v>
      </c>
      <c r="C463" s="592">
        <f ca="1"/>
        <v>61</v>
      </c>
      <c r="D463" s="595">
        <f t="shared" ca="1" si="20"/>
        <v>0</v>
      </c>
      <c r="E463" s="595">
        <f t="shared" ca="1" si="21"/>
        <v>0</v>
      </c>
    </row>
    <row r="464" spans="2:5" s="274" customFormat="1">
      <c r="B464" s="595">
        <f ca="1"/>
        <v>0.06</v>
      </c>
      <c r="C464" s="592">
        <f ca="1"/>
        <v>62</v>
      </c>
      <c r="D464" s="595">
        <f t="shared" ca="1" si="20"/>
        <v>0</v>
      </c>
      <c r="E464" s="595">
        <f t="shared" ca="1" si="21"/>
        <v>0</v>
      </c>
    </row>
    <row r="465" spans="2:5" s="274" customFormat="1">
      <c r="B465" s="595">
        <f ca="1"/>
        <v>0.06</v>
      </c>
      <c r="C465" s="592">
        <f ca="1"/>
        <v>63</v>
      </c>
      <c r="D465" s="595">
        <f t="shared" ca="1" si="20"/>
        <v>0</v>
      </c>
      <c r="E465" s="595">
        <f t="shared" ca="1" si="21"/>
        <v>0</v>
      </c>
    </row>
    <row r="466" spans="2:5" s="274" customFormat="1">
      <c r="B466" s="595">
        <f ca="1"/>
        <v>0.06</v>
      </c>
      <c r="C466" s="592">
        <f ca="1"/>
        <v>64</v>
      </c>
      <c r="D466" s="595">
        <f t="shared" ca="1" si="20"/>
        <v>0</v>
      </c>
      <c r="E466" s="595">
        <f t="shared" ca="1" si="21"/>
        <v>0</v>
      </c>
    </row>
    <row r="467" spans="2:5" s="274" customFormat="1">
      <c r="B467" s="595">
        <f ca="1"/>
        <v>0.06</v>
      </c>
      <c r="C467" s="592">
        <f ca="1"/>
        <v>65</v>
      </c>
      <c r="D467" s="595">
        <f t="shared" ca="1" si="20"/>
        <v>0</v>
      </c>
      <c r="E467" s="595">
        <f t="shared" ca="1" si="21"/>
        <v>0</v>
      </c>
    </row>
    <row r="468" spans="2:5" s="274" customFormat="1">
      <c r="B468" s="595">
        <f ca="1"/>
        <v>0.06</v>
      </c>
      <c r="C468" s="592">
        <f ca="1"/>
        <v>66</v>
      </c>
      <c r="D468" s="595">
        <f t="shared" ref="D468:D527" ca="1" si="22">P79*B468</f>
        <v>0</v>
      </c>
      <c r="E468" s="595">
        <f t="shared" ref="E468:E527" ca="1" si="23">T79*B468</f>
        <v>0</v>
      </c>
    </row>
    <row r="469" spans="2:5" s="274" customFormat="1">
      <c r="B469" s="595">
        <f ca="1"/>
        <v>0.06</v>
      </c>
      <c r="C469" s="592">
        <f ca="1"/>
        <v>67</v>
      </c>
      <c r="D469" s="595">
        <f t="shared" ca="1" si="22"/>
        <v>0</v>
      </c>
      <c r="E469" s="595">
        <f t="shared" ca="1" si="23"/>
        <v>0</v>
      </c>
    </row>
    <row r="470" spans="2:5" s="274" customFormat="1">
      <c r="B470" s="595">
        <f ca="1"/>
        <v>0.03</v>
      </c>
      <c r="C470" s="592">
        <f ca="1"/>
        <v>68</v>
      </c>
      <c r="D470" s="595">
        <f t="shared" ca="1" si="22"/>
        <v>0</v>
      </c>
      <c r="E470" s="595">
        <f t="shared" ca="1" si="23"/>
        <v>0</v>
      </c>
    </row>
    <row r="471" spans="2:5" s="274" customFormat="1">
      <c r="B471" s="595">
        <f ca="1"/>
        <v>0.02</v>
      </c>
      <c r="C471" s="592">
        <f ca="1"/>
        <v>69</v>
      </c>
      <c r="D471" s="595">
        <f t="shared" ca="1" si="22"/>
        <v>0</v>
      </c>
      <c r="E471" s="595">
        <f t="shared" ca="1" si="23"/>
        <v>0</v>
      </c>
    </row>
    <row r="472" spans="2:5" s="274" customFormat="1">
      <c r="B472" s="595">
        <f ca="1"/>
        <v>0.06</v>
      </c>
      <c r="C472" s="592">
        <f ca="1"/>
        <v>70</v>
      </c>
      <c r="D472" s="595">
        <f t="shared" ca="1" si="22"/>
        <v>0</v>
      </c>
      <c r="E472" s="595">
        <f t="shared" ca="1" si="23"/>
        <v>0</v>
      </c>
    </row>
    <row r="473" spans="2:5" s="274" customFormat="1">
      <c r="B473" s="595">
        <f ca="1"/>
        <v>0.06</v>
      </c>
      <c r="C473" s="592">
        <f ca="1"/>
        <v>71</v>
      </c>
      <c r="D473" s="595">
        <f t="shared" ca="1" si="22"/>
        <v>0</v>
      </c>
      <c r="E473" s="595">
        <f t="shared" ca="1" si="23"/>
        <v>0</v>
      </c>
    </row>
    <row r="474" spans="2:5" s="274" customFormat="1">
      <c r="B474" s="595">
        <f ca="1"/>
        <v>0.06</v>
      </c>
      <c r="C474" s="592">
        <f ca="1"/>
        <v>72</v>
      </c>
      <c r="D474" s="595">
        <f t="shared" ca="1" si="22"/>
        <v>0</v>
      </c>
      <c r="E474" s="595">
        <f t="shared" ca="1" si="23"/>
        <v>0</v>
      </c>
    </row>
    <row r="475" spans="2:5" s="274" customFormat="1">
      <c r="B475" s="595">
        <f ca="1"/>
        <v>0.06</v>
      </c>
      <c r="C475" s="592">
        <f ca="1"/>
        <v>73</v>
      </c>
      <c r="D475" s="595">
        <f t="shared" ca="1" si="22"/>
        <v>0</v>
      </c>
      <c r="E475" s="595">
        <f t="shared" ca="1" si="23"/>
        <v>0</v>
      </c>
    </row>
    <row r="476" spans="2:5" s="274" customFormat="1">
      <c r="B476" s="595">
        <f ca="1"/>
        <v>0.06</v>
      </c>
      <c r="C476" s="592">
        <f ca="1"/>
        <v>74</v>
      </c>
      <c r="D476" s="595">
        <f t="shared" ca="1" si="22"/>
        <v>0</v>
      </c>
      <c r="E476" s="595">
        <f t="shared" ca="1" si="23"/>
        <v>0</v>
      </c>
    </row>
    <row r="477" spans="2:5" s="274" customFormat="1">
      <c r="B477" s="595">
        <f ca="1"/>
        <v>0.02</v>
      </c>
      <c r="C477" s="592">
        <f ca="1"/>
        <v>75</v>
      </c>
      <c r="D477" s="595">
        <f t="shared" ca="1" si="22"/>
        <v>0</v>
      </c>
      <c r="E477" s="595">
        <f t="shared" ca="1" si="23"/>
        <v>0</v>
      </c>
    </row>
    <row r="478" spans="2:5" s="274" customFormat="1">
      <c r="B478" s="595">
        <f ca="1"/>
        <v>0.03</v>
      </c>
      <c r="C478" s="592">
        <f ca="1"/>
        <v>76</v>
      </c>
      <c r="D478" s="595">
        <f t="shared" ca="1" si="22"/>
        <v>0</v>
      </c>
      <c r="E478" s="595">
        <f t="shared" ca="1" si="23"/>
        <v>0</v>
      </c>
    </row>
    <row r="479" spans="2:5" s="274" customFormat="1">
      <c r="B479" s="595">
        <f ca="1"/>
        <v>0.06</v>
      </c>
      <c r="C479" s="592">
        <f ca="1"/>
        <v>77</v>
      </c>
      <c r="D479" s="595">
        <f t="shared" ca="1" si="22"/>
        <v>0</v>
      </c>
      <c r="E479" s="595">
        <f t="shared" ca="1" si="23"/>
        <v>0</v>
      </c>
    </row>
    <row r="480" spans="2:5" s="274" customFormat="1">
      <c r="B480" s="595">
        <f ca="1"/>
        <v>0.06</v>
      </c>
      <c r="C480" s="592">
        <f ca="1"/>
        <v>78</v>
      </c>
      <c r="D480" s="595">
        <f t="shared" ca="1" si="22"/>
        <v>0</v>
      </c>
      <c r="E480" s="595">
        <f t="shared" ca="1" si="23"/>
        <v>0</v>
      </c>
    </row>
    <row r="481" spans="2:5" s="274" customFormat="1">
      <c r="B481" s="595">
        <f ca="1"/>
        <v>0.06</v>
      </c>
      <c r="C481" s="592">
        <f ca="1"/>
        <v>79</v>
      </c>
      <c r="D481" s="595">
        <f t="shared" ca="1" si="22"/>
        <v>0</v>
      </c>
      <c r="E481" s="595">
        <f t="shared" ca="1" si="23"/>
        <v>0</v>
      </c>
    </row>
    <row r="482" spans="2:5" s="274" customFormat="1">
      <c r="B482" s="595">
        <f ca="1"/>
        <v>0.06</v>
      </c>
      <c r="C482" s="592">
        <f ca="1"/>
        <v>80</v>
      </c>
      <c r="D482" s="595">
        <f t="shared" ca="1" si="22"/>
        <v>0</v>
      </c>
      <c r="E482" s="595">
        <f t="shared" ca="1" si="23"/>
        <v>0</v>
      </c>
    </row>
    <row r="483" spans="2:5" s="274" customFormat="1">
      <c r="B483" s="595">
        <f ca="1"/>
        <v>0.06</v>
      </c>
      <c r="C483" s="592">
        <f ca="1"/>
        <v>81</v>
      </c>
      <c r="D483" s="595">
        <f t="shared" ca="1" si="22"/>
        <v>0</v>
      </c>
      <c r="E483" s="595">
        <f t="shared" ca="1" si="23"/>
        <v>0</v>
      </c>
    </row>
    <row r="484" spans="2:5" s="274" customFormat="1">
      <c r="B484" s="595">
        <f ca="1"/>
        <v>0.06</v>
      </c>
      <c r="C484" s="592">
        <f ca="1"/>
        <v>82</v>
      </c>
      <c r="D484" s="595">
        <f t="shared" ca="1" si="22"/>
        <v>0</v>
      </c>
      <c r="E484" s="595">
        <f t="shared" ca="1" si="23"/>
        <v>0</v>
      </c>
    </row>
    <row r="485" spans="2:5" s="274" customFormat="1">
      <c r="B485" s="595">
        <f ca="1"/>
        <v>0.06</v>
      </c>
      <c r="C485" s="592">
        <f ca="1"/>
        <v>83</v>
      </c>
      <c r="D485" s="595">
        <f t="shared" ca="1" si="22"/>
        <v>0</v>
      </c>
      <c r="E485" s="595">
        <f t="shared" ca="1" si="23"/>
        <v>0</v>
      </c>
    </row>
    <row r="486" spans="2:5" s="274" customFormat="1">
      <c r="B486" s="595">
        <f ca="1"/>
        <v>0.06</v>
      </c>
      <c r="C486" s="592">
        <f ca="1"/>
        <v>84</v>
      </c>
      <c r="D486" s="595">
        <f t="shared" ca="1" si="22"/>
        <v>0</v>
      </c>
      <c r="E486" s="595">
        <f t="shared" ca="1" si="23"/>
        <v>0</v>
      </c>
    </row>
    <row r="487" spans="2:5" s="274" customFormat="1">
      <c r="B487" s="595">
        <f ca="1"/>
        <v>0.06</v>
      </c>
      <c r="C487" s="592">
        <f ca="1"/>
        <v>85</v>
      </c>
      <c r="D487" s="595">
        <f t="shared" ca="1" si="22"/>
        <v>0</v>
      </c>
      <c r="E487" s="595">
        <f t="shared" ca="1" si="23"/>
        <v>0</v>
      </c>
    </row>
    <row r="488" spans="2:5" s="274" customFormat="1">
      <c r="B488" s="595">
        <f ca="1"/>
        <v>0.06</v>
      </c>
      <c r="C488" s="592">
        <f ca="1"/>
        <v>86</v>
      </c>
      <c r="D488" s="595">
        <f t="shared" ca="1" si="22"/>
        <v>0</v>
      </c>
      <c r="E488" s="595">
        <f t="shared" ca="1" si="23"/>
        <v>0</v>
      </c>
    </row>
    <row r="489" spans="2:5" s="274" customFormat="1">
      <c r="B489" s="595">
        <f ca="1"/>
        <v>0.03</v>
      </c>
      <c r="C489" s="592">
        <f ca="1"/>
        <v>87</v>
      </c>
      <c r="D489" s="595">
        <f t="shared" ca="1" si="22"/>
        <v>0</v>
      </c>
      <c r="E489" s="595">
        <f t="shared" ca="1" si="23"/>
        <v>0</v>
      </c>
    </row>
    <row r="490" spans="2:5" s="274" customFormat="1">
      <c r="B490" s="595">
        <f ca="1"/>
        <v>0.06</v>
      </c>
      <c r="C490" s="592">
        <f ca="1"/>
        <v>88</v>
      </c>
      <c r="D490" s="595">
        <f t="shared" ca="1" si="22"/>
        <v>0</v>
      </c>
      <c r="E490" s="595">
        <f t="shared" ca="1" si="23"/>
        <v>0</v>
      </c>
    </row>
    <row r="491" spans="2:5" s="274" customFormat="1">
      <c r="B491" s="595">
        <f ca="1"/>
        <v>0.06</v>
      </c>
      <c r="C491" s="592">
        <f ca="1"/>
        <v>89</v>
      </c>
      <c r="D491" s="595">
        <f t="shared" ca="1" si="22"/>
        <v>0</v>
      </c>
      <c r="E491" s="595">
        <f t="shared" ca="1" si="23"/>
        <v>0</v>
      </c>
    </row>
    <row r="492" spans="2:5" s="274" customFormat="1">
      <c r="B492" s="595">
        <f ca="1"/>
        <v>0.03</v>
      </c>
      <c r="C492" s="592">
        <f ca="1"/>
        <v>90</v>
      </c>
      <c r="D492" s="595">
        <f t="shared" ca="1" si="22"/>
        <v>0</v>
      </c>
      <c r="E492" s="595">
        <f t="shared" ca="1" si="23"/>
        <v>0</v>
      </c>
    </row>
    <row r="493" spans="2:5" s="274" customFormat="1">
      <c r="B493" s="595">
        <f ca="1"/>
        <v>0.06</v>
      </c>
      <c r="C493" s="592">
        <f ca="1"/>
        <v>91</v>
      </c>
      <c r="D493" s="595">
        <f t="shared" ca="1" si="22"/>
        <v>0</v>
      </c>
      <c r="E493" s="595">
        <f t="shared" ca="1" si="23"/>
        <v>0</v>
      </c>
    </row>
    <row r="494" spans="2:5" s="274" customFormat="1">
      <c r="B494" s="595">
        <f ca="1"/>
        <v>0.06</v>
      </c>
      <c r="C494" s="592">
        <f ca="1"/>
        <v>92</v>
      </c>
      <c r="D494" s="595">
        <f t="shared" ca="1" si="22"/>
        <v>0</v>
      </c>
      <c r="E494" s="595">
        <f t="shared" ca="1" si="23"/>
        <v>0</v>
      </c>
    </row>
    <row r="495" spans="2:5" s="274" customFormat="1">
      <c r="B495" s="595">
        <f ca="1"/>
        <v>0.06</v>
      </c>
      <c r="C495" s="592">
        <f ca="1"/>
        <v>93</v>
      </c>
      <c r="D495" s="595">
        <f t="shared" ca="1" si="22"/>
        <v>0</v>
      </c>
      <c r="E495" s="595">
        <f t="shared" ca="1" si="23"/>
        <v>0</v>
      </c>
    </row>
    <row r="496" spans="2:5" s="274" customFormat="1">
      <c r="B496" s="595">
        <f ca="1"/>
        <v>0.06</v>
      </c>
      <c r="C496" s="592">
        <f ca="1"/>
        <v>94</v>
      </c>
      <c r="D496" s="595">
        <f t="shared" ca="1" si="22"/>
        <v>0</v>
      </c>
      <c r="E496" s="595">
        <f t="shared" ca="1" si="23"/>
        <v>0</v>
      </c>
    </row>
    <row r="497" spans="2:5" s="274" customFormat="1">
      <c r="B497" s="595">
        <f ca="1"/>
        <v>0.06</v>
      </c>
      <c r="C497" s="592">
        <f ca="1"/>
        <v>95</v>
      </c>
      <c r="D497" s="595">
        <f t="shared" ca="1" si="22"/>
        <v>0</v>
      </c>
      <c r="E497" s="595">
        <f t="shared" ca="1" si="23"/>
        <v>0</v>
      </c>
    </row>
    <row r="498" spans="2:5" s="274" customFormat="1">
      <c r="B498" s="595">
        <f ca="1"/>
        <v>0.15</v>
      </c>
      <c r="C498" s="592">
        <f ca="1"/>
        <v>96</v>
      </c>
      <c r="D498" s="595">
        <f t="shared" ca="1" si="22"/>
        <v>0</v>
      </c>
      <c r="E498" s="595">
        <f t="shared" ca="1" si="23"/>
        <v>0</v>
      </c>
    </row>
    <row r="499" spans="2:5" s="274" customFormat="1">
      <c r="B499" s="595">
        <f ca="1"/>
        <v>0.15</v>
      </c>
      <c r="C499" s="592">
        <f ca="1"/>
        <v>97</v>
      </c>
      <c r="D499" s="595">
        <f t="shared" ca="1" si="22"/>
        <v>0</v>
      </c>
      <c r="E499" s="595">
        <f t="shared" ca="1" si="23"/>
        <v>0</v>
      </c>
    </row>
    <row r="500" spans="2:5" s="274" customFormat="1">
      <c r="B500" s="595">
        <f ca="1"/>
        <v>0.15</v>
      </c>
      <c r="C500" s="592">
        <f ca="1"/>
        <v>98</v>
      </c>
      <c r="D500" s="595">
        <f t="shared" ca="1" si="22"/>
        <v>0</v>
      </c>
      <c r="E500" s="595">
        <f t="shared" ca="1" si="23"/>
        <v>0</v>
      </c>
    </row>
    <row r="501" spans="2:5" s="274" customFormat="1">
      <c r="B501" s="595">
        <f ca="1"/>
        <v>0.15</v>
      </c>
      <c r="C501" s="592">
        <f ca="1"/>
        <v>99</v>
      </c>
      <c r="D501" s="595">
        <f t="shared" ca="1" si="22"/>
        <v>0</v>
      </c>
      <c r="E501" s="595">
        <f t="shared" ca="1" si="23"/>
        <v>0</v>
      </c>
    </row>
    <row r="502" spans="2:5" s="274" customFormat="1">
      <c r="B502" s="595">
        <f ca="1"/>
        <v>0.15</v>
      </c>
      <c r="C502" s="592">
        <f ca="1"/>
        <v>100</v>
      </c>
      <c r="D502" s="595">
        <f t="shared" ca="1" si="22"/>
        <v>0</v>
      </c>
      <c r="E502" s="595">
        <f t="shared" ca="1" si="23"/>
        <v>0</v>
      </c>
    </row>
    <row r="503" spans="2:5" s="274" customFormat="1">
      <c r="B503" s="595">
        <f ca="1"/>
        <v>0.15</v>
      </c>
      <c r="C503" s="592">
        <f ca="1"/>
        <v>101</v>
      </c>
      <c r="D503" s="595">
        <f t="shared" ca="1" si="22"/>
        <v>0</v>
      </c>
      <c r="E503" s="595">
        <f t="shared" ca="1" si="23"/>
        <v>0</v>
      </c>
    </row>
    <row r="504" spans="2:5" s="274" customFormat="1">
      <c r="B504" s="595">
        <f ca="1"/>
        <v>0.15</v>
      </c>
      <c r="C504" s="592">
        <f ca="1"/>
        <v>102</v>
      </c>
      <c r="D504" s="595">
        <f t="shared" ca="1" si="22"/>
        <v>0</v>
      </c>
      <c r="E504" s="595">
        <f t="shared" ca="1" si="23"/>
        <v>0</v>
      </c>
    </row>
    <row r="505" spans="2:5" s="274" customFormat="1">
      <c r="B505" s="595">
        <f ca="1"/>
        <v>0.15</v>
      </c>
      <c r="C505" s="592">
        <f ca="1"/>
        <v>103</v>
      </c>
      <c r="D505" s="595">
        <f t="shared" ca="1" si="22"/>
        <v>0</v>
      </c>
      <c r="E505" s="595">
        <f t="shared" ca="1" si="23"/>
        <v>0</v>
      </c>
    </row>
    <row r="506" spans="2:5" s="274" customFormat="1">
      <c r="B506" s="595">
        <f ca="1"/>
        <v>0.15</v>
      </c>
      <c r="C506" s="592">
        <f ca="1"/>
        <v>104</v>
      </c>
      <c r="D506" s="595">
        <f t="shared" ca="1" si="22"/>
        <v>0</v>
      </c>
      <c r="E506" s="595">
        <f t="shared" ca="1" si="23"/>
        <v>0</v>
      </c>
    </row>
    <row r="507" spans="2:5" s="274" customFormat="1">
      <c r="B507" s="595">
        <f ca="1"/>
        <v>0.15</v>
      </c>
      <c r="C507" s="592">
        <f ca="1"/>
        <v>105</v>
      </c>
      <c r="D507" s="595">
        <f t="shared" ca="1" si="22"/>
        <v>0</v>
      </c>
      <c r="E507" s="595">
        <f t="shared" ca="1" si="23"/>
        <v>0</v>
      </c>
    </row>
    <row r="508" spans="2:5" s="274" customFormat="1">
      <c r="B508" s="595">
        <f ca="1"/>
        <v>0.15</v>
      </c>
      <c r="C508" s="592">
        <f ca="1"/>
        <v>106</v>
      </c>
      <c r="D508" s="595">
        <f t="shared" ca="1" si="22"/>
        <v>0</v>
      </c>
      <c r="E508" s="595">
        <f t="shared" ca="1" si="23"/>
        <v>0</v>
      </c>
    </row>
    <row r="509" spans="2:5" s="274" customFormat="1">
      <c r="B509" s="595">
        <f ca="1"/>
        <v>0.15</v>
      </c>
      <c r="C509" s="592">
        <f ca="1"/>
        <v>107</v>
      </c>
      <c r="D509" s="595">
        <f t="shared" ca="1" si="22"/>
        <v>0</v>
      </c>
      <c r="E509" s="595">
        <f t="shared" ca="1" si="23"/>
        <v>0</v>
      </c>
    </row>
    <row r="510" spans="2:5" s="274" customFormat="1">
      <c r="B510" s="595">
        <f ca="1"/>
        <v>0.15</v>
      </c>
      <c r="C510" s="592">
        <f ca="1"/>
        <v>108</v>
      </c>
      <c r="D510" s="595">
        <f t="shared" ca="1" si="22"/>
        <v>0</v>
      </c>
      <c r="E510" s="595">
        <f t="shared" ca="1" si="23"/>
        <v>0</v>
      </c>
    </row>
    <row r="511" spans="2:5" s="274" customFormat="1">
      <c r="B511" s="595">
        <f ca="1"/>
        <v>0.15</v>
      </c>
      <c r="C511" s="592">
        <f ca="1"/>
        <v>109</v>
      </c>
      <c r="D511" s="595">
        <f t="shared" ca="1" si="22"/>
        <v>0</v>
      </c>
      <c r="E511" s="595">
        <f t="shared" ca="1" si="23"/>
        <v>0</v>
      </c>
    </row>
    <row r="512" spans="2:5" s="274" customFormat="1">
      <c r="B512" s="595">
        <f ca="1"/>
        <v>0.15</v>
      </c>
      <c r="C512" s="592">
        <f ca="1"/>
        <v>110</v>
      </c>
      <c r="D512" s="595">
        <f t="shared" ca="1" si="22"/>
        <v>0</v>
      </c>
      <c r="E512" s="595">
        <f t="shared" ca="1" si="23"/>
        <v>0</v>
      </c>
    </row>
    <row r="513" spans="2:5" s="274" customFormat="1">
      <c r="B513" s="595">
        <f ca="1"/>
        <v>0.15</v>
      </c>
      <c r="C513" s="592">
        <f ca="1"/>
        <v>111</v>
      </c>
      <c r="D513" s="595">
        <f t="shared" ca="1" si="22"/>
        <v>0</v>
      </c>
      <c r="E513" s="595">
        <f t="shared" ca="1" si="23"/>
        <v>0</v>
      </c>
    </row>
    <row r="514" spans="2:5" s="274" customFormat="1">
      <c r="B514" s="595">
        <f ca="1"/>
        <v>0.15</v>
      </c>
      <c r="C514" s="592">
        <f ca="1"/>
        <v>112</v>
      </c>
      <c r="D514" s="595">
        <f t="shared" ca="1" si="22"/>
        <v>0</v>
      </c>
      <c r="E514" s="595">
        <f t="shared" ca="1" si="23"/>
        <v>0</v>
      </c>
    </row>
    <row r="515" spans="2:5" s="274" customFormat="1">
      <c r="B515" s="595">
        <f ca="1"/>
        <v>0.15</v>
      </c>
      <c r="C515" s="592">
        <f ca="1"/>
        <v>113</v>
      </c>
      <c r="D515" s="595">
        <f t="shared" ca="1" si="22"/>
        <v>0</v>
      </c>
      <c r="E515" s="595">
        <f t="shared" ca="1" si="23"/>
        <v>0</v>
      </c>
    </row>
    <row r="516" spans="2:5" s="274" customFormat="1">
      <c r="B516" s="595">
        <f ca="1"/>
        <v>0.15</v>
      </c>
      <c r="C516" s="592">
        <f ca="1"/>
        <v>114</v>
      </c>
      <c r="D516" s="595">
        <f t="shared" ca="1" si="22"/>
        <v>0</v>
      </c>
      <c r="E516" s="595">
        <f t="shared" ca="1" si="23"/>
        <v>0</v>
      </c>
    </row>
    <row r="517" spans="2:5" s="274" customFormat="1">
      <c r="B517" s="595">
        <f ca="1"/>
        <v>0.15</v>
      </c>
      <c r="C517" s="592">
        <f ca="1"/>
        <v>115</v>
      </c>
      <c r="D517" s="595">
        <f t="shared" ca="1" si="22"/>
        <v>0</v>
      </c>
      <c r="E517" s="595">
        <f t="shared" ca="1" si="23"/>
        <v>0</v>
      </c>
    </row>
    <row r="518" spans="2:5" s="274" customFormat="1">
      <c r="B518" s="595">
        <f ca="1"/>
        <v>0.15</v>
      </c>
      <c r="C518" s="592">
        <f ca="1"/>
        <v>116</v>
      </c>
      <c r="D518" s="595">
        <f t="shared" ca="1" si="22"/>
        <v>0</v>
      </c>
      <c r="E518" s="595">
        <f t="shared" ca="1" si="23"/>
        <v>0</v>
      </c>
    </row>
    <row r="519" spans="2:5" s="274" customFormat="1">
      <c r="B519" s="595">
        <f ca="1"/>
        <v>0.15</v>
      </c>
      <c r="C519" s="592">
        <f ca="1"/>
        <v>117</v>
      </c>
      <c r="D519" s="595">
        <f t="shared" ca="1" si="22"/>
        <v>0</v>
      </c>
      <c r="E519" s="595">
        <f t="shared" ca="1" si="23"/>
        <v>0</v>
      </c>
    </row>
    <row r="520" spans="2:5" s="274" customFormat="1">
      <c r="B520" s="595">
        <f ca="1"/>
        <v>0.15</v>
      </c>
      <c r="C520" s="592">
        <f ca="1"/>
        <v>118</v>
      </c>
      <c r="D520" s="595">
        <f t="shared" ca="1" si="22"/>
        <v>0</v>
      </c>
      <c r="E520" s="595">
        <f t="shared" ca="1" si="23"/>
        <v>0</v>
      </c>
    </row>
    <row r="521" spans="2:5" s="274" customFormat="1">
      <c r="B521" s="595">
        <f ca="1"/>
        <v>0.15</v>
      </c>
      <c r="C521" s="592">
        <f ca="1"/>
        <v>119</v>
      </c>
      <c r="D521" s="595">
        <f t="shared" ca="1" si="22"/>
        <v>0</v>
      </c>
      <c r="E521" s="595">
        <f t="shared" ca="1" si="23"/>
        <v>0</v>
      </c>
    </row>
    <row r="522" spans="2:5" s="274" customFormat="1">
      <c r="B522" s="595">
        <f ca="1"/>
        <v>0.15</v>
      </c>
      <c r="C522" s="592">
        <f ca="1"/>
        <v>120</v>
      </c>
      <c r="D522" s="595">
        <f t="shared" ca="1" si="22"/>
        <v>0</v>
      </c>
      <c r="E522" s="595">
        <f t="shared" ca="1" si="23"/>
        <v>0</v>
      </c>
    </row>
    <row r="523" spans="2:5" s="274" customFormat="1">
      <c r="B523" s="595">
        <f ca="1"/>
        <v>0.15</v>
      </c>
      <c r="C523" s="592">
        <f ca="1"/>
        <v>121</v>
      </c>
      <c r="D523" s="595">
        <f t="shared" ca="1" si="22"/>
        <v>0</v>
      </c>
      <c r="E523" s="595">
        <f t="shared" ca="1" si="23"/>
        <v>0</v>
      </c>
    </row>
    <row r="524" spans="2:5" s="274" customFormat="1">
      <c r="B524" s="595">
        <f ca="1"/>
        <v>0.15</v>
      </c>
      <c r="C524" s="592">
        <f ca="1"/>
        <v>122</v>
      </c>
      <c r="D524" s="595">
        <f t="shared" ca="1" si="22"/>
        <v>0</v>
      </c>
      <c r="E524" s="595">
        <f t="shared" ca="1" si="23"/>
        <v>0</v>
      </c>
    </row>
    <row r="525" spans="2:5" s="274" customFormat="1">
      <c r="B525" s="595">
        <f ca="1"/>
        <v>0.15</v>
      </c>
      <c r="C525" s="592">
        <f ca="1"/>
        <v>123</v>
      </c>
      <c r="D525" s="595">
        <f t="shared" ca="1" si="22"/>
        <v>0</v>
      </c>
      <c r="E525" s="595">
        <f t="shared" ca="1" si="23"/>
        <v>0</v>
      </c>
    </row>
    <row r="526" spans="2:5" s="274" customFormat="1">
      <c r="B526" s="595">
        <f ca="1"/>
        <v>0.15</v>
      </c>
      <c r="C526" s="592">
        <f ca="1"/>
        <v>124</v>
      </c>
      <c r="D526" s="595">
        <f t="shared" ca="1" si="22"/>
        <v>0</v>
      </c>
      <c r="E526" s="595">
        <f t="shared" ca="1" si="23"/>
        <v>0</v>
      </c>
    </row>
    <row r="527" spans="2:5" s="274" customFormat="1" ht="12" thickBot="1">
      <c r="B527" s="596">
        <f ca="1"/>
        <v>0.15</v>
      </c>
      <c r="C527" s="593">
        <f ca="1"/>
        <v>125</v>
      </c>
      <c r="D527" s="596">
        <f t="shared" ca="1" si="22"/>
        <v>0</v>
      </c>
      <c r="E527" s="595">
        <f t="shared" ca="1" si="23"/>
        <v>0</v>
      </c>
    </row>
    <row r="528" spans="2:5" s="274" customFormat="1"/>
    <row r="529" s="274" customFormat="1"/>
    <row r="530" s="274" customFormat="1"/>
    <row r="531" s="274" customFormat="1"/>
    <row r="532" s="274" customFormat="1"/>
    <row r="533" s="274" customFormat="1"/>
    <row r="534" s="274" customFormat="1"/>
    <row r="535" s="274" customFormat="1"/>
    <row r="536" s="274" customFormat="1"/>
    <row r="537" s="274" customFormat="1"/>
    <row r="538" s="274" customFormat="1"/>
    <row r="539" s="274" customFormat="1"/>
    <row r="540" s="274" customFormat="1"/>
    <row r="541" s="274" customFormat="1"/>
    <row r="542" s="274" customFormat="1"/>
    <row r="543" s="274" customFormat="1"/>
    <row r="544" s="274" customFormat="1"/>
    <row r="545" s="274" customFormat="1"/>
    <row r="546" s="274" customFormat="1"/>
    <row r="547" s="274" customFormat="1"/>
    <row r="548" s="274" customFormat="1"/>
    <row r="549" s="274" customFormat="1"/>
    <row r="550" s="274" customFormat="1"/>
    <row r="551" s="274" customFormat="1"/>
    <row r="552" s="274" customFormat="1"/>
    <row r="553" s="274" customFormat="1"/>
    <row r="554" s="274" customFormat="1"/>
    <row r="555" s="274" customFormat="1"/>
    <row r="556" s="274" customFormat="1"/>
    <row r="557" s="274" customFormat="1"/>
    <row r="558" s="274" customFormat="1"/>
    <row r="559" s="274" customFormat="1"/>
    <row r="560" s="274" customFormat="1"/>
    <row r="561" s="274" customFormat="1"/>
    <row r="562" s="274" customFormat="1"/>
    <row r="563" s="274" customFormat="1"/>
    <row r="564" s="274" customFormat="1"/>
    <row r="565" s="274" customFormat="1"/>
    <row r="566" s="274" customFormat="1"/>
    <row r="567" s="274" customFormat="1"/>
    <row r="568" s="274" customFormat="1"/>
    <row r="569" s="274" customFormat="1"/>
    <row r="570" s="274" customFormat="1"/>
    <row r="571" s="274" customFormat="1"/>
    <row r="572" s="274" customFormat="1"/>
    <row r="573" s="274" customFormat="1"/>
    <row r="574" s="274" customFormat="1"/>
    <row r="575" s="274" customFormat="1"/>
    <row r="576" s="274" customFormat="1"/>
    <row r="577" s="274" customFormat="1"/>
    <row r="578" s="274" customFormat="1"/>
    <row r="579" s="274" customFormat="1"/>
    <row r="580" s="274" customFormat="1"/>
    <row r="581" s="274" customFormat="1"/>
    <row r="582" s="274" customFormat="1"/>
    <row r="583" s="274" customFormat="1"/>
    <row r="584" s="274" customFormat="1"/>
    <row r="585" s="274" customFormat="1"/>
    <row r="586" s="274" customFormat="1"/>
    <row r="587" s="274" customFormat="1"/>
    <row r="588" s="274" customFormat="1"/>
    <row r="589" s="274" customFormat="1"/>
    <row r="590" s="274" customFormat="1"/>
    <row r="591" s="274" customFormat="1"/>
    <row r="592" s="274" customFormat="1"/>
    <row r="593" s="274" customFormat="1"/>
    <row r="594" s="274" customFormat="1"/>
    <row r="595" s="274" customFormat="1"/>
    <row r="596" s="274" customFormat="1"/>
    <row r="597" s="274" customFormat="1"/>
    <row r="598" s="274" customFormat="1"/>
    <row r="599" s="274" customFormat="1"/>
    <row r="600" s="274" customFormat="1"/>
    <row r="601" s="274" customFormat="1"/>
    <row r="602" s="274" customFormat="1"/>
    <row r="603" s="274" customFormat="1"/>
    <row r="604" s="274" customFormat="1"/>
    <row r="605" s="274" customFormat="1"/>
    <row r="606" s="274" customFormat="1"/>
    <row r="607" s="274" customFormat="1"/>
    <row r="608" s="274" customFormat="1"/>
    <row r="609" s="274" customFormat="1"/>
    <row r="610" s="274" customFormat="1"/>
    <row r="611" s="274" customFormat="1"/>
    <row r="612" s="274" customFormat="1"/>
    <row r="613" s="274" customFormat="1"/>
    <row r="614" s="274" customFormat="1"/>
    <row r="615" s="274" customFormat="1"/>
    <row r="616" s="274" customFormat="1"/>
    <row r="617" s="274" customFormat="1"/>
    <row r="618" s="274" customFormat="1"/>
    <row r="619" s="274" customFormat="1"/>
    <row r="620" s="274" customFormat="1"/>
    <row r="621" s="274" customFormat="1"/>
    <row r="622" s="274" customFormat="1"/>
    <row r="623" s="274" customFormat="1"/>
    <row r="624" s="274" customFormat="1"/>
    <row r="625" s="274" customFormat="1"/>
    <row r="626" s="274" customFormat="1"/>
    <row r="627" s="274" customFormat="1"/>
    <row r="628" s="274" customFormat="1"/>
    <row r="629" s="274" customFormat="1"/>
    <row r="630" s="274" customFormat="1"/>
    <row r="631" s="274" customFormat="1"/>
    <row r="632" s="274" customFormat="1"/>
    <row r="633" s="274" customFormat="1"/>
    <row r="634" s="274" customFormat="1"/>
    <row r="635" s="274" customFormat="1"/>
    <row r="636" s="274" customFormat="1"/>
    <row r="637" s="274" customFormat="1"/>
    <row r="638" s="274" customFormat="1"/>
    <row r="639" s="274" customFormat="1"/>
    <row r="640" s="274" customFormat="1"/>
    <row r="641" s="274" customFormat="1"/>
    <row r="642" s="274" customFormat="1"/>
    <row r="643" s="274" customFormat="1"/>
    <row r="644" s="274" customFormat="1"/>
    <row r="645" s="274" customFormat="1"/>
    <row r="646" s="274" customFormat="1"/>
    <row r="647" s="274" customFormat="1"/>
    <row r="648" s="274" customFormat="1"/>
    <row r="649" s="274" customFormat="1"/>
    <row r="650" s="274" customFormat="1"/>
    <row r="651" s="274" customFormat="1"/>
    <row r="652" s="274" customFormat="1"/>
    <row r="653" s="274" customFormat="1"/>
    <row r="654" s="274" customFormat="1"/>
    <row r="655" s="274" customFormat="1"/>
    <row r="656" s="274" customFormat="1"/>
    <row r="657" s="274" customFormat="1"/>
    <row r="658" s="274" customFormat="1"/>
    <row r="659" s="274" customFormat="1"/>
    <row r="660" s="274" customFormat="1"/>
    <row r="661" s="274" customFormat="1"/>
    <row r="662" s="274" customFormat="1"/>
    <row r="663" s="274" customFormat="1"/>
    <row r="664" s="274" customFormat="1"/>
    <row r="665" s="274" customFormat="1"/>
    <row r="666" s="274" customFormat="1"/>
    <row r="667" s="274" customFormat="1"/>
    <row r="668" s="274" customFormat="1"/>
    <row r="669" s="274" customFormat="1"/>
    <row r="670" s="274" customFormat="1"/>
    <row r="671" s="274" customFormat="1"/>
    <row r="672" s="274" customFormat="1"/>
    <row r="673" s="274" customFormat="1"/>
    <row r="674" s="274" customFormat="1"/>
    <row r="675" s="274" customFormat="1"/>
    <row r="676" s="274" customFormat="1"/>
    <row r="677" s="274" customFormat="1"/>
    <row r="678" s="274" customFormat="1"/>
    <row r="679" s="274" customFormat="1"/>
    <row r="680" s="274" customFormat="1"/>
    <row r="681" s="274" customFormat="1"/>
    <row r="682" s="274" customFormat="1"/>
    <row r="683" s="274" customFormat="1"/>
    <row r="684" s="274" customFormat="1"/>
    <row r="685" s="274" customFormat="1"/>
    <row r="686" s="274" customFormat="1"/>
    <row r="687" s="274" customFormat="1"/>
    <row r="688" s="274" customFormat="1"/>
    <row r="689" s="274" customFormat="1"/>
    <row r="690" s="274" customFormat="1"/>
    <row r="691" s="274" customFormat="1"/>
    <row r="692" s="274" customFormat="1"/>
    <row r="693" s="274" customFormat="1"/>
    <row r="694" s="274" customFormat="1"/>
    <row r="695" s="274" customFormat="1"/>
    <row r="696" s="274" customFormat="1"/>
    <row r="697" s="274" customFormat="1"/>
    <row r="698" s="274" customFormat="1"/>
    <row r="699" s="274" customFormat="1"/>
    <row r="700" s="274" customFormat="1"/>
    <row r="701" s="274" customFormat="1"/>
    <row r="702" s="274" customFormat="1"/>
    <row r="703" s="274" customFormat="1"/>
    <row r="704" s="274" customFormat="1"/>
    <row r="705" s="274" customFormat="1"/>
    <row r="706" s="274" customFormat="1"/>
    <row r="707" s="274" customFormat="1"/>
    <row r="708" s="274" customFormat="1"/>
    <row r="709" s="274" customFormat="1"/>
    <row r="710" s="274" customFormat="1"/>
    <row r="711" s="274" customFormat="1"/>
    <row r="712" s="274" customFormat="1"/>
    <row r="713" s="274" customFormat="1"/>
    <row r="714" s="274" customFormat="1"/>
    <row r="715" s="274" customFormat="1"/>
    <row r="716" s="274" customFormat="1"/>
    <row r="717" s="274" customFormat="1"/>
    <row r="718" s="274" customFormat="1"/>
    <row r="719" s="274" customFormat="1"/>
    <row r="720" s="274" customFormat="1"/>
    <row r="721" s="274" customFormat="1"/>
    <row r="722" s="274" customFormat="1"/>
    <row r="723" s="274" customFormat="1"/>
    <row r="724" s="274" customFormat="1"/>
    <row r="725" s="274" customFormat="1"/>
    <row r="726" s="274" customFormat="1"/>
    <row r="727" s="274" customFormat="1"/>
    <row r="728" s="274" customFormat="1"/>
    <row r="729" s="274" customFormat="1"/>
    <row r="730" s="274" customFormat="1"/>
    <row r="731" s="274" customFormat="1"/>
    <row r="732" s="274" customFormat="1"/>
    <row r="733" s="274" customFormat="1"/>
    <row r="734" s="274" customFormat="1"/>
    <row r="735" s="274" customFormat="1"/>
    <row r="736" s="274" customFormat="1"/>
    <row r="737" s="274" customFormat="1"/>
    <row r="738" s="274" customFormat="1"/>
    <row r="739" s="274" customFormat="1"/>
    <row r="740" s="274" customFormat="1"/>
    <row r="741" s="274" customFormat="1"/>
    <row r="742" s="274" customFormat="1"/>
    <row r="743" s="274" customFormat="1"/>
    <row r="744" s="274" customFormat="1"/>
    <row r="745" s="274" customFormat="1"/>
    <row r="746" s="274" customFormat="1"/>
    <row r="747" s="274" customFormat="1"/>
    <row r="748" s="274" customFormat="1"/>
    <row r="749" s="274" customFormat="1"/>
    <row r="750" s="274" customFormat="1"/>
    <row r="751" s="274" customFormat="1"/>
    <row r="752" s="274" customFormat="1"/>
    <row r="753" spans="4:31">
      <c r="D753" s="274"/>
      <c r="E753" s="274"/>
      <c r="F753" s="274"/>
      <c r="G753" s="274"/>
      <c r="H753" s="274"/>
      <c r="I753" s="274"/>
      <c r="J753" s="274"/>
      <c r="K753" s="274"/>
      <c r="L753" s="274"/>
      <c r="M753" s="274"/>
      <c r="N753" s="274"/>
      <c r="O753" s="274"/>
      <c r="P753" s="274"/>
      <c r="Q753" s="274"/>
      <c r="R753" s="274"/>
      <c r="S753" s="274"/>
      <c r="T753" s="274"/>
      <c r="U753" s="274"/>
      <c r="V753" s="274"/>
      <c r="W753" s="274"/>
      <c r="X753" s="274"/>
      <c r="Y753" s="274"/>
      <c r="Z753" s="274"/>
      <c r="AA753" s="274"/>
      <c r="AB753" s="274"/>
      <c r="AC753" s="274"/>
      <c r="AD753" s="274"/>
      <c r="AE753" s="274"/>
    </row>
    <row r="754" spans="4:31">
      <c r="D754" s="274"/>
      <c r="E754" s="274"/>
      <c r="F754" s="274"/>
      <c r="G754" s="274"/>
      <c r="H754" s="274"/>
      <c r="I754" s="274"/>
      <c r="J754" s="274"/>
      <c r="K754" s="274"/>
      <c r="L754" s="274"/>
      <c r="M754" s="274"/>
      <c r="N754" s="274"/>
      <c r="O754" s="274"/>
      <c r="P754" s="274"/>
      <c r="Q754" s="274"/>
      <c r="R754" s="274"/>
      <c r="S754" s="274"/>
      <c r="T754" s="274"/>
      <c r="U754" s="274"/>
      <c r="V754" s="274"/>
      <c r="W754" s="274"/>
      <c r="X754" s="274"/>
      <c r="Y754" s="274"/>
      <c r="Z754" s="274"/>
      <c r="AA754" s="274"/>
      <c r="AB754" s="274"/>
      <c r="AC754" s="274"/>
      <c r="AD754" s="274"/>
      <c r="AE754" s="274"/>
    </row>
    <row r="755" spans="4:31">
      <c r="D755" s="274"/>
      <c r="E755" s="274"/>
      <c r="F755" s="274"/>
      <c r="G755" s="274"/>
      <c r="H755" s="274"/>
      <c r="I755" s="274"/>
      <c r="J755" s="274"/>
      <c r="K755" s="274"/>
      <c r="L755" s="274"/>
      <c r="M755" s="274"/>
      <c r="N755" s="274"/>
      <c r="O755" s="274"/>
      <c r="P755" s="274"/>
      <c r="Q755" s="274"/>
      <c r="R755" s="274"/>
      <c r="S755" s="274"/>
      <c r="T755" s="274"/>
      <c r="U755" s="274"/>
      <c r="V755" s="274"/>
      <c r="W755" s="274"/>
      <c r="X755" s="274"/>
      <c r="Y755" s="274"/>
      <c r="Z755" s="274"/>
      <c r="AA755" s="274"/>
      <c r="AB755" s="274"/>
      <c r="AC755" s="274"/>
      <c r="AD755" s="274"/>
      <c r="AE755" s="274"/>
    </row>
    <row r="756" spans="4:31">
      <c r="D756" s="274"/>
      <c r="E756" s="274"/>
      <c r="F756" s="274"/>
      <c r="G756" s="274"/>
      <c r="H756" s="274"/>
      <c r="I756" s="274"/>
      <c r="J756" s="274"/>
      <c r="K756" s="274"/>
      <c r="L756" s="274"/>
      <c r="M756" s="274"/>
      <c r="N756" s="274"/>
      <c r="O756" s="274"/>
      <c r="P756" s="274"/>
      <c r="Q756" s="274"/>
      <c r="R756" s="274"/>
      <c r="S756" s="274"/>
      <c r="T756" s="274"/>
      <c r="U756" s="274"/>
      <c r="V756" s="274"/>
      <c r="W756" s="274"/>
      <c r="X756" s="274"/>
      <c r="Y756" s="274"/>
      <c r="Z756" s="274"/>
      <c r="AA756" s="274"/>
      <c r="AB756" s="274"/>
      <c r="AC756" s="274"/>
      <c r="AD756" s="274"/>
      <c r="AE756" s="274"/>
    </row>
    <row r="757" spans="4:31">
      <c r="D757" s="274"/>
      <c r="E757" s="274"/>
      <c r="F757" s="274"/>
      <c r="G757" s="274"/>
      <c r="H757" s="274"/>
      <c r="I757" s="274"/>
      <c r="J757" s="274"/>
      <c r="K757" s="274"/>
      <c r="L757" s="274"/>
      <c r="M757" s="274"/>
      <c r="N757" s="274"/>
      <c r="O757" s="274"/>
      <c r="P757" s="274"/>
      <c r="Q757" s="274"/>
      <c r="R757" s="274"/>
      <c r="S757" s="274"/>
      <c r="T757" s="274"/>
      <c r="U757" s="274"/>
      <c r="V757" s="274"/>
      <c r="W757" s="274"/>
      <c r="X757" s="274"/>
      <c r="Y757" s="274"/>
      <c r="Z757" s="274"/>
      <c r="AA757" s="274"/>
      <c r="AB757" s="274"/>
      <c r="AC757" s="274"/>
      <c r="AD757" s="274"/>
      <c r="AE757" s="274"/>
    </row>
    <row r="758" spans="4:31">
      <c r="O758" s="274"/>
      <c r="P758" s="274"/>
      <c r="Q758" s="274"/>
      <c r="R758" s="274"/>
      <c r="S758" s="274"/>
      <c r="T758" s="274"/>
      <c r="U758" s="274"/>
      <c r="V758" s="274"/>
      <c r="W758" s="274"/>
      <c r="X758" s="274"/>
      <c r="Y758" s="274"/>
      <c r="Z758" s="274"/>
      <c r="AA758" s="274"/>
      <c r="AB758" s="274"/>
      <c r="AC758" s="274"/>
      <c r="AD758" s="274"/>
      <c r="AE758" s="274"/>
    </row>
    <row r="759" spans="4:31">
      <c r="O759" s="274"/>
      <c r="P759" s="274"/>
      <c r="Q759" s="274"/>
      <c r="R759" s="274"/>
      <c r="S759" s="274"/>
      <c r="T759" s="274"/>
      <c r="U759" s="274"/>
      <c r="V759" s="274"/>
      <c r="W759" s="274"/>
      <c r="X759" s="274"/>
      <c r="Y759" s="274"/>
      <c r="Z759" s="274"/>
      <c r="AA759" s="274"/>
      <c r="AB759" s="274"/>
      <c r="AC759" s="274"/>
      <c r="AD759" s="274"/>
      <c r="AE759" s="274"/>
    </row>
    <row r="760" spans="4:31">
      <c r="O760" s="274"/>
      <c r="P760" s="274"/>
      <c r="Q760" s="274"/>
      <c r="R760" s="274"/>
      <c r="S760" s="274"/>
      <c r="T760" s="274"/>
      <c r="U760" s="274"/>
      <c r="V760" s="274"/>
      <c r="W760" s="274"/>
      <c r="X760" s="274"/>
      <c r="Y760" s="274"/>
      <c r="Z760" s="274"/>
      <c r="AA760" s="274"/>
      <c r="AB760" s="274"/>
      <c r="AC760" s="274"/>
      <c r="AD760" s="274"/>
      <c r="AE760" s="274"/>
    </row>
    <row r="761" spans="4:31">
      <c r="O761" s="274"/>
      <c r="P761" s="274"/>
      <c r="Q761" s="274"/>
      <c r="R761" s="274"/>
      <c r="S761" s="274"/>
      <c r="T761" s="274"/>
      <c r="U761" s="274"/>
      <c r="V761" s="274"/>
      <c r="W761" s="274"/>
      <c r="X761" s="274"/>
      <c r="Y761" s="274"/>
      <c r="Z761" s="274"/>
      <c r="AA761" s="274"/>
      <c r="AB761" s="274"/>
      <c r="AC761" s="274"/>
      <c r="AD761" s="274"/>
      <c r="AE761" s="274"/>
    </row>
    <row r="762" spans="4:31">
      <c r="O762" s="274"/>
      <c r="P762" s="274"/>
      <c r="Q762" s="274"/>
      <c r="R762" s="274"/>
      <c r="S762" s="274"/>
      <c r="T762" s="274"/>
      <c r="U762" s="274"/>
      <c r="V762" s="274"/>
      <c r="W762" s="274"/>
      <c r="X762" s="274"/>
      <c r="Y762" s="274"/>
      <c r="Z762" s="274"/>
      <c r="AA762" s="274"/>
      <c r="AB762" s="274"/>
      <c r="AC762" s="274"/>
      <c r="AD762" s="274"/>
      <c r="AE762" s="274"/>
    </row>
    <row r="763" spans="4:31">
      <c r="O763" s="274"/>
      <c r="P763" s="274"/>
      <c r="Q763" s="274"/>
      <c r="R763" s="274"/>
      <c r="S763" s="274"/>
      <c r="T763" s="274"/>
      <c r="U763" s="274"/>
      <c r="V763" s="274"/>
      <c r="W763" s="274"/>
      <c r="X763" s="274"/>
      <c r="Y763" s="274"/>
      <c r="Z763" s="274"/>
      <c r="AA763" s="274"/>
      <c r="AB763" s="274"/>
      <c r="AC763" s="274"/>
      <c r="AD763" s="274"/>
      <c r="AE763" s="274"/>
    </row>
    <row r="764" spans="4:31">
      <c r="O764" s="274"/>
      <c r="P764" s="274"/>
      <c r="Q764" s="274"/>
      <c r="R764" s="274"/>
      <c r="S764" s="274"/>
      <c r="T764" s="274"/>
      <c r="U764" s="274"/>
      <c r="V764" s="274"/>
      <c r="W764" s="274"/>
      <c r="X764" s="274"/>
      <c r="Y764" s="274"/>
      <c r="Z764" s="274"/>
      <c r="AA764" s="274"/>
      <c r="AB764" s="274"/>
      <c r="AC764" s="274"/>
      <c r="AD764" s="274"/>
      <c r="AE764" s="274"/>
    </row>
    <row r="765" spans="4:31">
      <c r="O765" s="274"/>
      <c r="P765" s="274"/>
      <c r="Q765" s="274"/>
      <c r="R765" s="274"/>
      <c r="S765" s="274"/>
      <c r="T765" s="274"/>
      <c r="U765" s="274"/>
      <c r="V765" s="274"/>
      <c r="W765" s="274"/>
      <c r="X765" s="274"/>
      <c r="Y765" s="274"/>
      <c r="Z765" s="274"/>
      <c r="AA765" s="274"/>
      <c r="AB765" s="274"/>
      <c r="AC765" s="274"/>
      <c r="AD765" s="274"/>
      <c r="AE765" s="274"/>
    </row>
    <row r="766" spans="4:31">
      <c r="O766" s="274"/>
      <c r="P766" s="274"/>
      <c r="Q766" s="274"/>
      <c r="R766" s="274"/>
      <c r="S766" s="274"/>
      <c r="T766" s="274"/>
      <c r="U766" s="274"/>
      <c r="V766" s="274"/>
      <c r="W766" s="274"/>
      <c r="X766" s="274"/>
      <c r="Y766" s="274"/>
      <c r="Z766" s="274"/>
      <c r="AA766" s="274"/>
      <c r="AB766" s="274"/>
      <c r="AC766" s="274"/>
      <c r="AD766" s="274"/>
      <c r="AE766" s="274"/>
    </row>
    <row r="767" spans="4:31">
      <c r="O767" s="274"/>
      <c r="P767" s="274"/>
      <c r="Q767" s="274"/>
      <c r="R767" s="274"/>
      <c r="S767" s="274"/>
      <c r="T767" s="274"/>
      <c r="U767" s="274"/>
      <c r="V767" s="274"/>
      <c r="W767" s="274"/>
      <c r="X767" s="274"/>
      <c r="Y767" s="274"/>
      <c r="Z767" s="274"/>
      <c r="AA767" s="274"/>
      <c r="AB767" s="274"/>
      <c r="AC767" s="274"/>
      <c r="AD767" s="274"/>
      <c r="AE767" s="274"/>
    </row>
    <row r="768" spans="4:31">
      <c r="O768" s="274"/>
      <c r="P768" s="274"/>
      <c r="Q768" s="274"/>
      <c r="R768" s="274"/>
      <c r="S768" s="274"/>
      <c r="T768" s="274"/>
      <c r="U768" s="274"/>
      <c r="V768" s="274"/>
      <c r="W768" s="274"/>
      <c r="X768" s="274"/>
      <c r="Y768" s="274"/>
      <c r="Z768" s="274"/>
      <c r="AA768" s="274"/>
      <c r="AB768" s="274"/>
      <c r="AC768" s="274"/>
      <c r="AD768" s="274"/>
      <c r="AE768" s="274"/>
    </row>
    <row r="769" spans="15:31">
      <c r="O769" s="274"/>
      <c r="P769" s="274"/>
      <c r="Q769" s="274"/>
      <c r="R769" s="274"/>
      <c r="S769" s="274"/>
      <c r="T769" s="274"/>
      <c r="U769" s="274"/>
      <c r="V769" s="274"/>
      <c r="W769" s="274"/>
      <c r="X769" s="274"/>
      <c r="Y769" s="274"/>
      <c r="Z769" s="274"/>
      <c r="AA769" s="274"/>
      <c r="AB769" s="274"/>
      <c r="AC769" s="274"/>
      <c r="AD769" s="274"/>
      <c r="AE769" s="274"/>
    </row>
    <row r="770" spans="15:31">
      <c r="O770" s="274"/>
      <c r="P770" s="274"/>
      <c r="Q770" s="274"/>
      <c r="R770" s="274"/>
      <c r="S770" s="274"/>
      <c r="T770" s="274"/>
      <c r="U770" s="274"/>
      <c r="V770" s="274"/>
      <c r="W770" s="274"/>
      <c r="X770" s="274"/>
      <c r="Y770" s="274"/>
      <c r="Z770" s="274"/>
      <c r="AA770" s="274"/>
      <c r="AB770" s="274"/>
      <c r="AC770" s="274"/>
      <c r="AD770" s="274"/>
      <c r="AE770" s="274"/>
    </row>
    <row r="771" spans="15:31">
      <c r="O771" s="274"/>
      <c r="P771" s="274"/>
      <c r="Q771" s="274"/>
      <c r="R771" s="274"/>
      <c r="S771" s="274"/>
      <c r="T771" s="274"/>
      <c r="U771" s="274"/>
      <c r="V771" s="274"/>
      <c r="W771" s="274"/>
      <c r="X771" s="274"/>
      <c r="Y771" s="274"/>
      <c r="Z771" s="274"/>
      <c r="AA771" s="274"/>
      <c r="AB771" s="274"/>
      <c r="AC771" s="274"/>
      <c r="AD771" s="274"/>
      <c r="AE771" s="274"/>
    </row>
    <row r="772" spans="15:31">
      <c r="O772" s="274"/>
      <c r="P772" s="274"/>
      <c r="Q772" s="274"/>
      <c r="R772" s="274"/>
      <c r="S772" s="274"/>
      <c r="T772" s="274"/>
      <c r="U772" s="274"/>
      <c r="V772" s="274"/>
      <c r="W772" s="274"/>
      <c r="X772" s="274"/>
      <c r="Y772" s="274"/>
      <c r="Z772" s="274"/>
      <c r="AA772" s="274"/>
      <c r="AB772" s="274"/>
      <c r="AC772" s="274"/>
      <c r="AD772" s="274"/>
      <c r="AE772" s="274"/>
    </row>
    <row r="773" spans="15:31">
      <c r="O773" s="274"/>
      <c r="P773" s="274"/>
      <c r="Q773" s="274"/>
      <c r="R773" s="274"/>
      <c r="S773" s="274"/>
      <c r="T773" s="274"/>
      <c r="U773" s="274"/>
      <c r="V773" s="274"/>
      <c r="W773" s="274"/>
      <c r="X773" s="274"/>
      <c r="Y773" s="274"/>
      <c r="Z773" s="274"/>
      <c r="AA773" s="274"/>
      <c r="AB773" s="274"/>
      <c r="AC773" s="274"/>
      <c r="AD773" s="274"/>
      <c r="AE773" s="274"/>
    </row>
    <row r="774" spans="15:31">
      <c r="O774" s="274"/>
      <c r="P774" s="274"/>
      <c r="Q774" s="274"/>
      <c r="R774" s="274"/>
      <c r="S774" s="274"/>
      <c r="T774" s="274"/>
      <c r="U774" s="274"/>
      <c r="V774" s="274"/>
      <c r="W774" s="274"/>
      <c r="X774" s="274"/>
      <c r="Y774" s="274"/>
      <c r="Z774" s="274"/>
      <c r="AA774" s="274"/>
      <c r="AB774" s="274"/>
      <c r="AC774" s="274"/>
      <c r="AD774" s="274"/>
      <c r="AE774" s="274"/>
    </row>
    <row r="775" spans="15:31">
      <c r="O775" s="274"/>
      <c r="P775" s="274"/>
      <c r="Q775" s="274"/>
      <c r="R775" s="274"/>
      <c r="S775" s="274"/>
      <c r="T775" s="274"/>
      <c r="U775" s="274"/>
      <c r="V775" s="274"/>
      <c r="W775" s="274"/>
      <c r="X775" s="274"/>
      <c r="Y775" s="274"/>
      <c r="Z775" s="274"/>
      <c r="AA775" s="274"/>
      <c r="AB775" s="274"/>
      <c r="AC775" s="274"/>
      <c r="AD775" s="274"/>
      <c r="AE775" s="274"/>
    </row>
    <row r="776" spans="15:31">
      <c r="O776" s="274"/>
      <c r="P776" s="274"/>
      <c r="Q776" s="274"/>
      <c r="R776" s="274"/>
      <c r="S776" s="274"/>
      <c r="T776" s="274"/>
      <c r="U776" s="274"/>
      <c r="V776" s="274"/>
      <c r="W776" s="274"/>
      <c r="X776" s="274"/>
      <c r="Y776" s="274"/>
      <c r="Z776" s="274"/>
      <c r="AA776" s="274"/>
      <c r="AB776" s="274"/>
      <c r="AC776" s="274"/>
      <c r="AD776" s="274"/>
      <c r="AE776" s="274"/>
    </row>
    <row r="777" spans="15:31">
      <c r="O777" s="274"/>
      <c r="P777" s="274"/>
      <c r="Q777" s="274"/>
      <c r="R777" s="274"/>
      <c r="S777" s="274"/>
      <c r="T777" s="274"/>
      <c r="U777" s="274"/>
      <c r="V777" s="274"/>
      <c r="W777" s="274"/>
      <c r="X777" s="274"/>
      <c r="Y777" s="274"/>
      <c r="Z777" s="274"/>
      <c r="AA777" s="274"/>
      <c r="AB777" s="274"/>
      <c r="AC777" s="274"/>
      <c r="AD777" s="274"/>
      <c r="AE777" s="274"/>
    </row>
    <row r="778" spans="15:31">
      <c r="O778" s="274"/>
      <c r="P778" s="274"/>
      <c r="Q778" s="274"/>
      <c r="R778" s="274"/>
      <c r="S778" s="274"/>
      <c r="T778" s="274"/>
      <c r="U778" s="274"/>
      <c r="V778" s="274"/>
      <c r="W778" s="274"/>
      <c r="X778" s="274"/>
      <c r="Y778" s="274"/>
      <c r="Z778" s="274"/>
      <c r="AA778" s="274"/>
      <c r="AB778" s="274"/>
      <c r="AC778" s="274"/>
      <c r="AD778" s="274"/>
      <c r="AE778" s="274"/>
    </row>
    <row r="779" spans="15:31">
      <c r="O779" s="274"/>
      <c r="P779" s="274"/>
      <c r="Q779" s="274"/>
      <c r="R779" s="274"/>
      <c r="S779" s="274"/>
      <c r="T779" s="274"/>
      <c r="U779" s="274"/>
      <c r="V779" s="274"/>
      <c r="W779" s="274"/>
      <c r="X779" s="274"/>
      <c r="Y779" s="274"/>
      <c r="Z779" s="274"/>
      <c r="AA779" s="274"/>
      <c r="AB779" s="274"/>
      <c r="AC779" s="274"/>
      <c r="AD779" s="274"/>
      <c r="AE779" s="274"/>
    </row>
    <row r="780" spans="15:31">
      <c r="O780" s="274"/>
      <c r="P780" s="274"/>
      <c r="Q780" s="274"/>
      <c r="R780" s="274"/>
      <c r="S780" s="274"/>
      <c r="T780" s="274"/>
      <c r="U780" s="274"/>
      <c r="V780" s="274"/>
      <c r="W780" s="274"/>
      <c r="X780" s="274"/>
      <c r="Y780" s="274"/>
      <c r="Z780" s="274"/>
      <c r="AA780" s="274"/>
      <c r="AB780" s="274"/>
      <c r="AC780" s="274"/>
      <c r="AD780" s="274"/>
      <c r="AE780" s="274"/>
    </row>
    <row r="781" spans="15:31">
      <c r="O781" s="274"/>
      <c r="P781" s="274"/>
      <c r="Q781" s="274"/>
      <c r="R781" s="274"/>
      <c r="S781" s="274"/>
      <c r="T781" s="274"/>
      <c r="U781" s="274"/>
      <c r="V781" s="274"/>
      <c r="W781" s="274"/>
      <c r="X781" s="274"/>
      <c r="Y781" s="274"/>
      <c r="Z781" s="274"/>
      <c r="AA781" s="274"/>
      <c r="AB781" s="274"/>
      <c r="AC781" s="274"/>
      <c r="AD781" s="274"/>
      <c r="AE781" s="274"/>
    </row>
    <row r="782" spans="15:31">
      <c r="O782" s="274"/>
      <c r="P782" s="274"/>
      <c r="Q782" s="274"/>
      <c r="R782" s="274"/>
      <c r="S782" s="274"/>
      <c r="T782" s="274"/>
      <c r="U782" s="274"/>
      <c r="V782" s="274"/>
      <c r="W782" s="274"/>
      <c r="X782" s="274"/>
      <c r="Y782" s="274"/>
      <c r="Z782" s="274"/>
      <c r="AA782" s="274"/>
      <c r="AB782" s="274"/>
      <c r="AC782" s="274"/>
      <c r="AD782" s="274"/>
      <c r="AE782" s="274"/>
    </row>
    <row r="783" spans="15:31">
      <c r="O783" s="274"/>
      <c r="P783" s="274"/>
      <c r="Q783" s="274"/>
      <c r="R783" s="274"/>
      <c r="S783" s="274"/>
      <c r="T783" s="274"/>
      <c r="U783" s="274"/>
      <c r="V783" s="274"/>
      <c r="W783" s="274"/>
      <c r="X783" s="274"/>
      <c r="Y783" s="274"/>
      <c r="Z783" s="274"/>
      <c r="AA783" s="274"/>
      <c r="AB783" s="274"/>
      <c r="AC783" s="274"/>
      <c r="AD783" s="274"/>
      <c r="AE783" s="274"/>
    </row>
    <row r="784" spans="15:31">
      <c r="O784" s="274"/>
      <c r="P784" s="274"/>
      <c r="Q784" s="274"/>
      <c r="R784" s="274"/>
      <c r="S784" s="274"/>
      <c r="T784" s="274"/>
      <c r="U784" s="274"/>
      <c r="V784" s="274"/>
      <c r="W784" s="274"/>
      <c r="X784" s="274"/>
      <c r="Y784" s="274"/>
      <c r="Z784" s="274"/>
      <c r="AA784" s="274"/>
      <c r="AB784" s="274"/>
      <c r="AC784" s="274"/>
      <c r="AD784" s="274"/>
      <c r="AE784" s="274"/>
    </row>
    <row r="785" spans="15:31">
      <c r="O785" s="274"/>
      <c r="P785" s="274"/>
      <c r="Q785" s="274"/>
      <c r="R785" s="274"/>
      <c r="S785" s="274"/>
      <c r="T785" s="274"/>
      <c r="U785" s="274"/>
      <c r="V785" s="274"/>
      <c r="W785" s="274"/>
      <c r="X785" s="274"/>
      <c r="Y785" s="274"/>
      <c r="Z785" s="274"/>
      <c r="AA785" s="274"/>
      <c r="AB785" s="274"/>
      <c r="AC785" s="274"/>
      <c r="AD785" s="274"/>
      <c r="AE785" s="274"/>
    </row>
    <row r="786" spans="15:31">
      <c r="O786" s="274"/>
      <c r="P786" s="274"/>
      <c r="Q786" s="274"/>
      <c r="R786" s="274"/>
      <c r="S786" s="274"/>
      <c r="T786" s="274"/>
      <c r="U786" s="274"/>
      <c r="V786" s="274"/>
      <c r="W786" s="274"/>
      <c r="X786" s="274"/>
      <c r="Y786" s="274"/>
      <c r="Z786" s="274"/>
      <c r="AA786" s="274"/>
      <c r="AB786" s="274"/>
      <c r="AC786" s="274"/>
      <c r="AD786" s="274"/>
      <c r="AE786" s="274"/>
    </row>
    <row r="787" spans="15:31">
      <c r="O787" s="274"/>
      <c r="P787" s="274"/>
      <c r="Q787" s="274"/>
      <c r="R787" s="274"/>
      <c r="S787" s="274"/>
      <c r="T787" s="274"/>
      <c r="U787" s="274"/>
      <c r="V787" s="274"/>
      <c r="W787" s="274"/>
      <c r="X787" s="274"/>
      <c r="Y787" s="274"/>
      <c r="Z787" s="274"/>
      <c r="AA787" s="274"/>
      <c r="AB787" s="274"/>
      <c r="AC787" s="274"/>
      <c r="AD787" s="274"/>
      <c r="AE787" s="274"/>
    </row>
    <row r="788" spans="15:31">
      <c r="O788" s="274"/>
      <c r="P788" s="274"/>
      <c r="Q788" s="274"/>
      <c r="R788" s="274"/>
      <c r="S788" s="274"/>
      <c r="T788" s="274"/>
      <c r="U788" s="274"/>
      <c r="V788" s="274"/>
      <c r="W788" s="274"/>
      <c r="X788" s="274"/>
      <c r="Y788" s="274"/>
      <c r="Z788" s="274"/>
      <c r="AA788" s="274"/>
      <c r="AB788" s="274"/>
      <c r="AC788" s="274"/>
      <c r="AD788" s="274"/>
      <c r="AE788" s="274"/>
    </row>
    <row r="789" spans="15:31">
      <c r="O789" s="274"/>
      <c r="P789" s="274"/>
      <c r="Q789" s="274"/>
      <c r="R789" s="274"/>
      <c r="S789" s="274"/>
      <c r="T789" s="274"/>
      <c r="U789" s="274"/>
      <c r="V789" s="274"/>
      <c r="W789" s="274"/>
      <c r="X789" s="274"/>
      <c r="Y789" s="274"/>
      <c r="Z789" s="274"/>
      <c r="AA789" s="274"/>
      <c r="AB789" s="274"/>
      <c r="AC789" s="274"/>
      <c r="AD789" s="274"/>
      <c r="AE789" s="274"/>
    </row>
    <row r="790" spans="15:31">
      <c r="O790" s="274"/>
      <c r="P790" s="274"/>
      <c r="Q790" s="274"/>
      <c r="R790" s="274"/>
      <c r="S790" s="274"/>
      <c r="T790" s="274"/>
      <c r="U790" s="274"/>
      <c r="V790" s="274"/>
      <c r="W790" s="274"/>
      <c r="X790" s="274"/>
      <c r="Y790" s="274"/>
      <c r="Z790" s="274"/>
      <c r="AA790" s="274"/>
      <c r="AB790" s="274"/>
      <c r="AC790" s="274"/>
      <c r="AD790" s="274"/>
      <c r="AE790" s="274"/>
    </row>
    <row r="791" spans="15:31">
      <c r="O791" s="274"/>
      <c r="P791" s="274"/>
      <c r="Q791" s="274"/>
      <c r="R791" s="274"/>
      <c r="S791" s="274"/>
      <c r="T791" s="274"/>
      <c r="U791" s="274"/>
      <c r="V791" s="274"/>
      <c r="W791" s="274"/>
      <c r="X791" s="274"/>
      <c r="Y791" s="274"/>
      <c r="Z791" s="274"/>
      <c r="AA791" s="274"/>
      <c r="AB791" s="274"/>
      <c r="AC791" s="274"/>
      <c r="AD791" s="274"/>
      <c r="AE791" s="274"/>
    </row>
    <row r="792" spans="15:31">
      <c r="O792" s="274"/>
      <c r="P792" s="274"/>
      <c r="Q792" s="274"/>
      <c r="R792" s="274"/>
      <c r="S792" s="274"/>
      <c r="T792" s="274"/>
      <c r="U792" s="274"/>
      <c r="V792" s="274"/>
      <c r="W792" s="274"/>
      <c r="X792" s="274"/>
      <c r="Y792" s="274"/>
      <c r="Z792" s="274"/>
      <c r="AA792" s="274"/>
      <c r="AB792" s="274"/>
      <c r="AC792" s="274"/>
      <c r="AD792" s="274"/>
      <c r="AE792" s="274"/>
    </row>
    <row r="793" spans="15:31">
      <c r="O793" s="274"/>
      <c r="P793" s="274"/>
      <c r="Q793" s="274"/>
      <c r="R793" s="274"/>
      <c r="S793" s="274"/>
      <c r="T793" s="274"/>
      <c r="U793" s="274"/>
      <c r="V793" s="274"/>
      <c r="W793" s="274"/>
      <c r="X793" s="274"/>
      <c r="Y793" s="274"/>
      <c r="Z793" s="274"/>
      <c r="AA793" s="274"/>
      <c r="AB793" s="274"/>
      <c r="AC793" s="274"/>
      <c r="AD793" s="274"/>
      <c r="AE793" s="274"/>
    </row>
    <row r="794" spans="15:31">
      <c r="O794" s="274"/>
      <c r="P794" s="274"/>
      <c r="Q794" s="274"/>
      <c r="R794" s="274"/>
      <c r="S794" s="274"/>
      <c r="T794" s="274"/>
      <c r="U794" s="274"/>
      <c r="V794" s="274"/>
      <c r="W794" s="274"/>
      <c r="X794" s="274"/>
      <c r="Y794" s="274"/>
      <c r="Z794" s="274"/>
      <c r="AA794" s="274"/>
      <c r="AB794" s="274"/>
      <c r="AC794" s="274"/>
      <c r="AD794" s="274"/>
      <c r="AE794" s="274"/>
    </row>
    <row r="795" spans="15:31">
      <c r="O795" s="274"/>
      <c r="P795" s="274"/>
      <c r="Q795" s="274"/>
      <c r="R795" s="274"/>
      <c r="S795" s="274"/>
      <c r="T795" s="274"/>
      <c r="U795" s="274"/>
      <c r="V795" s="274"/>
      <c r="W795" s="274"/>
      <c r="X795" s="274"/>
      <c r="Y795" s="274"/>
      <c r="Z795" s="274"/>
      <c r="AA795" s="274"/>
      <c r="AB795" s="274"/>
      <c r="AC795" s="274"/>
      <c r="AD795" s="274"/>
      <c r="AE795" s="274"/>
    </row>
    <row r="796" spans="15:31">
      <c r="O796" s="274"/>
      <c r="P796" s="274"/>
      <c r="Q796" s="274"/>
      <c r="R796" s="274"/>
      <c r="S796" s="274"/>
      <c r="T796" s="274"/>
      <c r="U796" s="274"/>
      <c r="V796" s="274"/>
      <c r="W796" s="274"/>
      <c r="X796" s="274"/>
      <c r="Y796" s="274"/>
      <c r="Z796" s="274"/>
      <c r="AA796" s="274"/>
      <c r="AB796" s="274"/>
      <c r="AC796" s="274"/>
      <c r="AD796" s="274"/>
      <c r="AE796" s="274"/>
    </row>
    <row r="797" spans="15:31">
      <c r="O797" s="274"/>
      <c r="P797" s="274"/>
      <c r="Q797" s="274"/>
      <c r="R797" s="274"/>
      <c r="S797" s="274"/>
      <c r="T797" s="274"/>
      <c r="U797" s="274"/>
      <c r="V797" s="274"/>
      <c r="W797" s="274"/>
      <c r="X797" s="274"/>
      <c r="Y797" s="274"/>
      <c r="Z797" s="274"/>
      <c r="AA797" s="274"/>
      <c r="AB797" s="274"/>
      <c r="AC797" s="274"/>
      <c r="AD797" s="274"/>
      <c r="AE797" s="274"/>
    </row>
    <row r="798" spans="15:31">
      <c r="O798" s="274"/>
      <c r="P798" s="274"/>
      <c r="Q798" s="274"/>
      <c r="R798" s="274"/>
      <c r="S798" s="274"/>
      <c r="T798" s="274"/>
      <c r="U798" s="274"/>
      <c r="V798" s="274"/>
      <c r="W798" s="274"/>
      <c r="X798" s="274"/>
      <c r="Y798" s="274"/>
      <c r="Z798" s="274"/>
      <c r="AA798" s="274"/>
      <c r="AB798" s="274"/>
      <c r="AC798" s="274"/>
      <c r="AD798" s="274"/>
      <c r="AE798" s="274"/>
    </row>
    <row r="799" spans="15:31">
      <c r="O799" s="274"/>
      <c r="P799" s="274"/>
      <c r="Q799" s="274"/>
      <c r="R799" s="274"/>
      <c r="S799" s="274"/>
      <c r="T799" s="274"/>
      <c r="U799" s="274"/>
      <c r="V799" s="274"/>
      <c r="W799" s="274"/>
      <c r="X799" s="274"/>
      <c r="Y799" s="274"/>
      <c r="Z799" s="274"/>
      <c r="AA799" s="274"/>
      <c r="AB799" s="274"/>
      <c r="AC799" s="274"/>
      <c r="AD799" s="274"/>
      <c r="AE799" s="274"/>
    </row>
    <row r="800" spans="15:31">
      <c r="O800" s="274"/>
      <c r="P800" s="274"/>
      <c r="Q800" s="274"/>
      <c r="R800" s="274"/>
      <c r="S800" s="274"/>
      <c r="T800" s="274"/>
      <c r="U800" s="274"/>
      <c r="V800" s="274"/>
      <c r="W800" s="274"/>
      <c r="X800" s="274"/>
      <c r="Y800" s="274"/>
      <c r="Z800" s="274"/>
      <c r="AA800" s="274"/>
      <c r="AB800" s="274"/>
      <c r="AC800" s="274"/>
      <c r="AD800" s="274"/>
      <c r="AE800" s="274"/>
    </row>
    <row r="801" spans="15:31">
      <c r="O801" s="274"/>
      <c r="P801" s="274"/>
      <c r="Q801" s="274"/>
      <c r="R801" s="274"/>
      <c r="S801" s="274"/>
      <c r="T801" s="274"/>
      <c r="U801" s="274"/>
      <c r="V801" s="274"/>
      <c r="W801" s="274"/>
      <c r="X801" s="274"/>
      <c r="Y801" s="274"/>
      <c r="Z801" s="274"/>
      <c r="AA801" s="274"/>
      <c r="AB801" s="274"/>
      <c r="AC801" s="274"/>
      <c r="AD801" s="274"/>
      <c r="AE801" s="274"/>
    </row>
    <row r="802" spans="15:31">
      <c r="O802" s="274"/>
      <c r="P802" s="274"/>
      <c r="Q802" s="274"/>
      <c r="R802" s="274"/>
      <c r="S802" s="274"/>
      <c r="T802" s="274"/>
      <c r="U802" s="274"/>
      <c r="V802" s="274"/>
      <c r="W802" s="274"/>
      <c r="X802" s="274"/>
      <c r="Y802" s="274"/>
      <c r="Z802" s="274"/>
      <c r="AA802" s="274"/>
      <c r="AB802" s="274"/>
      <c r="AC802" s="274"/>
      <c r="AD802" s="274"/>
      <c r="AE802" s="274"/>
    </row>
    <row r="803" spans="15:31">
      <c r="O803" s="274"/>
      <c r="P803" s="274"/>
      <c r="Q803" s="274"/>
      <c r="R803" s="274"/>
      <c r="S803" s="274"/>
      <c r="T803" s="274"/>
      <c r="U803" s="274"/>
      <c r="V803" s="274"/>
      <c r="W803" s="274"/>
      <c r="X803" s="274"/>
      <c r="Y803" s="274"/>
      <c r="Z803" s="274"/>
      <c r="AA803" s="274"/>
      <c r="AB803" s="274"/>
      <c r="AC803" s="274"/>
      <c r="AD803" s="274"/>
      <c r="AE803" s="274"/>
    </row>
    <row r="804" spans="15:31">
      <c r="O804" s="274"/>
      <c r="P804" s="274"/>
      <c r="Q804" s="274"/>
      <c r="R804" s="274"/>
      <c r="S804" s="274"/>
      <c r="T804" s="274"/>
      <c r="U804" s="274"/>
      <c r="V804" s="274"/>
      <c r="W804" s="274"/>
      <c r="X804" s="274"/>
      <c r="Y804" s="274"/>
      <c r="Z804" s="274"/>
      <c r="AA804" s="274"/>
      <c r="AB804" s="274"/>
      <c r="AC804" s="274"/>
      <c r="AD804" s="274"/>
      <c r="AE804" s="274"/>
    </row>
    <row r="805" spans="15:31">
      <c r="O805" s="274"/>
      <c r="P805" s="274"/>
      <c r="Q805" s="274"/>
      <c r="R805" s="274"/>
      <c r="S805" s="274"/>
      <c r="T805" s="274"/>
      <c r="U805" s="274"/>
      <c r="V805" s="274"/>
      <c r="W805" s="274"/>
      <c r="X805" s="274"/>
      <c r="Y805" s="274"/>
      <c r="Z805" s="274"/>
      <c r="AA805" s="274"/>
      <c r="AB805" s="274"/>
      <c r="AC805" s="274"/>
      <c r="AD805" s="274"/>
      <c r="AE805" s="274"/>
    </row>
    <row r="806" spans="15:31">
      <c r="O806" s="274"/>
      <c r="P806" s="274"/>
      <c r="Q806" s="274"/>
      <c r="R806" s="274"/>
      <c r="S806" s="274"/>
      <c r="T806" s="274"/>
      <c r="U806" s="274"/>
      <c r="V806" s="274"/>
      <c r="W806" s="274"/>
      <c r="X806" s="274"/>
      <c r="Y806" s="274"/>
      <c r="Z806" s="274"/>
      <c r="AA806" s="274"/>
      <c r="AB806" s="274"/>
      <c r="AC806" s="274"/>
      <c r="AD806" s="274"/>
      <c r="AE806" s="274"/>
    </row>
    <row r="807" spans="15:31">
      <c r="O807" s="274"/>
      <c r="P807" s="274"/>
      <c r="Q807" s="274"/>
      <c r="R807" s="274"/>
      <c r="S807" s="274"/>
      <c r="T807" s="274"/>
      <c r="U807" s="274"/>
      <c r="V807" s="274"/>
      <c r="W807" s="274"/>
      <c r="X807" s="274"/>
      <c r="Y807" s="274"/>
      <c r="Z807" s="274"/>
      <c r="AA807" s="274"/>
      <c r="AB807" s="274"/>
      <c r="AC807" s="274"/>
      <c r="AD807" s="274"/>
      <c r="AE807" s="274"/>
    </row>
    <row r="808" spans="15:31">
      <c r="O808" s="274"/>
      <c r="P808" s="274"/>
      <c r="Q808" s="274"/>
      <c r="R808" s="274"/>
      <c r="S808" s="274"/>
      <c r="T808" s="274"/>
      <c r="U808" s="274"/>
      <c r="V808" s="274"/>
      <c r="W808" s="274"/>
      <c r="X808" s="274"/>
      <c r="Y808" s="274"/>
      <c r="Z808" s="274"/>
      <c r="AA808" s="274"/>
      <c r="AB808" s="274"/>
      <c r="AC808" s="274"/>
      <c r="AD808" s="274"/>
      <c r="AE808" s="274"/>
    </row>
  </sheetData>
  <autoFilter ref="B24:J399" xr:uid="{BAB8E048-3245-4E24-912E-3BBF0790E685}"/>
  <dataValidations disablePrompts="1" count="1">
    <dataValidation type="list" allowBlank="1" showInputMessage="1" showErrorMessage="1" sqref="N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14</xdr:col>
                    <xdr:colOff>666750</xdr:colOff>
                    <xdr:row>5</xdr:row>
                    <xdr:rowOff>123825</xdr:rowOff>
                  </from>
                  <to>
                    <xdr:col>15</xdr:col>
                    <xdr:colOff>609600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4" customWidth="1"/>
    <col min="2" max="2" width="17" style="274" bestFit="1" customWidth="1"/>
    <col min="3" max="3" width="26.5703125" style="274" bestFit="1" customWidth="1"/>
    <col min="4" max="4" width="10.5703125" style="275" customWidth="1"/>
    <col min="5" max="14" width="9.85546875" style="275" customWidth="1"/>
    <col min="15" max="31" width="9.140625" style="79"/>
    <col min="32" max="16384" width="9.140625" style="274"/>
  </cols>
  <sheetData>
    <row r="1" spans="1:228" customFormat="1" ht="29.25" customHeight="1">
      <c r="A1" s="271"/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271"/>
      <c r="V1" s="271"/>
      <c r="W1" s="271"/>
      <c r="X1" s="271"/>
      <c r="Y1" s="271"/>
      <c r="Z1" s="271"/>
      <c r="AA1" s="271"/>
      <c r="AB1" s="271"/>
      <c r="AC1" s="271"/>
      <c r="AD1" s="271"/>
      <c r="AE1" s="271"/>
      <c r="AF1" s="271"/>
      <c r="AG1" s="271"/>
      <c r="AH1" s="271"/>
      <c r="AI1" s="271"/>
      <c r="AJ1" s="271"/>
      <c r="AK1" s="271"/>
      <c r="AL1" s="271"/>
      <c r="AM1" s="271"/>
      <c r="AN1" s="271"/>
      <c r="AO1" s="271"/>
      <c r="AP1" s="271"/>
      <c r="AQ1" s="271"/>
      <c r="AR1" s="271"/>
      <c r="AS1" s="271"/>
      <c r="AT1" s="271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271"/>
      <c r="CB1" s="271"/>
      <c r="CC1" s="271"/>
      <c r="CD1" s="271"/>
      <c r="CE1" s="271"/>
      <c r="CF1" s="271"/>
      <c r="CG1" s="271"/>
      <c r="CH1" s="271"/>
      <c r="CI1" s="271"/>
      <c r="CJ1" s="271"/>
      <c r="CK1" s="271"/>
      <c r="CL1" s="271"/>
      <c r="CM1" s="271"/>
      <c r="CN1" s="271"/>
      <c r="CO1" s="271"/>
      <c r="CP1" s="271"/>
      <c r="CQ1" s="271"/>
      <c r="CR1" s="271"/>
      <c r="CS1" s="271"/>
      <c r="CT1" s="271"/>
      <c r="CU1" s="271"/>
      <c r="CV1" s="271"/>
      <c r="CW1" s="271"/>
      <c r="CX1" s="271"/>
      <c r="CY1" s="271"/>
      <c r="CZ1" s="271"/>
      <c r="DA1" s="271"/>
      <c r="DB1" s="271"/>
      <c r="DC1" s="271"/>
      <c r="DD1" s="271"/>
      <c r="DE1" s="271"/>
      <c r="DF1" s="271"/>
      <c r="DG1" s="271"/>
      <c r="DH1" s="271"/>
      <c r="DI1" s="271"/>
      <c r="DJ1" s="271"/>
      <c r="DK1" s="271"/>
      <c r="DL1" s="271"/>
      <c r="DM1" s="271"/>
      <c r="DN1" s="271"/>
      <c r="DO1" s="271"/>
      <c r="DP1" s="271"/>
      <c r="DQ1" s="271"/>
      <c r="DR1" s="271"/>
      <c r="DS1" s="271"/>
      <c r="DT1" s="271"/>
      <c r="DU1" s="271"/>
      <c r="DV1" s="271"/>
      <c r="DW1" s="271"/>
      <c r="DX1" s="271"/>
      <c r="DY1" s="271"/>
      <c r="DZ1" s="271"/>
      <c r="EA1" s="271"/>
      <c r="EB1" s="271"/>
      <c r="EC1" s="271"/>
      <c r="ED1" s="271"/>
      <c r="EE1" s="271"/>
      <c r="EF1" s="271"/>
      <c r="EG1" s="271"/>
      <c r="EH1" s="271"/>
      <c r="EI1" s="271"/>
      <c r="EJ1" s="271"/>
      <c r="EK1" s="271"/>
      <c r="EL1" s="271"/>
      <c r="EM1" s="271"/>
      <c r="EN1" s="271"/>
      <c r="EO1" s="271"/>
      <c r="EP1" s="271"/>
      <c r="EQ1" s="271"/>
      <c r="ER1" s="271"/>
      <c r="ES1" s="271"/>
      <c r="ET1" s="271"/>
      <c r="EU1" s="271"/>
      <c r="EV1" s="271"/>
      <c r="EW1" s="271"/>
      <c r="EX1" s="271"/>
      <c r="EY1" s="271"/>
      <c r="EZ1" s="271"/>
      <c r="FA1" s="271"/>
      <c r="FB1" s="271"/>
      <c r="FC1" s="271"/>
      <c r="FD1" s="271"/>
      <c r="FE1" s="271"/>
      <c r="FF1" s="271"/>
      <c r="FG1" s="271"/>
      <c r="FH1" s="271"/>
      <c r="FI1" s="271"/>
      <c r="FJ1" s="271"/>
      <c r="FK1" s="271"/>
      <c r="FL1" s="271"/>
      <c r="FM1" s="271"/>
      <c r="FN1" s="271"/>
      <c r="FO1" s="271"/>
      <c r="FP1" s="271"/>
      <c r="FQ1" s="271"/>
      <c r="FR1" s="271"/>
      <c r="FS1" s="271"/>
      <c r="FT1" s="271"/>
      <c r="FU1" s="271"/>
      <c r="FV1" s="271"/>
      <c r="FW1" s="271"/>
      <c r="FX1" s="271"/>
      <c r="FY1" s="271"/>
      <c r="FZ1" s="271"/>
      <c r="GA1" s="271"/>
      <c r="GB1" s="271"/>
      <c r="GC1" s="271"/>
      <c r="GD1" s="271"/>
      <c r="GE1" s="271"/>
      <c r="GF1" s="271"/>
      <c r="GG1" s="271"/>
      <c r="GH1" s="271"/>
      <c r="GI1" s="271"/>
      <c r="GJ1" s="271"/>
      <c r="GK1" s="271"/>
      <c r="GL1" s="271"/>
      <c r="GM1" s="271"/>
      <c r="GN1" s="271"/>
      <c r="GO1" s="271"/>
      <c r="GP1" s="271"/>
      <c r="GQ1" s="271"/>
      <c r="GR1" s="271"/>
      <c r="GS1" s="271"/>
      <c r="GT1" s="271"/>
      <c r="GU1" s="271"/>
      <c r="GV1" s="271"/>
      <c r="GW1" s="271"/>
      <c r="GX1" s="271"/>
      <c r="GY1" s="271"/>
      <c r="GZ1" s="271"/>
      <c r="HA1" s="271"/>
      <c r="HB1" s="271"/>
      <c r="HC1" s="271"/>
      <c r="HD1" s="271"/>
      <c r="HE1" s="271"/>
      <c r="HF1" s="271"/>
      <c r="HG1" s="271"/>
      <c r="HH1" s="271"/>
      <c r="HI1" s="271"/>
      <c r="HJ1" s="271"/>
      <c r="HK1" s="271"/>
      <c r="HL1" s="271"/>
      <c r="HM1" s="271"/>
      <c r="HN1" s="271"/>
      <c r="HO1" s="271"/>
      <c r="HP1" s="271"/>
      <c r="HQ1" s="271"/>
      <c r="HR1" s="271"/>
      <c r="HS1" s="271"/>
      <c r="HT1" s="271"/>
    </row>
    <row r="2" spans="1:228" customFormat="1" ht="54.75" customHeight="1">
      <c r="A2" s="271"/>
      <c r="B2" s="271"/>
      <c r="C2" s="272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271"/>
      <c r="CB2" s="271"/>
      <c r="CC2" s="271"/>
      <c r="CD2" s="271"/>
      <c r="CE2" s="271"/>
      <c r="CF2" s="271"/>
      <c r="CG2" s="271"/>
      <c r="CH2" s="271"/>
      <c r="CI2" s="271"/>
      <c r="CJ2" s="271"/>
      <c r="CK2" s="271"/>
      <c r="CL2" s="271"/>
      <c r="CM2" s="271"/>
      <c r="CN2" s="271"/>
      <c r="CO2" s="271"/>
      <c r="CP2" s="271"/>
      <c r="CQ2" s="271"/>
      <c r="CR2" s="271"/>
      <c r="CS2" s="271"/>
      <c r="CT2" s="271"/>
      <c r="CU2" s="271"/>
      <c r="CV2" s="271"/>
      <c r="CW2" s="271"/>
      <c r="CX2" s="271"/>
      <c r="CY2" s="271"/>
      <c r="CZ2" s="271"/>
      <c r="DA2" s="271"/>
      <c r="DB2" s="271"/>
      <c r="DC2" s="271"/>
      <c r="DD2" s="271"/>
      <c r="DE2" s="271"/>
      <c r="DF2" s="271"/>
      <c r="DG2" s="271"/>
      <c r="DH2" s="271"/>
      <c r="DI2" s="271"/>
      <c r="DJ2" s="271"/>
      <c r="DK2" s="271"/>
      <c r="DL2" s="271"/>
      <c r="DM2" s="271"/>
      <c r="DN2" s="271"/>
      <c r="DO2" s="271"/>
      <c r="DP2" s="271"/>
      <c r="DQ2" s="271"/>
      <c r="DR2" s="271"/>
      <c r="DS2" s="271"/>
      <c r="DT2" s="271"/>
      <c r="DU2" s="271"/>
      <c r="DV2" s="271"/>
      <c r="DW2" s="271"/>
      <c r="DX2" s="271"/>
      <c r="DY2" s="271"/>
      <c r="DZ2" s="271"/>
      <c r="EA2" s="271"/>
      <c r="EB2" s="271"/>
      <c r="EC2" s="271"/>
      <c r="ED2" s="271"/>
      <c r="EE2" s="271"/>
      <c r="EF2" s="271"/>
      <c r="EG2" s="271"/>
      <c r="EH2" s="271"/>
      <c r="EI2" s="271"/>
      <c r="EJ2" s="271"/>
      <c r="EK2" s="271"/>
      <c r="EL2" s="271"/>
      <c r="EM2" s="271"/>
      <c r="EN2" s="271"/>
      <c r="EO2" s="271"/>
      <c r="EP2" s="271"/>
      <c r="EQ2" s="271"/>
      <c r="ER2" s="271"/>
      <c r="ES2" s="271"/>
      <c r="ET2" s="271"/>
      <c r="EU2" s="271"/>
      <c r="EV2" s="271"/>
      <c r="EW2" s="271"/>
      <c r="EX2" s="271"/>
      <c r="EY2" s="271"/>
      <c r="EZ2" s="271"/>
      <c r="FA2" s="271"/>
      <c r="FB2" s="271"/>
      <c r="FC2" s="271"/>
      <c r="FD2" s="271"/>
      <c r="FE2" s="271"/>
      <c r="FF2" s="271"/>
      <c r="FG2" s="271"/>
      <c r="FH2" s="271"/>
      <c r="FI2" s="271"/>
      <c r="FJ2" s="271"/>
      <c r="FK2" s="271"/>
      <c r="FL2" s="271"/>
      <c r="FM2" s="271"/>
      <c r="FN2" s="271"/>
      <c r="FO2" s="271"/>
      <c r="FP2" s="271"/>
      <c r="FQ2" s="271"/>
      <c r="FR2" s="271"/>
      <c r="FS2" s="271"/>
      <c r="FT2" s="271"/>
      <c r="FU2" s="271"/>
      <c r="FV2" s="271"/>
      <c r="FW2" s="271"/>
      <c r="FX2" s="271"/>
      <c r="FY2" s="271"/>
      <c r="FZ2" s="271"/>
      <c r="GA2" s="271"/>
      <c r="GB2" s="271"/>
      <c r="GC2" s="271"/>
      <c r="GD2" s="271"/>
      <c r="GE2" s="271"/>
      <c r="GF2" s="271"/>
      <c r="GG2" s="271"/>
      <c r="GH2" s="271"/>
      <c r="GI2" s="271"/>
      <c r="GJ2" s="271"/>
      <c r="GK2" s="271"/>
      <c r="GL2" s="271"/>
      <c r="GM2" s="271"/>
      <c r="GN2" s="271"/>
      <c r="GO2" s="271"/>
      <c r="GP2" s="271"/>
      <c r="GQ2" s="271"/>
      <c r="GR2" s="271"/>
      <c r="GS2" s="271"/>
      <c r="GT2" s="271"/>
      <c r="GU2" s="271"/>
      <c r="GV2" s="271"/>
      <c r="GW2" s="271"/>
      <c r="GX2" s="271"/>
      <c r="GY2" s="271"/>
      <c r="GZ2" s="271"/>
      <c r="HA2" s="271"/>
      <c r="HB2" s="271"/>
      <c r="HC2" s="271"/>
      <c r="HD2" s="271"/>
      <c r="HE2" s="271"/>
      <c r="HF2" s="271"/>
      <c r="HG2" s="271"/>
      <c r="HH2" s="271"/>
      <c r="HI2" s="271"/>
      <c r="HJ2" s="271"/>
      <c r="HK2" s="271"/>
      <c r="HL2" s="271"/>
      <c r="HM2" s="271"/>
      <c r="HN2" s="271"/>
      <c r="HO2" s="271"/>
      <c r="HP2" s="271"/>
      <c r="HQ2" s="271"/>
      <c r="HR2" s="271"/>
      <c r="HS2" s="271"/>
      <c r="HT2" s="271"/>
    </row>
    <row r="3" spans="1:228" customFormat="1" ht="36.75" customHeight="1">
      <c r="A3" s="271"/>
      <c r="B3" s="271"/>
      <c r="C3" s="271"/>
      <c r="D3" s="271"/>
      <c r="E3" s="271"/>
      <c r="F3" s="271"/>
      <c r="G3" s="271"/>
      <c r="H3" s="271"/>
      <c r="I3" s="273"/>
      <c r="J3" s="273"/>
      <c r="K3" s="273"/>
      <c r="L3" s="273"/>
      <c r="M3" s="273"/>
      <c r="N3" s="273"/>
      <c r="O3" s="273"/>
      <c r="P3" s="273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3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271"/>
      <c r="CB3" s="271"/>
      <c r="CC3" s="271"/>
      <c r="CD3" s="271"/>
      <c r="CE3" s="271"/>
      <c r="CF3" s="271"/>
      <c r="CG3" s="271"/>
      <c r="CH3" s="271"/>
      <c r="CI3" s="271"/>
      <c r="CJ3" s="271"/>
      <c r="CK3" s="271"/>
      <c r="CL3" s="271"/>
      <c r="CM3" s="271"/>
      <c r="CN3" s="271"/>
      <c r="CO3" s="271"/>
      <c r="CP3" s="271"/>
      <c r="CQ3" s="271"/>
      <c r="CR3" s="271"/>
      <c r="CS3" s="271"/>
      <c r="CT3" s="271"/>
      <c r="CU3" s="271"/>
      <c r="CV3" s="271"/>
      <c r="CW3" s="271"/>
      <c r="CX3" s="271"/>
      <c r="CY3" s="271"/>
      <c r="CZ3" s="271"/>
      <c r="DA3" s="271"/>
      <c r="DB3" s="271"/>
      <c r="DC3" s="271"/>
      <c r="DD3" s="271"/>
      <c r="DE3" s="271"/>
      <c r="DF3" s="271"/>
      <c r="DG3" s="271"/>
      <c r="DH3" s="271"/>
      <c r="DI3" s="271"/>
      <c r="DJ3" s="271"/>
      <c r="DK3" s="271"/>
      <c r="DL3" s="271"/>
      <c r="DM3" s="271"/>
      <c r="DN3" s="271"/>
      <c r="DO3" s="271"/>
      <c r="DP3" s="271"/>
      <c r="DQ3" s="271"/>
      <c r="DR3" s="271"/>
      <c r="DS3" s="271"/>
      <c r="DT3" s="271"/>
      <c r="DU3" s="271"/>
      <c r="DV3" s="271"/>
      <c r="DW3" s="271"/>
      <c r="DX3" s="271"/>
      <c r="DY3" s="271"/>
      <c r="DZ3" s="271"/>
      <c r="EA3" s="271"/>
      <c r="EB3" s="271"/>
      <c r="EC3" s="271"/>
      <c r="ED3" s="271"/>
      <c r="EE3" s="271"/>
      <c r="EF3" s="271"/>
      <c r="EG3" s="271"/>
      <c r="EH3" s="271"/>
      <c r="EI3" s="271"/>
      <c r="EJ3" s="271"/>
      <c r="EK3" s="271"/>
      <c r="EL3" s="271"/>
      <c r="EM3" s="271"/>
      <c r="EN3" s="271"/>
      <c r="EO3" s="271"/>
      <c r="EP3" s="271"/>
      <c r="EQ3" s="271"/>
      <c r="ER3" s="271"/>
      <c r="ES3" s="271"/>
      <c r="ET3" s="271"/>
      <c r="EU3" s="271"/>
      <c r="EV3" s="271"/>
      <c r="EW3" s="271"/>
      <c r="EX3" s="271"/>
      <c r="EY3" s="271"/>
      <c r="EZ3" s="271"/>
      <c r="FA3" s="271"/>
      <c r="FB3" s="271"/>
      <c r="FC3" s="271"/>
      <c r="FD3" s="271"/>
      <c r="FE3" s="271"/>
      <c r="FF3" s="271"/>
      <c r="FG3" s="271"/>
      <c r="FH3" s="271"/>
      <c r="FI3" s="271"/>
      <c r="FJ3" s="271"/>
      <c r="FK3" s="271"/>
      <c r="FL3" s="271"/>
      <c r="FM3" s="271"/>
      <c r="FN3" s="271"/>
      <c r="FO3" s="271"/>
      <c r="FP3" s="271"/>
      <c r="FQ3" s="271"/>
      <c r="FR3" s="271"/>
      <c r="FS3" s="271"/>
      <c r="FT3" s="271"/>
      <c r="FU3" s="271"/>
      <c r="FV3" s="271"/>
      <c r="FW3" s="271"/>
      <c r="FX3" s="271"/>
      <c r="FY3" s="271"/>
      <c r="FZ3" s="271"/>
      <c r="GA3" s="271"/>
      <c r="GB3" s="271"/>
      <c r="GC3" s="271"/>
      <c r="GD3" s="271"/>
      <c r="GE3" s="271"/>
      <c r="GF3" s="271"/>
      <c r="GG3" s="271"/>
      <c r="GH3" s="271"/>
      <c r="GI3" s="271"/>
      <c r="GJ3" s="271"/>
      <c r="GK3" s="271"/>
      <c r="GL3" s="271"/>
      <c r="GM3" s="271"/>
      <c r="GN3" s="271"/>
      <c r="GO3" s="271"/>
      <c r="GP3" s="271"/>
      <c r="GQ3" s="271"/>
      <c r="GR3" s="271"/>
      <c r="GS3" s="271"/>
      <c r="GT3" s="271"/>
      <c r="GU3" s="271"/>
      <c r="GV3" s="271"/>
      <c r="GW3" s="271"/>
      <c r="GX3" s="271"/>
      <c r="GY3" s="271"/>
      <c r="GZ3" s="271"/>
      <c r="HA3" s="271"/>
      <c r="HB3" s="271"/>
      <c r="HC3" s="271"/>
      <c r="HD3" s="271"/>
      <c r="HE3" s="271"/>
      <c r="HF3" s="271"/>
      <c r="HG3" s="271"/>
      <c r="HH3" s="271"/>
      <c r="HI3" s="271"/>
      <c r="HJ3" s="271"/>
      <c r="HK3" s="271"/>
      <c r="HL3" s="271"/>
      <c r="HM3" s="271"/>
      <c r="HN3" s="271"/>
      <c r="HO3" s="271"/>
      <c r="HP3" s="271"/>
      <c r="HQ3" s="271"/>
      <c r="HR3" s="271"/>
      <c r="HS3" s="271"/>
      <c r="HT3" s="271"/>
    </row>
    <row r="4" spans="1:228" ht="12" thickBot="1"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</row>
    <row r="5" spans="1:228">
      <c r="B5" s="276" t="s">
        <v>432</v>
      </c>
      <c r="C5" s="277">
        <v>46828</v>
      </c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</row>
    <row r="6" spans="1:228">
      <c r="B6" s="278" t="s">
        <v>475</v>
      </c>
      <c r="C6" s="279">
        <v>5000</v>
      </c>
      <c r="D6" s="274"/>
      <c r="E6" s="638"/>
      <c r="F6" s="638"/>
      <c r="G6" s="638"/>
      <c r="H6" s="638"/>
      <c r="I6" s="638"/>
      <c r="J6" s="638"/>
      <c r="K6" s="638"/>
      <c r="L6" s="638"/>
      <c r="M6" s="638"/>
      <c r="N6" s="638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</row>
    <row r="7" spans="1:228" ht="12" thickBot="1">
      <c r="B7" s="280" t="s">
        <v>476</v>
      </c>
      <c r="C7" s="281" t="b">
        <v>0</v>
      </c>
      <c r="D7" s="274"/>
      <c r="E7" s="274"/>
      <c r="H7" s="282"/>
      <c r="O7" s="638"/>
      <c r="P7" s="638"/>
      <c r="Q7" s="638"/>
      <c r="R7" s="638"/>
      <c r="S7" s="638"/>
      <c r="T7" s="638"/>
      <c r="U7" s="638"/>
      <c r="V7" s="638"/>
      <c r="W7" s="638"/>
      <c r="X7" s="638"/>
      <c r="Y7" s="274"/>
      <c r="Z7" s="274"/>
      <c r="AA7" s="274"/>
      <c r="AB7" s="274"/>
      <c r="AC7" s="274"/>
      <c r="AD7" s="274"/>
      <c r="AE7" s="274"/>
    </row>
    <row r="8" spans="1:228" ht="12" thickBot="1">
      <c r="B8" s="280" t="s">
        <v>477</v>
      </c>
      <c r="C8" s="283">
        <v>0.3</v>
      </c>
      <c r="D8" s="284"/>
      <c r="E8" s="274"/>
      <c r="H8" s="282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</row>
    <row r="9" spans="1:228" ht="12" thickBot="1">
      <c r="B9" s="280" t="s">
        <v>478</v>
      </c>
      <c r="C9" s="285">
        <v>125</v>
      </c>
      <c r="D9" s="284"/>
      <c r="E9" s="274"/>
      <c r="H9" s="282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</row>
    <row r="10" spans="1:228" ht="12" thickBot="1">
      <c r="B10" s="286"/>
      <c r="C10" s="287"/>
      <c r="D10" s="284"/>
      <c r="E10" s="274"/>
      <c r="H10" s="282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</row>
    <row r="11" spans="1:228">
      <c r="B11" s="288" t="s">
        <v>82</v>
      </c>
      <c r="C11" s="289" t="s">
        <v>67</v>
      </c>
      <c r="D11" s="274"/>
      <c r="E11" s="274"/>
      <c r="H11" s="282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</row>
    <row r="12" spans="1:228">
      <c r="B12" s="290" t="s">
        <v>437</v>
      </c>
      <c r="C12" s="291">
        <v>-0.1</v>
      </c>
      <c r="D12" s="284"/>
      <c r="E12" s="274"/>
      <c r="H12" s="282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</row>
    <row r="13" spans="1:228" ht="12" thickBot="1">
      <c r="B13" s="292" t="s">
        <v>439</v>
      </c>
      <c r="C13" s="227">
        <v>0.1</v>
      </c>
      <c r="E13" s="293"/>
      <c r="H13" s="282"/>
      <c r="O13" s="274"/>
      <c r="P13" s="274"/>
      <c r="Q13" s="274"/>
      <c r="R13" s="274"/>
      <c r="S13" s="274"/>
      <c r="T13" s="274"/>
      <c r="U13" s="274"/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</row>
    <row r="14" spans="1:228" ht="12" thickBot="1">
      <c r="B14" s="294"/>
      <c r="C14" s="295"/>
      <c r="E14" s="293"/>
      <c r="H14" s="282"/>
      <c r="O14" s="274"/>
      <c r="P14" s="274"/>
      <c r="Q14" s="274"/>
      <c r="R14" s="274"/>
      <c r="S14" s="274"/>
      <c r="T14" s="274"/>
      <c r="U14" s="274"/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</row>
    <row r="15" spans="1:228">
      <c r="B15" s="276" t="s">
        <v>458</v>
      </c>
      <c r="C15" s="296" t="s">
        <v>459</v>
      </c>
      <c r="E15" s="293"/>
      <c r="H15" s="282"/>
      <c r="O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</row>
    <row r="16" spans="1:228">
      <c r="B16" s="278" t="s">
        <v>461</v>
      </c>
      <c r="C16" s="297" t="s">
        <v>479</v>
      </c>
      <c r="E16" s="293"/>
      <c r="H16" s="282"/>
      <c r="O16" s="274"/>
      <c r="P16" s="274"/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C16" s="274"/>
      <c r="AD16" s="274"/>
      <c r="AE16" s="274"/>
    </row>
    <row r="17" spans="2:31" ht="12" thickBot="1">
      <c r="B17" s="280" t="s">
        <v>462</v>
      </c>
      <c r="C17" s="298"/>
      <c r="E17" s="293"/>
      <c r="H17" s="282"/>
      <c r="O17" s="274"/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C17" s="274"/>
      <c r="AD17" s="274"/>
      <c r="AE17" s="274"/>
    </row>
    <row r="18" spans="2:31" ht="12" thickBot="1">
      <c r="B18" s="286"/>
      <c r="C18" s="299"/>
      <c r="E18" s="293"/>
      <c r="H18" s="282"/>
      <c r="O18" s="274"/>
      <c r="P18" s="274"/>
      <c r="Q18" s="274"/>
      <c r="R18" s="274"/>
      <c r="S18" s="274"/>
      <c r="T18" s="274"/>
      <c r="U18" s="274"/>
      <c r="V18" s="274"/>
      <c r="W18" s="274"/>
      <c r="X18" s="274"/>
      <c r="Y18" s="274"/>
      <c r="Z18" s="274"/>
      <c r="AA18" s="274"/>
      <c r="AB18" s="274"/>
      <c r="AC18" s="274"/>
      <c r="AD18" s="274"/>
      <c r="AE18" s="274"/>
    </row>
    <row r="19" spans="2:31" ht="12" thickBot="1">
      <c r="B19" s="288" t="s">
        <v>480</v>
      </c>
      <c r="C19" s="300"/>
      <c r="D19" s="301"/>
      <c r="E19" s="639" t="s">
        <v>481</v>
      </c>
      <c r="F19" s="639"/>
      <c r="G19" s="639"/>
      <c r="H19" s="639"/>
      <c r="I19" s="639"/>
      <c r="J19" s="639"/>
      <c r="K19" s="639"/>
      <c r="L19" s="639"/>
      <c r="M19" s="639"/>
      <c r="N19" s="640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</row>
    <row r="20" spans="2:31" ht="12" thickBot="1">
      <c r="B20" s="303"/>
      <c r="C20" s="304"/>
      <c r="D20" s="305" t="s">
        <v>482</v>
      </c>
      <c r="E20" s="306">
        <v>1</v>
      </c>
      <c r="F20" s="307">
        <v>2</v>
      </c>
      <c r="G20" s="306">
        <v>3</v>
      </c>
      <c r="H20" s="308">
        <v>4</v>
      </c>
      <c r="I20" s="308">
        <v>5</v>
      </c>
      <c r="J20" s="308">
        <v>6</v>
      </c>
      <c r="K20" s="308">
        <v>7</v>
      </c>
      <c r="L20" s="307">
        <v>8</v>
      </c>
      <c r="M20" s="308">
        <v>9</v>
      </c>
      <c r="N20" s="309">
        <v>10</v>
      </c>
      <c r="O20" s="274"/>
      <c r="P20" s="274"/>
      <c r="Q20" s="274"/>
      <c r="R20" s="274"/>
      <c r="S20" s="274"/>
      <c r="T20" s="274"/>
      <c r="U20" s="274"/>
      <c r="V20" s="274"/>
      <c r="W20" s="286"/>
      <c r="X20" s="274"/>
      <c r="Y20" s="274"/>
      <c r="Z20" s="274"/>
      <c r="AA20" s="274"/>
      <c r="AB20" s="274"/>
      <c r="AC20" s="274"/>
      <c r="AD20" s="274"/>
      <c r="AE20" s="274"/>
    </row>
    <row r="21" spans="2:31">
      <c r="B21" s="276" t="s">
        <v>465</v>
      </c>
      <c r="C21" s="310">
        <v>0.54</v>
      </c>
      <c r="D21" s="311" t="s">
        <v>465</v>
      </c>
      <c r="E21" s="312">
        <v>6.0999999999999999E-2</v>
      </c>
      <c r="F21" s="312">
        <v>6.0999999999999999E-2</v>
      </c>
      <c r="G21" s="312">
        <v>6.0999999999999999E-2</v>
      </c>
      <c r="H21" s="312">
        <v>6.0999999999999999E-2</v>
      </c>
      <c r="I21" s="313">
        <v>0.06</v>
      </c>
      <c r="J21" s="313">
        <v>0.06</v>
      </c>
      <c r="K21" s="314"/>
      <c r="L21" s="315"/>
      <c r="M21" s="314"/>
      <c r="N21" s="316"/>
      <c r="O21" s="274"/>
      <c r="P21" s="274"/>
      <c r="Q21" s="274"/>
      <c r="R21" s="274"/>
      <c r="S21" s="274"/>
      <c r="T21" s="274"/>
      <c r="U21" s="274"/>
      <c r="V21" s="274"/>
      <c r="W21" s="274"/>
      <c r="X21" s="274"/>
      <c r="Y21" s="274"/>
      <c r="Z21" s="274"/>
      <c r="AA21" s="274"/>
      <c r="AB21" s="274"/>
      <c r="AC21" s="274"/>
      <c r="AD21" s="274"/>
      <c r="AE21" s="274"/>
    </row>
    <row r="22" spans="2:31" ht="12" thickBot="1">
      <c r="B22" s="280" t="s">
        <v>466</v>
      </c>
      <c r="C22" s="317">
        <v>0.84</v>
      </c>
      <c r="D22" s="311" t="s">
        <v>483</v>
      </c>
      <c r="E22" s="318">
        <v>0.111</v>
      </c>
      <c r="F22" s="318">
        <v>0.111</v>
      </c>
      <c r="G22" s="318">
        <v>0.111</v>
      </c>
      <c r="H22" s="318">
        <v>0.111</v>
      </c>
      <c r="I22" s="319">
        <v>0.11</v>
      </c>
      <c r="J22" s="319">
        <v>0.11</v>
      </c>
      <c r="K22" s="320"/>
      <c r="L22" s="321"/>
      <c r="M22" s="320"/>
      <c r="N22" s="322"/>
      <c r="O22" s="274"/>
      <c r="P22" s="274"/>
      <c r="Q22" s="323"/>
      <c r="R22" s="274"/>
      <c r="S22" s="274"/>
      <c r="T22" s="274"/>
      <c r="U22" s="274"/>
      <c r="V22" s="274"/>
      <c r="W22" s="274"/>
      <c r="X22" s="274"/>
      <c r="Y22" s="274"/>
      <c r="Z22" s="274"/>
      <c r="AA22" s="274"/>
      <c r="AB22" s="274"/>
      <c r="AC22" s="274"/>
      <c r="AD22" s="274"/>
      <c r="AE22" s="274"/>
    </row>
    <row r="23" spans="2:31" ht="12" thickBot="1">
      <c r="B23" s="324"/>
      <c r="C23" s="325"/>
      <c r="D23" s="326" t="s">
        <v>484</v>
      </c>
      <c r="E23" s="327">
        <f t="shared" ref="E23:J23" si="0">0.166666666666667%*100</f>
        <v>0.16666666666666699</v>
      </c>
      <c r="F23" s="327">
        <f t="shared" si="0"/>
        <v>0.16666666666666699</v>
      </c>
      <c r="G23" s="327">
        <f t="shared" si="0"/>
        <v>0.16666666666666699</v>
      </c>
      <c r="H23" s="327">
        <f t="shared" si="0"/>
        <v>0.16666666666666699</v>
      </c>
      <c r="I23" s="327">
        <f t="shared" si="0"/>
        <v>0.16666666666666699</v>
      </c>
      <c r="J23" s="327">
        <f t="shared" si="0"/>
        <v>0.16666666666666699</v>
      </c>
      <c r="K23" s="320"/>
      <c r="L23" s="321"/>
      <c r="M23" s="320"/>
      <c r="N23" s="322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C23" s="274"/>
      <c r="AD23" s="274"/>
      <c r="AE23" s="274"/>
    </row>
    <row r="24" spans="2:31" ht="12" thickBot="1">
      <c r="B24" s="324"/>
      <c r="C24" s="325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126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</row>
    <row r="25" spans="2:31" ht="12" thickBot="1">
      <c r="B25" s="276" t="s">
        <v>485</v>
      </c>
      <c r="C25" s="331">
        <v>8.3836702003960026E-2</v>
      </c>
      <c r="D25" s="332"/>
      <c r="E25" s="637" t="s">
        <v>486</v>
      </c>
      <c r="F25" s="637"/>
      <c r="G25" s="637"/>
      <c r="H25" s="637"/>
      <c r="I25" s="637"/>
      <c r="J25" s="637"/>
      <c r="K25" s="637"/>
      <c r="L25" s="637"/>
      <c r="M25" s="637"/>
      <c r="N25" s="636"/>
      <c r="O25" s="274"/>
      <c r="P25" s="274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C25" s="274"/>
      <c r="AD25" s="274"/>
      <c r="AE25" s="274"/>
    </row>
    <row r="26" spans="2:31" ht="12" thickBot="1">
      <c r="B26" s="280" t="s">
        <v>487</v>
      </c>
      <c r="C26" s="333" t="b">
        <v>1</v>
      </c>
      <c r="D26" s="305" t="s">
        <v>488</v>
      </c>
      <c r="E26" s="334">
        <v>1</v>
      </c>
      <c r="F26" s="59">
        <f t="shared" ref="F26:N26" si="1">E26+1</f>
        <v>2</v>
      </c>
      <c r="G26" s="335">
        <f t="shared" si="1"/>
        <v>3</v>
      </c>
      <c r="H26" s="336">
        <f t="shared" si="1"/>
        <v>4</v>
      </c>
      <c r="I26" s="336">
        <f t="shared" si="1"/>
        <v>5</v>
      </c>
      <c r="J26" s="336">
        <f t="shared" si="1"/>
        <v>6</v>
      </c>
      <c r="K26" s="336">
        <f t="shared" si="1"/>
        <v>7</v>
      </c>
      <c r="L26" s="59">
        <f t="shared" si="1"/>
        <v>8</v>
      </c>
      <c r="M26" s="336">
        <f t="shared" si="1"/>
        <v>9</v>
      </c>
      <c r="N26" s="337">
        <f t="shared" si="1"/>
        <v>10</v>
      </c>
      <c r="O26" s="274"/>
      <c r="P26" s="274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C26" s="274"/>
      <c r="AD26" s="274"/>
      <c r="AE26" s="274"/>
    </row>
    <row r="27" spans="2:31">
      <c r="B27" s="324"/>
      <c r="D27" s="338">
        <v>0</v>
      </c>
      <c r="E27" s="339">
        <v>1.9E-2</v>
      </c>
      <c r="F27" s="340">
        <v>2.1000000000000001E-2</v>
      </c>
      <c r="G27" s="341">
        <v>2.1999999999999999E-2</v>
      </c>
      <c r="H27" s="342">
        <v>2.1000000000000001E-2</v>
      </c>
      <c r="I27" s="341">
        <v>2.1999999999999999E-2</v>
      </c>
      <c r="J27" s="341">
        <v>2.1000000000000001E-2</v>
      </c>
      <c r="K27" s="315"/>
      <c r="L27" s="343"/>
      <c r="M27" s="315"/>
      <c r="N27" s="291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C27" s="274"/>
      <c r="AD27" s="274"/>
      <c r="AE27" s="274"/>
    </row>
    <row r="28" spans="2:31">
      <c r="B28" s="324"/>
      <c r="D28" s="344">
        <v>2.4E-2</v>
      </c>
      <c r="E28" s="339">
        <v>3.5999999999999997E-2</v>
      </c>
      <c r="F28" s="345">
        <v>0.04</v>
      </c>
      <c r="G28" s="346">
        <v>4.1000000000000002E-2</v>
      </c>
      <c r="H28" s="347">
        <v>0.04</v>
      </c>
      <c r="I28" s="347">
        <v>4.1000000000000002E-2</v>
      </c>
      <c r="J28" s="347">
        <v>0.04</v>
      </c>
      <c r="K28" s="348"/>
      <c r="L28" s="348"/>
      <c r="M28" s="348"/>
      <c r="N28" s="348"/>
      <c r="O28" s="274"/>
      <c r="P28" s="274"/>
      <c r="Q28" s="274"/>
      <c r="R28" s="274"/>
      <c r="S28" s="274"/>
      <c r="T28" s="274"/>
      <c r="U28" s="274"/>
      <c r="V28" s="274"/>
      <c r="W28" s="274"/>
      <c r="X28" s="274"/>
      <c r="Y28" s="274"/>
      <c r="Z28" s="274"/>
      <c r="AA28" s="274"/>
      <c r="AB28" s="274"/>
      <c r="AC28" s="274"/>
      <c r="AD28" s="274"/>
      <c r="AE28" s="274"/>
    </row>
    <row r="29" spans="2:31">
      <c r="B29" s="324"/>
      <c r="D29" s="344">
        <v>4.9000000000000002E-2</v>
      </c>
      <c r="E29" s="339">
        <v>6.3E-2</v>
      </c>
      <c r="F29" s="345">
        <v>6.9000000000000006E-2</v>
      </c>
      <c r="G29" s="346">
        <v>7.0999999999999994E-2</v>
      </c>
      <c r="H29" s="347">
        <v>6.9000000000000006E-2</v>
      </c>
      <c r="I29" s="347">
        <v>7.0999999999999994E-2</v>
      </c>
      <c r="J29" s="347">
        <v>6.9000000000000006E-2</v>
      </c>
      <c r="K29" s="348"/>
      <c r="L29" s="348"/>
      <c r="M29" s="348"/>
      <c r="N29" s="348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</row>
    <row r="30" spans="2:31">
      <c r="B30" s="324"/>
      <c r="D30" s="344">
        <v>6.5000000000000002E-2</v>
      </c>
      <c r="E30" s="339">
        <v>9.2999999999999999E-2</v>
      </c>
      <c r="F30" s="345">
        <v>0.107</v>
      </c>
      <c r="G30" s="346">
        <v>0.111</v>
      </c>
      <c r="H30" s="347">
        <v>0.108</v>
      </c>
      <c r="I30" s="347">
        <v>0.112</v>
      </c>
      <c r="J30" s="347">
        <v>0.108</v>
      </c>
      <c r="K30" s="348"/>
      <c r="L30" s="348"/>
      <c r="M30" s="348"/>
      <c r="N30" s="348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C30" s="274"/>
      <c r="AD30" s="274"/>
      <c r="AE30" s="274"/>
    </row>
    <row r="31" spans="2:31">
      <c r="B31" s="324"/>
      <c r="D31" s="344">
        <v>8.1000000000000003E-2</v>
      </c>
      <c r="E31" s="339">
        <v>0.13300000000000001</v>
      </c>
      <c r="F31" s="345">
        <v>0.14899999999999999</v>
      </c>
      <c r="G31" s="346">
        <v>0.154</v>
      </c>
      <c r="H31" s="347">
        <v>0.151</v>
      </c>
      <c r="I31" s="347">
        <v>0.154</v>
      </c>
      <c r="J31" s="347">
        <v>0.14899999999999999</v>
      </c>
      <c r="K31" s="348"/>
      <c r="L31" s="348"/>
      <c r="M31" s="348"/>
      <c r="N31" s="348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274"/>
      <c r="AD31" s="274"/>
      <c r="AE31" s="274"/>
    </row>
    <row r="32" spans="2:31">
      <c r="B32" s="324"/>
      <c r="D32" s="344">
        <v>9.8000000000000004E-2</v>
      </c>
      <c r="E32" s="339">
        <v>0.17399999999999999</v>
      </c>
      <c r="F32" s="345">
        <v>0.191</v>
      </c>
      <c r="G32" s="346">
        <v>0.19600000000000001</v>
      </c>
      <c r="H32" s="347">
        <v>0.19400000000000001</v>
      </c>
      <c r="I32" s="347">
        <v>0.19700000000000001</v>
      </c>
      <c r="J32" s="347">
        <v>0.191</v>
      </c>
      <c r="K32" s="348"/>
      <c r="L32" s="348"/>
      <c r="M32" s="348"/>
      <c r="N32" s="348"/>
      <c r="O32" s="274"/>
      <c r="P32" s="274"/>
      <c r="Q32" s="274"/>
      <c r="R32" s="274"/>
      <c r="S32" s="274"/>
      <c r="T32" s="274"/>
      <c r="U32" s="274"/>
      <c r="V32" s="274"/>
      <c r="W32" s="274"/>
      <c r="X32" s="274"/>
      <c r="Y32" s="274"/>
      <c r="Z32" s="274"/>
      <c r="AA32" s="274"/>
      <c r="AB32" s="274"/>
      <c r="AC32" s="274"/>
      <c r="AD32" s="274"/>
      <c r="AE32" s="274"/>
    </row>
    <row r="33" spans="1:31" ht="12" thickBot="1">
      <c r="B33" s="349"/>
      <c r="C33" s="350"/>
      <c r="D33" s="351">
        <v>0.114</v>
      </c>
      <c r="E33" s="352">
        <v>0.214</v>
      </c>
      <c r="F33" s="353">
        <v>0.23200000000000001</v>
      </c>
      <c r="G33" s="354">
        <v>0.23799999999999999</v>
      </c>
      <c r="H33" s="355">
        <v>0.23499999999999999</v>
      </c>
      <c r="I33" s="354">
        <v>0.23899999999999999</v>
      </c>
      <c r="J33" s="354">
        <v>0.23200000000000001</v>
      </c>
      <c r="K33" s="321"/>
      <c r="L33" s="356"/>
      <c r="M33" s="321"/>
      <c r="N33" s="317"/>
      <c r="O33" s="274"/>
      <c r="P33" s="274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C33" s="274"/>
      <c r="AD33" s="274"/>
      <c r="AE33" s="274"/>
    </row>
    <row r="34" spans="1:31" ht="12" thickBot="1">
      <c r="D34" s="274"/>
      <c r="E34" s="274"/>
      <c r="F34" s="274"/>
      <c r="G34" s="274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C34" s="274"/>
      <c r="AD34" s="274"/>
      <c r="AE34" s="274"/>
    </row>
    <row r="35" spans="1:31" ht="12" thickBot="1">
      <c r="D35" s="357" t="s">
        <v>423</v>
      </c>
      <c r="E35" s="358" t="b">
        <v>1</v>
      </c>
      <c r="F35" s="274"/>
      <c r="G35" s="274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C35" s="274"/>
      <c r="AD35" s="274"/>
      <c r="AE35" s="274"/>
    </row>
    <row r="36" spans="1:31" ht="12" thickBot="1">
      <c r="B36" s="359"/>
      <c r="C36" s="79"/>
      <c r="D36" s="274"/>
      <c r="E36" s="274"/>
      <c r="F36" s="274"/>
      <c r="G36" s="274"/>
      <c r="H36" s="274"/>
      <c r="I36" s="274"/>
      <c r="J36" s="274"/>
      <c r="K36" s="274"/>
      <c r="L36" s="274"/>
      <c r="M36" s="274"/>
      <c r="N36" s="274"/>
      <c r="O36" s="274"/>
      <c r="P36" s="274"/>
      <c r="Q36" s="274"/>
      <c r="R36" s="274"/>
      <c r="S36" s="274"/>
      <c r="T36" s="274"/>
      <c r="U36" s="274"/>
      <c r="V36" s="274"/>
      <c r="W36" s="274"/>
      <c r="X36" s="274"/>
      <c r="Y36" s="274"/>
      <c r="Z36" s="274"/>
      <c r="AA36" s="274"/>
      <c r="AB36" s="274"/>
      <c r="AC36" s="274"/>
      <c r="AD36" s="274"/>
      <c r="AE36" s="274"/>
    </row>
    <row r="37" spans="1:31" ht="13.5" customHeight="1" thickBot="1">
      <c r="B37" s="359"/>
      <c r="C37" s="635" t="s">
        <v>480</v>
      </c>
      <c r="D37" s="636"/>
      <c r="E37" s="637" t="s">
        <v>489</v>
      </c>
      <c r="F37" s="637"/>
      <c r="G37" s="637"/>
      <c r="H37" s="637"/>
      <c r="I37" s="637"/>
      <c r="J37" s="637"/>
      <c r="K37" s="637"/>
      <c r="L37" s="637"/>
      <c r="M37" s="637"/>
      <c r="N37" s="636"/>
      <c r="O37" s="274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C37" s="274"/>
      <c r="AD37" s="274"/>
      <c r="AE37" s="274"/>
    </row>
    <row r="38" spans="1:31" ht="12" thickBot="1">
      <c r="B38" s="286"/>
      <c r="C38" s="360" t="s">
        <v>434</v>
      </c>
      <c r="D38" s="361" t="s">
        <v>490</v>
      </c>
      <c r="E38" s="275">
        <v>1</v>
      </c>
      <c r="F38" s="275">
        <f t="shared" ref="F38:N38" si="2">E38+1</f>
        <v>2</v>
      </c>
      <c r="G38" s="275">
        <f t="shared" si="2"/>
        <v>3</v>
      </c>
      <c r="H38" s="275">
        <f t="shared" si="2"/>
        <v>4</v>
      </c>
      <c r="I38" s="275">
        <f t="shared" si="2"/>
        <v>5</v>
      </c>
      <c r="J38" s="275">
        <f t="shared" si="2"/>
        <v>6</v>
      </c>
      <c r="K38" s="275">
        <f t="shared" si="2"/>
        <v>7</v>
      </c>
      <c r="L38" s="275">
        <f t="shared" si="2"/>
        <v>8</v>
      </c>
      <c r="M38" s="275">
        <f t="shared" si="2"/>
        <v>9</v>
      </c>
      <c r="N38" s="362">
        <f t="shared" si="2"/>
        <v>10</v>
      </c>
      <c r="O38" s="274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C38" s="274"/>
      <c r="AD38" s="274"/>
      <c r="AE38" s="274"/>
    </row>
    <row r="39" spans="1:31" ht="12" thickBot="1">
      <c r="A39" s="79"/>
      <c r="B39" s="360" t="s">
        <v>491</v>
      </c>
      <c r="C39" s="363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4" t="e">
        <f ca="1"/>
        <v>#NAME?</v>
      </c>
      <c r="E39" s="365" t="e">
        <f ca="1"/>
        <v>#NAME?</v>
      </c>
      <c r="F39" s="365" t="e">
        <f ca="1"/>
        <v>#NAME?</v>
      </c>
      <c r="G39" s="365" t="e">
        <f ca="1"/>
        <v>#NAME?</v>
      </c>
      <c r="H39" s="365" t="e">
        <f ca="1"/>
        <v>#NAME?</v>
      </c>
      <c r="I39" s="365" t="e">
        <f ca="1"/>
        <v>#NAME?</v>
      </c>
      <c r="J39" s="365" t="e">
        <f ca="1"/>
        <v>#NAME?</v>
      </c>
      <c r="K39" s="365" t="e">
        <f ca="1"/>
        <v>#NAME?</v>
      </c>
      <c r="L39" s="365" t="e">
        <f ca="1"/>
        <v>#NAME?</v>
      </c>
      <c r="M39" s="365" t="e">
        <f ca="1"/>
        <v>#NAME?</v>
      </c>
      <c r="N39" s="366" t="e">
        <f ca="1"/>
        <v>#NAME?</v>
      </c>
      <c r="O39" s="274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C39" s="274"/>
      <c r="AD39" s="274"/>
      <c r="AE39" s="274"/>
    </row>
    <row r="40" spans="1:31" ht="12" thickBot="1">
      <c r="B40" s="360" t="s">
        <v>492</v>
      </c>
      <c r="C40" s="367" t="e">
        <f ca="1"/>
        <v>#NAME?</v>
      </c>
      <c r="D40" s="368" t="e">
        <f ca="1"/>
        <v>#NAME?</v>
      </c>
      <c r="E40" s="369" t="e">
        <f ca="1"/>
        <v>#NAME?</v>
      </c>
      <c r="F40" s="369" t="e">
        <f ca="1"/>
        <v>#NAME?</v>
      </c>
      <c r="G40" s="369" t="e">
        <f ca="1"/>
        <v>#NAME?</v>
      </c>
      <c r="H40" s="369" t="e">
        <f ca="1"/>
        <v>#NAME?</v>
      </c>
      <c r="I40" s="369" t="e">
        <f ca="1"/>
        <v>#NAME?</v>
      </c>
      <c r="J40" s="369" t="e">
        <f ca="1"/>
        <v>#NAME?</v>
      </c>
      <c r="K40" s="369" t="e">
        <f ca="1"/>
        <v>#NAME?</v>
      </c>
      <c r="L40" s="369" t="e">
        <f ca="1"/>
        <v>#NAME?</v>
      </c>
      <c r="M40" s="369" t="e">
        <f ca="1"/>
        <v>#NAME?</v>
      </c>
      <c r="N40" s="370" t="e">
        <f ca="1"/>
        <v>#NAME?</v>
      </c>
      <c r="O40" s="274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C40" s="274"/>
      <c r="AD40" s="274"/>
      <c r="AE40" s="274"/>
    </row>
    <row r="41" spans="1:31">
      <c r="C41" s="371"/>
      <c r="D41" s="372" t="e" cm="1">
        <f t="array" aca="1" ref="D41" ca="1">GetTest2(E21:N23)</f>
        <v>#NAME?</v>
      </c>
      <c r="E41" s="372"/>
      <c r="F41" s="373"/>
      <c r="G41" s="372"/>
      <c r="H41" s="373"/>
      <c r="I41" s="371"/>
      <c r="J41" s="373"/>
      <c r="K41" s="371"/>
      <c r="L41" s="373"/>
      <c r="M41" s="371"/>
      <c r="N41" s="371"/>
      <c r="O41" s="274"/>
      <c r="P41" s="638"/>
      <c r="Q41" s="638"/>
      <c r="R41" s="638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C41" s="274"/>
      <c r="AD41" s="274"/>
      <c r="AE41" s="274"/>
    </row>
    <row r="42" spans="1:31">
      <c r="B42" s="274" t="e" cm="1">
        <f t="array" aca="1" ref="B42" ca="1">GetTest2(E21:N23,C21,C22,C26,D46:N345,Parameter_Date,C5,C11)</f>
        <v>#NAME?</v>
      </c>
      <c r="D42" s="372"/>
      <c r="E42" s="372"/>
      <c r="F42" s="373"/>
      <c r="G42" s="372"/>
      <c r="H42" s="373"/>
      <c r="I42" s="371"/>
      <c r="J42" s="373"/>
      <c r="K42" s="371"/>
      <c r="L42" s="373"/>
      <c r="M42" s="371"/>
      <c r="N42" s="371"/>
      <c r="O42" s="274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C42" s="274"/>
      <c r="AD42" s="274"/>
      <c r="AE42" s="274"/>
    </row>
    <row r="43" spans="1:31" ht="12" thickBot="1">
      <c r="D43" s="274"/>
      <c r="E43" s="3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</row>
    <row r="44" spans="1:31" ht="12" thickBot="1">
      <c r="C44" s="325"/>
      <c r="D44" s="375"/>
      <c r="E44" s="635" t="s">
        <v>493</v>
      </c>
      <c r="F44" s="637"/>
      <c r="G44" s="637"/>
      <c r="H44" s="637"/>
      <c r="I44" s="637"/>
      <c r="J44" s="637"/>
      <c r="K44" s="637"/>
      <c r="L44" s="637"/>
      <c r="M44" s="637"/>
      <c r="N44" s="636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274"/>
      <c r="AE44" s="274"/>
    </row>
    <row r="45" spans="1:31" ht="12" thickBot="1">
      <c r="B45" s="305" t="s">
        <v>494</v>
      </c>
      <c r="C45" s="302" t="s">
        <v>495</v>
      </c>
      <c r="D45" s="360" t="s">
        <v>474</v>
      </c>
      <c r="E45" s="376">
        <v>1</v>
      </c>
      <c r="F45" s="377">
        <f t="shared" ref="F45:N45" si="3">E45+1</f>
        <v>2</v>
      </c>
      <c r="G45" s="377">
        <f t="shared" si="3"/>
        <v>3</v>
      </c>
      <c r="H45" s="377">
        <f t="shared" si="3"/>
        <v>4</v>
      </c>
      <c r="I45" s="377">
        <f t="shared" si="3"/>
        <v>5</v>
      </c>
      <c r="J45" s="377">
        <f t="shared" si="3"/>
        <v>6</v>
      </c>
      <c r="K45" s="377">
        <f t="shared" si="3"/>
        <v>7</v>
      </c>
      <c r="L45" s="377">
        <f t="shared" si="3"/>
        <v>8</v>
      </c>
      <c r="M45" s="377">
        <f t="shared" si="3"/>
        <v>9</v>
      </c>
      <c r="N45" s="378">
        <f t="shared" si="3"/>
        <v>10</v>
      </c>
      <c r="O45" s="274"/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C45" s="274"/>
      <c r="AD45" s="274"/>
      <c r="AE45" s="274"/>
    </row>
    <row r="46" spans="1:31" ht="15">
      <c r="B46" s="379">
        <v>1</v>
      </c>
      <c r="C46" s="387" t="str" cm="1">
        <f t="array" aca="1" ref="C46" ca="1">IF(B46&lt;=$C$9,GetGetCDSName(B46),"")</f>
        <v>ABNAMRO_MMR.EUR.SU</v>
      </c>
      <c r="D46" s="347">
        <v>0</v>
      </c>
      <c r="E46" s="380">
        <v>0</v>
      </c>
      <c r="F46" s="299">
        <v>0</v>
      </c>
      <c r="G46" s="299">
        <v>1</v>
      </c>
      <c r="H46" s="299">
        <v>0</v>
      </c>
      <c r="I46" s="299">
        <v>0</v>
      </c>
      <c r="J46" s="299">
        <v>0</v>
      </c>
      <c r="K46" s="299"/>
      <c r="L46" s="299"/>
      <c r="M46" s="299"/>
      <c r="N46" s="381"/>
      <c r="O46" s="274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C46" s="274"/>
      <c r="AD46" s="274"/>
      <c r="AE46" s="274"/>
    </row>
    <row r="47" spans="1:31" ht="15">
      <c r="B47" s="379">
        <f t="shared" ref="B47:B110" si="4">B46+1</f>
        <v>2</v>
      </c>
      <c r="C47" s="387" t="str" cm="1">
        <f t="array" aca="1" ref="C47" ca="1">IF(B47&lt;=$C$9,GetGetCDSName(B47),"")</f>
        <v>ACCOR_MMR.EUR.SU</v>
      </c>
      <c r="D47" s="347">
        <v>0</v>
      </c>
      <c r="E47" s="380">
        <v>0</v>
      </c>
      <c r="F47" s="299">
        <v>0</v>
      </c>
      <c r="G47" s="299">
        <v>0</v>
      </c>
      <c r="H47" s="299">
        <v>0</v>
      </c>
      <c r="I47" s="299">
        <v>1</v>
      </c>
      <c r="J47" s="299">
        <v>1</v>
      </c>
      <c r="K47" s="299"/>
      <c r="L47" s="299"/>
      <c r="M47" s="299"/>
      <c r="N47" s="381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C47" s="274"/>
      <c r="AD47" s="274"/>
      <c r="AE47" s="274"/>
    </row>
    <row r="48" spans="1:31" ht="15">
      <c r="B48" s="379">
        <f t="shared" si="4"/>
        <v>3</v>
      </c>
      <c r="C48" s="387" t="str" cm="1">
        <f t="array" aca="1" ref="C48" ca="1">IF(B48&lt;=$C$9,GetGetCDSName(B48),"")</f>
        <v>ADECCO_MMR.EUR.SU</v>
      </c>
      <c r="D48" s="347">
        <v>0</v>
      </c>
      <c r="E48" s="380">
        <v>0</v>
      </c>
      <c r="F48" s="299">
        <v>0</v>
      </c>
      <c r="G48" s="299">
        <v>1</v>
      </c>
      <c r="H48" s="299">
        <v>0</v>
      </c>
      <c r="I48" s="299">
        <v>1</v>
      </c>
      <c r="J48" s="299">
        <v>0</v>
      </c>
      <c r="K48" s="299"/>
      <c r="L48" s="299"/>
      <c r="M48" s="299"/>
      <c r="N48" s="381"/>
      <c r="O48" s="274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C48" s="274"/>
      <c r="AD48" s="274"/>
      <c r="AE48" s="274"/>
    </row>
    <row r="49" spans="2:31" ht="15">
      <c r="B49" s="379">
        <f t="shared" si="4"/>
        <v>4</v>
      </c>
      <c r="C49" s="387" t="str" cm="1">
        <f t="array" aca="1" ref="C49" ca="1">IF(B49&lt;=$C$9,GetGetCDSName(B49),"")</f>
        <v>AEGON_MMR.EUR.SU</v>
      </c>
      <c r="D49" s="347">
        <v>0</v>
      </c>
      <c r="E49" s="380">
        <v>0</v>
      </c>
      <c r="F49" s="299">
        <v>0</v>
      </c>
      <c r="G49" s="299">
        <v>0</v>
      </c>
      <c r="H49" s="299">
        <v>0</v>
      </c>
      <c r="I49" s="299">
        <v>0</v>
      </c>
      <c r="J49" s="299">
        <v>1</v>
      </c>
      <c r="K49" s="299"/>
      <c r="L49" s="299"/>
      <c r="M49" s="299"/>
      <c r="N49" s="381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 ht="15">
      <c r="B50" s="379">
        <f t="shared" si="4"/>
        <v>5</v>
      </c>
      <c r="C50" s="387" t="str" cm="1">
        <f t="array" aca="1" ref="C50" ca="1">IF(B50&lt;=$C$9,GetGetCDSName(B50),"")</f>
        <v>AKZONOBEL_MMR.EUR.SU</v>
      </c>
      <c r="D50" s="347">
        <v>0</v>
      </c>
      <c r="E50" s="380">
        <v>0</v>
      </c>
      <c r="F50" s="299">
        <v>0</v>
      </c>
      <c r="G50" s="299">
        <v>0</v>
      </c>
      <c r="H50" s="299">
        <v>1</v>
      </c>
      <c r="I50" s="299">
        <v>0</v>
      </c>
      <c r="J50" s="299">
        <v>0</v>
      </c>
      <c r="K50" s="299"/>
      <c r="L50" s="299"/>
      <c r="M50" s="299"/>
      <c r="N50" s="381"/>
      <c r="O50" s="274"/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C50" s="274"/>
      <c r="AD50" s="274"/>
      <c r="AE50" s="274"/>
    </row>
    <row r="51" spans="2:31" ht="15">
      <c r="B51" s="379">
        <f t="shared" si="4"/>
        <v>6</v>
      </c>
      <c r="C51" s="387" t="str" cm="1">
        <f t="array" aca="1" ref="C51" ca="1">IF(B51&lt;=$C$9,GetGetCDSName(B51),"")</f>
        <v>ALLIANZ_MMR.EUR.SU</v>
      </c>
      <c r="D51" s="347">
        <v>0</v>
      </c>
      <c r="E51" s="380">
        <v>1</v>
      </c>
      <c r="F51" s="299">
        <v>1</v>
      </c>
      <c r="G51" s="299">
        <v>0</v>
      </c>
      <c r="H51" s="299">
        <v>0</v>
      </c>
      <c r="I51" s="299">
        <v>0</v>
      </c>
      <c r="J51" s="299">
        <v>1</v>
      </c>
      <c r="K51" s="299"/>
      <c r="L51" s="299"/>
      <c r="M51" s="299"/>
      <c r="N51" s="381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C51" s="274"/>
      <c r="AD51" s="274"/>
      <c r="AE51" s="274"/>
    </row>
    <row r="52" spans="2:31" ht="15">
      <c r="B52" s="379">
        <f t="shared" si="4"/>
        <v>7</v>
      </c>
      <c r="C52" s="387" t="str" cm="1">
        <f t="array" aca="1" ref="C52" ca="1">IF(B52&lt;=$C$9,GetGetCDSName(B52),"")</f>
        <v>ALTADIS_MMR.EUR.SU</v>
      </c>
      <c r="D52" s="347">
        <v>0</v>
      </c>
      <c r="E52" s="380">
        <v>0</v>
      </c>
      <c r="F52" s="299">
        <v>0</v>
      </c>
      <c r="G52" s="299">
        <v>1</v>
      </c>
      <c r="H52" s="299">
        <v>1</v>
      </c>
      <c r="I52" s="299">
        <v>1</v>
      </c>
      <c r="J52" s="299">
        <v>0</v>
      </c>
      <c r="K52" s="299"/>
      <c r="L52" s="299"/>
      <c r="M52" s="299"/>
      <c r="N52" s="381"/>
      <c r="O52" s="274"/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  <c r="AB52" s="274"/>
      <c r="AC52" s="274"/>
      <c r="AD52" s="274"/>
      <c r="AE52" s="274"/>
    </row>
    <row r="53" spans="2:31" ht="15">
      <c r="B53" s="379">
        <f t="shared" si="4"/>
        <v>8</v>
      </c>
      <c r="C53" s="387" t="str" cm="1">
        <f t="array" aca="1" ref="C53" ca="1">IF(B53&lt;=$C$9,GetGetCDSName(B53),"")</f>
        <v>ARCELORFINANCESCA_MMR.EUR.SU</v>
      </c>
      <c r="D53" s="347">
        <v>0</v>
      </c>
      <c r="E53" s="380">
        <v>1</v>
      </c>
      <c r="F53" s="299">
        <v>1</v>
      </c>
      <c r="G53" s="299">
        <v>0</v>
      </c>
      <c r="H53" s="299">
        <v>0</v>
      </c>
      <c r="I53" s="299">
        <v>1</v>
      </c>
      <c r="J53" s="299">
        <v>0</v>
      </c>
      <c r="K53" s="299"/>
      <c r="L53" s="299"/>
      <c r="M53" s="299"/>
      <c r="N53" s="381"/>
      <c r="O53" s="274"/>
      <c r="P53" s="274"/>
      <c r="Q53" s="274"/>
      <c r="R53" s="274"/>
      <c r="S53" s="274"/>
      <c r="T53" s="274"/>
      <c r="U53" s="274"/>
      <c r="V53" s="274"/>
      <c r="W53" s="274"/>
      <c r="X53" s="274"/>
      <c r="Y53" s="274"/>
      <c r="Z53" s="274"/>
      <c r="AA53" s="274"/>
      <c r="AB53" s="274"/>
      <c r="AC53" s="274"/>
      <c r="AD53" s="274"/>
      <c r="AE53" s="274"/>
    </row>
    <row r="54" spans="2:31" ht="15">
      <c r="B54" s="379">
        <f t="shared" si="4"/>
        <v>9</v>
      </c>
      <c r="C54" s="387" t="str" cm="1">
        <f t="array" aca="1" ref="C54" ca="1">IF(B54&lt;=$C$9,GetGetCDSName(B54),"")</f>
        <v>AUCHAN_MMR.EUR.SU</v>
      </c>
      <c r="D54" s="347">
        <v>0</v>
      </c>
      <c r="E54" s="380">
        <v>0</v>
      </c>
      <c r="F54" s="299">
        <v>0</v>
      </c>
      <c r="G54" s="299">
        <v>0</v>
      </c>
      <c r="H54" s="299">
        <v>0</v>
      </c>
      <c r="I54" s="299">
        <v>0</v>
      </c>
      <c r="J54" s="299">
        <v>1</v>
      </c>
      <c r="K54" s="299"/>
      <c r="L54" s="299"/>
      <c r="M54" s="299"/>
      <c r="N54" s="381"/>
      <c r="O54" s="274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C54" s="274"/>
      <c r="AD54" s="274"/>
      <c r="AE54" s="274"/>
    </row>
    <row r="55" spans="2:31" ht="15">
      <c r="B55" s="379">
        <f t="shared" si="4"/>
        <v>10</v>
      </c>
      <c r="C55" s="387" t="str" cm="1">
        <f t="array" aca="1" ref="C55" ca="1">IF(B55&lt;=$C$9,GetGetCDSName(B55),"")</f>
        <v>AVIVA_MMR.EUR.SU</v>
      </c>
      <c r="D55" s="347">
        <v>0</v>
      </c>
      <c r="E55" s="380">
        <v>0</v>
      </c>
      <c r="F55" s="299">
        <v>0</v>
      </c>
      <c r="G55" s="299">
        <v>1</v>
      </c>
      <c r="H55" s="299">
        <v>1</v>
      </c>
      <c r="I55" s="299">
        <v>0</v>
      </c>
      <c r="J55" s="299">
        <v>0</v>
      </c>
      <c r="K55" s="299"/>
      <c r="L55" s="299"/>
      <c r="M55" s="299"/>
      <c r="N55" s="381"/>
      <c r="O55" s="274"/>
      <c r="P55" s="274"/>
      <c r="Q55" s="274"/>
      <c r="R55" s="274"/>
      <c r="S55" s="274"/>
      <c r="T55" s="274"/>
      <c r="U55" s="274"/>
      <c r="V55" s="274"/>
      <c r="W55" s="274"/>
      <c r="X55" s="274"/>
      <c r="Y55" s="274"/>
      <c r="Z55" s="274"/>
      <c r="AA55" s="274"/>
      <c r="AB55" s="274"/>
      <c r="AC55" s="274"/>
      <c r="AD55" s="274"/>
      <c r="AE55" s="274"/>
    </row>
    <row r="56" spans="2:31" ht="15">
      <c r="B56" s="379">
        <f t="shared" si="4"/>
        <v>11</v>
      </c>
      <c r="C56" s="387" t="str" cm="1">
        <f t="array" aca="1" ref="C56" ca="1">IF(B56&lt;=$C$9,GetGetCDSName(B56),"")</f>
        <v>AXA_MMR.EUR.SU</v>
      </c>
      <c r="D56" s="347">
        <v>0</v>
      </c>
      <c r="E56" s="380">
        <v>1</v>
      </c>
      <c r="F56" s="299">
        <v>0</v>
      </c>
      <c r="G56" s="299">
        <v>0</v>
      </c>
      <c r="H56" s="299">
        <v>0</v>
      </c>
      <c r="I56" s="299">
        <v>0</v>
      </c>
      <c r="J56" s="299">
        <v>0</v>
      </c>
      <c r="K56" s="299"/>
      <c r="L56" s="299"/>
      <c r="M56" s="299"/>
      <c r="N56" s="381"/>
      <c r="O56" s="274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C56" s="274"/>
      <c r="AD56" s="274"/>
      <c r="AE56" s="274"/>
    </row>
    <row r="57" spans="2:31" ht="15">
      <c r="B57" s="379">
        <f t="shared" si="4"/>
        <v>12</v>
      </c>
      <c r="C57" s="387" t="str" cm="1">
        <f t="array" aca="1" ref="C57" ca="1">IF(B57&lt;=$C$9,GetGetCDSName(B57),"")</f>
        <v>BANCOESPIRITOSANTO_MMR.EUR.SU</v>
      </c>
      <c r="D57" s="347">
        <v>0</v>
      </c>
      <c r="E57" s="380">
        <v>0</v>
      </c>
      <c r="F57" s="299">
        <v>1</v>
      </c>
      <c r="G57" s="299">
        <v>0</v>
      </c>
      <c r="H57" s="299">
        <v>0</v>
      </c>
      <c r="I57" s="299">
        <v>0</v>
      </c>
      <c r="J57" s="299">
        <v>0</v>
      </c>
      <c r="K57" s="299"/>
      <c r="L57" s="299"/>
      <c r="M57" s="299"/>
      <c r="N57" s="381"/>
      <c r="O57" s="274"/>
      <c r="P57" s="274"/>
      <c r="Q57" s="274"/>
      <c r="R57" s="274"/>
      <c r="S57" s="274"/>
      <c r="T57" s="274"/>
      <c r="U57" s="274"/>
      <c r="V57" s="274"/>
      <c r="W57" s="274"/>
      <c r="X57" s="274"/>
      <c r="Y57" s="274"/>
      <c r="Z57" s="274"/>
      <c r="AA57" s="274"/>
      <c r="AB57" s="274"/>
      <c r="AC57" s="274"/>
      <c r="AD57" s="274"/>
      <c r="AE57" s="274"/>
    </row>
    <row r="58" spans="2:31" ht="15">
      <c r="B58" s="379">
        <f t="shared" si="4"/>
        <v>13</v>
      </c>
      <c r="C58" s="387" t="str" cm="1">
        <f t="array" aca="1" ref="C58" ca="1">IF(B58&lt;=$C$9,GetGetCDSName(B58),"")</f>
        <v>BARCLAYS_MMR.EUR.SU</v>
      </c>
      <c r="D58" s="347">
        <v>0</v>
      </c>
      <c r="E58" s="380">
        <v>0</v>
      </c>
      <c r="F58" s="299">
        <v>0</v>
      </c>
      <c r="G58" s="299">
        <v>0</v>
      </c>
      <c r="H58" s="299">
        <v>1</v>
      </c>
      <c r="I58" s="299">
        <v>0</v>
      </c>
      <c r="J58" s="299">
        <v>0</v>
      </c>
      <c r="K58" s="299"/>
      <c r="L58" s="299"/>
      <c r="M58" s="299"/>
      <c r="N58" s="381"/>
      <c r="O58" s="274"/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C58" s="274"/>
      <c r="AD58" s="274"/>
      <c r="AE58" s="274"/>
    </row>
    <row r="59" spans="2:31" ht="15">
      <c r="B59" s="379">
        <f t="shared" si="4"/>
        <v>14</v>
      </c>
      <c r="C59" s="387" t="str" cm="1">
        <f t="array" aca="1" ref="C59" ca="1">IF(B59&lt;=$C$9,GetGetCDSName(B59),"")</f>
        <v>BASF_MMR.EUR.SU</v>
      </c>
      <c r="D59" s="347">
        <v>0</v>
      </c>
      <c r="E59" s="380">
        <v>0</v>
      </c>
      <c r="F59" s="299">
        <v>0</v>
      </c>
      <c r="G59" s="299">
        <v>0</v>
      </c>
      <c r="H59" s="299">
        <v>1</v>
      </c>
      <c r="I59" s="299">
        <v>1</v>
      </c>
      <c r="J59" s="299">
        <v>0</v>
      </c>
      <c r="K59" s="299"/>
      <c r="L59" s="299"/>
      <c r="M59" s="299"/>
      <c r="N59" s="381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 ht="15">
      <c r="B60" s="379">
        <f t="shared" si="4"/>
        <v>15</v>
      </c>
      <c r="C60" s="387" t="str" cm="1">
        <f t="array" aca="1" ref="C60" ca="1">IF(B60&lt;=$C$9,GetGetCDSName(B60),"")</f>
        <v>BAT_MMR.EUR.SU</v>
      </c>
      <c r="D60" s="347">
        <v>0</v>
      </c>
      <c r="E60" s="380">
        <v>1</v>
      </c>
      <c r="F60" s="299">
        <v>0</v>
      </c>
      <c r="G60" s="299">
        <v>0</v>
      </c>
      <c r="H60" s="299">
        <v>1</v>
      </c>
      <c r="I60" s="299">
        <v>1</v>
      </c>
      <c r="J60" s="299">
        <v>0</v>
      </c>
      <c r="K60" s="299"/>
      <c r="L60" s="299"/>
      <c r="M60" s="299"/>
      <c r="N60" s="381"/>
      <c r="O60" s="274"/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C60" s="274"/>
      <c r="AD60" s="274"/>
      <c r="AE60" s="274"/>
    </row>
    <row r="61" spans="2:31" ht="15">
      <c r="B61" s="379">
        <f t="shared" si="4"/>
        <v>16</v>
      </c>
      <c r="C61" s="387" t="str" cm="1">
        <f t="array" aca="1" ref="C61" ca="1">IF(B61&lt;=$C$9,GetGetCDSName(B61),"")</f>
        <v>BAYER_MMR.EUR.SU</v>
      </c>
      <c r="D61" s="347">
        <v>0</v>
      </c>
      <c r="E61" s="380">
        <v>0</v>
      </c>
      <c r="F61" s="299">
        <v>0</v>
      </c>
      <c r="G61" s="299">
        <v>0</v>
      </c>
      <c r="H61" s="299">
        <v>0</v>
      </c>
      <c r="I61" s="299">
        <v>1</v>
      </c>
      <c r="J61" s="299">
        <v>0</v>
      </c>
      <c r="K61" s="299"/>
      <c r="L61" s="299"/>
      <c r="M61" s="299"/>
      <c r="N61" s="381"/>
      <c r="O61" s="274"/>
      <c r="P61" s="274"/>
      <c r="Q61" s="274"/>
      <c r="R61" s="274"/>
      <c r="S61" s="274"/>
      <c r="T61" s="274"/>
      <c r="U61" s="274"/>
      <c r="V61" s="274"/>
      <c r="W61" s="274"/>
      <c r="X61" s="274"/>
      <c r="Y61" s="274"/>
      <c r="Z61" s="274"/>
      <c r="AA61" s="274"/>
      <c r="AB61" s="274"/>
      <c r="AC61" s="274"/>
      <c r="AD61" s="274"/>
      <c r="AE61" s="274"/>
    </row>
    <row r="62" spans="2:31" ht="15">
      <c r="B62" s="379">
        <f t="shared" si="4"/>
        <v>17</v>
      </c>
      <c r="C62" s="387" t="str" cm="1">
        <f t="array" aca="1" ref="C62" ca="1">IF(B62&lt;=$C$9,GetGetCDSName(B62),"")</f>
        <v>BBVA_MMR.EUR.SU</v>
      </c>
      <c r="D62" s="347">
        <v>0</v>
      </c>
      <c r="E62" s="380">
        <v>1</v>
      </c>
      <c r="F62" s="299">
        <v>0</v>
      </c>
      <c r="G62" s="299">
        <v>0</v>
      </c>
      <c r="H62" s="299">
        <v>0</v>
      </c>
      <c r="I62" s="299">
        <v>0</v>
      </c>
      <c r="J62" s="299">
        <v>0</v>
      </c>
      <c r="K62" s="299"/>
      <c r="L62" s="299"/>
      <c r="M62" s="299"/>
      <c r="N62" s="381"/>
      <c r="O62" s="274"/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C62" s="274"/>
      <c r="AD62" s="274"/>
      <c r="AE62" s="274"/>
    </row>
    <row r="63" spans="2:31" ht="15">
      <c r="B63" s="379">
        <f t="shared" si="4"/>
        <v>18</v>
      </c>
      <c r="C63" s="387" t="str" cm="1">
        <f t="array" aca="1" ref="C63" ca="1">IF(B63&lt;=$C$9,GetGetCDSName(B63),"")</f>
        <v>BERTELSMANNAG_MMR.EUR.SU</v>
      </c>
      <c r="D63" s="347">
        <v>0</v>
      </c>
      <c r="E63" s="380">
        <v>0</v>
      </c>
      <c r="F63" s="299">
        <v>1</v>
      </c>
      <c r="G63" s="299">
        <v>0</v>
      </c>
      <c r="H63" s="299">
        <v>0</v>
      </c>
      <c r="I63" s="299">
        <v>0</v>
      </c>
      <c r="J63" s="299">
        <v>0</v>
      </c>
      <c r="K63" s="299"/>
      <c r="L63" s="299"/>
      <c r="M63" s="299"/>
      <c r="N63" s="381"/>
      <c r="O63" s="274"/>
      <c r="P63" s="274"/>
      <c r="Q63" s="274"/>
      <c r="R63" s="274"/>
      <c r="S63" s="274"/>
      <c r="T63" s="274"/>
      <c r="U63" s="274"/>
      <c r="V63" s="274"/>
      <c r="W63" s="274"/>
      <c r="X63" s="274"/>
      <c r="Y63" s="274"/>
      <c r="Z63" s="274"/>
      <c r="AA63" s="274"/>
      <c r="AB63" s="274"/>
      <c r="AC63" s="274"/>
      <c r="AD63" s="274"/>
      <c r="AE63" s="274"/>
    </row>
    <row r="64" spans="2:31" ht="15">
      <c r="B64" s="379">
        <f t="shared" si="4"/>
        <v>19</v>
      </c>
      <c r="C64" s="387" t="str" cm="1">
        <f t="array" aca="1" ref="C64" ca="1">IF(B64&lt;=$C$9,GetGetCDSName(B64),"")</f>
        <v>BMW_MMR.EUR.SU</v>
      </c>
      <c r="D64" s="347">
        <v>0</v>
      </c>
      <c r="E64" s="380">
        <v>0</v>
      </c>
      <c r="F64" s="299">
        <v>0</v>
      </c>
      <c r="G64" s="299">
        <v>1</v>
      </c>
      <c r="H64" s="299">
        <v>0</v>
      </c>
      <c r="I64" s="299">
        <v>0</v>
      </c>
      <c r="J64" s="299">
        <v>0</v>
      </c>
      <c r="K64" s="299"/>
      <c r="L64" s="299"/>
      <c r="M64" s="299"/>
      <c r="N64" s="381"/>
      <c r="O64" s="274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C64" s="274"/>
      <c r="AD64" s="274"/>
      <c r="AE64" s="274"/>
    </row>
    <row r="65" spans="2:31" ht="15">
      <c r="B65" s="379">
        <f t="shared" si="4"/>
        <v>20</v>
      </c>
      <c r="C65" s="387" t="str" cm="1">
        <f t="array" aca="1" ref="C65" ca="1">IF(B65&lt;=$C$9,GetGetCDSName(B65),"")</f>
        <v>BNPPARIBAS_MMR.EUR.SU</v>
      </c>
      <c r="D65" s="347">
        <v>0</v>
      </c>
      <c r="E65" s="380">
        <v>1</v>
      </c>
      <c r="F65" s="299">
        <v>0</v>
      </c>
      <c r="G65" s="299">
        <v>1</v>
      </c>
      <c r="H65" s="299">
        <v>1</v>
      </c>
      <c r="I65" s="299">
        <v>0</v>
      </c>
      <c r="J65" s="299">
        <v>0</v>
      </c>
      <c r="K65" s="299"/>
      <c r="L65" s="299"/>
      <c r="M65" s="299"/>
      <c r="N65" s="381"/>
      <c r="O65" s="274"/>
      <c r="P65" s="274"/>
      <c r="Q65" s="274"/>
      <c r="R65" s="274"/>
      <c r="S65" s="274"/>
      <c r="T65" s="274"/>
      <c r="U65" s="274"/>
      <c r="V65" s="274"/>
      <c r="W65" s="274"/>
      <c r="X65" s="274"/>
      <c r="Y65" s="274"/>
      <c r="Z65" s="274"/>
      <c r="AA65" s="274"/>
      <c r="AB65" s="274"/>
      <c r="AC65" s="274"/>
      <c r="AD65" s="274"/>
      <c r="AE65" s="274"/>
    </row>
    <row r="66" spans="2:31" ht="15">
      <c r="B66" s="379">
        <f t="shared" si="4"/>
        <v>21</v>
      </c>
      <c r="C66" s="387" t="str" cm="1">
        <f t="array" aca="1" ref="C66" ca="1">IF(B66&lt;=$C$9,GetGetCDSName(B66),"")</f>
        <v>BRITISHTELECOM_MMR.EUR.SU</v>
      </c>
      <c r="D66" s="347">
        <v>0</v>
      </c>
      <c r="E66" s="380">
        <v>0</v>
      </c>
      <c r="F66" s="299">
        <v>1</v>
      </c>
      <c r="G66" s="299">
        <v>1</v>
      </c>
      <c r="H66" s="299">
        <v>0</v>
      </c>
      <c r="I66" s="299">
        <v>0</v>
      </c>
      <c r="J66" s="299">
        <v>1</v>
      </c>
      <c r="K66" s="299"/>
      <c r="L66" s="299"/>
      <c r="M66" s="299"/>
      <c r="N66" s="381"/>
      <c r="O66" s="274"/>
      <c r="P66" s="274"/>
      <c r="Q66" s="274"/>
      <c r="R66" s="274"/>
      <c r="S66" s="274"/>
      <c r="T66" s="274"/>
      <c r="U66" s="274"/>
      <c r="V66" s="274"/>
      <c r="W66" s="274"/>
      <c r="X66" s="274"/>
      <c r="Y66" s="274"/>
      <c r="Z66" s="274"/>
      <c r="AA66" s="274"/>
      <c r="AB66" s="274"/>
      <c r="AC66" s="274"/>
      <c r="AD66" s="274"/>
      <c r="AE66" s="274"/>
    </row>
    <row r="67" spans="2:31" ht="15">
      <c r="B67" s="379">
        <f t="shared" si="4"/>
        <v>22</v>
      </c>
      <c r="C67" s="387" t="str" cm="1">
        <f t="array" aca="1" ref="C67" ca="1">IF(B67&lt;=$C$9,GetGetCDSName(B67),"")</f>
        <v>BSCH_MMR.EUR.SU</v>
      </c>
      <c r="D67" s="347">
        <v>0</v>
      </c>
      <c r="E67" s="380">
        <v>0</v>
      </c>
      <c r="F67" s="299">
        <v>0</v>
      </c>
      <c r="G67" s="299">
        <v>1</v>
      </c>
      <c r="H67" s="299">
        <v>0</v>
      </c>
      <c r="I67" s="299">
        <v>0</v>
      </c>
      <c r="J67" s="299">
        <v>1</v>
      </c>
      <c r="K67" s="299"/>
      <c r="L67" s="299"/>
      <c r="M67" s="299"/>
      <c r="N67" s="381"/>
      <c r="O67" s="274"/>
      <c r="P67" s="274"/>
      <c r="Q67" s="274"/>
      <c r="R67" s="274"/>
      <c r="S67" s="274"/>
      <c r="T67" s="274"/>
      <c r="U67" s="274"/>
      <c r="V67" s="274"/>
      <c r="W67" s="274"/>
      <c r="X67" s="274"/>
      <c r="Y67" s="274"/>
      <c r="Z67" s="274"/>
      <c r="AA67" s="274"/>
      <c r="AB67" s="274"/>
      <c r="AC67" s="274"/>
      <c r="AD67" s="274"/>
      <c r="AE67" s="274"/>
    </row>
    <row r="68" spans="2:31" ht="15">
      <c r="B68" s="379">
        <f t="shared" si="4"/>
        <v>23</v>
      </c>
      <c r="C68" s="387" t="str" cm="1">
        <f t="array" aca="1" ref="C68" ca="1">IF(B68&lt;=$C$9,GetGetCDSName(B68),"")</f>
        <v>CADBURYSCHWEPPES_MMR.EUR.SU</v>
      </c>
      <c r="D68" s="347">
        <v>0</v>
      </c>
      <c r="E68" s="380">
        <v>0</v>
      </c>
      <c r="F68" s="299">
        <v>0</v>
      </c>
      <c r="G68" s="299">
        <v>0</v>
      </c>
      <c r="H68" s="299">
        <v>0</v>
      </c>
      <c r="I68" s="299">
        <v>0</v>
      </c>
      <c r="J68" s="299">
        <v>1</v>
      </c>
      <c r="K68" s="299"/>
      <c r="L68" s="299"/>
      <c r="M68" s="299"/>
      <c r="N68" s="381"/>
      <c r="O68" s="274"/>
      <c r="P68" s="274"/>
      <c r="Q68" s="274"/>
      <c r="R68" s="274"/>
      <c r="S68" s="274"/>
      <c r="T68" s="274"/>
      <c r="U68" s="274"/>
      <c r="V68" s="274"/>
      <c r="W68" s="274"/>
      <c r="X68" s="274"/>
      <c r="Y68" s="274"/>
      <c r="Z68" s="274"/>
      <c r="AA68" s="274"/>
      <c r="AB68" s="274"/>
      <c r="AC68" s="274"/>
      <c r="AD68" s="274"/>
      <c r="AE68" s="274"/>
    </row>
    <row r="69" spans="2:31" ht="15">
      <c r="B69" s="379">
        <f t="shared" si="4"/>
        <v>24</v>
      </c>
      <c r="C69" s="387" t="str" cm="1">
        <f t="array" aca="1" ref="C69" ca="1">IF(B69&lt;=$C$9,GetGetCDSName(B69),"")</f>
        <v>CAPITALIA_MMR.EUR.SU</v>
      </c>
      <c r="D69" s="347">
        <v>0</v>
      </c>
      <c r="E69" s="380">
        <v>0</v>
      </c>
      <c r="F69" s="299">
        <v>1</v>
      </c>
      <c r="G69" s="299">
        <v>1</v>
      </c>
      <c r="H69" s="299">
        <v>0</v>
      </c>
      <c r="I69" s="299">
        <v>0</v>
      </c>
      <c r="J69" s="299">
        <v>0</v>
      </c>
      <c r="K69" s="299"/>
      <c r="L69" s="299"/>
      <c r="M69" s="299"/>
      <c r="N69" s="381"/>
      <c r="O69" s="274"/>
      <c r="P69" s="274"/>
      <c r="Q69" s="274"/>
      <c r="R69" s="274"/>
      <c r="S69" s="274"/>
      <c r="T69" s="274"/>
      <c r="U69" s="274"/>
      <c r="V69" s="274"/>
      <c r="W69" s="274"/>
      <c r="X69" s="274"/>
      <c r="Y69" s="274"/>
      <c r="Z69" s="274"/>
      <c r="AA69" s="274"/>
      <c r="AB69" s="274"/>
      <c r="AC69" s="274"/>
      <c r="AD69" s="274"/>
      <c r="AE69" s="274"/>
    </row>
    <row r="70" spans="2:31" ht="15">
      <c r="B70" s="379">
        <f t="shared" si="4"/>
        <v>25</v>
      </c>
      <c r="C70" s="387" t="str" cm="1">
        <f t="array" aca="1" ref="C70" ca="1">IF(B70&lt;=$C$9,GetGetCDSName(B70),"")</f>
        <v>CARREFOUR_MMR.EUR.SU</v>
      </c>
      <c r="D70" s="347">
        <v>0</v>
      </c>
      <c r="E70" s="380">
        <v>0</v>
      </c>
      <c r="F70" s="299">
        <v>0</v>
      </c>
      <c r="G70" s="299">
        <v>0</v>
      </c>
      <c r="H70" s="299">
        <v>0</v>
      </c>
      <c r="I70" s="299">
        <v>1</v>
      </c>
      <c r="J70" s="299">
        <v>0</v>
      </c>
      <c r="K70" s="299"/>
      <c r="L70" s="299"/>
      <c r="M70" s="299"/>
      <c r="N70" s="381"/>
      <c r="O70" s="274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4"/>
      <c r="AB70" s="274"/>
      <c r="AC70" s="274"/>
      <c r="AD70" s="274"/>
      <c r="AE70" s="274"/>
    </row>
    <row r="71" spans="2:31" ht="15">
      <c r="B71" s="379">
        <f t="shared" si="4"/>
        <v>26</v>
      </c>
      <c r="C71" s="387" t="str" cm="1">
        <f t="array" aca="1" ref="C71" ca="1">IF(B71&lt;=$C$9,GetGetCDSName(B71),"")</f>
        <v>CASINOGUICHARD_MMR.EUR.SU</v>
      </c>
      <c r="D71" s="347">
        <v>0</v>
      </c>
      <c r="E71" s="380">
        <v>1</v>
      </c>
      <c r="F71" s="299">
        <v>0</v>
      </c>
      <c r="G71" s="299">
        <v>0</v>
      </c>
      <c r="H71" s="299">
        <v>0</v>
      </c>
      <c r="I71" s="299">
        <v>1</v>
      </c>
      <c r="J71" s="299">
        <v>1</v>
      </c>
      <c r="K71" s="299"/>
      <c r="L71" s="299"/>
      <c r="M71" s="299"/>
      <c r="N71" s="381"/>
      <c r="O71" s="274"/>
      <c r="P71" s="274"/>
      <c r="Q71" s="274"/>
      <c r="R71" s="274"/>
      <c r="S71" s="274"/>
      <c r="T71" s="274"/>
      <c r="U71" s="274"/>
      <c r="V71" s="274"/>
      <c r="W71" s="274"/>
      <c r="X71" s="274"/>
      <c r="Y71" s="274"/>
      <c r="Z71" s="274"/>
      <c r="AA71" s="274"/>
      <c r="AB71" s="274"/>
      <c r="AC71" s="274"/>
      <c r="AD71" s="274"/>
      <c r="AE71" s="274"/>
    </row>
    <row r="72" spans="2:31" ht="15">
      <c r="B72" s="379">
        <f t="shared" si="4"/>
        <v>27</v>
      </c>
      <c r="C72" s="387" t="str" cm="1">
        <f t="array" aca="1" ref="C72" ca="1">IF(B72&lt;=$C$9,GetGetCDSName(B72),"")</f>
        <v>CENTRICA_MMR.EUR.SU</v>
      </c>
      <c r="D72" s="347">
        <v>0</v>
      </c>
      <c r="E72" s="380">
        <v>0</v>
      </c>
      <c r="F72" s="299">
        <v>1</v>
      </c>
      <c r="G72" s="299">
        <v>0</v>
      </c>
      <c r="H72" s="299">
        <v>1</v>
      </c>
      <c r="I72" s="299">
        <v>0</v>
      </c>
      <c r="J72" s="299">
        <v>0</v>
      </c>
      <c r="K72" s="299"/>
      <c r="L72" s="299"/>
      <c r="M72" s="299"/>
      <c r="N72" s="381"/>
      <c r="O72" s="274"/>
      <c r="P72" s="274"/>
      <c r="Q72" s="274"/>
      <c r="R72" s="274"/>
      <c r="S72" s="274"/>
      <c r="T72" s="274"/>
      <c r="U72" s="274"/>
      <c r="V72" s="274"/>
      <c r="W72" s="274"/>
      <c r="X72" s="274"/>
      <c r="Y72" s="274"/>
      <c r="Z72" s="274"/>
      <c r="AA72" s="274"/>
      <c r="AB72" s="274"/>
      <c r="AC72" s="274"/>
      <c r="AD72" s="274"/>
      <c r="AE72" s="274"/>
    </row>
    <row r="73" spans="2:31" ht="15">
      <c r="B73" s="379">
        <f t="shared" si="4"/>
        <v>28</v>
      </c>
      <c r="C73" s="387" t="str" cm="1">
        <f t="array" aca="1" ref="C73" ca="1">IF(B73&lt;=$C$9,GetGetCDSName(B73),"")</f>
        <v>CIBASC_MMR.EUR.SU</v>
      </c>
      <c r="D73" s="347">
        <v>0</v>
      </c>
      <c r="E73" s="380">
        <v>1</v>
      </c>
      <c r="F73" s="299">
        <v>0</v>
      </c>
      <c r="G73" s="299">
        <v>0</v>
      </c>
      <c r="H73" s="299">
        <v>0</v>
      </c>
      <c r="I73" s="299">
        <v>0</v>
      </c>
      <c r="J73" s="299">
        <v>1</v>
      </c>
      <c r="K73" s="299"/>
      <c r="L73" s="299"/>
      <c r="M73" s="299"/>
      <c r="N73" s="381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</row>
    <row r="74" spans="2:31" ht="15">
      <c r="B74" s="379">
        <f t="shared" si="4"/>
        <v>29</v>
      </c>
      <c r="C74" s="387" t="str" cm="1">
        <f t="array" aca="1" ref="C74" ca="1">IF(B74&lt;=$C$9,GetGetCDSName(B74),"")</f>
        <v>COMMERZBANK_MMR.EUR.SU</v>
      </c>
      <c r="D74" s="347">
        <v>0</v>
      </c>
      <c r="E74" s="380">
        <v>1</v>
      </c>
      <c r="F74" s="299">
        <v>0</v>
      </c>
      <c r="G74" s="299">
        <v>0</v>
      </c>
      <c r="H74" s="299">
        <v>0</v>
      </c>
      <c r="I74" s="299">
        <v>0</v>
      </c>
      <c r="J74" s="299">
        <v>0</v>
      </c>
      <c r="K74" s="299"/>
      <c r="L74" s="299"/>
      <c r="M74" s="299"/>
      <c r="N74" s="381"/>
      <c r="O74" s="274"/>
      <c r="P74" s="274"/>
      <c r="Q74" s="274"/>
      <c r="R74" s="274"/>
      <c r="S74" s="274"/>
      <c r="T74" s="274"/>
      <c r="U74" s="274"/>
      <c r="V74" s="274"/>
      <c r="W74" s="274"/>
      <c r="X74" s="274"/>
      <c r="Y74" s="274"/>
      <c r="Z74" s="274"/>
      <c r="AA74" s="274"/>
      <c r="AB74" s="274"/>
      <c r="AC74" s="274"/>
      <c r="AD74" s="274"/>
      <c r="AE74" s="274"/>
    </row>
    <row r="75" spans="2:31" ht="15">
      <c r="B75" s="379">
        <f t="shared" si="4"/>
        <v>30</v>
      </c>
      <c r="C75" s="387" t="str" cm="1">
        <f t="array" aca="1" ref="C75" ca="1">IF(B75&lt;=$C$9,GetGetCDSName(B75),"")</f>
        <v>COMPASS_MMR.EUR.SU</v>
      </c>
      <c r="D75" s="347">
        <v>0</v>
      </c>
      <c r="E75" s="380">
        <v>0</v>
      </c>
      <c r="F75" s="299">
        <v>1</v>
      </c>
      <c r="G75" s="299">
        <v>0</v>
      </c>
      <c r="H75" s="299">
        <v>0</v>
      </c>
      <c r="I75" s="299">
        <v>1</v>
      </c>
      <c r="J75" s="299">
        <v>1</v>
      </c>
      <c r="K75" s="299"/>
      <c r="L75" s="299"/>
      <c r="M75" s="299"/>
      <c r="N75" s="381"/>
      <c r="O75" s="274"/>
      <c r="P75" s="274"/>
      <c r="Q75" s="274"/>
      <c r="R75" s="274"/>
      <c r="S75" s="274"/>
      <c r="T75" s="274"/>
      <c r="U75" s="274"/>
      <c r="V75" s="274"/>
      <c r="W75" s="274"/>
      <c r="X75" s="274"/>
      <c r="Y75" s="274"/>
      <c r="Z75" s="274"/>
      <c r="AA75" s="274"/>
      <c r="AB75" s="274"/>
      <c r="AC75" s="274"/>
      <c r="AD75" s="274"/>
      <c r="AE75" s="274"/>
    </row>
    <row r="76" spans="2:31" ht="15">
      <c r="B76" s="379">
        <f t="shared" si="4"/>
        <v>31</v>
      </c>
      <c r="C76" s="387" t="str" cm="1">
        <f t="array" aca="1" ref="C76" ca="1">IF(B76&lt;=$C$9,GetGetCDSName(B76),"")</f>
        <v>CONTINENTAL_MMR.EUR.SU</v>
      </c>
      <c r="D76" s="347">
        <v>0</v>
      </c>
      <c r="E76" s="380">
        <v>0</v>
      </c>
      <c r="F76" s="299">
        <v>0</v>
      </c>
      <c r="G76" s="299">
        <v>1</v>
      </c>
      <c r="H76" s="299">
        <v>1</v>
      </c>
      <c r="I76" s="299">
        <v>0</v>
      </c>
      <c r="J76" s="299">
        <v>1</v>
      </c>
      <c r="K76" s="299"/>
      <c r="L76" s="299"/>
      <c r="M76" s="299"/>
      <c r="N76" s="381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</row>
    <row r="77" spans="2:31" ht="15">
      <c r="B77" s="379">
        <f t="shared" si="4"/>
        <v>32</v>
      </c>
      <c r="C77" s="387" t="str" cm="1">
        <f t="array" aca="1" ref="C77" ca="1">IF(B77&lt;=$C$9,GetGetCDSName(B77),"")</f>
        <v>CREDITAGRICOLE_MMR.EUR.SU</v>
      </c>
      <c r="D77" s="347">
        <v>0</v>
      </c>
      <c r="E77" s="380">
        <v>0</v>
      </c>
      <c r="F77" s="299">
        <v>0</v>
      </c>
      <c r="G77" s="299">
        <v>1</v>
      </c>
      <c r="H77" s="299">
        <v>0</v>
      </c>
      <c r="I77" s="299">
        <v>0</v>
      </c>
      <c r="J77" s="299">
        <v>1</v>
      </c>
      <c r="K77" s="299"/>
      <c r="L77" s="299"/>
      <c r="M77" s="299"/>
      <c r="N77" s="381"/>
      <c r="O77" s="274"/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C77" s="274"/>
      <c r="AD77" s="274"/>
      <c r="AE77" s="274"/>
    </row>
    <row r="78" spans="2:31" ht="15">
      <c r="B78" s="379">
        <f t="shared" si="4"/>
        <v>33</v>
      </c>
      <c r="C78" s="387" t="str" cm="1">
        <f t="array" aca="1" ref="C78" ca="1">IF(B78&lt;=$C$9,GetGetCDSName(B78),"")</f>
        <v>CREDITSUISSEGROUP_MMR.EUR.SU</v>
      </c>
      <c r="D78" s="347">
        <v>0</v>
      </c>
      <c r="E78" s="380">
        <v>1</v>
      </c>
      <c r="F78" s="299">
        <v>0</v>
      </c>
      <c r="G78" s="299">
        <v>0</v>
      </c>
      <c r="H78" s="299">
        <v>1</v>
      </c>
      <c r="I78" s="299">
        <v>0</v>
      </c>
      <c r="J78" s="299">
        <v>0</v>
      </c>
      <c r="K78" s="299"/>
      <c r="L78" s="299"/>
      <c r="M78" s="299"/>
      <c r="N78" s="381"/>
      <c r="O78" s="274"/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C78" s="274"/>
      <c r="AD78" s="274"/>
      <c r="AE78" s="274"/>
    </row>
    <row r="79" spans="2:31" ht="15">
      <c r="B79" s="379">
        <f t="shared" si="4"/>
        <v>34</v>
      </c>
      <c r="C79" s="387" t="str" cm="1">
        <f t="array" aca="1" ref="C79" ca="1">IF(B79&lt;=$C$9,GetGetCDSName(B79),"")</f>
        <v>DAIMLERCHRYSLER_MMR.EUR.SU</v>
      </c>
      <c r="D79" s="347">
        <v>0</v>
      </c>
      <c r="E79" s="380">
        <v>1</v>
      </c>
      <c r="F79" s="299">
        <v>0</v>
      </c>
      <c r="G79" s="299">
        <v>1</v>
      </c>
      <c r="H79" s="299">
        <v>0</v>
      </c>
      <c r="I79" s="299">
        <v>0</v>
      </c>
      <c r="J79" s="299">
        <v>1</v>
      </c>
      <c r="K79" s="299"/>
      <c r="L79" s="299"/>
      <c r="M79" s="299"/>
      <c r="N79" s="381"/>
      <c r="O79" s="274"/>
      <c r="P79" s="274"/>
      <c r="Q79" s="274"/>
      <c r="R79" s="274"/>
      <c r="S79" s="274"/>
      <c r="T79" s="274"/>
      <c r="U79" s="274"/>
      <c r="V79" s="274"/>
      <c r="W79" s="274"/>
      <c r="X79" s="274"/>
      <c r="Y79" s="274"/>
      <c r="Z79" s="274"/>
      <c r="AA79" s="274"/>
      <c r="AB79" s="274"/>
      <c r="AC79" s="274"/>
      <c r="AD79" s="274"/>
      <c r="AE79" s="274"/>
    </row>
    <row r="80" spans="2:31" ht="15">
      <c r="B80" s="379">
        <f t="shared" si="4"/>
        <v>35</v>
      </c>
      <c r="C80" s="387" t="str" cm="1">
        <f t="array" aca="1" ref="C80" ca="1">IF(B80&lt;=$C$9,GetGetCDSName(B80),"")</f>
        <v>DANONE_MMR.EUR.SU</v>
      </c>
      <c r="D80" s="347">
        <v>0</v>
      </c>
      <c r="E80" s="380">
        <v>0</v>
      </c>
      <c r="F80" s="299">
        <v>1</v>
      </c>
      <c r="G80" s="299">
        <v>1</v>
      </c>
      <c r="H80" s="299">
        <v>1</v>
      </c>
      <c r="I80" s="299">
        <v>0</v>
      </c>
      <c r="J80" s="299">
        <v>0</v>
      </c>
      <c r="K80" s="299"/>
      <c r="L80" s="299"/>
      <c r="M80" s="299"/>
      <c r="N80" s="381"/>
      <c r="O80" s="274"/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C80" s="274"/>
      <c r="AD80" s="274"/>
      <c r="AE80" s="274"/>
    </row>
    <row r="81" spans="2:31" ht="15">
      <c r="B81" s="379">
        <f t="shared" si="4"/>
        <v>36</v>
      </c>
      <c r="C81" s="387" t="str" cm="1">
        <f t="array" aca="1" ref="C81" ca="1">IF(B81&lt;=$C$9,GetGetCDSName(B81),"")</f>
        <v>DEUTSCHEBANK_MMR.EUR.SU</v>
      </c>
      <c r="D81" s="347">
        <v>0</v>
      </c>
      <c r="E81" s="380">
        <v>0</v>
      </c>
      <c r="F81" s="299">
        <v>1</v>
      </c>
      <c r="G81" s="299">
        <v>0</v>
      </c>
      <c r="H81" s="299">
        <v>0</v>
      </c>
      <c r="I81" s="299">
        <v>1</v>
      </c>
      <c r="J81" s="299">
        <v>0</v>
      </c>
      <c r="K81" s="299"/>
      <c r="L81" s="299"/>
      <c r="M81" s="299"/>
      <c r="N81" s="381"/>
      <c r="O81" s="274"/>
      <c r="P81" s="274"/>
      <c r="Q81" s="274"/>
      <c r="R81" s="274"/>
      <c r="S81" s="274"/>
      <c r="T81" s="274"/>
      <c r="U81" s="274"/>
      <c r="V81" s="274"/>
      <c r="W81" s="274"/>
      <c r="X81" s="274"/>
      <c r="Y81" s="274"/>
      <c r="Z81" s="274"/>
      <c r="AA81" s="274"/>
      <c r="AB81" s="274"/>
      <c r="AC81" s="274"/>
      <c r="AD81" s="274"/>
      <c r="AE81" s="274"/>
    </row>
    <row r="82" spans="2:31" ht="15">
      <c r="B82" s="379">
        <f t="shared" si="4"/>
        <v>37</v>
      </c>
      <c r="C82" s="387" t="str" cm="1">
        <f t="array" aca="1" ref="C82" ca="1">IF(B82&lt;=$C$9,GetGetCDSName(B82),"")</f>
        <v>DEUTSCHEPOSTAG_MMR.EUR.SU</v>
      </c>
      <c r="D82" s="347">
        <v>0</v>
      </c>
      <c r="E82" s="380">
        <v>0</v>
      </c>
      <c r="F82" s="299">
        <v>0</v>
      </c>
      <c r="G82" s="299">
        <v>1</v>
      </c>
      <c r="H82" s="299">
        <v>0</v>
      </c>
      <c r="I82" s="299">
        <v>1</v>
      </c>
      <c r="J82" s="299">
        <v>0</v>
      </c>
      <c r="K82" s="299"/>
      <c r="L82" s="299"/>
      <c r="M82" s="299"/>
      <c r="N82" s="381"/>
      <c r="O82" s="274"/>
      <c r="P82" s="274"/>
      <c r="Q82" s="274"/>
      <c r="R82" s="274"/>
      <c r="S82" s="274"/>
      <c r="T82" s="274"/>
      <c r="U82" s="274"/>
      <c r="V82" s="274"/>
      <c r="W82" s="274"/>
      <c r="X82" s="274"/>
      <c r="Y82" s="274"/>
      <c r="Z82" s="274"/>
      <c r="AA82" s="274"/>
      <c r="AB82" s="274"/>
      <c r="AC82" s="274"/>
      <c r="AD82" s="274"/>
      <c r="AE82" s="274"/>
    </row>
    <row r="83" spans="2:31" ht="15">
      <c r="B83" s="379">
        <f t="shared" si="4"/>
        <v>38</v>
      </c>
      <c r="C83" s="387" t="str" cm="1">
        <f t="array" aca="1" ref="C83" ca="1">IF(B83&lt;=$C$9,GetGetCDSName(B83),"")</f>
        <v>DEUTSCHETELEKOM_MMR.EUR.SU</v>
      </c>
      <c r="D83" s="347">
        <v>0</v>
      </c>
      <c r="E83" s="380">
        <v>0</v>
      </c>
      <c r="F83" s="299">
        <v>1</v>
      </c>
      <c r="G83" s="299">
        <v>0</v>
      </c>
      <c r="H83" s="299">
        <v>0</v>
      </c>
      <c r="I83" s="299">
        <v>0</v>
      </c>
      <c r="J83" s="299">
        <v>1</v>
      </c>
      <c r="K83" s="299"/>
      <c r="L83" s="299"/>
      <c r="M83" s="299"/>
      <c r="N83" s="381"/>
      <c r="O83" s="274"/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C83" s="274"/>
      <c r="AD83" s="274"/>
      <c r="AE83" s="274"/>
    </row>
    <row r="84" spans="2:31" ht="15">
      <c r="B84" s="379">
        <f t="shared" si="4"/>
        <v>39</v>
      </c>
      <c r="C84" s="387" t="str" cm="1">
        <f t="array" aca="1" ref="C84" ca="1">IF(B84&lt;=$C$9,GetGetCDSName(B84),"")</f>
        <v>DIAGEO_MMR.EUR.SU</v>
      </c>
      <c r="D84" s="347">
        <v>0</v>
      </c>
      <c r="E84" s="380">
        <v>1</v>
      </c>
      <c r="F84" s="299">
        <v>0</v>
      </c>
      <c r="G84" s="299">
        <v>0</v>
      </c>
      <c r="H84" s="299">
        <v>0</v>
      </c>
      <c r="I84" s="299">
        <v>1</v>
      </c>
      <c r="J84" s="299">
        <v>0</v>
      </c>
      <c r="K84" s="299"/>
      <c r="L84" s="299"/>
      <c r="M84" s="299"/>
      <c r="N84" s="381"/>
      <c r="O84" s="274"/>
      <c r="P84" s="274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C84" s="274"/>
      <c r="AD84" s="274"/>
      <c r="AE84" s="274"/>
    </row>
    <row r="85" spans="2:31" ht="15">
      <c r="B85" s="379">
        <f t="shared" si="4"/>
        <v>40</v>
      </c>
      <c r="C85" s="387" t="str" cm="1">
        <f t="array" aca="1" ref="C85" ca="1">IF(B85&lt;=$C$9,GetGetCDSName(B85),"")</f>
        <v>DIXONSGROUPPLC_MMR.EUR.SU</v>
      </c>
      <c r="D85" s="347">
        <v>0</v>
      </c>
      <c r="E85" s="380">
        <v>0</v>
      </c>
      <c r="F85" s="299">
        <v>0</v>
      </c>
      <c r="G85" s="299">
        <v>0</v>
      </c>
      <c r="H85" s="299">
        <v>1</v>
      </c>
      <c r="I85" s="299">
        <v>1</v>
      </c>
      <c r="J85" s="299">
        <v>1</v>
      </c>
      <c r="K85" s="299"/>
      <c r="L85" s="299"/>
      <c r="M85" s="299"/>
      <c r="N85" s="381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</row>
    <row r="86" spans="2:31" ht="15">
      <c r="B86" s="379">
        <f t="shared" si="4"/>
        <v>41</v>
      </c>
      <c r="C86" s="387" t="str" cm="1">
        <f t="array" aca="1" ref="C86" ca="1">IF(B86&lt;=$C$9,GetGetCDSName(B86),"")</f>
        <v>DSM_MMR.EUR.SU</v>
      </c>
      <c r="D86" s="347">
        <v>0</v>
      </c>
      <c r="E86" s="380">
        <v>0</v>
      </c>
      <c r="F86" s="299">
        <v>0</v>
      </c>
      <c r="G86" s="299">
        <v>0</v>
      </c>
      <c r="H86" s="299">
        <v>1</v>
      </c>
      <c r="I86" s="299">
        <v>0</v>
      </c>
      <c r="J86" s="299">
        <v>1</v>
      </c>
      <c r="K86" s="299"/>
      <c r="L86" s="299"/>
      <c r="M86" s="299"/>
      <c r="N86" s="381"/>
      <c r="O86" s="274"/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C86" s="274"/>
      <c r="AD86" s="274"/>
      <c r="AE86" s="274"/>
    </row>
    <row r="87" spans="2:31" ht="15">
      <c r="B87" s="379">
        <f t="shared" si="4"/>
        <v>42</v>
      </c>
      <c r="C87" s="387" t="str" cm="1">
        <f t="array" aca="1" ref="C87" ca="1">IF(B87&lt;=$C$9,GetGetCDSName(B87),"")</f>
        <v>EADS_MMR.EUR.SU</v>
      </c>
      <c r="D87" s="347">
        <v>0</v>
      </c>
      <c r="E87" s="380">
        <v>1</v>
      </c>
      <c r="F87" s="299">
        <v>0</v>
      </c>
      <c r="G87" s="299">
        <v>1</v>
      </c>
      <c r="H87" s="299">
        <v>0</v>
      </c>
      <c r="I87" s="299">
        <v>0</v>
      </c>
      <c r="J87" s="299">
        <v>0</v>
      </c>
      <c r="K87" s="299"/>
      <c r="L87" s="299"/>
      <c r="M87" s="299"/>
      <c r="N87" s="381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</row>
    <row r="88" spans="2:31" ht="15">
      <c r="B88" s="379">
        <f t="shared" si="4"/>
        <v>43</v>
      </c>
      <c r="C88" s="387" t="str" cm="1">
        <f t="array" aca="1" ref="C88" ca="1">IF(B88&lt;=$C$9,GetGetCDSName(B88),"")</f>
        <v>EDF_MMR.EUR.SU</v>
      </c>
      <c r="D88" s="347">
        <v>0</v>
      </c>
      <c r="E88" s="380">
        <v>0</v>
      </c>
      <c r="F88" s="299">
        <v>1</v>
      </c>
      <c r="G88" s="299">
        <v>0</v>
      </c>
      <c r="H88" s="299">
        <v>0</v>
      </c>
      <c r="I88" s="299">
        <v>0</v>
      </c>
      <c r="J88" s="299">
        <v>0</v>
      </c>
      <c r="K88" s="299"/>
      <c r="L88" s="299"/>
      <c r="M88" s="299"/>
      <c r="N88" s="381"/>
      <c r="O88" s="274"/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C88" s="274"/>
      <c r="AD88" s="274"/>
      <c r="AE88" s="274"/>
    </row>
    <row r="89" spans="2:31" ht="15">
      <c r="B89" s="379">
        <f t="shared" si="4"/>
        <v>44</v>
      </c>
      <c r="C89" s="387" t="str" cm="1">
        <f t="array" aca="1" ref="C89" ca="1">IF(B89&lt;=$C$9,GetGetCDSName(B89),"")</f>
        <v>EDISON_MMR.EUR.SU</v>
      </c>
      <c r="D89" s="347">
        <v>0</v>
      </c>
      <c r="E89" s="380">
        <v>1</v>
      </c>
      <c r="F89" s="299">
        <v>0</v>
      </c>
      <c r="G89" s="299">
        <v>0</v>
      </c>
      <c r="H89" s="299">
        <v>0</v>
      </c>
      <c r="I89" s="299">
        <v>0</v>
      </c>
      <c r="J89" s="299">
        <v>0</v>
      </c>
      <c r="K89" s="299"/>
      <c r="L89" s="299"/>
      <c r="M89" s="299"/>
      <c r="N89" s="381"/>
      <c r="O89" s="274"/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C89" s="274"/>
      <c r="AD89" s="274"/>
      <c r="AE89" s="274"/>
    </row>
    <row r="90" spans="2:31" ht="15">
      <c r="B90" s="379">
        <f t="shared" si="4"/>
        <v>45</v>
      </c>
      <c r="C90" s="387" t="str" cm="1">
        <f t="array" aca="1" ref="C90" ca="1">IF(B90&lt;=$C$9,GetGetCDSName(B90),"")</f>
        <v>ELECTRICITEDEPORTUGAL_MMR.EUR.SU</v>
      </c>
      <c r="D90" s="347">
        <v>0</v>
      </c>
      <c r="E90" s="380">
        <v>0</v>
      </c>
      <c r="F90" s="299">
        <v>0</v>
      </c>
      <c r="G90" s="299">
        <v>1</v>
      </c>
      <c r="H90" s="299">
        <v>0</v>
      </c>
      <c r="I90" s="299">
        <v>0</v>
      </c>
      <c r="J90" s="299">
        <v>0</v>
      </c>
      <c r="K90" s="299"/>
      <c r="L90" s="299"/>
      <c r="M90" s="299"/>
      <c r="N90" s="381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C90" s="274"/>
      <c r="AD90" s="274"/>
      <c r="AE90" s="274"/>
    </row>
    <row r="91" spans="2:31" ht="15">
      <c r="B91" s="379">
        <f t="shared" si="4"/>
        <v>46</v>
      </c>
      <c r="C91" s="387" t="str" cm="1">
        <f t="array" aca="1" ref="C91" ca="1">IF(B91&lt;=$C$9,GetGetCDSName(B91),"")</f>
        <v>ELECTROLUX_MMR.EUR.SU</v>
      </c>
      <c r="D91" s="347">
        <v>0</v>
      </c>
      <c r="E91" s="380">
        <v>1</v>
      </c>
      <c r="F91" s="299">
        <v>1</v>
      </c>
      <c r="G91" s="299">
        <v>1</v>
      </c>
      <c r="H91" s="299">
        <v>0</v>
      </c>
      <c r="I91" s="299">
        <v>0</v>
      </c>
      <c r="J91" s="299">
        <v>0</v>
      </c>
      <c r="K91" s="299"/>
      <c r="L91" s="299"/>
      <c r="M91" s="299"/>
      <c r="N91" s="381"/>
      <c r="O91" s="274"/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C91" s="274"/>
      <c r="AD91" s="274"/>
      <c r="AE91" s="274"/>
    </row>
    <row r="92" spans="2:31" ht="15">
      <c r="B92" s="379">
        <f t="shared" si="4"/>
        <v>47</v>
      </c>
      <c r="C92" s="387" t="str" cm="1">
        <f t="array" aca="1" ref="C92" ca="1">IF(B92&lt;=$C$9,GetGetCDSName(B92),"")</f>
        <v>ENDESA_MMR.EUR.SU</v>
      </c>
      <c r="D92" s="347">
        <v>0</v>
      </c>
      <c r="E92" s="380">
        <v>0</v>
      </c>
      <c r="F92" s="299">
        <v>1</v>
      </c>
      <c r="G92" s="299">
        <v>0</v>
      </c>
      <c r="H92" s="299">
        <v>1</v>
      </c>
      <c r="I92" s="299">
        <v>1</v>
      </c>
      <c r="J92" s="299">
        <v>0</v>
      </c>
      <c r="K92" s="299"/>
      <c r="L92" s="299"/>
      <c r="M92" s="299"/>
      <c r="N92" s="381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C92" s="274"/>
      <c r="AD92" s="274"/>
      <c r="AE92" s="274"/>
    </row>
    <row r="93" spans="2:31" ht="15">
      <c r="B93" s="379">
        <f t="shared" si="4"/>
        <v>48</v>
      </c>
      <c r="C93" s="387" t="str" cm="1">
        <f t="array" aca="1" ref="C93" ca="1">IF(B93&lt;=$C$9,GetGetCDSName(B93),"")</f>
        <v>ENEL_MMR.EUR.SU</v>
      </c>
      <c r="D93" s="347">
        <v>0</v>
      </c>
      <c r="E93" s="380">
        <v>1</v>
      </c>
      <c r="F93" s="299">
        <v>1</v>
      </c>
      <c r="G93" s="299">
        <v>1</v>
      </c>
      <c r="H93" s="299">
        <v>0</v>
      </c>
      <c r="I93" s="299">
        <v>0</v>
      </c>
      <c r="J93" s="299">
        <v>0</v>
      </c>
      <c r="K93" s="299"/>
      <c r="L93" s="299"/>
      <c r="M93" s="299"/>
      <c r="N93" s="381"/>
      <c r="O93" s="274"/>
      <c r="P93" s="274"/>
      <c r="Q93" s="274"/>
      <c r="R93" s="274"/>
      <c r="S93" s="274"/>
      <c r="T93" s="274"/>
      <c r="U93" s="274"/>
      <c r="V93" s="274"/>
      <c r="W93" s="274"/>
      <c r="X93" s="274"/>
      <c r="Y93" s="274"/>
      <c r="Z93" s="274"/>
      <c r="AA93" s="274"/>
      <c r="AB93" s="274"/>
      <c r="AC93" s="274"/>
      <c r="AD93" s="274"/>
      <c r="AE93" s="274"/>
    </row>
    <row r="94" spans="2:31" ht="15">
      <c r="B94" s="379">
        <f t="shared" si="4"/>
        <v>49</v>
      </c>
      <c r="C94" s="387" t="str" cm="1">
        <f t="array" aca="1" ref="C94" ca="1">IF(B94&lt;=$C$9,GetGetCDSName(B94),"")</f>
        <v>ENERGIEBADENWUERTTEMBERG_MMR.EUR.SU</v>
      </c>
      <c r="D94" s="347">
        <v>0</v>
      </c>
      <c r="E94" s="380">
        <v>0</v>
      </c>
      <c r="F94" s="299">
        <v>1</v>
      </c>
      <c r="G94" s="299">
        <v>0</v>
      </c>
      <c r="H94" s="299">
        <v>0</v>
      </c>
      <c r="I94" s="299">
        <v>0</v>
      </c>
      <c r="J94" s="299">
        <v>1</v>
      </c>
      <c r="K94" s="299"/>
      <c r="L94" s="299"/>
      <c r="M94" s="299"/>
      <c r="N94" s="381"/>
      <c r="O94" s="274"/>
      <c r="P94" s="274"/>
      <c r="Q94" s="274"/>
      <c r="R94" s="274"/>
      <c r="S94" s="274"/>
      <c r="T94" s="274"/>
      <c r="U94" s="274"/>
      <c r="V94" s="274"/>
      <c r="W94" s="274"/>
      <c r="X94" s="274"/>
      <c r="Y94" s="274"/>
      <c r="Z94" s="274"/>
      <c r="AA94" s="274"/>
      <c r="AB94" s="274"/>
      <c r="AC94" s="274"/>
      <c r="AD94" s="274"/>
      <c r="AE94" s="274"/>
    </row>
    <row r="95" spans="2:31" ht="15">
      <c r="B95" s="379">
        <f t="shared" si="4"/>
        <v>50</v>
      </c>
      <c r="C95" s="387" t="str" cm="1">
        <f t="array" aca="1" ref="C95" ca="1">IF(B95&lt;=$C$9,GetGetCDSName(B95),"")</f>
        <v>EON_MMR.EUR.SU</v>
      </c>
      <c r="D95" s="347">
        <v>0</v>
      </c>
      <c r="E95" s="380">
        <v>0</v>
      </c>
      <c r="F95" s="299">
        <v>0</v>
      </c>
      <c r="G95" s="299">
        <v>1</v>
      </c>
      <c r="H95" s="299">
        <v>0</v>
      </c>
      <c r="I95" s="299">
        <v>0</v>
      </c>
      <c r="J95" s="299">
        <v>0</v>
      </c>
      <c r="K95" s="299"/>
      <c r="L95" s="299"/>
      <c r="M95" s="299"/>
      <c r="N95" s="381"/>
      <c r="O95" s="274"/>
      <c r="P95" s="274"/>
      <c r="Q95" s="274"/>
      <c r="R95" s="274"/>
      <c r="S95" s="274"/>
      <c r="T95" s="274"/>
      <c r="U95" s="274"/>
      <c r="V95" s="274"/>
      <c r="W95" s="274"/>
      <c r="X95" s="274"/>
      <c r="Y95" s="274"/>
      <c r="Z95" s="274"/>
      <c r="AA95" s="274"/>
      <c r="AB95" s="274"/>
      <c r="AC95" s="274"/>
      <c r="AD95" s="274"/>
      <c r="AE95" s="274"/>
    </row>
    <row r="96" spans="2:31" ht="15">
      <c r="B96" s="379">
        <f t="shared" si="4"/>
        <v>51</v>
      </c>
      <c r="C96" s="387" t="str" cm="1">
        <f t="array" aca="1" ref="C96" ca="1">IF(B96&lt;=$C$9,GetGetCDSName(B96),"")</f>
        <v>FORTUMOYJ_MMR.EUR.SU</v>
      </c>
      <c r="D96" s="347">
        <v>0</v>
      </c>
      <c r="E96" s="380">
        <v>0</v>
      </c>
      <c r="F96" s="299">
        <v>0</v>
      </c>
      <c r="G96" s="299">
        <v>0</v>
      </c>
      <c r="H96" s="299">
        <v>0</v>
      </c>
      <c r="I96" s="299">
        <v>1</v>
      </c>
      <c r="J96" s="299">
        <v>0</v>
      </c>
      <c r="K96" s="299"/>
      <c r="L96" s="299"/>
      <c r="M96" s="299"/>
      <c r="N96" s="381"/>
      <c r="O96" s="274"/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C96" s="274"/>
      <c r="AD96" s="274"/>
      <c r="AE96" s="274"/>
    </row>
    <row r="97" spans="2:31" ht="15">
      <c r="B97" s="379">
        <f t="shared" si="4"/>
        <v>52</v>
      </c>
      <c r="C97" s="387" t="str" cm="1">
        <f t="array" aca="1" ref="C97" ca="1">IF(B97&lt;=$C$9,GetGetCDSName(B97),"")</f>
        <v>FRANCETELECOM_MMR.EUR.SU</v>
      </c>
      <c r="D97" s="347">
        <v>0</v>
      </c>
      <c r="E97" s="380">
        <v>1</v>
      </c>
      <c r="F97" s="299">
        <v>0</v>
      </c>
      <c r="G97" s="299">
        <v>0</v>
      </c>
      <c r="H97" s="299">
        <v>1</v>
      </c>
      <c r="I97" s="299">
        <v>0</v>
      </c>
      <c r="J97" s="299">
        <v>1</v>
      </c>
      <c r="K97" s="299"/>
      <c r="L97" s="299"/>
      <c r="M97" s="299"/>
      <c r="N97" s="381"/>
      <c r="O97" s="274"/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C97" s="274"/>
      <c r="AD97" s="274"/>
      <c r="AE97" s="274"/>
    </row>
    <row r="98" spans="2:31" ht="15">
      <c r="B98" s="379">
        <f t="shared" si="4"/>
        <v>53</v>
      </c>
      <c r="C98" s="387" t="str" cm="1">
        <f t="array" aca="1" ref="C98" ca="1">IF(B98&lt;=$C$9,GetGetCDSName(B98),"")</f>
        <v>GALLAHERGROUPPLC_MMR.EUR.SU</v>
      </c>
      <c r="D98" s="347">
        <v>0</v>
      </c>
      <c r="E98" s="380">
        <v>0</v>
      </c>
      <c r="F98" s="299">
        <v>0</v>
      </c>
      <c r="G98" s="299">
        <v>0</v>
      </c>
      <c r="H98" s="299">
        <v>1</v>
      </c>
      <c r="I98" s="299">
        <v>1</v>
      </c>
      <c r="J98" s="299">
        <v>1</v>
      </c>
      <c r="K98" s="299"/>
      <c r="L98" s="299"/>
      <c r="M98" s="299"/>
      <c r="N98" s="381"/>
      <c r="O98" s="274"/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C98" s="274"/>
      <c r="AD98" s="274"/>
      <c r="AE98" s="274"/>
    </row>
    <row r="99" spans="2:31" ht="15">
      <c r="B99" s="379">
        <f t="shared" si="4"/>
        <v>54</v>
      </c>
      <c r="C99" s="387" t="str" cm="1">
        <f t="array" aca="1" ref="C99" ca="1">IF(B99&lt;=$C$9,GetGetCDSName(B99),"")</f>
        <v>GASNATURALSDGSA_MMR.EUR.SU</v>
      </c>
      <c r="D99" s="347">
        <v>0</v>
      </c>
      <c r="E99" s="380">
        <v>1</v>
      </c>
      <c r="F99" s="299">
        <v>0</v>
      </c>
      <c r="G99" s="299">
        <v>0</v>
      </c>
      <c r="H99" s="299">
        <v>1</v>
      </c>
      <c r="I99" s="299">
        <v>0</v>
      </c>
      <c r="J99" s="299">
        <v>0</v>
      </c>
      <c r="K99" s="299"/>
      <c r="L99" s="299"/>
      <c r="M99" s="299"/>
      <c r="N99" s="381"/>
      <c r="O99" s="274"/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C99" s="274"/>
      <c r="AD99" s="274"/>
      <c r="AE99" s="274"/>
    </row>
    <row r="100" spans="2:31" ht="15">
      <c r="B100" s="379">
        <f t="shared" si="4"/>
        <v>55</v>
      </c>
      <c r="C100" s="387" t="str" cm="1">
        <f t="array" aca="1" ref="C100" ca="1">IF(B100&lt;=$C$9,GetGetCDSName(B100),"")</f>
        <v>GAZDEFRANCE_MMR.EUR.SU</v>
      </c>
      <c r="D100" s="347">
        <v>0</v>
      </c>
      <c r="E100" s="380">
        <v>0</v>
      </c>
      <c r="F100" s="299">
        <v>0</v>
      </c>
      <c r="G100" s="299">
        <v>0</v>
      </c>
      <c r="H100" s="299">
        <v>0</v>
      </c>
      <c r="I100" s="299">
        <v>1</v>
      </c>
      <c r="J100" s="299">
        <v>0</v>
      </c>
      <c r="K100" s="299"/>
      <c r="L100" s="299"/>
      <c r="M100" s="299"/>
      <c r="N100" s="381"/>
      <c r="O100" s="274"/>
      <c r="P100" s="274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  <c r="AA100" s="274"/>
      <c r="AB100" s="274"/>
      <c r="AC100" s="274"/>
      <c r="AD100" s="274"/>
      <c r="AE100" s="274"/>
    </row>
    <row r="101" spans="2:31" ht="15">
      <c r="B101" s="379">
        <f t="shared" si="4"/>
        <v>56</v>
      </c>
      <c r="C101" s="387" t="str" cm="1">
        <f t="array" aca="1" ref="C101" ca="1">IF(B101&lt;=$C$9,GetGetCDSName(B101),"")</f>
        <v>GENERALI_MMR.EUR.SU</v>
      </c>
      <c r="D101" s="347">
        <v>0</v>
      </c>
      <c r="E101" s="380">
        <v>0</v>
      </c>
      <c r="F101" s="299">
        <v>0</v>
      </c>
      <c r="G101" s="299">
        <v>0</v>
      </c>
      <c r="H101" s="299">
        <v>1</v>
      </c>
      <c r="I101" s="299">
        <v>0</v>
      </c>
      <c r="J101" s="299">
        <v>0</v>
      </c>
      <c r="K101" s="299"/>
      <c r="L101" s="299"/>
      <c r="M101" s="299"/>
      <c r="N101" s="381"/>
      <c r="O101" s="274"/>
      <c r="P101" s="274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</row>
    <row r="102" spans="2:31" ht="15">
      <c r="B102" s="379">
        <f t="shared" si="4"/>
        <v>57</v>
      </c>
      <c r="C102" s="387" t="str" cm="1">
        <f t="array" aca="1" ref="C102" ca="1">IF(B102&lt;=$C$9,GetGetCDSName(B102),"")</f>
        <v>GKN HOLDINGS  PLC_MMR.EUR.SU</v>
      </c>
      <c r="D102" s="347">
        <v>0</v>
      </c>
      <c r="E102" s="380">
        <v>0</v>
      </c>
      <c r="F102" s="299">
        <v>0</v>
      </c>
      <c r="G102" s="299">
        <v>0</v>
      </c>
      <c r="H102" s="299">
        <v>0</v>
      </c>
      <c r="I102" s="299">
        <v>0</v>
      </c>
      <c r="J102" s="299">
        <v>1</v>
      </c>
      <c r="K102" s="299"/>
      <c r="L102" s="299"/>
      <c r="M102" s="299"/>
      <c r="N102" s="381"/>
      <c r="O102" s="274"/>
      <c r="P102" s="274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  <c r="AA102" s="274"/>
      <c r="AB102" s="274"/>
      <c r="AC102" s="274"/>
      <c r="AD102" s="274"/>
      <c r="AE102" s="274"/>
    </row>
    <row r="103" spans="2:31" ht="15">
      <c r="B103" s="379">
        <f t="shared" si="4"/>
        <v>58</v>
      </c>
      <c r="C103" s="387" t="str" cm="1">
        <f t="array" aca="1" ref="C103" ca="1">IF(B103&lt;=$C$9,GetGetCDSName(B103),"")</f>
        <v>GLENCOREINTAG_MMR.EUR.SU</v>
      </c>
      <c r="D103" s="347">
        <v>0</v>
      </c>
      <c r="E103" s="380">
        <v>0</v>
      </c>
      <c r="F103" s="299">
        <v>0</v>
      </c>
      <c r="G103" s="299">
        <v>0</v>
      </c>
      <c r="H103" s="299">
        <v>1</v>
      </c>
      <c r="I103" s="299">
        <v>0</v>
      </c>
      <c r="J103" s="299">
        <v>0</v>
      </c>
      <c r="K103" s="299"/>
      <c r="L103" s="299"/>
      <c r="M103" s="299"/>
      <c r="N103" s="381"/>
      <c r="O103" s="274"/>
      <c r="P103" s="274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  <c r="AA103" s="274"/>
      <c r="AB103" s="274"/>
      <c r="AC103" s="274"/>
      <c r="AD103" s="274"/>
      <c r="AE103" s="274"/>
    </row>
    <row r="104" spans="2:31" ht="15">
      <c r="B104" s="379">
        <f t="shared" si="4"/>
        <v>59</v>
      </c>
      <c r="C104" s="387" t="str" cm="1">
        <f t="array" aca="1" ref="C104" ca="1">IF(B104&lt;=$C$9,GetGetCDSName(B104),"")</f>
        <v>GREATUNIVERSALSTORES_MMR.EUR.SU</v>
      </c>
      <c r="D104" s="347">
        <v>0</v>
      </c>
      <c r="E104" s="380">
        <v>0</v>
      </c>
      <c r="F104" s="299">
        <v>1</v>
      </c>
      <c r="G104" s="299">
        <v>1</v>
      </c>
      <c r="H104" s="299">
        <v>0</v>
      </c>
      <c r="I104" s="299">
        <v>1</v>
      </c>
      <c r="J104" s="299">
        <v>0</v>
      </c>
      <c r="K104" s="299"/>
      <c r="L104" s="299"/>
      <c r="M104" s="299"/>
      <c r="N104" s="381"/>
      <c r="O104" s="274"/>
      <c r="P104" s="274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  <c r="AA104" s="274"/>
      <c r="AB104" s="274"/>
      <c r="AC104" s="274"/>
      <c r="AD104" s="274"/>
      <c r="AE104" s="274"/>
    </row>
    <row r="105" spans="2:31" ht="15">
      <c r="B105" s="379">
        <f t="shared" si="4"/>
        <v>60</v>
      </c>
      <c r="C105" s="387" t="str" cm="1">
        <f t="array" aca="1" ref="C105" ca="1">IF(B105&lt;=$C$9,GetGetCDSName(B105),"")</f>
        <v>HANNOVERRUECK_MMR.EUR.SU</v>
      </c>
      <c r="D105" s="347">
        <v>0</v>
      </c>
      <c r="E105" s="380">
        <v>0</v>
      </c>
      <c r="F105" s="299">
        <v>1</v>
      </c>
      <c r="G105" s="299">
        <v>0</v>
      </c>
      <c r="H105" s="299">
        <v>0</v>
      </c>
      <c r="I105" s="299">
        <v>0</v>
      </c>
      <c r="J105" s="299">
        <v>1</v>
      </c>
      <c r="K105" s="299"/>
      <c r="L105" s="299"/>
      <c r="M105" s="299"/>
      <c r="N105" s="381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</row>
    <row r="106" spans="2:31" ht="15">
      <c r="B106" s="379">
        <f t="shared" si="4"/>
        <v>61</v>
      </c>
      <c r="C106" s="387" t="str" cm="1">
        <f t="array" aca="1" ref="C106" ca="1">IF(B106&lt;=$C$9,GetGetCDSName(B106),"")</f>
        <v>HELLENIC TELCOM_MMR.EUR.SU</v>
      </c>
      <c r="D106" s="347">
        <v>0</v>
      </c>
      <c r="E106" s="380">
        <v>0</v>
      </c>
      <c r="F106" s="299">
        <v>1</v>
      </c>
      <c r="G106" s="299">
        <v>0</v>
      </c>
      <c r="H106" s="299">
        <v>1</v>
      </c>
      <c r="I106" s="299">
        <v>0</v>
      </c>
      <c r="J106" s="299">
        <v>0</v>
      </c>
      <c r="K106" s="299"/>
      <c r="L106" s="299"/>
      <c r="M106" s="299"/>
      <c r="N106" s="381"/>
      <c r="O106" s="274"/>
      <c r="P106" s="274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  <c r="AA106" s="274"/>
      <c r="AB106" s="274"/>
      <c r="AC106" s="274"/>
      <c r="AD106" s="274"/>
      <c r="AE106" s="274"/>
    </row>
    <row r="107" spans="2:31" ht="15">
      <c r="B107" s="379">
        <f t="shared" si="4"/>
        <v>62</v>
      </c>
      <c r="C107" s="387" t="str" cm="1">
        <f t="array" aca="1" ref="C107" ca="1">IF(B107&lt;=$C$9,GetGetCDSName(B107),"")</f>
        <v>HENKELKG_MMR.EUR.SU</v>
      </c>
      <c r="D107" s="347">
        <v>0</v>
      </c>
      <c r="E107" s="380">
        <v>1</v>
      </c>
      <c r="F107" s="299">
        <v>0</v>
      </c>
      <c r="G107" s="299">
        <v>0</v>
      </c>
      <c r="H107" s="299">
        <v>0</v>
      </c>
      <c r="I107" s="299">
        <v>0</v>
      </c>
      <c r="J107" s="299">
        <v>1</v>
      </c>
      <c r="K107" s="299"/>
      <c r="L107" s="299"/>
      <c r="M107" s="299"/>
      <c r="N107" s="381"/>
      <c r="O107" s="274"/>
      <c r="P107" s="274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  <c r="AA107" s="274"/>
      <c r="AB107" s="274"/>
      <c r="AC107" s="274"/>
      <c r="AD107" s="274"/>
      <c r="AE107" s="274"/>
    </row>
    <row r="108" spans="2:31" ht="15">
      <c r="B108" s="379">
        <f t="shared" si="4"/>
        <v>63</v>
      </c>
      <c r="C108" s="387" t="str" cm="1">
        <f t="array" aca="1" ref="C108" ca="1">IF(B108&lt;=$C$9,GetGetCDSName(B108),"")</f>
        <v>IBERDROLA_MMR.EUR.SU</v>
      </c>
      <c r="D108" s="347">
        <v>0</v>
      </c>
      <c r="E108" s="380">
        <v>1</v>
      </c>
      <c r="F108" s="299">
        <v>1</v>
      </c>
      <c r="G108" s="299">
        <v>0</v>
      </c>
      <c r="H108" s="299">
        <v>1</v>
      </c>
      <c r="I108" s="299">
        <v>0</v>
      </c>
      <c r="J108" s="299">
        <v>0</v>
      </c>
      <c r="K108" s="299"/>
      <c r="L108" s="299"/>
      <c r="M108" s="299"/>
      <c r="N108" s="381"/>
      <c r="O108" s="274"/>
      <c r="P108" s="274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  <c r="AA108" s="274"/>
      <c r="AB108" s="274"/>
      <c r="AC108" s="274"/>
      <c r="AD108" s="274"/>
      <c r="AE108" s="274"/>
    </row>
    <row r="109" spans="2:31" ht="15">
      <c r="B109" s="379">
        <f t="shared" si="4"/>
        <v>64</v>
      </c>
      <c r="C109" s="387" t="str" cm="1">
        <f t="array" aca="1" ref="C109" ca="1">IF(B109&lt;=$C$9,GetGetCDSName(B109),"")</f>
        <v>ICI_MMR.EUR.SU</v>
      </c>
      <c r="D109" s="347">
        <v>0</v>
      </c>
      <c r="E109" s="380">
        <v>1</v>
      </c>
      <c r="F109" s="299">
        <v>0</v>
      </c>
      <c r="G109" s="299">
        <v>0</v>
      </c>
      <c r="H109" s="299">
        <v>1</v>
      </c>
      <c r="I109" s="299">
        <v>0</v>
      </c>
      <c r="J109" s="299">
        <v>1</v>
      </c>
      <c r="K109" s="299"/>
      <c r="L109" s="299"/>
      <c r="M109" s="299"/>
      <c r="N109" s="381"/>
      <c r="O109" s="274"/>
      <c r="P109" s="274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  <c r="AA109" s="274"/>
      <c r="AB109" s="274"/>
      <c r="AC109" s="274"/>
      <c r="AD109" s="274"/>
      <c r="AE109" s="274"/>
    </row>
    <row r="110" spans="2:31" ht="15">
      <c r="B110" s="379">
        <f t="shared" si="4"/>
        <v>65</v>
      </c>
      <c r="C110" s="387" t="str" cm="1">
        <f t="array" aca="1" ref="C110" ca="1">IF(B110&lt;=$C$9,GetGetCDSName(B110),"")</f>
        <v>INTESA_MMR.EUR.SU</v>
      </c>
      <c r="D110" s="347">
        <v>0</v>
      </c>
      <c r="E110" s="380">
        <v>0</v>
      </c>
      <c r="F110" s="299">
        <v>1</v>
      </c>
      <c r="G110" s="299">
        <v>1</v>
      </c>
      <c r="H110" s="299">
        <v>0</v>
      </c>
      <c r="I110" s="299">
        <v>1</v>
      </c>
      <c r="J110" s="299">
        <v>0</v>
      </c>
      <c r="K110" s="299"/>
      <c r="L110" s="299"/>
      <c r="M110" s="299"/>
      <c r="N110" s="381"/>
      <c r="O110" s="274"/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4"/>
      <c r="AB110" s="274"/>
      <c r="AC110" s="274"/>
      <c r="AD110" s="274"/>
      <c r="AE110" s="274"/>
    </row>
    <row r="111" spans="2:31" ht="15">
      <c r="B111" s="379">
        <f t="shared" ref="B111:B174" si="5">B110+1</f>
        <v>66</v>
      </c>
      <c r="C111" s="387" t="str" cm="1">
        <f t="array" aca="1" ref="C111" ca="1">IF(B111&lt;=$C$9,GetGetCDSName(B111),"")</f>
        <v>KINGFISHER_MMR.EUR.SU</v>
      </c>
      <c r="D111" s="347">
        <v>0</v>
      </c>
      <c r="E111" s="380">
        <v>1</v>
      </c>
      <c r="F111" s="299">
        <v>0</v>
      </c>
      <c r="G111" s="299">
        <v>1</v>
      </c>
      <c r="H111" s="299">
        <v>0</v>
      </c>
      <c r="I111" s="299">
        <v>1</v>
      </c>
      <c r="J111" s="299">
        <v>0</v>
      </c>
      <c r="K111" s="299"/>
      <c r="L111" s="299"/>
      <c r="M111" s="299"/>
      <c r="N111" s="381"/>
      <c r="O111" s="274"/>
      <c r="P111" s="274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  <c r="AA111" s="274"/>
      <c r="AB111" s="274"/>
      <c r="AC111" s="274"/>
      <c r="AD111" s="274"/>
      <c r="AE111" s="274"/>
    </row>
    <row r="112" spans="2:31" ht="15">
      <c r="B112" s="379">
        <f t="shared" si="5"/>
        <v>67</v>
      </c>
      <c r="C112" s="387" t="str" cm="1">
        <f t="array" aca="1" ref="C112" ca="1">IF(B112&lt;=$C$9,GetGetCDSName(B112),"")</f>
        <v>KPN_MMR.EUR.SU</v>
      </c>
      <c r="D112" s="347">
        <v>0</v>
      </c>
      <c r="E112" s="380">
        <v>1</v>
      </c>
      <c r="F112" s="299">
        <v>0</v>
      </c>
      <c r="G112" s="299">
        <v>0</v>
      </c>
      <c r="H112" s="299">
        <v>1</v>
      </c>
      <c r="I112" s="299">
        <v>0</v>
      </c>
      <c r="J112" s="299">
        <v>1</v>
      </c>
      <c r="K112" s="299"/>
      <c r="L112" s="299"/>
      <c r="M112" s="299"/>
      <c r="N112" s="381"/>
      <c r="O112" s="274"/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  <c r="AA112" s="274"/>
      <c r="AB112" s="274"/>
      <c r="AC112" s="274"/>
      <c r="AD112" s="274"/>
      <c r="AE112" s="274"/>
    </row>
    <row r="113" spans="2:31" ht="15">
      <c r="B113" s="379">
        <f t="shared" si="5"/>
        <v>68</v>
      </c>
      <c r="C113" s="387" t="str" cm="1">
        <f t="array" aca="1" ref="C113" ca="1">IF(B113&lt;=$C$9,GetGetCDSName(B113),"")</f>
        <v>LAFARGE_MMR.EUR.SU</v>
      </c>
      <c r="D113" s="347">
        <v>0</v>
      </c>
      <c r="E113" s="380">
        <v>0</v>
      </c>
      <c r="F113" s="299">
        <v>1</v>
      </c>
      <c r="G113" s="299">
        <v>0</v>
      </c>
      <c r="H113" s="299">
        <v>1</v>
      </c>
      <c r="I113" s="299">
        <v>0</v>
      </c>
      <c r="J113" s="299">
        <v>1</v>
      </c>
      <c r="K113" s="299"/>
      <c r="L113" s="299"/>
      <c r="M113" s="299"/>
      <c r="N113" s="381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 ht="15">
      <c r="B114" s="379">
        <f t="shared" si="5"/>
        <v>69</v>
      </c>
      <c r="C114" s="387" t="str" cm="1">
        <f t="array" aca="1" ref="C114" ca="1">IF(B114&lt;=$C$9,GetGetCDSName(B114),"")</f>
        <v>LINDE_MMR.EUR.SU</v>
      </c>
      <c r="D114" s="347">
        <v>0</v>
      </c>
      <c r="E114" s="380">
        <v>0</v>
      </c>
      <c r="F114" s="299">
        <v>0</v>
      </c>
      <c r="G114" s="299">
        <v>1</v>
      </c>
      <c r="H114" s="299">
        <v>0</v>
      </c>
      <c r="I114" s="299">
        <v>1</v>
      </c>
      <c r="J114" s="299">
        <v>1</v>
      </c>
      <c r="K114" s="299"/>
      <c r="L114" s="299"/>
      <c r="M114" s="299"/>
      <c r="N114" s="381"/>
      <c r="O114" s="274"/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</row>
    <row r="115" spans="2:31" ht="15">
      <c r="B115" s="379">
        <f t="shared" si="5"/>
        <v>70</v>
      </c>
      <c r="C115" s="387" t="str" cm="1">
        <f t="array" aca="1" ref="C115" ca="1">IF(B115&lt;=$C$9,GetGetCDSName(B115),"")</f>
        <v>LUFTHANSA_MMR.EUR.SU</v>
      </c>
      <c r="D115" s="347">
        <v>0</v>
      </c>
      <c r="E115" s="380">
        <v>1</v>
      </c>
      <c r="F115" s="299">
        <v>0</v>
      </c>
      <c r="G115" s="299">
        <v>0</v>
      </c>
      <c r="H115" s="299">
        <v>0</v>
      </c>
      <c r="I115" s="299">
        <v>1</v>
      </c>
      <c r="J115" s="299">
        <v>1</v>
      </c>
      <c r="K115" s="299"/>
      <c r="L115" s="299"/>
      <c r="M115" s="299"/>
      <c r="N115" s="381"/>
      <c r="O115" s="274"/>
      <c r="P115" s="274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  <c r="AA115" s="274"/>
      <c r="AB115" s="274"/>
      <c r="AC115" s="274"/>
      <c r="AD115" s="274"/>
      <c r="AE115" s="274"/>
    </row>
    <row r="116" spans="2:31" ht="15">
      <c r="B116" s="379">
        <f t="shared" si="5"/>
        <v>71</v>
      </c>
      <c r="C116" s="387" t="str" cm="1">
        <f t="array" aca="1" ref="C116" ca="1">IF(B116&lt;=$C$9,GetGetCDSName(B116),"")</f>
        <v>LVMH_MMR.EUR.SU</v>
      </c>
      <c r="D116" s="347">
        <v>0</v>
      </c>
      <c r="E116" s="380">
        <v>1</v>
      </c>
      <c r="F116" s="299">
        <v>1</v>
      </c>
      <c r="G116" s="299">
        <v>0</v>
      </c>
      <c r="H116" s="299">
        <v>0</v>
      </c>
      <c r="I116" s="299">
        <v>0</v>
      </c>
      <c r="J116" s="299">
        <v>1</v>
      </c>
      <c r="K116" s="299"/>
      <c r="L116" s="299"/>
      <c r="M116" s="299"/>
      <c r="N116" s="381"/>
      <c r="O116" s="274"/>
      <c r="P116" s="274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274"/>
      <c r="AB116" s="274"/>
      <c r="AC116" s="274"/>
      <c r="AD116" s="274"/>
      <c r="AE116" s="274"/>
    </row>
    <row r="117" spans="2:31" ht="15">
      <c r="B117" s="379">
        <f t="shared" si="5"/>
        <v>72</v>
      </c>
      <c r="C117" s="387" t="str" cm="1">
        <f t="array" aca="1" ref="C117" ca="1">IF(B117&lt;=$C$9,GetGetCDSName(B117),"")</f>
        <v>MARKSANDSPENCERPLC_MMR.EUR.SU</v>
      </c>
      <c r="D117" s="347">
        <v>0</v>
      </c>
      <c r="E117" s="380">
        <v>1</v>
      </c>
      <c r="F117" s="299">
        <v>1</v>
      </c>
      <c r="G117" s="299">
        <v>0</v>
      </c>
      <c r="H117" s="299">
        <v>0</v>
      </c>
      <c r="I117" s="299">
        <v>0</v>
      </c>
      <c r="J117" s="299">
        <v>0</v>
      </c>
      <c r="K117" s="299"/>
      <c r="L117" s="299"/>
      <c r="M117" s="299"/>
      <c r="N117" s="381"/>
      <c r="O117" s="274"/>
      <c r="P117" s="274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  <c r="AA117" s="274"/>
      <c r="AB117" s="274"/>
      <c r="AC117" s="274"/>
      <c r="AD117" s="274"/>
      <c r="AE117" s="274"/>
    </row>
    <row r="118" spans="2:31" ht="15">
      <c r="B118" s="379">
        <f t="shared" si="5"/>
        <v>73</v>
      </c>
      <c r="C118" s="387" t="str" cm="1">
        <f t="array" aca="1" ref="C118" ca="1">IF(B118&lt;=$C$9,GetGetCDSName(B118),"")</f>
        <v>METRO_MMR.EUR.SU</v>
      </c>
      <c r="D118" s="347">
        <v>0</v>
      </c>
      <c r="E118" s="380">
        <v>0</v>
      </c>
      <c r="F118" s="299">
        <v>1</v>
      </c>
      <c r="G118" s="299">
        <v>0</v>
      </c>
      <c r="H118" s="299">
        <v>1</v>
      </c>
      <c r="I118" s="299">
        <v>0</v>
      </c>
      <c r="J118" s="299">
        <v>1</v>
      </c>
      <c r="K118" s="299"/>
      <c r="L118" s="299"/>
      <c r="M118" s="299"/>
      <c r="N118" s="381"/>
      <c r="O118" s="274"/>
      <c r="P118" s="274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  <c r="AA118" s="274"/>
      <c r="AB118" s="274"/>
      <c r="AC118" s="274"/>
      <c r="AD118" s="274"/>
      <c r="AE118" s="274"/>
    </row>
    <row r="119" spans="2:31" ht="15">
      <c r="B119" s="379">
        <f t="shared" si="5"/>
        <v>74</v>
      </c>
      <c r="C119" s="387" t="str" cm="1">
        <f t="array" aca="1" ref="C119" ca="1">IF(B119&lt;=$C$9,GetGetCDSName(B119),"")</f>
        <v>MICHELIN_MMR.EUR.SU</v>
      </c>
      <c r="D119" s="347">
        <v>0</v>
      </c>
      <c r="E119" s="380">
        <v>1</v>
      </c>
      <c r="F119" s="299">
        <v>1</v>
      </c>
      <c r="G119" s="299">
        <v>0</v>
      </c>
      <c r="H119" s="299">
        <v>1</v>
      </c>
      <c r="I119" s="299">
        <v>0</v>
      </c>
      <c r="J119" s="299">
        <v>0</v>
      </c>
      <c r="K119" s="299"/>
      <c r="L119" s="299"/>
      <c r="M119" s="299"/>
      <c r="N119" s="381"/>
      <c r="O119" s="274"/>
      <c r="P119" s="274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  <c r="AA119" s="274"/>
      <c r="AB119" s="274"/>
      <c r="AC119" s="274"/>
      <c r="AD119" s="274"/>
      <c r="AE119" s="274"/>
    </row>
    <row r="120" spans="2:31" ht="15">
      <c r="B120" s="379">
        <f t="shared" si="5"/>
        <v>75</v>
      </c>
      <c r="C120" s="387" t="str" cm="1">
        <f t="array" aca="1" ref="C120" ca="1">IF(B120&lt;=$C$9,GetGetCDSName(B120),"")</f>
        <v>MONTEDEIPASCHI_MMR.EUR.SU</v>
      </c>
      <c r="D120" s="347">
        <v>0</v>
      </c>
      <c r="E120" s="380">
        <v>0</v>
      </c>
      <c r="F120" s="299">
        <v>0</v>
      </c>
      <c r="G120" s="299">
        <v>0</v>
      </c>
      <c r="H120" s="299">
        <v>1</v>
      </c>
      <c r="I120" s="299">
        <v>0</v>
      </c>
      <c r="J120" s="299">
        <v>1</v>
      </c>
      <c r="K120" s="299"/>
      <c r="L120" s="299"/>
      <c r="M120" s="299"/>
      <c r="N120" s="381"/>
      <c r="O120" s="274"/>
      <c r="P120" s="274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  <c r="AA120" s="274"/>
      <c r="AB120" s="274"/>
      <c r="AC120" s="274"/>
      <c r="AD120" s="274"/>
      <c r="AE120" s="274"/>
    </row>
    <row r="121" spans="2:31" ht="15">
      <c r="B121" s="379">
        <f t="shared" si="5"/>
        <v>76</v>
      </c>
      <c r="C121" s="387" t="str" cm="1">
        <f t="array" aca="1" ref="C121" ca="1">IF(B121&lt;=$C$9,GetGetCDSName(B121),"")</f>
        <v>MUNICHRE_MMR.EUR.SU</v>
      </c>
      <c r="D121" s="347">
        <v>0</v>
      </c>
      <c r="E121" s="380">
        <v>0</v>
      </c>
      <c r="F121" s="299">
        <v>0</v>
      </c>
      <c r="G121" s="299">
        <v>1</v>
      </c>
      <c r="H121" s="299">
        <v>1</v>
      </c>
      <c r="I121" s="299">
        <v>0</v>
      </c>
      <c r="J121" s="299">
        <v>1</v>
      </c>
      <c r="K121" s="299"/>
      <c r="L121" s="299"/>
      <c r="M121" s="299"/>
      <c r="N121" s="381"/>
      <c r="O121" s="274"/>
      <c r="P121" s="274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  <c r="AA121" s="274"/>
      <c r="AB121" s="274"/>
      <c r="AC121" s="274"/>
      <c r="AD121" s="274"/>
      <c r="AE121" s="274"/>
    </row>
    <row r="122" spans="2:31" ht="15">
      <c r="B122" s="379">
        <f t="shared" si="5"/>
        <v>77</v>
      </c>
      <c r="C122" s="387" t="str" cm="1">
        <f t="array" aca="1" ref="C122" ca="1">IF(B122&lt;=$C$9,GetGetCDSName(B122),"")</f>
        <v>NATIONALGRIDTRANSCOPLC_MMR.EUR.SU</v>
      </c>
      <c r="D122" s="347">
        <v>0</v>
      </c>
      <c r="E122" s="380">
        <v>1</v>
      </c>
      <c r="F122" s="299">
        <v>0</v>
      </c>
      <c r="G122" s="299">
        <v>1</v>
      </c>
      <c r="H122" s="299">
        <v>0</v>
      </c>
      <c r="I122" s="299">
        <v>1</v>
      </c>
      <c r="J122" s="299">
        <v>0</v>
      </c>
      <c r="K122" s="299"/>
      <c r="L122" s="299"/>
      <c r="M122" s="299"/>
      <c r="N122" s="381"/>
      <c r="O122" s="274"/>
      <c r="P122" s="274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  <c r="AA122" s="274"/>
      <c r="AB122" s="274"/>
      <c r="AC122" s="274"/>
      <c r="AD122" s="274"/>
      <c r="AE122" s="274"/>
    </row>
    <row r="123" spans="2:31" ht="15">
      <c r="B123" s="379">
        <f t="shared" si="5"/>
        <v>78</v>
      </c>
      <c r="C123" s="387" t="str" cm="1">
        <f t="array" aca="1" ref="C123" ca="1">IF(B123&lt;=$C$9,GetGetCDSName(B123),"")</f>
        <v>NEXTPLC_MMR.EUR.SU</v>
      </c>
      <c r="D123" s="347">
        <v>0</v>
      </c>
      <c r="E123" s="380">
        <v>0</v>
      </c>
      <c r="F123" s="299">
        <v>0</v>
      </c>
      <c r="G123" s="299">
        <v>0</v>
      </c>
      <c r="H123" s="299">
        <v>0</v>
      </c>
      <c r="I123" s="299">
        <v>1</v>
      </c>
      <c r="J123" s="299">
        <v>1</v>
      </c>
      <c r="K123" s="299"/>
      <c r="L123" s="299"/>
      <c r="M123" s="299"/>
      <c r="N123" s="381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 ht="15">
      <c r="B124" s="379">
        <f t="shared" si="5"/>
        <v>79</v>
      </c>
      <c r="C124" s="387" t="str" cm="1">
        <f t="array" aca="1" ref="C124" ca="1">IF(B124&lt;=$C$9,GetGetCDSName(B124),"")</f>
        <v>PEARSON_MMR.EUR.SU</v>
      </c>
      <c r="D124" s="347">
        <v>0</v>
      </c>
      <c r="E124" s="380">
        <v>0</v>
      </c>
      <c r="F124" s="299">
        <v>0</v>
      </c>
      <c r="G124" s="299">
        <v>1</v>
      </c>
      <c r="H124" s="299">
        <v>0</v>
      </c>
      <c r="I124" s="299">
        <v>0</v>
      </c>
      <c r="J124" s="299">
        <v>1</v>
      </c>
      <c r="K124" s="299"/>
      <c r="L124" s="299"/>
      <c r="M124" s="299"/>
      <c r="N124" s="381"/>
      <c r="O124" s="274"/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C124" s="274"/>
      <c r="AD124" s="274"/>
      <c r="AE124" s="274"/>
    </row>
    <row r="125" spans="2:31" ht="15">
      <c r="B125" s="379">
        <f t="shared" si="5"/>
        <v>80</v>
      </c>
      <c r="C125" s="387" t="str" cm="1">
        <f t="array" aca="1" ref="C125" ca="1">IF(B125&lt;=$C$9,GetGetCDSName(B125),"")</f>
        <v>PEUGEOT_MMR.EUR.SU</v>
      </c>
      <c r="D125" s="347">
        <v>0</v>
      </c>
      <c r="E125" s="380">
        <v>1</v>
      </c>
      <c r="F125" s="299">
        <v>1</v>
      </c>
      <c r="G125" s="299">
        <v>0</v>
      </c>
      <c r="H125" s="299">
        <v>0</v>
      </c>
      <c r="I125" s="299">
        <v>0</v>
      </c>
      <c r="J125" s="299">
        <v>0</v>
      </c>
      <c r="K125" s="299"/>
      <c r="L125" s="299"/>
      <c r="M125" s="299"/>
      <c r="N125" s="381"/>
      <c r="O125" s="274"/>
      <c r="P125" s="274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  <c r="AA125" s="274"/>
      <c r="AB125" s="274"/>
      <c r="AC125" s="274"/>
      <c r="AD125" s="274"/>
      <c r="AE125" s="274"/>
    </row>
    <row r="126" spans="2:31" ht="15">
      <c r="B126" s="379">
        <f t="shared" si="5"/>
        <v>81</v>
      </c>
      <c r="C126" s="387" t="str" cm="1">
        <f t="array" aca="1" ref="C126" ca="1">IF(B126&lt;=$C$9,GetGetCDSName(B126),"")</f>
        <v>PHILIPSELEC_MMR.EUR.SU</v>
      </c>
      <c r="D126" s="347">
        <v>0</v>
      </c>
      <c r="E126" s="380">
        <v>0</v>
      </c>
      <c r="F126" s="299">
        <v>0</v>
      </c>
      <c r="G126" s="299">
        <v>0</v>
      </c>
      <c r="H126" s="299">
        <v>1</v>
      </c>
      <c r="I126" s="299">
        <v>0</v>
      </c>
      <c r="J126" s="299">
        <v>1</v>
      </c>
      <c r="K126" s="299"/>
      <c r="L126" s="299"/>
      <c r="M126" s="299"/>
      <c r="N126" s="381"/>
      <c r="O126" s="274"/>
      <c r="P126" s="274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  <c r="AA126" s="274"/>
      <c r="AB126" s="274"/>
      <c r="AC126" s="274"/>
      <c r="AD126" s="274"/>
      <c r="AE126" s="274"/>
    </row>
    <row r="127" spans="2:31" ht="15">
      <c r="B127" s="379">
        <f t="shared" si="5"/>
        <v>82</v>
      </c>
      <c r="C127" s="387" t="str" cm="1">
        <f t="array" aca="1" ref="C127" ca="1">IF(B127&lt;=$C$9,GetGetCDSName(B127),"")</f>
        <v>PINAULTPRINTEMPS_MMR.EUR.SU</v>
      </c>
      <c r="D127" s="347">
        <v>0</v>
      </c>
      <c r="E127" s="380">
        <v>0</v>
      </c>
      <c r="F127" s="299">
        <v>0</v>
      </c>
      <c r="G127" s="299">
        <v>1</v>
      </c>
      <c r="H127" s="299">
        <v>1</v>
      </c>
      <c r="I127" s="299">
        <v>0</v>
      </c>
      <c r="J127" s="299">
        <v>0</v>
      </c>
      <c r="K127" s="299"/>
      <c r="L127" s="299"/>
      <c r="M127" s="299"/>
      <c r="N127" s="381"/>
      <c r="O127" s="274"/>
      <c r="P127" s="274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  <c r="AA127" s="274"/>
      <c r="AB127" s="274"/>
      <c r="AC127" s="274"/>
      <c r="AD127" s="274"/>
      <c r="AE127" s="274"/>
    </row>
    <row r="128" spans="2:31" ht="15">
      <c r="B128" s="379">
        <f t="shared" si="5"/>
        <v>83</v>
      </c>
      <c r="C128" s="387" t="str" cm="1">
        <f t="array" aca="1" ref="C128" ca="1">IF(B128&lt;=$C$9,GetGetCDSName(B128),"")</f>
        <v>PORTUGALTELECOM_MMR.EUR.SU</v>
      </c>
      <c r="D128" s="347">
        <v>0</v>
      </c>
      <c r="E128" s="380">
        <v>0</v>
      </c>
      <c r="F128" s="299">
        <v>0</v>
      </c>
      <c r="G128" s="299">
        <v>1</v>
      </c>
      <c r="H128" s="299">
        <v>0</v>
      </c>
      <c r="I128" s="299">
        <v>1</v>
      </c>
      <c r="J128" s="299">
        <v>1</v>
      </c>
      <c r="K128" s="299"/>
      <c r="L128" s="299"/>
      <c r="M128" s="299"/>
      <c r="N128" s="381"/>
      <c r="O128" s="274"/>
      <c r="P128" s="274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  <c r="AA128" s="274"/>
      <c r="AB128" s="274"/>
      <c r="AC128" s="274"/>
      <c r="AD128" s="274"/>
      <c r="AE128" s="274"/>
    </row>
    <row r="129" spans="2:31" ht="15">
      <c r="B129" s="379">
        <f t="shared" si="5"/>
        <v>84</v>
      </c>
      <c r="C129" s="387" t="str" cm="1">
        <f t="array" aca="1" ref="C129" ca="1">IF(B129&lt;=$C$9,GetGetCDSName(B129),"")</f>
        <v>REEDELSEVIER_MMR.EUR.SU</v>
      </c>
      <c r="D129" s="347">
        <v>0</v>
      </c>
      <c r="E129" s="380">
        <v>1</v>
      </c>
      <c r="F129" s="299">
        <v>0</v>
      </c>
      <c r="G129" s="299">
        <v>1</v>
      </c>
      <c r="H129" s="299">
        <v>1</v>
      </c>
      <c r="I129" s="299">
        <v>0</v>
      </c>
      <c r="J129" s="299">
        <v>0</v>
      </c>
      <c r="K129" s="299"/>
      <c r="L129" s="299"/>
      <c r="M129" s="299"/>
      <c r="N129" s="381"/>
      <c r="O129" s="274"/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C129" s="274"/>
      <c r="AD129" s="274"/>
      <c r="AE129" s="274"/>
    </row>
    <row r="130" spans="2:31" ht="15">
      <c r="B130" s="379">
        <f t="shared" si="5"/>
        <v>85</v>
      </c>
      <c r="C130" s="387" t="str" cm="1">
        <f t="array" aca="1" ref="C130" ca="1">IF(B130&lt;=$C$9,GetGetCDSName(B130),"")</f>
        <v>RENAULT_MMR.EUR.SU</v>
      </c>
      <c r="D130" s="347">
        <v>0</v>
      </c>
      <c r="E130" s="380">
        <v>0</v>
      </c>
      <c r="F130" s="299">
        <v>1</v>
      </c>
      <c r="G130" s="299">
        <v>0</v>
      </c>
      <c r="H130" s="299">
        <v>0</v>
      </c>
      <c r="I130" s="299">
        <v>1</v>
      </c>
      <c r="J130" s="299">
        <v>0</v>
      </c>
      <c r="K130" s="299"/>
      <c r="L130" s="299"/>
      <c r="M130" s="299"/>
      <c r="N130" s="381"/>
      <c r="O130" s="274"/>
      <c r="P130" s="274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  <c r="AA130" s="274"/>
      <c r="AB130" s="274"/>
      <c r="AC130" s="274"/>
      <c r="AD130" s="274"/>
      <c r="AE130" s="274"/>
    </row>
    <row r="131" spans="2:31" ht="15">
      <c r="B131" s="379">
        <f t="shared" si="5"/>
        <v>86</v>
      </c>
      <c r="C131" s="387" t="str" cm="1">
        <f t="array" aca="1" ref="C131" ca="1">IF(B131&lt;=$C$9,GetGetCDSName(B131),"")</f>
        <v>REPSOL_MMR.EUR.SU</v>
      </c>
      <c r="D131" s="347">
        <v>0</v>
      </c>
      <c r="E131" s="380">
        <v>1</v>
      </c>
      <c r="F131" s="299">
        <v>0</v>
      </c>
      <c r="G131" s="299">
        <v>1</v>
      </c>
      <c r="H131" s="299">
        <v>0</v>
      </c>
      <c r="I131" s="299">
        <v>0</v>
      </c>
      <c r="J131" s="299">
        <v>0</v>
      </c>
      <c r="K131" s="299"/>
      <c r="L131" s="299"/>
      <c r="M131" s="299"/>
      <c r="N131" s="381"/>
      <c r="O131" s="274"/>
      <c r="P131" s="274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4"/>
      <c r="AC131" s="274"/>
      <c r="AD131" s="274"/>
      <c r="AE131" s="274"/>
    </row>
    <row r="132" spans="2:31" ht="15">
      <c r="B132" s="379">
        <f t="shared" si="5"/>
        <v>87</v>
      </c>
      <c r="C132" s="387" t="str" cm="1">
        <f t="array" aca="1" ref="C132" ca="1">IF(B132&lt;=$C$9,GetGetCDSName(B132),"")</f>
        <v>REUTERS_MMR.EUR.SU</v>
      </c>
      <c r="D132" s="347">
        <v>0</v>
      </c>
      <c r="E132" s="380">
        <v>1</v>
      </c>
      <c r="F132" s="299">
        <v>0</v>
      </c>
      <c r="G132" s="299">
        <v>0</v>
      </c>
      <c r="H132" s="299">
        <v>1</v>
      </c>
      <c r="I132" s="299">
        <v>0</v>
      </c>
      <c r="J132" s="299">
        <v>0</v>
      </c>
      <c r="K132" s="299"/>
      <c r="L132" s="299"/>
      <c r="M132" s="299"/>
      <c r="N132" s="381"/>
      <c r="O132" s="274"/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4"/>
      <c r="AC132" s="274"/>
      <c r="AD132" s="274"/>
      <c r="AE132" s="274"/>
    </row>
    <row r="133" spans="2:31" ht="15">
      <c r="B133" s="379">
        <f t="shared" si="5"/>
        <v>88</v>
      </c>
      <c r="C133" s="387" t="str" cm="1">
        <f t="array" aca="1" ref="C133" ca="1">IF(B133&lt;=$C$9,GetGetCDSName(B133),"")</f>
        <v>ROYALBANKSCOTLAND_MMR.EUR.SU</v>
      </c>
      <c r="D133" s="347">
        <v>0</v>
      </c>
      <c r="E133" s="380">
        <v>0</v>
      </c>
      <c r="F133" s="299">
        <v>0</v>
      </c>
      <c r="G133" s="299">
        <v>1</v>
      </c>
      <c r="H133" s="299">
        <v>1</v>
      </c>
      <c r="I133" s="299">
        <v>1</v>
      </c>
      <c r="J133" s="299">
        <v>0</v>
      </c>
      <c r="K133" s="299"/>
      <c r="L133" s="299"/>
      <c r="M133" s="299"/>
      <c r="N133" s="381"/>
      <c r="O133" s="274"/>
      <c r="P133" s="274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4"/>
      <c r="AC133" s="274"/>
      <c r="AD133" s="274"/>
      <c r="AE133" s="274"/>
    </row>
    <row r="134" spans="2:31" ht="15">
      <c r="B134" s="379">
        <f t="shared" si="5"/>
        <v>89</v>
      </c>
      <c r="C134" s="387" t="str" cm="1">
        <f t="array" aca="1" ref="C134" ca="1">IF(B134&lt;=$C$9,GetGetCDSName(B134),"")</f>
        <v>RWE_MMR.EUR.SU</v>
      </c>
      <c r="D134" s="347">
        <v>0</v>
      </c>
      <c r="E134" s="380">
        <v>0</v>
      </c>
      <c r="F134" s="299">
        <v>0</v>
      </c>
      <c r="G134" s="299">
        <v>0</v>
      </c>
      <c r="H134" s="299">
        <v>1</v>
      </c>
      <c r="I134" s="299">
        <v>1</v>
      </c>
      <c r="J134" s="299">
        <v>0</v>
      </c>
      <c r="K134" s="299"/>
      <c r="L134" s="299"/>
      <c r="M134" s="299"/>
      <c r="N134" s="381"/>
      <c r="O134" s="274"/>
      <c r="P134" s="274"/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4"/>
      <c r="AC134" s="274"/>
      <c r="AD134" s="274"/>
      <c r="AE134" s="274"/>
    </row>
    <row r="135" spans="2:31" ht="15">
      <c r="B135" s="379">
        <f t="shared" si="5"/>
        <v>90</v>
      </c>
      <c r="C135" s="387" t="str" cm="1">
        <f t="array" aca="1" ref="C135" ca="1">IF(B135&lt;=$C$9,GetGetCDSName(B135),"")</f>
        <v>SAFEWAYPLC_MMR.EUR.SU</v>
      </c>
      <c r="D135" s="347">
        <v>0</v>
      </c>
      <c r="E135" s="380">
        <v>0</v>
      </c>
      <c r="F135" s="299">
        <v>1</v>
      </c>
      <c r="G135" s="299">
        <v>0</v>
      </c>
      <c r="H135" s="299">
        <v>1</v>
      </c>
      <c r="I135" s="299">
        <v>0</v>
      </c>
      <c r="J135" s="299">
        <v>0</v>
      </c>
      <c r="K135" s="299"/>
      <c r="L135" s="299"/>
      <c r="M135" s="299"/>
      <c r="N135" s="381"/>
      <c r="O135" s="274"/>
      <c r="P135" s="274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4"/>
      <c r="AC135" s="274"/>
      <c r="AD135" s="274"/>
      <c r="AE135" s="274"/>
    </row>
    <row r="136" spans="2:31" ht="15">
      <c r="B136" s="379">
        <f t="shared" si="5"/>
        <v>91</v>
      </c>
      <c r="C136" s="387" t="str" cm="1">
        <f t="array" aca="1" ref="C136" ca="1">IF(B136&lt;=$C$9,GetGetCDSName(B136),"")</f>
        <v>SANOFIAVENTIS_MMR.EUR.SU</v>
      </c>
      <c r="D136" s="347">
        <v>0</v>
      </c>
      <c r="E136" s="380">
        <v>0</v>
      </c>
      <c r="F136" s="299">
        <v>1</v>
      </c>
      <c r="G136" s="299">
        <v>1</v>
      </c>
      <c r="H136" s="299">
        <v>0</v>
      </c>
      <c r="I136" s="299">
        <v>0</v>
      </c>
      <c r="J136" s="299">
        <v>1</v>
      </c>
      <c r="K136" s="299"/>
      <c r="L136" s="299"/>
      <c r="M136" s="299"/>
      <c r="N136" s="381"/>
      <c r="O136" s="274"/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C136" s="274"/>
      <c r="AD136" s="274"/>
      <c r="AE136" s="274"/>
    </row>
    <row r="137" spans="2:31" ht="15">
      <c r="B137" s="379">
        <f t="shared" si="5"/>
        <v>92</v>
      </c>
      <c r="C137" s="387" t="str" cm="1">
        <f t="array" aca="1" ref="C137" ca="1">IF(B137&lt;=$C$9,GetGetCDSName(B137),"")</f>
        <v>SIEMENS_MMR.EUR.SU</v>
      </c>
      <c r="D137" s="347">
        <v>0</v>
      </c>
      <c r="E137" s="380">
        <v>0</v>
      </c>
      <c r="F137" s="299">
        <v>1</v>
      </c>
      <c r="G137" s="299">
        <v>0</v>
      </c>
      <c r="H137" s="299">
        <v>0</v>
      </c>
      <c r="I137" s="299">
        <v>1</v>
      </c>
      <c r="J137" s="299">
        <v>1</v>
      </c>
      <c r="K137" s="299"/>
      <c r="L137" s="299"/>
      <c r="M137" s="299"/>
      <c r="N137" s="381"/>
      <c r="O137" s="274"/>
      <c r="P137" s="274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4"/>
      <c r="AC137" s="274"/>
      <c r="AD137" s="274"/>
      <c r="AE137" s="274"/>
    </row>
    <row r="138" spans="2:31" ht="15">
      <c r="B138" s="379">
        <f t="shared" si="5"/>
        <v>93</v>
      </c>
      <c r="C138" s="387" t="str" cm="1">
        <f t="array" aca="1" ref="C138" ca="1">IF(B138&lt;=$C$9,GetGetCDSName(B138),"")</f>
        <v>SODEXHOALLIANCE_MMR.EUR.SU</v>
      </c>
      <c r="D138" s="347">
        <v>0</v>
      </c>
      <c r="E138" s="380">
        <v>1</v>
      </c>
      <c r="F138" s="299">
        <v>1</v>
      </c>
      <c r="G138" s="299">
        <v>0</v>
      </c>
      <c r="H138" s="299">
        <v>0</v>
      </c>
      <c r="I138" s="299">
        <v>1</v>
      </c>
      <c r="J138" s="299">
        <v>0</v>
      </c>
      <c r="K138" s="299"/>
      <c r="L138" s="299"/>
      <c r="M138" s="299"/>
      <c r="N138" s="381"/>
      <c r="O138" s="274"/>
      <c r="P138" s="274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4"/>
      <c r="AC138" s="274"/>
      <c r="AD138" s="274"/>
      <c r="AE138" s="274"/>
    </row>
    <row r="139" spans="2:31" ht="15">
      <c r="B139" s="379">
        <f t="shared" si="5"/>
        <v>94</v>
      </c>
      <c r="C139" s="387" t="str" cm="1">
        <f t="array" aca="1" ref="C139" ca="1">IF(B139&lt;=$C$9,GetGetCDSName(B139),"")</f>
        <v>SOLVAY_MMR.EUR.SU</v>
      </c>
      <c r="D139" s="347">
        <v>0</v>
      </c>
      <c r="E139" s="380">
        <v>1</v>
      </c>
      <c r="F139" s="299">
        <v>0</v>
      </c>
      <c r="G139" s="299">
        <v>0</v>
      </c>
      <c r="H139" s="299">
        <v>0</v>
      </c>
      <c r="I139" s="299">
        <v>1</v>
      </c>
      <c r="J139" s="299">
        <v>0</v>
      </c>
      <c r="K139" s="299"/>
      <c r="L139" s="299"/>
      <c r="M139" s="299"/>
      <c r="N139" s="381"/>
      <c r="O139" s="274"/>
      <c r="P139" s="274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4"/>
      <c r="AC139" s="274"/>
      <c r="AD139" s="274"/>
      <c r="AE139" s="274"/>
    </row>
    <row r="140" spans="2:31" ht="15">
      <c r="B140" s="379">
        <f t="shared" si="5"/>
        <v>95</v>
      </c>
      <c r="C140" s="387" t="str" cm="1">
        <f t="array" aca="1" ref="C140" ca="1">IF(B140&lt;=$C$9,GetGetCDSName(B140),"")</f>
        <v>STGOBAIN_MMR.EUR.SU</v>
      </c>
      <c r="D140" s="347">
        <v>0</v>
      </c>
      <c r="E140" s="380">
        <v>1</v>
      </c>
      <c r="F140" s="299">
        <v>1</v>
      </c>
      <c r="G140" s="299">
        <v>0</v>
      </c>
      <c r="H140" s="299">
        <v>0</v>
      </c>
      <c r="I140" s="299">
        <v>1</v>
      </c>
      <c r="J140" s="299">
        <v>0</v>
      </c>
      <c r="K140" s="299"/>
      <c r="L140" s="299"/>
      <c r="M140" s="299"/>
      <c r="N140" s="381"/>
      <c r="O140" s="274"/>
      <c r="P140" s="274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4"/>
      <c r="AC140" s="274"/>
      <c r="AD140" s="274"/>
      <c r="AE140" s="274"/>
    </row>
    <row r="141" spans="2:31" ht="15">
      <c r="B141" s="379">
        <f t="shared" si="5"/>
        <v>96</v>
      </c>
      <c r="C141" s="387" t="str" cm="1">
        <f t="array" aca="1" ref="C141" ca="1">IF(B141&lt;=$C$9,GetGetCDSName(B141),"")</f>
        <v>STMICRO_MMR.EUR.SU</v>
      </c>
      <c r="D141" s="347">
        <v>0</v>
      </c>
      <c r="E141" s="380">
        <v>0</v>
      </c>
      <c r="F141" s="299">
        <v>0</v>
      </c>
      <c r="G141" s="299">
        <v>0</v>
      </c>
      <c r="H141" s="299">
        <v>0</v>
      </c>
      <c r="I141" s="299">
        <v>0</v>
      </c>
      <c r="J141" s="299">
        <v>1</v>
      </c>
      <c r="K141" s="299"/>
      <c r="L141" s="299"/>
      <c r="M141" s="299"/>
      <c r="N141" s="381"/>
      <c r="O141" s="274"/>
      <c r="P141" s="274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4"/>
      <c r="AC141" s="274"/>
      <c r="AD141" s="274"/>
      <c r="AE141" s="274"/>
    </row>
    <row r="142" spans="2:31" ht="15">
      <c r="B142" s="379">
        <f t="shared" si="5"/>
        <v>97</v>
      </c>
      <c r="C142" s="387" t="str" cm="1">
        <f t="array" aca="1" ref="C142" ca="1">IF(B142&lt;=$C$9,GetGetCDSName(B142),"")</f>
        <v>SUEDZUCKERAG_MMR.EUR.SU</v>
      </c>
      <c r="D142" s="347">
        <v>0</v>
      </c>
      <c r="E142" s="380">
        <v>1</v>
      </c>
      <c r="F142" s="299">
        <v>0</v>
      </c>
      <c r="G142" s="299">
        <v>0</v>
      </c>
      <c r="H142" s="299">
        <v>0</v>
      </c>
      <c r="I142" s="299">
        <v>0</v>
      </c>
      <c r="J142" s="299">
        <v>0</v>
      </c>
      <c r="K142" s="299"/>
      <c r="L142" s="299"/>
      <c r="M142" s="299"/>
      <c r="N142" s="381"/>
      <c r="O142" s="274"/>
      <c r="P142" s="274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4"/>
      <c r="AC142" s="274"/>
      <c r="AD142" s="274"/>
      <c r="AE142" s="274"/>
    </row>
    <row r="143" spans="2:31" ht="15">
      <c r="B143" s="379">
        <f t="shared" si="5"/>
        <v>98</v>
      </c>
      <c r="C143" s="387" t="str" cm="1">
        <f t="array" aca="1" ref="C143" ca="1">IF(B143&lt;=$C$9,GetGetCDSName(B143),"")</f>
        <v>SUEZLYONNAISE_MMR.EUR.SU</v>
      </c>
      <c r="D143" s="347">
        <v>0</v>
      </c>
      <c r="E143" s="380">
        <v>0</v>
      </c>
      <c r="F143" s="299">
        <v>0</v>
      </c>
      <c r="G143" s="299">
        <v>1</v>
      </c>
      <c r="H143" s="299">
        <v>0</v>
      </c>
      <c r="I143" s="299">
        <v>0</v>
      </c>
      <c r="J143" s="299">
        <v>0</v>
      </c>
      <c r="K143" s="299"/>
      <c r="L143" s="299"/>
      <c r="M143" s="299"/>
      <c r="N143" s="381"/>
      <c r="O143" s="274"/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C143" s="274"/>
      <c r="AD143" s="274"/>
      <c r="AE143" s="274"/>
    </row>
    <row r="144" spans="2:31" ht="15">
      <c r="B144" s="379">
        <f t="shared" si="5"/>
        <v>99</v>
      </c>
      <c r="C144" s="387" t="str" cm="1">
        <f t="array" aca="1" ref="C144" ca="1">IF(B144&lt;=$C$9,GetGetCDSName(B144),"")</f>
        <v>SVENSKACELLULOSAAB_MMR.EUR.SU</v>
      </c>
      <c r="D144" s="347">
        <v>0</v>
      </c>
      <c r="E144" s="380">
        <v>0</v>
      </c>
      <c r="F144" s="299">
        <v>0</v>
      </c>
      <c r="G144" s="299">
        <v>0</v>
      </c>
      <c r="H144" s="299">
        <v>0</v>
      </c>
      <c r="I144" s="299">
        <v>1</v>
      </c>
      <c r="J144" s="299">
        <v>0</v>
      </c>
      <c r="K144" s="299"/>
      <c r="L144" s="299"/>
      <c r="M144" s="299"/>
      <c r="N144" s="381"/>
      <c r="O144" s="274"/>
      <c r="P144" s="274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4"/>
      <c r="AC144" s="274"/>
      <c r="AD144" s="274"/>
      <c r="AE144" s="274"/>
    </row>
    <row r="145" spans="2:31" ht="15">
      <c r="B145" s="379">
        <f t="shared" si="5"/>
        <v>100</v>
      </c>
      <c r="C145" s="387" t="str" cm="1">
        <f t="array" aca="1" ref="C145" ca="1">IF(B145&lt;=$C$9,GetGetCDSName(B145),"")</f>
        <v>SWISSRE_MMR.EUR.SU</v>
      </c>
      <c r="D145" s="347">
        <v>0</v>
      </c>
      <c r="E145" s="380">
        <v>0</v>
      </c>
      <c r="F145" s="299">
        <v>0</v>
      </c>
      <c r="G145" s="299">
        <v>1</v>
      </c>
      <c r="H145" s="299">
        <v>0</v>
      </c>
      <c r="I145" s="299">
        <v>1</v>
      </c>
      <c r="J145" s="299">
        <v>1</v>
      </c>
      <c r="K145" s="299"/>
      <c r="L145" s="299"/>
      <c r="M145" s="299"/>
      <c r="N145" s="381"/>
      <c r="O145" s="274"/>
      <c r="P145" s="274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4"/>
      <c r="AC145" s="274"/>
      <c r="AD145" s="274"/>
      <c r="AE145" s="274"/>
    </row>
    <row r="146" spans="2:31" ht="15">
      <c r="B146" s="379">
        <f t="shared" si="5"/>
        <v>101</v>
      </c>
      <c r="C146" s="387" t="str" cm="1">
        <f t="array" aca="1" ref="C146" ca="1">IF(B146&lt;=$C$9,GetGetCDSName(B146),"")</f>
        <v>TATE&amp;LYLE_MMR.EUR.SU</v>
      </c>
      <c r="D146" s="347">
        <v>0</v>
      </c>
      <c r="E146" s="380">
        <v>0</v>
      </c>
      <c r="F146" s="299">
        <v>1</v>
      </c>
      <c r="G146" s="299">
        <v>1</v>
      </c>
      <c r="H146" s="299">
        <v>0</v>
      </c>
      <c r="I146" s="299">
        <v>0</v>
      </c>
      <c r="J146" s="299">
        <v>0</v>
      </c>
      <c r="K146" s="299"/>
      <c r="L146" s="299"/>
      <c r="M146" s="299"/>
      <c r="N146" s="381"/>
      <c r="O146" s="274"/>
      <c r="P146" s="274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4"/>
      <c r="AC146" s="274"/>
      <c r="AD146" s="274"/>
      <c r="AE146" s="274"/>
    </row>
    <row r="147" spans="2:31" ht="15">
      <c r="B147" s="379">
        <f t="shared" si="5"/>
        <v>102</v>
      </c>
      <c r="C147" s="387" t="str" cm="1">
        <f t="array" aca="1" ref="C147" ca="1">IF(B147&lt;=$C$9,GetGetCDSName(B147),"")</f>
        <v>TELECOMITALIA_MMR.EUR.SU</v>
      </c>
      <c r="D147" s="347">
        <v>0</v>
      </c>
      <c r="E147" s="380">
        <v>1</v>
      </c>
      <c r="F147" s="299">
        <v>1</v>
      </c>
      <c r="G147" s="299">
        <v>0</v>
      </c>
      <c r="H147" s="299">
        <v>0</v>
      </c>
      <c r="I147" s="299">
        <v>0</v>
      </c>
      <c r="J147" s="299">
        <v>0</v>
      </c>
      <c r="K147" s="299"/>
      <c r="L147" s="299"/>
      <c r="M147" s="299"/>
      <c r="N147" s="381"/>
      <c r="O147" s="274"/>
      <c r="P147" s="274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4"/>
      <c r="AC147" s="274"/>
      <c r="AD147" s="274"/>
      <c r="AE147" s="274"/>
    </row>
    <row r="148" spans="2:31" ht="15">
      <c r="B148" s="379">
        <f t="shared" si="5"/>
        <v>103</v>
      </c>
      <c r="C148" s="387" t="str" cm="1">
        <f t="array" aca="1" ref="C148" ca="1">IF(B148&lt;=$C$9,GetGetCDSName(B148),"")</f>
        <v>TELEFONICA_MMR.EUR.SU</v>
      </c>
      <c r="D148" s="347">
        <v>0</v>
      </c>
      <c r="E148" s="380">
        <v>0</v>
      </c>
      <c r="F148" s="299">
        <v>0</v>
      </c>
      <c r="G148" s="299">
        <v>0</v>
      </c>
      <c r="H148" s="299">
        <v>1</v>
      </c>
      <c r="I148" s="299">
        <v>0</v>
      </c>
      <c r="J148" s="299">
        <v>0</v>
      </c>
      <c r="K148" s="299"/>
      <c r="L148" s="299"/>
      <c r="M148" s="299"/>
      <c r="N148" s="381"/>
      <c r="O148" s="274"/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C148" s="274"/>
      <c r="AD148" s="274"/>
      <c r="AE148" s="274"/>
    </row>
    <row r="149" spans="2:31" ht="15">
      <c r="B149" s="379">
        <f t="shared" si="5"/>
        <v>104</v>
      </c>
      <c r="C149" s="387" t="str" cm="1">
        <f t="array" aca="1" ref="C149" ca="1">IF(B149&lt;=$C$9,GetGetCDSName(B149),"")</f>
        <v>TELEKOMAUSTRIA_MMR.EUR.SU</v>
      </c>
      <c r="D149" s="347">
        <v>0</v>
      </c>
      <c r="E149" s="380">
        <v>0</v>
      </c>
      <c r="F149" s="299">
        <v>0</v>
      </c>
      <c r="G149" s="299">
        <v>0</v>
      </c>
      <c r="H149" s="299">
        <v>0</v>
      </c>
      <c r="I149" s="299">
        <v>0</v>
      </c>
      <c r="J149" s="299">
        <v>1</v>
      </c>
      <c r="K149" s="299"/>
      <c r="L149" s="299"/>
      <c r="M149" s="299"/>
      <c r="N149" s="381"/>
      <c r="O149" s="274"/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C149" s="274"/>
      <c r="AD149" s="274"/>
      <c r="AE149" s="274"/>
    </row>
    <row r="150" spans="2:31" ht="15">
      <c r="B150" s="379">
        <f t="shared" si="5"/>
        <v>105</v>
      </c>
      <c r="C150" s="387" t="str" cm="1">
        <f t="array" aca="1" ref="C150" ca="1">IF(B150&lt;=$C$9,GetGetCDSName(B150),"")</f>
        <v>TELENOR_MMR.EUR.SU</v>
      </c>
      <c r="D150" s="347">
        <v>0</v>
      </c>
      <c r="E150" s="380">
        <v>0</v>
      </c>
      <c r="F150" s="299">
        <v>1</v>
      </c>
      <c r="G150" s="299">
        <v>0</v>
      </c>
      <c r="H150" s="299">
        <v>1</v>
      </c>
      <c r="I150" s="299">
        <v>1</v>
      </c>
      <c r="J150" s="299">
        <v>0</v>
      </c>
      <c r="K150" s="299"/>
      <c r="L150" s="299"/>
      <c r="M150" s="299"/>
      <c r="N150" s="381"/>
      <c r="O150" s="274"/>
      <c r="P150" s="274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4"/>
      <c r="AC150" s="274"/>
      <c r="AD150" s="274"/>
      <c r="AE150" s="274"/>
    </row>
    <row r="151" spans="2:31" ht="15">
      <c r="B151" s="379">
        <f t="shared" si="5"/>
        <v>106</v>
      </c>
      <c r="C151" s="387" t="str" cm="1">
        <f t="array" aca="1" ref="C151" ca="1">IF(B151&lt;=$C$9,GetGetCDSName(B151),"")</f>
        <v>TELIA_MMR.EUR.SU</v>
      </c>
      <c r="D151" s="347">
        <v>0</v>
      </c>
      <c r="E151" s="380">
        <v>0</v>
      </c>
      <c r="F151" s="299">
        <v>0</v>
      </c>
      <c r="G151" s="299">
        <v>0</v>
      </c>
      <c r="H151" s="299">
        <v>0</v>
      </c>
      <c r="I151" s="299">
        <v>1</v>
      </c>
      <c r="J151" s="299">
        <v>0</v>
      </c>
      <c r="K151" s="299"/>
      <c r="L151" s="299"/>
      <c r="M151" s="299"/>
      <c r="N151" s="381"/>
      <c r="O151" s="274"/>
      <c r="P151" s="274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  <c r="AA151" s="274"/>
      <c r="AB151" s="274"/>
      <c r="AC151" s="274"/>
      <c r="AD151" s="274"/>
      <c r="AE151" s="274"/>
    </row>
    <row r="152" spans="2:31" ht="15">
      <c r="B152" s="379">
        <f t="shared" si="5"/>
        <v>107</v>
      </c>
      <c r="C152" s="387" t="str" cm="1">
        <f t="array" aca="1" ref="C152" ca="1">IF(B152&lt;=$C$9,GetGetCDSName(B152),"")</f>
        <v>TESCO_MMR.EUR.SU</v>
      </c>
      <c r="D152" s="347">
        <v>0</v>
      </c>
      <c r="E152" s="380">
        <v>0</v>
      </c>
      <c r="F152" s="299">
        <v>0</v>
      </c>
      <c r="G152" s="299">
        <v>1</v>
      </c>
      <c r="H152" s="299">
        <v>0</v>
      </c>
      <c r="I152" s="299">
        <v>0</v>
      </c>
      <c r="J152" s="299">
        <v>0</v>
      </c>
      <c r="K152" s="299"/>
      <c r="L152" s="299"/>
      <c r="M152" s="299"/>
      <c r="N152" s="381"/>
      <c r="O152" s="274"/>
      <c r="P152" s="274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  <c r="AA152" s="274"/>
      <c r="AB152" s="274"/>
      <c r="AC152" s="274"/>
      <c r="AD152" s="274"/>
      <c r="AE152" s="274"/>
    </row>
    <row r="153" spans="2:31" ht="15">
      <c r="B153" s="379">
        <f t="shared" si="5"/>
        <v>108</v>
      </c>
      <c r="C153" s="387" t="str" cm="1">
        <f t="array" aca="1" ref="C153" ca="1">IF(B153&lt;=$C$9,GetGetCDSName(B153),"")</f>
        <v>THYSSENKRUPPAG_MMR.EUR.SU</v>
      </c>
      <c r="D153" s="347">
        <v>0</v>
      </c>
      <c r="E153" s="380">
        <v>0</v>
      </c>
      <c r="F153" s="299">
        <v>0</v>
      </c>
      <c r="G153" s="299">
        <v>0</v>
      </c>
      <c r="H153" s="299">
        <v>1</v>
      </c>
      <c r="I153" s="299">
        <v>1</v>
      </c>
      <c r="J153" s="299">
        <v>1</v>
      </c>
      <c r="K153" s="299"/>
      <c r="L153" s="299"/>
      <c r="M153" s="299"/>
      <c r="N153" s="381"/>
      <c r="O153" s="274"/>
      <c r="P153" s="274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  <c r="AA153" s="274"/>
      <c r="AB153" s="274"/>
      <c r="AC153" s="274"/>
      <c r="AD153" s="274"/>
      <c r="AE153" s="274"/>
    </row>
    <row r="154" spans="2:31" ht="15">
      <c r="B154" s="379">
        <f t="shared" si="5"/>
        <v>109</v>
      </c>
      <c r="C154" s="387" t="str" cm="1">
        <f t="array" aca="1" ref="C154" ca="1">IF(B154&lt;=$C$9,GetGetCDSName(B154),"")</f>
        <v>UBS_MMR.EUR.SU</v>
      </c>
      <c r="D154" s="347">
        <v>0</v>
      </c>
      <c r="E154" s="380">
        <v>1</v>
      </c>
      <c r="F154" s="299">
        <v>0</v>
      </c>
      <c r="G154" s="299">
        <v>0</v>
      </c>
      <c r="H154" s="299">
        <v>0</v>
      </c>
      <c r="I154" s="299">
        <v>0</v>
      </c>
      <c r="J154" s="299">
        <v>0</v>
      </c>
      <c r="K154" s="299"/>
      <c r="L154" s="299"/>
      <c r="M154" s="299"/>
      <c r="N154" s="381"/>
      <c r="O154" s="274"/>
      <c r="P154" s="274"/>
      <c r="Q154" s="274"/>
      <c r="R154" s="274"/>
      <c r="S154" s="274"/>
      <c r="T154" s="274"/>
      <c r="U154" s="274"/>
      <c r="V154" s="274"/>
      <c r="W154" s="274"/>
      <c r="X154" s="274"/>
      <c r="Y154" s="274"/>
      <c r="Z154" s="274"/>
      <c r="AA154" s="274"/>
      <c r="AB154" s="274"/>
      <c r="AC154" s="274"/>
      <c r="AD154" s="274"/>
      <c r="AE154" s="274"/>
    </row>
    <row r="155" spans="2:31" ht="15">
      <c r="B155" s="379">
        <f t="shared" si="5"/>
        <v>110</v>
      </c>
      <c r="C155" s="387" t="str" cm="1">
        <f t="array" aca="1" ref="C155" ca="1">IF(B155&lt;=$C$9,GetGetCDSName(B155),"")</f>
        <v>UNICREDITOITALIANO_MMR.EUR.SU</v>
      </c>
      <c r="D155" s="347">
        <v>0</v>
      </c>
      <c r="E155" s="380">
        <v>1</v>
      </c>
      <c r="F155" s="299">
        <v>0</v>
      </c>
      <c r="G155" s="299">
        <v>0</v>
      </c>
      <c r="H155" s="299">
        <v>1</v>
      </c>
      <c r="I155" s="299">
        <v>1</v>
      </c>
      <c r="J155" s="299">
        <v>0</v>
      </c>
      <c r="K155" s="299"/>
      <c r="L155" s="299"/>
      <c r="M155" s="299"/>
      <c r="N155" s="381"/>
      <c r="O155" s="274"/>
      <c r="P155" s="274"/>
      <c r="Q155" s="274"/>
      <c r="R155" s="274"/>
      <c r="S155" s="274"/>
      <c r="T155" s="274"/>
      <c r="U155" s="274"/>
      <c r="V155" s="274"/>
      <c r="W155" s="274"/>
      <c r="X155" s="274"/>
      <c r="Y155" s="274"/>
      <c r="Z155" s="274"/>
      <c r="AA155" s="274"/>
      <c r="AB155" s="274"/>
      <c r="AC155" s="274"/>
      <c r="AD155" s="274"/>
      <c r="AE155" s="274"/>
    </row>
    <row r="156" spans="2:31" ht="15">
      <c r="B156" s="379">
        <f t="shared" si="5"/>
        <v>111</v>
      </c>
      <c r="C156" s="387" t="str" cm="1">
        <f t="array" aca="1" ref="C156" ca="1">IF(B156&lt;=$C$9,GetGetCDSName(B156),"")</f>
        <v>UNILEVER_MMR.EUR.SU</v>
      </c>
      <c r="D156" s="347">
        <v>0</v>
      </c>
      <c r="E156" s="380">
        <v>0</v>
      </c>
      <c r="F156" s="299">
        <v>0</v>
      </c>
      <c r="G156" s="299">
        <v>0</v>
      </c>
      <c r="H156" s="299">
        <v>0</v>
      </c>
      <c r="I156" s="299">
        <v>1</v>
      </c>
      <c r="J156" s="299">
        <v>1</v>
      </c>
      <c r="K156" s="299"/>
      <c r="L156" s="299"/>
      <c r="M156" s="299"/>
      <c r="N156" s="381"/>
      <c r="O156" s="274"/>
      <c r="P156" s="274"/>
      <c r="Q156" s="274"/>
      <c r="R156" s="274"/>
      <c r="S156" s="274"/>
      <c r="T156" s="274"/>
      <c r="U156" s="274"/>
      <c r="V156" s="274"/>
      <c r="W156" s="274"/>
      <c r="X156" s="274"/>
      <c r="Y156" s="274"/>
      <c r="Z156" s="274"/>
      <c r="AA156" s="274"/>
      <c r="AB156" s="274"/>
      <c r="AC156" s="274"/>
      <c r="AD156" s="274"/>
      <c r="AE156" s="274"/>
    </row>
    <row r="157" spans="2:31" ht="15">
      <c r="B157" s="379">
        <f t="shared" si="5"/>
        <v>112</v>
      </c>
      <c r="C157" s="387" t="str" cm="1">
        <f t="array" aca="1" ref="C157" ca="1">IF(B157&lt;=$C$9,GetGetCDSName(B157),"")</f>
        <v>UNIONFENOSA_MMR.EUR.SU</v>
      </c>
      <c r="D157" s="347">
        <v>0</v>
      </c>
      <c r="E157" s="380">
        <v>0</v>
      </c>
      <c r="F157" s="299">
        <v>0</v>
      </c>
      <c r="G157" s="299">
        <v>1</v>
      </c>
      <c r="H157" s="299">
        <v>1</v>
      </c>
      <c r="I157" s="299">
        <v>0</v>
      </c>
      <c r="J157" s="299">
        <v>0</v>
      </c>
      <c r="K157" s="299"/>
      <c r="L157" s="299"/>
      <c r="M157" s="299"/>
      <c r="N157" s="381"/>
      <c r="O157" s="274"/>
      <c r="P157" s="274"/>
      <c r="Q157" s="274"/>
      <c r="R157" s="274"/>
      <c r="S157" s="274"/>
      <c r="T157" s="274"/>
      <c r="U157" s="274"/>
      <c r="V157" s="274"/>
      <c r="W157" s="274"/>
      <c r="X157" s="274"/>
      <c r="Y157" s="274"/>
      <c r="Z157" s="274"/>
      <c r="AA157" s="274"/>
      <c r="AB157" s="274"/>
      <c r="AC157" s="274"/>
      <c r="AD157" s="274"/>
      <c r="AE157" s="274"/>
    </row>
    <row r="158" spans="2:31" ht="15">
      <c r="B158" s="379">
        <f t="shared" si="5"/>
        <v>113</v>
      </c>
      <c r="C158" s="387" t="str" cm="1">
        <f t="array" aca="1" ref="C158" ca="1">IF(B158&lt;=$C$9,GetGetCDSName(B158),"")</f>
        <v>UNITEDUTILITIES_MMR.EUR.SU</v>
      </c>
      <c r="D158" s="347">
        <v>0</v>
      </c>
      <c r="E158" s="380">
        <v>0</v>
      </c>
      <c r="F158" s="299">
        <v>0</v>
      </c>
      <c r="G158" s="299">
        <v>0</v>
      </c>
      <c r="H158" s="299">
        <v>0</v>
      </c>
      <c r="I158" s="299">
        <v>0</v>
      </c>
      <c r="J158" s="299">
        <v>1</v>
      </c>
      <c r="K158" s="299"/>
      <c r="L158" s="299"/>
      <c r="M158" s="299"/>
      <c r="N158" s="381"/>
      <c r="O158" s="274"/>
      <c r="P158" s="274"/>
      <c r="Q158" s="274"/>
      <c r="R158" s="274"/>
      <c r="S158" s="274"/>
      <c r="T158" s="274"/>
      <c r="U158" s="274"/>
      <c r="V158" s="274"/>
      <c r="W158" s="274"/>
      <c r="X158" s="274"/>
      <c r="Y158" s="274"/>
      <c r="Z158" s="274"/>
      <c r="AA158" s="274"/>
      <c r="AB158" s="274"/>
      <c r="AC158" s="274"/>
      <c r="AD158" s="274"/>
      <c r="AE158" s="274"/>
    </row>
    <row r="159" spans="2:31" ht="15">
      <c r="B159" s="379">
        <f t="shared" si="5"/>
        <v>114</v>
      </c>
      <c r="C159" s="387" t="str" cm="1">
        <f t="array" aca="1" ref="C159" ca="1">IF(B159&lt;=$C$9,GetGetCDSName(B159),"")</f>
        <v>UPMKYMMENE_MMR.EUR.SU</v>
      </c>
      <c r="D159" s="347">
        <v>0</v>
      </c>
      <c r="E159" s="380">
        <v>0</v>
      </c>
      <c r="F159" s="299">
        <v>1</v>
      </c>
      <c r="G159" s="299">
        <v>0</v>
      </c>
      <c r="H159" s="299">
        <v>0</v>
      </c>
      <c r="I159" s="299">
        <v>0</v>
      </c>
      <c r="J159" s="299">
        <v>0</v>
      </c>
      <c r="K159" s="299"/>
      <c r="L159" s="299"/>
      <c r="M159" s="299"/>
      <c r="N159" s="381"/>
      <c r="O159" s="274"/>
      <c r="P159" s="274"/>
      <c r="Q159" s="274"/>
      <c r="R159" s="274"/>
      <c r="S159" s="274"/>
      <c r="T159" s="274"/>
      <c r="U159" s="274"/>
      <c r="V159" s="274"/>
      <c r="W159" s="274"/>
      <c r="X159" s="274"/>
      <c r="Y159" s="274"/>
      <c r="Z159" s="274"/>
      <c r="AA159" s="274"/>
      <c r="AB159" s="274"/>
      <c r="AC159" s="274"/>
      <c r="AD159" s="274"/>
      <c r="AE159" s="274"/>
    </row>
    <row r="160" spans="2:31" ht="15">
      <c r="B160" s="379">
        <f t="shared" si="5"/>
        <v>115</v>
      </c>
      <c r="C160" s="387" t="str" cm="1">
        <f t="array" aca="1" ref="C160" ca="1">IF(B160&lt;=$C$9,GetGetCDSName(B160),"")</f>
        <v>VALEO_MMR.EUR.SU</v>
      </c>
      <c r="D160" s="347">
        <v>0</v>
      </c>
      <c r="E160" s="380">
        <v>0</v>
      </c>
      <c r="F160" s="299">
        <v>0</v>
      </c>
      <c r="G160" s="299">
        <v>1</v>
      </c>
      <c r="H160" s="299">
        <v>0</v>
      </c>
      <c r="I160" s="299">
        <v>0</v>
      </c>
      <c r="J160" s="299">
        <v>1</v>
      </c>
      <c r="K160" s="299"/>
      <c r="L160" s="299"/>
      <c r="M160" s="299"/>
      <c r="N160" s="381"/>
      <c r="O160" s="274"/>
      <c r="P160" s="274"/>
      <c r="Q160" s="274"/>
      <c r="R160" s="274"/>
      <c r="S160" s="274"/>
      <c r="T160" s="274"/>
      <c r="U160" s="274"/>
      <c r="V160" s="274"/>
      <c r="W160" s="274"/>
      <c r="X160" s="274"/>
      <c r="Y160" s="274"/>
      <c r="Z160" s="274"/>
      <c r="AA160" s="274"/>
      <c r="AB160" s="274"/>
      <c r="AC160" s="274"/>
      <c r="AD160" s="274"/>
      <c r="AE160" s="274"/>
    </row>
    <row r="161" spans="2:31" ht="15">
      <c r="B161" s="379">
        <f t="shared" si="5"/>
        <v>116</v>
      </c>
      <c r="C161" s="387" t="str" cm="1">
        <f t="array" aca="1" ref="C161" ca="1">IF(B161&lt;=$C$9,GetGetCDSName(B161),"")</f>
        <v>VATTENFALLAB_MMR.EUR.SU</v>
      </c>
      <c r="D161" s="347">
        <v>0</v>
      </c>
      <c r="E161" s="380">
        <v>0</v>
      </c>
      <c r="F161" s="299">
        <v>0</v>
      </c>
      <c r="G161" s="299">
        <v>0</v>
      </c>
      <c r="H161" s="299">
        <v>0</v>
      </c>
      <c r="I161" s="299">
        <v>0</v>
      </c>
      <c r="J161" s="299">
        <v>1</v>
      </c>
      <c r="K161" s="299"/>
      <c r="L161" s="299"/>
      <c r="M161" s="299"/>
      <c r="N161" s="381"/>
      <c r="O161" s="274"/>
      <c r="P161" s="274"/>
      <c r="Q161" s="274"/>
      <c r="R161" s="274"/>
      <c r="S161" s="274"/>
      <c r="T161" s="274"/>
      <c r="U161" s="274"/>
      <c r="V161" s="274"/>
      <c r="W161" s="274"/>
      <c r="X161" s="274"/>
      <c r="Y161" s="274"/>
      <c r="Z161" s="274"/>
      <c r="AA161" s="274"/>
      <c r="AB161" s="274"/>
      <c r="AC161" s="274"/>
      <c r="AD161" s="274"/>
      <c r="AE161" s="274"/>
    </row>
    <row r="162" spans="2:31" ht="15">
      <c r="B162" s="379">
        <f t="shared" si="5"/>
        <v>117</v>
      </c>
      <c r="C162" s="387" t="str" cm="1">
        <f t="array" aca="1" ref="C162" ca="1">IF(B162&lt;=$C$9,GetGetCDSName(B162),"")</f>
        <v>VEOLIAENVIRONNEMENT_MMR.EUR.SU</v>
      </c>
      <c r="D162" s="347">
        <v>0</v>
      </c>
      <c r="E162" s="380">
        <v>0</v>
      </c>
      <c r="F162" s="299">
        <v>0</v>
      </c>
      <c r="G162" s="299">
        <v>1</v>
      </c>
      <c r="H162" s="299">
        <v>0</v>
      </c>
      <c r="I162" s="299">
        <v>1</v>
      </c>
      <c r="J162" s="299">
        <v>0</v>
      </c>
      <c r="K162" s="299"/>
      <c r="L162" s="299"/>
      <c r="M162" s="299"/>
      <c r="N162" s="381"/>
      <c r="O162" s="274"/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C162" s="274"/>
      <c r="AD162" s="274"/>
      <c r="AE162" s="274"/>
    </row>
    <row r="163" spans="2:31" ht="15">
      <c r="B163" s="379">
        <f t="shared" si="5"/>
        <v>118</v>
      </c>
      <c r="C163" s="387" t="str" cm="1">
        <f t="array" aca="1" ref="C163" ca="1">IF(B163&lt;=$C$9,GetGetCDSName(B163),"")</f>
        <v>VINCI_MMR.EUR.SU</v>
      </c>
      <c r="D163" s="347">
        <v>0</v>
      </c>
      <c r="E163" s="380">
        <v>0</v>
      </c>
      <c r="F163" s="299">
        <v>1</v>
      </c>
      <c r="G163" s="299">
        <v>0</v>
      </c>
      <c r="H163" s="299">
        <v>0</v>
      </c>
      <c r="I163" s="299">
        <v>0</v>
      </c>
      <c r="J163" s="299">
        <v>0</v>
      </c>
      <c r="K163" s="299"/>
      <c r="L163" s="299"/>
      <c r="M163" s="299"/>
      <c r="N163" s="381"/>
      <c r="O163" s="274"/>
      <c r="P163" s="274"/>
      <c r="Q163" s="274"/>
      <c r="R163" s="274"/>
      <c r="S163" s="274"/>
      <c r="T163" s="274"/>
      <c r="U163" s="274"/>
      <c r="V163" s="274"/>
      <c r="W163" s="274"/>
      <c r="X163" s="274"/>
      <c r="Y163" s="274"/>
      <c r="Z163" s="274"/>
      <c r="AA163" s="274"/>
      <c r="AB163" s="274"/>
      <c r="AC163" s="274"/>
      <c r="AD163" s="274"/>
      <c r="AE163" s="274"/>
    </row>
    <row r="164" spans="2:31" ht="15">
      <c r="B164" s="379">
        <f t="shared" si="5"/>
        <v>119</v>
      </c>
      <c r="C164" s="387" t="str" cm="1">
        <f t="array" aca="1" ref="C164" ca="1">IF(B164&lt;=$C$9,GetGetCDSName(B164),"")</f>
        <v>VIVENDI_MMR.EUR.SU</v>
      </c>
      <c r="D164" s="347">
        <v>0</v>
      </c>
      <c r="E164" s="380">
        <v>0</v>
      </c>
      <c r="F164" s="299">
        <v>0</v>
      </c>
      <c r="G164" s="299">
        <v>1</v>
      </c>
      <c r="H164" s="299">
        <v>0</v>
      </c>
      <c r="I164" s="299">
        <v>0</v>
      </c>
      <c r="J164" s="299">
        <v>0</v>
      </c>
      <c r="K164" s="299"/>
      <c r="L164" s="299"/>
      <c r="M164" s="299"/>
      <c r="N164" s="381"/>
      <c r="O164" s="274"/>
      <c r="P164" s="274"/>
      <c r="Q164" s="274"/>
      <c r="R164" s="274"/>
      <c r="S164" s="274"/>
      <c r="T164" s="274"/>
      <c r="U164" s="274"/>
      <c r="V164" s="274"/>
      <c r="W164" s="274"/>
      <c r="X164" s="274"/>
      <c r="Y164" s="274"/>
      <c r="Z164" s="274"/>
      <c r="AA164" s="274"/>
      <c r="AB164" s="274"/>
      <c r="AC164" s="274"/>
      <c r="AD164" s="274"/>
      <c r="AE164" s="274"/>
    </row>
    <row r="165" spans="2:31" ht="15">
      <c r="B165" s="379">
        <f t="shared" si="5"/>
        <v>120</v>
      </c>
      <c r="C165" s="387" t="str" cm="1">
        <f t="array" aca="1" ref="C165" ca="1">IF(B165&lt;=$C$9,GetGetCDSName(B165),"")</f>
        <v>VODAFONE_MMR.EUR.SU</v>
      </c>
      <c r="D165" s="347">
        <v>0</v>
      </c>
      <c r="E165" s="380">
        <v>1</v>
      </c>
      <c r="F165" s="299">
        <v>0</v>
      </c>
      <c r="G165" s="299">
        <v>0</v>
      </c>
      <c r="H165" s="299">
        <v>0</v>
      </c>
      <c r="I165" s="299">
        <v>0</v>
      </c>
      <c r="J165" s="299">
        <v>0</v>
      </c>
      <c r="K165" s="299"/>
      <c r="L165" s="299"/>
      <c r="M165" s="299"/>
      <c r="N165" s="381"/>
      <c r="O165" s="274"/>
      <c r="P165" s="274"/>
      <c r="Q165" s="274"/>
      <c r="R165" s="274"/>
      <c r="S165" s="274"/>
      <c r="T165" s="274"/>
      <c r="U165" s="274"/>
      <c r="V165" s="274"/>
      <c r="W165" s="274"/>
      <c r="X165" s="274"/>
      <c r="Y165" s="274"/>
      <c r="Z165" s="274"/>
      <c r="AA165" s="274"/>
      <c r="AB165" s="274"/>
      <c r="AC165" s="274"/>
      <c r="AD165" s="274"/>
      <c r="AE165" s="274"/>
    </row>
    <row r="166" spans="2:31" ht="15">
      <c r="B166" s="379">
        <f t="shared" si="5"/>
        <v>121</v>
      </c>
      <c r="C166" s="387" t="str" cm="1">
        <f t="array" aca="1" ref="C166" ca="1">IF(B166&lt;=$C$9,GetGetCDSName(B166),"")</f>
        <v>VOLVO_MMR.EUR.SU</v>
      </c>
      <c r="D166" s="347">
        <v>0</v>
      </c>
      <c r="E166" s="380">
        <v>0</v>
      </c>
      <c r="F166" s="299">
        <v>0</v>
      </c>
      <c r="G166" s="299">
        <v>0</v>
      </c>
      <c r="H166" s="299">
        <v>1</v>
      </c>
      <c r="I166" s="299">
        <v>0</v>
      </c>
      <c r="J166" s="299">
        <v>1</v>
      </c>
      <c r="K166" s="299"/>
      <c r="L166" s="299"/>
      <c r="M166" s="299"/>
      <c r="N166" s="381"/>
      <c r="O166" s="274"/>
      <c r="P166" s="274"/>
      <c r="Q166" s="274"/>
      <c r="R166" s="274"/>
      <c r="S166" s="274"/>
      <c r="T166" s="274"/>
      <c r="U166" s="274"/>
      <c r="V166" s="274"/>
      <c r="W166" s="274"/>
      <c r="X166" s="274"/>
      <c r="Y166" s="274"/>
      <c r="Z166" s="274"/>
      <c r="AA166" s="274"/>
      <c r="AB166" s="274"/>
      <c r="AC166" s="274"/>
      <c r="AD166" s="274"/>
      <c r="AE166" s="274"/>
    </row>
    <row r="167" spans="2:31" ht="15">
      <c r="B167" s="379">
        <f t="shared" si="5"/>
        <v>122</v>
      </c>
      <c r="C167" s="387" t="str" cm="1">
        <f t="array" aca="1" ref="C167" ca="1">IF(B167&lt;=$C$9,GetGetCDSName(B167),"")</f>
        <v>VW_MMR.EUR.SU</v>
      </c>
      <c r="D167" s="347">
        <v>0</v>
      </c>
      <c r="E167" s="380">
        <v>1</v>
      </c>
      <c r="F167" s="299">
        <v>0</v>
      </c>
      <c r="G167" s="299">
        <v>0</v>
      </c>
      <c r="H167" s="299">
        <v>0</v>
      </c>
      <c r="I167" s="299">
        <v>0</v>
      </c>
      <c r="J167" s="299">
        <v>0</v>
      </c>
      <c r="K167" s="299"/>
      <c r="L167" s="299"/>
      <c r="M167" s="299"/>
      <c r="N167" s="381"/>
      <c r="O167" s="274"/>
      <c r="P167" s="274"/>
      <c r="Q167" s="274"/>
      <c r="R167" s="274"/>
      <c r="S167" s="274"/>
      <c r="T167" s="274"/>
      <c r="U167" s="274"/>
      <c r="V167" s="274"/>
      <c r="W167" s="274"/>
      <c r="X167" s="274"/>
      <c r="Y167" s="274"/>
      <c r="Z167" s="274"/>
      <c r="AA167" s="274"/>
      <c r="AB167" s="274"/>
      <c r="AC167" s="274"/>
      <c r="AD167" s="274"/>
      <c r="AE167" s="274"/>
    </row>
    <row r="168" spans="2:31" ht="15">
      <c r="B168" s="379">
        <f t="shared" si="5"/>
        <v>123</v>
      </c>
      <c r="C168" s="387" t="str" cm="1">
        <f t="array" aca="1" ref="C168" ca="1">IF(B168&lt;=$C$9,GetGetCDSName(B168),"")</f>
        <v>WOLTERSKLUWERCVA_MMR.EUR.SU</v>
      </c>
      <c r="D168" s="347">
        <v>0</v>
      </c>
      <c r="E168" s="380">
        <v>0</v>
      </c>
      <c r="F168" s="299">
        <v>1</v>
      </c>
      <c r="G168" s="299">
        <v>0</v>
      </c>
      <c r="H168" s="299">
        <v>0</v>
      </c>
      <c r="I168" s="299">
        <v>0</v>
      </c>
      <c r="J168" s="299">
        <v>0</v>
      </c>
      <c r="K168" s="299"/>
      <c r="L168" s="299"/>
      <c r="M168" s="299"/>
      <c r="N168" s="381"/>
      <c r="O168" s="274"/>
      <c r="P168" s="274"/>
      <c r="Q168" s="274"/>
      <c r="R168" s="274"/>
      <c r="S168" s="274"/>
      <c r="T168" s="274"/>
      <c r="U168" s="274"/>
      <c r="V168" s="274"/>
      <c r="W168" s="274"/>
      <c r="X168" s="274"/>
      <c r="Y168" s="274"/>
      <c r="Z168" s="274"/>
      <c r="AA168" s="274"/>
      <c r="AB168" s="274"/>
      <c r="AC168" s="274"/>
      <c r="AD168" s="274"/>
      <c r="AE168" s="274"/>
    </row>
    <row r="169" spans="2:31" ht="15">
      <c r="B169" s="379">
        <f t="shared" si="5"/>
        <v>124</v>
      </c>
      <c r="C169" s="387" t="str" cm="1">
        <f t="array" aca="1" ref="C169" ca="1">IF(B169&lt;=$C$9,GetGetCDSName(B169),"")</f>
        <v>WPPGROUP_MMR.EUR.SU</v>
      </c>
      <c r="D169" s="347">
        <v>0</v>
      </c>
      <c r="E169" s="380">
        <v>1</v>
      </c>
      <c r="F169" s="299">
        <v>0</v>
      </c>
      <c r="G169" s="299">
        <v>1</v>
      </c>
      <c r="H169" s="299">
        <v>0</v>
      </c>
      <c r="I169" s="299">
        <v>1</v>
      </c>
      <c r="J169" s="299">
        <v>0</v>
      </c>
      <c r="K169" s="299"/>
      <c r="L169" s="299"/>
      <c r="M169" s="299"/>
      <c r="N169" s="381"/>
      <c r="O169" s="274"/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C169" s="274"/>
      <c r="AD169" s="274"/>
      <c r="AE169" s="274"/>
    </row>
    <row r="170" spans="2:31" ht="15">
      <c r="B170" s="379">
        <f t="shared" si="5"/>
        <v>125</v>
      </c>
      <c r="C170" s="387" t="str" cm="1">
        <f t="array" aca="1" ref="C170" ca="1">IF(B170&lt;=$C$9,GetGetCDSName(B170),"")</f>
        <v>ZURICHINSURANCE_MMR.EUR.SU</v>
      </c>
      <c r="D170" s="347">
        <v>0</v>
      </c>
      <c r="E170" s="380">
        <v>0</v>
      </c>
      <c r="F170" s="299">
        <v>0</v>
      </c>
      <c r="G170" s="299">
        <v>0</v>
      </c>
      <c r="H170" s="299">
        <v>1</v>
      </c>
      <c r="I170" s="299">
        <v>0</v>
      </c>
      <c r="J170" s="299">
        <v>0</v>
      </c>
      <c r="K170" s="299"/>
      <c r="L170" s="299"/>
      <c r="M170" s="299"/>
      <c r="N170" s="381"/>
      <c r="O170" s="274"/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C170" s="274"/>
      <c r="AD170" s="274"/>
      <c r="AE170" s="274"/>
    </row>
    <row r="171" spans="2:31" ht="15">
      <c r="B171" s="379">
        <f t="shared" si="5"/>
        <v>126</v>
      </c>
      <c r="C171" s="387" t="str" cm="1">
        <f t="array" aca="1" ref="C171" ca="1">IF(B171&lt;=$C$9,GetGetCDSName(B171),"")</f>
        <v/>
      </c>
      <c r="D171" s="347"/>
      <c r="E171" s="380"/>
      <c r="F171" s="299"/>
      <c r="G171" s="299"/>
      <c r="H171" s="299"/>
      <c r="I171" s="299"/>
      <c r="J171" s="299"/>
      <c r="K171" s="299"/>
      <c r="L171" s="299"/>
      <c r="M171" s="299"/>
      <c r="N171" s="381"/>
      <c r="O171" s="274"/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C171" s="274"/>
      <c r="AD171" s="274"/>
      <c r="AE171" s="274"/>
    </row>
    <row r="172" spans="2:31" ht="15">
      <c r="B172" s="379">
        <f t="shared" si="5"/>
        <v>127</v>
      </c>
      <c r="C172" s="387" t="str" cm="1">
        <f t="array" aca="1" ref="C172" ca="1">IF(B172&lt;=$C$9,GetGetCDSName(B172),"")</f>
        <v/>
      </c>
      <c r="D172" s="347"/>
      <c r="E172" s="380"/>
      <c r="F172" s="299"/>
      <c r="G172" s="299"/>
      <c r="H172" s="299"/>
      <c r="I172" s="299"/>
      <c r="J172" s="299"/>
      <c r="K172" s="299"/>
      <c r="L172" s="299"/>
      <c r="M172" s="299"/>
      <c r="N172" s="381"/>
      <c r="O172" s="274"/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C172" s="274"/>
      <c r="AD172" s="274"/>
      <c r="AE172" s="274"/>
    </row>
    <row r="173" spans="2:31" ht="15">
      <c r="B173" s="379">
        <f t="shared" si="5"/>
        <v>128</v>
      </c>
      <c r="C173" s="387" t="str" cm="1">
        <f t="array" aca="1" ref="C173" ca="1">IF(B173&lt;=$C$9,GetGetCDSName(B173),"")</f>
        <v/>
      </c>
      <c r="D173" s="347"/>
      <c r="E173" s="380"/>
      <c r="F173" s="299"/>
      <c r="G173" s="299"/>
      <c r="H173" s="299"/>
      <c r="I173" s="299"/>
      <c r="J173" s="299"/>
      <c r="K173" s="299"/>
      <c r="L173" s="299"/>
      <c r="M173" s="299"/>
      <c r="N173" s="381"/>
      <c r="O173" s="274"/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C173" s="274"/>
      <c r="AD173" s="274"/>
      <c r="AE173" s="274"/>
    </row>
    <row r="174" spans="2:31" ht="15">
      <c r="B174" s="379">
        <f t="shared" si="5"/>
        <v>129</v>
      </c>
      <c r="C174" s="387" t="str" cm="1">
        <f t="array" aca="1" ref="C174" ca="1">IF(B174&lt;=$C$9,GetGetCDSName(B174),"")</f>
        <v/>
      </c>
      <c r="D174" s="347"/>
      <c r="E174" s="380"/>
      <c r="F174" s="299"/>
      <c r="G174" s="299"/>
      <c r="H174" s="299"/>
      <c r="I174" s="299"/>
      <c r="J174" s="299"/>
      <c r="K174" s="299"/>
      <c r="L174" s="299"/>
      <c r="M174" s="299"/>
      <c r="N174" s="381"/>
      <c r="O174" s="274"/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C174" s="274"/>
      <c r="AD174" s="274"/>
      <c r="AE174" s="274"/>
    </row>
    <row r="175" spans="2:31" ht="15">
      <c r="B175" s="379">
        <f t="shared" ref="B175:B238" si="6">B174+1</f>
        <v>130</v>
      </c>
      <c r="C175" s="387" t="str" cm="1">
        <f t="array" aca="1" ref="C175" ca="1">IF(B175&lt;=$C$9,GetGetCDSName(B175),"")</f>
        <v/>
      </c>
      <c r="D175" s="347"/>
      <c r="E175" s="380"/>
      <c r="F175" s="299"/>
      <c r="G175" s="299"/>
      <c r="H175" s="299"/>
      <c r="I175" s="299"/>
      <c r="J175" s="299"/>
      <c r="K175" s="299"/>
      <c r="L175" s="299"/>
      <c r="M175" s="299"/>
      <c r="N175" s="381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C175" s="274"/>
      <c r="AD175" s="274"/>
      <c r="AE175" s="274"/>
    </row>
    <row r="176" spans="2:31" ht="15">
      <c r="B176" s="379">
        <f t="shared" si="6"/>
        <v>131</v>
      </c>
      <c r="C176" s="387" t="str" cm="1">
        <f t="array" aca="1" ref="C176" ca="1">IF(B176&lt;=$C$9,GetGetCDSName(B176),"")</f>
        <v/>
      </c>
      <c r="D176" s="347"/>
      <c r="E176" s="380"/>
      <c r="F176" s="299"/>
      <c r="G176" s="299"/>
      <c r="H176" s="299"/>
      <c r="I176" s="299"/>
      <c r="J176" s="299"/>
      <c r="K176" s="299"/>
      <c r="L176" s="299"/>
      <c r="M176" s="299"/>
      <c r="N176" s="381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C176" s="274"/>
      <c r="AD176" s="274"/>
      <c r="AE176" s="274"/>
    </row>
    <row r="177" spans="2:31" ht="15">
      <c r="B177" s="379">
        <f t="shared" si="6"/>
        <v>132</v>
      </c>
      <c r="C177" s="387" t="str" cm="1">
        <f t="array" aca="1" ref="C177" ca="1">IF(B177&lt;=$C$9,GetGetCDSName(B177),"")</f>
        <v/>
      </c>
      <c r="D177" s="347"/>
      <c r="E177" s="380"/>
      <c r="F177" s="299"/>
      <c r="G177" s="299"/>
      <c r="H177" s="299"/>
      <c r="I177" s="299"/>
      <c r="J177" s="299"/>
      <c r="K177" s="299"/>
      <c r="L177" s="299"/>
      <c r="M177" s="299"/>
      <c r="N177" s="381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C177" s="274"/>
      <c r="AD177" s="274"/>
      <c r="AE177" s="274"/>
    </row>
    <row r="178" spans="2:31" ht="15">
      <c r="B178" s="379">
        <f t="shared" si="6"/>
        <v>133</v>
      </c>
      <c r="C178" s="387" t="str" cm="1">
        <f t="array" aca="1" ref="C178" ca="1">IF(B178&lt;=$C$9,GetGetCDSName(B178),"")</f>
        <v/>
      </c>
      <c r="D178" s="347"/>
      <c r="E178" s="380"/>
      <c r="F178" s="299"/>
      <c r="G178" s="299"/>
      <c r="H178" s="299"/>
      <c r="I178" s="299"/>
      <c r="J178" s="299"/>
      <c r="K178" s="299"/>
      <c r="L178" s="299"/>
      <c r="M178" s="299"/>
      <c r="N178" s="381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C178" s="274"/>
      <c r="AD178" s="274"/>
      <c r="AE178" s="274"/>
    </row>
    <row r="179" spans="2:31" ht="15">
      <c r="B179" s="379">
        <f t="shared" si="6"/>
        <v>134</v>
      </c>
      <c r="C179" s="387" t="str" cm="1">
        <f t="array" aca="1" ref="C179" ca="1">IF(B179&lt;=$C$9,GetGetCDSName(B179),"")</f>
        <v/>
      </c>
      <c r="D179" s="347"/>
      <c r="E179" s="380"/>
      <c r="F179" s="299"/>
      <c r="G179" s="299"/>
      <c r="H179" s="299"/>
      <c r="I179" s="299"/>
      <c r="J179" s="299"/>
      <c r="K179" s="299"/>
      <c r="L179" s="299"/>
      <c r="M179" s="299"/>
      <c r="N179" s="381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C179" s="274"/>
      <c r="AD179" s="274"/>
      <c r="AE179" s="274"/>
    </row>
    <row r="180" spans="2:31" ht="15">
      <c r="B180" s="379">
        <f t="shared" si="6"/>
        <v>135</v>
      </c>
      <c r="C180" s="387" t="str" cm="1">
        <f t="array" aca="1" ref="C180" ca="1">IF(B180&lt;=$C$9,GetGetCDSName(B180),"")</f>
        <v/>
      </c>
      <c r="D180" s="347"/>
      <c r="E180" s="380"/>
      <c r="F180" s="299"/>
      <c r="G180" s="299"/>
      <c r="H180" s="299"/>
      <c r="I180" s="299"/>
      <c r="J180" s="299"/>
      <c r="K180" s="299"/>
      <c r="L180" s="299"/>
      <c r="M180" s="299"/>
      <c r="N180" s="381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C180" s="274"/>
      <c r="AD180" s="274"/>
      <c r="AE180" s="274"/>
    </row>
    <row r="181" spans="2:31" ht="15">
      <c r="B181" s="379">
        <f t="shared" si="6"/>
        <v>136</v>
      </c>
      <c r="C181" s="387" t="str" cm="1">
        <f t="array" aca="1" ref="C181" ca="1">IF(B181&lt;=$C$9,GetGetCDSName(B181),"")</f>
        <v/>
      </c>
      <c r="D181" s="347"/>
      <c r="E181" s="380"/>
      <c r="F181" s="299"/>
      <c r="G181" s="299"/>
      <c r="H181" s="299"/>
      <c r="I181" s="299"/>
      <c r="J181" s="299"/>
      <c r="K181" s="299"/>
      <c r="L181" s="299"/>
      <c r="M181" s="299"/>
      <c r="N181" s="381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</row>
    <row r="182" spans="2:31" ht="15">
      <c r="B182" s="379">
        <f t="shared" si="6"/>
        <v>137</v>
      </c>
      <c r="C182" s="387" t="str" cm="1">
        <f t="array" aca="1" ref="C182" ca="1">IF(B182&lt;=$C$9,GetGetCDSName(B182),"")</f>
        <v/>
      </c>
      <c r="D182" s="347"/>
      <c r="E182" s="380"/>
      <c r="F182" s="299"/>
      <c r="G182" s="299"/>
      <c r="H182" s="299"/>
      <c r="I182" s="299"/>
      <c r="J182" s="299"/>
      <c r="K182" s="299"/>
      <c r="L182" s="299"/>
      <c r="M182" s="299"/>
      <c r="N182" s="381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4"/>
      <c r="AE182" s="274"/>
    </row>
    <row r="183" spans="2:31" ht="15">
      <c r="B183" s="379">
        <f t="shared" si="6"/>
        <v>138</v>
      </c>
      <c r="C183" s="387" t="str" cm="1">
        <f t="array" aca="1" ref="C183" ca="1">IF(B183&lt;=$C$9,GetGetCDSName(B183),"")</f>
        <v/>
      </c>
      <c r="D183" s="347"/>
      <c r="E183" s="380"/>
      <c r="F183" s="299"/>
      <c r="G183" s="299"/>
      <c r="H183" s="299"/>
      <c r="I183" s="299"/>
      <c r="J183" s="299"/>
      <c r="K183" s="299"/>
      <c r="L183" s="299"/>
      <c r="M183" s="299"/>
      <c r="N183" s="381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C183" s="274"/>
      <c r="AD183" s="274"/>
      <c r="AE183" s="274"/>
    </row>
    <row r="184" spans="2:31" ht="15">
      <c r="B184" s="379">
        <f t="shared" si="6"/>
        <v>139</v>
      </c>
      <c r="C184" s="387" t="str" cm="1">
        <f t="array" aca="1" ref="C184" ca="1">IF(B184&lt;=$C$9,GetGetCDSName(B184),"")</f>
        <v/>
      </c>
      <c r="D184" s="347"/>
      <c r="E184" s="380"/>
      <c r="F184" s="299"/>
      <c r="G184" s="299"/>
      <c r="H184" s="299"/>
      <c r="I184" s="299"/>
      <c r="J184" s="299"/>
      <c r="K184" s="299"/>
      <c r="L184" s="299"/>
      <c r="M184" s="299"/>
      <c r="N184" s="381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C184" s="274"/>
      <c r="AD184" s="274"/>
      <c r="AE184" s="274"/>
    </row>
    <row r="185" spans="2:31" ht="15">
      <c r="B185" s="379">
        <f t="shared" si="6"/>
        <v>140</v>
      </c>
      <c r="C185" s="387" t="str" cm="1">
        <f t="array" aca="1" ref="C185" ca="1">IF(B185&lt;=$C$9,GetGetCDSName(B185),"")</f>
        <v/>
      </c>
      <c r="D185" s="347"/>
      <c r="E185" s="380"/>
      <c r="F185" s="299"/>
      <c r="G185" s="299"/>
      <c r="H185" s="299"/>
      <c r="I185" s="299"/>
      <c r="J185" s="299"/>
      <c r="K185" s="299"/>
      <c r="L185" s="299"/>
      <c r="M185" s="299"/>
      <c r="N185" s="381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C185" s="274"/>
      <c r="AD185" s="274"/>
      <c r="AE185" s="274"/>
    </row>
    <row r="186" spans="2:31" ht="15">
      <c r="B186" s="379">
        <f t="shared" si="6"/>
        <v>141</v>
      </c>
      <c r="C186" s="387" t="str" cm="1">
        <f t="array" aca="1" ref="C186" ca="1">IF(B186&lt;=$C$9,GetGetCDSName(B186),"")</f>
        <v/>
      </c>
      <c r="D186" s="347"/>
      <c r="E186" s="380"/>
      <c r="F186" s="299"/>
      <c r="G186" s="299"/>
      <c r="H186" s="299"/>
      <c r="I186" s="299"/>
      <c r="J186" s="299"/>
      <c r="K186" s="299"/>
      <c r="L186" s="299"/>
      <c r="M186" s="299"/>
      <c r="N186" s="381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C186" s="274"/>
      <c r="AD186" s="274"/>
      <c r="AE186" s="274"/>
    </row>
    <row r="187" spans="2:31" ht="15">
      <c r="B187" s="379">
        <f t="shared" si="6"/>
        <v>142</v>
      </c>
      <c r="C187" s="387" t="str" cm="1">
        <f t="array" aca="1" ref="C187" ca="1">IF(B187&lt;=$C$9,GetGetCDSName(B187),"")</f>
        <v/>
      </c>
      <c r="D187" s="347"/>
      <c r="E187" s="380"/>
      <c r="F187" s="299"/>
      <c r="G187" s="299"/>
      <c r="H187" s="299"/>
      <c r="I187" s="299"/>
      <c r="J187" s="299"/>
      <c r="K187" s="299"/>
      <c r="L187" s="299"/>
      <c r="M187" s="299"/>
      <c r="N187" s="381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C187" s="274"/>
      <c r="AD187" s="274"/>
      <c r="AE187" s="274"/>
    </row>
    <row r="188" spans="2:31" ht="15">
      <c r="B188" s="379">
        <f t="shared" si="6"/>
        <v>143</v>
      </c>
      <c r="C188" s="387" t="str" cm="1">
        <f t="array" aca="1" ref="C188" ca="1">IF(B188&lt;=$C$9,GetGetCDSName(B188),"")</f>
        <v/>
      </c>
      <c r="D188" s="347"/>
      <c r="E188" s="380"/>
      <c r="F188" s="299"/>
      <c r="G188" s="299"/>
      <c r="H188" s="299"/>
      <c r="I188" s="299"/>
      <c r="J188" s="299"/>
      <c r="K188" s="299"/>
      <c r="L188" s="299"/>
      <c r="M188" s="299"/>
      <c r="N188" s="381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C188" s="274"/>
      <c r="AD188" s="274"/>
      <c r="AE188" s="274"/>
    </row>
    <row r="189" spans="2:31" ht="15">
      <c r="B189" s="379">
        <f t="shared" si="6"/>
        <v>144</v>
      </c>
      <c r="C189" s="387" t="str" cm="1">
        <f t="array" aca="1" ref="C189" ca="1">IF(B189&lt;=$C$9,GetGetCDSName(B189),"")</f>
        <v/>
      </c>
      <c r="D189" s="347"/>
      <c r="E189" s="380"/>
      <c r="F189" s="299"/>
      <c r="G189" s="299"/>
      <c r="H189" s="299"/>
      <c r="I189" s="299"/>
      <c r="J189" s="299"/>
      <c r="K189" s="299"/>
      <c r="L189" s="299"/>
      <c r="M189" s="299"/>
      <c r="N189" s="381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C189" s="274"/>
      <c r="AD189" s="274"/>
      <c r="AE189" s="274"/>
    </row>
    <row r="190" spans="2:31" ht="15">
      <c r="B190" s="379">
        <f t="shared" si="6"/>
        <v>145</v>
      </c>
      <c r="C190" s="387" t="str" cm="1">
        <f t="array" aca="1" ref="C190" ca="1">IF(B190&lt;=$C$9,GetGetCDSName(B190),"")</f>
        <v/>
      </c>
      <c r="D190" s="347"/>
      <c r="E190" s="380"/>
      <c r="F190" s="299"/>
      <c r="G190" s="299"/>
      <c r="H190" s="299"/>
      <c r="I190" s="299"/>
      <c r="J190" s="299"/>
      <c r="K190" s="299"/>
      <c r="L190" s="299"/>
      <c r="M190" s="299"/>
      <c r="N190" s="381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C190" s="274"/>
      <c r="AD190" s="274"/>
      <c r="AE190" s="274"/>
    </row>
    <row r="191" spans="2:31" ht="15">
      <c r="B191" s="379">
        <f t="shared" si="6"/>
        <v>146</v>
      </c>
      <c r="C191" s="387" t="str" cm="1">
        <f t="array" aca="1" ref="C191" ca="1">IF(B191&lt;=$C$9,GetGetCDSName(B191),"")</f>
        <v/>
      </c>
      <c r="D191" s="347"/>
      <c r="E191" s="380"/>
      <c r="F191" s="299"/>
      <c r="G191" s="299"/>
      <c r="H191" s="299"/>
      <c r="I191" s="299"/>
      <c r="J191" s="299"/>
      <c r="K191" s="299"/>
      <c r="L191" s="299"/>
      <c r="M191" s="299"/>
      <c r="N191" s="381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C191" s="274"/>
      <c r="AD191" s="274"/>
      <c r="AE191" s="274"/>
    </row>
    <row r="192" spans="2:31" ht="15">
      <c r="B192" s="379">
        <f t="shared" si="6"/>
        <v>147</v>
      </c>
      <c r="C192" s="387" t="str" cm="1">
        <f t="array" aca="1" ref="C192" ca="1">IF(B192&lt;=$C$9,GetGetCDSName(B192),"")</f>
        <v/>
      </c>
      <c r="D192" s="347"/>
      <c r="E192" s="380"/>
      <c r="F192" s="299"/>
      <c r="G192" s="299"/>
      <c r="H192" s="299"/>
      <c r="I192" s="299"/>
      <c r="J192" s="299"/>
      <c r="K192" s="299"/>
      <c r="L192" s="299"/>
      <c r="M192" s="299"/>
      <c r="N192" s="381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C192" s="274"/>
      <c r="AD192" s="274"/>
      <c r="AE192" s="274"/>
    </row>
    <row r="193" spans="2:31" ht="15">
      <c r="B193" s="379">
        <f t="shared" si="6"/>
        <v>148</v>
      </c>
      <c r="C193" s="387" t="str" cm="1">
        <f t="array" aca="1" ref="C193" ca="1">IF(B193&lt;=$C$9,GetGetCDSName(B193),"")</f>
        <v/>
      </c>
      <c r="D193" s="347"/>
      <c r="E193" s="380"/>
      <c r="F193" s="299"/>
      <c r="G193" s="299"/>
      <c r="H193" s="299"/>
      <c r="I193" s="299"/>
      <c r="J193" s="299"/>
      <c r="K193" s="299"/>
      <c r="L193" s="299"/>
      <c r="M193" s="299"/>
      <c r="N193" s="381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C193" s="274"/>
      <c r="AD193" s="274"/>
      <c r="AE193" s="274"/>
    </row>
    <row r="194" spans="2:31" ht="15">
      <c r="B194" s="379">
        <f t="shared" si="6"/>
        <v>149</v>
      </c>
      <c r="C194" s="387" t="str" cm="1">
        <f t="array" aca="1" ref="C194" ca="1">IF(B194&lt;=$C$9,GetGetCDSName(B194),"")</f>
        <v/>
      </c>
      <c r="D194" s="347"/>
      <c r="E194" s="380"/>
      <c r="F194" s="299"/>
      <c r="G194" s="299"/>
      <c r="H194" s="299"/>
      <c r="I194" s="299"/>
      <c r="J194" s="299"/>
      <c r="K194" s="299"/>
      <c r="L194" s="299"/>
      <c r="M194" s="299"/>
      <c r="N194" s="381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C194" s="274"/>
      <c r="AD194" s="274"/>
      <c r="AE194" s="274"/>
    </row>
    <row r="195" spans="2:31" ht="15">
      <c r="B195" s="379">
        <f t="shared" si="6"/>
        <v>150</v>
      </c>
      <c r="C195" s="387" t="str" cm="1">
        <f t="array" aca="1" ref="C195" ca="1">IF(B195&lt;=$C$9,GetGetCDSName(B195),"")</f>
        <v/>
      </c>
      <c r="D195" s="347"/>
      <c r="E195" s="380"/>
      <c r="F195" s="299"/>
      <c r="G195" s="299"/>
      <c r="H195" s="299"/>
      <c r="I195" s="299"/>
      <c r="J195" s="299"/>
      <c r="K195" s="299"/>
      <c r="L195" s="299"/>
      <c r="M195" s="299"/>
      <c r="N195" s="381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C195" s="274"/>
      <c r="AD195" s="274"/>
      <c r="AE195" s="274"/>
    </row>
    <row r="196" spans="2:31" ht="15">
      <c r="B196" s="379">
        <f t="shared" si="6"/>
        <v>151</v>
      </c>
      <c r="C196" s="387" t="str" cm="1">
        <f t="array" aca="1" ref="C196" ca="1">IF(B196&lt;=$C$9,GetGetCDSName(B196),"")</f>
        <v/>
      </c>
      <c r="D196" s="347"/>
      <c r="E196" s="380"/>
      <c r="F196" s="299"/>
      <c r="G196" s="299"/>
      <c r="H196" s="299"/>
      <c r="I196" s="299"/>
      <c r="J196" s="299"/>
      <c r="K196" s="299"/>
      <c r="L196" s="299"/>
      <c r="M196" s="299"/>
      <c r="N196" s="381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C196" s="274"/>
      <c r="AD196" s="274"/>
      <c r="AE196" s="274"/>
    </row>
    <row r="197" spans="2:31" ht="15">
      <c r="B197" s="379">
        <f t="shared" si="6"/>
        <v>152</v>
      </c>
      <c r="C197" s="387" t="str" cm="1">
        <f t="array" aca="1" ref="C197" ca="1">IF(B197&lt;=$C$9,GetGetCDSName(B197),"")</f>
        <v/>
      </c>
      <c r="D197" s="347"/>
      <c r="E197" s="380"/>
      <c r="F197" s="299"/>
      <c r="G197" s="299"/>
      <c r="H197" s="299"/>
      <c r="I197" s="299"/>
      <c r="J197" s="299"/>
      <c r="K197" s="299"/>
      <c r="L197" s="299"/>
      <c r="M197" s="299"/>
      <c r="N197" s="381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C197" s="274"/>
      <c r="AD197" s="274"/>
      <c r="AE197" s="274"/>
    </row>
    <row r="198" spans="2:31" ht="15">
      <c r="B198" s="379">
        <f t="shared" si="6"/>
        <v>153</v>
      </c>
      <c r="C198" s="387" t="str" cm="1">
        <f t="array" aca="1" ref="C198" ca="1">IF(B198&lt;=$C$9,GetGetCDSName(B198),"")</f>
        <v/>
      </c>
      <c r="D198" s="347"/>
      <c r="E198" s="380"/>
      <c r="F198" s="299"/>
      <c r="G198" s="299"/>
      <c r="H198" s="299"/>
      <c r="I198" s="299"/>
      <c r="J198" s="299"/>
      <c r="K198" s="299"/>
      <c r="L198" s="299"/>
      <c r="M198" s="299"/>
      <c r="N198" s="381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C198" s="274"/>
      <c r="AD198" s="274"/>
      <c r="AE198" s="274"/>
    </row>
    <row r="199" spans="2:31" ht="15">
      <c r="B199" s="379">
        <f t="shared" si="6"/>
        <v>154</v>
      </c>
      <c r="C199" s="387" t="str" cm="1">
        <f t="array" aca="1" ref="C199" ca="1">IF(B199&lt;=$C$9,GetGetCDSName(B199),"")</f>
        <v/>
      </c>
      <c r="D199" s="347"/>
      <c r="E199" s="380"/>
      <c r="F199" s="299"/>
      <c r="G199" s="299"/>
      <c r="H199" s="299"/>
      <c r="I199" s="299"/>
      <c r="J199" s="299"/>
      <c r="K199" s="299"/>
      <c r="L199" s="299"/>
      <c r="M199" s="299"/>
      <c r="N199" s="381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C199" s="274"/>
      <c r="AD199" s="274"/>
      <c r="AE199" s="274"/>
    </row>
    <row r="200" spans="2:31" ht="15">
      <c r="B200" s="379">
        <f t="shared" si="6"/>
        <v>155</v>
      </c>
      <c r="C200" s="387" t="str" cm="1">
        <f t="array" aca="1" ref="C200" ca="1">IF(B200&lt;=$C$9,GetGetCDSName(B200),"")</f>
        <v/>
      </c>
      <c r="D200" s="347"/>
      <c r="E200" s="380"/>
      <c r="F200" s="299"/>
      <c r="G200" s="299"/>
      <c r="H200" s="299"/>
      <c r="I200" s="299"/>
      <c r="J200" s="299"/>
      <c r="K200" s="299"/>
      <c r="L200" s="299"/>
      <c r="M200" s="299"/>
      <c r="N200" s="381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C200" s="274"/>
      <c r="AD200" s="274"/>
      <c r="AE200" s="274"/>
    </row>
    <row r="201" spans="2:31" ht="15">
      <c r="B201" s="379">
        <f t="shared" si="6"/>
        <v>156</v>
      </c>
      <c r="C201" s="387" t="str" cm="1">
        <f t="array" aca="1" ref="C201" ca="1">IF(B201&lt;=$C$9,GetGetCDSName(B201),"")</f>
        <v/>
      </c>
      <c r="D201" s="347"/>
      <c r="E201" s="380"/>
      <c r="F201" s="299"/>
      <c r="G201" s="299"/>
      <c r="H201" s="299"/>
      <c r="I201" s="299"/>
      <c r="J201" s="299"/>
      <c r="K201" s="299"/>
      <c r="L201" s="299"/>
      <c r="M201" s="299"/>
      <c r="N201" s="381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C201" s="274"/>
      <c r="AD201" s="274"/>
      <c r="AE201" s="274"/>
    </row>
    <row r="202" spans="2:31" ht="15">
      <c r="B202" s="379">
        <f t="shared" si="6"/>
        <v>157</v>
      </c>
      <c r="C202" s="387" t="str" cm="1">
        <f t="array" aca="1" ref="C202" ca="1">IF(B202&lt;=$C$9,GetGetCDSName(B202),"")</f>
        <v/>
      </c>
      <c r="D202" s="347"/>
      <c r="E202" s="380"/>
      <c r="F202" s="299"/>
      <c r="G202" s="299"/>
      <c r="H202" s="299"/>
      <c r="I202" s="299"/>
      <c r="J202" s="299"/>
      <c r="K202" s="299"/>
      <c r="L202" s="299"/>
      <c r="M202" s="299"/>
      <c r="N202" s="381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C202" s="274"/>
      <c r="AD202" s="274"/>
      <c r="AE202" s="274"/>
    </row>
    <row r="203" spans="2:31" ht="15">
      <c r="B203" s="379">
        <f t="shared" si="6"/>
        <v>158</v>
      </c>
      <c r="C203" s="387" t="str" cm="1">
        <f t="array" aca="1" ref="C203" ca="1">IF(B203&lt;=$C$9,GetGetCDSName(B203),"")</f>
        <v/>
      </c>
      <c r="D203" s="347"/>
      <c r="E203" s="380"/>
      <c r="F203" s="299"/>
      <c r="G203" s="299"/>
      <c r="H203" s="299"/>
      <c r="I203" s="299"/>
      <c r="J203" s="299"/>
      <c r="K203" s="299"/>
      <c r="L203" s="299"/>
      <c r="M203" s="299"/>
      <c r="N203" s="381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C203" s="274"/>
      <c r="AD203" s="274"/>
      <c r="AE203" s="274"/>
    </row>
    <row r="204" spans="2:31" ht="15">
      <c r="B204" s="379">
        <f t="shared" si="6"/>
        <v>159</v>
      </c>
      <c r="C204" s="387" t="str" cm="1">
        <f t="array" aca="1" ref="C204" ca="1">IF(B204&lt;=$C$9,GetGetCDSName(B204),"")</f>
        <v/>
      </c>
      <c r="D204" s="347"/>
      <c r="E204" s="380"/>
      <c r="F204" s="299"/>
      <c r="G204" s="299"/>
      <c r="H204" s="299"/>
      <c r="I204" s="299"/>
      <c r="J204" s="299"/>
      <c r="K204" s="299"/>
      <c r="L204" s="299"/>
      <c r="M204" s="299"/>
      <c r="N204" s="381"/>
      <c r="O204" s="274"/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C204" s="274"/>
      <c r="AD204" s="274"/>
      <c r="AE204" s="274"/>
    </row>
    <row r="205" spans="2:31" ht="15">
      <c r="B205" s="379">
        <f t="shared" si="6"/>
        <v>160</v>
      </c>
      <c r="C205" s="387" t="str" cm="1">
        <f t="array" aca="1" ref="C205" ca="1">IF(B205&lt;=$C$9,GetGetCDSName(B205),"")</f>
        <v/>
      </c>
      <c r="D205" s="347"/>
      <c r="E205" s="380"/>
      <c r="F205" s="299"/>
      <c r="G205" s="299"/>
      <c r="H205" s="299"/>
      <c r="I205" s="299"/>
      <c r="J205" s="299"/>
      <c r="K205" s="299"/>
      <c r="L205" s="299"/>
      <c r="M205" s="299"/>
      <c r="N205" s="381"/>
      <c r="O205" s="274"/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  <c r="AA205" s="274"/>
      <c r="AB205" s="274"/>
      <c r="AC205" s="274"/>
      <c r="AD205" s="274"/>
      <c r="AE205" s="274"/>
    </row>
    <row r="206" spans="2:31" ht="15">
      <c r="B206" s="379">
        <f t="shared" si="6"/>
        <v>161</v>
      </c>
      <c r="C206" s="387" t="str" cm="1">
        <f t="array" aca="1" ref="C206" ca="1">IF(B206&lt;=$C$9,GetGetCDSName(B206),"")</f>
        <v/>
      </c>
      <c r="D206" s="347"/>
      <c r="E206" s="380"/>
      <c r="F206" s="299"/>
      <c r="G206" s="299"/>
      <c r="H206" s="299"/>
      <c r="I206" s="299"/>
      <c r="J206" s="299"/>
      <c r="K206" s="299"/>
      <c r="L206" s="299"/>
      <c r="M206" s="299"/>
      <c r="N206" s="381"/>
      <c r="O206" s="274"/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  <c r="AA206" s="274"/>
      <c r="AB206" s="274"/>
      <c r="AC206" s="274"/>
      <c r="AD206" s="274"/>
      <c r="AE206" s="274"/>
    </row>
    <row r="207" spans="2:31" ht="15">
      <c r="B207" s="379">
        <f t="shared" si="6"/>
        <v>162</v>
      </c>
      <c r="C207" s="387" t="str" cm="1">
        <f t="array" aca="1" ref="C207" ca="1">IF(B207&lt;=$C$9,GetGetCDSName(B207),"")</f>
        <v/>
      </c>
      <c r="D207" s="347"/>
      <c r="E207" s="380"/>
      <c r="F207" s="299"/>
      <c r="G207" s="299"/>
      <c r="H207" s="299"/>
      <c r="I207" s="299"/>
      <c r="J207" s="299"/>
      <c r="K207" s="299"/>
      <c r="L207" s="299"/>
      <c r="M207" s="299"/>
      <c r="N207" s="381"/>
      <c r="O207" s="274"/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  <c r="AA207" s="274"/>
      <c r="AB207" s="274"/>
      <c r="AC207" s="274"/>
      <c r="AD207" s="274"/>
      <c r="AE207" s="274"/>
    </row>
    <row r="208" spans="2:31" ht="15">
      <c r="B208" s="379">
        <f t="shared" si="6"/>
        <v>163</v>
      </c>
      <c r="C208" s="387" t="str" cm="1">
        <f t="array" aca="1" ref="C208" ca="1">IF(B208&lt;=$C$9,GetGetCDSName(B208),"")</f>
        <v/>
      </c>
      <c r="D208" s="347"/>
      <c r="E208" s="380"/>
      <c r="F208" s="299"/>
      <c r="G208" s="299"/>
      <c r="H208" s="299"/>
      <c r="I208" s="299"/>
      <c r="J208" s="299"/>
      <c r="K208" s="299"/>
      <c r="L208" s="299"/>
      <c r="M208" s="299"/>
      <c r="N208" s="381"/>
      <c r="O208" s="274"/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  <c r="AA208" s="274"/>
      <c r="AB208" s="274"/>
      <c r="AC208" s="274"/>
      <c r="AD208" s="274"/>
      <c r="AE208" s="274"/>
    </row>
    <row r="209" spans="2:31" ht="15">
      <c r="B209" s="379">
        <f t="shared" si="6"/>
        <v>164</v>
      </c>
      <c r="C209" s="387" t="str" cm="1">
        <f t="array" aca="1" ref="C209" ca="1">IF(B209&lt;=$C$9,GetGetCDSName(B209),"")</f>
        <v/>
      </c>
      <c r="D209" s="347"/>
      <c r="E209" s="380"/>
      <c r="F209" s="299"/>
      <c r="G209" s="299"/>
      <c r="H209" s="299"/>
      <c r="I209" s="299"/>
      <c r="J209" s="299"/>
      <c r="K209" s="299"/>
      <c r="L209" s="299"/>
      <c r="M209" s="299"/>
      <c r="N209" s="381"/>
      <c r="O209" s="274"/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  <c r="AA209" s="274"/>
      <c r="AB209" s="274"/>
      <c r="AC209" s="274"/>
      <c r="AD209" s="274"/>
      <c r="AE209" s="274"/>
    </row>
    <row r="210" spans="2:31" ht="15">
      <c r="B210" s="379">
        <f t="shared" si="6"/>
        <v>165</v>
      </c>
      <c r="C210" s="387" t="str" cm="1">
        <f t="array" aca="1" ref="C210" ca="1">IF(B210&lt;=$C$9,GetGetCDSName(B210),"")</f>
        <v/>
      </c>
      <c r="D210" s="347"/>
      <c r="E210" s="380"/>
      <c r="F210" s="299"/>
      <c r="G210" s="299"/>
      <c r="H210" s="299"/>
      <c r="I210" s="299"/>
      <c r="J210" s="299"/>
      <c r="K210" s="299"/>
      <c r="L210" s="299"/>
      <c r="M210" s="299"/>
      <c r="N210" s="381"/>
      <c r="O210" s="274"/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4"/>
      <c r="AC210" s="274"/>
      <c r="AD210" s="274"/>
      <c r="AE210" s="274"/>
    </row>
    <row r="211" spans="2:31" ht="15">
      <c r="B211" s="379">
        <f t="shared" si="6"/>
        <v>166</v>
      </c>
      <c r="C211" s="387" t="str" cm="1">
        <f t="array" aca="1" ref="C211" ca="1">IF(B211&lt;=$C$9,GetGetCDSName(B211),"")</f>
        <v/>
      </c>
      <c r="D211" s="347"/>
      <c r="E211" s="380"/>
      <c r="F211" s="299"/>
      <c r="G211" s="299"/>
      <c r="H211" s="299"/>
      <c r="I211" s="299"/>
      <c r="J211" s="299"/>
      <c r="K211" s="299"/>
      <c r="L211" s="299"/>
      <c r="M211" s="299"/>
      <c r="N211" s="381"/>
      <c r="O211" s="274"/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4"/>
      <c r="AC211" s="274"/>
      <c r="AD211" s="274"/>
      <c r="AE211" s="274"/>
    </row>
    <row r="212" spans="2:31" ht="15">
      <c r="B212" s="379">
        <f t="shared" si="6"/>
        <v>167</v>
      </c>
      <c r="C212" s="387" t="str" cm="1">
        <f t="array" aca="1" ref="C212" ca="1">IF(B212&lt;=$C$9,GetGetCDSName(B212),"")</f>
        <v/>
      </c>
      <c r="D212" s="347"/>
      <c r="E212" s="380"/>
      <c r="F212" s="299"/>
      <c r="G212" s="299"/>
      <c r="H212" s="299"/>
      <c r="I212" s="299"/>
      <c r="J212" s="299"/>
      <c r="K212" s="299"/>
      <c r="L212" s="299"/>
      <c r="M212" s="299"/>
      <c r="N212" s="381"/>
      <c r="O212" s="274"/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4"/>
      <c r="AC212" s="274"/>
      <c r="AD212" s="274"/>
      <c r="AE212" s="274"/>
    </row>
    <row r="213" spans="2:31" ht="15">
      <c r="B213" s="379">
        <f t="shared" si="6"/>
        <v>168</v>
      </c>
      <c r="C213" s="387" t="str" cm="1">
        <f t="array" aca="1" ref="C213" ca="1">IF(B213&lt;=$C$9,GetGetCDSName(B213),"")</f>
        <v/>
      </c>
      <c r="D213" s="347"/>
      <c r="E213" s="380"/>
      <c r="F213" s="299"/>
      <c r="G213" s="299"/>
      <c r="H213" s="299"/>
      <c r="I213" s="299"/>
      <c r="J213" s="299"/>
      <c r="K213" s="299"/>
      <c r="L213" s="299"/>
      <c r="M213" s="299"/>
      <c r="N213" s="381"/>
      <c r="O213" s="274"/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4"/>
      <c r="AC213" s="274"/>
      <c r="AD213" s="274"/>
      <c r="AE213" s="274"/>
    </row>
    <row r="214" spans="2:31" ht="15">
      <c r="B214" s="379">
        <f t="shared" si="6"/>
        <v>169</v>
      </c>
      <c r="C214" s="387" t="str" cm="1">
        <f t="array" aca="1" ref="C214" ca="1">IF(B214&lt;=$C$9,GetGetCDSName(B214),"")</f>
        <v/>
      </c>
      <c r="D214" s="347"/>
      <c r="E214" s="380"/>
      <c r="F214" s="299"/>
      <c r="G214" s="299"/>
      <c r="H214" s="299"/>
      <c r="I214" s="299"/>
      <c r="J214" s="299"/>
      <c r="K214" s="299"/>
      <c r="L214" s="299"/>
      <c r="M214" s="299"/>
      <c r="N214" s="381"/>
      <c r="O214" s="274"/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4"/>
      <c r="AC214" s="274"/>
      <c r="AD214" s="274"/>
      <c r="AE214" s="274"/>
    </row>
    <row r="215" spans="2:31" ht="15">
      <c r="B215" s="379">
        <f t="shared" si="6"/>
        <v>170</v>
      </c>
      <c r="C215" s="387" t="str" cm="1">
        <f t="array" aca="1" ref="C215" ca="1">IF(B215&lt;=$C$9,GetGetCDSName(B215),"")</f>
        <v/>
      </c>
      <c r="D215" s="347"/>
      <c r="E215" s="380"/>
      <c r="F215" s="299"/>
      <c r="G215" s="299"/>
      <c r="H215" s="299"/>
      <c r="I215" s="299"/>
      <c r="J215" s="299"/>
      <c r="K215" s="299"/>
      <c r="L215" s="299"/>
      <c r="M215" s="299"/>
      <c r="N215" s="381"/>
      <c r="O215" s="274"/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4"/>
      <c r="AC215" s="274"/>
      <c r="AD215" s="274"/>
      <c r="AE215" s="274"/>
    </row>
    <row r="216" spans="2:31" ht="15">
      <c r="B216" s="379">
        <f t="shared" si="6"/>
        <v>171</v>
      </c>
      <c r="C216" s="387" t="str" cm="1">
        <f t="array" aca="1" ref="C216" ca="1">IF(B216&lt;=$C$9,GetGetCDSName(B216),"")</f>
        <v/>
      </c>
      <c r="D216" s="347"/>
      <c r="E216" s="380"/>
      <c r="F216" s="299"/>
      <c r="G216" s="299"/>
      <c r="H216" s="299"/>
      <c r="I216" s="299"/>
      <c r="J216" s="299"/>
      <c r="K216" s="299"/>
      <c r="L216" s="299"/>
      <c r="M216" s="299"/>
      <c r="N216" s="381"/>
      <c r="O216" s="274"/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4"/>
      <c r="AC216" s="274"/>
      <c r="AD216" s="274"/>
      <c r="AE216" s="274"/>
    </row>
    <row r="217" spans="2:31" ht="15">
      <c r="B217" s="379">
        <f t="shared" si="6"/>
        <v>172</v>
      </c>
      <c r="C217" s="387" t="str" cm="1">
        <f t="array" aca="1" ref="C217" ca="1">IF(B217&lt;=$C$9,GetGetCDSName(B217),"")</f>
        <v/>
      </c>
      <c r="D217" s="347"/>
      <c r="E217" s="380"/>
      <c r="F217" s="299"/>
      <c r="G217" s="299"/>
      <c r="H217" s="299"/>
      <c r="I217" s="299"/>
      <c r="J217" s="299"/>
      <c r="K217" s="299"/>
      <c r="L217" s="299"/>
      <c r="M217" s="299"/>
      <c r="N217" s="381"/>
      <c r="O217" s="274"/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4"/>
      <c r="AC217" s="274"/>
      <c r="AD217" s="274"/>
      <c r="AE217" s="274"/>
    </row>
    <row r="218" spans="2:31" ht="15">
      <c r="B218" s="379">
        <f t="shared" si="6"/>
        <v>173</v>
      </c>
      <c r="C218" s="387" t="str" cm="1">
        <f t="array" aca="1" ref="C218" ca="1">IF(B218&lt;=$C$9,GetGetCDSName(B218),"")</f>
        <v/>
      </c>
      <c r="D218" s="347"/>
      <c r="E218" s="380"/>
      <c r="F218" s="299"/>
      <c r="G218" s="299"/>
      <c r="H218" s="299"/>
      <c r="I218" s="299"/>
      <c r="J218" s="299"/>
      <c r="K218" s="299"/>
      <c r="L218" s="299"/>
      <c r="M218" s="299"/>
      <c r="N218" s="381"/>
      <c r="O218" s="274"/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4"/>
      <c r="AC218" s="274"/>
      <c r="AD218" s="274"/>
      <c r="AE218" s="274"/>
    </row>
    <row r="219" spans="2:31" ht="15">
      <c r="B219" s="379">
        <f t="shared" si="6"/>
        <v>174</v>
      </c>
      <c r="C219" s="387" t="str" cm="1">
        <f t="array" aca="1" ref="C219" ca="1">IF(B219&lt;=$C$9,GetGetCDSName(B219),"")</f>
        <v/>
      </c>
      <c r="D219" s="347"/>
      <c r="E219" s="380"/>
      <c r="F219" s="299"/>
      <c r="G219" s="299"/>
      <c r="H219" s="299"/>
      <c r="I219" s="299"/>
      <c r="J219" s="299"/>
      <c r="K219" s="299"/>
      <c r="L219" s="299"/>
      <c r="M219" s="299"/>
      <c r="N219" s="381"/>
      <c r="O219" s="274"/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4"/>
      <c r="AC219" s="274"/>
      <c r="AD219" s="274"/>
      <c r="AE219" s="274"/>
    </row>
    <row r="220" spans="2:31" ht="15">
      <c r="B220" s="379">
        <f t="shared" si="6"/>
        <v>175</v>
      </c>
      <c r="C220" s="387" t="str" cm="1">
        <f t="array" aca="1" ref="C220" ca="1">IF(B220&lt;=$C$9,GetGetCDSName(B220),"")</f>
        <v/>
      </c>
      <c r="D220" s="347"/>
      <c r="E220" s="380"/>
      <c r="F220" s="299"/>
      <c r="G220" s="299"/>
      <c r="H220" s="299"/>
      <c r="I220" s="299"/>
      <c r="J220" s="299"/>
      <c r="K220" s="299"/>
      <c r="L220" s="299"/>
      <c r="M220" s="299"/>
      <c r="N220" s="381"/>
      <c r="O220" s="274"/>
      <c r="P220" s="274"/>
      <c r="Q220" s="274"/>
      <c r="R220" s="274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4"/>
      <c r="AC220" s="274"/>
      <c r="AD220" s="274"/>
      <c r="AE220" s="274"/>
    </row>
    <row r="221" spans="2:31" ht="15">
      <c r="B221" s="379">
        <f t="shared" si="6"/>
        <v>176</v>
      </c>
      <c r="C221" s="387" t="str" cm="1">
        <f t="array" aca="1" ref="C221" ca="1">IF(B221&lt;=$C$9,GetGetCDSName(B221),"")</f>
        <v/>
      </c>
      <c r="D221" s="347"/>
      <c r="E221" s="380"/>
      <c r="F221" s="299"/>
      <c r="G221" s="299"/>
      <c r="H221" s="299"/>
      <c r="I221" s="299"/>
      <c r="J221" s="299"/>
      <c r="K221" s="299"/>
      <c r="L221" s="299"/>
      <c r="M221" s="299"/>
      <c r="N221" s="381"/>
      <c r="O221" s="274"/>
      <c r="P221" s="274"/>
      <c r="Q221" s="274"/>
      <c r="R221" s="274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4"/>
      <c r="AC221" s="274"/>
      <c r="AD221" s="274"/>
      <c r="AE221" s="274"/>
    </row>
    <row r="222" spans="2:31" ht="15">
      <c r="B222" s="379">
        <f t="shared" si="6"/>
        <v>177</v>
      </c>
      <c r="C222" s="387" t="str" cm="1">
        <f t="array" aca="1" ref="C222" ca="1">IF(B222&lt;=$C$9,GetGetCDSName(B222),"")</f>
        <v/>
      </c>
      <c r="D222" s="347"/>
      <c r="E222" s="380"/>
      <c r="F222" s="299"/>
      <c r="G222" s="299"/>
      <c r="H222" s="299"/>
      <c r="I222" s="299"/>
      <c r="J222" s="299"/>
      <c r="K222" s="299"/>
      <c r="L222" s="299"/>
      <c r="M222" s="299"/>
      <c r="N222" s="381"/>
      <c r="O222" s="274"/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C222" s="274"/>
      <c r="AD222" s="274"/>
      <c r="AE222" s="274"/>
    </row>
    <row r="223" spans="2:31" ht="15">
      <c r="B223" s="379">
        <f t="shared" si="6"/>
        <v>178</v>
      </c>
      <c r="C223" s="387" t="str" cm="1">
        <f t="array" aca="1" ref="C223" ca="1">IF(B223&lt;=$C$9,GetGetCDSName(B223),"")</f>
        <v/>
      </c>
      <c r="D223" s="347"/>
      <c r="E223" s="380"/>
      <c r="F223" s="299"/>
      <c r="G223" s="299"/>
      <c r="H223" s="299"/>
      <c r="I223" s="299"/>
      <c r="J223" s="299"/>
      <c r="K223" s="299"/>
      <c r="L223" s="299"/>
      <c r="M223" s="299"/>
      <c r="N223" s="381"/>
      <c r="O223" s="274"/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C223" s="274"/>
      <c r="AD223" s="274"/>
      <c r="AE223" s="274"/>
    </row>
    <row r="224" spans="2:31" ht="15">
      <c r="B224" s="379">
        <f t="shared" si="6"/>
        <v>179</v>
      </c>
      <c r="C224" s="387" t="str" cm="1">
        <f t="array" aca="1" ref="C224" ca="1">IF(B224&lt;=$C$9,GetGetCDSName(B224),"")</f>
        <v/>
      </c>
      <c r="D224" s="347"/>
      <c r="E224" s="380"/>
      <c r="F224" s="299"/>
      <c r="G224" s="299"/>
      <c r="H224" s="299"/>
      <c r="I224" s="299"/>
      <c r="J224" s="299"/>
      <c r="K224" s="299"/>
      <c r="L224" s="299"/>
      <c r="M224" s="299"/>
      <c r="N224" s="381"/>
      <c r="O224" s="274"/>
      <c r="P224" s="274"/>
      <c r="Q224" s="274"/>
      <c r="R224" s="274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4"/>
      <c r="AC224" s="274"/>
      <c r="AD224" s="274"/>
      <c r="AE224" s="274"/>
    </row>
    <row r="225" spans="2:31" ht="15">
      <c r="B225" s="379">
        <f t="shared" si="6"/>
        <v>180</v>
      </c>
      <c r="C225" s="387" t="str" cm="1">
        <f t="array" aca="1" ref="C225" ca="1">IF(B225&lt;=$C$9,GetGetCDSName(B225),"")</f>
        <v/>
      </c>
      <c r="D225" s="347"/>
      <c r="E225" s="380"/>
      <c r="F225" s="299"/>
      <c r="G225" s="299"/>
      <c r="H225" s="299"/>
      <c r="I225" s="299"/>
      <c r="J225" s="299"/>
      <c r="K225" s="299"/>
      <c r="L225" s="299"/>
      <c r="M225" s="299"/>
      <c r="N225" s="381"/>
      <c r="O225" s="274"/>
      <c r="P225" s="274"/>
      <c r="Q225" s="274"/>
      <c r="R225" s="274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4"/>
      <c r="AC225" s="274"/>
      <c r="AD225" s="274"/>
      <c r="AE225" s="274"/>
    </row>
    <row r="226" spans="2:31" ht="15">
      <c r="B226" s="379">
        <f t="shared" si="6"/>
        <v>181</v>
      </c>
      <c r="C226" s="387" t="str" cm="1">
        <f t="array" aca="1" ref="C226" ca="1">IF(B226&lt;=$C$9,GetGetCDSName(B226),"")</f>
        <v/>
      </c>
      <c r="D226" s="347"/>
      <c r="E226" s="380"/>
      <c r="F226" s="299"/>
      <c r="G226" s="299"/>
      <c r="H226" s="299"/>
      <c r="I226" s="299"/>
      <c r="J226" s="299"/>
      <c r="K226" s="299"/>
      <c r="L226" s="299"/>
      <c r="M226" s="299"/>
      <c r="N226" s="381"/>
      <c r="O226" s="274"/>
      <c r="P226" s="274"/>
      <c r="Q226" s="274"/>
      <c r="R226" s="274"/>
      <c r="S226" s="274"/>
      <c r="T226" s="274"/>
      <c r="U226" s="274"/>
      <c r="V226" s="274"/>
      <c r="W226" s="274"/>
      <c r="X226" s="274"/>
      <c r="Y226" s="274"/>
      <c r="Z226" s="274"/>
      <c r="AA226" s="274"/>
      <c r="AB226" s="274"/>
      <c r="AC226" s="274"/>
      <c r="AD226" s="274"/>
      <c r="AE226" s="274"/>
    </row>
    <row r="227" spans="2:31" ht="15">
      <c r="B227" s="379">
        <f t="shared" si="6"/>
        <v>182</v>
      </c>
      <c r="C227" s="387" t="str" cm="1">
        <f t="array" aca="1" ref="C227" ca="1">IF(B227&lt;=$C$9,GetGetCDSName(B227),"")</f>
        <v/>
      </c>
      <c r="D227" s="347"/>
      <c r="E227" s="380"/>
      <c r="F227" s="299"/>
      <c r="G227" s="299"/>
      <c r="H227" s="299"/>
      <c r="I227" s="299"/>
      <c r="J227" s="299"/>
      <c r="K227" s="299"/>
      <c r="L227" s="299"/>
      <c r="M227" s="299"/>
      <c r="N227" s="381"/>
      <c r="O227" s="274"/>
      <c r="P227" s="274"/>
      <c r="Q227" s="274"/>
      <c r="R227" s="274"/>
      <c r="S227" s="274"/>
      <c r="T227" s="274"/>
      <c r="U227" s="274"/>
      <c r="V227" s="274"/>
      <c r="W227" s="274"/>
      <c r="X227" s="274"/>
      <c r="Y227" s="274"/>
      <c r="Z227" s="274"/>
      <c r="AA227" s="274"/>
      <c r="AB227" s="274"/>
      <c r="AC227" s="274"/>
      <c r="AD227" s="274"/>
      <c r="AE227" s="274"/>
    </row>
    <row r="228" spans="2:31" ht="15">
      <c r="B228" s="379">
        <f t="shared" si="6"/>
        <v>183</v>
      </c>
      <c r="C228" s="387" t="str" cm="1">
        <f t="array" aca="1" ref="C228" ca="1">IF(B228&lt;=$C$9,GetGetCDSName(B228),"")</f>
        <v/>
      </c>
      <c r="D228" s="347"/>
      <c r="E228" s="380"/>
      <c r="F228" s="299"/>
      <c r="G228" s="299"/>
      <c r="H228" s="299"/>
      <c r="I228" s="299"/>
      <c r="J228" s="299"/>
      <c r="K228" s="299"/>
      <c r="L228" s="299"/>
      <c r="M228" s="299"/>
      <c r="N228" s="381"/>
      <c r="O228" s="274"/>
      <c r="P228" s="274"/>
      <c r="Q228" s="274"/>
      <c r="R228" s="274"/>
      <c r="S228" s="274"/>
      <c r="T228" s="274"/>
      <c r="U228" s="274"/>
      <c r="V228" s="274"/>
      <c r="W228" s="274"/>
      <c r="X228" s="274"/>
      <c r="Y228" s="274"/>
      <c r="Z228" s="274"/>
      <c r="AA228" s="274"/>
      <c r="AB228" s="274"/>
      <c r="AC228" s="274"/>
      <c r="AD228" s="274"/>
      <c r="AE228" s="274"/>
    </row>
    <row r="229" spans="2:31" ht="15">
      <c r="B229" s="379">
        <f t="shared" si="6"/>
        <v>184</v>
      </c>
      <c r="C229" s="387" t="str" cm="1">
        <f t="array" aca="1" ref="C229" ca="1">IF(B229&lt;=$C$9,GetGetCDSName(B229),"")</f>
        <v/>
      </c>
      <c r="D229" s="347"/>
      <c r="E229" s="380"/>
      <c r="F229" s="299"/>
      <c r="G229" s="299"/>
      <c r="H229" s="299"/>
      <c r="I229" s="299"/>
      <c r="J229" s="299"/>
      <c r="K229" s="299"/>
      <c r="L229" s="299"/>
      <c r="M229" s="299"/>
      <c r="N229" s="381"/>
      <c r="O229" s="274"/>
      <c r="P229" s="274"/>
      <c r="Q229" s="274"/>
      <c r="R229" s="274"/>
      <c r="S229" s="274"/>
      <c r="T229" s="274"/>
      <c r="U229" s="274"/>
      <c r="V229" s="274"/>
      <c r="W229" s="274"/>
      <c r="X229" s="274"/>
      <c r="Y229" s="274"/>
      <c r="Z229" s="274"/>
      <c r="AA229" s="274"/>
      <c r="AB229" s="274"/>
      <c r="AC229" s="274"/>
      <c r="AD229" s="274"/>
      <c r="AE229" s="274"/>
    </row>
    <row r="230" spans="2:31" ht="15">
      <c r="B230" s="379">
        <f t="shared" si="6"/>
        <v>185</v>
      </c>
      <c r="C230" s="387" t="str" cm="1">
        <f t="array" aca="1" ref="C230" ca="1">IF(B230&lt;=$C$9,GetGetCDSName(B230),"")</f>
        <v/>
      </c>
      <c r="D230" s="347"/>
      <c r="E230" s="380"/>
      <c r="F230" s="299"/>
      <c r="G230" s="299"/>
      <c r="H230" s="299"/>
      <c r="I230" s="299"/>
      <c r="J230" s="299"/>
      <c r="K230" s="299"/>
      <c r="L230" s="299"/>
      <c r="M230" s="299"/>
      <c r="N230" s="381"/>
      <c r="O230" s="274"/>
      <c r="P230" s="274"/>
      <c r="Q230" s="274"/>
      <c r="R230" s="274"/>
      <c r="S230" s="274"/>
      <c r="T230" s="274"/>
      <c r="U230" s="274"/>
      <c r="V230" s="274"/>
      <c r="W230" s="274"/>
      <c r="X230" s="274"/>
      <c r="Y230" s="274"/>
      <c r="Z230" s="274"/>
      <c r="AA230" s="274"/>
      <c r="AB230" s="274"/>
      <c r="AC230" s="274"/>
      <c r="AD230" s="274"/>
      <c r="AE230" s="274"/>
    </row>
    <row r="231" spans="2:31" ht="15">
      <c r="B231" s="379">
        <f t="shared" si="6"/>
        <v>186</v>
      </c>
      <c r="C231" s="387" t="str" cm="1">
        <f t="array" aca="1" ref="C231" ca="1">IF(B231&lt;=$C$9,GetGetCDSName(B231),"")</f>
        <v/>
      </c>
      <c r="D231" s="347"/>
      <c r="E231" s="380"/>
      <c r="F231" s="299"/>
      <c r="G231" s="299"/>
      <c r="H231" s="299"/>
      <c r="I231" s="299"/>
      <c r="J231" s="299"/>
      <c r="K231" s="299"/>
      <c r="L231" s="299"/>
      <c r="M231" s="299"/>
      <c r="N231" s="381"/>
      <c r="O231" s="274"/>
      <c r="P231" s="274"/>
      <c r="Q231" s="274"/>
      <c r="R231" s="274"/>
      <c r="S231" s="274"/>
      <c r="T231" s="274"/>
      <c r="U231" s="274"/>
      <c r="V231" s="274"/>
      <c r="W231" s="274"/>
      <c r="X231" s="274"/>
      <c r="Y231" s="274"/>
      <c r="Z231" s="274"/>
      <c r="AA231" s="274"/>
      <c r="AB231" s="274"/>
      <c r="AC231" s="274"/>
      <c r="AD231" s="274"/>
      <c r="AE231" s="274"/>
    </row>
    <row r="232" spans="2:31" ht="15">
      <c r="B232" s="379">
        <f t="shared" si="6"/>
        <v>187</v>
      </c>
      <c r="C232" s="387" t="str" cm="1">
        <f t="array" aca="1" ref="C232" ca="1">IF(B232&lt;=$C$9,GetGetCDSName(B232),"")</f>
        <v/>
      </c>
      <c r="D232" s="347"/>
      <c r="E232" s="380"/>
      <c r="F232" s="299"/>
      <c r="G232" s="299"/>
      <c r="H232" s="299"/>
      <c r="I232" s="299"/>
      <c r="J232" s="299"/>
      <c r="K232" s="299"/>
      <c r="L232" s="299"/>
      <c r="M232" s="299"/>
      <c r="N232" s="381"/>
      <c r="O232" s="274"/>
      <c r="P232" s="274"/>
      <c r="Q232" s="274"/>
      <c r="R232" s="274"/>
      <c r="S232" s="274"/>
      <c r="T232" s="274"/>
      <c r="U232" s="274"/>
      <c r="V232" s="274"/>
      <c r="W232" s="274"/>
      <c r="X232" s="274"/>
      <c r="Y232" s="274"/>
      <c r="Z232" s="274"/>
      <c r="AA232" s="274"/>
      <c r="AB232" s="274"/>
      <c r="AC232" s="274"/>
      <c r="AD232" s="274"/>
      <c r="AE232" s="274"/>
    </row>
    <row r="233" spans="2:31" ht="15">
      <c r="B233" s="379">
        <f t="shared" si="6"/>
        <v>188</v>
      </c>
      <c r="C233" s="387" t="str" cm="1">
        <f t="array" aca="1" ref="C233" ca="1">IF(B233&lt;=$C$9,GetGetCDSName(B233),"")</f>
        <v/>
      </c>
      <c r="D233" s="347"/>
      <c r="E233" s="380"/>
      <c r="F233" s="299"/>
      <c r="G233" s="299"/>
      <c r="H233" s="299"/>
      <c r="I233" s="299"/>
      <c r="J233" s="299"/>
      <c r="K233" s="299"/>
      <c r="L233" s="299"/>
      <c r="M233" s="299"/>
      <c r="N233" s="381"/>
      <c r="O233" s="274"/>
      <c r="P233" s="274"/>
      <c r="Q233" s="274"/>
      <c r="R233" s="274"/>
      <c r="S233" s="274"/>
      <c r="T233" s="274"/>
      <c r="U233" s="274"/>
      <c r="V233" s="274"/>
      <c r="W233" s="274"/>
      <c r="X233" s="274"/>
      <c r="Y233" s="274"/>
      <c r="Z233" s="274"/>
      <c r="AA233" s="274"/>
      <c r="AB233" s="274"/>
      <c r="AC233" s="274"/>
      <c r="AD233" s="274"/>
      <c r="AE233" s="274"/>
    </row>
    <row r="234" spans="2:31" ht="15">
      <c r="B234" s="379">
        <f t="shared" si="6"/>
        <v>189</v>
      </c>
      <c r="C234" s="387" t="str" cm="1">
        <f t="array" aca="1" ref="C234" ca="1">IF(B234&lt;=$C$9,GetGetCDSName(B234),"")</f>
        <v/>
      </c>
      <c r="D234" s="347"/>
      <c r="E234" s="380"/>
      <c r="F234" s="299"/>
      <c r="G234" s="299"/>
      <c r="H234" s="299"/>
      <c r="I234" s="299"/>
      <c r="J234" s="299"/>
      <c r="K234" s="299"/>
      <c r="L234" s="299"/>
      <c r="M234" s="299"/>
      <c r="N234" s="381"/>
      <c r="O234" s="274"/>
      <c r="P234" s="274"/>
      <c r="Q234" s="274"/>
      <c r="R234" s="274"/>
      <c r="S234" s="274"/>
      <c r="T234" s="274"/>
      <c r="U234" s="274"/>
      <c r="V234" s="274"/>
      <c r="W234" s="274"/>
      <c r="X234" s="274"/>
      <c r="Y234" s="274"/>
      <c r="Z234" s="274"/>
      <c r="AA234" s="274"/>
      <c r="AB234" s="274"/>
      <c r="AC234" s="274"/>
      <c r="AD234" s="274"/>
      <c r="AE234" s="274"/>
    </row>
    <row r="235" spans="2:31" ht="15">
      <c r="B235" s="379">
        <f t="shared" si="6"/>
        <v>190</v>
      </c>
      <c r="C235" s="387" t="str" cm="1">
        <f t="array" aca="1" ref="C235" ca="1">IF(B235&lt;=$C$9,GetGetCDSName(B235),"")</f>
        <v/>
      </c>
      <c r="D235" s="347"/>
      <c r="E235" s="380"/>
      <c r="F235" s="299"/>
      <c r="G235" s="299"/>
      <c r="H235" s="299"/>
      <c r="I235" s="299"/>
      <c r="J235" s="299"/>
      <c r="K235" s="299"/>
      <c r="L235" s="299"/>
      <c r="M235" s="299"/>
      <c r="N235" s="381"/>
      <c r="O235" s="274"/>
      <c r="P235" s="274"/>
      <c r="Q235" s="274"/>
      <c r="R235" s="274"/>
      <c r="S235" s="274"/>
      <c r="T235" s="274"/>
      <c r="U235" s="274"/>
      <c r="V235" s="274"/>
      <c r="W235" s="274"/>
      <c r="X235" s="274"/>
      <c r="Y235" s="274"/>
      <c r="Z235" s="274"/>
      <c r="AA235" s="274"/>
      <c r="AB235" s="274"/>
      <c r="AC235" s="274"/>
      <c r="AD235" s="274"/>
      <c r="AE235" s="274"/>
    </row>
    <row r="236" spans="2:31" ht="15">
      <c r="B236" s="379">
        <f t="shared" si="6"/>
        <v>191</v>
      </c>
      <c r="C236" s="387" t="str" cm="1">
        <f t="array" aca="1" ref="C236" ca="1">IF(B236&lt;=$C$9,GetGetCDSName(B236),"")</f>
        <v/>
      </c>
      <c r="D236" s="347"/>
      <c r="E236" s="380"/>
      <c r="F236" s="299"/>
      <c r="G236" s="299"/>
      <c r="H236" s="299"/>
      <c r="I236" s="299"/>
      <c r="J236" s="299"/>
      <c r="K236" s="299"/>
      <c r="L236" s="299"/>
      <c r="M236" s="299"/>
      <c r="N236" s="381"/>
      <c r="O236" s="274"/>
      <c r="P236" s="274"/>
      <c r="Q236" s="274"/>
      <c r="R236" s="274"/>
      <c r="S236" s="274"/>
      <c r="T236" s="274"/>
      <c r="U236" s="274"/>
      <c r="V236" s="274"/>
      <c r="W236" s="274"/>
      <c r="X236" s="274"/>
      <c r="Y236" s="274"/>
      <c r="Z236" s="274"/>
      <c r="AA236" s="274"/>
      <c r="AB236" s="274"/>
      <c r="AC236" s="274"/>
      <c r="AD236" s="274"/>
      <c r="AE236" s="274"/>
    </row>
    <row r="237" spans="2:31" ht="15">
      <c r="B237" s="379">
        <f t="shared" si="6"/>
        <v>192</v>
      </c>
      <c r="C237" s="387" t="str" cm="1">
        <f t="array" aca="1" ref="C237" ca="1">IF(B237&lt;=$C$9,GetGetCDSName(B237),"")</f>
        <v/>
      </c>
      <c r="D237" s="347"/>
      <c r="E237" s="380"/>
      <c r="F237" s="299"/>
      <c r="G237" s="299"/>
      <c r="H237" s="299"/>
      <c r="I237" s="299"/>
      <c r="J237" s="299"/>
      <c r="K237" s="299"/>
      <c r="L237" s="299"/>
      <c r="M237" s="299"/>
      <c r="N237" s="381"/>
      <c r="O237" s="274"/>
      <c r="P237" s="274"/>
      <c r="Q237" s="274"/>
      <c r="R237" s="274"/>
      <c r="S237" s="274"/>
      <c r="T237" s="274"/>
      <c r="U237" s="274"/>
      <c r="V237" s="274"/>
      <c r="W237" s="274"/>
      <c r="X237" s="274"/>
      <c r="Y237" s="274"/>
      <c r="Z237" s="274"/>
      <c r="AA237" s="274"/>
      <c r="AB237" s="274"/>
      <c r="AC237" s="274"/>
      <c r="AD237" s="274"/>
      <c r="AE237" s="274"/>
    </row>
    <row r="238" spans="2:31" ht="15">
      <c r="B238" s="379">
        <f t="shared" si="6"/>
        <v>193</v>
      </c>
      <c r="C238" s="387" t="str" cm="1">
        <f t="array" aca="1" ref="C238" ca="1">IF(B238&lt;=$C$9,GetGetCDSName(B238),"")</f>
        <v/>
      </c>
      <c r="D238" s="347"/>
      <c r="E238" s="380"/>
      <c r="F238" s="299"/>
      <c r="G238" s="299"/>
      <c r="H238" s="299"/>
      <c r="I238" s="299"/>
      <c r="J238" s="299"/>
      <c r="K238" s="299"/>
      <c r="L238" s="299"/>
      <c r="M238" s="299"/>
      <c r="N238" s="381"/>
      <c r="O238" s="274"/>
      <c r="P238" s="274"/>
      <c r="Q238" s="274"/>
      <c r="R238" s="274"/>
      <c r="S238" s="274"/>
      <c r="T238" s="274"/>
      <c r="U238" s="274"/>
      <c r="V238" s="274"/>
      <c r="W238" s="274"/>
      <c r="X238" s="274"/>
      <c r="Y238" s="274"/>
      <c r="Z238" s="274"/>
      <c r="AA238" s="274"/>
      <c r="AB238" s="274"/>
      <c r="AC238" s="274"/>
      <c r="AD238" s="274"/>
      <c r="AE238" s="274"/>
    </row>
    <row r="239" spans="2:31" ht="15">
      <c r="B239" s="379">
        <f t="shared" ref="B239:B302" si="7">B238+1</f>
        <v>194</v>
      </c>
      <c r="C239" s="387" t="str" cm="1">
        <f t="array" aca="1" ref="C239" ca="1">IF(B239&lt;=$C$9,GetGetCDSName(B239),"")</f>
        <v/>
      </c>
      <c r="D239" s="347"/>
      <c r="E239" s="380"/>
      <c r="F239" s="299"/>
      <c r="G239" s="299"/>
      <c r="H239" s="299"/>
      <c r="I239" s="299"/>
      <c r="J239" s="299"/>
      <c r="K239" s="299"/>
      <c r="L239" s="299"/>
      <c r="M239" s="299"/>
      <c r="N239" s="381"/>
      <c r="O239" s="274"/>
      <c r="P239" s="274"/>
      <c r="Q239" s="274"/>
      <c r="R239" s="274"/>
      <c r="S239" s="274"/>
      <c r="T239" s="274"/>
      <c r="U239" s="274"/>
      <c r="V239" s="274"/>
      <c r="W239" s="274"/>
      <c r="X239" s="274"/>
      <c r="Y239" s="274"/>
      <c r="Z239" s="274"/>
      <c r="AA239" s="274"/>
      <c r="AB239" s="274"/>
      <c r="AC239" s="274"/>
      <c r="AD239" s="274"/>
      <c r="AE239" s="274"/>
    </row>
    <row r="240" spans="2:31" ht="15">
      <c r="B240" s="379">
        <f t="shared" si="7"/>
        <v>195</v>
      </c>
      <c r="C240" s="387" t="str" cm="1">
        <f t="array" aca="1" ref="C240" ca="1">IF(B240&lt;=$C$9,GetGetCDSName(B240),"")</f>
        <v/>
      </c>
      <c r="D240" s="347"/>
      <c r="E240" s="380"/>
      <c r="F240" s="299"/>
      <c r="G240" s="299"/>
      <c r="H240" s="299"/>
      <c r="I240" s="299"/>
      <c r="J240" s="299"/>
      <c r="K240" s="299"/>
      <c r="L240" s="299"/>
      <c r="M240" s="299"/>
      <c r="N240" s="381"/>
      <c r="O240" s="274"/>
      <c r="P240" s="274"/>
      <c r="Q240" s="274"/>
      <c r="R240" s="274"/>
      <c r="S240" s="274"/>
      <c r="T240" s="274"/>
      <c r="U240" s="274"/>
      <c r="V240" s="274"/>
      <c r="W240" s="274"/>
      <c r="X240" s="274"/>
      <c r="Y240" s="274"/>
      <c r="Z240" s="274"/>
      <c r="AA240" s="274"/>
      <c r="AB240" s="274"/>
      <c r="AC240" s="274"/>
      <c r="AD240" s="274"/>
      <c r="AE240" s="274"/>
    </row>
    <row r="241" spans="2:31" ht="15">
      <c r="B241" s="379">
        <f t="shared" si="7"/>
        <v>196</v>
      </c>
      <c r="C241" s="387" t="str" cm="1">
        <f t="array" aca="1" ref="C241" ca="1">IF(B241&lt;=$C$9,GetGetCDSName(B241),"")</f>
        <v/>
      </c>
      <c r="D241" s="347"/>
      <c r="E241" s="380"/>
      <c r="F241" s="299"/>
      <c r="G241" s="299"/>
      <c r="H241" s="299"/>
      <c r="I241" s="299"/>
      <c r="J241" s="299"/>
      <c r="K241" s="299"/>
      <c r="L241" s="299"/>
      <c r="M241" s="299"/>
      <c r="N241" s="381"/>
      <c r="O241" s="274"/>
      <c r="P241" s="274"/>
      <c r="Q241" s="274"/>
      <c r="R241" s="274"/>
      <c r="S241" s="274"/>
      <c r="T241" s="274"/>
      <c r="U241" s="274"/>
      <c r="V241" s="274"/>
      <c r="W241" s="274"/>
      <c r="X241" s="274"/>
      <c r="Y241" s="274"/>
      <c r="Z241" s="274"/>
      <c r="AA241" s="274"/>
      <c r="AB241" s="274"/>
      <c r="AC241" s="274"/>
      <c r="AD241" s="274"/>
      <c r="AE241" s="274"/>
    </row>
    <row r="242" spans="2:31" ht="15">
      <c r="B242" s="379">
        <f t="shared" si="7"/>
        <v>197</v>
      </c>
      <c r="C242" s="387" t="str" cm="1">
        <f t="array" aca="1" ref="C242" ca="1">IF(B242&lt;=$C$9,GetGetCDSName(B242),"")</f>
        <v/>
      </c>
      <c r="D242" s="347"/>
      <c r="E242" s="380"/>
      <c r="F242" s="299"/>
      <c r="G242" s="299"/>
      <c r="H242" s="299"/>
      <c r="I242" s="299"/>
      <c r="J242" s="299"/>
      <c r="K242" s="299"/>
      <c r="L242" s="299"/>
      <c r="M242" s="299"/>
      <c r="N242" s="381"/>
      <c r="O242" s="274"/>
      <c r="P242" s="274"/>
      <c r="Q242" s="274"/>
      <c r="R242" s="274"/>
      <c r="S242" s="274"/>
      <c r="T242" s="274"/>
      <c r="U242" s="274"/>
      <c r="V242" s="274"/>
      <c r="W242" s="274"/>
      <c r="X242" s="274"/>
      <c r="Y242" s="274"/>
      <c r="Z242" s="274"/>
      <c r="AA242" s="274"/>
      <c r="AB242" s="274"/>
      <c r="AC242" s="274"/>
      <c r="AD242" s="274"/>
      <c r="AE242" s="274"/>
    </row>
    <row r="243" spans="2:31" ht="15">
      <c r="B243" s="379">
        <f t="shared" si="7"/>
        <v>198</v>
      </c>
      <c r="C243" s="387" t="str" cm="1">
        <f t="array" aca="1" ref="C243" ca="1">IF(B243&lt;=$C$9,GetGetCDSName(B243),"")</f>
        <v/>
      </c>
      <c r="D243" s="347"/>
      <c r="E243" s="380"/>
      <c r="F243" s="299"/>
      <c r="G243" s="299"/>
      <c r="H243" s="299"/>
      <c r="I243" s="299"/>
      <c r="J243" s="299"/>
      <c r="K243" s="299"/>
      <c r="L243" s="299"/>
      <c r="M243" s="299"/>
      <c r="N243" s="381"/>
      <c r="O243" s="274"/>
      <c r="P243" s="274"/>
      <c r="Q243" s="274"/>
      <c r="R243" s="274"/>
      <c r="S243" s="274"/>
      <c r="T243" s="274"/>
      <c r="U243" s="274"/>
      <c r="V243" s="274"/>
      <c r="W243" s="274"/>
      <c r="X243" s="274"/>
      <c r="Y243" s="274"/>
      <c r="Z243" s="274"/>
      <c r="AA243" s="274"/>
      <c r="AB243" s="274"/>
      <c r="AC243" s="274"/>
      <c r="AD243" s="274"/>
      <c r="AE243" s="274"/>
    </row>
    <row r="244" spans="2:31" ht="15">
      <c r="B244" s="379">
        <f t="shared" si="7"/>
        <v>199</v>
      </c>
      <c r="C244" s="387" t="str" cm="1">
        <f t="array" aca="1" ref="C244" ca="1">IF(B244&lt;=$C$9,GetGetCDSName(B244),"")</f>
        <v/>
      </c>
      <c r="D244" s="347"/>
      <c r="E244" s="380"/>
      <c r="F244" s="299"/>
      <c r="G244" s="299"/>
      <c r="H244" s="299"/>
      <c r="I244" s="299"/>
      <c r="J244" s="299"/>
      <c r="K244" s="299"/>
      <c r="L244" s="299"/>
      <c r="M244" s="299"/>
      <c r="N244" s="381"/>
      <c r="O244" s="274"/>
      <c r="P244" s="274"/>
      <c r="Q244" s="274"/>
      <c r="R244" s="274"/>
      <c r="S244" s="274"/>
      <c r="T244" s="274"/>
      <c r="U244" s="274"/>
      <c r="V244" s="274"/>
      <c r="W244" s="274"/>
      <c r="X244" s="274"/>
      <c r="Y244" s="274"/>
      <c r="Z244" s="274"/>
      <c r="AA244" s="274"/>
      <c r="AB244" s="274"/>
      <c r="AC244" s="274"/>
      <c r="AD244" s="274"/>
      <c r="AE244" s="274"/>
    </row>
    <row r="245" spans="2:31" ht="15">
      <c r="B245" s="379">
        <f t="shared" si="7"/>
        <v>200</v>
      </c>
      <c r="C245" s="387" t="str" cm="1">
        <f t="array" aca="1" ref="C245" ca="1">IF(B245&lt;=$C$9,GetGetCDSName(B245),"")</f>
        <v/>
      </c>
      <c r="D245" s="347"/>
      <c r="E245" s="380"/>
      <c r="F245" s="299"/>
      <c r="G245" s="299"/>
      <c r="H245" s="299"/>
      <c r="I245" s="299"/>
      <c r="J245" s="299"/>
      <c r="K245" s="299"/>
      <c r="L245" s="299"/>
      <c r="M245" s="299"/>
      <c r="N245" s="381"/>
      <c r="O245" s="274"/>
      <c r="P245" s="274"/>
      <c r="Q245" s="274"/>
      <c r="R245" s="274"/>
      <c r="S245" s="274"/>
      <c r="T245" s="274"/>
      <c r="U245" s="274"/>
      <c r="V245" s="274"/>
      <c r="W245" s="274"/>
      <c r="X245" s="274"/>
      <c r="Y245" s="274"/>
      <c r="Z245" s="274"/>
      <c r="AA245" s="274"/>
      <c r="AB245" s="274"/>
      <c r="AC245" s="274"/>
      <c r="AD245" s="274"/>
      <c r="AE245" s="274"/>
    </row>
    <row r="246" spans="2:31" ht="15">
      <c r="B246" s="379">
        <f t="shared" si="7"/>
        <v>201</v>
      </c>
      <c r="C246" s="387" t="str" cm="1">
        <f t="array" aca="1" ref="C246" ca="1">IF(B246&lt;=$C$9,GetGetCDSName(B246),"")</f>
        <v/>
      </c>
      <c r="D246" s="347"/>
      <c r="E246" s="380"/>
      <c r="F246" s="299"/>
      <c r="G246" s="299"/>
      <c r="H246" s="299"/>
      <c r="I246" s="299"/>
      <c r="J246" s="299"/>
      <c r="K246" s="299"/>
      <c r="L246" s="299"/>
      <c r="M246" s="299"/>
      <c r="N246" s="381"/>
      <c r="O246" s="274"/>
      <c r="P246" s="274"/>
      <c r="Q246" s="274"/>
      <c r="R246" s="274"/>
      <c r="S246" s="274"/>
      <c r="T246" s="274"/>
      <c r="U246" s="274"/>
      <c r="V246" s="274"/>
      <c r="W246" s="274"/>
      <c r="X246" s="274"/>
      <c r="Y246" s="274"/>
      <c r="Z246" s="274"/>
      <c r="AA246" s="274"/>
      <c r="AB246" s="274"/>
      <c r="AC246" s="274"/>
      <c r="AD246" s="274"/>
      <c r="AE246" s="274"/>
    </row>
    <row r="247" spans="2:31" ht="15">
      <c r="B247" s="379">
        <f t="shared" si="7"/>
        <v>202</v>
      </c>
      <c r="C247" s="387" t="str" cm="1">
        <f t="array" aca="1" ref="C247" ca="1">IF(B247&lt;=$C$9,GetGetCDSName(B247),"")</f>
        <v/>
      </c>
      <c r="D247" s="347"/>
      <c r="E247" s="380"/>
      <c r="F247" s="299"/>
      <c r="G247" s="299"/>
      <c r="H247" s="299"/>
      <c r="I247" s="299"/>
      <c r="J247" s="299"/>
      <c r="K247" s="299"/>
      <c r="L247" s="299"/>
      <c r="M247" s="299"/>
      <c r="N247" s="381"/>
      <c r="O247" s="274"/>
      <c r="P247" s="274"/>
      <c r="Q247" s="274"/>
      <c r="R247" s="274"/>
      <c r="S247" s="274"/>
      <c r="T247" s="274"/>
      <c r="U247" s="274"/>
      <c r="V247" s="274"/>
      <c r="W247" s="274"/>
      <c r="X247" s="274"/>
      <c r="Y247" s="274"/>
      <c r="Z247" s="274"/>
      <c r="AA247" s="274"/>
      <c r="AB247" s="274"/>
      <c r="AC247" s="274"/>
      <c r="AD247" s="274"/>
      <c r="AE247" s="274"/>
    </row>
    <row r="248" spans="2:31" ht="15">
      <c r="B248" s="379">
        <f t="shared" si="7"/>
        <v>203</v>
      </c>
      <c r="C248" s="387" t="str" cm="1">
        <f t="array" aca="1" ref="C248" ca="1">IF(B248&lt;=$C$9,GetGetCDSName(B248),"")</f>
        <v/>
      </c>
      <c r="D248" s="347"/>
      <c r="E248" s="380"/>
      <c r="F248" s="299"/>
      <c r="G248" s="299"/>
      <c r="H248" s="299"/>
      <c r="I248" s="299"/>
      <c r="J248" s="299"/>
      <c r="K248" s="299"/>
      <c r="L248" s="299"/>
      <c r="M248" s="299"/>
      <c r="N248" s="381"/>
      <c r="O248" s="274"/>
      <c r="P248" s="274"/>
      <c r="Q248" s="274"/>
      <c r="R248" s="274"/>
      <c r="S248" s="274"/>
      <c r="T248" s="274"/>
      <c r="U248" s="274"/>
      <c r="V248" s="274"/>
      <c r="W248" s="274"/>
      <c r="X248" s="274"/>
      <c r="Y248" s="274"/>
      <c r="Z248" s="274"/>
      <c r="AA248" s="274"/>
      <c r="AB248" s="274"/>
      <c r="AC248" s="274"/>
      <c r="AD248" s="274"/>
      <c r="AE248" s="274"/>
    </row>
    <row r="249" spans="2:31" ht="15">
      <c r="B249" s="379">
        <f t="shared" si="7"/>
        <v>204</v>
      </c>
      <c r="C249" s="387" t="str" cm="1">
        <f t="array" aca="1" ref="C249" ca="1">IF(B249&lt;=$C$9,GetGetCDSName(B249),"")</f>
        <v/>
      </c>
      <c r="D249" s="347"/>
      <c r="E249" s="380"/>
      <c r="F249" s="299"/>
      <c r="G249" s="299"/>
      <c r="H249" s="299"/>
      <c r="I249" s="299"/>
      <c r="J249" s="299"/>
      <c r="K249" s="299"/>
      <c r="L249" s="299"/>
      <c r="M249" s="299"/>
      <c r="N249" s="381"/>
      <c r="O249" s="274"/>
      <c r="P249" s="274"/>
      <c r="Q249" s="274"/>
      <c r="R249" s="274"/>
      <c r="S249" s="274"/>
      <c r="T249" s="274"/>
      <c r="U249" s="274"/>
      <c r="V249" s="274"/>
      <c r="W249" s="274"/>
      <c r="X249" s="274"/>
      <c r="Y249" s="274"/>
      <c r="Z249" s="274"/>
      <c r="AA249" s="274"/>
      <c r="AB249" s="274"/>
      <c r="AC249" s="274"/>
      <c r="AD249" s="274"/>
      <c r="AE249" s="274"/>
    </row>
    <row r="250" spans="2:31" ht="15">
      <c r="B250" s="379">
        <f t="shared" si="7"/>
        <v>205</v>
      </c>
      <c r="C250" s="387" t="str" cm="1">
        <f t="array" aca="1" ref="C250" ca="1">IF(B250&lt;=$C$9,GetGetCDSName(B250),"")</f>
        <v/>
      </c>
      <c r="D250" s="347"/>
      <c r="E250" s="380"/>
      <c r="F250" s="299"/>
      <c r="G250" s="299"/>
      <c r="H250" s="299"/>
      <c r="I250" s="299"/>
      <c r="J250" s="299"/>
      <c r="K250" s="299"/>
      <c r="L250" s="299"/>
      <c r="M250" s="299"/>
      <c r="N250" s="381"/>
      <c r="O250" s="274"/>
      <c r="P250" s="274"/>
      <c r="Q250" s="274"/>
      <c r="R250" s="274"/>
      <c r="S250" s="274"/>
      <c r="T250" s="274"/>
      <c r="U250" s="274"/>
      <c r="V250" s="274"/>
      <c r="W250" s="274"/>
      <c r="X250" s="274"/>
      <c r="Y250" s="274"/>
      <c r="Z250" s="274"/>
      <c r="AA250" s="274"/>
      <c r="AB250" s="274"/>
      <c r="AC250" s="274"/>
      <c r="AD250" s="274"/>
      <c r="AE250" s="274"/>
    </row>
    <row r="251" spans="2:31" ht="15">
      <c r="B251" s="379">
        <f t="shared" si="7"/>
        <v>206</v>
      </c>
      <c r="C251" s="387" t="str" cm="1">
        <f t="array" aca="1" ref="C251" ca="1">IF(B251&lt;=$C$9,GetGetCDSName(B251),"")</f>
        <v/>
      </c>
      <c r="D251" s="347"/>
      <c r="E251" s="380"/>
      <c r="F251" s="299"/>
      <c r="G251" s="299"/>
      <c r="H251" s="299"/>
      <c r="I251" s="299"/>
      <c r="J251" s="299"/>
      <c r="K251" s="299"/>
      <c r="L251" s="299"/>
      <c r="M251" s="299"/>
      <c r="N251" s="381"/>
      <c r="O251" s="274"/>
      <c r="P251" s="274"/>
      <c r="Q251" s="274"/>
      <c r="R251" s="274"/>
      <c r="S251" s="274"/>
      <c r="T251" s="274"/>
      <c r="U251" s="274"/>
      <c r="V251" s="274"/>
      <c r="W251" s="274"/>
      <c r="X251" s="274"/>
      <c r="Y251" s="274"/>
      <c r="Z251" s="274"/>
      <c r="AA251" s="274"/>
      <c r="AB251" s="274"/>
      <c r="AC251" s="274"/>
      <c r="AD251" s="274"/>
      <c r="AE251" s="274"/>
    </row>
    <row r="252" spans="2:31" ht="15">
      <c r="B252" s="379">
        <f t="shared" si="7"/>
        <v>207</v>
      </c>
      <c r="C252" s="387" t="str" cm="1">
        <f t="array" aca="1" ref="C252" ca="1">IF(B252&lt;=$C$9,GetGetCDSName(B252),"")</f>
        <v/>
      </c>
      <c r="D252" s="347"/>
      <c r="E252" s="380"/>
      <c r="F252" s="299"/>
      <c r="G252" s="299"/>
      <c r="H252" s="299"/>
      <c r="I252" s="299"/>
      <c r="J252" s="299"/>
      <c r="K252" s="299"/>
      <c r="L252" s="299"/>
      <c r="M252" s="299"/>
      <c r="N252" s="381"/>
      <c r="O252" s="274"/>
      <c r="P252" s="274"/>
      <c r="Q252" s="274"/>
      <c r="R252" s="274"/>
      <c r="S252" s="274"/>
      <c r="T252" s="274"/>
      <c r="U252" s="274"/>
      <c r="V252" s="274"/>
      <c r="W252" s="274"/>
      <c r="X252" s="274"/>
      <c r="Y252" s="274"/>
      <c r="Z252" s="274"/>
      <c r="AA252" s="274"/>
      <c r="AB252" s="274"/>
      <c r="AC252" s="274"/>
      <c r="AD252" s="274"/>
      <c r="AE252" s="274"/>
    </row>
    <row r="253" spans="2:31" ht="15">
      <c r="B253" s="379">
        <f t="shared" si="7"/>
        <v>208</v>
      </c>
      <c r="C253" s="387" t="str" cm="1">
        <f t="array" aca="1" ref="C253" ca="1">IF(B253&lt;=$C$9,GetGetCDSName(B253),"")</f>
        <v/>
      </c>
      <c r="D253" s="347"/>
      <c r="E253" s="380"/>
      <c r="F253" s="299"/>
      <c r="G253" s="299"/>
      <c r="H253" s="299"/>
      <c r="I253" s="299"/>
      <c r="J253" s="299"/>
      <c r="K253" s="299"/>
      <c r="L253" s="299"/>
      <c r="M253" s="299"/>
      <c r="N253" s="381"/>
      <c r="O253" s="274"/>
      <c r="P253" s="274"/>
      <c r="Q253" s="274"/>
      <c r="R253" s="274"/>
      <c r="S253" s="274"/>
      <c r="T253" s="274"/>
      <c r="U253" s="274"/>
      <c r="V253" s="274"/>
      <c r="W253" s="274"/>
      <c r="X253" s="274"/>
      <c r="Y253" s="274"/>
      <c r="Z253" s="274"/>
      <c r="AA253" s="274"/>
      <c r="AB253" s="274"/>
      <c r="AC253" s="274"/>
      <c r="AD253" s="274"/>
      <c r="AE253" s="274"/>
    </row>
    <row r="254" spans="2:31" ht="15">
      <c r="B254" s="379">
        <f t="shared" si="7"/>
        <v>209</v>
      </c>
      <c r="C254" s="387" t="str" cm="1">
        <f t="array" aca="1" ref="C254" ca="1">IF(B254&lt;=$C$9,GetGetCDSName(B254),"")</f>
        <v/>
      </c>
      <c r="D254" s="347"/>
      <c r="E254" s="380"/>
      <c r="F254" s="299"/>
      <c r="G254" s="299"/>
      <c r="H254" s="299"/>
      <c r="I254" s="299"/>
      <c r="J254" s="299"/>
      <c r="K254" s="299"/>
      <c r="L254" s="299"/>
      <c r="M254" s="299"/>
      <c r="N254" s="381"/>
      <c r="O254" s="274"/>
      <c r="P254" s="274"/>
      <c r="Q254" s="274"/>
      <c r="R254" s="274"/>
      <c r="S254" s="274"/>
      <c r="T254" s="274"/>
      <c r="U254" s="274"/>
      <c r="V254" s="274"/>
      <c r="W254" s="274"/>
      <c r="X254" s="274"/>
      <c r="Y254" s="274"/>
      <c r="Z254" s="274"/>
      <c r="AA254" s="274"/>
      <c r="AB254" s="274"/>
      <c r="AC254" s="274"/>
      <c r="AD254" s="274"/>
      <c r="AE254" s="274"/>
    </row>
    <row r="255" spans="2:31" ht="15">
      <c r="B255" s="379">
        <f t="shared" si="7"/>
        <v>210</v>
      </c>
      <c r="C255" s="387" t="str" cm="1">
        <f t="array" aca="1" ref="C255" ca="1">IF(B255&lt;=$C$9,GetGetCDSName(B255),"")</f>
        <v/>
      </c>
      <c r="D255" s="347"/>
      <c r="E255" s="380"/>
      <c r="F255" s="299"/>
      <c r="G255" s="299"/>
      <c r="H255" s="299"/>
      <c r="I255" s="299"/>
      <c r="J255" s="299"/>
      <c r="K255" s="299"/>
      <c r="L255" s="299"/>
      <c r="M255" s="299"/>
      <c r="N255" s="381"/>
      <c r="O255" s="274"/>
      <c r="P255" s="274"/>
      <c r="Q255" s="274"/>
      <c r="R255" s="274"/>
      <c r="S255" s="274"/>
      <c r="T255" s="274"/>
      <c r="U255" s="274"/>
      <c r="V255" s="274"/>
      <c r="W255" s="274"/>
      <c r="X255" s="274"/>
      <c r="Y255" s="274"/>
      <c r="Z255" s="274"/>
      <c r="AA255" s="274"/>
      <c r="AB255" s="274"/>
      <c r="AC255" s="274"/>
      <c r="AD255" s="274"/>
      <c r="AE255" s="274"/>
    </row>
    <row r="256" spans="2:31" ht="15">
      <c r="B256" s="379">
        <f t="shared" si="7"/>
        <v>211</v>
      </c>
      <c r="C256" s="387" t="str" cm="1">
        <f t="array" aca="1" ref="C256" ca="1">IF(B256&lt;=$C$9,GetGetCDSName(B256),"")</f>
        <v/>
      </c>
      <c r="D256" s="347"/>
      <c r="E256" s="380"/>
      <c r="F256" s="299"/>
      <c r="G256" s="299"/>
      <c r="H256" s="299"/>
      <c r="I256" s="299"/>
      <c r="J256" s="299"/>
      <c r="K256" s="299"/>
      <c r="L256" s="299"/>
      <c r="M256" s="299"/>
      <c r="N256" s="381"/>
      <c r="O256" s="274"/>
      <c r="P256" s="274"/>
      <c r="Q256" s="274"/>
      <c r="R256" s="274"/>
      <c r="S256" s="274"/>
      <c r="T256" s="274"/>
      <c r="U256" s="274"/>
      <c r="V256" s="274"/>
      <c r="W256" s="274"/>
      <c r="X256" s="274"/>
      <c r="Y256" s="274"/>
      <c r="Z256" s="274"/>
      <c r="AA256" s="274"/>
      <c r="AB256" s="274"/>
      <c r="AC256" s="274"/>
      <c r="AD256" s="274"/>
      <c r="AE256" s="274"/>
    </row>
    <row r="257" spans="2:31" ht="15">
      <c r="B257" s="379">
        <f t="shared" si="7"/>
        <v>212</v>
      </c>
      <c r="C257" s="387" t="str" cm="1">
        <f t="array" aca="1" ref="C257" ca="1">IF(B257&lt;=$C$9,GetGetCDSName(B257),"")</f>
        <v/>
      </c>
      <c r="D257" s="347"/>
      <c r="E257" s="380"/>
      <c r="F257" s="299"/>
      <c r="G257" s="299"/>
      <c r="H257" s="299"/>
      <c r="I257" s="299"/>
      <c r="J257" s="299"/>
      <c r="K257" s="299"/>
      <c r="L257" s="299"/>
      <c r="M257" s="299"/>
      <c r="N257" s="381"/>
      <c r="O257" s="274"/>
      <c r="P257" s="274"/>
      <c r="Q257" s="274"/>
      <c r="R257" s="274"/>
      <c r="S257" s="274"/>
      <c r="T257" s="274"/>
      <c r="U257" s="274"/>
      <c r="V257" s="274"/>
      <c r="W257" s="274"/>
      <c r="X257" s="274"/>
      <c r="Y257" s="274"/>
      <c r="Z257" s="274"/>
      <c r="AA257" s="274"/>
      <c r="AB257" s="274"/>
      <c r="AC257" s="274"/>
      <c r="AD257" s="274"/>
      <c r="AE257" s="274"/>
    </row>
    <row r="258" spans="2:31" ht="15">
      <c r="B258" s="379">
        <f t="shared" si="7"/>
        <v>213</v>
      </c>
      <c r="C258" s="387" t="str" cm="1">
        <f t="array" aca="1" ref="C258" ca="1">IF(B258&lt;=$C$9,GetGetCDSName(B258),"")</f>
        <v/>
      </c>
      <c r="D258" s="347"/>
      <c r="E258" s="380"/>
      <c r="F258" s="299"/>
      <c r="G258" s="299"/>
      <c r="H258" s="299"/>
      <c r="I258" s="299"/>
      <c r="J258" s="299"/>
      <c r="K258" s="299"/>
      <c r="L258" s="299"/>
      <c r="M258" s="299"/>
      <c r="N258" s="381"/>
      <c r="O258" s="274"/>
      <c r="P258" s="274"/>
      <c r="Q258" s="274"/>
      <c r="R258" s="274"/>
      <c r="S258" s="274"/>
      <c r="T258" s="274"/>
      <c r="U258" s="274"/>
      <c r="V258" s="274"/>
      <c r="W258" s="274"/>
      <c r="X258" s="274"/>
      <c r="Y258" s="274"/>
      <c r="Z258" s="274"/>
      <c r="AA258" s="274"/>
      <c r="AB258" s="274"/>
      <c r="AC258" s="274"/>
      <c r="AD258" s="274"/>
      <c r="AE258" s="274"/>
    </row>
    <row r="259" spans="2:31" ht="15">
      <c r="B259" s="379">
        <f t="shared" si="7"/>
        <v>214</v>
      </c>
      <c r="C259" s="387" t="str" cm="1">
        <f t="array" aca="1" ref="C259" ca="1">IF(B259&lt;=$C$9,GetGetCDSName(B259),"")</f>
        <v/>
      </c>
      <c r="D259" s="347"/>
      <c r="E259" s="380"/>
      <c r="F259" s="299"/>
      <c r="G259" s="299"/>
      <c r="H259" s="299"/>
      <c r="I259" s="299"/>
      <c r="J259" s="299"/>
      <c r="K259" s="299"/>
      <c r="L259" s="299"/>
      <c r="M259" s="299"/>
      <c r="N259" s="381"/>
      <c r="O259" s="274"/>
      <c r="P259" s="274"/>
      <c r="Q259" s="274"/>
      <c r="R259" s="274"/>
      <c r="S259" s="274"/>
      <c r="T259" s="274"/>
      <c r="U259" s="274"/>
      <c r="V259" s="274"/>
      <c r="W259" s="274"/>
      <c r="X259" s="274"/>
      <c r="Y259" s="274"/>
      <c r="Z259" s="274"/>
      <c r="AA259" s="274"/>
      <c r="AB259" s="274"/>
      <c r="AC259" s="274"/>
      <c r="AD259" s="274"/>
      <c r="AE259" s="274"/>
    </row>
    <row r="260" spans="2:31" ht="15">
      <c r="B260" s="379">
        <f t="shared" si="7"/>
        <v>215</v>
      </c>
      <c r="C260" s="387" t="str" cm="1">
        <f t="array" aca="1" ref="C260" ca="1">IF(B260&lt;=$C$9,GetGetCDSName(B260),"")</f>
        <v/>
      </c>
      <c r="D260" s="347"/>
      <c r="E260" s="380"/>
      <c r="F260" s="299"/>
      <c r="G260" s="299"/>
      <c r="H260" s="299"/>
      <c r="I260" s="299"/>
      <c r="J260" s="299"/>
      <c r="K260" s="299"/>
      <c r="L260" s="299"/>
      <c r="M260" s="299"/>
      <c r="N260" s="381"/>
      <c r="O260" s="274"/>
      <c r="P260" s="274"/>
      <c r="Q260" s="274"/>
      <c r="R260" s="274"/>
      <c r="S260" s="274"/>
      <c r="T260" s="274"/>
      <c r="U260" s="274"/>
      <c r="V260" s="274"/>
      <c r="W260" s="274"/>
      <c r="X260" s="274"/>
      <c r="Y260" s="274"/>
      <c r="Z260" s="274"/>
      <c r="AA260" s="274"/>
      <c r="AB260" s="274"/>
      <c r="AC260" s="274"/>
      <c r="AD260" s="274"/>
      <c r="AE260" s="274"/>
    </row>
    <row r="261" spans="2:31" ht="15">
      <c r="B261" s="379">
        <f t="shared" si="7"/>
        <v>216</v>
      </c>
      <c r="C261" s="387" t="str" cm="1">
        <f t="array" aca="1" ref="C261" ca="1">IF(B261&lt;=$C$9,GetGetCDSName(B261),"")</f>
        <v/>
      </c>
      <c r="D261" s="347"/>
      <c r="E261" s="380"/>
      <c r="F261" s="299"/>
      <c r="G261" s="299"/>
      <c r="H261" s="299"/>
      <c r="I261" s="299"/>
      <c r="J261" s="299"/>
      <c r="K261" s="299"/>
      <c r="L261" s="299"/>
      <c r="M261" s="299"/>
      <c r="N261" s="381"/>
      <c r="O261" s="274"/>
      <c r="P261" s="274"/>
      <c r="Q261" s="274"/>
      <c r="R261" s="274"/>
      <c r="S261" s="274"/>
      <c r="T261" s="274"/>
      <c r="U261" s="274"/>
      <c r="V261" s="274"/>
      <c r="W261" s="274"/>
      <c r="X261" s="274"/>
      <c r="Y261" s="274"/>
      <c r="Z261" s="274"/>
      <c r="AA261" s="274"/>
      <c r="AB261" s="274"/>
      <c r="AC261" s="274"/>
      <c r="AD261" s="274"/>
      <c r="AE261" s="274"/>
    </row>
    <row r="262" spans="2:31" ht="15">
      <c r="B262" s="379">
        <f t="shared" si="7"/>
        <v>217</v>
      </c>
      <c r="C262" s="387" t="str" cm="1">
        <f t="array" aca="1" ref="C262" ca="1">IF(B262&lt;=$C$9,GetGetCDSName(B262),"")</f>
        <v/>
      </c>
      <c r="D262" s="347"/>
      <c r="E262" s="380"/>
      <c r="F262" s="299"/>
      <c r="G262" s="299"/>
      <c r="H262" s="299"/>
      <c r="I262" s="299"/>
      <c r="J262" s="299"/>
      <c r="K262" s="299"/>
      <c r="L262" s="299"/>
      <c r="M262" s="299"/>
      <c r="N262" s="381"/>
      <c r="O262" s="274"/>
      <c r="P262" s="274"/>
      <c r="Q262" s="274"/>
      <c r="R262" s="274"/>
      <c r="S262" s="274"/>
      <c r="T262" s="274"/>
      <c r="U262" s="274"/>
      <c r="V262" s="274"/>
      <c r="W262" s="274"/>
      <c r="X262" s="274"/>
      <c r="Y262" s="274"/>
      <c r="Z262" s="274"/>
      <c r="AA262" s="274"/>
      <c r="AB262" s="274"/>
      <c r="AC262" s="274"/>
      <c r="AD262" s="274"/>
      <c r="AE262" s="274"/>
    </row>
    <row r="263" spans="2:31" ht="15">
      <c r="B263" s="379">
        <f t="shared" si="7"/>
        <v>218</v>
      </c>
      <c r="C263" s="387" t="str" cm="1">
        <f t="array" aca="1" ref="C263" ca="1">IF(B263&lt;=$C$9,GetGetCDSName(B263),"")</f>
        <v/>
      </c>
      <c r="D263" s="347"/>
      <c r="E263" s="380"/>
      <c r="F263" s="299"/>
      <c r="G263" s="299"/>
      <c r="H263" s="299"/>
      <c r="I263" s="299"/>
      <c r="J263" s="299"/>
      <c r="K263" s="299"/>
      <c r="L263" s="299"/>
      <c r="M263" s="299"/>
      <c r="N263" s="381"/>
      <c r="O263" s="274"/>
      <c r="P263" s="274"/>
      <c r="Q263" s="274"/>
      <c r="R263" s="274"/>
      <c r="S263" s="274"/>
      <c r="T263" s="274"/>
      <c r="U263" s="274"/>
      <c r="V263" s="274"/>
      <c r="W263" s="274"/>
      <c r="X263" s="274"/>
      <c r="Y263" s="274"/>
      <c r="Z263" s="274"/>
      <c r="AA263" s="274"/>
      <c r="AB263" s="274"/>
      <c r="AC263" s="274"/>
      <c r="AD263" s="274"/>
      <c r="AE263" s="274"/>
    </row>
    <row r="264" spans="2:31" ht="15">
      <c r="B264" s="379">
        <f t="shared" si="7"/>
        <v>219</v>
      </c>
      <c r="C264" s="387" t="str" cm="1">
        <f t="array" aca="1" ref="C264" ca="1">IF(B264&lt;=$C$9,GetGetCDSName(B264),"")</f>
        <v/>
      </c>
      <c r="D264" s="347"/>
      <c r="E264" s="380"/>
      <c r="F264" s="299"/>
      <c r="G264" s="299"/>
      <c r="H264" s="299"/>
      <c r="I264" s="299"/>
      <c r="J264" s="299"/>
      <c r="K264" s="299"/>
      <c r="L264" s="299"/>
      <c r="M264" s="299"/>
      <c r="N264" s="381"/>
      <c r="O264" s="274"/>
      <c r="P264" s="274"/>
      <c r="Q264" s="274"/>
      <c r="R264" s="274"/>
      <c r="S264" s="274"/>
      <c r="T264" s="274"/>
      <c r="U264" s="274"/>
      <c r="V264" s="274"/>
      <c r="W264" s="274"/>
      <c r="X264" s="274"/>
      <c r="Y264" s="274"/>
      <c r="Z264" s="274"/>
      <c r="AA264" s="274"/>
      <c r="AB264" s="274"/>
      <c r="AC264" s="274"/>
      <c r="AD264" s="274"/>
      <c r="AE264" s="274"/>
    </row>
    <row r="265" spans="2:31" ht="15">
      <c r="B265" s="379">
        <f t="shared" si="7"/>
        <v>220</v>
      </c>
      <c r="C265" s="387" t="str" cm="1">
        <f t="array" aca="1" ref="C265" ca="1">IF(B265&lt;=$C$9,GetGetCDSName(B265),"")</f>
        <v/>
      </c>
      <c r="D265" s="347"/>
      <c r="E265" s="380"/>
      <c r="F265" s="299"/>
      <c r="G265" s="299"/>
      <c r="H265" s="299"/>
      <c r="I265" s="299"/>
      <c r="J265" s="299"/>
      <c r="K265" s="299"/>
      <c r="L265" s="299"/>
      <c r="M265" s="299"/>
      <c r="N265" s="381"/>
      <c r="O265" s="274"/>
      <c r="P265" s="274"/>
      <c r="Q265" s="274"/>
      <c r="R265" s="274"/>
      <c r="S265" s="274"/>
      <c r="T265" s="274"/>
      <c r="U265" s="274"/>
      <c r="V265" s="274"/>
      <c r="W265" s="274"/>
      <c r="X265" s="274"/>
      <c r="Y265" s="274"/>
      <c r="Z265" s="274"/>
      <c r="AA265" s="274"/>
      <c r="AB265" s="274"/>
      <c r="AC265" s="274"/>
      <c r="AD265" s="274"/>
      <c r="AE265" s="274"/>
    </row>
    <row r="266" spans="2:31" ht="15">
      <c r="B266" s="379">
        <f t="shared" si="7"/>
        <v>221</v>
      </c>
      <c r="C266" s="387" t="str" cm="1">
        <f t="array" aca="1" ref="C266" ca="1">IF(B266&lt;=$C$9,GetGetCDSName(B266),"")</f>
        <v/>
      </c>
      <c r="D266" s="347"/>
      <c r="E266" s="380"/>
      <c r="F266" s="299"/>
      <c r="G266" s="299"/>
      <c r="H266" s="299"/>
      <c r="I266" s="299"/>
      <c r="J266" s="299"/>
      <c r="K266" s="299"/>
      <c r="L266" s="299"/>
      <c r="M266" s="299"/>
      <c r="N266" s="381"/>
      <c r="O266" s="274"/>
      <c r="P266" s="274"/>
      <c r="Q266" s="274"/>
      <c r="R266" s="274"/>
      <c r="S266" s="274"/>
      <c r="T266" s="274"/>
      <c r="U266" s="274"/>
      <c r="V266" s="274"/>
      <c r="W266" s="274"/>
      <c r="X266" s="274"/>
      <c r="Y266" s="274"/>
      <c r="Z266" s="274"/>
      <c r="AA266" s="274"/>
      <c r="AB266" s="274"/>
      <c r="AC266" s="274"/>
      <c r="AD266" s="274"/>
      <c r="AE266" s="274"/>
    </row>
    <row r="267" spans="2:31" ht="15">
      <c r="B267" s="379">
        <f t="shared" si="7"/>
        <v>222</v>
      </c>
      <c r="C267" s="387" t="str" cm="1">
        <f t="array" aca="1" ref="C267" ca="1">IF(B267&lt;=$C$9,GetGetCDSName(B267),"")</f>
        <v/>
      </c>
      <c r="D267" s="347"/>
      <c r="E267" s="380"/>
      <c r="F267" s="299"/>
      <c r="G267" s="299"/>
      <c r="H267" s="299"/>
      <c r="I267" s="299"/>
      <c r="J267" s="299"/>
      <c r="K267" s="299"/>
      <c r="L267" s="299"/>
      <c r="M267" s="299"/>
      <c r="N267" s="381"/>
      <c r="O267" s="274"/>
      <c r="P267" s="274"/>
      <c r="Q267" s="274"/>
      <c r="R267" s="274"/>
      <c r="S267" s="274"/>
      <c r="T267" s="274"/>
      <c r="U267" s="274"/>
      <c r="V267" s="274"/>
      <c r="W267" s="274"/>
      <c r="X267" s="274"/>
      <c r="Y267" s="274"/>
      <c r="Z267" s="274"/>
      <c r="AA267" s="274"/>
      <c r="AB267" s="274"/>
      <c r="AC267" s="274"/>
      <c r="AD267" s="274"/>
      <c r="AE267" s="274"/>
    </row>
    <row r="268" spans="2:31" ht="15">
      <c r="B268" s="379">
        <f t="shared" si="7"/>
        <v>223</v>
      </c>
      <c r="C268" s="387" t="str" cm="1">
        <f t="array" aca="1" ref="C268" ca="1">IF(B268&lt;=$C$9,GetGetCDSName(B268),"")</f>
        <v/>
      </c>
      <c r="D268" s="347"/>
      <c r="E268" s="380"/>
      <c r="F268" s="299"/>
      <c r="G268" s="299"/>
      <c r="H268" s="299"/>
      <c r="I268" s="299"/>
      <c r="J268" s="299"/>
      <c r="K268" s="299"/>
      <c r="L268" s="299"/>
      <c r="M268" s="299"/>
      <c r="N268" s="381"/>
      <c r="O268" s="274"/>
      <c r="P268" s="274"/>
      <c r="Q268" s="274"/>
      <c r="R268" s="274"/>
      <c r="S268" s="274"/>
      <c r="T268" s="274"/>
      <c r="U268" s="274"/>
      <c r="V268" s="274"/>
      <c r="W268" s="274"/>
      <c r="X268" s="274"/>
      <c r="Y268" s="274"/>
      <c r="Z268" s="274"/>
      <c r="AA268" s="274"/>
      <c r="AB268" s="274"/>
      <c r="AC268" s="274"/>
      <c r="AD268" s="274"/>
      <c r="AE268" s="274"/>
    </row>
    <row r="269" spans="2:31" ht="15">
      <c r="B269" s="379">
        <f t="shared" si="7"/>
        <v>224</v>
      </c>
      <c r="C269" s="387" t="str" cm="1">
        <f t="array" aca="1" ref="C269" ca="1">IF(B269&lt;=$C$9,GetGetCDSName(B269),"")</f>
        <v/>
      </c>
      <c r="D269" s="347"/>
      <c r="E269" s="380"/>
      <c r="F269" s="299"/>
      <c r="G269" s="299"/>
      <c r="H269" s="299"/>
      <c r="I269" s="299"/>
      <c r="J269" s="299"/>
      <c r="K269" s="299"/>
      <c r="L269" s="299"/>
      <c r="M269" s="299"/>
      <c r="N269" s="381"/>
      <c r="O269" s="274"/>
      <c r="P269" s="274"/>
      <c r="Q269" s="274"/>
      <c r="R269" s="274"/>
      <c r="S269" s="274"/>
      <c r="T269" s="274"/>
      <c r="U269" s="274"/>
      <c r="V269" s="274"/>
      <c r="W269" s="274"/>
      <c r="X269" s="274"/>
      <c r="Y269" s="274"/>
      <c r="Z269" s="274"/>
      <c r="AA269" s="274"/>
      <c r="AB269" s="274"/>
      <c r="AC269" s="274"/>
      <c r="AD269" s="274"/>
      <c r="AE269" s="274"/>
    </row>
    <row r="270" spans="2:31" ht="15">
      <c r="B270" s="379">
        <f t="shared" si="7"/>
        <v>225</v>
      </c>
      <c r="C270" s="387" t="str" cm="1">
        <f t="array" aca="1" ref="C270" ca="1">IF(B270&lt;=$C$9,GetGetCDSName(B270),"")</f>
        <v/>
      </c>
      <c r="D270" s="347"/>
      <c r="E270" s="380"/>
      <c r="F270" s="299"/>
      <c r="G270" s="299"/>
      <c r="H270" s="299"/>
      <c r="I270" s="299"/>
      <c r="J270" s="299"/>
      <c r="K270" s="299"/>
      <c r="L270" s="299"/>
      <c r="M270" s="299"/>
      <c r="N270" s="381"/>
      <c r="O270" s="274"/>
      <c r="P270" s="274"/>
      <c r="Q270" s="274"/>
      <c r="R270" s="274"/>
      <c r="S270" s="274"/>
      <c r="T270" s="274"/>
      <c r="U270" s="274"/>
      <c r="V270" s="274"/>
      <c r="W270" s="274"/>
      <c r="X270" s="274"/>
      <c r="Y270" s="274"/>
      <c r="Z270" s="274"/>
      <c r="AA270" s="274"/>
      <c r="AB270" s="274"/>
      <c r="AC270" s="274"/>
      <c r="AD270" s="274"/>
      <c r="AE270" s="274"/>
    </row>
    <row r="271" spans="2:31" ht="15">
      <c r="B271" s="379">
        <f t="shared" si="7"/>
        <v>226</v>
      </c>
      <c r="C271" s="387" t="str" cm="1">
        <f t="array" aca="1" ref="C271" ca="1">IF(B271&lt;=$C$9,GetGetCDSName(B271),"")</f>
        <v/>
      </c>
      <c r="D271" s="347"/>
      <c r="E271" s="380"/>
      <c r="F271" s="299"/>
      <c r="G271" s="299"/>
      <c r="H271" s="299"/>
      <c r="I271" s="299"/>
      <c r="J271" s="299"/>
      <c r="K271" s="299"/>
      <c r="L271" s="299"/>
      <c r="M271" s="299"/>
      <c r="N271" s="381"/>
      <c r="O271" s="274"/>
      <c r="P271" s="274"/>
      <c r="Q271" s="274"/>
      <c r="R271" s="274"/>
      <c r="S271" s="274"/>
      <c r="T271" s="274"/>
      <c r="U271" s="274"/>
      <c r="V271" s="274"/>
      <c r="W271" s="274"/>
      <c r="X271" s="274"/>
      <c r="Y271" s="274"/>
      <c r="Z271" s="274"/>
      <c r="AA271" s="274"/>
      <c r="AB271" s="274"/>
      <c r="AC271" s="274"/>
      <c r="AD271" s="274"/>
      <c r="AE271" s="274"/>
    </row>
    <row r="272" spans="2:31" ht="15">
      <c r="B272" s="379">
        <f t="shared" si="7"/>
        <v>227</v>
      </c>
      <c r="C272" s="387" t="str" cm="1">
        <f t="array" aca="1" ref="C272" ca="1">IF(B272&lt;=$C$9,GetGetCDSName(B272),"")</f>
        <v/>
      </c>
      <c r="D272" s="347"/>
      <c r="E272" s="380"/>
      <c r="F272" s="299"/>
      <c r="G272" s="299"/>
      <c r="H272" s="299"/>
      <c r="I272" s="299"/>
      <c r="J272" s="299"/>
      <c r="K272" s="299"/>
      <c r="L272" s="299"/>
      <c r="M272" s="299"/>
      <c r="N272" s="381"/>
      <c r="O272" s="274"/>
      <c r="P272" s="274"/>
      <c r="Q272" s="274"/>
      <c r="R272" s="274"/>
      <c r="S272" s="274"/>
      <c r="T272" s="274"/>
      <c r="U272" s="274"/>
      <c r="V272" s="274"/>
      <c r="W272" s="274"/>
      <c r="X272" s="274"/>
      <c r="Y272" s="274"/>
      <c r="Z272" s="274"/>
      <c r="AA272" s="274"/>
      <c r="AB272" s="274"/>
      <c r="AC272" s="274"/>
      <c r="AD272" s="274"/>
      <c r="AE272" s="274"/>
    </row>
    <row r="273" spans="2:31" ht="15">
      <c r="B273" s="379">
        <f t="shared" si="7"/>
        <v>228</v>
      </c>
      <c r="C273" s="387" t="str" cm="1">
        <f t="array" aca="1" ref="C273" ca="1">IF(B273&lt;=$C$9,GetGetCDSName(B273),"")</f>
        <v/>
      </c>
      <c r="D273" s="347"/>
      <c r="E273" s="380"/>
      <c r="F273" s="299"/>
      <c r="G273" s="299"/>
      <c r="H273" s="299"/>
      <c r="I273" s="299"/>
      <c r="J273" s="299"/>
      <c r="K273" s="299"/>
      <c r="L273" s="299"/>
      <c r="M273" s="299"/>
      <c r="N273" s="381"/>
      <c r="O273" s="274"/>
      <c r="P273" s="274"/>
      <c r="Q273" s="274"/>
      <c r="R273" s="274"/>
      <c r="S273" s="274"/>
      <c r="T273" s="274"/>
      <c r="U273" s="274"/>
      <c r="V273" s="274"/>
      <c r="W273" s="274"/>
      <c r="X273" s="274"/>
      <c r="Y273" s="274"/>
      <c r="Z273" s="274"/>
      <c r="AA273" s="274"/>
      <c r="AB273" s="274"/>
      <c r="AC273" s="274"/>
      <c r="AD273" s="274"/>
      <c r="AE273" s="274"/>
    </row>
    <row r="274" spans="2:31" ht="15">
      <c r="B274" s="379">
        <f t="shared" si="7"/>
        <v>229</v>
      </c>
      <c r="C274" s="387" t="str" cm="1">
        <f t="array" aca="1" ref="C274" ca="1">IF(B274&lt;=$C$9,GetGetCDSName(B274),"")</f>
        <v/>
      </c>
      <c r="D274" s="347"/>
      <c r="E274" s="380"/>
      <c r="F274" s="299"/>
      <c r="G274" s="299"/>
      <c r="H274" s="299"/>
      <c r="I274" s="299"/>
      <c r="J274" s="299"/>
      <c r="K274" s="299"/>
      <c r="L274" s="299"/>
      <c r="M274" s="299"/>
      <c r="N274" s="381"/>
      <c r="O274" s="274"/>
      <c r="P274" s="274"/>
      <c r="Q274" s="274"/>
      <c r="R274" s="274"/>
      <c r="S274" s="274"/>
      <c r="T274" s="274"/>
      <c r="U274" s="274"/>
      <c r="V274" s="274"/>
      <c r="W274" s="274"/>
      <c r="X274" s="274"/>
      <c r="Y274" s="274"/>
      <c r="Z274" s="274"/>
      <c r="AA274" s="274"/>
      <c r="AB274" s="274"/>
      <c r="AC274" s="274"/>
      <c r="AD274" s="274"/>
      <c r="AE274" s="274"/>
    </row>
    <row r="275" spans="2:31" ht="15">
      <c r="B275" s="379">
        <f t="shared" si="7"/>
        <v>230</v>
      </c>
      <c r="C275" s="387" t="str" cm="1">
        <f t="array" aca="1" ref="C275" ca="1">IF(B275&lt;=$C$9,GetGetCDSName(B275),"")</f>
        <v/>
      </c>
      <c r="D275" s="347"/>
      <c r="E275" s="380"/>
      <c r="F275" s="299"/>
      <c r="G275" s="299"/>
      <c r="H275" s="299"/>
      <c r="I275" s="299"/>
      <c r="J275" s="299"/>
      <c r="K275" s="299"/>
      <c r="L275" s="299"/>
      <c r="M275" s="299"/>
      <c r="N275" s="381"/>
      <c r="O275" s="274"/>
      <c r="P275" s="274"/>
      <c r="Q275" s="274"/>
      <c r="R275" s="274"/>
      <c r="S275" s="274"/>
      <c r="T275" s="274"/>
      <c r="U275" s="274"/>
      <c r="V275" s="274"/>
      <c r="W275" s="274"/>
      <c r="X275" s="274"/>
      <c r="Y275" s="274"/>
      <c r="Z275" s="274"/>
      <c r="AA275" s="274"/>
      <c r="AB275" s="274"/>
      <c r="AC275" s="274"/>
      <c r="AD275" s="274"/>
      <c r="AE275" s="274"/>
    </row>
    <row r="276" spans="2:31" ht="15">
      <c r="B276" s="379">
        <f t="shared" si="7"/>
        <v>231</v>
      </c>
      <c r="C276" s="387" t="str" cm="1">
        <f t="array" aca="1" ref="C276" ca="1">IF(B276&lt;=$C$9,GetGetCDSName(B276),"")</f>
        <v/>
      </c>
      <c r="D276" s="347"/>
      <c r="E276" s="380"/>
      <c r="F276" s="299"/>
      <c r="G276" s="299"/>
      <c r="H276" s="299"/>
      <c r="I276" s="299"/>
      <c r="J276" s="299"/>
      <c r="K276" s="299"/>
      <c r="L276" s="299"/>
      <c r="M276" s="299"/>
      <c r="N276" s="381"/>
      <c r="O276" s="274"/>
      <c r="P276" s="274"/>
      <c r="Q276" s="274"/>
      <c r="R276" s="274"/>
      <c r="S276" s="274"/>
      <c r="T276" s="274"/>
      <c r="U276" s="274"/>
      <c r="V276" s="274"/>
      <c r="W276" s="274"/>
      <c r="X276" s="274"/>
      <c r="Y276" s="274"/>
      <c r="Z276" s="274"/>
      <c r="AA276" s="274"/>
      <c r="AB276" s="274"/>
      <c r="AC276" s="274"/>
      <c r="AD276" s="274"/>
      <c r="AE276" s="274"/>
    </row>
    <row r="277" spans="2:31" ht="15">
      <c r="B277" s="379">
        <f t="shared" si="7"/>
        <v>232</v>
      </c>
      <c r="C277" s="387" t="str" cm="1">
        <f t="array" aca="1" ref="C277" ca="1">IF(B277&lt;=$C$9,GetGetCDSName(B277),"")</f>
        <v/>
      </c>
      <c r="D277" s="347"/>
      <c r="E277" s="380"/>
      <c r="F277" s="299"/>
      <c r="G277" s="299"/>
      <c r="H277" s="299"/>
      <c r="I277" s="299"/>
      <c r="J277" s="299"/>
      <c r="K277" s="299"/>
      <c r="L277" s="299"/>
      <c r="M277" s="299"/>
      <c r="N277" s="381"/>
      <c r="O277" s="274"/>
      <c r="P277" s="274"/>
      <c r="Q277" s="274"/>
      <c r="R277" s="274"/>
      <c r="S277" s="274"/>
      <c r="T277" s="274"/>
      <c r="U277" s="274"/>
      <c r="V277" s="274"/>
      <c r="W277" s="274"/>
      <c r="X277" s="274"/>
      <c r="Y277" s="274"/>
      <c r="Z277" s="274"/>
      <c r="AA277" s="274"/>
      <c r="AB277" s="274"/>
      <c r="AC277" s="274"/>
      <c r="AD277" s="274"/>
      <c r="AE277" s="274"/>
    </row>
    <row r="278" spans="2:31" ht="15">
      <c r="B278" s="379">
        <f t="shared" si="7"/>
        <v>233</v>
      </c>
      <c r="C278" s="387" t="str" cm="1">
        <f t="array" aca="1" ref="C278" ca="1">IF(B278&lt;=$C$9,GetGetCDSName(B278),"")</f>
        <v/>
      </c>
      <c r="D278" s="347"/>
      <c r="E278" s="380"/>
      <c r="F278" s="299"/>
      <c r="G278" s="299"/>
      <c r="H278" s="299"/>
      <c r="I278" s="299"/>
      <c r="J278" s="299"/>
      <c r="K278" s="299"/>
      <c r="L278" s="299"/>
      <c r="M278" s="299"/>
      <c r="N278" s="381"/>
      <c r="O278" s="274"/>
      <c r="P278" s="274"/>
      <c r="Q278" s="274"/>
      <c r="R278" s="274"/>
      <c r="S278" s="274"/>
      <c r="T278" s="274"/>
      <c r="U278" s="274"/>
      <c r="V278" s="274"/>
      <c r="W278" s="274"/>
      <c r="X278" s="274"/>
      <c r="Y278" s="274"/>
      <c r="Z278" s="274"/>
      <c r="AA278" s="274"/>
      <c r="AB278" s="274"/>
      <c r="AC278" s="274"/>
      <c r="AD278" s="274"/>
      <c r="AE278" s="274"/>
    </row>
    <row r="279" spans="2:31" ht="15">
      <c r="B279" s="379">
        <f t="shared" si="7"/>
        <v>234</v>
      </c>
      <c r="C279" s="387" t="str" cm="1">
        <f t="array" aca="1" ref="C279" ca="1">IF(B279&lt;=$C$9,GetGetCDSName(B279),"")</f>
        <v/>
      </c>
      <c r="D279" s="347"/>
      <c r="E279" s="380"/>
      <c r="F279" s="299"/>
      <c r="G279" s="299"/>
      <c r="H279" s="299"/>
      <c r="I279" s="299"/>
      <c r="J279" s="299"/>
      <c r="K279" s="299"/>
      <c r="L279" s="299"/>
      <c r="M279" s="299"/>
      <c r="N279" s="381"/>
      <c r="O279" s="274"/>
      <c r="P279" s="274"/>
      <c r="Q279" s="274"/>
      <c r="R279" s="274"/>
      <c r="S279" s="274"/>
      <c r="T279" s="274"/>
      <c r="U279" s="274"/>
      <c r="V279" s="274"/>
      <c r="W279" s="274"/>
      <c r="X279" s="274"/>
      <c r="Y279" s="274"/>
      <c r="Z279" s="274"/>
      <c r="AA279" s="274"/>
      <c r="AB279" s="274"/>
      <c r="AC279" s="274"/>
      <c r="AD279" s="274"/>
      <c r="AE279" s="274"/>
    </row>
    <row r="280" spans="2:31" ht="15">
      <c r="B280" s="379">
        <f t="shared" si="7"/>
        <v>235</v>
      </c>
      <c r="C280" s="387" t="str" cm="1">
        <f t="array" aca="1" ref="C280" ca="1">IF(B280&lt;=$C$9,GetGetCDSName(B280),"")</f>
        <v/>
      </c>
      <c r="D280" s="347"/>
      <c r="E280" s="380"/>
      <c r="F280" s="299"/>
      <c r="G280" s="299"/>
      <c r="H280" s="299"/>
      <c r="I280" s="299"/>
      <c r="J280" s="299"/>
      <c r="K280" s="299"/>
      <c r="L280" s="299"/>
      <c r="M280" s="299"/>
      <c r="N280" s="381"/>
      <c r="O280" s="274"/>
      <c r="P280" s="274"/>
      <c r="Q280" s="274"/>
      <c r="R280" s="274"/>
      <c r="S280" s="274"/>
      <c r="T280" s="274"/>
      <c r="U280" s="274"/>
      <c r="V280" s="274"/>
      <c r="W280" s="274"/>
      <c r="X280" s="274"/>
      <c r="Y280" s="274"/>
      <c r="Z280" s="274"/>
      <c r="AA280" s="274"/>
      <c r="AB280" s="274"/>
      <c r="AC280" s="274"/>
      <c r="AD280" s="274"/>
      <c r="AE280" s="274"/>
    </row>
    <row r="281" spans="2:31" ht="15">
      <c r="B281" s="379">
        <f t="shared" si="7"/>
        <v>236</v>
      </c>
      <c r="C281" s="387" t="str" cm="1">
        <f t="array" aca="1" ref="C281" ca="1">IF(B281&lt;=$C$9,GetGetCDSName(B281),"")</f>
        <v/>
      </c>
      <c r="D281" s="347"/>
      <c r="E281" s="380"/>
      <c r="F281" s="299"/>
      <c r="G281" s="299"/>
      <c r="H281" s="299"/>
      <c r="I281" s="299"/>
      <c r="J281" s="299"/>
      <c r="K281" s="299"/>
      <c r="L281" s="299"/>
      <c r="M281" s="299"/>
      <c r="N281" s="381"/>
      <c r="O281" s="274"/>
      <c r="P281" s="274"/>
      <c r="Q281" s="274"/>
      <c r="R281" s="274"/>
      <c r="S281" s="274"/>
      <c r="T281" s="274"/>
      <c r="U281" s="274"/>
      <c r="V281" s="274"/>
      <c r="W281" s="274"/>
      <c r="X281" s="274"/>
      <c r="Y281" s="274"/>
      <c r="Z281" s="274"/>
      <c r="AA281" s="274"/>
      <c r="AB281" s="274"/>
      <c r="AC281" s="274"/>
      <c r="AD281" s="274"/>
      <c r="AE281" s="274"/>
    </row>
    <row r="282" spans="2:31" ht="15">
      <c r="B282" s="379">
        <f t="shared" si="7"/>
        <v>237</v>
      </c>
      <c r="C282" s="387" t="str" cm="1">
        <f t="array" aca="1" ref="C282" ca="1">IF(B282&lt;=$C$9,GetGetCDSName(B282),"")</f>
        <v/>
      </c>
      <c r="D282" s="347"/>
      <c r="E282" s="380"/>
      <c r="F282" s="299"/>
      <c r="G282" s="299"/>
      <c r="H282" s="299"/>
      <c r="I282" s="299"/>
      <c r="J282" s="299"/>
      <c r="K282" s="299"/>
      <c r="L282" s="299"/>
      <c r="M282" s="299"/>
      <c r="N282" s="381"/>
      <c r="O282" s="274"/>
      <c r="P282" s="274"/>
      <c r="Q282" s="274"/>
      <c r="R282" s="274"/>
      <c r="S282" s="274"/>
      <c r="T282" s="274"/>
      <c r="U282" s="274"/>
      <c r="V282" s="274"/>
      <c r="W282" s="274"/>
      <c r="X282" s="274"/>
      <c r="Y282" s="274"/>
      <c r="Z282" s="274"/>
      <c r="AA282" s="274"/>
      <c r="AB282" s="274"/>
      <c r="AC282" s="274"/>
      <c r="AD282" s="274"/>
      <c r="AE282" s="274"/>
    </row>
    <row r="283" spans="2:31" ht="15">
      <c r="B283" s="379">
        <f t="shared" si="7"/>
        <v>238</v>
      </c>
      <c r="C283" s="387" t="str" cm="1">
        <f t="array" aca="1" ref="C283" ca="1">IF(B283&lt;=$C$9,GetGetCDSName(B283),"")</f>
        <v/>
      </c>
      <c r="D283" s="347"/>
      <c r="E283" s="380"/>
      <c r="F283" s="299"/>
      <c r="G283" s="299"/>
      <c r="H283" s="299"/>
      <c r="I283" s="299"/>
      <c r="J283" s="299"/>
      <c r="K283" s="299"/>
      <c r="L283" s="299"/>
      <c r="M283" s="299"/>
      <c r="N283" s="381"/>
      <c r="O283" s="274"/>
      <c r="P283" s="274"/>
      <c r="Q283" s="274"/>
      <c r="R283" s="274"/>
      <c r="S283" s="274"/>
      <c r="T283" s="274"/>
      <c r="U283" s="274"/>
      <c r="V283" s="274"/>
      <c r="W283" s="274"/>
      <c r="X283" s="274"/>
      <c r="Y283" s="274"/>
      <c r="Z283" s="274"/>
      <c r="AA283" s="274"/>
      <c r="AB283" s="274"/>
      <c r="AC283" s="274"/>
      <c r="AD283" s="274"/>
      <c r="AE283" s="274"/>
    </row>
    <row r="284" spans="2:31" ht="15">
      <c r="B284" s="379">
        <f t="shared" si="7"/>
        <v>239</v>
      </c>
      <c r="C284" s="387" t="str" cm="1">
        <f t="array" aca="1" ref="C284" ca="1">IF(B284&lt;=$C$9,GetGetCDSName(B284),"")</f>
        <v/>
      </c>
      <c r="D284" s="347"/>
      <c r="E284" s="380"/>
      <c r="F284" s="299"/>
      <c r="G284" s="299"/>
      <c r="H284" s="299"/>
      <c r="I284" s="299"/>
      <c r="J284" s="299"/>
      <c r="K284" s="299"/>
      <c r="L284" s="299"/>
      <c r="M284" s="299"/>
      <c r="N284" s="381"/>
      <c r="O284" s="274"/>
      <c r="P284" s="274"/>
      <c r="Q284" s="274"/>
      <c r="R284" s="274"/>
      <c r="S284" s="274"/>
      <c r="T284" s="274"/>
      <c r="U284" s="274"/>
      <c r="V284" s="274"/>
      <c r="W284" s="274"/>
      <c r="X284" s="274"/>
      <c r="Y284" s="274"/>
      <c r="Z284" s="274"/>
      <c r="AA284" s="274"/>
      <c r="AB284" s="274"/>
      <c r="AC284" s="274"/>
      <c r="AD284" s="274"/>
      <c r="AE284" s="274"/>
    </row>
    <row r="285" spans="2:31" ht="15">
      <c r="B285" s="379">
        <f t="shared" si="7"/>
        <v>240</v>
      </c>
      <c r="C285" s="387" t="str" cm="1">
        <f t="array" aca="1" ref="C285" ca="1">IF(B285&lt;=$C$9,GetGetCDSName(B285),"")</f>
        <v/>
      </c>
      <c r="D285" s="347"/>
      <c r="E285" s="380"/>
      <c r="F285" s="299"/>
      <c r="G285" s="299"/>
      <c r="H285" s="299"/>
      <c r="I285" s="299"/>
      <c r="J285" s="299"/>
      <c r="K285" s="299"/>
      <c r="L285" s="299"/>
      <c r="M285" s="299"/>
      <c r="N285" s="381"/>
      <c r="O285" s="274"/>
      <c r="P285" s="274"/>
      <c r="Q285" s="274"/>
      <c r="R285" s="274"/>
      <c r="S285" s="274"/>
      <c r="T285" s="274"/>
      <c r="U285" s="274"/>
      <c r="V285" s="274"/>
      <c r="W285" s="274"/>
      <c r="X285" s="274"/>
      <c r="Y285" s="274"/>
      <c r="Z285" s="274"/>
      <c r="AA285" s="274"/>
      <c r="AB285" s="274"/>
      <c r="AC285" s="274"/>
      <c r="AD285" s="274"/>
      <c r="AE285" s="274"/>
    </row>
    <row r="286" spans="2:31" ht="15">
      <c r="B286" s="379">
        <f t="shared" si="7"/>
        <v>241</v>
      </c>
      <c r="C286" s="387" t="str" cm="1">
        <f t="array" aca="1" ref="C286" ca="1">IF(B286&lt;=$C$9,GetGetCDSName(B286),"")</f>
        <v/>
      </c>
      <c r="D286" s="347"/>
      <c r="E286" s="380"/>
      <c r="F286" s="299"/>
      <c r="G286" s="299"/>
      <c r="H286" s="299"/>
      <c r="I286" s="299"/>
      <c r="J286" s="299"/>
      <c r="K286" s="299"/>
      <c r="L286" s="299"/>
      <c r="M286" s="299"/>
      <c r="N286" s="381"/>
      <c r="O286" s="274"/>
      <c r="P286" s="274"/>
      <c r="Q286" s="274"/>
      <c r="R286" s="274"/>
      <c r="S286" s="274"/>
      <c r="T286" s="274"/>
      <c r="U286" s="274"/>
      <c r="V286" s="274"/>
      <c r="W286" s="274"/>
      <c r="X286" s="274"/>
      <c r="Y286" s="274"/>
      <c r="Z286" s="274"/>
      <c r="AA286" s="274"/>
      <c r="AB286" s="274"/>
      <c r="AC286" s="274"/>
      <c r="AD286" s="274"/>
      <c r="AE286" s="274"/>
    </row>
    <row r="287" spans="2:31" ht="15">
      <c r="B287" s="379">
        <f t="shared" si="7"/>
        <v>242</v>
      </c>
      <c r="C287" s="387" t="str" cm="1">
        <f t="array" aca="1" ref="C287" ca="1">IF(B287&lt;=$C$9,GetGetCDSName(B287),"")</f>
        <v/>
      </c>
      <c r="D287" s="347"/>
      <c r="E287" s="380"/>
      <c r="F287" s="299"/>
      <c r="G287" s="299"/>
      <c r="H287" s="299"/>
      <c r="I287" s="299"/>
      <c r="J287" s="299"/>
      <c r="K287" s="299"/>
      <c r="L287" s="299"/>
      <c r="M287" s="299"/>
      <c r="N287" s="381"/>
      <c r="O287" s="274"/>
      <c r="P287" s="274"/>
      <c r="Q287" s="274"/>
      <c r="R287" s="274"/>
      <c r="S287" s="274"/>
      <c r="T287" s="274"/>
      <c r="U287" s="274"/>
      <c r="V287" s="274"/>
      <c r="W287" s="274"/>
      <c r="X287" s="274"/>
      <c r="Y287" s="274"/>
      <c r="Z287" s="274"/>
      <c r="AA287" s="274"/>
      <c r="AB287" s="274"/>
      <c r="AC287" s="274"/>
      <c r="AD287" s="274"/>
      <c r="AE287" s="274"/>
    </row>
    <row r="288" spans="2:31" ht="15">
      <c r="B288" s="379">
        <f t="shared" si="7"/>
        <v>243</v>
      </c>
      <c r="C288" s="387" t="str" cm="1">
        <f t="array" aca="1" ref="C288" ca="1">IF(B288&lt;=$C$9,GetGetCDSName(B288),"")</f>
        <v/>
      </c>
      <c r="D288" s="347"/>
      <c r="E288" s="380"/>
      <c r="F288" s="299"/>
      <c r="G288" s="299"/>
      <c r="H288" s="299"/>
      <c r="I288" s="299"/>
      <c r="J288" s="299"/>
      <c r="K288" s="299"/>
      <c r="L288" s="299"/>
      <c r="M288" s="299"/>
      <c r="N288" s="381"/>
      <c r="O288" s="274"/>
      <c r="P288" s="274"/>
      <c r="Q288" s="274"/>
      <c r="R288" s="274"/>
      <c r="S288" s="274"/>
      <c r="T288" s="274"/>
      <c r="U288" s="274"/>
      <c r="V288" s="274"/>
      <c r="W288" s="274"/>
      <c r="X288" s="274"/>
      <c r="Y288" s="274"/>
      <c r="Z288" s="274"/>
      <c r="AA288" s="274"/>
      <c r="AB288" s="274"/>
      <c r="AC288" s="274"/>
      <c r="AD288" s="274"/>
      <c r="AE288" s="274"/>
    </row>
    <row r="289" spans="2:31" ht="15">
      <c r="B289" s="379">
        <f t="shared" si="7"/>
        <v>244</v>
      </c>
      <c r="C289" s="387" t="str" cm="1">
        <f t="array" aca="1" ref="C289" ca="1">IF(B289&lt;=$C$9,GetGetCDSName(B289),"")</f>
        <v/>
      </c>
      <c r="D289" s="347"/>
      <c r="E289" s="380"/>
      <c r="F289" s="299"/>
      <c r="G289" s="299"/>
      <c r="H289" s="299"/>
      <c r="I289" s="299"/>
      <c r="J289" s="299"/>
      <c r="K289" s="299"/>
      <c r="L289" s="299"/>
      <c r="M289" s="299"/>
      <c r="N289" s="381"/>
      <c r="O289" s="274"/>
      <c r="P289" s="274"/>
      <c r="Q289" s="274"/>
      <c r="R289" s="274"/>
      <c r="S289" s="274"/>
      <c r="T289" s="274"/>
      <c r="U289" s="274"/>
      <c r="V289" s="274"/>
      <c r="W289" s="274"/>
      <c r="X289" s="274"/>
      <c r="Y289" s="274"/>
      <c r="Z289" s="274"/>
      <c r="AA289" s="274"/>
      <c r="AB289" s="274"/>
      <c r="AC289" s="274"/>
      <c r="AD289" s="274"/>
      <c r="AE289" s="274"/>
    </row>
    <row r="290" spans="2:31" ht="15">
      <c r="B290" s="379">
        <f t="shared" si="7"/>
        <v>245</v>
      </c>
      <c r="C290" s="387" t="str" cm="1">
        <f t="array" aca="1" ref="C290" ca="1">IF(B290&lt;=$C$9,GetGetCDSName(B290),"")</f>
        <v/>
      </c>
      <c r="D290" s="347"/>
      <c r="E290" s="380"/>
      <c r="F290" s="299"/>
      <c r="G290" s="299"/>
      <c r="H290" s="299"/>
      <c r="I290" s="299"/>
      <c r="J290" s="299"/>
      <c r="K290" s="299"/>
      <c r="L290" s="299"/>
      <c r="M290" s="299"/>
      <c r="N290" s="381"/>
      <c r="O290" s="274"/>
      <c r="P290" s="274"/>
      <c r="Q290" s="274"/>
      <c r="R290" s="274"/>
      <c r="S290" s="274"/>
      <c r="T290" s="274"/>
      <c r="U290" s="274"/>
      <c r="V290" s="274"/>
      <c r="W290" s="274"/>
      <c r="X290" s="274"/>
      <c r="Y290" s="274"/>
      <c r="Z290" s="274"/>
      <c r="AA290" s="274"/>
      <c r="AB290" s="274"/>
      <c r="AC290" s="274"/>
      <c r="AD290" s="274"/>
      <c r="AE290" s="274"/>
    </row>
    <row r="291" spans="2:31" ht="15">
      <c r="B291" s="379">
        <f t="shared" si="7"/>
        <v>246</v>
      </c>
      <c r="C291" s="387" t="str" cm="1">
        <f t="array" aca="1" ref="C291" ca="1">IF(B291&lt;=$C$9,GetGetCDSName(B291),"")</f>
        <v/>
      </c>
      <c r="D291" s="347"/>
      <c r="E291" s="380"/>
      <c r="F291" s="299"/>
      <c r="G291" s="299"/>
      <c r="H291" s="299"/>
      <c r="I291" s="299"/>
      <c r="J291" s="299"/>
      <c r="K291" s="299"/>
      <c r="L291" s="299"/>
      <c r="M291" s="299"/>
      <c r="N291" s="381"/>
      <c r="O291" s="274"/>
      <c r="P291" s="274"/>
      <c r="Q291" s="274"/>
      <c r="R291" s="274"/>
      <c r="S291" s="274"/>
      <c r="T291" s="274"/>
      <c r="U291" s="274"/>
      <c r="V291" s="274"/>
      <c r="W291" s="274"/>
      <c r="X291" s="274"/>
      <c r="Y291" s="274"/>
      <c r="Z291" s="274"/>
      <c r="AA291" s="274"/>
      <c r="AB291" s="274"/>
      <c r="AC291" s="274"/>
      <c r="AD291" s="274"/>
      <c r="AE291" s="274"/>
    </row>
    <row r="292" spans="2:31" ht="15">
      <c r="B292" s="379">
        <f t="shared" si="7"/>
        <v>247</v>
      </c>
      <c r="C292" s="387" t="str" cm="1">
        <f t="array" aca="1" ref="C292" ca="1">IF(B292&lt;=$C$9,GetGetCDSName(B292),"")</f>
        <v/>
      </c>
      <c r="D292" s="347"/>
      <c r="E292" s="380"/>
      <c r="F292" s="299"/>
      <c r="G292" s="299"/>
      <c r="H292" s="299"/>
      <c r="I292" s="299"/>
      <c r="J292" s="299"/>
      <c r="K292" s="299"/>
      <c r="L292" s="299"/>
      <c r="M292" s="299"/>
      <c r="N292" s="381"/>
      <c r="O292" s="274"/>
      <c r="P292" s="274"/>
      <c r="Q292" s="274"/>
      <c r="R292" s="274"/>
      <c r="S292" s="274"/>
      <c r="T292" s="274"/>
      <c r="U292" s="274"/>
      <c r="V292" s="274"/>
      <c r="W292" s="274"/>
      <c r="X292" s="274"/>
      <c r="Y292" s="274"/>
      <c r="Z292" s="274"/>
      <c r="AA292" s="274"/>
      <c r="AB292" s="274"/>
      <c r="AC292" s="274"/>
      <c r="AD292" s="274"/>
      <c r="AE292" s="274"/>
    </row>
    <row r="293" spans="2:31" ht="15">
      <c r="B293" s="379">
        <f t="shared" si="7"/>
        <v>248</v>
      </c>
      <c r="C293" s="387" t="str" cm="1">
        <f t="array" aca="1" ref="C293" ca="1">IF(B293&lt;=$C$9,GetGetCDSName(B293),"")</f>
        <v/>
      </c>
      <c r="D293" s="347"/>
      <c r="E293" s="380"/>
      <c r="F293" s="299"/>
      <c r="G293" s="299"/>
      <c r="H293" s="299"/>
      <c r="I293" s="299"/>
      <c r="J293" s="299"/>
      <c r="K293" s="299"/>
      <c r="L293" s="299"/>
      <c r="M293" s="299"/>
      <c r="N293" s="381"/>
      <c r="O293" s="274"/>
      <c r="P293" s="274"/>
      <c r="Q293" s="274"/>
      <c r="R293" s="274"/>
      <c r="S293" s="274"/>
      <c r="T293" s="274"/>
      <c r="U293" s="274"/>
      <c r="V293" s="274"/>
      <c r="W293" s="274"/>
      <c r="X293" s="274"/>
      <c r="Y293" s="274"/>
      <c r="Z293" s="274"/>
      <c r="AA293" s="274"/>
      <c r="AB293" s="274"/>
      <c r="AC293" s="274"/>
      <c r="AD293" s="274"/>
      <c r="AE293" s="274"/>
    </row>
    <row r="294" spans="2:31" ht="15">
      <c r="B294" s="379">
        <f t="shared" si="7"/>
        <v>249</v>
      </c>
      <c r="C294" s="387" t="str" cm="1">
        <f t="array" aca="1" ref="C294" ca="1">IF(B294&lt;=$C$9,GetGetCDSName(B294),"")</f>
        <v/>
      </c>
      <c r="D294" s="347"/>
      <c r="E294" s="380"/>
      <c r="F294" s="299"/>
      <c r="G294" s="299"/>
      <c r="H294" s="299"/>
      <c r="I294" s="299"/>
      <c r="J294" s="299"/>
      <c r="K294" s="299"/>
      <c r="L294" s="299"/>
      <c r="M294" s="299"/>
      <c r="N294" s="381"/>
      <c r="O294" s="274"/>
      <c r="P294" s="274"/>
      <c r="Q294" s="274"/>
      <c r="R294" s="274"/>
      <c r="S294" s="274"/>
      <c r="T294" s="274"/>
      <c r="U294" s="274"/>
      <c r="V294" s="274"/>
      <c r="W294" s="274"/>
      <c r="X294" s="274"/>
      <c r="Y294" s="274"/>
      <c r="Z294" s="274"/>
      <c r="AA294" s="274"/>
      <c r="AB294" s="274"/>
      <c r="AC294" s="274"/>
      <c r="AD294" s="274"/>
      <c r="AE294" s="274"/>
    </row>
    <row r="295" spans="2:31" ht="15">
      <c r="B295" s="379">
        <f t="shared" si="7"/>
        <v>250</v>
      </c>
      <c r="C295" s="387" t="str" cm="1">
        <f t="array" aca="1" ref="C295" ca="1">IF(B295&lt;=$C$9,GetGetCDSName(B295),"")</f>
        <v/>
      </c>
      <c r="D295" s="347"/>
      <c r="E295" s="380"/>
      <c r="F295" s="299"/>
      <c r="G295" s="299"/>
      <c r="H295" s="299"/>
      <c r="I295" s="299"/>
      <c r="J295" s="299"/>
      <c r="K295" s="299"/>
      <c r="L295" s="299"/>
      <c r="M295" s="299"/>
      <c r="N295" s="381"/>
      <c r="O295" s="274"/>
      <c r="P295" s="274"/>
      <c r="Q295" s="274"/>
      <c r="R295" s="274"/>
      <c r="S295" s="274"/>
      <c r="T295" s="274"/>
      <c r="U295" s="274"/>
      <c r="V295" s="274"/>
      <c r="W295" s="274"/>
      <c r="X295" s="274"/>
      <c r="Y295" s="274"/>
      <c r="Z295" s="274"/>
      <c r="AA295" s="274"/>
      <c r="AB295" s="274"/>
      <c r="AC295" s="274"/>
      <c r="AD295" s="274"/>
      <c r="AE295" s="274"/>
    </row>
    <row r="296" spans="2:31" ht="15">
      <c r="B296" s="379">
        <f t="shared" si="7"/>
        <v>251</v>
      </c>
      <c r="C296" s="387" t="str" cm="1">
        <f t="array" aca="1" ref="C296" ca="1">IF(B296&lt;=$C$9,GetGetCDSName(B296),"")</f>
        <v/>
      </c>
      <c r="D296" s="347"/>
      <c r="E296" s="380"/>
      <c r="F296" s="299"/>
      <c r="G296" s="299"/>
      <c r="H296" s="299"/>
      <c r="I296" s="299"/>
      <c r="J296" s="299"/>
      <c r="K296" s="299"/>
      <c r="L296" s="299"/>
      <c r="M296" s="299"/>
      <c r="N296" s="381"/>
      <c r="O296" s="274"/>
      <c r="P296" s="274"/>
      <c r="Q296" s="274"/>
      <c r="R296" s="274"/>
      <c r="S296" s="274"/>
      <c r="T296" s="274"/>
      <c r="U296" s="274"/>
      <c r="V296" s="274"/>
      <c r="W296" s="274"/>
      <c r="X296" s="274"/>
      <c r="Y296" s="274"/>
      <c r="Z296" s="274"/>
      <c r="AA296" s="274"/>
      <c r="AB296" s="274"/>
      <c r="AC296" s="274"/>
      <c r="AD296" s="274"/>
      <c r="AE296" s="274"/>
    </row>
    <row r="297" spans="2:31" ht="15">
      <c r="B297" s="379">
        <f t="shared" si="7"/>
        <v>252</v>
      </c>
      <c r="C297" s="387" t="str" cm="1">
        <f t="array" aca="1" ref="C297" ca="1">IF(B297&lt;=$C$9,GetGetCDSName(B297),"")</f>
        <v/>
      </c>
      <c r="D297" s="347"/>
      <c r="E297" s="380"/>
      <c r="F297" s="299"/>
      <c r="G297" s="299"/>
      <c r="H297" s="299"/>
      <c r="I297" s="299"/>
      <c r="J297" s="299"/>
      <c r="K297" s="299"/>
      <c r="L297" s="299"/>
      <c r="M297" s="299"/>
      <c r="N297" s="381"/>
      <c r="O297" s="274"/>
      <c r="P297" s="274"/>
      <c r="Q297" s="274"/>
      <c r="R297" s="274"/>
      <c r="S297" s="274"/>
      <c r="T297" s="274"/>
      <c r="U297" s="274"/>
      <c r="V297" s="274"/>
      <c r="W297" s="274"/>
      <c r="X297" s="274"/>
      <c r="Y297" s="274"/>
      <c r="Z297" s="274"/>
      <c r="AA297" s="274"/>
      <c r="AB297" s="274"/>
      <c r="AC297" s="274"/>
      <c r="AD297" s="274"/>
      <c r="AE297" s="274"/>
    </row>
    <row r="298" spans="2:31" ht="15">
      <c r="B298" s="379">
        <f t="shared" si="7"/>
        <v>253</v>
      </c>
      <c r="C298" s="387" t="str" cm="1">
        <f t="array" aca="1" ref="C298" ca="1">IF(B298&lt;=$C$9,GetGetCDSName(B298),"")</f>
        <v/>
      </c>
      <c r="D298" s="347"/>
      <c r="E298" s="380"/>
      <c r="F298" s="299"/>
      <c r="G298" s="299"/>
      <c r="H298" s="299"/>
      <c r="I298" s="299"/>
      <c r="J298" s="299"/>
      <c r="K298" s="299"/>
      <c r="L298" s="299"/>
      <c r="M298" s="299"/>
      <c r="N298" s="381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</row>
    <row r="299" spans="2:31" ht="15">
      <c r="B299" s="379">
        <f t="shared" si="7"/>
        <v>254</v>
      </c>
      <c r="C299" s="387" t="str" cm="1">
        <f t="array" aca="1" ref="C299" ca="1">IF(B299&lt;=$C$9,GetGetCDSName(B299),"")</f>
        <v/>
      </c>
      <c r="D299" s="347"/>
      <c r="E299" s="380"/>
      <c r="F299" s="299"/>
      <c r="G299" s="299"/>
      <c r="H299" s="299"/>
      <c r="I299" s="299"/>
      <c r="J299" s="299"/>
      <c r="K299" s="299"/>
      <c r="L299" s="299"/>
      <c r="M299" s="299"/>
      <c r="N299" s="381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</row>
    <row r="300" spans="2:31" ht="15">
      <c r="B300" s="379">
        <f t="shared" si="7"/>
        <v>255</v>
      </c>
      <c r="C300" s="387" t="str" cm="1">
        <f t="array" aca="1" ref="C300" ca="1">IF(B300&lt;=$C$9,GetGetCDSName(B300),"")</f>
        <v/>
      </c>
      <c r="D300" s="347"/>
      <c r="E300" s="380"/>
      <c r="F300" s="299"/>
      <c r="G300" s="299"/>
      <c r="H300" s="299"/>
      <c r="I300" s="299"/>
      <c r="J300" s="299"/>
      <c r="K300" s="299"/>
      <c r="L300" s="299"/>
      <c r="M300" s="299"/>
      <c r="N300" s="381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</row>
    <row r="301" spans="2:31" ht="15">
      <c r="B301" s="379">
        <f t="shared" si="7"/>
        <v>256</v>
      </c>
      <c r="C301" s="387" t="str" cm="1">
        <f t="array" aca="1" ref="C301" ca="1">IF(B301&lt;=$C$9,GetGetCDSName(B301),"")</f>
        <v/>
      </c>
      <c r="D301" s="347"/>
      <c r="E301" s="380"/>
      <c r="F301" s="299"/>
      <c r="G301" s="299"/>
      <c r="H301" s="299"/>
      <c r="I301" s="299"/>
      <c r="J301" s="299"/>
      <c r="K301" s="299"/>
      <c r="L301" s="299"/>
      <c r="M301" s="299"/>
      <c r="N301" s="381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</row>
    <row r="302" spans="2:31" ht="15">
      <c r="B302" s="379">
        <f t="shared" si="7"/>
        <v>257</v>
      </c>
      <c r="C302" s="387" t="str" cm="1">
        <f t="array" aca="1" ref="C302" ca="1">IF(B302&lt;=$C$9,GetGetCDSName(B302),"")</f>
        <v/>
      </c>
      <c r="D302" s="347"/>
      <c r="E302" s="380"/>
      <c r="F302" s="299"/>
      <c r="G302" s="299"/>
      <c r="H302" s="299"/>
      <c r="I302" s="299"/>
      <c r="J302" s="299"/>
      <c r="K302" s="299"/>
      <c r="L302" s="299"/>
      <c r="M302" s="299"/>
      <c r="N302" s="381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</row>
    <row r="303" spans="2:31" ht="15">
      <c r="B303" s="379">
        <f t="shared" ref="B303:B345" si="8">B302+1</f>
        <v>258</v>
      </c>
      <c r="C303" s="387" t="str" cm="1">
        <f t="array" aca="1" ref="C303" ca="1">IF(B303&lt;=$C$9,GetGetCDSName(B303),"")</f>
        <v/>
      </c>
      <c r="D303" s="347"/>
      <c r="E303" s="380"/>
      <c r="F303" s="299"/>
      <c r="G303" s="299"/>
      <c r="H303" s="299"/>
      <c r="I303" s="299"/>
      <c r="J303" s="299"/>
      <c r="K303" s="299"/>
      <c r="L303" s="299"/>
      <c r="M303" s="299"/>
      <c r="N303" s="381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</row>
    <row r="304" spans="2:31" ht="15">
      <c r="B304" s="379">
        <f t="shared" si="8"/>
        <v>259</v>
      </c>
      <c r="C304" s="387" t="str" cm="1">
        <f t="array" aca="1" ref="C304" ca="1">IF(B304&lt;=$C$9,GetGetCDSName(B304),"")</f>
        <v/>
      </c>
      <c r="D304" s="347"/>
      <c r="E304" s="380"/>
      <c r="F304" s="299"/>
      <c r="G304" s="299"/>
      <c r="H304" s="299"/>
      <c r="I304" s="299"/>
      <c r="J304" s="299"/>
      <c r="K304" s="299"/>
      <c r="L304" s="299"/>
      <c r="M304" s="299"/>
      <c r="N304" s="381"/>
      <c r="O304" s="274"/>
      <c r="P304" s="274"/>
      <c r="Q304" s="274"/>
      <c r="R304" s="274"/>
      <c r="S304" s="274"/>
      <c r="T304" s="274"/>
      <c r="U304" s="274"/>
      <c r="V304" s="274"/>
      <c r="W304" s="274"/>
      <c r="X304" s="274"/>
      <c r="Y304" s="274"/>
      <c r="Z304" s="274"/>
      <c r="AA304" s="274"/>
      <c r="AB304" s="274"/>
      <c r="AC304" s="274"/>
      <c r="AD304" s="274"/>
      <c r="AE304" s="274"/>
    </row>
    <row r="305" spans="2:31" ht="15">
      <c r="B305" s="379">
        <f t="shared" si="8"/>
        <v>260</v>
      </c>
      <c r="C305" s="387" t="str" cm="1">
        <f t="array" aca="1" ref="C305" ca="1">IF(B305&lt;=$C$9,GetGetCDSName(B305),"")</f>
        <v/>
      </c>
      <c r="D305" s="347"/>
      <c r="E305" s="380"/>
      <c r="F305" s="299"/>
      <c r="G305" s="299"/>
      <c r="H305" s="299"/>
      <c r="I305" s="299"/>
      <c r="J305" s="299"/>
      <c r="K305" s="299"/>
      <c r="L305" s="299"/>
      <c r="M305" s="299"/>
      <c r="N305" s="381"/>
      <c r="O305" s="274"/>
      <c r="P305" s="274"/>
      <c r="Q305" s="274"/>
      <c r="R305" s="274"/>
      <c r="S305" s="274"/>
      <c r="T305" s="274"/>
      <c r="U305" s="274"/>
      <c r="V305" s="274"/>
      <c r="W305" s="274"/>
      <c r="X305" s="274"/>
      <c r="Y305" s="274"/>
      <c r="Z305" s="274"/>
      <c r="AA305" s="274"/>
      <c r="AB305" s="274"/>
      <c r="AC305" s="274"/>
      <c r="AD305" s="274"/>
      <c r="AE305" s="274"/>
    </row>
    <row r="306" spans="2:31" ht="15">
      <c r="B306" s="379">
        <f t="shared" si="8"/>
        <v>261</v>
      </c>
      <c r="C306" s="387" t="str" cm="1">
        <f t="array" aca="1" ref="C306" ca="1">IF(B306&lt;=$C$9,GetGetCDSName(B306),"")</f>
        <v/>
      </c>
      <c r="D306" s="347"/>
      <c r="E306" s="380"/>
      <c r="F306" s="299"/>
      <c r="G306" s="299"/>
      <c r="H306" s="299"/>
      <c r="I306" s="299"/>
      <c r="J306" s="299"/>
      <c r="K306" s="299"/>
      <c r="L306" s="299"/>
      <c r="M306" s="299"/>
      <c r="N306" s="381"/>
      <c r="O306" s="274"/>
      <c r="P306" s="274"/>
      <c r="Q306" s="274"/>
      <c r="R306" s="274"/>
      <c r="S306" s="274"/>
      <c r="T306" s="274"/>
      <c r="U306" s="274"/>
      <c r="V306" s="274"/>
      <c r="W306" s="274"/>
      <c r="X306" s="274"/>
      <c r="Y306" s="274"/>
      <c r="Z306" s="274"/>
      <c r="AA306" s="274"/>
      <c r="AB306" s="274"/>
      <c r="AC306" s="274"/>
      <c r="AD306" s="274"/>
      <c r="AE306" s="274"/>
    </row>
    <row r="307" spans="2:31" ht="15">
      <c r="B307" s="379">
        <f t="shared" si="8"/>
        <v>262</v>
      </c>
      <c r="C307" s="387" t="str" cm="1">
        <f t="array" aca="1" ref="C307" ca="1">IF(B307&lt;=$C$9,GetGetCDSName(B307),"")</f>
        <v/>
      </c>
      <c r="D307" s="347"/>
      <c r="E307" s="380"/>
      <c r="F307" s="299"/>
      <c r="G307" s="299"/>
      <c r="H307" s="299"/>
      <c r="I307" s="299"/>
      <c r="J307" s="299"/>
      <c r="K307" s="299"/>
      <c r="L307" s="299"/>
      <c r="M307" s="299"/>
      <c r="N307" s="381"/>
      <c r="O307" s="274"/>
      <c r="P307" s="274"/>
      <c r="Q307" s="274"/>
      <c r="R307" s="274"/>
      <c r="S307" s="274"/>
      <c r="T307" s="274"/>
      <c r="U307" s="274"/>
      <c r="V307" s="274"/>
      <c r="W307" s="274"/>
      <c r="X307" s="274"/>
      <c r="Y307" s="274"/>
      <c r="Z307" s="274"/>
      <c r="AA307" s="274"/>
      <c r="AB307" s="274"/>
      <c r="AC307" s="274"/>
      <c r="AD307" s="274"/>
      <c r="AE307" s="274"/>
    </row>
    <row r="308" spans="2:31" ht="15">
      <c r="B308" s="379">
        <f t="shared" si="8"/>
        <v>263</v>
      </c>
      <c r="C308" s="387" t="str" cm="1">
        <f t="array" aca="1" ref="C308" ca="1">IF(B308&lt;=$C$9,GetGetCDSName(B308),"")</f>
        <v/>
      </c>
      <c r="D308" s="347"/>
      <c r="E308" s="380"/>
      <c r="F308" s="299"/>
      <c r="G308" s="299"/>
      <c r="H308" s="299"/>
      <c r="I308" s="299"/>
      <c r="J308" s="299"/>
      <c r="K308" s="299"/>
      <c r="L308" s="299"/>
      <c r="M308" s="299"/>
      <c r="N308" s="381"/>
      <c r="O308" s="274"/>
      <c r="P308" s="274"/>
      <c r="Q308" s="274"/>
      <c r="R308" s="274"/>
      <c r="S308" s="274"/>
      <c r="T308" s="274"/>
      <c r="U308" s="274"/>
      <c r="V308" s="274"/>
      <c r="W308" s="274"/>
      <c r="X308" s="274"/>
      <c r="Y308" s="274"/>
      <c r="Z308" s="274"/>
      <c r="AA308" s="274"/>
      <c r="AB308" s="274"/>
      <c r="AC308" s="274"/>
      <c r="AD308" s="274"/>
      <c r="AE308" s="274"/>
    </row>
    <row r="309" spans="2:31" ht="15">
      <c r="B309" s="379">
        <f t="shared" si="8"/>
        <v>264</v>
      </c>
      <c r="C309" s="387" t="str" cm="1">
        <f t="array" aca="1" ref="C309" ca="1">IF(B309&lt;=$C$9,GetGetCDSName(B309),"")</f>
        <v/>
      </c>
      <c r="D309" s="347"/>
      <c r="E309" s="380"/>
      <c r="F309" s="299"/>
      <c r="G309" s="299"/>
      <c r="H309" s="299"/>
      <c r="I309" s="299"/>
      <c r="J309" s="299"/>
      <c r="K309" s="299"/>
      <c r="L309" s="299"/>
      <c r="M309" s="299"/>
      <c r="N309" s="381"/>
      <c r="O309" s="274"/>
      <c r="P309" s="274"/>
      <c r="Q309" s="274"/>
      <c r="R309" s="274"/>
      <c r="S309" s="274"/>
      <c r="T309" s="274"/>
      <c r="U309" s="274"/>
      <c r="V309" s="274"/>
      <c r="W309" s="274"/>
      <c r="X309" s="274"/>
      <c r="Y309" s="274"/>
      <c r="Z309" s="274"/>
      <c r="AA309" s="274"/>
      <c r="AB309" s="274"/>
      <c r="AC309" s="274"/>
      <c r="AD309" s="274"/>
      <c r="AE309" s="274"/>
    </row>
    <row r="310" spans="2:31" ht="15">
      <c r="B310" s="379">
        <f t="shared" si="8"/>
        <v>265</v>
      </c>
      <c r="C310" s="387" t="str" cm="1">
        <f t="array" aca="1" ref="C310" ca="1">IF(B310&lt;=$C$9,GetGetCDSName(B310),"")</f>
        <v/>
      </c>
      <c r="D310" s="347"/>
      <c r="E310" s="380"/>
      <c r="F310" s="299"/>
      <c r="G310" s="299"/>
      <c r="H310" s="299"/>
      <c r="I310" s="299"/>
      <c r="J310" s="299"/>
      <c r="K310" s="299"/>
      <c r="L310" s="299"/>
      <c r="M310" s="299"/>
      <c r="N310" s="381"/>
      <c r="O310" s="274"/>
      <c r="P310" s="274"/>
      <c r="Q310" s="274"/>
      <c r="R310" s="274"/>
      <c r="S310" s="274"/>
      <c r="T310" s="274"/>
      <c r="U310" s="274"/>
      <c r="V310" s="274"/>
      <c r="W310" s="274"/>
      <c r="X310" s="274"/>
      <c r="Y310" s="274"/>
      <c r="Z310" s="274"/>
      <c r="AA310" s="274"/>
      <c r="AB310" s="274"/>
      <c r="AC310" s="274"/>
      <c r="AD310" s="274"/>
      <c r="AE310" s="274"/>
    </row>
    <row r="311" spans="2:31" ht="15">
      <c r="B311" s="379">
        <f t="shared" si="8"/>
        <v>266</v>
      </c>
      <c r="C311" s="387" t="str" cm="1">
        <f t="array" aca="1" ref="C311" ca="1">IF(B311&lt;=$C$9,GetGetCDSName(B311),"")</f>
        <v/>
      </c>
      <c r="D311" s="347"/>
      <c r="E311" s="380"/>
      <c r="F311" s="299"/>
      <c r="G311" s="299"/>
      <c r="H311" s="299"/>
      <c r="I311" s="299"/>
      <c r="J311" s="299"/>
      <c r="K311" s="299"/>
      <c r="L311" s="299"/>
      <c r="M311" s="299"/>
      <c r="N311" s="381"/>
      <c r="O311" s="274"/>
      <c r="P311" s="274"/>
      <c r="Q311" s="274"/>
      <c r="R311" s="274"/>
      <c r="S311" s="274"/>
      <c r="T311" s="274"/>
      <c r="U311" s="274"/>
      <c r="V311" s="274"/>
      <c r="W311" s="274"/>
      <c r="X311" s="274"/>
      <c r="Y311" s="274"/>
      <c r="Z311" s="274"/>
      <c r="AA311" s="274"/>
      <c r="AB311" s="274"/>
      <c r="AC311" s="274"/>
      <c r="AD311" s="274"/>
      <c r="AE311" s="274"/>
    </row>
    <row r="312" spans="2:31" ht="15">
      <c r="B312" s="379">
        <f t="shared" si="8"/>
        <v>267</v>
      </c>
      <c r="C312" s="387" t="str" cm="1">
        <f t="array" aca="1" ref="C312" ca="1">IF(B312&lt;=$C$9,GetGetCDSName(B312),"")</f>
        <v/>
      </c>
      <c r="D312" s="347"/>
      <c r="E312" s="380"/>
      <c r="F312" s="299"/>
      <c r="G312" s="299"/>
      <c r="H312" s="299"/>
      <c r="I312" s="299"/>
      <c r="J312" s="299"/>
      <c r="K312" s="299"/>
      <c r="L312" s="299"/>
      <c r="M312" s="299"/>
      <c r="N312" s="381"/>
      <c r="O312" s="274"/>
      <c r="P312" s="274"/>
      <c r="Q312" s="274"/>
      <c r="R312" s="274"/>
      <c r="S312" s="274"/>
      <c r="T312" s="274"/>
      <c r="U312" s="274"/>
      <c r="V312" s="274"/>
      <c r="W312" s="274"/>
      <c r="X312" s="274"/>
      <c r="Y312" s="274"/>
      <c r="Z312" s="274"/>
      <c r="AA312" s="274"/>
      <c r="AB312" s="274"/>
      <c r="AC312" s="274"/>
      <c r="AD312" s="274"/>
      <c r="AE312" s="274"/>
    </row>
    <row r="313" spans="2:31" ht="15">
      <c r="B313" s="379">
        <f t="shared" si="8"/>
        <v>268</v>
      </c>
      <c r="C313" s="387" t="str" cm="1">
        <f t="array" aca="1" ref="C313" ca="1">IF(B313&lt;=$C$9,GetGetCDSName(B313),"")</f>
        <v/>
      </c>
      <c r="D313" s="347"/>
      <c r="E313" s="380"/>
      <c r="F313" s="299"/>
      <c r="G313" s="299"/>
      <c r="H313" s="299"/>
      <c r="I313" s="299"/>
      <c r="J313" s="299"/>
      <c r="K313" s="299"/>
      <c r="L313" s="299"/>
      <c r="M313" s="299"/>
      <c r="N313" s="381"/>
      <c r="O313" s="274"/>
      <c r="P313" s="274"/>
      <c r="Q313" s="274"/>
      <c r="R313" s="274"/>
      <c r="S313" s="274"/>
      <c r="T313" s="274"/>
      <c r="U313" s="274"/>
      <c r="V313" s="274"/>
      <c r="W313" s="274"/>
      <c r="X313" s="274"/>
      <c r="Y313" s="274"/>
      <c r="Z313" s="274"/>
      <c r="AA313" s="274"/>
      <c r="AB313" s="274"/>
      <c r="AC313" s="274"/>
      <c r="AD313" s="274"/>
      <c r="AE313" s="274"/>
    </row>
    <row r="314" spans="2:31" ht="15">
      <c r="B314" s="379">
        <f t="shared" si="8"/>
        <v>269</v>
      </c>
      <c r="C314" s="387" t="str" cm="1">
        <f t="array" aca="1" ref="C314" ca="1">IF(B314&lt;=$C$9,GetGetCDSName(B314),"")</f>
        <v/>
      </c>
      <c r="D314" s="347"/>
      <c r="E314" s="380"/>
      <c r="F314" s="299"/>
      <c r="G314" s="299"/>
      <c r="H314" s="299"/>
      <c r="I314" s="299"/>
      <c r="J314" s="299"/>
      <c r="K314" s="299"/>
      <c r="L314" s="299"/>
      <c r="M314" s="299"/>
      <c r="N314" s="381"/>
      <c r="O314" s="274"/>
      <c r="P314" s="274"/>
      <c r="Q314" s="274"/>
      <c r="R314" s="274"/>
      <c r="S314" s="274"/>
      <c r="T314" s="274"/>
      <c r="U314" s="274"/>
      <c r="V314" s="274"/>
      <c r="W314" s="274"/>
      <c r="X314" s="274"/>
      <c r="Y314" s="274"/>
      <c r="Z314" s="274"/>
      <c r="AA314" s="274"/>
      <c r="AB314" s="274"/>
      <c r="AC314" s="274"/>
      <c r="AD314" s="274"/>
      <c r="AE314" s="274"/>
    </row>
    <row r="315" spans="2:31" ht="15">
      <c r="B315" s="379">
        <f t="shared" si="8"/>
        <v>270</v>
      </c>
      <c r="C315" s="387" t="str" cm="1">
        <f t="array" aca="1" ref="C315" ca="1">IF(B315&lt;=$C$9,GetGetCDSName(B315),"")</f>
        <v/>
      </c>
      <c r="D315" s="347"/>
      <c r="E315" s="380"/>
      <c r="F315" s="299"/>
      <c r="G315" s="299"/>
      <c r="H315" s="299"/>
      <c r="I315" s="299"/>
      <c r="J315" s="299"/>
      <c r="K315" s="299"/>
      <c r="L315" s="299"/>
      <c r="M315" s="299"/>
      <c r="N315" s="381"/>
      <c r="O315" s="274"/>
      <c r="P315" s="274"/>
      <c r="Q315" s="274"/>
      <c r="R315" s="274"/>
      <c r="S315" s="274"/>
      <c r="T315" s="274"/>
      <c r="U315" s="274"/>
      <c r="V315" s="274"/>
      <c r="W315" s="274"/>
      <c r="X315" s="274"/>
      <c r="Y315" s="274"/>
      <c r="Z315" s="274"/>
      <c r="AA315" s="274"/>
      <c r="AB315" s="274"/>
      <c r="AC315" s="274"/>
      <c r="AD315" s="274"/>
      <c r="AE315" s="274"/>
    </row>
    <row r="316" spans="2:31" ht="15">
      <c r="B316" s="379">
        <f t="shared" si="8"/>
        <v>271</v>
      </c>
      <c r="C316" s="387" t="str" cm="1">
        <f t="array" aca="1" ref="C316" ca="1">IF(B316&lt;=$C$9,GetGetCDSName(B316),"")</f>
        <v/>
      </c>
      <c r="D316" s="347"/>
      <c r="E316" s="380"/>
      <c r="F316" s="299"/>
      <c r="G316" s="299"/>
      <c r="H316" s="299"/>
      <c r="I316" s="299"/>
      <c r="J316" s="299"/>
      <c r="K316" s="299"/>
      <c r="L316" s="299"/>
      <c r="M316" s="299"/>
      <c r="N316" s="381"/>
      <c r="O316" s="274"/>
      <c r="P316" s="274"/>
      <c r="Q316" s="274"/>
      <c r="R316" s="274"/>
      <c r="S316" s="274"/>
      <c r="T316" s="274"/>
      <c r="U316" s="274"/>
      <c r="V316" s="274"/>
      <c r="W316" s="274"/>
      <c r="X316" s="274"/>
      <c r="Y316" s="274"/>
      <c r="Z316" s="274"/>
      <c r="AA316" s="274"/>
      <c r="AB316" s="274"/>
      <c r="AC316" s="274"/>
      <c r="AD316" s="274"/>
      <c r="AE316" s="274"/>
    </row>
    <row r="317" spans="2:31" ht="15">
      <c r="B317" s="379">
        <f t="shared" si="8"/>
        <v>272</v>
      </c>
      <c r="C317" s="387" t="str" cm="1">
        <f t="array" aca="1" ref="C317" ca="1">IF(B317&lt;=$C$9,GetGetCDSName(B317),"")</f>
        <v/>
      </c>
      <c r="D317" s="347"/>
      <c r="E317" s="380"/>
      <c r="F317" s="299"/>
      <c r="G317" s="299"/>
      <c r="H317" s="299"/>
      <c r="I317" s="299"/>
      <c r="J317" s="299"/>
      <c r="K317" s="299"/>
      <c r="L317" s="299"/>
      <c r="M317" s="299"/>
      <c r="N317" s="381"/>
      <c r="O317" s="274"/>
      <c r="P317" s="274"/>
      <c r="Q317" s="274"/>
      <c r="R317" s="274"/>
      <c r="S317" s="274"/>
      <c r="T317" s="274"/>
      <c r="U317" s="274"/>
      <c r="V317" s="274"/>
      <c r="W317" s="274"/>
      <c r="X317" s="274"/>
      <c r="Y317" s="274"/>
      <c r="Z317" s="274"/>
      <c r="AA317" s="274"/>
      <c r="AB317" s="274"/>
      <c r="AC317" s="274"/>
      <c r="AD317" s="274"/>
      <c r="AE317" s="274"/>
    </row>
    <row r="318" spans="2:31" ht="15">
      <c r="B318" s="379">
        <f t="shared" si="8"/>
        <v>273</v>
      </c>
      <c r="C318" s="387" t="str" cm="1">
        <f t="array" aca="1" ref="C318" ca="1">IF(B318&lt;=$C$9,GetGetCDSName(B318),"")</f>
        <v/>
      </c>
      <c r="D318" s="347"/>
      <c r="E318" s="380"/>
      <c r="F318" s="299"/>
      <c r="G318" s="299"/>
      <c r="H318" s="299"/>
      <c r="I318" s="299"/>
      <c r="J318" s="299"/>
      <c r="K318" s="299"/>
      <c r="L318" s="299"/>
      <c r="M318" s="299"/>
      <c r="N318" s="381"/>
      <c r="O318" s="274"/>
      <c r="P318" s="274"/>
      <c r="Q318" s="274"/>
      <c r="R318" s="274"/>
      <c r="S318" s="274"/>
      <c r="T318" s="274"/>
      <c r="U318" s="274"/>
      <c r="V318" s="274"/>
      <c r="W318" s="274"/>
      <c r="X318" s="274"/>
      <c r="Y318" s="274"/>
      <c r="Z318" s="274"/>
      <c r="AA318" s="274"/>
      <c r="AB318" s="274"/>
      <c r="AC318" s="274"/>
      <c r="AD318" s="274"/>
      <c r="AE318" s="274"/>
    </row>
    <row r="319" spans="2:31" ht="15">
      <c r="B319" s="379">
        <f t="shared" si="8"/>
        <v>274</v>
      </c>
      <c r="C319" s="387" t="str" cm="1">
        <f t="array" aca="1" ref="C319" ca="1">IF(B319&lt;=$C$9,GetGetCDSName(B319),"")</f>
        <v/>
      </c>
      <c r="D319" s="347"/>
      <c r="E319" s="380"/>
      <c r="F319" s="299"/>
      <c r="G319" s="299"/>
      <c r="H319" s="299"/>
      <c r="I319" s="299"/>
      <c r="J319" s="299"/>
      <c r="K319" s="299"/>
      <c r="L319" s="299"/>
      <c r="M319" s="299"/>
      <c r="N319" s="381"/>
      <c r="O319" s="274"/>
      <c r="P319" s="274"/>
      <c r="Q319" s="274"/>
      <c r="R319" s="274"/>
      <c r="S319" s="274"/>
      <c r="T319" s="274"/>
      <c r="U319" s="274"/>
      <c r="V319" s="274"/>
      <c r="W319" s="274"/>
      <c r="X319" s="274"/>
      <c r="Y319" s="274"/>
      <c r="Z319" s="274"/>
      <c r="AA319" s="274"/>
      <c r="AB319" s="274"/>
      <c r="AC319" s="274"/>
      <c r="AD319" s="274"/>
      <c r="AE319" s="274"/>
    </row>
    <row r="320" spans="2:31" ht="15">
      <c r="B320" s="379">
        <f t="shared" si="8"/>
        <v>275</v>
      </c>
      <c r="C320" s="387" t="str" cm="1">
        <f t="array" aca="1" ref="C320" ca="1">IF(B320&lt;=$C$9,GetGetCDSName(B320),"")</f>
        <v/>
      </c>
      <c r="D320" s="347"/>
      <c r="E320" s="380"/>
      <c r="F320" s="299"/>
      <c r="G320" s="299"/>
      <c r="H320" s="299"/>
      <c r="I320" s="299"/>
      <c r="J320" s="299"/>
      <c r="K320" s="299"/>
      <c r="L320" s="299"/>
      <c r="M320" s="299"/>
      <c r="N320" s="381"/>
      <c r="O320" s="274"/>
      <c r="P320" s="274"/>
      <c r="Q320" s="274"/>
      <c r="R320" s="274"/>
      <c r="S320" s="274"/>
      <c r="T320" s="274"/>
      <c r="U320" s="274"/>
      <c r="V320" s="274"/>
      <c r="W320" s="274"/>
      <c r="X320" s="274"/>
      <c r="Y320" s="274"/>
      <c r="Z320" s="274"/>
      <c r="AA320" s="274"/>
      <c r="AB320" s="274"/>
      <c r="AC320" s="274"/>
      <c r="AD320" s="274"/>
      <c r="AE320" s="274"/>
    </row>
    <row r="321" spans="2:31" ht="15">
      <c r="B321" s="379">
        <f t="shared" si="8"/>
        <v>276</v>
      </c>
      <c r="C321" s="387" t="str" cm="1">
        <f t="array" aca="1" ref="C321" ca="1">IF(B321&lt;=$C$9,GetGetCDSName(B321),"")</f>
        <v/>
      </c>
      <c r="D321" s="347"/>
      <c r="E321" s="380"/>
      <c r="F321" s="299"/>
      <c r="G321" s="299"/>
      <c r="H321" s="299"/>
      <c r="I321" s="299"/>
      <c r="J321" s="299"/>
      <c r="K321" s="299"/>
      <c r="L321" s="299"/>
      <c r="M321" s="299"/>
      <c r="N321" s="381"/>
      <c r="O321" s="274"/>
      <c r="P321" s="274"/>
      <c r="Q321" s="274"/>
      <c r="R321" s="274"/>
      <c r="S321" s="274"/>
      <c r="T321" s="274"/>
      <c r="U321" s="274"/>
      <c r="V321" s="274"/>
      <c r="W321" s="274"/>
      <c r="X321" s="274"/>
      <c r="Y321" s="274"/>
      <c r="Z321" s="274"/>
      <c r="AA321" s="274"/>
      <c r="AB321" s="274"/>
      <c r="AC321" s="274"/>
      <c r="AD321" s="274"/>
      <c r="AE321" s="274"/>
    </row>
    <row r="322" spans="2:31" ht="15">
      <c r="B322" s="379">
        <f t="shared" si="8"/>
        <v>277</v>
      </c>
      <c r="C322" s="387" t="str" cm="1">
        <f t="array" aca="1" ref="C322" ca="1">IF(B322&lt;=$C$9,GetGetCDSName(B322),"")</f>
        <v/>
      </c>
      <c r="D322" s="347"/>
      <c r="E322" s="380"/>
      <c r="F322" s="299"/>
      <c r="G322" s="299"/>
      <c r="H322" s="299"/>
      <c r="I322" s="299"/>
      <c r="J322" s="299"/>
      <c r="K322" s="299"/>
      <c r="L322" s="299"/>
      <c r="M322" s="299"/>
      <c r="N322" s="381"/>
      <c r="O322" s="274"/>
      <c r="P322" s="274"/>
      <c r="Q322" s="274"/>
      <c r="R322" s="274"/>
      <c r="S322" s="274"/>
      <c r="T322" s="274"/>
      <c r="U322" s="274"/>
      <c r="V322" s="274"/>
      <c r="W322" s="274"/>
      <c r="X322" s="274"/>
      <c r="Y322" s="274"/>
      <c r="Z322" s="274"/>
      <c r="AA322" s="274"/>
      <c r="AB322" s="274"/>
      <c r="AC322" s="274"/>
      <c r="AD322" s="274"/>
      <c r="AE322" s="274"/>
    </row>
    <row r="323" spans="2:31" ht="15">
      <c r="B323" s="379">
        <f t="shared" si="8"/>
        <v>278</v>
      </c>
      <c r="C323" s="387" t="str" cm="1">
        <f t="array" aca="1" ref="C323" ca="1">IF(B323&lt;=$C$9,GetGetCDSName(B323),"")</f>
        <v/>
      </c>
      <c r="D323" s="347"/>
      <c r="E323" s="380"/>
      <c r="F323" s="299"/>
      <c r="G323" s="299"/>
      <c r="H323" s="299"/>
      <c r="I323" s="299"/>
      <c r="J323" s="299"/>
      <c r="K323" s="299"/>
      <c r="L323" s="299"/>
      <c r="M323" s="299"/>
      <c r="N323" s="381"/>
      <c r="O323" s="274"/>
      <c r="P323" s="274"/>
      <c r="Q323" s="274"/>
      <c r="R323" s="274"/>
      <c r="S323" s="274"/>
      <c r="T323" s="274"/>
      <c r="U323" s="274"/>
      <c r="V323" s="274"/>
      <c r="W323" s="274"/>
      <c r="X323" s="274"/>
      <c r="Y323" s="274"/>
      <c r="Z323" s="274"/>
      <c r="AA323" s="274"/>
      <c r="AB323" s="274"/>
      <c r="AC323" s="274"/>
      <c r="AD323" s="274"/>
      <c r="AE323" s="274"/>
    </row>
    <row r="324" spans="2:31" ht="15">
      <c r="B324" s="379">
        <f t="shared" si="8"/>
        <v>279</v>
      </c>
      <c r="C324" s="387" t="str" cm="1">
        <f t="array" aca="1" ref="C324" ca="1">IF(B324&lt;=$C$9,GetGetCDSName(B324),"")</f>
        <v/>
      </c>
      <c r="D324" s="347"/>
      <c r="E324" s="380"/>
      <c r="F324" s="299"/>
      <c r="G324" s="299"/>
      <c r="H324" s="299"/>
      <c r="I324" s="299"/>
      <c r="J324" s="299"/>
      <c r="K324" s="299"/>
      <c r="L324" s="299"/>
      <c r="M324" s="299"/>
      <c r="N324" s="381"/>
      <c r="O324" s="274"/>
      <c r="P324" s="274"/>
      <c r="Q324" s="274"/>
      <c r="R324" s="274"/>
      <c r="S324" s="274"/>
      <c r="T324" s="274"/>
      <c r="U324" s="274"/>
      <c r="V324" s="274"/>
      <c r="W324" s="274"/>
      <c r="X324" s="274"/>
      <c r="Y324" s="274"/>
      <c r="Z324" s="274"/>
      <c r="AA324" s="274"/>
      <c r="AB324" s="274"/>
      <c r="AC324" s="274"/>
      <c r="AD324" s="274"/>
      <c r="AE324" s="274"/>
    </row>
    <row r="325" spans="2:31" ht="15">
      <c r="B325" s="379">
        <f t="shared" si="8"/>
        <v>280</v>
      </c>
      <c r="C325" s="387" t="str" cm="1">
        <f t="array" aca="1" ref="C325" ca="1">IF(B325&lt;=$C$9,GetGetCDSName(B325),"")</f>
        <v/>
      </c>
      <c r="D325" s="347"/>
      <c r="E325" s="380"/>
      <c r="F325" s="299"/>
      <c r="G325" s="299"/>
      <c r="H325" s="299"/>
      <c r="I325" s="299"/>
      <c r="J325" s="299"/>
      <c r="K325" s="299"/>
      <c r="L325" s="299"/>
      <c r="M325" s="299"/>
      <c r="N325" s="381"/>
      <c r="O325" s="274"/>
      <c r="P325" s="274"/>
      <c r="Q325" s="274"/>
      <c r="R325" s="274"/>
      <c r="S325" s="274"/>
      <c r="T325" s="274"/>
      <c r="U325" s="274"/>
      <c r="V325" s="274"/>
      <c r="W325" s="274"/>
      <c r="X325" s="274"/>
      <c r="Y325" s="274"/>
      <c r="Z325" s="274"/>
      <c r="AA325" s="274"/>
      <c r="AB325" s="274"/>
      <c r="AC325" s="274"/>
      <c r="AD325" s="274"/>
      <c r="AE325" s="274"/>
    </row>
    <row r="326" spans="2:31" ht="15">
      <c r="B326" s="379">
        <f t="shared" si="8"/>
        <v>281</v>
      </c>
      <c r="C326" s="387" t="str" cm="1">
        <f t="array" aca="1" ref="C326" ca="1">IF(B326&lt;=$C$9,GetGetCDSName(B326),"")</f>
        <v/>
      </c>
      <c r="D326" s="347"/>
      <c r="E326" s="380"/>
      <c r="F326" s="299"/>
      <c r="G326" s="299"/>
      <c r="H326" s="299"/>
      <c r="I326" s="299"/>
      <c r="J326" s="299"/>
      <c r="K326" s="299"/>
      <c r="L326" s="299"/>
      <c r="M326" s="299"/>
      <c r="N326" s="381"/>
      <c r="O326" s="274"/>
      <c r="P326" s="274"/>
      <c r="Q326" s="274"/>
      <c r="R326" s="274"/>
      <c r="S326" s="274"/>
      <c r="T326" s="274"/>
      <c r="U326" s="274"/>
      <c r="V326" s="274"/>
      <c r="W326" s="274"/>
      <c r="X326" s="274"/>
      <c r="Y326" s="274"/>
      <c r="Z326" s="274"/>
      <c r="AA326" s="274"/>
      <c r="AB326" s="274"/>
      <c r="AC326" s="274"/>
      <c r="AD326" s="274"/>
      <c r="AE326" s="274"/>
    </row>
    <row r="327" spans="2:31" ht="15">
      <c r="B327" s="379">
        <f t="shared" si="8"/>
        <v>282</v>
      </c>
      <c r="C327" s="387" t="str" cm="1">
        <f t="array" aca="1" ref="C327" ca="1">IF(B327&lt;=$C$9,GetGetCDSName(B327),"")</f>
        <v/>
      </c>
      <c r="D327" s="347"/>
      <c r="E327" s="380"/>
      <c r="F327" s="299"/>
      <c r="G327" s="299"/>
      <c r="H327" s="299"/>
      <c r="I327" s="299"/>
      <c r="J327" s="299"/>
      <c r="K327" s="299"/>
      <c r="L327" s="299"/>
      <c r="M327" s="299"/>
      <c r="N327" s="381"/>
      <c r="O327" s="274"/>
      <c r="P327" s="274"/>
      <c r="Q327" s="274"/>
      <c r="R327" s="274"/>
      <c r="S327" s="274"/>
      <c r="T327" s="274"/>
      <c r="U327" s="274"/>
      <c r="V327" s="274"/>
      <c r="W327" s="274"/>
      <c r="X327" s="274"/>
      <c r="Y327" s="274"/>
      <c r="Z327" s="274"/>
      <c r="AA327" s="274"/>
      <c r="AB327" s="274"/>
      <c r="AC327" s="274"/>
      <c r="AD327" s="274"/>
      <c r="AE327" s="274"/>
    </row>
    <row r="328" spans="2:31" ht="15">
      <c r="B328" s="379">
        <f t="shared" si="8"/>
        <v>283</v>
      </c>
      <c r="C328" s="387" t="str" cm="1">
        <f t="array" aca="1" ref="C328" ca="1">IF(B328&lt;=$C$9,GetGetCDSName(B328),"")</f>
        <v/>
      </c>
      <c r="D328" s="347"/>
      <c r="E328" s="380"/>
      <c r="F328" s="299"/>
      <c r="G328" s="299"/>
      <c r="H328" s="299"/>
      <c r="I328" s="299"/>
      <c r="J328" s="299"/>
      <c r="K328" s="299"/>
      <c r="L328" s="299"/>
      <c r="M328" s="299"/>
      <c r="N328" s="381"/>
      <c r="O328" s="274"/>
      <c r="P328" s="274"/>
      <c r="Q328" s="274"/>
      <c r="R328" s="274"/>
      <c r="S328" s="274"/>
      <c r="T328" s="274"/>
      <c r="U328" s="274"/>
      <c r="V328" s="274"/>
      <c r="W328" s="274"/>
      <c r="X328" s="274"/>
      <c r="Y328" s="274"/>
      <c r="Z328" s="274"/>
      <c r="AA328" s="274"/>
      <c r="AB328" s="274"/>
      <c r="AC328" s="274"/>
      <c r="AD328" s="274"/>
      <c r="AE328" s="274"/>
    </row>
    <row r="329" spans="2:31" ht="15">
      <c r="B329" s="379">
        <f t="shared" si="8"/>
        <v>284</v>
      </c>
      <c r="C329" s="387" t="str" cm="1">
        <f t="array" aca="1" ref="C329" ca="1">IF(B329&lt;=$C$9,GetGetCDSName(B329),"")</f>
        <v/>
      </c>
      <c r="D329" s="347"/>
      <c r="E329" s="380"/>
      <c r="F329" s="299"/>
      <c r="G329" s="299"/>
      <c r="H329" s="299"/>
      <c r="I329" s="299"/>
      <c r="J329" s="299"/>
      <c r="K329" s="299"/>
      <c r="L329" s="299"/>
      <c r="M329" s="299"/>
      <c r="N329" s="381"/>
      <c r="O329" s="274"/>
      <c r="P329" s="274"/>
      <c r="Q329" s="274"/>
      <c r="R329" s="274"/>
      <c r="S329" s="274"/>
      <c r="T329" s="274"/>
      <c r="U329" s="274"/>
      <c r="V329" s="274"/>
      <c r="W329" s="274"/>
      <c r="X329" s="274"/>
      <c r="Y329" s="274"/>
      <c r="Z329" s="274"/>
      <c r="AA329" s="274"/>
      <c r="AB329" s="274"/>
      <c r="AC329" s="274"/>
      <c r="AD329" s="274"/>
      <c r="AE329" s="274"/>
    </row>
    <row r="330" spans="2:31" ht="15">
      <c r="B330" s="379">
        <f t="shared" si="8"/>
        <v>285</v>
      </c>
      <c r="C330" s="387" t="str" cm="1">
        <f t="array" aca="1" ref="C330" ca="1">IF(B330&lt;=$C$9,GetGetCDSName(B330),"")</f>
        <v/>
      </c>
      <c r="D330" s="347"/>
      <c r="E330" s="380"/>
      <c r="F330" s="299"/>
      <c r="G330" s="299"/>
      <c r="H330" s="299"/>
      <c r="I330" s="299"/>
      <c r="J330" s="299"/>
      <c r="K330" s="299"/>
      <c r="L330" s="299"/>
      <c r="M330" s="299"/>
      <c r="N330" s="381"/>
      <c r="O330" s="274"/>
      <c r="P330" s="274"/>
      <c r="Q330" s="274"/>
      <c r="R330" s="274"/>
      <c r="S330" s="274"/>
      <c r="T330" s="274"/>
      <c r="U330" s="274"/>
      <c r="V330" s="274"/>
      <c r="W330" s="274"/>
      <c r="X330" s="274"/>
      <c r="Y330" s="274"/>
      <c r="Z330" s="274"/>
      <c r="AA330" s="274"/>
      <c r="AB330" s="274"/>
      <c r="AC330" s="274"/>
      <c r="AD330" s="274"/>
      <c r="AE330" s="274"/>
    </row>
    <row r="331" spans="2:31" ht="15">
      <c r="B331" s="379">
        <f t="shared" si="8"/>
        <v>286</v>
      </c>
      <c r="C331" s="387" t="str" cm="1">
        <f t="array" aca="1" ref="C331" ca="1">IF(B331&lt;=$C$9,GetGetCDSName(B331),"")</f>
        <v/>
      </c>
      <c r="D331" s="347"/>
      <c r="E331" s="380"/>
      <c r="F331" s="299"/>
      <c r="G331" s="299"/>
      <c r="H331" s="299"/>
      <c r="I331" s="299"/>
      <c r="J331" s="299"/>
      <c r="K331" s="299"/>
      <c r="L331" s="299"/>
      <c r="M331" s="299"/>
      <c r="N331" s="381"/>
      <c r="O331" s="274"/>
      <c r="P331" s="274"/>
      <c r="Q331" s="274"/>
      <c r="R331" s="274"/>
      <c r="S331" s="274"/>
      <c r="T331" s="274"/>
      <c r="U331" s="274"/>
      <c r="V331" s="274"/>
      <c r="W331" s="274"/>
      <c r="X331" s="274"/>
      <c r="Y331" s="274"/>
      <c r="Z331" s="274"/>
      <c r="AA331" s="274"/>
      <c r="AB331" s="274"/>
      <c r="AC331" s="274"/>
      <c r="AD331" s="274"/>
      <c r="AE331" s="274"/>
    </row>
    <row r="332" spans="2:31" ht="15">
      <c r="B332" s="379">
        <f t="shared" si="8"/>
        <v>287</v>
      </c>
      <c r="C332" s="387" t="str" cm="1">
        <f t="array" aca="1" ref="C332" ca="1">IF(B332&lt;=$C$9,GetGetCDSName(B332),"")</f>
        <v/>
      </c>
      <c r="D332" s="347"/>
      <c r="E332" s="380"/>
      <c r="F332" s="299"/>
      <c r="G332" s="299"/>
      <c r="H332" s="299"/>
      <c r="I332" s="299"/>
      <c r="J332" s="299"/>
      <c r="K332" s="299"/>
      <c r="L332" s="299"/>
      <c r="M332" s="299"/>
      <c r="N332" s="381"/>
      <c r="O332" s="274"/>
      <c r="P332" s="274"/>
      <c r="Q332" s="274"/>
      <c r="R332" s="274"/>
      <c r="S332" s="274"/>
      <c r="T332" s="274"/>
      <c r="U332" s="274"/>
      <c r="V332" s="274"/>
      <c r="W332" s="274"/>
      <c r="X332" s="274"/>
      <c r="Y332" s="274"/>
      <c r="Z332" s="274"/>
      <c r="AA332" s="274"/>
      <c r="AB332" s="274"/>
      <c r="AC332" s="274"/>
      <c r="AD332" s="274"/>
      <c r="AE332" s="274"/>
    </row>
    <row r="333" spans="2:31" ht="15">
      <c r="B333" s="379">
        <f t="shared" si="8"/>
        <v>288</v>
      </c>
      <c r="C333" s="387" t="str" cm="1">
        <f t="array" aca="1" ref="C333" ca="1">IF(B333&lt;=$C$9,GetGetCDSName(B333),"")</f>
        <v/>
      </c>
      <c r="D333" s="347"/>
      <c r="E333" s="380"/>
      <c r="F333" s="299"/>
      <c r="G333" s="299"/>
      <c r="H333" s="299"/>
      <c r="I333" s="299"/>
      <c r="J333" s="299"/>
      <c r="K333" s="299"/>
      <c r="L333" s="299"/>
      <c r="M333" s="299"/>
      <c r="N333" s="381"/>
      <c r="O333" s="274"/>
      <c r="P333" s="274"/>
      <c r="Q333" s="274"/>
      <c r="R333" s="274"/>
      <c r="S333" s="274"/>
      <c r="T333" s="274"/>
      <c r="U333" s="274"/>
      <c r="V333" s="274"/>
      <c r="W333" s="274"/>
      <c r="X333" s="274"/>
      <c r="Y333" s="274"/>
      <c r="Z333" s="274"/>
      <c r="AA333" s="274"/>
      <c r="AB333" s="274"/>
      <c r="AC333" s="274"/>
      <c r="AD333" s="274"/>
      <c r="AE333" s="274"/>
    </row>
    <row r="334" spans="2:31" ht="15">
      <c r="B334" s="379">
        <f t="shared" si="8"/>
        <v>289</v>
      </c>
      <c r="C334" s="387" t="str" cm="1">
        <f t="array" aca="1" ref="C334" ca="1">IF(B334&lt;=$C$9,GetGetCDSName(B334),"")</f>
        <v/>
      </c>
      <c r="D334" s="347"/>
      <c r="E334" s="380"/>
      <c r="F334" s="299"/>
      <c r="G334" s="299"/>
      <c r="H334" s="299"/>
      <c r="I334" s="299"/>
      <c r="J334" s="299"/>
      <c r="K334" s="299"/>
      <c r="L334" s="299"/>
      <c r="M334" s="299"/>
      <c r="N334" s="381"/>
      <c r="O334" s="274"/>
      <c r="P334" s="274"/>
      <c r="Q334" s="274"/>
      <c r="R334" s="274"/>
      <c r="S334" s="274"/>
      <c r="T334" s="274"/>
      <c r="U334" s="274"/>
      <c r="V334" s="274"/>
      <c r="W334" s="274"/>
      <c r="X334" s="274"/>
      <c r="Y334" s="274"/>
      <c r="Z334" s="274"/>
      <c r="AA334" s="274"/>
      <c r="AB334" s="274"/>
      <c r="AC334" s="274"/>
      <c r="AD334" s="274"/>
      <c r="AE334" s="274"/>
    </row>
    <row r="335" spans="2:31" ht="15">
      <c r="B335" s="379">
        <f t="shared" si="8"/>
        <v>290</v>
      </c>
      <c r="C335" s="387" t="str" cm="1">
        <f t="array" aca="1" ref="C335" ca="1">IF(B335&lt;=$C$9,GetGetCDSName(B335),"")</f>
        <v/>
      </c>
      <c r="D335" s="347"/>
      <c r="E335" s="380"/>
      <c r="F335" s="299"/>
      <c r="G335" s="299"/>
      <c r="H335" s="299"/>
      <c r="I335" s="299"/>
      <c r="J335" s="299"/>
      <c r="K335" s="299"/>
      <c r="L335" s="299"/>
      <c r="M335" s="299"/>
      <c r="N335" s="381"/>
      <c r="O335" s="274"/>
      <c r="P335" s="274"/>
      <c r="Q335" s="274"/>
      <c r="R335" s="274"/>
      <c r="S335" s="274"/>
      <c r="T335" s="274"/>
      <c r="U335" s="274"/>
      <c r="V335" s="274"/>
      <c r="W335" s="274"/>
      <c r="X335" s="274"/>
      <c r="Y335" s="274"/>
      <c r="Z335" s="274"/>
      <c r="AA335" s="274"/>
      <c r="AB335" s="274"/>
      <c r="AC335" s="274"/>
      <c r="AD335" s="274"/>
      <c r="AE335" s="274"/>
    </row>
    <row r="336" spans="2:31" ht="15">
      <c r="B336" s="379">
        <f t="shared" si="8"/>
        <v>291</v>
      </c>
      <c r="C336" s="387" t="str" cm="1">
        <f t="array" aca="1" ref="C336" ca="1">IF(B336&lt;=$C$9,GetGetCDSName(B336),"")</f>
        <v/>
      </c>
      <c r="D336" s="347"/>
      <c r="E336" s="380"/>
      <c r="F336" s="299"/>
      <c r="G336" s="299"/>
      <c r="H336" s="299"/>
      <c r="I336" s="299"/>
      <c r="J336" s="299"/>
      <c r="K336" s="299"/>
      <c r="L336" s="299"/>
      <c r="M336" s="299"/>
      <c r="N336" s="381"/>
      <c r="O336" s="274"/>
      <c r="P336" s="274"/>
      <c r="Q336" s="274"/>
      <c r="R336" s="274"/>
      <c r="S336" s="274"/>
      <c r="T336" s="274"/>
      <c r="U336" s="274"/>
      <c r="V336" s="274"/>
      <c r="W336" s="274"/>
      <c r="X336" s="274"/>
      <c r="Y336" s="274"/>
      <c r="Z336" s="274"/>
      <c r="AA336" s="274"/>
      <c r="AB336" s="274"/>
      <c r="AC336" s="274"/>
      <c r="AD336" s="274"/>
      <c r="AE336" s="274"/>
    </row>
    <row r="337" spans="2:31" ht="15">
      <c r="B337" s="379">
        <f t="shared" si="8"/>
        <v>292</v>
      </c>
      <c r="C337" s="387" t="str" cm="1">
        <f t="array" aca="1" ref="C337" ca="1">IF(B337&lt;=$C$9,GetGetCDSName(B337),"")</f>
        <v/>
      </c>
      <c r="D337" s="347"/>
      <c r="E337" s="380"/>
      <c r="F337" s="299"/>
      <c r="G337" s="299"/>
      <c r="H337" s="299"/>
      <c r="I337" s="299"/>
      <c r="J337" s="299"/>
      <c r="K337" s="299"/>
      <c r="L337" s="299"/>
      <c r="M337" s="299"/>
      <c r="N337" s="381"/>
      <c r="O337" s="274"/>
      <c r="P337" s="274"/>
      <c r="Q337" s="274"/>
      <c r="R337" s="274"/>
      <c r="S337" s="274"/>
      <c r="T337" s="274"/>
      <c r="U337" s="274"/>
      <c r="V337" s="274"/>
      <c r="W337" s="274"/>
      <c r="X337" s="274"/>
      <c r="Y337" s="274"/>
      <c r="Z337" s="274"/>
      <c r="AA337" s="274"/>
      <c r="AB337" s="274"/>
      <c r="AC337" s="274"/>
      <c r="AD337" s="274"/>
      <c r="AE337" s="274"/>
    </row>
    <row r="338" spans="2:31" ht="15">
      <c r="B338" s="379">
        <f t="shared" si="8"/>
        <v>293</v>
      </c>
      <c r="C338" s="387" t="str" cm="1">
        <f t="array" aca="1" ref="C338" ca="1">IF(B338&lt;=$C$9,GetGetCDSName(B338),"")</f>
        <v/>
      </c>
      <c r="D338" s="347"/>
      <c r="E338" s="380"/>
      <c r="F338" s="299"/>
      <c r="G338" s="299"/>
      <c r="H338" s="299"/>
      <c r="I338" s="299"/>
      <c r="J338" s="299"/>
      <c r="K338" s="299"/>
      <c r="L338" s="299"/>
      <c r="M338" s="299"/>
      <c r="N338" s="381"/>
      <c r="O338" s="274"/>
      <c r="P338" s="274"/>
      <c r="Q338" s="274"/>
      <c r="R338" s="274"/>
      <c r="S338" s="274"/>
      <c r="T338" s="274"/>
      <c r="U338" s="274"/>
      <c r="V338" s="274"/>
      <c r="W338" s="274"/>
      <c r="X338" s="274"/>
      <c r="Y338" s="274"/>
      <c r="Z338" s="274"/>
      <c r="AA338" s="274"/>
      <c r="AB338" s="274"/>
      <c r="AC338" s="274"/>
      <c r="AD338" s="274"/>
      <c r="AE338" s="274"/>
    </row>
    <row r="339" spans="2:31" ht="15">
      <c r="B339" s="379">
        <f t="shared" si="8"/>
        <v>294</v>
      </c>
      <c r="C339" s="387" t="str" cm="1">
        <f t="array" aca="1" ref="C339" ca="1">IF(B339&lt;=$C$9,GetGetCDSName(B339),"")</f>
        <v/>
      </c>
      <c r="D339" s="347"/>
      <c r="E339" s="380"/>
      <c r="F339" s="299"/>
      <c r="G339" s="299"/>
      <c r="H339" s="299"/>
      <c r="I339" s="299"/>
      <c r="J339" s="299"/>
      <c r="K339" s="299"/>
      <c r="L339" s="299"/>
      <c r="M339" s="299"/>
      <c r="N339" s="381"/>
      <c r="O339" s="274"/>
      <c r="P339" s="274"/>
      <c r="Q339" s="274"/>
      <c r="R339" s="274"/>
      <c r="S339" s="274"/>
      <c r="T339" s="274"/>
      <c r="U339" s="274"/>
      <c r="V339" s="274"/>
      <c r="W339" s="274"/>
      <c r="X339" s="274"/>
      <c r="Y339" s="274"/>
      <c r="Z339" s="274"/>
      <c r="AA339" s="274"/>
      <c r="AB339" s="274"/>
      <c r="AC339" s="274"/>
      <c r="AD339" s="274"/>
      <c r="AE339" s="274"/>
    </row>
    <row r="340" spans="2:31" ht="15">
      <c r="B340" s="379">
        <f t="shared" si="8"/>
        <v>295</v>
      </c>
      <c r="C340" s="387" t="str" cm="1">
        <f t="array" aca="1" ref="C340" ca="1">IF(B340&lt;=$C$9,GetGetCDSName(B340),"")</f>
        <v/>
      </c>
      <c r="D340" s="347"/>
      <c r="E340" s="380"/>
      <c r="F340" s="299"/>
      <c r="G340" s="299"/>
      <c r="H340" s="299"/>
      <c r="I340" s="299"/>
      <c r="J340" s="299"/>
      <c r="K340" s="299"/>
      <c r="L340" s="299"/>
      <c r="M340" s="299"/>
      <c r="N340" s="381"/>
      <c r="O340" s="274"/>
      <c r="P340" s="274"/>
      <c r="Q340" s="274"/>
      <c r="R340" s="274"/>
      <c r="S340" s="274"/>
      <c r="T340" s="274"/>
      <c r="U340" s="274"/>
      <c r="V340" s="274"/>
      <c r="W340" s="274"/>
      <c r="X340" s="274"/>
      <c r="Y340" s="274"/>
      <c r="Z340" s="274"/>
      <c r="AA340" s="274"/>
      <c r="AB340" s="274"/>
      <c r="AC340" s="274"/>
      <c r="AD340" s="274"/>
      <c r="AE340" s="274"/>
    </row>
    <row r="341" spans="2:31" ht="15">
      <c r="B341" s="379">
        <f t="shared" si="8"/>
        <v>296</v>
      </c>
      <c r="C341" s="387" t="str" cm="1">
        <f t="array" aca="1" ref="C341" ca="1">IF(B341&lt;=$C$9,GetGetCDSName(B341),"")</f>
        <v/>
      </c>
      <c r="D341" s="347"/>
      <c r="E341" s="380"/>
      <c r="F341" s="299"/>
      <c r="G341" s="299"/>
      <c r="H341" s="299"/>
      <c r="I341" s="299"/>
      <c r="J341" s="299"/>
      <c r="K341" s="299"/>
      <c r="L341" s="299"/>
      <c r="M341" s="299"/>
      <c r="N341" s="381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</row>
    <row r="342" spans="2:31" ht="15">
      <c r="B342" s="379">
        <f t="shared" si="8"/>
        <v>297</v>
      </c>
      <c r="C342" s="387" t="str" cm="1">
        <f t="array" aca="1" ref="C342" ca="1">IF(B342&lt;=$C$9,GetGetCDSName(B342),"")</f>
        <v/>
      </c>
      <c r="D342" s="347"/>
      <c r="E342" s="380"/>
      <c r="F342" s="299"/>
      <c r="G342" s="299"/>
      <c r="H342" s="299"/>
      <c r="I342" s="299"/>
      <c r="J342" s="299"/>
      <c r="K342" s="299"/>
      <c r="L342" s="299"/>
      <c r="M342" s="299"/>
      <c r="N342" s="381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</row>
    <row r="343" spans="2:31" ht="15">
      <c r="B343" s="379">
        <f t="shared" si="8"/>
        <v>298</v>
      </c>
      <c r="C343" s="387" t="str" cm="1">
        <f t="array" aca="1" ref="C343" ca="1">IF(B343&lt;=$C$9,GetGetCDSName(B343),"")</f>
        <v/>
      </c>
      <c r="D343" s="347"/>
      <c r="E343" s="380"/>
      <c r="F343" s="299"/>
      <c r="G343" s="299"/>
      <c r="H343" s="299"/>
      <c r="I343" s="299"/>
      <c r="J343" s="299"/>
      <c r="K343" s="299"/>
      <c r="L343" s="299"/>
      <c r="M343" s="299"/>
      <c r="N343" s="381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</row>
    <row r="344" spans="2:31" ht="15">
      <c r="B344" s="379">
        <f t="shared" si="8"/>
        <v>299</v>
      </c>
      <c r="C344" s="387" t="str" cm="1">
        <f t="array" aca="1" ref="C344" ca="1">IF(B344&lt;=$C$9,GetGetCDSName(B344),"")</f>
        <v/>
      </c>
      <c r="D344" s="347"/>
      <c r="E344" s="380"/>
      <c r="F344" s="299"/>
      <c r="G344" s="299"/>
      <c r="H344" s="299"/>
      <c r="I344" s="299"/>
      <c r="J344" s="299"/>
      <c r="K344" s="299"/>
      <c r="L344" s="299"/>
      <c r="M344" s="299"/>
      <c r="N344" s="381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</row>
    <row r="345" spans="2:31" ht="15.75" thickBot="1">
      <c r="B345" s="382">
        <f t="shared" si="8"/>
        <v>300</v>
      </c>
      <c r="C345" s="387" t="str" cm="1">
        <f t="array" aca="1" ref="C345" ca="1">IF(B345&lt;=$C$9,GetGetCDSName(B345),"")</f>
        <v/>
      </c>
      <c r="D345" s="383"/>
      <c r="E345" s="384"/>
      <c r="F345" s="385"/>
      <c r="G345" s="385"/>
      <c r="H345" s="385"/>
      <c r="I345" s="385"/>
      <c r="J345" s="385"/>
      <c r="K345" s="385"/>
      <c r="L345" s="385"/>
      <c r="M345" s="385"/>
      <c r="N345" s="386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</row>
    <row r="346" spans="2:31"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</row>
    <row r="347" spans="2:31">
      <c r="O347" s="274"/>
      <c r="P347" s="274"/>
      <c r="Q347" s="274"/>
      <c r="R347" s="274"/>
      <c r="S347" s="274"/>
      <c r="T347" s="274"/>
      <c r="U347" s="274"/>
      <c r="V347" s="274"/>
      <c r="W347" s="274"/>
      <c r="X347" s="274"/>
      <c r="Y347" s="274"/>
      <c r="Z347" s="274"/>
      <c r="AA347" s="274"/>
      <c r="AB347" s="274"/>
      <c r="AC347" s="274"/>
      <c r="AD347" s="274"/>
      <c r="AE347" s="274"/>
    </row>
    <row r="348" spans="2:31">
      <c r="O348" s="274"/>
      <c r="P348" s="274"/>
      <c r="Q348" s="274"/>
      <c r="R348" s="274"/>
      <c r="S348" s="274"/>
      <c r="T348" s="274"/>
      <c r="U348" s="274"/>
      <c r="V348" s="274"/>
      <c r="W348" s="274"/>
      <c r="X348" s="274"/>
      <c r="Y348" s="274"/>
      <c r="Z348" s="274"/>
      <c r="AA348" s="274"/>
      <c r="AB348" s="274"/>
      <c r="AC348" s="274"/>
      <c r="AD348" s="274"/>
      <c r="AE348" s="274"/>
    </row>
    <row r="349" spans="2:31">
      <c r="O349" s="274"/>
      <c r="P349" s="274"/>
      <c r="Q349" s="274"/>
      <c r="R349" s="274"/>
      <c r="S349" s="274"/>
      <c r="T349" s="274"/>
      <c r="U349" s="274"/>
      <c r="V349" s="274"/>
      <c r="W349" s="274"/>
      <c r="X349" s="274"/>
      <c r="Y349" s="274"/>
      <c r="Z349" s="274"/>
      <c r="AA349" s="274"/>
      <c r="AB349" s="274"/>
      <c r="AC349" s="274"/>
      <c r="AD349" s="274"/>
      <c r="AE349" s="274"/>
    </row>
    <row r="350" spans="2:31">
      <c r="O350" s="274"/>
      <c r="P350" s="274"/>
      <c r="Q350" s="274"/>
      <c r="R350" s="274"/>
      <c r="S350" s="274"/>
      <c r="T350" s="274"/>
      <c r="U350" s="274"/>
      <c r="V350" s="274"/>
      <c r="W350" s="274"/>
      <c r="X350" s="274"/>
      <c r="Y350" s="274"/>
      <c r="Z350" s="274"/>
      <c r="AA350" s="274"/>
      <c r="AB350" s="274"/>
      <c r="AC350" s="274"/>
      <c r="AD350" s="274"/>
      <c r="AE350" s="274"/>
    </row>
    <row r="351" spans="2:31">
      <c r="O351" s="274"/>
      <c r="P351" s="274"/>
      <c r="Q351" s="274"/>
      <c r="R351" s="274"/>
      <c r="S351" s="274"/>
      <c r="T351" s="274"/>
      <c r="U351" s="274"/>
      <c r="V351" s="274"/>
      <c r="W351" s="274"/>
      <c r="X351" s="274"/>
      <c r="Y351" s="274"/>
      <c r="Z351" s="274"/>
      <c r="AA351" s="274"/>
      <c r="AB351" s="274"/>
      <c r="AC351" s="274"/>
      <c r="AD351" s="274"/>
      <c r="AE351" s="274"/>
    </row>
    <row r="352" spans="2:31">
      <c r="O352" s="274"/>
      <c r="P352" s="274"/>
      <c r="Q352" s="274"/>
      <c r="R352" s="274"/>
      <c r="S352" s="274"/>
      <c r="T352" s="274"/>
      <c r="U352" s="274"/>
      <c r="V352" s="274"/>
      <c r="W352" s="274"/>
      <c r="X352" s="274"/>
      <c r="Y352" s="274"/>
      <c r="Z352" s="274"/>
      <c r="AA352" s="274"/>
      <c r="AB352" s="274"/>
      <c r="AC352" s="274"/>
      <c r="AD352" s="274"/>
      <c r="AE352" s="274"/>
    </row>
    <row r="353" spans="15:31">
      <c r="O353" s="274"/>
      <c r="P353" s="274"/>
      <c r="Q353" s="274"/>
      <c r="R353" s="274"/>
      <c r="S353" s="274"/>
      <c r="T353" s="274"/>
      <c r="U353" s="274"/>
      <c r="V353" s="274"/>
      <c r="W353" s="274"/>
      <c r="X353" s="274"/>
      <c r="Y353" s="274"/>
      <c r="Z353" s="274"/>
      <c r="AA353" s="274"/>
      <c r="AB353" s="274"/>
      <c r="AC353" s="274"/>
      <c r="AD353" s="274"/>
      <c r="AE353" s="274"/>
    </row>
    <row r="354" spans="15:31">
      <c r="O354" s="274"/>
      <c r="P354" s="274"/>
      <c r="Q354" s="274"/>
      <c r="R354" s="274"/>
      <c r="S354" s="274"/>
      <c r="T354" s="274"/>
      <c r="U354" s="274"/>
      <c r="V354" s="274"/>
      <c r="W354" s="274"/>
      <c r="X354" s="274"/>
      <c r="Y354" s="274"/>
      <c r="Z354" s="274"/>
      <c r="AA354" s="274"/>
      <c r="AB354" s="274"/>
      <c r="AC354" s="274"/>
      <c r="AD354" s="274"/>
      <c r="AE354" s="274"/>
    </row>
    <row r="355" spans="15:31">
      <c r="O355" s="274"/>
      <c r="P355" s="274"/>
      <c r="Q355" s="274"/>
      <c r="R355" s="274"/>
      <c r="S355" s="274"/>
      <c r="T355" s="274"/>
      <c r="U355" s="274"/>
      <c r="V355" s="274"/>
      <c r="W355" s="274"/>
      <c r="X355" s="274"/>
      <c r="Y355" s="274"/>
      <c r="Z355" s="274"/>
      <c r="AA355" s="274"/>
      <c r="AB355" s="274"/>
      <c r="AC355" s="274"/>
      <c r="AD355" s="274"/>
      <c r="AE355" s="274"/>
    </row>
    <row r="356" spans="15:31">
      <c r="O356" s="274"/>
      <c r="P356" s="274"/>
      <c r="Q356" s="274"/>
      <c r="R356" s="274"/>
      <c r="S356" s="274"/>
      <c r="T356" s="274"/>
      <c r="U356" s="274"/>
      <c r="V356" s="274"/>
      <c r="W356" s="274"/>
      <c r="X356" s="274"/>
      <c r="Y356" s="274"/>
      <c r="Z356" s="274"/>
      <c r="AA356" s="274"/>
      <c r="AB356" s="274"/>
      <c r="AC356" s="274"/>
      <c r="AD356" s="274"/>
      <c r="AE356" s="274"/>
    </row>
    <row r="357" spans="15:31">
      <c r="O357" s="274"/>
      <c r="P357" s="274"/>
      <c r="Q357" s="274"/>
      <c r="R357" s="274"/>
      <c r="S357" s="274"/>
      <c r="T357" s="274"/>
      <c r="U357" s="274"/>
      <c r="V357" s="274"/>
      <c r="W357" s="274"/>
      <c r="X357" s="274"/>
      <c r="Y357" s="274"/>
      <c r="Z357" s="274"/>
      <c r="AA357" s="274"/>
      <c r="AB357" s="274"/>
      <c r="AC357" s="274"/>
      <c r="AD357" s="274"/>
      <c r="AE357" s="274"/>
    </row>
    <row r="358" spans="15:31">
      <c r="O358" s="274"/>
      <c r="P358" s="274"/>
      <c r="Q358" s="274"/>
      <c r="R358" s="274"/>
      <c r="S358" s="274"/>
      <c r="T358" s="274"/>
      <c r="U358" s="274"/>
      <c r="V358" s="274"/>
      <c r="W358" s="274"/>
      <c r="X358" s="274"/>
      <c r="Y358" s="274"/>
      <c r="Z358" s="274"/>
      <c r="AA358" s="274"/>
      <c r="AB358" s="274"/>
      <c r="AC358" s="274"/>
      <c r="AD358" s="274"/>
      <c r="AE358" s="274"/>
    </row>
    <row r="359" spans="15:31">
      <c r="O359" s="274"/>
      <c r="P359" s="274"/>
      <c r="Q359" s="274"/>
      <c r="R359" s="274"/>
      <c r="S359" s="274"/>
      <c r="T359" s="274"/>
      <c r="U359" s="274"/>
      <c r="V359" s="274"/>
      <c r="W359" s="274"/>
      <c r="X359" s="274"/>
      <c r="Y359" s="274"/>
      <c r="Z359" s="274"/>
      <c r="AA359" s="274"/>
      <c r="AB359" s="274"/>
      <c r="AC359" s="274"/>
      <c r="AD359" s="274"/>
      <c r="AE359" s="274"/>
    </row>
    <row r="360" spans="15:31">
      <c r="O360" s="274"/>
      <c r="P360" s="274"/>
      <c r="Q360" s="274"/>
      <c r="R360" s="274"/>
      <c r="S360" s="274"/>
      <c r="T360" s="274"/>
      <c r="U360" s="274"/>
      <c r="V360" s="274"/>
      <c r="W360" s="274"/>
      <c r="X360" s="274"/>
      <c r="Y360" s="274"/>
      <c r="Z360" s="274"/>
      <c r="AA360" s="274"/>
      <c r="AB360" s="274"/>
      <c r="AC360" s="274"/>
      <c r="AD360" s="274"/>
      <c r="AE360" s="274"/>
    </row>
    <row r="361" spans="15:31">
      <c r="O361" s="274"/>
      <c r="P361" s="274"/>
      <c r="Q361" s="274"/>
      <c r="R361" s="274"/>
      <c r="S361" s="274"/>
      <c r="T361" s="274"/>
      <c r="U361" s="274"/>
      <c r="V361" s="274"/>
      <c r="W361" s="274"/>
      <c r="X361" s="274"/>
      <c r="Y361" s="274"/>
      <c r="Z361" s="274"/>
      <c r="AA361" s="274"/>
      <c r="AB361" s="274"/>
      <c r="AC361" s="274"/>
      <c r="AD361" s="274"/>
      <c r="AE361" s="274"/>
    </row>
    <row r="362" spans="15:31">
      <c r="O362" s="274"/>
      <c r="P362" s="274"/>
      <c r="Q362" s="274"/>
      <c r="R362" s="274"/>
      <c r="S362" s="274"/>
      <c r="T362" s="274"/>
      <c r="U362" s="274"/>
      <c r="V362" s="274"/>
      <c r="W362" s="274"/>
      <c r="X362" s="274"/>
      <c r="Y362" s="274"/>
      <c r="Z362" s="274"/>
      <c r="AA362" s="274"/>
      <c r="AB362" s="274"/>
      <c r="AC362" s="274"/>
      <c r="AD362" s="274"/>
      <c r="AE362" s="274"/>
    </row>
    <row r="363" spans="15:31">
      <c r="O363" s="274"/>
      <c r="P363" s="274"/>
      <c r="Q363" s="274"/>
      <c r="R363" s="274"/>
      <c r="S363" s="274"/>
      <c r="T363" s="274"/>
      <c r="U363" s="274"/>
      <c r="V363" s="274"/>
      <c r="W363" s="274"/>
      <c r="X363" s="274"/>
      <c r="Y363" s="274"/>
      <c r="Z363" s="274"/>
      <c r="AA363" s="274"/>
      <c r="AB363" s="274"/>
      <c r="AC363" s="274"/>
      <c r="AD363" s="274"/>
      <c r="AE363" s="274"/>
    </row>
    <row r="364" spans="15:31">
      <c r="O364" s="274"/>
      <c r="P364" s="274"/>
      <c r="Q364" s="274"/>
      <c r="R364" s="274"/>
      <c r="S364" s="274"/>
      <c r="T364" s="274"/>
      <c r="U364" s="274"/>
      <c r="V364" s="274"/>
      <c r="W364" s="274"/>
      <c r="X364" s="274"/>
      <c r="Y364" s="274"/>
      <c r="Z364" s="274"/>
      <c r="AA364" s="274"/>
      <c r="AB364" s="274"/>
      <c r="AC364" s="274"/>
      <c r="AD364" s="274"/>
      <c r="AE364" s="274"/>
    </row>
    <row r="365" spans="15:31"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</row>
    <row r="366" spans="15:31"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</row>
    <row r="367" spans="15:31"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</row>
    <row r="368" spans="15:31"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</row>
    <row r="369" spans="15:31"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</row>
    <row r="370" spans="15:31"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</row>
    <row r="371" spans="15:31">
      <c r="O371" s="274"/>
      <c r="P371" s="274"/>
      <c r="Q371" s="274"/>
      <c r="R371" s="274"/>
      <c r="S371" s="274"/>
      <c r="T371" s="274"/>
      <c r="U371" s="274"/>
      <c r="V371" s="274"/>
      <c r="W371" s="274"/>
      <c r="X371" s="274"/>
      <c r="Y371" s="274"/>
      <c r="Z371" s="274"/>
      <c r="AA371" s="274"/>
      <c r="AB371" s="274"/>
      <c r="AC371" s="274"/>
      <c r="AD371" s="274"/>
      <c r="AE371" s="274"/>
    </row>
    <row r="372" spans="15:31">
      <c r="O372" s="274"/>
      <c r="P372" s="274"/>
      <c r="Q372" s="274"/>
      <c r="R372" s="274"/>
      <c r="S372" s="274"/>
      <c r="T372" s="274"/>
      <c r="U372" s="274"/>
      <c r="V372" s="274"/>
      <c r="W372" s="274"/>
      <c r="X372" s="274"/>
      <c r="Y372" s="274"/>
      <c r="Z372" s="274"/>
      <c r="AA372" s="274"/>
      <c r="AB372" s="274"/>
      <c r="AC372" s="274"/>
      <c r="AD372" s="274"/>
      <c r="AE372" s="274"/>
    </row>
    <row r="373" spans="15:31">
      <c r="O373" s="274"/>
      <c r="P373" s="274"/>
      <c r="Q373" s="274"/>
      <c r="R373" s="274"/>
      <c r="S373" s="274"/>
      <c r="T373" s="274"/>
      <c r="U373" s="274"/>
      <c r="V373" s="274"/>
      <c r="W373" s="274"/>
      <c r="X373" s="274"/>
      <c r="Y373" s="274"/>
      <c r="Z373" s="274"/>
      <c r="AA373" s="274"/>
      <c r="AB373" s="274"/>
      <c r="AC373" s="274"/>
      <c r="AD373" s="274"/>
      <c r="AE373" s="274"/>
    </row>
    <row r="374" spans="15:31">
      <c r="O374" s="274"/>
      <c r="P374" s="274"/>
      <c r="Q374" s="274"/>
      <c r="R374" s="274"/>
      <c r="S374" s="274"/>
      <c r="T374" s="274"/>
      <c r="U374" s="274"/>
      <c r="V374" s="274"/>
      <c r="W374" s="274"/>
      <c r="X374" s="274"/>
      <c r="Y374" s="274"/>
      <c r="Z374" s="274"/>
      <c r="AA374" s="274"/>
      <c r="AB374" s="274"/>
      <c r="AC374" s="274"/>
      <c r="AD374" s="274"/>
      <c r="AE374" s="274"/>
    </row>
    <row r="375" spans="15:31">
      <c r="O375" s="274"/>
      <c r="P375" s="274"/>
      <c r="Q375" s="274"/>
      <c r="R375" s="274"/>
      <c r="S375" s="274"/>
      <c r="T375" s="274"/>
      <c r="U375" s="274"/>
      <c r="V375" s="274"/>
      <c r="W375" s="274"/>
      <c r="X375" s="274"/>
      <c r="Y375" s="274"/>
      <c r="Z375" s="274"/>
      <c r="AA375" s="274"/>
      <c r="AB375" s="274"/>
      <c r="AC375" s="274"/>
      <c r="AD375" s="274"/>
      <c r="AE375" s="274"/>
    </row>
    <row r="376" spans="15:31">
      <c r="O376" s="274"/>
      <c r="P376" s="274"/>
      <c r="Q376" s="274"/>
      <c r="R376" s="274"/>
      <c r="S376" s="274"/>
      <c r="T376" s="274"/>
      <c r="U376" s="274"/>
      <c r="V376" s="274"/>
      <c r="W376" s="274"/>
      <c r="X376" s="274"/>
      <c r="Y376" s="274"/>
      <c r="Z376" s="274"/>
      <c r="AA376" s="274"/>
      <c r="AB376" s="274"/>
      <c r="AC376" s="274"/>
      <c r="AD376" s="274"/>
      <c r="AE376" s="274"/>
    </row>
    <row r="377" spans="15:31">
      <c r="O377" s="274"/>
      <c r="P377" s="274"/>
      <c r="Q377" s="274"/>
      <c r="R377" s="274"/>
      <c r="S377" s="274"/>
      <c r="T377" s="274"/>
      <c r="U377" s="274"/>
      <c r="V377" s="274"/>
      <c r="W377" s="274"/>
      <c r="X377" s="274"/>
      <c r="Y377" s="274"/>
      <c r="Z377" s="274"/>
      <c r="AA377" s="274"/>
      <c r="AB377" s="274"/>
      <c r="AC377" s="274"/>
      <c r="AD377" s="274"/>
      <c r="AE377" s="274"/>
    </row>
    <row r="378" spans="15:31">
      <c r="O378" s="274"/>
      <c r="P378" s="274"/>
      <c r="Q378" s="274"/>
      <c r="R378" s="274"/>
      <c r="S378" s="274"/>
      <c r="T378" s="274"/>
      <c r="U378" s="274"/>
      <c r="V378" s="274"/>
      <c r="W378" s="274"/>
      <c r="X378" s="274"/>
      <c r="Y378" s="274"/>
      <c r="Z378" s="274"/>
      <c r="AA378" s="274"/>
      <c r="AB378" s="274"/>
      <c r="AC378" s="274"/>
      <c r="AD378" s="274"/>
      <c r="AE378" s="274"/>
    </row>
    <row r="379" spans="15:31">
      <c r="O379" s="274"/>
      <c r="P379" s="274"/>
      <c r="Q379" s="274"/>
      <c r="R379" s="274"/>
      <c r="S379" s="274"/>
      <c r="T379" s="274"/>
      <c r="U379" s="274"/>
      <c r="V379" s="274"/>
      <c r="W379" s="274"/>
      <c r="X379" s="274"/>
      <c r="Y379" s="274"/>
      <c r="Z379" s="274"/>
      <c r="AA379" s="274"/>
      <c r="AB379" s="274"/>
      <c r="AC379" s="274"/>
      <c r="AD379" s="274"/>
      <c r="AE379" s="274"/>
    </row>
    <row r="380" spans="15:31">
      <c r="O380" s="274"/>
      <c r="P380" s="274"/>
      <c r="Q380" s="274"/>
      <c r="R380" s="274"/>
      <c r="S380" s="274"/>
      <c r="T380" s="274"/>
      <c r="U380" s="274"/>
      <c r="V380" s="274"/>
      <c r="W380" s="274"/>
      <c r="X380" s="274"/>
      <c r="Y380" s="274"/>
      <c r="Z380" s="274"/>
      <c r="AA380" s="274"/>
      <c r="AB380" s="274"/>
      <c r="AC380" s="274"/>
      <c r="AD380" s="274"/>
      <c r="AE380" s="274"/>
    </row>
    <row r="381" spans="15:31">
      <c r="O381" s="274"/>
      <c r="P381" s="274"/>
      <c r="Q381" s="274"/>
      <c r="R381" s="274"/>
      <c r="S381" s="274"/>
      <c r="T381" s="274"/>
      <c r="U381" s="274"/>
      <c r="V381" s="274"/>
      <c r="W381" s="274"/>
      <c r="X381" s="274"/>
      <c r="Y381" s="274"/>
      <c r="Z381" s="274"/>
      <c r="AA381" s="274"/>
      <c r="AB381" s="274"/>
      <c r="AC381" s="274"/>
      <c r="AD381" s="274"/>
      <c r="AE381" s="274"/>
    </row>
    <row r="382" spans="15:31">
      <c r="O382" s="274"/>
      <c r="P382" s="274"/>
      <c r="Q382" s="274"/>
      <c r="R382" s="274"/>
      <c r="S382" s="274"/>
      <c r="T382" s="274"/>
      <c r="U382" s="274"/>
      <c r="V382" s="274"/>
      <c r="W382" s="274"/>
      <c r="X382" s="274"/>
      <c r="Y382" s="274"/>
      <c r="Z382" s="274"/>
      <c r="AA382" s="274"/>
      <c r="AB382" s="274"/>
      <c r="AC382" s="274"/>
      <c r="AD382" s="274"/>
      <c r="AE382" s="274"/>
    </row>
    <row r="383" spans="15:31">
      <c r="O383" s="274"/>
      <c r="P383" s="274"/>
      <c r="Q383" s="274"/>
      <c r="R383" s="274"/>
      <c r="S383" s="274"/>
      <c r="T383" s="274"/>
      <c r="U383" s="274"/>
      <c r="V383" s="274"/>
      <c r="W383" s="274"/>
      <c r="X383" s="274"/>
      <c r="Y383" s="274"/>
      <c r="Z383" s="274"/>
      <c r="AA383" s="274"/>
      <c r="AB383" s="274"/>
      <c r="AC383" s="274"/>
      <c r="AD383" s="274"/>
      <c r="AE383" s="274"/>
    </row>
    <row r="384" spans="15:31">
      <c r="O384" s="274"/>
      <c r="P384" s="274"/>
      <c r="Q384" s="274"/>
      <c r="R384" s="274"/>
      <c r="S384" s="274"/>
      <c r="T384" s="274"/>
      <c r="U384" s="274"/>
      <c r="V384" s="274"/>
      <c r="W384" s="274"/>
      <c r="X384" s="274"/>
      <c r="Y384" s="274"/>
      <c r="Z384" s="274"/>
      <c r="AA384" s="274"/>
      <c r="AB384" s="274"/>
      <c r="AC384" s="274"/>
      <c r="AD384" s="274"/>
      <c r="AE384" s="274"/>
    </row>
    <row r="385" spans="15:31">
      <c r="O385" s="274"/>
      <c r="P385" s="274"/>
      <c r="Q385" s="274"/>
      <c r="R385" s="274"/>
      <c r="S385" s="274"/>
      <c r="T385" s="274"/>
      <c r="U385" s="274"/>
      <c r="V385" s="274"/>
      <c r="W385" s="274"/>
      <c r="X385" s="274"/>
      <c r="Y385" s="274"/>
      <c r="Z385" s="274"/>
      <c r="AA385" s="274"/>
      <c r="AB385" s="274"/>
      <c r="AC385" s="274"/>
      <c r="AD385" s="274"/>
      <c r="AE385" s="274"/>
    </row>
    <row r="386" spans="15:31">
      <c r="O386" s="274"/>
      <c r="P386" s="274"/>
      <c r="Q386" s="274"/>
      <c r="R386" s="274"/>
      <c r="S386" s="274"/>
      <c r="T386" s="274"/>
      <c r="U386" s="274"/>
      <c r="V386" s="274"/>
      <c r="W386" s="274"/>
      <c r="X386" s="274"/>
      <c r="Y386" s="274"/>
      <c r="Z386" s="274"/>
      <c r="AA386" s="274"/>
      <c r="AB386" s="274"/>
      <c r="AC386" s="274"/>
      <c r="AD386" s="274"/>
      <c r="AE386" s="274"/>
    </row>
    <row r="387" spans="15:31"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</row>
    <row r="388" spans="15:31"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</row>
    <row r="389" spans="15:31"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</row>
    <row r="390" spans="15:31"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</row>
    <row r="391" spans="15:31"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</row>
    <row r="392" spans="15:31"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</row>
    <row r="393" spans="15:31">
      <c r="O393" s="274"/>
      <c r="P393" s="274"/>
      <c r="Q393" s="274"/>
      <c r="R393" s="274"/>
      <c r="S393" s="274"/>
      <c r="T393" s="274"/>
      <c r="U393" s="274"/>
      <c r="V393" s="274"/>
      <c r="W393" s="274"/>
      <c r="X393" s="274"/>
      <c r="Y393" s="274"/>
      <c r="Z393" s="274"/>
      <c r="AA393" s="274"/>
      <c r="AB393" s="274"/>
      <c r="AC393" s="274"/>
      <c r="AD393" s="274"/>
      <c r="AE393" s="274"/>
    </row>
    <row r="394" spans="15:31">
      <c r="O394" s="274"/>
      <c r="P394" s="274"/>
      <c r="Q394" s="274"/>
      <c r="R394" s="274"/>
      <c r="S394" s="274"/>
      <c r="T394" s="274"/>
      <c r="U394" s="274"/>
      <c r="V394" s="274"/>
      <c r="W394" s="274"/>
      <c r="X394" s="274"/>
      <c r="Y394" s="274"/>
      <c r="Z394" s="274"/>
      <c r="AA394" s="274"/>
      <c r="AB394" s="274"/>
      <c r="AC394" s="274"/>
      <c r="AD394" s="274"/>
      <c r="AE394" s="274"/>
    </row>
    <row r="395" spans="15:31">
      <c r="O395" s="274"/>
      <c r="P395" s="274"/>
      <c r="Q395" s="274"/>
      <c r="R395" s="274"/>
      <c r="S395" s="274"/>
      <c r="T395" s="274"/>
      <c r="U395" s="274"/>
      <c r="V395" s="274"/>
      <c r="W395" s="274"/>
      <c r="X395" s="274"/>
      <c r="Y395" s="274"/>
      <c r="Z395" s="274"/>
      <c r="AA395" s="274"/>
      <c r="AB395" s="274"/>
      <c r="AC395" s="274"/>
      <c r="AD395" s="274"/>
      <c r="AE395" s="274"/>
    </row>
    <row r="396" spans="15:31">
      <c r="O396" s="274"/>
      <c r="P396" s="274"/>
      <c r="Q396" s="274"/>
      <c r="R396" s="274"/>
      <c r="S396" s="274"/>
      <c r="T396" s="274"/>
      <c r="U396" s="274"/>
      <c r="V396" s="274"/>
      <c r="W396" s="274"/>
      <c r="X396" s="274"/>
      <c r="Y396" s="274"/>
      <c r="Z396" s="274"/>
      <c r="AA396" s="274"/>
      <c r="AB396" s="274"/>
      <c r="AC396" s="274"/>
      <c r="AD396" s="274"/>
      <c r="AE396" s="274"/>
    </row>
    <row r="397" spans="15:31">
      <c r="O397" s="274"/>
      <c r="P397" s="274"/>
      <c r="Q397" s="274"/>
      <c r="R397" s="274"/>
      <c r="S397" s="274"/>
      <c r="T397" s="274"/>
      <c r="U397" s="274"/>
      <c r="V397" s="274"/>
      <c r="W397" s="274"/>
      <c r="X397" s="274"/>
      <c r="Y397" s="274"/>
      <c r="Z397" s="274"/>
      <c r="AA397" s="274"/>
      <c r="AB397" s="274"/>
      <c r="AC397" s="274"/>
      <c r="AD397" s="274"/>
      <c r="AE397" s="274"/>
    </row>
    <row r="398" spans="15:31">
      <c r="O398" s="274"/>
      <c r="P398" s="274"/>
      <c r="Q398" s="274"/>
      <c r="R398" s="274"/>
      <c r="S398" s="274"/>
      <c r="T398" s="274"/>
      <c r="U398" s="274"/>
      <c r="V398" s="274"/>
      <c r="W398" s="274"/>
      <c r="X398" s="274"/>
      <c r="Y398" s="274"/>
      <c r="Z398" s="274"/>
      <c r="AA398" s="274"/>
      <c r="AB398" s="274"/>
      <c r="AC398" s="274"/>
      <c r="AD398" s="274"/>
      <c r="AE398" s="274"/>
    </row>
    <row r="399" spans="15:31">
      <c r="O399" s="274"/>
      <c r="P399" s="274"/>
      <c r="Q399" s="274"/>
      <c r="R399" s="274"/>
      <c r="S399" s="274"/>
      <c r="T399" s="274"/>
      <c r="U399" s="274"/>
      <c r="V399" s="274"/>
      <c r="W399" s="274"/>
      <c r="X399" s="274"/>
      <c r="Y399" s="274"/>
      <c r="Z399" s="274"/>
      <c r="AA399" s="274"/>
      <c r="AB399" s="274"/>
      <c r="AC399" s="274"/>
      <c r="AD399" s="274"/>
      <c r="AE399" s="274"/>
    </row>
    <row r="400" spans="15:31">
      <c r="O400" s="274"/>
      <c r="P400" s="274"/>
      <c r="Q400" s="274"/>
      <c r="R400" s="274"/>
      <c r="S400" s="274"/>
      <c r="T400" s="274"/>
      <c r="U400" s="274"/>
      <c r="V400" s="274"/>
      <c r="W400" s="274"/>
      <c r="X400" s="274"/>
      <c r="Y400" s="274"/>
      <c r="Z400" s="274"/>
      <c r="AA400" s="274"/>
      <c r="AB400" s="274"/>
      <c r="AC400" s="274"/>
      <c r="AD400" s="274"/>
      <c r="AE400" s="274"/>
    </row>
    <row r="401" spans="15:31">
      <c r="O401" s="274"/>
      <c r="P401" s="274"/>
      <c r="Q401" s="274"/>
      <c r="R401" s="274"/>
      <c r="S401" s="274"/>
      <c r="T401" s="274"/>
      <c r="U401" s="274"/>
      <c r="V401" s="274"/>
      <c r="W401" s="274"/>
      <c r="X401" s="274"/>
      <c r="Y401" s="274"/>
      <c r="Z401" s="274"/>
      <c r="AA401" s="274"/>
      <c r="AB401" s="274"/>
      <c r="AC401" s="274"/>
      <c r="AD401" s="274"/>
      <c r="AE401" s="274"/>
    </row>
    <row r="402" spans="15:31">
      <c r="O402" s="274"/>
      <c r="P402" s="274"/>
      <c r="Q402" s="274"/>
      <c r="R402" s="274"/>
      <c r="S402" s="274"/>
      <c r="T402" s="274"/>
      <c r="U402" s="274"/>
      <c r="V402" s="274"/>
      <c r="W402" s="274"/>
      <c r="X402" s="274"/>
      <c r="Y402" s="274"/>
      <c r="Z402" s="274"/>
      <c r="AA402" s="274"/>
      <c r="AB402" s="274"/>
      <c r="AC402" s="274"/>
      <c r="AD402" s="274"/>
      <c r="AE402" s="274"/>
    </row>
    <row r="403" spans="15:31">
      <c r="O403" s="274"/>
      <c r="P403" s="274"/>
      <c r="Q403" s="274"/>
      <c r="R403" s="274"/>
      <c r="S403" s="274"/>
      <c r="T403" s="274"/>
      <c r="U403" s="274"/>
      <c r="V403" s="274"/>
      <c r="W403" s="274"/>
      <c r="X403" s="274"/>
      <c r="Y403" s="274"/>
      <c r="Z403" s="274"/>
      <c r="AA403" s="274"/>
      <c r="AB403" s="274"/>
      <c r="AC403" s="274"/>
      <c r="AD403" s="274"/>
      <c r="AE403" s="274"/>
    </row>
    <row r="404" spans="15:31">
      <c r="O404" s="274"/>
      <c r="P404" s="274"/>
      <c r="Q404" s="274"/>
      <c r="R404" s="274"/>
      <c r="S404" s="274"/>
      <c r="T404" s="274"/>
      <c r="U404" s="274"/>
      <c r="V404" s="274"/>
      <c r="W404" s="274"/>
      <c r="X404" s="274"/>
      <c r="Y404" s="274"/>
      <c r="Z404" s="274"/>
      <c r="AA404" s="274"/>
      <c r="AB404" s="274"/>
      <c r="AC404" s="274"/>
      <c r="AD404" s="274"/>
      <c r="AE404" s="274"/>
    </row>
    <row r="405" spans="15:31">
      <c r="O405" s="274"/>
      <c r="P405" s="274"/>
      <c r="Q405" s="274"/>
      <c r="R405" s="274"/>
      <c r="S405" s="274"/>
      <c r="T405" s="274"/>
      <c r="U405" s="274"/>
      <c r="V405" s="274"/>
      <c r="W405" s="274"/>
      <c r="X405" s="274"/>
      <c r="Y405" s="274"/>
      <c r="Z405" s="274"/>
      <c r="AA405" s="274"/>
      <c r="AB405" s="274"/>
      <c r="AC405" s="274"/>
      <c r="AD405" s="274"/>
      <c r="AE405" s="274"/>
    </row>
    <row r="406" spans="15:31">
      <c r="O406" s="274"/>
      <c r="P406" s="274"/>
      <c r="Q406" s="274"/>
      <c r="R406" s="274"/>
      <c r="S406" s="274"/>
      <c r="T406" s="274"/>
      <c r="U406" s="274"/>
      <c r="V406" s="274"/>
      <c r="W406" s="274"/>
      <c r="X406" s="274"/>
      <c r="Y406" s="274"/>
      <c r="Z406" s="274"/>
      <c r="AA406" s="274"/>
      <c r="AB406" s="274"/>
      <c r="AC406" s="274"/>
      <c r="AD406" s="274"/>
      <c r="AE406" s="274"/>
    </row>
    <row r="407" spans="15:31">
      <c r="O407" s="274"/>
      <c r="P407" s="274"/>
      <c r="Q407" s="274"/>
      <c r="R407" s="274"/>
      <c r="S407" s="274"/>
      <c r="T407" s="274"/>
      <c r="U407" s="274"/>
      <c r="V407" s="274"/>
      <c r="W407" s="274"/>
      <c r="X407" s="274"/>
      <c r="Y407" s="274"/>
      <c r="Z407" s="274"/>
      <c r="AA407" s="274"/>
      <c r="AB407" s="274"/>
      <c r="AC407" s="274"/>
      <c r="AD407" s="274"/>
      <c r="AE407" s="274"/>
    </row>
    <row r="408" spans="15:31">
      <c r="O408" s="274"/>
      <c r="P408" s="274"/>
      <c r="Q408" s="274"/>
      <c r="R408" s="274"/>
      <c r="S408" s="274"/>
      <c r="T408" s="274"/>
      <c r="U408" s="274"/>
      <c r="V408" s="274"/>
      <c r="W408" s="274"/>
      <c r="X408" s="274"/>
      <c r="Y408" s="274"/>
      <c r="Z408" s="274"/>
      <c r="AA408" s="274"/>
      <c r="AB408" s="274"/>
      <c r="AC408" s="274"/>
      <c r="AD408" s="274"/>
      <c r="AE408" s="274"/>
    </row>
    <row r="409" spans="15:31">
      <c r="O409" s="274"/>
      <c r="P409" s="274"/>
      <c r="Q409" s="274"/>
      <c r="R409" s="274"/>
      <c r="S409" s="274"/>
      <c r="T409" s="274"/>
      <c r="U409" s="274"/>
      <c r="V409" s="274"/>
      <c r="W409" s="274"/>
      <c r="X409" s="274"/>
      <c r="Y409" s="274"/>
      <c r="Z409" s="274"/>
      <c r="AA409" s="274"/>
      <c r="AB409" s="274"/>
      <c r="AC409" s="274"/>
      <c r="AD409" s="274"/>
      <c r="AE409" s="274"/>
    </row>
    <row r="410" spans="15:31">
      <c r="O410" s="274"/>
      <c r="P410" s="274"/>
      <c r="Q410" s="274"/>
      <c r="R410" s="274"/>
      <c r="S410" s="274"/>
      <c r="T410" s="274"/>
      <c r="U410" s="274"/>
      <c r="V410" s="274"/>
      <c r="W410" s="274"/>
      <c r="X410" s="274"/>
      <c r="Y410" s="274"/>
      <c r="Z410" s="274"/>
      <c r="AA410" s="274"/>
      <c r="AB410" s="274"/>
      <c r="AC410" s="274"/>
      <c r="AD410" s="274"/>
      <c r="AE410" s="274"/>
    </row>
    <row r="411" spans="15:31">
      <c r="O411" s="274"/>
      <c r="P411" s="274"/>
      <c r="Q411" s="274"/>
      <c r="R411" s="274"/>
      <c r="S411" s="274"/>
      <c r="T411" s="274"/>
      <c r="U411" s="274"/>
      <c r="V411" s="274"/>
      <c r="W411" s="274"/>
      <c r="X411" s="274"/>
      <c r="Y411" s="274"/>
      <c r="Z411" s="274"/>
      <c r="AA411" s="274"/>
      <c r="AB411" s="274"/>
      <c r="AC411" s="274"/>
      <c r="AD411" s="274"/>
      <c r="AE411" s="274"/>
    </row>
    <row r="412" spans="15:31">
      <c r="O412" s="274"/>
      <c r="P412" s="274"/>
      <c r="Q412" s="274"/>
      <c r="R412" s="274"/>
      <c r="S412" s="274"/>
      <c r="T412" s="274"/>
      <c r="U412" s="274"/>
      <c r="V412" s="274"/>
      <c r="W412" s="274"/>
      <c r="X412" s="274"/>
      <c r="Y412" s="274"/>
      <c r="Z412" s="274"/>
      <c r="AA412" s="274"/>
      <c r="AB412" s="274"/>
      <c r="AC412" s="274"/>
      <c r="AD412" s="274"/>
      <c r="AE412" s="274"/>
    </row>
    <row r="413" spans="15:31">
      <c r="O413" s="274"/>
      <c r="P413" s="274"/>
      <c r="Q413" s="274"/>
      <c r="R413" s="274"/>
      <c r="S413" s="274"/>
      <c r="T413" s="274"/>
      <c r="U413" s="274"/>
      <c r="V413" s="274"/>
      <c r="W413" s="274"/>
      <c r="X413" s="274"/>
      <c r="Y413" s="274"/>
      <c r="Z413" s="274"/>
      <c r="AA413" s="274"/>
      <c r="AB413" s="274"/>
      <c r="AC413" s="274"/>
      <c r="AD413" s="274"/>
      <c r="AE413" s="274"/>
    </row>
    <row r="414" spans="15:31">
      <c r="O414" s="274"/>
      <c r="P414" s="274"/>
      <c r="Q414" s="274"/>
      <c r="R414" s="274"/>
      <c r="S414" s="274"/>
      <c r="T414" s="274"/>
      <c r="U414" s="274"/>
      <c r="V414" s="274"/>
      <c r="W414" s="274"/>
      <c r="X414" s="274"/>
      <c r="Y414" s="274"/>
      <c r="Z414" s="274"/>
      <c r="AA414" s="274"/>
      <c r="AB414" s="274"/>
      <c r="AC414" s="274"/>
      <c r="AD414" s="274"/>
      <c r="AE414" s="274"/>
    </row>
    <row r="415" spans="15:31">
      <c r="O415" s="274"/>
      <c r="P415" s="274"/>
      <c r="Q415" s="274"/>
      <c r="R415" s="274"/>
      <c r="S415" s="274"/>
      <c r="T415" s="274"/>
      <c r="U415" s="274"/>
      <c r="V415" s="274"/>
      <c r="W415" s="274"/>
      <c r="X415" s="274"/>
      <c r="Y415" s="274"/>
      <c r="Z415" s="274"/>
      <c r="AA415" s="274"/>
      <c r="AB415" s="274"/>
      <c r="AC415" s="274"/>
      <c r="AD415" s="274"/>
      <c r="AE415" s="274"/>
    </row>
    <row r="416" spans="15:31">
      <c r="O416" s="274"/>
      <c r="P416" s="274"/>
      <c r="Q416" s="274"/>
      <c r="R416" s="274"/>
      <c r="S416" s="274"/>
      <c r="T416" s="274"/>
      <c r="U416" s="274"/>
      <c r="V416" s="274"/>
      <c r="W416" s="274"/>
      <c r="X416" s="274"/>
      <c r="Y416" s="274"/>
      <c r="Z416" s="274"/>
      <c r="AA416" s="274"/>
      <c r="AB416" s="274"/>
      <c r="AC416" s="274"/>
      <c r="AD416" s="274"/>
      <c r="AE416" s="274"/>
    </row>
    <row r="417" spans="15:31">
      <c r="O417" s="274"/>
      <c r="P417" s="274"/>
      <c r="Q417" s="274"/>
      <c r="R417" s="274"/>
      <c r="S417" s="274"/>
      <c r="T417" s="274"/>
      <c r="U417" s="274"/>
      <c r="V417" s="274"/>
      <c r="W417" s="274"/>
      <c r="X417" s="274"/>
      <c r="Y417" s="274"/>
      <c r="Z417" s="274"/>
      <c r="AA417" s="274"/>
      <c r="AB417" s="274"/>
      <c r="AC417" s="274"/>
      <c r="AD417" s="274"/>
      <c r="AE417" s="274"/>
    </row>
    <row r="418" spans="15:31">
      <c r="O418" s="274"/>
      <c r="P418" s="274"/>
      <c r="Q418" s="274"/>
      <c r="R418" s="274"/>
      <c r="S418" s="274"/>
      <c r="T418" s="274"/>
      <c r="U418" s="274"/>
      <c r="V418" s="274"/>
      <c r="W418" s="274"/>
      <c r="X418" s="274"/>
      <c r="Y418" s="274"/>
      <c r="Z418" s="274"/>
      <c r="AA418" s="274"/>
      <c r="AB418" s="274"/>
      <c r="AC418" s="274"/>
      <c r="AD418" s="274"/>
      <c r="AE418" s="274"/>
    </row>
    <row r="419" spans="15:31">
      <c r="O419" s="274"/>
      <c r="P419" s="274"/>
      <c r="Q419" s="274"/>
      <c r="R419" s="274"/>
      <c r="S419" s="274"/>
      <c r="T419" s="274"/>
      <c r="U419" s="274"/>
      <c r="V419" s="274"/>
      <c r="W419" s="274"/>
      <c r="X419" s="274"/>
      <c r="Y419" s="274"/>
      <c r="Z419" s="274"/>
      <c r="AA419" s="274"/>
      <c r="AB419" s="274"/>
      <c r="AC419" s="274"/>
      <c r="AD419" s="274"/>
      <c r="AE419" s="274"/>
    </row>
    <row r="420" spans="15:31">
      <c r="O420" s="274"/>
      <c r="P420" s="274"/>
      <c r="Q420" s="274"/>
      <c r="R420" s="274"/>
      <c r="S420" s="274"/>
      <c r="T420" s="274"/>
      <c r="U420" s="274"/>
      <c r="V420" s="274"/>
      <c r="W420" s="274"/>
      <c r="X420" s="274"/>
      <c r="Y420" s="274"/>
      <c r="Z420" s="274"/>
      <c r="AA420" s="274"/>
      <c r="AB420" s="274"/>
      <c r="AC420" s="274"/>
      <c r="AD420" s="274"/>
      <c r="AE420" s="274"/>
    </row>
    <row r="421" spans="15:31">
      <c r="O421" s="274"/>
      <c r="P421" s="274"/>
      <c r="Q421" s="274"/>
      <c r="R421" s="274"/>
      <c r="S421" s="274"/>
      <c r="T421" s="274"/>
      <c r="U421" s="274"/>
      <c r="V421" s="274"/>
      <c r="W421" s="274"/>
      <c r="X421" s="274"/>
      <c r="Y421" s="274"/>
      <c r="Z421" s="274"/>
      <c r="AA421" s="274"/>
      <c r="AB421" s="274"/>
      <c r="AC421" s="274"/>
      <c r="AD421" s="274"/>
      <c r="AE421" s="274"/>
    </row>
    <row r="422" spans="15:31">
      <c r="O422" s="274"/>
      <c r="P422" s="274"/>
      <c r="Q422" s="274"/>
      <c r="R422" s="274"/>
      <c r="S422" s="274"/>
      <c r="T422" s="274"/>
      <c r="U422" s="274"/>
      <c r="V422" s="274"/>
      <c r="W422" s="274"/>
      <c r="X422" s="274"/>
      <c r="Y422" s="274"/>
      <c r="Z422" s="274"/>
      <c r="AA422" s="274"/>
      <c r="AB422" s="274"/>
      <c r="AC422" s="274"/>
      <c r="AD422" s="274"/>
      <c r="AE422" s="274"/>
    </row>
    <row r="423" spans="15:31">
      <c r="O423" s="274"/>
      <c r="P423" s="274"/>
      <c r="Q423" s="274"/>
      <c r="R423" s="274"/>
      <c r="S423" s="274"/>
      <c r="T423" s="274"/>
      <c r="U423" s="274"/>
      <c r="V423" s="274"/>
      <c r="W423" s="274"/>
      <c r="X423" s="274"/>
      <c r="Y423" s="274"/>
      <c r="Z423" s="274"/>
      <c r="AA423" s="274"/>
      <c r="AB423" s="274"/>
      <c r="AC423" s="274"/>
      <c r="AD423" s="274"/>
      <c r="AE423" s="274"/>
    </row>
    <row r="424" spans="15:31">
      <c r="O424" s="274"/>
      <c r="P424" s="274"/>
      <c r="Q424" s="274"/>
      <c r="R424" s="274"/>
      <c r="S424" s="274"/>
      <c r="T424" s="274"/>
      <c r="U424" s="274"/>
      <c r="V424" s="274"/>
      <c r="W424" s="274"/>
      <c r="X424" s="274"/>
      <c r="Y424" s="274"/>
      <c r="Z424" s="274"/>
      <c r="AA424" s="274"/>
      <c r="AB424" s="274"/>
      <c r="AC424" s="274"/>
      <c r="AD424" s="274"/>
      <c r="AE424" s="274"/>
    </row>
    <row r="425" spans="15:31">
      <c r="O425" s="274"/>
      <c r="P425" s="274"/>
      <c r="Q425" s="274"/>
      <c r="R425" s="274"/>
      <c r="S425" s="274"/>
      <c r="T425" s="274"/>
      <c r="U425" s="274"/>
      <c r="V425" s="274"/>
      <c r="W425" s="274"/>
      <c r="X425" s="274"/>
      <c r="Y425" s="274"/>
      <c r="Z425" s="274"/>
      <c r="AA425" s="274"/>
      <c r="AB425" s="274"/>
      <c r="AC425" s="274"/>
      <c r="AD425" s="274"/>
      <c r="AE425" s="274"/>
    </row>
    <row r="426" spans="15:31">
      <c r="O426" s="274"/>
      <c r="P426" s="274"/>
      <c r="Q426" s="274"/>
      <c r="R426" s="274"/>
      <c r="S426" s="274"/>
      <c r="T426" s="274"/>
      <c r="U426" s="274"/>
      <c r="V426" s="274"/>
      <c r="W426" s="274"/>
      <c r="X426" s="274"/>
      <c r="Y426" s="274"/>
      <c r="Z426" s="274"/>
      <c r="AA426" s="274"/>
      <c r="AB426" s="274"/>
      <c r="AC426" s="274"/>
      <c r="AD426" s="274"/>
      <c r="AE426" s="274"/>
    </row>
    <row r="427" spans="15:31">
      <c r="O427" s="274"/>
      <c r="P427" s="274"/>
      <c r="Q427" s="274"/>
      <c r="R427" s="274"/>
      <c r="S427" s="274"/>
      <c r="T427" s="274"/>
      <c r="U427" s="274"/>
      <c r="V427" s="274"/>
      <c r="W427" s="274"/>
      <c r="X427" s="274"/>
      <c r="Y427" s="274"/>
      <c r="Z427" s="274"/>
      <c r="AA427" s="274"/>
      <c r="AB427" s="274"/>
      <c r="AC427" s="274"/>
      <c r="AD427" s="274"/>
      <c r="AE427" s="274"/>
    </row>
    <row r="428" spans="15:31">
      <c r="O428" s="274"/>
      <c r="P428" s="274"/>
      <c r="Q428" s="274"/>
      <c r="R428" s="274"/>
      <c r="S428" s="274"/>
      <c r="T428" s="274"/>
      <c r="U428" s="274"/>
      <c r="V428" s="274"/>
      <c r="W428" s="274"/>
      <c r="X428" s="274"/>
      <c r="Y428" s="274"/>
      <c r="Z428" s="274"/>
      <c r="AA428" s="274"/>
      <c r="AB428" s="274"/>
      <c r="AC428" s="274"/>
      <c r="AD428" s="274"/>
      <c r="AE428" s="274"/>
    </row>
    <row r="429" spans="15:31">
      <c r="O429" s="274"/>
      <c r="P429" s="274"/>
      <c r="Q429" s="274"/>
      <c r="R429" s="274"/>
      <c r="S429" s="274"/>
      <c r="T429" s="274"/>
      <c r="U429" s="274"/>
      <c r="V429" s="274"/>
      <c r="W429" s="274"/>
      <c r="X429" s="274"/>
      <c r="Y429" s="274"/>
      <c r="Z429" s="274"/>
      <c r="AA429" s="274"/>
      <c r="AB429" s="274"/>
      <c r="AC429" s="274"/>
      <c r="AD429" s="274"/>
      <c r="AE429" s="274"/>
    </row>
    <row r="430" spans="15:31">
      <c r="O430" s="274"/>
      <c r="P430" s="274"/>
      <c r="Q430" s="274"/>
      <c r="R430" s="274"/>
      <c r="S430" s="274"/>
      <c r="T430" s="274"/>
      <c r="U430" s="274"/>
      <c r="V430" s="274"/>
      <c r="W430" s="274"/>
      <c r="X430" s="274"/>
      <c r="Y430" s="274"/>
      <c r="Z430" s="274"/>
      <c r="AA430" s="274"/>
      <c r="AB430" s="274"/>
      <c r="AC430" s="274"/>
      <c r="AD430" s="274"/>
      <c r="AE430" s="274"/>
    </row>
    <row r="431" spans="15:31">
      <c r="O431" s="274"/>
      <c r="P431" s="274"/>
      <c r="Q431" s="274"/>
      <c r="R431" s="274"/>
      <c r="S431" s="274"/>
      <c r="T431" s="274"/>
      <c r="U431" s="274"/>
      <c r="V431" s="274"/>
      <c r="W431" s="274"/>
      <c r="X431" s="274"/>
      <c r="Y431" s="274"/>
      <c r="Z431" s="274"/>
      <c r="AA431" s="274"/>
      <c r="AB431" s="274"/>
      <c r="AC431" s="274"/>
      <c r="AD431" s="274"/>
      <c r="AE431" s="274"/>
    </row>
    <row r="432" spans="15:31">
      <c r="O432" s="274"/>
      <c r="P432" s="274"/>
      <c r="Q432" s="274"/>
      <c r="R432" s="274"/>
      <c r="S432" s="274"/>
      <c r="T432" s="274"/>
      <c r="U432" s="274"/>
      <c r="V432" s="274"/>
      <c r="W432" s="274"/>
      <c r="X432" s="274"/>
      <c r="Y432" s="274"/>
      <c r="Z432" s="274"/>
      <c r="AA432" s="274"/>
      <c r="AB432" s="274"/>
      <c r="AC432" s="274"/>
      <c r="AD432" s="274"/>
      <c r="AE432" s="274"/>
    </row>
    <row r="433" spans="15:31">
      <c r="O433" s="274"/>
      <c r="P433" s="274"/>
      <c r="Q433" s="274"/>
      <c r="R433" s="274"/>
      <c r="S433" s="274"/>
      <c r="T433" s="274"/>
      <c r="U433" s="274"/>
      <c r="V433" s="274"/>
      <c r="W433" s="274"/>
      <c r="X433" s="274"/>
      <c r="Y433" s="274"/>
      <c r="Z433" s="274"/>
      <c r="AA433" s="274"/>
      <c r="AB433" s="274"/>
      <c r="AC433" s="274"/>
      <c r="AD433" s="274"/>
      <c r="AE433" s="274"/>
    </row>
    <row r="434" spans="15:31">
      <c r="O434" s="274"/>
      <c r="P434" s="274"/>
      <c r="Q434" s="274"/>
      <c r="R434" s="274"/>
      <c r="S434" s="274"/>
      <c r="T434" s="274"/>
      <c r="U434" s="274"/>
      <c r="V434" s="274"/>
      <c r="W434" s="274"/>
      <c r="X434" s="274"/>
      <c r="Y434" s="274"/>
      <c r="Z434" s="274"/>
      <c r="AA434" s="274"/>
      <c r="AB434" s="274"/>
      <c r="AC434" s="274"/>
      <c r="AD434" s="274"/>
      <c r="AE434" s="274"/>
    </row>
    <row r="435" spans="15:31">
      <c r="O435" s="274"/>
      <c r="P435" s="274"/>
      <c r="Q435" s="274"/>
      <c r="R435" s="274"/>
      <c r="S435" s="274"/>
      <c r="T435" s="274"/>
      <c r="U435" s="274"/>
      <c r="V435" s="274"/>
      <c r="W435" s="274"/>
      <c r="X435" s="274"/>
      <c r="Y435" s="274"/>
      <c r="Z435" s="274"/>
      <c r="AA435" s="274"/>
      <c r="AB435" s="274"/>
      <c r="AC435" s="274"/>
      <c r="AD435" s="274"/>
      <c r="AE435" s="274"/>
    </row>
    <row r="436" spans="15:31">
      <c r="O436" s="274"/>
      <c r="P436" s="274"/>
      <c r="Q436" s="274"/>
      <c r="R436" s="274"/>
      <c r="S436" s="274"/>
      <c r="T436" s="274"/>
      <c r="U436" s="274"/>
      <c r="V436" s="274"/>
      <c r="W436" s="274"/>
      <c r="X436" s="274"/>
      <c r="Y436" s="274"/>
      <c r="Z436" s="274"/>
      <c r="AA436" s="274"/>
      <c r="AB436" s="274"/>
      <c r="AC436" s="274"/>
      <c r="AD436" s="274"/>
      <c r="AE436" s="274"/>
    </row>
    <row r="437" spans="15:31">
      <c r="O437" s="274"/>
      <c r="P437" s="274"/>
      <c r="Q437" s="274"/>
      <c r="R437" s="274"/>
      <c r="S437" s="274"/>
      <c r="T437" s="274"/>
      <c r="U437" s="274"/>
      <c r="V437" s="274"/>
      <c r="W437" s="274"/>
      <c r="X437" s="274"/>
      <c r="Y437" s="274"/>
      <c r="Z437" s="274"/>
      <c r="AA437" s="274"/>
      <c r="AB437" s="274"/>
      <c r="AC437" s="274"/>
      <c r="AD437" s="274"/>
      <c r="AE437" s="274"/>
    </row>
    <row r="438" spans="15:31">
      <c r="O438" s="274"/>
      <c r="P438" s="274"/>
      <c r="Q438" s="274"/>
      <c r="R438" s="274"/>
      <c r="S438" s="274"/>
      <c r="T438" s="274"/>
      <c r="U438" s="274"/>
      <c r="V438" s="274"/>
      <c r="W438" s="274"/>
      <c r="X438" s="274"/>
      <c r="Y438" s="274"/>
      <c r="Z438" s="274"/>
      <c r="AA438" s="274"/>
      <c r="AB438" s="274"/>
      <c r="AC438" s="274"/>
      <c r="AD438" s="274"/>
      <c r="AE438" s="274"/>
    </row>
    <row r="439" spans="15:31">
      <c r="O439" s="274"/>
      <c r="P439" s="274"/>
      <c r="Q439" s="274"/>
      <c r="R439" s="274"/>
      <c r="S439" s="274"/>
      <c r="T439" s="274"/>
      <c r="U439" s="274"/>
      <c r="V439" s="274"/>
      <c r="W439" s="274"/>
      <c r="X439" s="274"/>
      <c r="Y439" s="274"/>
      <c r="Z439" s="274"/>
      <c r="AA439" s="274"/>
      <c r="AB439" s="274"/>
      <c r="AC439" s="274"/>
      <c r="AD439" s="274"/>
      <c r="AE439" s="274"/>
    </row>
    <row r="440" spans="15:31">
      <c r="O440" s="274"/>
      <c r="P440" s="274"/>
      <c r="Q440" s="274"/>
      <c r="R440" s="274"/>
      <c r="S440" s="274"/>
      <c r="T440" s="274"/>
      <c r="U440" s="274"/>
      <c r="V440" s="274"/>
      <c r="W440" s="274"/>
      <c r="X440" s="274"/>
      <c r="Y440" s="274"/>
      <c r="Z440" s="274"/>
      <c r="AA440" s="274"/>
      <c r="AB440" s="274"/>
      <c r="AC440" s="274"/>
      <c r="AD440" s="274"/>
      <c r="AE440" s="274"/>
    </row>
    <row r="441" spans="15:31">
      <c r="O441" s="274"/>
      <c r="P441" s="274"/>
      <c r="Q441" s="274"/>
      <c r="R441" s="274"/>
      <c r="S441" s="274"/>
      <c r="T441" s="274"/>
      <c r="U441" s="274"/>
      <c r="V441" s="274"/>
      <c r="W441" s="274"/>
      <c r="X441" s="274"/>
      <c r="Y441" s="274"/>
      <c r="Z441" s="274"/>
      <c r="AA441" s="274"/>
      <c r="AB441" s="274"/>
      <c r="AC441" s="274"/>
      <c r="AD441" s="274"/>
      <c r="AE441" s="274"/>
    </row>
    <row r="442" spans="15:31">
      <c r="O442" s="274"/>
      <c r="P442" s="274"/>
      <c r="Q442" s="274"/>
      <c r="R442" s="274"/>
      <c r="S442" s="274"/>
      <c r="T442" s="274"/>
      <c r="U442" s="274"/>
      <c r="V442" s="274"/>
      <c r="W442" s="274"/>
      <c r="X442" s="274"/>
      <c r="Y442" s="274"/>
      <c r="Z442" s="274"/>
      <c r="AA442" s="274"/>
      <c r="AB442" s="274"/>
      <c r="AC442" s="274"/>
      <c r="AD442" s="274"/>
      <c r="AE442" s="274"/>
    </row>
    <row r="443" spans="15:31">
      <c r="O443" s="274"/>
      <c r="P443" s="274"/>
      <c r="Q443" s="274"/>
      <c r="R443" s="274"/>
      <c r="S443" s="274"/>
      <c r="T443" s="274"/>
      <c r="U443" s="274"/>
      <c r="V443" s="274"/>
      <c r="W443" s="274"/>
      <c r="X443" s="274"/>
      <c r="Y443" s="274"/>
      <c r="Z443" s="274"/>
      <c r="AA443" s="274"/>
      <c r="AB443" s="274"/>
      <c r="AC443" s="274"/>
      <c r="AD443" s="274"/>
      <c r="AE443" s="274"/>
    </row>
    <row r="444" spans="15:31">
      <c r="O444" s="274"/>
      <c r="P444" s="274"/>
      <c r="Q444" s="274"/>
      <c r="R444" s="274"/>
      <c r="S444" s="274"/>
      <c r="T444" s="274"/>
      <c r="U444" s="274"/>
      <c r="V444" s="274"/>
      <c r="W444" s="274"/>
      <c r="X444" s="274"/>
      <c r="Y444" s="274"/>
      <c r="Z444" s="274"/>
      <c r="AA444" s="274"/>
      <c r="AB444" s="274"/>
      <c r="AC444" s="274"/>
      <c r="AD444" s="274"/>
      <c r="AE444" s="274"/>
    </row>
    <row r="445" spans="15:31">
      <c r="O445" s="274"/>
      <c r="P445" s="274"/>
      <c r="Q445" s="274"/>
      <c r="R445" s="274"/>
      <c r="S445" s="274"/>
      <c r="T445" s="274"/>
      <c r="U445" s="274"/>
      <c r="V445" s="274"/>
      <c r="W445" s="274"/>
      <c r="X445" s="274"/>
      <c r="Y445" s="274"/>
      <c r="Z445" s="274"/>
      <c r="AA445" s="274"/>
      <c r="AB445" s="274"/>
      <c r="AC445" s="274"/>
      <c r="AD445" s="274"/>
      <c r="AE445" s="274"/>
    </row>
    <row r="446" spans="15:31">
      <c r="O446" s="274"/>
      <c r="P446" s="274"/>
      <c r="Q446" s="274"/>
      <c r="R446" s="274"/>
      <c r="S446" s="274"/>
      <c r="T446" s="274"/>
      <c r="U446" s="274"/>
      <c r="V446" s="274"/>
      <c r="W446" s="274"/>
      <c r="X446" s="274"/>
      <c r="Y446" s="274"/>
      <c r="Z446" s="274"/>
      <c r="AA446" s="274"/>
      <c r="AB446" s="274"/>
      <c r="AC446" s="274"/>
      <c r="AD446" s="274"/>
      <c r="AE446" s="274"/>
    </row>
    <row r="447" spans="15:31">
      <c r="O447" s="274"/>
      <c r="P447" s="274"/>
      <c r="Q447" s="274"/>
      <c r="R447" s="274"/>
      <c r="S447" s="274"/>
      <c r="T447" s="274"/>
      <c r="U447" s="274"/>
      <c r="V447" s="274"/>
      <c r="W447" s="274"/>
      <c r="X447" s="274"/>
      <c r="Y447" s="274"/>
      <c r="Z447" s="274"/>
      <c r="AA447" s="274"/>
      <c r="AB447" s="274"/>
      <c r="AC447" s="274"/>
      <c r="AD447" s="274"/>
      <c r="AE447" s="274"/>
    </row>
    <row r="448" spans="15:31">
      <c r="O448" s="274"/>
      <c r="P448" s="274"/>
      <c r="Q448" s="274"/>
      <c r="R448" s="274"/>
      <c r="S448" s="274"/>
      <c r="T448" s="274"/>
      <c r="U448" s="274"/>
      <c r="V448" s="274"/>
      <c r="W448" s="274"/>
      <c r="X448" s="274"/>
      <c r="Y448" s="274"/>
      <c r="Z448" s="274"/>
      <c r="AA448" s="274"/>
      <c r="AB448" s="274"/>
      <c r="AC448" s="274"/>
      <c r="AD448" s="274"/>
      <c r="AE448" s="274"/>
    </row>
    <row r="449" spans="15:31">
      <c r="O449" s="274"/>
      <c r="P449" s="274"/>
      <c r="Q449" s="274"/>
      <c r="R449" s="274"/>
      <c r="S449" s="274"/>
      <c r="T449" s="274"/>
      <c r="U449" s="274"/>
      <c r="V449" s="274"/>
      <c r="W449" s="274"/>
      <c r="X449" s="274"/>
      <c r="Y449" s="274"/>
      <c r="Z449" s="274"/>
      <c r="AA449" s="274"/>
      <c r="AB449" s="274"/>
      <c r="AC449" s="274"/>
      <c r="AD449" s="274"/>
      <c r="AE449" s="274"/>
    </row>
    <row r="450" spans="15:31">
      <c r="O450" s="274"/>
      <c r="P450" s="274"/>
      <c r="Q450" s="274"/>
      <c r="R450" s="274"/>
      <c r="S450" s="274"/>
      <c r="T450" s="274"/>
      <c r="U450" s="274"/>
      <c r="V450" s="274"/>
      <c r="W450" s="274"/>
      <c r="X450" s="274"/>
      <c r="Y450" s="274"/>
      <c r="Z450" s="274"/>
      <c r="AA450" s="274"/>
      <c r="AB450" s="274"/>
      <c r="AC450" s="274"/>
      <c r="AD450" s="274"/>
      <c r="AE450" s="274"/>
    </row>
    <row r="451" spans="15:31">
      <c r="O451" s="274"/>
      <c r="P451" s="274"/>
      <c r="Q451" s="274"/>
      <c r="R451" s="274"/>
      <c r="S451" s="274"/>
      <c r="T451" s="274"/>
      <c r="U451" s="274"/>
      <c r="V451" s="274"/>
      <c r="W451" s="274"/>
      <c r="X451" s="274"/>
      <c r="Y451" s="274"/>
      <c r="Z451" s="274"/>
      <c r="AA451" s="274"/>
      <c r="AB451" s="274"/>
      <c r="AC451" s="274"/>
      <c r="AD451" s="274"/>
      <c r="AE451" s="274"/>
    </row>
    <row r="452" spans="15:31">
      <c r="O452" s="274"/>
      <c r="P452" s="274"/>
      <c r="Q452" s="274"/>
      <c r="R452" s="274"/>
      <c r="S452" s="274"/>
      <c r="T452" s="274"/>
      <c r="U452" s="274"/>
      <c r="V452" s="274"/>
      <c r="W452" s="274"/>
      <c r="X452" s="274"/>
      <c r="Y452" s="274"/>
      <c r="Z452" s="274"/>
      <c r="AA452" s="274"/>
      <c r="AB452" s="274"/>
      <c r="AC452" s="274"/>
      <c r="AD452" s="274"/>
      <c r="AE452" s="274"/>
    </row>
    <row r="453" spans="15:31">
      <c r="O453" s="274"/>
      <c r="P453" s="274"/>
      <c r="Q453" s="274"/>
      <c r="R453" s="274"/>
      <c r="S453" s="274"/>
      <c r="T453" s="274"/>
      <c r="U453" s="274"/>
      <c r="V453" s="274"/>
      <c r="W453" s="274"/>
      <c r="X453" s="274"/>
      <c r="Y453" s="274"/>
      <c r="Z453" s="274"/>
      <c r="AA453" s="274"/>
      <c r="AB453" s="274"/>
      <c r="AC453" s="274"/>
      <c r="AD453" s="274"/>
      <c r="AE453" s="274"/>
    </row>
    <row r="454" spans="15:31">
      <c r="O454" s="274"/>
      <c r="P454" s="274"/>
      <c r="Q454" s="274"/>
      <c r="R454" s="274"/>
      <c r="S454" s="274"/>
      <c r="T454" s="274"/>
      <c r="U454" s="274"/>
      <c r="V454" s="274"/>
      <c r="W454" s="274"/>
      <c r="X454" s="274"/>
      <c r="Y454" s="274"/>
      <c r="Z454" s="274"/>
      <c r="AA454" s="274"/>
      <c r="AB454" s="274"/>
      <c r="AC454" s="274"/>
      <c r="AD454" s="274"/>
      <c r="AE454" s="274"/>
    </row>
    <row r="455" spans="15:31">
      <c r="O455" s="274"/>
      <c r="P455" s="274"/>
      <c r="Q455" s="274"/>
      <c r="R455" s="274"/>
      <c r="S455" s="274"/>
      <c r="T455" s="274"/>
      <c r="U455" s="274"/>
      <c r="V455" s="274"/>
      <c r="W455" s="274"/>
      <c r="X455" s="274"/>
      <c r="Y455" s="274"/>
      <c r="Z455" s="274"/>
      <c r="AA455" s="274"/>
      <c r="AB455" s="274"/>
      <c r="AC455" s="274"/>
      <c r="AD455" s="274"/>
      <c r="AE455" s="274"/>
    </row>
    <row r="456" spans="15:31">
      <c r="O456" s="274"/>
      <c r="P456" s="274"/>
      <c r="Q456" s="274"/>
      <c r="R456" s="274"/>
      <c r="S456" s="274"/>
      <c r="T456" s="274"/>
      <c r="U456" s="274"/>
      <c r="V456" s="274"/>
      <c r="W456" s="274"/>
      <c r="X456" s="274"/>
      <c r="Y456" s="274"/>
      <c r="Z456" s="274"/>
      <c r="AA456" s="274"/>
      <c r="AB456" s="274"/>
      <c r="AC456" s="274"/>
      <c r="AD456" s="274"/>
      <c r="AE456" s="274"/>
    </row>
    <row r="457" spans="15:31">
      <c r="O457" s="274"/>
      <c r="P457" s="274"/>
      <c r="Q457" s="274"/>
      <c r="R457" s="274"/>
      <c r="S457" s="274"/>
      <c r="T457" s="274"/>
      <c r="U457" s="274"/>
      <c r="V457" s="274"/>
      <c r="W457" s="274"/>
      <c r="X457" s="274"/>
      <c r="Y457" s="274"/>
      <c r="Z457" s="274"/>
      <c r="AA457" s="274"/>
      <c r="AB457" s="274"/>
      <c r="AC457" s="274"/>
      <c r="AD457" s="274"/>
      <c r="AE457" s="274"/>
    </row>
    <row r="458" spans="15:31">
      <c r="O458" s="274"/>
      <c r="P458" s="274"/>
      <c r="Q458" s="274"/>
      <c r="R458" s="274"/>
      <c r="S458" s="274"/>
      <c r="T458" s="274"/>
      <c r="U458" s="274"/>
      <c r="V458" s="274"/>
      <c r="W458" s="274"/>
      <c r="X458" s="274"/>
      <c r="Y458" s="274"/>
      <c r="Z458" s="274"/>
      <c r="AA458" s="274"/>
      <c r="AB458" s="274"/>
      <c r="AC458" s="274"/>
      <c r="AD458" s="274"/>
      <c r="AE458" s="274"/>
    </row>
    <row r="459" spans="15:31">
      <c r="O459" s="274"/>
      <c r="P459" s="274"/>
      <c r="Q459" s="274"/>
      <c r="R459" s="274"/>
      <c r="S459" s="274"/>
      <c r="T459" s="274"/>
      <c r="U459" s="274"/>
      <c r="V459" s="274"/>
      <c r="W459" s="274"/>
      <c r="X459" s="274"/>
      <c r="Y459" s="274"/>
      <c r="Z459" s="274"/>
      <c r="AA459" s="274"/>
      <c r="AB459" s="274"/>
      <c r="AC459" s="274"/>
      <c r="AD459" s="274"/>
      <c r="AE459" s="274"/>
    </row>
    <row r="460" spans="15:31">
      <c r="O460" s="274"/>
      <c r="P460" s="274"/>
      <c r="Q460" s="274"/>
      <c r="R460" s="274"/>
      <c r="S460" s="274"/>
      <c r="T460" s="274"/>
      <c r="U460" s="274"/>
      <c r="V460" s="274"/>
      <c r="W460" s="274"/>
      <c r="X460" s="274"/>
      <c r="Y460" s="274"/>
      <c r="Z460" s="274"/>
      <c r="AA460" s="274"/>
      <c r="AB460" s="274"/>
      <c r="AC460" s="274"/>
      <c r="AD460" s="274"/>
      <c r="AE460" s="274"/>
    </row>
    <row r="461" spans="15:31">
      <c r="O461" s="274"/>
      <c r="P461" s="274"/>
      <c r="Q461" s="274"/>
      <c r="R461" s="274"/>
      <c r="S461" s="274"/>
      <c r="T461" s="274"/>
      <c r="U461" s="274"/>
      <c r="V461" s="274"/>
      <c r="W461" s="274"/>
      <c r="X461" s="274"/>
      <c r="Y461" s="274"/>
      <c r="Z461" s="274"/>
      <c r="AA461" s="274"/>
      <c r="AB461" s="274"/>
      <c r="AC461" s="274"/>
      <c r="AD461" s="274"/>
      <c r="AE461" s="274"/>
    </row>
    <row r="462" spans="15:31">
      <c r="O462" s="274"/>
      <c r="P462" s="274"/>
      <c r="Q462" s="274"/>
      <c r="R462" s="274"/>
      <c r="S462" s="274"/>
      <c r="T462" s="274"/>
      <c r="U462" s="274"/>
      <c r="V462" s="274"/>
      <c r="W462" s="274"/>
      <c r="X462" s="274"/>
      <c r="Y462" s="274"/>
      <c r="Z462" s="274"/>
      <c r="AA462" s="274"/>
      <c r="AB462" s="274"/>
      <c r="AC462" s="274"/>
      <c r="AD462" s="274"/>
      <c r="AE462" s="274"/>
    </row>
    <row r="463" spans="15:31">
      <c r="O463" s="274"/>
      <c r="P463" s="274"/>
      <c r="Q463" s="274"/>
      <c r="R463" s="274"/>
      <c r="S463" s="274"/>
      <c r="T463" s="274"/>
      <c r="U463" s="274"/>
      <c r="V463" s="274"/>
      <c r="W463" s="274"/>
      <c r="X463" s="274"/>
      <c r="Y463" s="274"/>
      <c r="Z463" s="274"/>
      <c r="AA463" s="274"/>
      <c r="AB463" s="274"/>
      <c r="AC463" s="274"/>
      <c r="AD463" s="274"/>
      <c r="AE463" s="274"/>
    </row>
    <row r="464" spans="15:31">
      <c r="O464" s="274"/>
      <c r="P464" s="274"/>
      <c r="Q464" s="274"/>
      <c r="R464" s="274"/>
      <c r="S464" s="274"/>
      <c r="T464" s="274"/>
      <c r="U464" s="274"/>
      <c r="V464" s="274"/>
      <c r="W464" s="274"/>
      <c r="X464" s="274"/>
      <c r="Y464" s="274"/>
      <c r="Z464" s="274"/>
      <c r="AA464" s="274"/>
      <c r="AB464" s="274"/>
      <c r="AC464" s="274"/>
      <c r="AD464" s="274"/>
      <c r="AE464" s="274"/>
    </row>
    <row r="465" spans="15:31">
      <c r="O465" s="274"/>
      <c r="P465" s="274"/>
      <c r="Q465" s="274"/>
      <c r="R465" s="274"/>
      <c r="S465" s="274"/>
      <c r="T465" s="274"/>
      <c r="U465" s="274"/>
      <c r="V465" s="274"/>
      <c r="W465" s="274"/>
      <c r="X465" s="274"/>
      <c r="Y465" s="274"/>
      <c r="Z465" s="274"/>
      <c r="AA465" s="274"/>
      <c r="AB465" s="274"/>
      <c r="AC465" s="274"/>
      <c r="AD465" s="274"/>
      <c r="AE465" s="274"/>
    </row>
    <row r="466" spans="15:31">
      <c r="O466" s="274"/>
      <c r="P466" s="274"/>
      <c r="Q466" s="274"/>
      <c r="R466" s="274"/>
      <c r="S466" s="274"/>
      <c r="T466" s="274"/>
      <c r="U466" s="274"/>
      <c r="V466" s="274"/>
      <c r="W466" s="274"/>
      <c r="X466" s="274"/>
      <c r="Y466" s="274"/>
      <c r="Z466" s="274"/>
      <c r="AA466" s="274"/>
      <c r="AB466" s="274"/>
      <c r="AC466" s="274"/>
      <c r="AD466" s="274"/>
      <c r="AE466" s="274"/>
    </row>
    <row r="467" spans="15:31">
      <c r="O467" s="274"/>
      <c r="P467" s="274"/>
      <c r="Q467" s="274"/>
      <c r="R467" s="274"/>
      <c r="S467" s="274"/>
      <c r="T467" s="274"/>
      <c r="U467" s="274"/>
      <c r="V467" s="274"/>
      <c r="W467" s="274"/>
      <c r="X467" s="274"/>
      <c r="Y467" s="274"/>
      <c r="Z467" s="274"/>
      <c r="AA467" s="274"/>
      <c r="AB467" s="274"/>
      <c r="AC467" s="274"/>
      <c r="AD467" s="274"/>
      <c r="AE467" s="274"/>
    </row>
    <row r="468" spans="15:31">
      <c r="O468" s="274"/>
      <c r="P468" s="274"/>
      <c r="Q468" s="274"/>
      <c r="R468" s="274"/>
      <c r="S468" s="274"/>
      <c r="T468" s="274"/>
      <c r="U468" s="274"/>
      <c r="V468" s="274"/>
      <c r="W468" s="274"/>
      <c r="X468" s="274"/>
      <c r="Y468" s="274"/>
      <c r="Z468" s="274"/>
      <c r="AA468" s="274"/>
      <c r="AB468" s="274"/>
      <c r="AC468" s="274"/>
      <c r="AD468" s="274"/>
      <c r="AE468" s="274"/>
    </row>
    <row r="469" spans="15:31">
      <c r="O469" s="274"/>
      <c r="P469" s="274"/>
      <c r="Q469" s="274"/>
      <c r="R469" s="274"/>
      <c r="S469" s="274"/>
      <c r="T469" s="274"/>
      <c r="U469" s="274"/>
      <c r="V469" s="274"/>
      <c r="W469" s="274"/>
      <c r="X469" s="274"/>
      <c r="Y469" s="274"/>
      <c r="Z469" s="274"/>
      <c r="AA469" s="274"/>
      <c r="AB469" s="274"/>
      <c r="AC469" s="274"/>
      <c r="AD469" s="274"/>
      <c r="AE469" s="274"/>
    </row>
    <row r="470" spans="15:31">
      <c r="O470" s="274"/>
      <c r="P470" s="274"/>
      <c r="Q470" s="274"/>
      <c r="R470" s="274"/>
      <c r="S470" s="274"/>
      <c r="T470" s="274"/>
      <c r="U470" s="274"/>
      <c r="V470" s="274"/>
      <c r="W470" s="274"/>
      <c r="X470" s="274"/>
      <c r="Y470" s="274"/>
      <c r="Z470" s="274"/>
      <c r="AA470" s="274"/>
      <c r="AB470" s="274"/>
      <c r="AC470" s="274"/>
      <c r="AD470" s="274"/>
      <c r="AE470" s="274"/>
    </row>
    <row r="471" spans="15:31">
      <c r="O471" s="274"/>
      <c r="P471" s="274"/>
      <c r="Q471" s="274"/>
      <c r="R471" s="274"/>
      <c r="S471" s="274"/>
      <c r="T471" s="274"/>
      <c r="U471" s="274"/>
      <c r="V471" s="274"/>
      <c r="W471" s="274"/>
      <c r="X471" s="274"/>
      <c r="Y471" s="274"/>
      <c r="Z471" s="274"/>
      <c r="AA471" s="274"/>
      <c r="AB471" s="274"/>
      <c r="AC471" s="274"/>
      <c r="AD471" s="274"/>
      <c r="AE471" s="274"/>
    </row>
    <row r="472" spans="15:31">
      <c r="O472" s="274"/>
      <c r="P472" s="274"/>
      <c r="Q472" s="274"/>
      <c r="R472" s="274"/>
      <c r="S472" s="274"/>
      <c r="T472" s="274"/>
      <c r="U472" s="274"/>
      <c r="V472" s="274"/>
      <c r="W472" s="274"/>
      <c r="X472" s="274"/>
      <c r="Y472" s="274"/>
      <c r="Z472" s="274"/>
      <c r="AA472" s="274"/>
      <c r="AB472" s="274"/>
      <c r="AC472" s="274"/>
      <c r="AD472" s="274"/>
      <c r="AE472" s="274"/>
    </row>
    <row r="473" spans="15:31">
      <c r="O473" s="274"/>
      <c r="P473" s="274"/>
      <c r="Q473" s="274"/>
      <c r="R473" s="274"/>
      <c r="S473" s="274"/>
      <c r="T473" s="274"/>
      <c r="U473" s="274"/>
      <c r="V473" s="274"/>
      <c r="W473" s="274"/>
      <c r="X473" s="274"/>
      <c r="Y473" s="274"/>
      <c r="Z473" s="274"/>
      <c r="AA473" s="274"/>
      <c r="AB473" s="274"/>
      <c r="AC473" s="274"/>
      <c r="AD473" s="274"/>
      <c r="AE473" s="274"/>
    </row>
    <row r="474" spans="15:31">
      <c r="O474" s="274"/>
      <c r="P474" s="274"/>
      <c r="Q474" s="274"/>
      <c r="R474" s="274"/>
      <c r="S474" s="274"/>
      <c r="T474" s="274"/>
      <c r="U474" s="274"/>
      <c r="V474" s="274"/>
      <c r="W474" s="274"/>
      <c r="X474" s="274"/>
      <c r="Y474" s="274"/>
      <c r="Z474" s="274"/>
      <c r="AA474" s="274"/>
      <c r="AB474" s="274"/>
      <c r="AC474" s="274"/>
      <c r="AD474" s="274"/>
      <c r="AE474" s="274"/>
    </row>
    <row r="475" spans="15:31">
      <c r="O475" s="274"/>
      <c r="P475" s="274"/>
      <c r="Q475" s="274"/>
      <c r="R475" s="274"/>
      <c r="S475" s="274"/>
      <c r="T475" s="274"/>
      <c r="U475" s="274"/>
      <c r="V475" s="274"/>
      <c r="W475" s="274"/>
      <c r="X475" s="274"/>
      <c r="Y475" s="274"/>
      <c r="Z475" s="274"/>
      <c r="AA475" s="274"/>
      <c r="AB475" s="274"/>
      <c r="AC475" s="274"/>
      <c r="AD475" s="274"/>
      <c r="AE475" s="274"/>
    </row>
    <row r="476" spans="15:31">
      <c r="O476" s="274"/>
      <c r="P476" s="274"/>
      <c r="Q476" s="274"/>
      <c r="R476" s="274"/>
      <c r="S476" s="274"/>
      <c r="T476" s="274"/>
      <c r="U476" s="274"/>
      <c r="V476" s="274"/>
      <c r="W476" s="274"/>
      <c r="X476" s="274"/>
      <c r="Y476" s="274"/>
      <c r="Z476" s="274"/>
      <c r="AA476" s="274"/>
      <c r="AB476" s="274"/>
      <c r="AC476" s="274"/>
      <c r="AD476" s="274"/>
      <c r="AE476" s="274"/>
    </row>
    <row r="477" spans="15:31">
      <c r="O477" s="274"/>
      <c r="P477" s="274"/>
      <c r="Q477" s="274"/>
      <c r="R477" s="274"/>
      <c r="S477" s="274"/>
      <c r="T477" s="274"/>
      <c r="U477" s="274"/>
      <c r="V477" s="274"/>
      <c r="W477" s="274"/>
      <c r="X477" s="274"/>
      <c r="Y477" s="274"/>
      <c r="Z477" s="274"/>
      <c r="AA477" s="274"/>
      <c r="AB477" s="274"/>
      <c r="AC477" s="274"/>
      <c r="AD477" s="274"/>
      <c r="AE477" s="274"/>
    </row>
    <row r="478" spans="15:31">
      <c r="O478" s="274"/>
      <c r="P478" s="274"/>
      <c r="Q478" s="274"/>
      <c r="R478" s="274"/>
      <c r="S478" s="274"/>
      <c r="T478" s="274"/>
      <c r="U478" s="274"/>
      <c r="V478" s="274"/>
      <c r="W478" s="274"/>
      <c r="X478" s="274"/>
      <c r="Y478" s="274"/>
      <c r="Z478" s="274"/>
      <c r="AA478" s="274"/>
      <c r="AB478" s="274"/>
      <c r="AC478" s="274"/>
      <c r="AD478" s="274"/>
      <c r="AE478" s="274"/>
    </row>
    <row r="479" spans="15:31">
      <c r="O479" s="274"/>
      <c r="P479" s="274"/>
      <c r="Q479" s="274"/>
      <c r="R479" s="274"/>
      <c r="S479" s="274"/>
      <c r="T479" s="274"/>
      <c r="U479" s="274"/>
      <c r="V479" s="274"/>
      <c r="W479" s="274"/>
      <c r="X479" s="274"/>
      <c r="Y479" s="274"/>
      <c r="Z479" s="274"/>
      <c r="AA479" s="274"/>
      <c r="AB479" s="274"/>
      <c r="AC479" s="274"/>
      <c r="AD479" s="274"/>
      <c r="AE479" s="274"/>
    </row>
    <row r="480" spans="15:31">
      <c r="O480" s="274"/>
      <c r="P480" s="274"/>
      <c r="Q480" s="274"/>
      <c r="R480" s="274"/>
      <c r="S480" s="274"/>
      <c r="T480" s="274"/>
      <c r="U480" s="274"/>
      <c r="V480" s="274"/>
      <c r="W480" s="274"/>
      <c r="X480" s="274"/>
      <c r="Y480" s="274"/>
      <c r="Z480" s="274"/>
      <c r="AA480" s="274"/>
      <c r="AB480" s="274"/>
      <c r="AC480" s="274"/>
      <c r="AD480" s="274"/>
      <c r="AE480" s="274"/>
    </row>
    <row r="481" spans="15:31">
      <c r="O481" s="274"/>
      <c r="P481" s="274"/>
      <c r="Q481" s="274"/>
      <c r="R481" s="274"/>
      <c r="S481" s="274"/>
      <c r="T481" s="274"/>
      <c r="U481" s="274"/>
      <c r="V481" s="274"/>
      <c r="W481" s="274"/>
      <c r="X481" s="274"/>
      <c r="Y481" s="274"/>
      <c r="Z481" s="274"/>
      <c r="AA481" s="274"/>
      <c r="AB481" s="274"/>
      <c r="AC481" s="274"/>
      <c r="AD481" s="274"/>
      <c r="AE481" s="274"/>
    </row>
    <row r="482" spans="15:31">
      <c r="O482" s="274"/>
      <c r="P482" s="274"/>
      <c r="Q482" s="274"/>
      <c r="R482" s="274"/>
      <c r="S482" s="274"/>
      <c r="T482" s="274"/>
      <c r="U482" s="274"/>
      <c r="V482" s="274"/>
      <c r="W482" s="274"/>
      <c r="X482" s="274"/>
      <c r="Y482" s="274"/>
      <c r="Z482" s="274"/>
      <c r="AA482" s="274"/>
      <c r="AB482" s="274"/>
      <c r="AC482" s="274"/>
      <c r="AD482" s="274"/>
      <c r="AE482" s="274"/>
    </row>
    <row r="483" spans="15:31">
      <c r="O483" s="274"/>
      <c r="P483" s="274"/>
      <c r="Q483" s="274"/>
      <c r="R483" s="274"/>
      <c r="S483" s="274"/>
      <c r="T483" s="274"/>
      <c r="U483" s="274"/>
      <c r="V483" s="274"/>
      <c r="W483" s="274"/>
      <c r="X483" s="274"/>
      <c r="Y483" s="274"/>
      <c r="Z483" s="274"/>
      <c r="AA483" s="274"/>
      <c r="AB483" s="274"/>
      <c r="AC483" s="274"/>
      <c r="AD483" s="274"/>
      <c r="AE483" s="274"/>
    </row>
    <row r="484" spans="15:31">
      <c r="O484" s="274"/>
      <c r="P484" s="274"/>
      <c r="Q484" s="274"/>
      <c r="R484" s="274"/>
      <c r="S484" s="274"/>
      <c r="T484" s="274"/>
      <c r="U484" s="274"/>
      <c r="V484" s="274"/>
      <c r="W484" s="274"/>
      <c r="X484" s="274"/>
      <c r="Y484" s="274"/>
      <c r="Z484" s="274"/>
      <c r="AA484" s="274"/>
      <c r="AB484" s="274"/>
      <c r="AC484" s="274"/>
      <c r="AD484" s="274"/>
      <c r="AE484" s="274"/>
    </row>
    <row r="485" spans="15:31">
      <c r="O485" s="274"/>
      <c r="P485" s="274"/>
      <c r="Q485" s="274"/>
      <c r="R485" s="274"/>
      <c r="S485" s="274"/>
      <c r="T485" s="274"/>
      <c r="U485" s="274"/>
      <c r="V485" s="274"/>
      <c r="W485" s="274"/>
      <c r="X485" s="274"/>
      <c r="Y485" s="274"/>
      <c r="Z485" s="274"/>
      <c r="AA485" s="274"/>
      <c r="AB485" s="274"/>
      <c r="AC485" s="274"/>
      <c r="AD485" s="274"/>
      <c r="AE485" s="274"/>
    </row>
    <row r="486" spans="15:31">
      <c r="O486" s="274"/>
      <c r="P486" s="274"/>
      <c r="Q486" s="274"/>
      <c r="R486" s="274"/>
      <c r="S486" s="274"/>
      <c r="T486" s="274"/>
      <c r="U486" s="274"/>
      <c r="V486" s="274"/>
      <c r="W486" s="274"/>
      <c r="X486" s="274"/>
      <c r="Y486" s="274"/>
      <c r="Z486" s="274"/>
      <c r="AA486" s="274"/>
      <c r="AB486" s="274"/>
      <c r="AC486" s="274"/>
      <c r="AD486" s="274"/>
      <c r="AE486" s="274"/>
    </row>
    <row r="487" spans="15:31">
      <c r="O487" s="274"/>
      <c r="P487" s="274"/>
      <c r="Q487" s="274"/>
      <c r="R487" s="274"/>
      <c r="S487" s="274"/>
      <c r="T487" s="274"/>
      <c r="U487" s="274"/>
      <c r="V487" s="274"/>
      <c r="W487" s="274"/>
      <c r="X487" s="274"/>
      <c r="Y487" s="274"/>
      <c r="Z487" s="274"/>
      <c r="AA487" s="274"/>
      <c r="AB487" s="274"/>
      <c r="AC487" s="274"/>
      <c r="AD487" s="274"/>
      <c r="AE487" s="274"/>
    </row>
    <row r="488" spans="15:31">
      <c r="O488" s="274"/>
      <c r="P488" s="274"/>
      <c r="Q488" s="274"/>
      <c r="R488" s="274"/>
      <c r="S488" s="274"/>
      <c r="T488" s="274"/>
      <c r="U488" s="274"/>
      <c r="V488" s="274"/>
      <c r="W488" s="274"/>
      <c r="X488" s="274"/>
      <c r="Y488" s="274"/>
      <c r="Z488" s="274"/>
      <c r="AA488" s="274"/>
      <c r="AB488" s="274"/>
      <c r="AC488" s="274"/>
      <c r="AD488" s="274"/>
      <c r="AE488" s="274"/>
    </row>
    <row r="489" spans="15:31">
      <c r="O489" s="274"/>
      <c r="P489" s="274"/>
      <c r="Q489" s="274"/>
      <c r="R489" s="274"/>
      <c r="S489" s="274"/>
      <c r="T489" s="274"/>
      <c r="U489" s="274"/>
      <c r="V489" s="274"/>
      <c r="W489" s="274"/>
      <c r="X489" s="274"/>
      <c r="Y489" s="274"/>
      <c r="Z489" s="274"/>
      <c r="AA489" s="274"/>
      <c r="AB489" s="274"/>
      <c r="AC489" s="274"/>
      <c r="AD489" s="274"/>
      <c r="AE489" s="274"/>
    </row>
    <row r="490" spans="15:31">
      <c r="O490" s="274"/>
      <c r="P490" s="274"/>
      <c r="Q490" s="274"/>
      <c r="R490" s="274"/>
      <c r="S490" s="274"/>
      <c r="T490" s="274"/>
      <c r="U490" s="274"/>
      <c r="V490" s="274"/>
      <c r="W490" s="274"/>
      <c r="X490" s="274"/>
      <c r="Y490" s="274"/>
      <c r="Z490" s="274"/>
      <c r="AA490" s="274"/>
      <c r="AB490" s="274"/>
      <c r="AC490" s="274"/>
      <c r="AD490" s="274"/>
      <c r="AE490" s="274"/>
    </row>
    <row r="491" spans="15:31">
      <c r="O491" s="274"/>
      <c r="P491" s="274"/>
      <c r="Q491" s="274"/>
      <c r="R491" s="274"/>
      <c r="S491" s="274"/>
      <c r="T491" s="274"/>
      <c r="U491" s="274"/>
      <c r="V491" s="274"/>
      <c r="W491" s="274"/>
      <c r="X491" s="274"/>
      <c r="Y491" s="274"/>
      <c r="Z491" s="274"/>
      <c r="AA491" s="274"/>
      <c r="AB491" s="274"/>
      <c r="AC491" s="274"/>
      <c r="AD491" s="274"/>
      <c r="AE491" s="274"/>
    </row>
    <row r="492" spans="15:31">
      <c r="O492" s="274"/>
      <c r="P492" s="274"/>
      <c r="Q492" s="274"/>
      <c r="R492" s="274"/>
      <c r="S492" s="274"/>
      <c r="T492" s="274"/>
      <c r="U492" s="274"/>
      <c r="V492" s="274"/>
      <c r="W492" s="274"/>
      <c r="X492" s="274"/>
      <c r="Y492" s="274"/>
      <c r="Z492" s="274"/>
      <c r="AA492" s="274"/>
      <c r="AB492" s="274"/>
      <c r="AC492" s="274"/>
      <c r="AD492" s="274"/>
      <c r="AE492" s="274"/>
    </row>
    <row r="493" spans="15:31">
      <c r="O493" s="274"/>
      <c r="P493" s="274"/>
      <c r="Q493" s="274"/>
      <c r="R493" s="274"/>
      <c r="S493" s="274"/>
      <c r="T493" s="274"/>
      <c r="U493" s="274"/>
      <c r="V493" s="274"/>
      <c r="W493" s="274"/>
      <c r="X493" s="274"/>
      <c r="Y493" s="274"/>
      <c r="Z493" s="274"/>
      <c r="AA493" s="274"/>
      <c r="AB493" s="274"/>
      <c r="AC493" s="274"/>
      <c r="AD493" s="274"/>
      <c r="AE493" s="274"/>
    </row>
    <row r="494" spans="15:31">
      <c r="O494" s="274"/>
      <c r="P494" s="274"/>
      <c r="Q494" s="274"/>
      <c r="R494" s="274"/>
      <c r="S494" s="274"/>
      <c r="T494" s="274"/>
      <c r="U494" s="274"/>
      <c r="V494" s="274"/>
      <c r="W494" s="274"/>
      <c r="X494" s="274"/>
      <c r="Y494" s="274"/>
      <c r="Z494" s="274"/>
      <c r="AA494" s="274"/>
      <c r="AB494" s="274"/>
      <c r="AC494" s="274"/>
      <c r="AD494" s="274"/>
      <c r="AE494" s="274"/>
    </row>
    <row r="495" spans="15:31">
      <c r="O495" s="274"/>
      <c r="P495" s="274"/>
      <c r="Q495" s="274"/>
      <c r="R495" s="274"/>
      <c r="S495" s="274"/>
      <c r="T495" s="274"/>
      <c r="U495" s="274"/>
      <c r="V495" s="274"/>
      <c r="W495" s="274"/>
      <c r="X495" s="274"/>
      <c r="Y495" s="274"/>
      <c r="Z495" s="274"/>
      <c r="AA495" s="274"/>
      <c r="AB495" s="274"/>
      <c r="AC495" s="274"/>
      <c r="AD495" s="274"/>
      <c r="AE495" s="274"/>
    </row>
    <row r="496" spans="15:31">
      <c r="O496" s="274"/>
      <c r="P496" s="274"/>
      <c r="Q496" s="274"/>
      <c r="R496" s="274"/>
      <c r="S496" s="274"/>
      <c r="T496" s="274"/>
      <c r="U496" s="274"/>
      <c r="V496" s="274"/>
      <c r="W496" s="274"/>
      <c r="X496" s="274"/>
      <c r="Y496" s="274"/>
      <c r="Z496" s="274"/>
      <c r="AA496" s="274"/>
      <c r="AB496" s="274"/>
      <c r="AC496" s="274"/>
      <c r="AD496" s="274"/>
      <c r="AE496" s="274"/>
    </row>
    <row r="497" spans="15:31">
      <c r="O497" s="274"/>
      <c r="P497" s="274"/>
      <c r="Q497" s="274"/>
      <c r="R497" s="274"/>
      <c r="S497" s="274"/>
      <c r="T497" s="274"/>
      <c r="U497" s="274"/>
      <c r="V497" s="274"/>
      <c r="W497" s="274"/>
      <c r="X497" s="274"/>
      <c r="Y497" s="274"/>
      <c r="Z497" s="274"/>
      <c r="AA497" s="274"/>
      <c r="AB497" s="274"/>
      <c r="AC497" s="274"/>
      <c r="AD497" s="274"/>
      <c r="AE497" s="274"/>
    </row>
    <row r="498" spans="15:31">
      <c r="O498" s="274"/>
      <c r="P498" s="274"/>
      <c r="Q498" s="274"/>
      <c r="R498" s="274"/>
      <c r="S498" s="274"/>
      <c r="T498" s="274"/>
      <c r="U498" s="274"/>
      <c r="V498" s="274"/>
      <c r="W498" s="274"/>
      <c r="X498" s="274"/>
      <c r="Y498" s="274"/>
      <c r="Z498" s="274"/>
      <c r="AA498" s="274"/>
      <c r="AB498" s="274"/>
      <c r="AC498" s="274"/>
      <c r="AD498" s="274"/>
      <c r="AE498" s="274"/>
    </row>
    <row r="499" spans="15:31">
      <c r="O499" s="274"/>
      <c r="P499" s="274"/>
      <c r="Q499" s="274"/>
      <c r="R499" s="274"/>
      <c r="S499" s="274"/>
      <c r="T499" s="274"/>
      <c r="U499" s="274"/>
      <c r="V499" s="274"/>
      <c r="W499" s="274"/>
      <c r="X499" s="274"/>
      <c r="Y499" s="274"/>
      <c r="Z499" s="274"/>
      <c r="AA499" s="274"/>
      <c r="AB499" s="274"/>
      <c r="AC499" s="274"/>
      <c r="AD499" s="274"/>
      <c r="AE499" s="274"/>
    </row>
    <row r="500" spans="15:31">
      <c r="O500" s="274"/>
      <c r="P500" s="274"/>
      <c r="Q500" s="274"/>
      <c r="R500" s="274"/>
      <c r="S500" s="274"/>
      <c r="T500" s="274"/>
      <c r="U500" s="274"/>
      <c r="V500" s="274"/>
      <c r="W500" s="274"/>
      <c r="X500" s="274"/>
      <c r="Y500" s="274"/>
      <c r="Z500" s="274"/>
      <c r="AA500" s="274"/>
      <c r="AB500" s="274"/>
      <c r="AC500" s="274"/>
      <c r="AD500" s="274"/>
      <c r="AE500" s="274"/>
    </row>
    <row r="501" spans="15:31">
      <c r="O501" s="274"/>
      <c r="P501" s="274"/>
      <c r="Q501" s="274"/>
      <c r="R501" s="274"/>
      <c r="S501" s="274"/>
      <c r="T501" s="274"/>
      <c r="U501" s="274"/>
      <c r="V501" s="274"/>
      <c r="W501" s="274"/>
      <c r="X501" s="274"/>
      <c r="Y501" s="274"/>
      <c r="Z501" s="274"/>
      <c r="AA501" s="274"/>
      <c r="AB501" s="274"/>
      <c r="AC501" s="274"/>
      <c r="AD501" s="274"/>
      <c r="AE501" s="274"/>
    </row>
    <row r="502" spans="15:31">
      <c r="O502" s="274"/>
      <c r="P502" s="274"/>
      <c r="Q502" s="274"/>
      <c r="R502" s="274"/>
      <c r="S502" s="274"/>
      <c r="T502" s="274"/>
      <c r="U502" s="274"/>
      <c r="V502" s="274"/>
      <c r="W502" s="274"/>
      <c r="X502" s="274"/>
      <c r="Y502" s="274"/>
      <c r="Z502" s="274"/>
      <c r="AA502" s="274"/>
      <c r="AB502" s="274"/>
      <c r="AC502" s="274"/>
      <c r="AD502" s="274"/>
      <c r="AE502" s="274"/>
    </row>
    <row r="503" spans="15:31">
      <c r="O503" s="274"/>
      <c r="P503" s="274"/>
      <c r="Q503" s="274"/>
      <c r="R503" s="274"/>
      <c r="S503" s="274"/>
      <c r="T503" s="274"/>
      <c r="U503" s="274"/>
      <c r="V503" s="274"/>
      <c r="W503" s="274"/>
      <c r="X503" s="274"/>
      <c r="Y503" s="274"/>
      <c r="Z503" s="274"/>
      <c r="AA503" s="274"/>
      <c r="AB503" s="274"/>
      <c r="AC503" s="274"/>
      <c r="AD503" s="274"/>
      <c r="AE503" s="274"/>
    </row>
    <row r="504" spans="15:31">
      <c r="O504" s="274"/>
      <c r="P504" s="274"/>
      <c r="Q504" s="274"/>
      <c r="R504" s="274"/>
      <c r="S504" s="274"/>
      <c r="T504" s="274"/>
      <c r="U504" s="274"/>
      <c r="V504" s="274"/>
      <c r="W504" s="274"/>
      <c r="X504" s="274"/>
      <c r="Y504" s="274"/>
      <c r="Z504" s="274"/>
      <c r="AA504" s="274"/>
      <c r="AB504" s="274"/>
      <c r="AC504" s="274"/>
      <c r="AD504" s="274"/>
      <c r="AE504" s="274"/>
    </row>
    <row r="505" spans="15:31">
      <c r="O505" s="274"/>
      <c r="P505" s="274"/>
      <c r="Q505" s="274"/>
      <c r="R505" s="274"/>
      <c r="S505" s="274"/>
      <c r="T505" s="274"/>
      <c r="U505" s="274"/>
      <c r="V505" s="274"/>
      <c r="W505" s="274"/>
      <c r="X505" s="274"/>
      <c r="Y505" s="274"/>
      <c r="Z505" s="274"/>
      <c r="AA505" s="274"/>
      <c r="AB505" s="274"/>
      <c r="AC505" s="274"/>
      <c r="AD505" s="274"/>
      <c r="AE505" s="274"/>
    </row>
    <row r="506" spans="15:31">
      <c r="O506" s="274"/>
      <c r="P506" s="274"/>
      <c r="Q506" s="274"/>
      <c r="R506" s="274"/>
      <c r="S506" s="274"/>
      <c r="T506" s="274"/>
      <c r="U506" s="274"/>
      <c r="V506" s="274"/>
      <c r="W506" s="274"/>
      <c r="X506" s="274"/>
      <c r="Y506" s="274"/>
      <c r="Z506" s="274"/>
      <c r="AA506" s="274"/>
      <c r="AB506" s="274"/>
      <c r="AC506" s="274"/>
      <c r="AD506" s="274"/>
      <c r="AE506" s="274"/>
    </row>
    <row r="507" spans="15:31">
      <c r="O507" s="274"/>
      <c r="P507" s="274"/>
      <c r="Q507" s="274"/>
      <c r="R507" s="274"/>
      <c r="S507" s="274"/>
      <c r="T507" s="274"/>
      <c r="U507" s="274"/>
      <c r="V507" s="274"/>
      <c r="W507" s="274"/>
      <c r="X507" s="274"/>
      <c r="Y507" s="274"/>
      <c r="Z507" s="274"/>
      <c r="AA507" s="274"/>
      <c r="AB507" s="274"/>
      <c r="AC507" s="274"/>
      <c r="AD507" s="274"/>
      <c r="AE507" s="274"/>
    </row>
    <row r="508" spans="15:31">
      <c r="O508" s="274"/>
      <c r="P508" s="274"/>
      <c r="Q508" s="274"/>
      <c r="R508" s="274"/>
      <c r="S508" s="274"/>
      <c r="T508" s="274"/>
      <c r="U508" s="274"/>
      <c r="V508" s="274"/>
      <c r="W508" s="274"/>
      <c r="X508" s="274"/>
      <c r="Y508" s="274"/>
      <c r="Z508" s="274"/>
      <c r="AA508" s="274"/>
      <c r="AB508" s="274"/>
      <c r="AC508" s="274"/>
      <c r="AD508" s="274"/>
      <c r="AE508" s="274"/>
    </row>
    <row r="509" spans="15:31">
      <c r="O509" s="274"/>
      <c r="P509" s="274"/>
      <c r="Q509" s="274"/>
      <c r="R509" s="274"/>
      <c r="S509" s="274"/>
      <c r="T509" s="274"/>
      <c r="U509" s="274"/>
      <c r="V509" s="274"/>
      <c r="W509" s="274"/>
      <c r="X509" s="274"/>
      <c r="Y509" s="274"/>
      <c r="Z509" s="274"/>
      <c r="AA509" s="274"/>
      <c r="AB509" s="274"/>
      <c r="AC509" s="274"/>
      <c r="AD509" s="274"/>
      <c r="AE509" s="274"/>
    </row>
    <row r="510" spans="15:31">
      <c r="O510" s="274"/>
      <c r="P510" s="274"/>
      <c r="Q510" s="274"/>
      <c r="R510" s="274"/>
      <c r="S510" s="274"/>
      <c r="T510" s="274"/>
      <c r="U510" s="274"/>
      <c r="V510" s="274"/>
      <c r="W510" s="274"/>
      <c r="X510" s="274"/>
      <c r="Y510" s="274"/>
      <c r="Z510" s="274"/>
      <c r="AA510" s="274"/>
      <c r="AB510" s="274"/>
      <c r="AC510" s="274"/>
      <c r="AD510" s="274"/>
      <c r="AE510" s="274"/>
    </row>
    <row r="511" spans="15:31">
      <c r="O511" s="274"/>
      <c r="P511" s="274"/>
      <c r="Q511" s="274"/>
      <c r="R511" s="274"/>
      <c r="S511" s="274"/>
      <c r="T511" s="274"/>
      <c r="U511" s="274"/>
      <c r="V511" s="274"/>
      <c r="W511" s="274"/>
      <c r="X511" s="274"/>
      <c r="Y511" s="274"/>
      <c r="Z511" s="274"/>
      <c r="AA511" s="274"/>
      <c r="AB511" s="274"/>
      <c r="AC511" s="274"/>
      <c r="AD511" s="274"/>
      <c r="AE511" s="274"/>
    </row>
    <row r="512" spans="15:31">
      <c r="O512" s="274"/>
      <c r="P512" s="274"/>
      <c r="Q512" s="274"/>
      <c r="R512" s="274"/>
      <c r="S512" s="274"/>
      <c r="T512" s="274"/>
      <c r="U512" s="274"/>
      <c r="V512" s="274"/>
      <c r="W512" s="274"/>
      <c r="X512" s="274"/>
      <c r="Y512" s="274"/>
      <c r="Z512" s="274"/>
      <c r="AA512" s="274"/>
      <c r="AB512" s="274"/>
      <c r="AC512" s="274"/>
      <c r="AD512" s="274"/>
      <c r="AE512" s="274"/>
    </row>
    <row r="513" spans="15:31">
      <c r="O513" s="274"/>
      <c r="P513" s="274"/>
      <c r="Q513" s="274"/>
      <c r="R513" s="274"/>
      <c r="S513" s="274"/>
      <c r="T513" s="274"/>
      <c r="U513" s="274"/>
      <c r="V513" s="274"/>
      <c r="W513" s="274"/>
      <c r="X513" s="274"/>
      <c r="Y513" s="274"/>
      <c r="Z513" s="274"/>
      <c r="AA513" s="274"/>
      <c r="AB513" s="274"/>
      <c r="AC513" s="274"/>
      <c r="AD513" s="274"/>
      <c r="AE513" s="274"/>
    </row>
    <row r="514" spans="15:31">
      <c r="O514" s="274"/>
      <c r="P514" s="274"/>
      <c r="Q514" s="274"/>
      <c r="R514" s="274"/>
      <c r="S514" s="274"/>
      <c r="T514" s="274"/>
      <c r="U514" s="274"/>
      <c r="V514" s="274"/>
      <c r="W514" s="274"/>
      <c r="X514" s="274"/>
      <c r="Y514" s="274"/>
      <c r="Z514" s="274"/>
      <c r="AA514" s="274"/>
      <c r="AB514" s="274"/>
      <c r="AC514" s="274"/>
      <c r="AD514" s="274"/>
      <c r="AE514" s="274"/>
    </row>
    <row r="515" spans="15:31">
      <c r="O515" s="274"/>
      <c r="P515" s="274"/>
      <c r="Q515" s="274"/>
      <c r="R515" s="274"/>
      <c r="S515" s="274"/>
      <c r="T515" s="274"/>
      <c r="U515" s="274"/>
      <c r="V515" s="274"/>
      <c r="W515" s="274"/>
      <c r="X515" s="274"/>
      <c r="Y515" s="274"/>
      <c r="Z515" s="274"/>
      <c r="AA515" s="274"/>
      <c r="AB515" s="274"/>
      <c r="AC515" s="274"/>
      <c r="AD515" s="274"/>
      <c r="AE515" s="274"/>
    </row>
    <row r="516" spans="15:31">
      <c r="O516" s="274"/>
      <c r="P516" s="274"/>
      <c r="Q516" s="274"/>
      <c r="R516" s="274"/>
      <c r="S516" s="274"/>
      <c r="T516" s="274"/>
      <c r="U516" s="274"/>
      <c r="V516" s="274"/>
      <c r="W516" s="274"/>
      <c r="X516" s="274"/>
      <c r="Y516" s="274"/>
      <c r="Z516" s="274"/>
      <c r="AA516" s="274"/>
      <c r="AB516" s="274"/>
      <c r="AC516" s="274"/>
      <c r="AD516" s="274"/>
      <c r="AE516" s="274"/>
    </row>
    <row r="517" spans="15:31">
      <c r="O517" s="274"/>
      <c r="P517" s="274"/>
      <c r="Q517" s="274"/>
      <c r="R517" s="274"/>
      <c r="S517" s="274"/>
      <c r="T517" s="274"/>
      <c r="U517" s="274"/>
      <c r="V517" s="274"/>
      <c r="W517" s="274"/>
      <c r="X517" s="274"/>
      <c r="Y517" s="274"/>
      <c r="Z517" s="274"/>
      <c r="AA517" s="274"/>
      <c r="AB517" s="274"/>
      <c r="AC517" s="274"/>
      <c r="AD517" s="274"/>
      <c r="AE517" s="274"/>
    </row>
    <row r="518" spans="15:31">
      <c r="O518" s="274"/>
      <c r="P518" s="274"/>
      <c r="Q518" s="274"/>
      <c r="R518" s="274"/>
      <c r="S518" s="274"/>
      <c r="T518" s="274"/>
      <c r="U518" s="274"/>
      <c r="V518" s="274"/>
      <c r="W518" s="274"/>
      <c r="X518" s="274"/>
      <c r="Y518" s="274"/>
      <c r="Z518" s="274"/>
      <c r="AA518" s="274"/>
      <c r="AB518" s="274"/>
      <c r="AC518" s="274"/>
      <c r="AD518" s="274"/>
      <c r="AE518" s="274"/>
    </row>
    <row r="519" spans="15:31">
      <c r="O519" s="274"/>
      <c r="P519" s="274"/>
      <c r="Q519" s="274"/>
      <c r="R519" s="274"/>
      <c r="S519" s="274"/>
      <c r="T519" s="274"/>
      <c r="U519" s="274"/>
      <c r="V519" s="274"/>
      <c r="W519" s="274"/>
      <c r="X519" s="274"/>
      <c r="Y519" s="274"/>
      <c r="Z519" s="274"/>
      <c r="AA519" s="274"/>
      <c r="AB519" s="274"/>
      <c r="AC519" s="274"/>
      <c r="AD519" s="274"/>
      <c r="AE519" s="274"/>
    </row>
    <row r="520" spans="15:31">
      <c r="O520" s="274"/>
      <c r="P520" s="274"/>
      <c r="Q520" s="274"/>
      <c r="R520" s="274"/>
      <c r="S520" s="274"/>
      <c r="T520" s="274"/>
      <c r="U520" s="274"/>
      <c r="V520" s="274"/>
      <c r="W520" s="274"/>
      <c r="X520" s="274"/>
      <c r="Y520" s="274"/>
      <c r="Z520" s="274"/>
      <c r="AA520" s="274"/>
      <c r="AB520" s="274"/>
      <c r="AC520" s="274"/>
      <c r="AD520" s="274"/>
      <c r="AE520" s="274"/>
    </row>
    <row r="521" spans="15:31">
      <c r="O521" s="274"/>
      <c r="P521" s="274"/>
      <c r="Q521" s="274"/>
      <c r="R521" s="274"/>
      <c r="S521" s="274"/>
      <c r="T521" s="274"/>
      <c r="U521" s="274"/>
      <c r="V521" s="274"/>
      <c r="W521" s="274"/>
      <c r="X521" s="274"/>
      <c r="Y521" s="274"/>
      <c r="Z521" s="274"/>
      <c r="AA521" s="274"/>
      <c r="AB521" s="274"/>
      <c r="AC521" s="274"/>
      <c r="AD521" s="274"/>
      <c r="AE521" s="274"/>
    </row>
    <row r="522" spans="15:31">
      <c r="O522" s="274"/>
      <c r="P522" s="274"/>
      <c r="Q522" s="274"/>
      <c r="R522" s="274"/>
      <c r="S522" s="274"/>
      <c r="T522" s="274"/>
      <c r="U522" s="274"/>
      <c r="V522" s="274"/>
      <c r="W522" s="274"/>
      <c r="X522" s="274"/>
      <c r="Y522" s="274"/>
      <c r="Z522" s="274"/>
      <c r="AA522" s="274"/>
      <c r="AB522" s="274"/>
      <c r="AC522" s="274"/>
      <c r="AD522" s="274"/>
      <c r="AE522" s="274"/>
    </row>
    <row r="523" spans="15:31">
      <c r="O523" s="274"/>
      <c r="P523" s="274"/>
      <c r="Q523" s="274"/>
      <c r="R523" s="274"/>
      <c r="S523" s="274"/>
      <c r="T523" s="274"/>
      <c r="U523" s="274"/>
      <c r="V523" s="274"/>
      <c r="W523" s="274"/>
      <c r="X523" s="274"/>
      <c r="Y523" s="274"/>
      <c r="Z523" s="274"/>
      <c r="AA523" s="274"/>
      <c r="AB523" s="274"/>
      <c r="AC523" s="274"/>
      <c r="AD523" s="274"/>
      <c r="AE523" s="274"/>
    </row>
    <row r="524" spans="15:31">
      <c r="O524" s="274"/>
      <c r="P524" s="274"/>
      <c r="Q524" s="274"/>
      <c r="R524" s="274"/>
      <c r="S524" s="274"/>
      <c r="T524" s="274"/>
      <c r="U524" s="274"/>
      <c r="V524" s="274"/>
      <c r="W524" s="274"/>
      <c r="X524" s="274"/>
      <c r="Y524" s="274"/>
      <c r="Z524" s="274"/>
      <c r="AA524" s="274"/>
      <c r="AB524" s="274"/>
      <c r="AC524" s="274"/>
      <c r="AD524" s="274"/>
      <c r="AE524" s="274"/>
    </row>
    <row r="525" spans="15:31">
      <c r="O525" s="274"/>
      <c r="P525" s="274"/>
      <c r="Q525" s="274"/>
      <c r="R525" s="274"/>
      <c r="S525" s="274"/>
      <c r="T525" s="274"/>
      <c r="U525" s="274"/>
      <c r="V525" s="274"/>
      <c r="W525" s="274"/>
      <c r="X525" s="274"/>
      <c r="Y525" s="274"/>
      <c r="Z525" s="274"/>
      <c r="AA525" s="274"/>
      <c r="AB525" s="274"/>
      <c r="AC525" s="274"/>
      <c r="AD525" s="274"/>
      <c r="AE525" s="274"/>
    </row>
    <row r="526" spans="15:31">
      <c r="O526" s="274"/>
      <c r="P526" s="274"/>
      <c r="Q526" s="274"/>
      <c r="R526" s="274"/>
      <c r="S526" s="274"/>
      <c r="T526" s="274"/>
      <c r="U526" s="274"/>
      <c r="V526" s="274"/>
      <c r="W526" s="274"/>
      <c r="X526" s="274"/>
      <c r="Y526" s="274"/>
      <c r="Z526" s="274"/>
      <c r="AA526" s="274"/>
      <c r="AB526" s="274"/>
      <c r="AC526" s="274"/>
      <c r="AD526" s="274"/>
      <c r="AE526" s="274"/>
    </row>
    <row r="527" spans="15:31">
      <c r="O527" s="274"/>
      <c r="P527" s="274"/>
      <c r="Q527" s="274"/>
      <c r="R527" s="274"/>
      <c r="S527" s="274"/>
      <c r="T527" s="274"/>
      <c r="U527" s="274"/>
      <c r="V527" s="274"/>
      <c r="W527" s="274"/>
      <c r="X527" s="274"/>
      <c r="Y527" s="274"/>
      <c r="Z527" s="274"/>
      <c r="AA527" s="274"/>
      <c r="AB527" s="274"/>
      <c r="AC527" s="274"/>
      <c r="AD527" s="274"/>
      <c r="AE527" s="274"/>
    </row>
    <row r="528" spans="15:31">
      <c r="O528" s="274"/>
      <c r="P528" s="274"/>
      <c r="Q528" s="274"/>
      <c r="R528" s="274"/>
      <c r="S528" s="274"/>
      <c r="T528" s="274"/>
      <c r="U528" s="274"/>
      <c r="V528" s="274"/>
      <c r="W528" s="274"/>
      <c r="X528" s="274"/>
      <c r="Y528" s="274"/>
      <c r="Z528" s="274"/>
      <c r="AA528" s="274"/>
      <c r="AB528" s="274"/>
      <c r="AC528" s="274"/>
      <c r="AD528" s="274"/>
      <c r="AE528" s="274"/>
    </row>
    <row r="529" spans="15:31">
      <c r="O529" s="274"/>
      <c r="P529" s="274"/>
      <c r="Q529" s="274"/>
      <c r="R529" s="274"/>
      <c r="S529" s="274"/>
      <c r="T529" s="274"/>
      <c r="U529" s="274"/>
      <c r="V529" s="274"/>
      <c r="W529" s="274"/>
      <c r="X529" s="274"/>
      <c r="Y529" s="274"/>
      <c r="Z529" s="274"/>
      <c r="AA529" s="274"/>
      <c r="AB529" s="274"/>
      <c r="AC529" s="274"/>
      <c r="AD529" s="274"/>
      <c r="AE529" s="274"/>
    </row>
    <row r="530" spans="15:31">
      <c r="O530" s="274"/>
      <c r="P530" s="274"/>
      <c r="Q530" s="274"/>
      <c r="R530" s="274"/>
      <c r="S530" s="274"/>
      <c r="T530" s="274"/>
      <c r="U530" s="274"/>
      <c r="V530" s="274"/>
      <c r="W530" s="274"/>
      <c r="X530" s="274"/>
      <c r="Y530" s="274"/>
      <c r="Z530" s="274"/>
      <c r="AA530" s="274"/>
      <c r="AB530" s="274"/>
      <c r="AC530" s="274"/>
      <c r="AD530" s="274"/>
      <c r="AE530" s="274"/>
    </row>
    <row r="531" spans="15:31">
      <c r="O531" s="274"/>
      <c r="P531" s="274"/>
      <c r="Q531" s="274"/>
      <c r="R531" s="274"/>
      <c r="S531" s="274"/>
      <c r="T531" s="274"/>
      <c r="U531" s="274"/>
      <c r="V531" s="274"/>
      <c r="W531" s="274"/>
      <c r="X531" s="274"/>
      <c r="Y531" s="274"/>
      <c r="Z531" s="274"/>
      <c r="AA531" s="274"/>
      <c r="AB531" s="274"/>
      <c r="AC531" s="274"/>
      <c r="AD531" s="274"/>
      <c r="AE531" s="274"/>
    </row>
    <row r="532" spans="15:31">
      <c r="O532" s="274"/>
      <c r="P532" s="274"/>
      <c r="Q532" s="274"/>
      <c r="R532" s="274"/>
      <c r="S532" s="274"/>
      <c r="T532" s="274"/>
      <c r="U532" s="274"/>
      <c r="V532" s="274"/>
      <c r="W532" s="274"/>
      <c r="X532" s="274"/>
      <c r="Y532" s="274"/>
      <c r="Z532" s="274"/>
      <c r="AA532" s="274"/>
      <c r="AB532" s="274"/>
      <c r="AC532" s="274"/>
      <c r="AD532" s="274"/>
      <c r="AE532" s="274"/>
    </row>
    <row r="533" spans="15:31">
      <c r="O533" s="274"/>
      <c r="P533" s="274"/>
      <c r="Q533" s="274"/>
      <c r="R533" s="274"/>
      <c r="S533" s="274"/>
      <c r="T533" s="274"/>
      <c r="U533" s="274"/>
      <c r="V533" s="274"/>
      <c r="W533" s="274"/>
      <c r="X533" s="274"/>
      <c r="Y533" s="274"/>
      <c r="Z533" s="274"/>
      <c r="AA533" s="274"/>
      <c r="AB533" s="274"/>
      <c r="AC533" s="274"/>
      <c r="AD533" s="274"/>
      <c r="AE533" s="274"/>
    </row>
    <row r="534" spans="15:31">
      <c r="O534" s="274"/>
      <c r="P534" s="274"/>
      <c r="Q534" s="274"/>
      <c r="R534" s="274"/>
      <c r="S534" s="274"/>
      <c r="T534" s="274"/>
      <c r="U534" s="274"/>
      <c r="V534" s="274"/>
      <c r="W534" s="274"/>
      <c r="X534" s="274"/>
      <c r="Y534" s="274"/>
      <c r="Z534" s="274"/>
      <c r="AA534" s="274"/>
      <c r="AB534" s="274"/>
      <c r="AC534" s="274"/>
      <c r="AD534" s="274"/>
      <c r="AE534" s="274"/>
    </row>
    <row r="535" spans="15:31">
      <c r="O535" s="274"/>
      <c r="P535" s="274"/>
      <c r="Q535" s="274"/>
      <c r="R535" s="274"/>
      <c r="S535" s="274"/>
      <c r="T535" s="274"/>
      <c r="U535" s="274"/>
      <c r="V535" s="274"/>
      <c r="W535" s="274"/>
      <c r="X535" s="274"/>
      <c r="Y535" s="274"/>
      <c r="Z535" s="274"/>
      <c r="AA535" s="274"/>
      <c r="AB535" s="274"/>
      <c r="AC535" s="274"/>
      <c r="AD535" s="274"/>
      <c r="AE535" s="274"/>
    </row>
    <row r="536" spans="15:31">
      <c r="O536" s="274"/>
      <c r="P536" s="274"/>
      <c r="Q536" s="274"/>
      <c r="R536" s="274"/>
      <c r="S536" s="274"/>
      <c r="T536" s="274"/>
      <c r="U536" s="274"/>
      <c r="V536" s="274"/>
      <c r="W536" s="274"/>
      <c r="X536" s="274"/>
      <c r="Y536" s="274"/>
      <c r="Z536" s="274"/>
      <c r="AA536" s="274"/>
      <c r="AB536" s="274"/>
      <c r="AC536" s="274"/>
      <c r="AD536" s="274"/>
      <c r="AE536" s="274"/>
    </row>
    <row r="537" spans="15:31">
      <c r="O537" s="274"/>
      <c r="P537" s="274"/>
      <c r="Q537" s="274"/>
      <c r="R537" s="274"/>
      <c r="S537" s="274"/>
      <c r="T537" s="274"/>
      <c r="U537" s="274"/>
      <c r="V537" s="274"/>
      <c r="W537" s="274"/>
      <c r="X537" s="274"/>
      <c r="Y537" s="274"/>
      <c r="Z537" s="274"/>
      <c r="AA537" s="274"/>
      <c r="AB537" s="274"/>
      <c r="AC537" s="274"/>
      <c r="AD537" s="274"/>
      <c r="AE537" s="274"/>
    </row>
    <row r="538" spans="15:31">
      <c r="O538" s="274"/>
      <c r="P538" s="274"/>
      <c r="Q538" s="274"/>
      <c r="R538" s="274"/>
      <c r="S538" s="274"/>
      <c r="T538" s="274"/>
      <c r="U538" s="274"/>
      <c r="V538" s="274"/>
      <c r="W538" s="274"/>
      <c r="X538" s="274"/>
      <c r="Y538" s="274"/>
      <c r="Z538" s="274"/>
      <c r="AA538" s="274"/>
      <c r="AB538" s="274"/>
      <c r="AC538" s="274"/>
      <c r="AD538" s="274"/>
      <c r="AE538" s="274"/>
    </row>
    <row r="539" spans="15:31">
      <c r="O539" s="274"/>
      <c r="P539" s="274"/>
      <c r="Q539" s="274"/>
      <c r="R539" s="274"/>
      <c r="S539" s="274"/>
      <c r="T539" s="274"/>
      <c r="U539" s="274"/>
      <c r="V539" s="274"/>
      <c r="W539" s="274"/>
      <c r="X539" s="274"/>
      <c r="Y539" s="274"/>
      <c r="Z539" s="274"/>
      <c r="AA539" s="274"/>
      <c r="AB539" s="274"/>
      <c r="AC539" s="274"/>
      <c r="AD539" s="274"/>
      <c r="AE539" s="274"/>
    </row>
    <row r="540" spans="15:31">
      <c r="O540" s="274"/>
      <c r="P540" s="274"/>
      <c r="Q540" s="274"/>
      <c r="R540" s="274"/>
      <c r="S540" s="274"/>
      <c r="T540" s="274"/>
      <c r="U540" s="274"/>
      <c r="V540" s="274"/>
      <c r="W540" s="274"/>
      <c r="X540" s="274"/>
      <c r="Y540" s="274"/>
      <c r="Z540" s="274"/>
      <c r="AA540" s="274"/>
      <c r="AB540" s="274"/>
      <c r="AC540" s="274"/>
      <c r="AD540" s="274"/>
      <c r="AE540" s="274"/>
    </row>
    <row r="541" spans="15:31">
      <c r="O541" s="274"/>
      <c r="P541" s="274"/>
      <c r="Q541" s="274"/>
      <c r="R541" s="274"/>
      <c r="S541" s="274"/>
      <c r="T541" s="274"/>
      <c r="U541" s="274"/>
      <c r="V541" s="274"/>
      <c r="W541" s="274"/>
      <c r="X541" s="274"/>
      <c r="Y541" s="274"/>
      <c r="Z541" s="274"/>
      <c r="AA541" s="274"/>
      <c r="AB541" s="274"/>
      <c r="AC541" s="274"/>
      <c r="AD541" s="274"/>
      <c r="AE541" s="274"/>
    </row>
    <row r="542" spans="15:31">
      <c r="O542" s="274"/>
      <c r="P542" s="274"/>
      <c r="Q542" s="274"/>
      <c r="R542" s="274"/>
      <c r="S542" s="274"/>
      <c r="T542" s="274"/>
      <c r="U542" s="274"/>
      <c r="V542" s="274"/>
      <c r="W542" s="274"/>
      <c r="X542" s="274"/>
      <c r="Y542" s="274"/>
      <c r="Z542" s="274"/>
      <c r="AA542" s="274"/>
      <c r="AB542" s="274"/>
      <c r="AC542" s="274"/>
      <c r="AD542" s="274"/>
      <c r="AE542" s="274"/>
    </row>
    <row r="543" spans="15:31">
      <c r="O543" s="274"/>
      <c r="P543" s="274"/>
      <c r="Q543" s="274"/>
      <c r="R543" s="274"/>
      <c r="S543" s="274"/>
      <c r="T543" s="274"/>
      <c r="U543" s="274"/>
      <c r="V543" s="274"/>
      <c r="W543" s="274"/>
      <c r="X543" s="274"/>
      <c r="Y543" s="274"/>
      <c r="Z543" s="274"/>
      <c r="AA543" s="274"/>
      <c r="AB543" s="274"/>
      <c r="AC543" s="274"/>
      <c r="AD543" s="274"/>
      <c r="AE543" s="274"/>
    </row>
    <row r="544" spans="15:31">
      <c r="O544" s="274"/>
      <c r="P544" s="274"/>
      <c r="Q544" s="274"/>
      <c r="R544" s="274"/>
      <c r="S544" s="274"/>
      <c r="T544" s="274"/>
      <c r="U544" s="274"/>
      <c r="V544" s="274"/>
      <c r="W544" s="274"/>
      <c r="X544" s="274"/>
      <c r="Y544" s="274"/>
      <c r="Z544" s="274"/>
      <c r="AA544" s="274"/>
      <c r="AB544" s="274"/>
      <c r="AC544" s="274"/>
      <c r="AD544" s="274"/>
      <c r="AE544" s="274"/>
    </row>
    <row r="545" spans="15:31">
      <c r="O545" s="274"/>
      <c r="P545" s="274"/>
      <c r="Q545" s="274"/>
      <c r="R545" s="274"/>
      <c r="S545" s="274"/>
      <c r="T545" s="274"/>
      <c r="U545" s="274"/>
      <c r="V545" s="274"/>
      <c r="W545" s="274"/>
      <c r="X545" s="274"/>
      <c r="Y545" s="274"/>
      <c r="Z545" s="274"/>
      <c r="AA545" s="274"/>
      <c r="AB545" s="274"/>
      <c r="AC545" s="274"/>
      <c r="AD545" s="274"/>
      <c r="AE545" s="274"/>
    </row>
    <row r="546" spans="15:31">
      <c r="O546" s="274"/>
      <c r="P546" s="274"/>
      <c r="Q546" s="274"/>
      <c r="R546" s="274"/>
      <c r="S546" s="274"/>
      <c r="T546" s="274"/>
      <c r="U546" s="274"/>
      <c r="V546" s="274"/>
      <c r="W546" s="274"/>
      <c r="X546" s="274"/>
      <c r="Y546" s="274"/>
      <c r="Z546" s="274"/>
      <c r="AA546" s="274"/>
      <c r="AB546" s="274"/>
      <c r="AC546" s="274"/>
      <c r="AD546" s="274"/>
      <c r="AE546" s="274"/>
    </row>
    <row r="547" spans="15:31">
      <c r="O547" s="274"/>
      <c r="P547" s="274"/>
      <c r="Q547" s="274"/>
      <c r="R547" s="274"/>
      <c r="S547" s="274"/>
      <c r="T547" s="274"/>
      <c r="U547" s="274"/>
      <c r="V547" s="274"/>
      <c r="W547" s="274"/>
      <c r="X547" s="274"/>
      <c r="Y547" s="274"/>
      <c r="Z547" s="274"/>
      <c r="AA547" s="274"/>
      <c r="AB547" s="274"/>
      <c r="AC547" s="274"/>
      <c r="AD547" s="274"/>
      <c r="AE547" s="274"/>
    </row>
    <row r="548" spans="15:31">
      <c r="O548" s="274"/>
      <c r="P548" s="274"/>
      <c r="Q548" s="274"/>
      <c r="R548" s="274"/>
      <c r="S548" s="274"/>
      <c r="T548" s="274"/>
      <c r="U548" s="274"/>
      <c r="V548" s="274"/>
      <c r="W548" s="274"/>
      <c r="X548" s="274"/>
      <c r="Y548" s="274"/>
      <c r="Z548" s="274"/>
      <c r="AA548" s="274"/>
      <c r="AB548" s="274"/>
      <c r="AC548" s="274"/>
      <c r="AD548" s="274"/>
      <c r="AE548" s="274"/>
    </row>
    <row r="549" spans="15:31">
      <c r="O549" s="274"/>
      <c r="P549" s="274"/>
      <c r="Q549" s="274"/>
      <c r="R549" s="274"/>
      <c r="S549" s="274"/>
      <c r="T549" s="274"/>
      <c r="U549" s="274"/>
      <c r="V549" s="274"/>
      <c r="W549" s="274"/>
      <c r="X549" s="274"/>
      <c r="Y549" s="274"/>
      <c r="Z549" s="274"/>
      <c r="AA549" s="274"/>
      <c r="AB549" s="274"/>
      <c r="AC549" s="274"/>
      <c r="AD549" s="274"/>
      <c r="AE549" s="274"/>
    </row>
    <row r="550" spans="15:31">
      <c r="O550" s="274"/>
      <c r="P550" s="274"/>
      <c r="Q550" s="274"/>
      <c r="R550" s="274"/>
      <c r="S550" s="274"/>
      <c r="T550" s="274"/>
      <c r="U550" s="274"/>
      <c r="V550" s="274"/>
      <c r="W550" s="274"/>
      <c r="X550" s="274"/>
      <c r="Y550" s="274"/>
      <c r="Z550" s="274"/>
      <c r="AA550" s="274"/>
      <c r="AB550" s="274"/>
      <c r="AC550" s="274"/>
      <c r="AD550" s="274"/>
      <c r="AE550" s="274"/>
    </row>
    <row r="551" spans="15:31">
      <c r="O551" s="274"/>
      <c r="P551" s="274"/>
      <c r="Q551" s="274"/>
      <c r="R551" s="274"/>
      <c r="S551" s="274"/>
      <c r="T551" s="274"/>
      <c r="U551" s="274"/>
      <c r="V551" s="274"/>
      <c r="W551" s="274"/>
      <c r="X551" s="274"/>
      <c r="Y551" s="274"/>
      <c r="Z551" s="274"/>
      <c r="AA551" s="274"/>
      <c r="AB551" s="274"/>
      <c r="AC551" s="274"/>
      <c r="AD551" s="274"/>
      <c r="AE551" s="274"/>
    </row>
    <row r="552" spans="15:31">
      <c r="O552" s="274"/>
      <c r="P552" s="274"/>
      <c r="Q552" s="274"/>
      <c r="R552" s="274"/>
      <c r="S552" s="274"/>
      <c r="T552" s="274"/>
      <c r="U552" s="274"/>
      <c r="V552" s="274"/>
      <c r="W552" s="274"/>
      <c r="X552" s="274"/>
      <c r="Y552" s="274"/>
      <c r="Z552" s="274"/>
      <c r="AA552" s="274"/>
      <c r="AB552" s="274"/>
      <c r="AC552" s="274"/>
      <c r="AD552" s="274"/>
      <c r="AE552" s="274"/>
    </row>
    <row r="553" spans="15:31">
      <c r="O553" s="274"/>
      <c r="P553" s="274"/>
      <c r="Q553" s="274"/>
      <c r="R553" s="274"/>
      <c r="S553" s="274"/>
      <c r="T553" s="274"/>
      <c r="U553" s="274"/>
      <c r="V553" s="274"/>
      <c r="W553" s="274"/>
      <c r="X553" s="274"/>
      <c r="Y553" s="274"/>
      <c r="Z553" s="274"/>
      <c r="AA553" s="274"/>
      <c r="AB553" s="274"/>
      <c r="AC553" s="274"/>
      <c r="AD553" s="274"/>
      <c r="AE553" s="274"/>
    </row>
    <row r="554" spans="15:31">
      <c r="O554" s="274"/>
      <c r="P554" s="274"/>
      <c r="Q554" s="274"/>
      <c r="R554" s="274"/>
      <c r="S554" s="274"/>
      <c r="T554" s="274"/>
      <c r="U554" s="274"/>
      <c r="V554" s="274"/>
      <c r="W554" s="274"/>
      <c r="X554" s="274"/>
      <c r="Y554" s="274"/>
      <c r="Z554" s="274"/>
      <c r="AA554" s="274"/>
      <c r="AB554" s="274"/>
      <c r="AC554" s="274"/>
      <c r="AD554" s="274"/>
      <c r="AE554" s="274"/>
    </row>
    <row r="555" spans="15:31">
      <c r="O555" s="274"/>
      <c r="P555" s="274"/>
      <c r="Q555" s="274"/>
      <c r="R555" s="274"/>
      <c r="S555" s="274"/>
      <c r="T555" s="274"/>
      <c r="U555" s="274"/>
      <c r="V555" s="274"/>
      <c r="W555" s="274"/>
      <c r="X555" s="274"/>
      <c r="Y555" s="274"/>
      <c r="Z555" s="274"/>
      <c r="AA555" s="274"/>
      <c r="AB555" s="274"/>
      <c r="AC555" s="274"/>
      <c r="AD555" s="274"/>
      <c r="AE555" s="274"/>
    </row>
    <row r="556" spans="15:31">
      <c r="O556" s="274"/>
      <c r="P556" s="274"/>
      <c r="Q556" s="274"/>
      <c r="R556" s="274"/>
      <c r="S556" s="274"/>
      <c r="T556" s="274"/>
      <c r="U556" s="274"/>
      <c r="V556" s="274"/>
      <c r="W556" s="274"/>
      <c r="X556" s="274"/>
      <c r="Y556" s="274"/>
      <c r="Z556" s="274"/>
      <c r="AA556" s="274"/>
      <c r="AB556" s="274"/>
      <c r="AC556" s="274"/>
      <c r="AD556" s="274"/>
      <c r="AE556" s="274"/>
    </row>
    <row r="557" spans="15:31">
      <c r="O557" s="274"/>
      <c r="P557" s="274"/>
      <c r="Q557" s="274"/>
      <c r="R557" s="274"/>
      <c r="S557" s="274"/>
      <c r="T557" s="274"/>
      <c r="U557" s="274"/>
      <c r="V557" s="274"/>
      <c r="W557" s="274"/>
      <c r="X557" s="274"/>
      <c r="Y557" s="274"/>
      <c r="Z557" s="274"/>
      <c r="AA557" s="274"/>
      <c r="AB557" s="274"/>
      <c r="AC557" s="274"/>
      <c r="AD557" s="274"/>
      <c r="AE557" s="274"/>
    </row>
    <row r="558" spans="15:31">
      <c r="O558" s="274"/>
      <c r="P558" s="274"/>
      <c r="Q558" s="274"/>
      <c r="R558" s="274"/>
      <c r="S558" s="274"/>
      <c r="T558" s="274"/>
      <c r="U558" s="274"/>
      <c r="V558" s="274"/>
      <c r="W558" s="274"/>
      <c r="X558" s="274"/>
      <c r="Y558" s="274"/>
      <c r="Z558" s="274"/>
      <c r="AA558" s="274"/>
      <c r="AB558" s="274"/>
      <c r="AC558" s="274"/>
      <c r="AD558" s="274"/>
      <c r="AE558" s="274"/>
    </row>
    <row r="559" spans="15:31">
      <c r="O559" s="274"/>
      <c r="P559" s="274"/>
      <c r="Q559" s="274"/>
      <c r="R559" s="274"/>
      <c r="S559" s="274"/>
      <c r="T559" s="274"/>
      <c r="U559" s="274"/>
      <c r="V559" s="274"/>
      <c r="W559" s="274"/>
      <c r="X559" s="274"/>
      <c r="Y559" s="274"/>
      <c r="Z559" s="274"/>
      <c r="AA559" s="274"/>
      <c r="AB559" s="274"/>
      <c r="AC559" s="274"/>
      <c r="AD559" s="274"/>
      <c r="AE559" s="274"/>
    </row>
    <row r="560" spans="15:31">
      <c r="O560" s="274"/>
      <c r="P560" s="274"/>
      <c r="Q560" s="274"/>
      <c r="R560" s="274"/>
      <c r="S560" s="274"/>
      <c r="T560" s="274"/>
      <c r="U560" s="274"/>
      <c r="V560" s="274"/>
      <c r="W560" s="274"/>
      <c r="X560" s="274"/>
      <c r="Y560" s="274"/>
      <c r="Z560" s="274"/>
      <c r="AA560" s="274"/>
      <c r="AB560" s="274"/>
      <c r="AC560" s="274"/>
      <c r="AD560" s="274"/>
      <c r="AE560" s="274"/>
    </row>
    <row r="561" spans="15:31">
      <c r="O561" s="274"/>
      <c r="P561" s="274"/>
      <c r="Q561" s="274"/>
      <c r="R561" s="274"/>
      <c r="S561" s="274"/>
      <c r="T561" s="274"/>
      <c r="U561" s="274"/>
      <c r="V561" s="274"/>
      <c r="W561" s="274"/>
      <c r="X561" s="274"/>
      <c r="Y561" s="274"/>
      <c r="Z561" s="274"/>
      <c r="AA561" s="274"/>
      <c r="AB561" s="274"/>
      <c r="AC561" s="274"/>
      <c r="AD561" s="274"/>
      <c r="AE561" s="274"/>
    </row>
    <row r="562" spans="15:31">
      <c r="O562" s="274"/>
      <c r="P562" s="274"/>
      <c r="Q562" s="274"/>
      <c r="R562" s="274"/>
      <c r="S562" s="274"/>
      <c r="T562" s="274"/>
      <c r="U562" s="274"/>
      <c r="V562" s="274"/>
      <c r="W562" s="274"/>
      <c r="X562" s="274"/>
      <c r="Y562" s="274"/>
      <c r="Z562" s="274"/>
      <c r="AA562" s="274"/>
      <c r="AB562" s="274"/>
      <c r="AC562" s="274"/>
      <c r="AD562" s="274"/>
      <c r="AE562" s="274"/>
    </row>
    <row r="563" spans="15:31">
      <c r="O563" s="274"/>
      <c r="P563" s="274"/>
      <c r="Q563" s="274"/>
      <c r="R563" s="274"/>
      <c r="S563" s="274"/>
      <c r="T563" s="274"/>
      <c r="U563" s="274"/>
      <c r="V563" s="274"/>
      <c r="W563" s="274"/>
      <c r="X563" s="274"/>
      <c r="Y563" s="274"/>
      <c r="Z563" s="274"/>
      <c r="AA563" s="274"/>
      <c r="AB563" s="274"/>
      <c r="AC563" s="274"/>
      <c r="AD563" s="274"/>
      <c r="AE563" s="274"/>
    </row>
    <row r="564" spans="15:31">
      <c r="O564" s="274"/>
      <c r="P564" s="274"/>
      <c r="Q564" s="274"/>
      <c r="R564" s="274"/>
      <c r="S564" s="274"/>
      <c r="T564" s="274"/>
      <c r="U564" s="274"/>
      <c r="V564" s="274"/>
      <c r="W564" s="274"/>
      <c r="X564" s="274"/>
      <c r="Y564" s="274"/>
      <c r="Z564" s="274"/>
      <c r="AA564" s="274"/>
      <c r="AB564" s="274"/>
      <c r="AC564" s="274"/>
      <c r="AD564" s="274"/>
      <c r="AE564" s="274"/>
    </row>
    <row r="565" spans="15:31">
      <c r="O565" s="274"/>
      <c r="P565" s="274"/>
      <c r="Q565" s="274"/>
      <c r="R565" s="274"/>
      <c r="S565" s="274"/>
      <c r="T565" s="274"/>
      <c r="U565" s="274"/>
      <c r="V565" s="274"/>
      <c r="W565" s="274"/>
      <c r="X565" s="274"/>
      <c r="Y565" s="274"/>
      <c r="Z565" s="274"/>
      <c r="AA565" s="274"/>
      <c r="AB565" s="274"/>
      <c r="AC565" s="274"/>
      <c r="AD565" s="274"/>
      <c r="AE565" s="274"/>
    </row>
    <row r="566" spans="15:31">
      <c r="O566" s="274"/>
      <c r="P566" s="274"/>
      <c r="Q566" s="274"/>
      <c r="R566" s="274"/>
      <c r="S566" s="274"/>
      <c r="T566" s="274"/>
      <c r="U566" s="274"/>
      <c r="V566" s="274"/>
      <c r="W566" s="274"/>
      <c r="X566" s="274"/>
      <c r="Y566" s="274"/>
      <c r="Z566" s="274"/>
      <c r="AA566" s="274"/>
      <c r="AB566" s="274"/>
      <c r="AC566" s="274"/>
      <c r="AD566" s="274"/>
      <c r="AE566" s="274"/>
    </row>
    <row r="567" spans="15:31">
      <c r="O567" s="274"/>
      <c r="P567" s="274"/>
      <c r="Q567" s="274"/>
      <c r="R567" s="274"/>
      <c r="S567" s="274"/>
      <c r="T567" s="274"/>
      <c r="U567" s="274"/>
      <c r="V567" s="274"/>
      <c r="W567" s="274"/>
      <c r="X567" s="274"/>
      <c r="Y567" s="274"/>
      <c r="Z567" s="274"/>
      <c r="AA567" s="274"/>
      <c r="AB567" s="274"/>
      <c r="AC567" s="274"/>
      <c r="AD567" s="274"/>
      <c r="AE567" s="274"/>
    </row>
    <row r="568" spans="15:31">
      <c r="O568" s="274"/>
      <c r="P568" s="274"/>
      <c r="Q568" s="274"/>
      <c r="R568" s="274"/>
      <c r="S568" s="274"/>
      <c r="T568" s="274"/>
      <c r="U568" s="274"/>
      <c r="V568" s="274"/>
      <c r="W568" s="274"/>
      <c r="X568" s="274"/>
      <c r="Y568" s="274"/>
      <c r="Z568" s="274"/>
      <c r="AA568" s="274"/>
      <c r="AB568" s="274"/>
      <c r="AC568" s="274"/>
      <c r="AD568" s="274"/>
      <c r="AE568" s="274"/>
    </row>
    <row r="569" spans="15:31">
      <c r="O569" s="274"/>
      <c r="P569" s="274"/>
      <c r="Q569" s="274"/>
      <c r="R569" s="274"/>
      <c r="S569" s="274"/>
      <c r="T569" s="274"/>
      <c r="U569" s="274"/>
      <c r="V569" s="274"/>
      <c r="W569" s="274"/>
      <c r="X569" s="274"/>
      <c r="Y569" s="274"/>
      <c r="Z569" s="274"/>
      <c r="AA569" s="274"/>
      <c r="AB569" s="274"/>
      <c r="AC569" s="274"/>
      <c r="AD569" s="274"/>
      <c r="AE569" s="274"/>
    </row>
    <row r="570" spans="15:31">
      <c r="O570" s="274"/>
      <c r="P570" s="274"/>
      <c r="Q570" s="274"/>
      <c r="R570" s="274"/>
      <c r="S570" s="274"/>
      <c r="T570" s="274"/>
      <c r="U570" s="274"/>
      <c r="V570" s="274"/>
      <c r="W570" s="274"/>
      <c r="X570" s="274"/>
      <c r="Y570" s="274"/>
      <c r="Z570" s="274"/>
      <c r="AA570" s="274"/>
      <c r="AB570" s="274"/>
      <c r="AC570" s="274"/>
      <c r="AD570" s="274"/>
      <c r="AE570" s="274"/>
    </row>
    <row r="571" spans="15:31">
      <c r="O571" s="274"/>
      <c r="P571" s="274"/>
      <c r="Q571" s="274"/>
      <c r="R571" s="274"/>
      <c r="S571" s="274"/>
      <c r="T571" s="274"/>
      <c r="U571" s="274"/>
      <c r="V571" s="274"/>
      <c r="W571" s="274"/>
      <c r="X571" s="274"/>
      <c r="Y571" s="274"/>
      <c r="Z571" s="274"/>
      <c r="AA571" s="274"/>
      <c r="AB571" s="274"/>
      <c r="AC571" s="274"/>
      <c r="AD571" s="274"/>
      <c r="AE571" s="274"/>
    </row>
    <row r="572" spans="15:31">
      <c r="O572" s="274"/>
      <c r="P572" s="274"/>
      <c r="Q572" s="274"/>
      <c r="R572" s="274"/>
      <c r="S572" s="274"/>
      <c r="T572" s="274"/>
      <c r="U572" s="274"/>
      <c r="V572" s="274"/>
      <c r="W572" s="274"/>
      <c r="X572" s="274"/>
      <c r="Y572" s="274"/>
      <c r="Z572" s="274"/>
      <c r="AA572" s="274"/>
      <c r="AB572" s="274"/>
      <c r="AC572" s="274"/>
      <c r="AD572" s="274"/>
      <c r="AE572" s="274"/>
    </row>
    <row r="573" spans="15:31">
      <c r="O573" s="274"/>
      <c r="P573" s="274"/>
      <c r="Q573" s="274"/>
      <c r="R573" s="274"/>
      <c r="S573" s="274"/>
      <c r="T573" s="274"/>
      <c r="U573" s="274"/>
      <c r="V573" s="274"/>
      <c r="W573" s="274"/>
      <c r="X573" s="274"/>
      <c r="Y573" s="274"/>
      <c r="Z573" s="274"/>
      <c r="AA573" s="274"/>
      <c r="AB573" s="274"/>
      <c r="AC573" s="274"/>
      <c r="AD573" s="274"/>
      <c r="AE573" s="274"/>
    </row>
    <row r="574" spans="15:31">
      <c r="O574" s="274"/>
      <c r="P574" s="274"/>
      <c r="Q574" s="274"/>
      <c r="R574" s="274"/>
      <c r="S574" s="274"/>
      <c r="T574" s="274"/>
      <c r="U574" s="274"/>
      <c r="V574" s="274"/>
      <c r="W574" s="274"/>
      <c r="X574" s="274"/>
      <c r="Y574" s="274"/>
      <c r="Z574" s="274"/>
      <c r="AA574" s="274"/>
      <c r="AB574" s="274"/>
      <c r="AC574" s="274"/>
      <c r="AD574" s="274"/>
      <c r="AE574" s="274"/>
    </row>
    <row r="575" spans="15:31">
      <c r="O575" s="274"/>
      <c r="P575" s="274"/>
      <c r="Q575" s="274"/>
      <c r="R575" s="274"/>
      <c r="S575" s="274"/>
      <c r="T575" s="274"/>
      <c r="U575" s="274"/>
      <c r="V575" s="274"/>
      <c r="W575" s="274"/>
      <c r="X575" s="274"/>
      <c r="Y575" s="274"/>
      <c r="Z575" s="274"/>
      <c r="AA575" s="274"/>
      <c r="AB575" s="274"/>
      <c r="AC575" s="274"/>
      <c r="AD575" s="274"/>
      <c r="AE575" s="274"/>
    </row>
    <row r="576" spans="15:31">
      <c r="O576" s="274"/>
      <c r="P576" s="274"/>
      <c r="Q576" s="274"/>
      <c r="R576" s="274"/>
      <c r="S576" s="274"/>
      <c r="T576" s="274"/>
      <c r="U576" s="274"/>
      <c r="V576" s="274"/>
      <c r="W576" s="274"/>
      <c r="X576" s="274"/>
      <c r="Y576" s="274"/>
      <c r="Z576" s="274"/>
      <c r="AA576" s="274"/>
      <c r="AB576" s="274"/>
      <c r="AC576" s="274"/>
      <c r="AD576" s="274"/>
      <c r="AE576" s="274"/>
    </row>
    <row r="577" spans="15:31">
      <c r="O577" s="274"/>
      <c r="P577" s="274"/>
      <c r="Q577" s="274"/>
      <c r="R577" s="274"/>
      <c r="S577" s="274"/>
      <c r="T577" s="274"/>
      <c r="U577" s="274"/>
      <c r="V577" s="274"/>
      <c r="W577" s="274"/>
      <c r="X577" s="274"/>
      <c r="Y577" s="274"/>
      <c r="Z577" s="274"/>
      <c r="AA577" s="274"/>
      <c r="AB577" s="274"/>
      <c r="AC577" s="274"/>
      <c r="AD577" s="274"/>
      <c r="AE577" s="274"/>
    </row>
    <row r="578" spans="15:31">
      <c r="O578" s="274"/>
      <c r="P578" s="274"/>
      <c r="Q578" s="274"/>
      <c r="R578" s="274"/>
      <c r="S578" s="274"/>
      <c r="T578" s="274"/>
      <c r="U578" s="274"/>
      <c r="V578" s="274"/>
      <c r="W578" s="274"/>
      <c r="X578" s="274"/>
      <c r="Y578" s="274"/>
      <c r="Z578" s="274"/>
      <c r="AA578" s="274"/>
      <c r="AB578" s="274"/>
      <c r="AC578" s="274"/>
      <c r="AD578" s="274"/>
      <c r="AE578" s="274"/>
    </row>
    <row r="579" spans="15:31">
      <c r="O579" s="274"/>
      <c r="P579" s="274"/>
      <c r="Q579" s="274"/>
      <c r="R579" s="274"/>
      <c r="S579" s="274"/>
      <c r="T579" s="274"/>
      <c r="U579" s="274"/>
      <c r="V579" s="274"/>
      <c r="W579" s="274"/>
      <c r="X579" s="274"/>
      <c r="Y579" s="274"/>
      <c r="Z579" s="274"/>
      <c r="AA579" s="274"/>
      <c r="AB579" s="274"/>
      <c r="AC579" s="274"/>
      <c r="AD579" s="274"/>
      <c r="AE579" s="274"/>
    </row>
    <row r="580" spans="15:31">
      <c r="O580" s="274"/>
      <c r="P580" s="274"/>
      <c r="Q580" s="274"/>
      <c r="R580" s="274"/>
      <c r="S580" s="274"/>
      <c r="T580" s="274"/>
      <c r="U580" s="274"/>
      <c r="V580" s="274"/>
      <c r="W580" s="274"/>
      <c r="X580" s="274"/>
      <c r="Y580" s="274"/>
      <c r="Z580" s="274"/>
      <c r="AA580" s="274"/>
      <c r="AB580" s="274"/>
      <c r="AC580" s="274"/>
      <c r="AD580" s="274"/>
      <c r="AE580" s="274"/>
    </row>
    <row r="581" spans="15:31">
      <c r="O581" s="274"/>
      <c r="P581" s="274"/>
      <c r="Q581" s="274"/>
      <c r="R581" s="274"/>
      <c r="S581" s="274"/>
      <c r="T581" s="274"/>
      <c r="U581" s="274"/>
      <c r="V581" s="274"/>
      <c r="W581" s="274"/>
      <c r="X581" s="274"/>
      <c r="Y581" s="274"/>
      <c r="Z581" s="274"/>
      <c r="AA581" s="274"/>
      <c r="AB581" s="274"/>
      <c r="AC581" s="274"/>
      <c r="AD581" s="274"/>
      <c r="AE581" s="274"/>
    </row>
    <row r="582" spans="15:31">
      <c r="O582" s="274"/>
      <c r="P582" s="274"/>
      <c r="Q582" s="274"/>
      <c r="R582" s="274"/>
      <c r="S582" s="274"/>
      <c r="T582" s="274"/>
      <c r="U582" s="274"/>
      <c r="V582" s="274"/>
      <c r="W582" s="274"/>
      <c r="X582" s="274"/>
      <c r="Y582" s="274"/>
      <c r="Z582" s="274"/>
      <c r="AA582" s="274"/>
      <c r="AB582" s="274"/>
      <c r="AC582" s="274"/>
      <c r="AD582" s="274"/>
      <c r="AE582" s="274"/>
    </row>
    <row r="583" spans="15:31">
      <c r="O583" s="274"/>
      <c r="P583" s="274"/>
      <c r="Q583" s="274"/>
      <c r="R583" s="274"/>
      <c r="S583" s="274"/>
      <c r="T583" s="274"/>
      <c r="U583" s="274"/>
      <c r="V583" s="274"/>
      <c r="W583" s="274"/>
      <c r="X583" s="274"/>
      <c r="Y583" s="274"/>
      <c r="Z583" s="274"/>
      <c r="AA583" s="274"/>
      <c r="AB583" s="274"/>
      <c r="AC583" s="274"/>
      <c r="AD583" s="274"/>
      <c r="AE583" s="274"/>
    </row>
    <row r="584" spans="15:31">
      <c r="O584" s="274"/>
      <c r="P584" s="274"/>
      <c r="Q584" s="274"/>
      <c r="R584" s="274"/>
      <c r="S584" s="274"/>
      <c r="T584" s="274"/>
      <c r="U584" s="274"/>
      <c r="V584" s="274"/>
      <c r="W584" s="274"/>
      <c r="X584" s="274"/>
      <c r="Y584" s="274"/>
      <c r="Z584" s="274"/>
      <c r="AA584" s="274"/>
      <c r="AB584" s="274"/>
      <c r="AC584" s="274"/>
      <c r="AD584" s="274"/>
      <c r="AE584" s="274"/>
    </row>
    <row r="585" spans="15:31">
      <c r="O585" s="274"/>
      <c r="P585" s="274"/>
      <c r="Q585" s="274"/>
      <c r="R585" s="274"/>
      <c r="S585" s="274"/>
      <c r="T585" s="274"/>
      <c r="U585" s="274"/>
      <c r="V585" s="274"/>
      <c r="W585" s="274"/>
      <c r="X585" s="274"/>
      <c r="Y585" s="274"/>
      <c r="Z585" s="274"/>
      <c r="AA585" s="274"/>
      <c r="AB585" s="274"/>
      <c r="AC585" s="274"/>
      <c r="AD585" s="274"/>
      <c r="AE585" s="274"/>
    </row>
    <row r="586" spans="15:31">
      <c r="O586" s="274"/>
      <c r="P586" s="274"/>
      <c r="Q586" s="274"/>
      <c r="R586" s="274"/>
      <c r="S586" s="274"/>
      <c r="T586" s="274"/>
      <c r="U586" s="274"/>
      <c r="V586" s="274"/>
      <c r="W586" s="274"/>
      <c r="X586" s="274"/>
      <c r="Y586" s="274"/>
      <c r="Z586" s="274"/>
      <c r="AA586" s="274"/>
      <c r="AB586" s="274"/>
      <c r="AC586" s="274"/>
      <c r="AD586" s="274"/>
      <c r="AE586" s="274"/>
    </row>
    <row r="587" spans="15:31">
      <c r="O587" s="274"/>
      <c r="P587" s="274"/>
      <c r="Q587" s="274"/>
      <c r="R587" s="274"/>
      <c r="S587" s="274"/>
      <c r="T587" s="274"/>
      <c r="U587" s="274"/>
      <c r="V587" s="274"/>
      <c r="W587" s="274"/>
      <c r="X587" s="274"/>
      <c r="Y587" s="274"/>
      <c r="Z587" s="274"/>
      <c r="AA587" s="274"/>
      <c r="AB587" s="274"/>
      <c r="AC587" s="274"/>
      <c r="AD587" s="274"/>
      <c r="AE587" s="274"/>
    </row>
    <row r="588" spans="15:31">
      <c r="O588" s="274"/>
      <c r="P588" s="274"/>
      <c r="Q588" s="274"/>
      <c r="R588" s="274"/>
      <c r="S588" s="274"/>
      <c r="T588" s="274"/>
      <c r="U588" s="274"/>
      <c r="V588" s="274"/>
      <c r="W588" s="274"/>
      <c r="X588" s="274"/>
      <c r="Y588" s="274"/>
      <c r="Z588" s="274"/>
      <c r="AA588" s="274"/>
      <c r="AB588" s="274"/>
      <c r="AC588" s="274"/>
      <c r="AD588" s="274"/>
      <c r="AE588" s="274"/>
    </row>
    <row r="589" spans="15:31">
      <c r="O589" s="274"/>
      <c r="P589" s="274"/>
      <c r="Q589" s="274"/>
      <c r="R589" s="274"/>
      <c r="S589" s="274"/>
      <c r="T589" s="274"/>
      <c r="U589" s="274"/>
      <c r="V589" s="274"/>
      <c r="W589" s="274"/>
      <c r="X589" s="274"/>
      <c r="Y589" s="274"/>
      <c r="Z589" s="274"/>
      <c r="AA589" s="274"/>
      <c r="AB589" s="274"/>
      <c r="AC589" s="274"/>
      <c r="AD589" s="274"/>
      <c r="AE589" s="274"/>
    </row>
    <row r="590" spans="15:31">
      <c r="O590" s="274"/>
      <c r="P590" s="274"/>
      <c r="Q590" s="274"/>
      <c r="R590" s="274"/>
      <c r="S590" s="274"/>
      <c r="T590" s="274"/>
      <c r="U590" s="274"/>
      <c r="V590" s="274"/>
      <c r="W590" s="274"/>
      <c r="X590" s="274"/>
      <c r="Y590" s="274"/>
      <c r="Z590" s="274"/>
      <c r="AA590" s="274"/>
      <c r="AB590" s="274"/>
      <c r="AC590" s="274"/>
      <c r="AD590" s="274"/>
      <c r="AE590" s="274"/>
    </row>
    <row r="591" spans="15:31">
      <c r="O591" s="274"/>
      <c r="P591" s="274"/>
      <c r="Q591" s="274"/>
      <c r="R591" s="274"/>
      <c r="S591" s="274"/>
      <c r="T591" s="274"/>
      <c r="U591" s="274"/>
      <c r="V591" s="274"/>
      <c r="W591" s="274"/>
      <c r="X591" s="274"/>
      <c r="Y591" s="274"/>
      <c r="Z591" s="274"/>
      <c r="AA591" s="274"/>
      <c r="AB591" s="274"/>
      <c r="AC591" s="274"/>
      <c r="AD591" s="274"/>
      <c r="AE591" s="274"/>
    </row>
    <row r="592" spans="15:31">
      <c r="O592" s="274"/>
      <c r="P592" s="274"/>
      <c r="Q592" s="274"/>
      <c r="R592" s="274"/>
      <c r="S592" s="274"/>
      <c r="T592" s="274"/>
      <c r="U592" s="274"/>
      <c r="V592" s="274"/>
      <c r="W592" s="274"/>
      <c r="X592" s="274"/>
      <c r="Y592" s="274"/>
      <c r="Z592" s="274"/>
      <c r="AA592" s="274"/>
      <c r="AB592" s="274"/>
      <c r="AC592" s="274"/>
      <c r="AD592" s="274"/>
      <c r="AE592" s="274"/>
    </row>
    <row r="593" spans="15:31">
      <c r="O593" s="274"/>
      <c r="P593" s="274"/>
      <c r="Q593" s="274"/>
      <c r="R593" s="274"/>
      <c r="S593" s="274"/>
      <c r="T593" s="274"/>
      <c r="U593" s="274"/>
      <c r="V593" s="274"/>
      <c r="W593" s="274"/>
      <c r="X593" s="274"/>
      <c r="Y593" s="274"/>
      <c r="Z593" s="274"/>
      <c r="AA593" s="274"/>
      <c r="AB593" s="274"/>
      <c r="AC593" s="274"/>
      <c r="AD593" s="274"/>
      <c r="AE593" s="274"/>
    </row>
    <row r="594" spans="15:31">
      <c r="O594" s="274"/>
      <c r="P594" s="274"/>
      <c r="Q594" s="274"/>
      <c r="R594" s="274"/>
      <c r="S594" s="274"/>
      <c r="T594" s="274"/>
      <c r="U594" s="274"/>
      <c r="V594" s="274"/>
      <c r="W594" s="274"/>
      <c r="X594" s="274"/>
      <c r="Y594" s="274"/>
      <c r="Z594" s="274"/>
      <c r="AA594" s="274"/>
      <c r="AB594" s="274"/>
      <c r="AC594" s="274"/>
      <c r="AD594" s="274"/>
      <c r="AE594" s="274"/>
    </row>
    <row r="595" spans="15:31">
      <c r="O595" s="274"/>
      <c r="P595" s="274"/>
      <c r="Q595" s="274"/>
      <c r="R595" s="274"/>
      <c r="S595" s="274"/>
      <c r="T595" s="274"/>
      <c r="U595" s="274"/>
      <c r="V595" s="274"/>
      <c r="W595" s="274"/>
      <c r="X595" s="274"/>
      <c r="Y595" s="274"/>
      <c r="Z595" s="274"/>
      <c r="AA595" s="274"/>
      <c r="AB595" s="274"/>
      <c r="AC595" s="274"/>
      <c r="AD595" s="274"/>
      <c r="AE595" s="274"/>
    </row>
    <row r="596" spans="15:31">
      <c r="O596" s="274"/>
      <c r="P596" s="274"/>
      <c r="Q596" s="274"/>
      <c r="R596" s="274"/>
      <c r="S596" s="274"/>
      <c r="T596" s="274"/>
      <c r="U596" s="274"/>
      <c r="V596" s="274"/>
      <c r="W596" s="274"/>
      <c r="X596" s="274"/>
      <c r="Y596" s="274"/>
      <c r="Z596" s="274"/>
      <c r="AA596" s="274"/>
      <c r="AB596" s="274"/>
      <c r="AC596" s="274"/>
      <c r="AD596" s="274"/>
      <c r="AE596" s="274"/>
    </row>
    <row r="597" spans="15:31">
      <c r="O597" s="274"/>
      <c r="P597" s="274"/>
      <c r="Q597" s="274"/>
      <c r="R597" s="274"/>
      <c r="S597" s="274"/>
      <c r="T597" s="274"/>
      <c r="U597" s="274"/>
      <c r="V597" s="274"/>
      <c r="W597" s="274"/>
      <c r="X597" s="274"/>
      <c r="Y597" s="274"/>
      <c r="Z597" s="274"/>
      <c r="AA597" s="274"/>
      <c r="AB597" s="274"/>
      <c r="AC597" s="274"/>
      <c r="AD597" s="274"/>
      <c r="AE597" s="274"/>
    </row>
    <row r="598" spans="15:31">
      <c r="O598" s="274"/>
      <c r="P598" s="274"/>
      <c r="Q598" s="274"/>
      <c r="R598" s="274"/>
      <c r="S598" s="274"/>
      <c r="T598" s="274"/>
      <c r="U598" s="274"/>
      <c r="V598" s="274"/>
      <c r="W598" s="274"/>
      <c r="X598" s="274"/>
      <c r="Y598" s="274"/>
      <c r="Z598" s="274"/>
      <c r="AA598" s="274"/>
      <c r="AB598" s="274"/>
      <c r="AC598" s="274"/>
      <c r="AD598" s="274"/>
      <c r="AE598" s="274"/>
    </row>
    <row r="599" spans="15:31">
      <c r="O599" s="274"/>
      <c r="P599" s="274"/>
      <c r="Q599" s="274"/>
      <c r="R599" s="274"/>
      <c r="S599" s="274"/>
      <c r="T599" s="274"/>
      <c r="U599" s="274"/>
      <c r="V599" s="274"/>
      <c r="W599" s="274"/>
      <c r="X599" s="274"/>
      <c r="Y599" s="274"/>
      <c r="Z599" s="274"/>
      <c r="AA599" s="274"/>
      <c r="AB599" s="274"/>
      <c r="AC599" s="274"/>
      <c r="AD599" s="274"/>
      <c r="AE599" s="274"/>
    </row>
    <row r="600" spans="15:31">
      <c r="O600" s="274"/>
      <c r="P600" s="274"/>
      <c r="Q600" s="274"/>
      <c r="R600" s="274"/>
      <c r="S600" s="274"/>
      <c r="T600" s="274"/>
      <c r="U600" s="274"/>
      <c r="V600" s="274"/>
      <c r="W600" s="274"/>
      <c r="X600" s="274"/>
      <c r="Y600" s="274"/>
      <c r="Z600" s="274"/>
      <c r="AA600" s="274"/>
      <c r="AB600" s="274"/>
      <c r="AC600" s="274"/>
      <c r="AD600" s="274"/>
      <c r="AE600" s="274"/>
    </row>
    <row r="601" spans="15:31">
      <c r="O601" s="274"/>
      <c r="P601" s="274"/>
      <c r="Q601" s="274"/>
      <c r="R601" s="274"/>
      <c r="S601" s="274"/>
      <c r="T601" s="274"/>
      <c r="U601" s="274"/>
      <c r="V601" s="274"/>
      <c r="W601" s="274"/>
      <c r="X601" s="274"/>
      <c r="Y601" s="274"/>
      <c r="Z601" s="274"/>
      <c r="AA601" s="274"/>
      <c r="AB601" s="274"/>
      <c r="AC601" s="274"/>
      <c r="AD601" s="274"/>
      <c r="AE601" s="274"/>
    </row>
    <row r="602" spans="15:31">
      <c r="O602" s="274"/>
      <c r="P602" s="274"/>
      <c r="Q602" s="274"/>
      <c r="R602" s="274"/>
      <c r="S602" s="274"/>
      <c r="T602" s="274"/>
      <c r="U602" s="274"/>
      <c r="V602" s="274"/>
      <c r="W602" s="274"/>
      <c r="X602" s="274"/>
      <c r="Y602" s="274"/>
      <c r="Z602" s="274"/>
      <c r="AA602" s="274"/>
      <c r="AB602" s="274"/>
      <c r="AC602" s="274"/>
      <c r="AD602" s="274"/>
      <c r="AE602" s="274"/>
    </row>
    <row r="603" spans="15:31">
      <c r="O603" s="274"/>
      <c r="P603" s="274"/>
      <c r="Q603" s="274"/>
      <c r="R603" s="274"/>
      <c r="S603" s="274"/>
      <c r="T603" s="274"/>
      <c r="U603" s="274"/>
      <c r="V603" s="274"/>
      <c r="W603" s="274"/>
      <c r="X603" s="274"/>
      <c r="Y603" s="274"/>
      <c r="Z603" s="274"/>
      <c r="AA603" s="274"/>
      <c r="AB603" s="274"/>
      <c r="AC603" s="274"/>
      <c r="AD603" s="274"/>
      <c r="AE603" s="274"/>
    </row>
    <row r="604" spans="15:31">
      <c r="O604" s="274"/>
      <c r="P604" s="274"/>
      <c r="Q604" s="274"/>
      <c r="R604" s="274"/>
      <c r="S604" s="274"/>
      <c r="T604" s="274"/>
      <c r="U604" s="274"/>
      <c r="V604" s="274"/>
      <c r="W604" s="274"/>
      <c r="X604" s="274"/>
      <c r="Y604" s="274"/>
      <c r="Z604" s="274"/>
      <c r="AA604" s="274"/>
      <c r="AB604" s="274"/>
      <c r="AC604" s="274"/>
      <c r="AD604" s="274"/>
      <c r="AE604" s="274"/>
    </row>
    <row r="605" spans="15:31">
      <c r="O605" s="274"/>
      <c r="P605" s="274"/>
      <c r="Q605" s="274"/>
      <c r="R605" s="274"/>
      <c r="S605" s="274"/>
      <c r="T605" s="274"/>
      <c r="U605" s="274"/>
      <c r="V605" s="274"/>
      <c r="W605" s="274"/>
      <c r="X605" s="274"/>
      <c r="Y605" s="274"/>
      <c r="Z605" s="274"/>
      <c r="AA605" s="274"/>
      <c r="AB605" s="274"/>
      <c r="AC605" s="274"/>
      <c r="AD605" s="274"/>
      <c r="AE605" s="274"/>
    </row>
    <row r="606" spans="15:31">
      <c r="O606" s="274"/>
      <c r="P606" s="274"/>
      <c r="Q606" s="274"/>
      <c r="R606" s="274"/>
      <c r="S606" s="274"/>
      <c r="T606" s="274"/>
      <c r="U606" s="274"/>
      <c r="V606" s="274"/>
      <c r="W606" s="274"/>
      <c r="X606" s="274"/>
      <c r="Y606" s="274"/>
      <c r="Z606" s="274"/>
      <c r="AA606" s="274"/>
      <c r="AB606" s="274"/>
      <c r="AC606" s="274"/>
      <c r="AD606" s="274"/>
      <c r="AE606" s="274"/>
    </row>
    <row r="607" spans="15:31">
      <c r="O607" s="274"/>
      <c r="P607" s="274"/>
      <c r="Q607" s="274"/>
      <c r="R607" s="274"/>
      <c r="S607" s="274"/>
      <c r="T607" s="274"/>
      <c r="U607" s="274"/>
      <c r="V607" s="274"/>
      <c r="W607" s="274"/>
      <c r="X607" s="274"/>
      <c r="Y607" s="274"/>
      <c r="Z607" s="274"/>
      <c r="AA607" s="274"/>
      <c r="AB607" s="274"/>
      <c r="AC607" s="274"/>
      <c r="AD607" s="274"/>
      <c r="AE607" s="274"/>
    </row>
    <row r="608" spans="15:31">
      <c r="O608" s="274"/>
      <c r="P608" s="274"/>
      <c r="Q608" s="274"/>
      <c r="R608" s="274"/>
      <c r="S608" s="274"/>
      <c r="T608" s="274"/>
      <c r="U608" s="274"/>
      <c r="V608" s="274"/>
      <c r="W608" s="274"/>
      <c r="X608" s="274"/>
      <c r="Y608" s="274"/>
      <c r="Z608" s="274"/>
      <c r="AA608" s="274"/>
      <c r="AB608" s="274"/>
      <c r="AC608" s="274"/>
      <c r="AD608" s="274"/>
      <c r="AE608" s="274"/>
    </row>
    <row r="609" spans="15:31">
      <c r="O609" s="274"/>
      <c r="P609" s="274"/>
      <c r="Q609" s="274"/>
      <c r="R609" s="274"/>
      <c r="S609" s="274"/>
      <c r="T609" s="274"/>
      <c r="U609" s="274"/>
      <c r="V609" s="274"/>
      <c r="W609" s="274"/>
      <c r="X609" s="274"/>
      <c r="Y609" s="274"/>
      <c r="Z609" s="274"/>
      <c r="AA609" s="274"/>
      <c r="AB609" s="274"/>
      <c r="AC609" s="274"/>
      <c r="AD609" s="274"/>
      <c r="AE609" s="274"/>
    </row>
    <row r="610" spans="15:31">
      <c r="O610" s="274"/>
      <c r="P610" s="274"/>
      <c r="Q610" s="274"/>
      <c r="R610" s="274"/>
      <c r="S610" s="274"/>
      <c r="T610" s="274"/>
      <c r="U610" s="274"/>
      <c r="V610" s="274"/>
      <c r="W610" s="274"/>
      <c r="X610" s="274"/>
      <c r="Y610" s="274"/>
      <c r="Z610" s="274"/>
      <c r="AA610" s="274"/>
      <c r="AB610" s="274"/>
      <c r="AC610" s="274"/>
      <c r="AD610" s="274"/>
      <c r="AE610" s="274"/>
    </row>
    <row r="611" spans="15:31">
      <c r="O611" s="274"/>
      <c r="P611" s="274"/>
      <c r="Q611" s="274"/>
      <c r="R611" s="274"/>
      <c r="S611" s="274"/>
      <c r="T611" s="274"/>
      <c r="U611" s="274"/>
      <c r="V611" s="274"/>
      <c r="W611" s="274"/>
      <c r="X611" s="274"/>
      <c r="Y611" s="274"/>
      <c r="Z611" s="274"/>
      <c r="AA611" s="274"/>
      <c r="AB611" s="274"/>
      <c r="AC611" s="274"/>
      <c r="AD611" s="274"/>
      <c r="AE611" s="274"/>
    </row>
    <row r="612" spans="15:31">
      <c r="O612" s="274"/>
      <c r="P612" s="274"/>
      <c r="Q612" s="274"/>
      <c r="R612" s="274"/>
      <c r="S612" s="274"/>
      <c r="T612" s="274"/>
      <c r="U612" s="274"/>
      <c r="V612" s="274"/>
      <c r="W612" s="274"/>
      <c r="X612" s="274"/>
      <c r="Y612" s="274"/>
      <c r="Z612" s="274"/>
      <c r="AA612" s="274"/>
      <c r="AB612" s="274"/>
      <c r="AC612" s="274"/>
      <c r="AD612" s="274"/>
      <c r="AE612" s="274"/>
    </row>
    <row r="613" spans="15:31">
      <c r="O613" s="274"/>
      <c r="P613" s="274"/>
      <c r="Q613" s="274"/>
      <c r="R613" s="274"/>
      <c r="S613" s="274"/>
      <c r="T613" s="274"/>
      <c r="U613" s="274"/>
      <c r="V613" s="274"/>
      <c r="W613" s="274"/>
      <c r="X613" s="274"/>
      <c r="Y613" s="274"/>
      <c r="Z613" s="274"/>
      <c r="AA613" s="274"/>
      <c r="AB613" s="274"/>
      <c r="AC613" s="274"/>
      <c r="AD613" s="274"/>
      <c r="AE613" s="274"/>
    </row>
    <row r="614" spans="15:31">
      <c r="O614" s="274"/>
      <c r="P614" s="274"/>
      <c r="Q614" s="274"/>
      <c r="R614" s="274"/>
      <c r="S614" s="274"/>
      <c r="T614" s="274"/>
      <c r="U614" s="274"/>
      <c r="V614" s="274"/>
      <c r="W614" s="274"/>
      <c r="X614" s="274"/>
      <c r="Y614" s="274"/>
      <c r="Z614" s="274"/>
      <c r="AA614" s="274"/>
      <c r="AB614" s="274"/>
      <c r="AC614" s="274"/>
      <c r="AD614" s="274"/>
      <c r="AE614" s="274"/>
    </row>
    <row r="615" spans="15:31">
      <c r="O615" s="274"/>
      <c r="P615" s="274"/>
      <c r="Q615" s="274"/>
      <c r="R615" s="274"/>
      <c r="S615" s="274"/>
      <c r="T615" s="274"/>
      <c r="U615" s="274"/>
      <c r="V615" s="274"/>
      <c r="W615" s="274"/>
      <c r="X615" s="274"/>
      <c r="Y615" s="274"/>
      <c r="Z615" s="274"/>
      <c r="AA615" s="274"/>
      <c r="AB615" s="274"/>
      <c r="AC615" s="274"/>
      <c r="AD615" s="274"/>
      <c r="AE615" s="274"/>
    </row>
    <row r="616" spans="15:31">
      <c r="O616" s="274"/>
      <c r="P616" s="274"/>
      <c r="Q616" s="274"/>
      <c r="R616" s="274"/>
      <c r="S616" s="274"/>
      <c r="T616" s="274"/>
      <c r="U616" s="274"/>
      <c r="V616" s="274"/>
      <c r="W616" s="274"/>
      <c r="X616" s="274"/>
      <c r="Y616" s="274"/>
      <c r="Z616" s="274"/>
      <c r="AA616" s="274"/>
      <c r="AB616" s="274"/>
      <c r="AC616" s="274"/>
      <c r="AD616" s="274"/>
      <c r="AE616" s="274"/>
    </row>
    <row r="617" spans="15:31">
      <c r="O617" s="274"/>
      <c r="P617" s="274"/>
      <c r="Q617" s="274"/>
      <c r="R617" s="274"/>
      <c r="S617" s="274"/>
      <c r="T617" s="274"/>
      <c r="U617" s="274"/>
      <c r="V617" s="274"/>
      <c r="W617" s="274"/>
      <c r="X617" s="274"/>
      <c r="Y617" s="274"/>
      <c r="Z617" s="274"/>
      <c r="AA617" s="274"/>
      <c r="AB617" s="274"/>
      <c r="AC617" s="274"/>
      <c r="AD617" s="274"/>
      <c r="AE617" s="274"/>
    </row>
    <row r="618" spans="15:31">
      <c r="O618" s="274"/>
      <c r="P618" s="274"/>
      <c r="Q618" s="274"/>
      <c r="R618" s="274"/>
      <c r="S618" s="274"/>
      <c r="T618" s="274"/>
      <c r="U618" s="274"/>
      <c r="V618" s="274"/>
      <c r="W618" s="274"/>
      <c r="X618" s="274"/>
      <c r="Y618" s="274"/>
      <c r="Z618" s="274"/>
      <c r="AA618" s="274"/>
      <c r="AB618" s="274"/>
      <c r="AC618" s="274"/>
      <c r="AD618" s="274"/>
      <c r="AE618" s="274"/>
    </row>
    <row r="619" spans="15:31">
      <c r="O619" s="274"/>
      <c r="P619" s="274"/>
      <c r="Q619" s="274"/>
      <c r="R619" s="274"/>
      <c r="S619" s="274"/>
      <c r="T619" s="274"/>
      <c r="U619" s="274"/>
      <c r="V619" s="274"/>
      <c r="W619" s="274"/>
      <c r="X619" s="274"/>
      <c r="Y619" s="274"/>
      <c r="Z619" s="274"/>
      <c r="AA619" s="274"/>
      <c r="AB619" s="274"/>
      <c r="AC619" s="274"/>
      <c r="AD619" s="274"/>
      <c r="AE619" s="274"/>
    </row>
    <row r="620" spans="15:31">
      <c r="O620" s="274"/>
      <c r="P620" s="274"/>
      <c r="Q620" s="274"/>
      <c r="R620" s="274"/>
      <c r="S620" s="274"/>
      <c r="T620" s="274"/>
      <c r="U620" s="274"/>
      <c r="V620" s="274"/>
      <c r="W620" s="274"/>
      <c r="X620" s="274"/>
      <c r="Y620" s="274"/>
      <c r="Z620" s="274"/>
      <c r="AA620" s="274"/>
      <c r="AB620" s="274"/>
      <c r="AC620" s="274"/>
      <c r="AD620" s="274"/>
      <c r="AE620" s="274"/>
    </row>
    <row r="621" spans="15:31">
      <c r="O621" s="274"/>
      <c r="P621" s="274"/>
      <c r="Q621" s="274"/>
      <c r="R621" s="274"/>
      <c r="S621" s="274"/>
      <c r="T621" s="274"/>
      <c r="U621" s="274"/>
      <c r="V621" s="274"/>
      <c r="W621" s="274"/>
      <c r="X621" s="274"/>
      <c r="Y621" s="274"/>
      <c r="Z621" s="274"/>
      <c r="AA621" s="274"/>
      <c r="AB621" s="274"/>
      <c r="AC621" s="274"/>
      <c r="AD621" s="274"/>
      <c r="AE621" s="274"/>
    </row>
    <row r="622" spans="15:31">
      <c r="O622" s="274"/>
      <c r="P622" s="274"/>
      <c r="Q622" s="274"/>
      <c r="R622" s="274"/>
      <c r="S622" s="274"/>
      <c r="T622" s="274"/>
      <c r="U622" s="274"/>
      <c r="V622" s="274"/>
      <c r="W622" s="274"/>
      <c r="X622" s="274"/>
      <c r="Y622" s="274"/>
      <c r="Z622" s="274"/>
      <c r="AA622" s="274"/>
      <c r="AB622" s="274"/>
      <c r="AC622" s="274"/>
      <c r="AD622" s="274"/>
      <c r="AE622" s="274"/>
    </row>
    <row r="623" spans="15:31">
      <c r="O623" s="274"/>
      <c r="P623" s="274"/>
      <c r="Q623" s="274"/>
      <c r="R623" s="274"/>
      <c r="S623" s="274"/>
      <c r="T623" s="274"/>
      <c r="U623" s="274"/>
      <c r="V623" s="274"/>
      <c r="W623" s="274"/>
      <c r="X623" s="274"/>
      <c r="Y623" s="274"/>
      <c r="Z623" s="274"/>
      <c r="AA623" s="274"/>
      <c r="AB623" s="274"/>
      <c r="AC623" s="274"/>
      <c r="AD623" s="274"/>
      <c r="AE623" s="274"/>
    </row>
    <row r="624" spans="15:31">
      <c r="O624" s="274"/>
      <c r="P624" s="274"/>
      <c r="Q624" s="274"/>
      <c r="R624" s="274"/>
      <c r="S624" s="274"/>
      <c r="T624" s="274"/>
      <c r="U624" s="274"/>
      <c r="V624" s="274"/>
      <c r="W624" s="274"/>
      <c r="X624" s="274"/>
      <c r="Y624" s="274"/>
      <c r="Z624" s="274"/>
      <c r="AA624" s="274"/>
      <c r="AB624" s="274"/>
      <c r="AC624" s="274"/>
      <c r="AD624" s="274"/>
      <c r="AE624" s="274"/>
    </row>
    <row r="625" spans="15:31">
      <c r="O625" s="274"/>
      <c r="P625" s="274"/>
      <c r="Q625" s="274"/>
      <c r="R625" s="274"/>
      <c r="S625" s="274"/>
      <c r="T625" s="274"/>
      <c r="U625" s="274"/>
      <c r="V625" s="274"/>
      <c r="W625" s="274"/>
      <c r="X625" s="274"/>
      <c r="Y625" s="274"/>
      <c r="Z625" s="274"/>
      <c r="AA625" s="274"/>
      <c r="AB625" s="274"/>
      <c r="AC625" s="274"/>
      <c r="AD625" s="274"/>
      <c r="AE625" s="274"/>
    </row>
    <row r="626" spans="15:31">
      <c r="O626" s="274"/>
      <c r="P626" s="274"/>
      <c r="Q626" s="274"/>
      <c r="R626" s="274"/>
      <c r="S626" s="274"/>
      <c r="T626" s="274"/>
      <c r="U626" s="274"/>
      <c r="V626" s="274"/>
      <c r="W626" s="274"/>
      <c r="X626" s="274"/>
      <c r="Y626" s="274"/>
      <c r="Z626" s="274"/>
      <c r="AA626" s="274"/>
      <c r="AB626" s="274"/>
      <c r="AC626" s="274"/>
      <c r="AD626" s="274"/>
      <c r="AE626" s="274"/>
    </row>
    <row r="627" spans="15:31">
      <c r="O627" s="274"/>
      <c r="P627" s="274"/>
      <c r="Q627" s="274"/>
      <c r="R627" s="274"/>
      <c r="S627" s="274"/>
      <c r="T627" s="274"/>
      <c r="U627" s="274"/>
      <c r="V627" s="274"/>
      <c r="W627" s="274"/>
      <c r="X627" s="274"/>
      <c r="Y627" s="274"/>
      <c r="Z627" s="274"/>
      <c r="AA627" s="274"/>
      <c r="AB627" s="274"/>
      <c r="AC627" s="274"/>
      <c r="AD627" s="274"/>
      <c r="AE627" s="274"/>
    </row>
    <row r="628" spans="15:31">
      <c r="O628" s="274"/>
      <c r="P628" s="274"/>
      <c r="Q628" s="274"/>
      <c r="R628" s="274"/>
      <c r="S628" s="274"/>
      <c r="T628" s="274"/>
      <c r="U628" s="274"/>
      <c r="V628" s="274"/>
      <c r="W628" s="274"/>
      <c r="X628" s="274"/>
      <c r="Y628" s="274"/>
      <c r="Z628" s="274"/>
      <c r="AA628" s="274"/>
      <c r="AB628" s="274"/>
      <c r="AC628" s="274"/>
      <c r="AD628" s="274"/>
      <c r="AE628" s="274"/>
    </row>
    <row r="629" spans="15:31">
      <c r="O629" s="274"/>
      <c r="P629" s="274"/>
      <c r="Q629" s="274"/>
      <c r="R629" s="274"/>
      <c r="S629" s="274"/>
      <c r="T629" s="274"/>
      <c r="U629" s="274"/>
      <c r="V629" s="274"/>
      <c r="W629" s="274"/>
      <c r="X629" s="274"/>
      <c r="Y629" s="274"/>
      <c r="Z629" s="274"/>
      <c r="AA629" s="274"/>
      <c r="AB629" s="274"/>
      <c r="AC629" s="274"/>
      <c r="AD629" s="274"/>
      <c r="AE629" s="274"/>
    </row>
    <row r="630" spans="15:31">
      <c r="O630" s="274"/>
      <c r="P630" s="274"/>
      <c r="Q630" s="274"/>
      <c r="R630" s="274"/>
      <c r="S630" s="274"/>
      <c r="T630" s="274"/>
      <c r="U630" s="274"/>
      <c r="V630" s="274"/>
      <c r="W630" s="274"/>
      <c r="X630" s="274"/>
      <c r="Y630" s="274"/>
      <c r="Z630" s="274"/>
      <c r="AA630" s="274"/>
      <c r="AB630" s="274"/>
      <c r="AC630" s="274"/>
      <c r="AD630" s="274"/>
      <c r="AE630" s="274"/>
    </row>
    <row r="631" spans="15:31">
      <c r="O631" s="274"/>
      <c r="P631" s="274"/>
      <c r="Q631" s="274"/>
      <c r="R631" s="274"/>
      <c r="S631" s="274"/>
      <c r="T631" s="274"/>
      <c r="U631" s="274"/>
      <c r="V631" s="274"/>
      <c r="W631" s="274"/>
      <c r="X631" s="274"/>
      <c r="Y631" s="274"/>
      <c r="Z631" s="274"/>
      <c r="AA631" s="274"/>
      <c r="AB631" s="274"/>
      <c r="AC631" s="274"/>
      <c r="AD631" s="274"/>
      <c r="AE631" s="274"/>
    </row>
    <row r="632" spans="15:31">
      <c r="O632" s="274"/>
      <c r="P632" s="274"/>
      <c r="Q632" s="274"/>
      <c r="R632" s="274"/>
      <c r="S632" s="274"/>
      <c r="T632" s="274"/>
      <c r="U632" s="274"/>
      <c r="V632" s="274"/>
      <c r="W632" s="274"/>
      <c r="X632" s="274"/>
      <c r="Y632" s="274"/>
      <c r="Z632" s="274"/>
      <c r="AA632" s="274"/>
      <c r="AB632" s="274"/>
      <c r="AC632" s="274"/>
      <c r="AD632" s="274"/>
      <c r="AE632" s="274"/>
    </row>
    <row r="633" spans="15:31">
      <c r="O633" s="274"/>
      <c r="P633" s="274"/>
      <c r="Q633" s="274"/>
      <c r="R633" s="274"/>
      <c r="S633" s="274"/>
      <c r="T633" s="274"/>
      <c r="U633" s="274"/>
      <c r="V633" s="274"/>
      <c r="W633" s="274"/>
      <c r="X633" s="274"/>
      <c r="Y633" s="274"/>
      <c r="Z633" s="274"/>
      <c r="AA633" s="274"/>
      <c r="AB633" s="274"/>
      <c r="AC633" s="274"/>
      <c r="AD633" s="274"/>
      <c r="AE633" s="274"/>
    </row>
    <row r="634" spans="15:31">
      <c r="O634" s="274"/>
      <c r="P634" s="274"/>
      <c r="Q634" s="274"/>
      <c r="R634" s="274"/>
      <c r="S634" s="274"/>
      <c r="T634" s="274"/>
      <c r="U634" s="274"/>
      <c r="V634" s="274"/>
      <c r="W634" s="274"/>
      <c r="X634" s="274"/>
      <c r="Y634" s="274"/>
      <c r="Z634" s="274"/>
      <c r="AA634" s="274"/>
      <c r="AB634" s="274"/>
      <c r="AC634" s="274"/>
      <c r="AD634" s="274"/>
      <c r="AE634" s="274"/>
    </row>
    <row r="635" spans="15:31">
      <c r="O635" s="274"/>
      <c r="P635" s="274"/>
      <c r="Q635" s="274"/>
      <c r="R635" s="274"/>
      <c r="S635" s="274"/>
      <c r="T635" s="274"/>
      <c r="U635" s="274"/>
      <c r="V635" s="274"/>
      <c r="W635" s="274"/>
      <c r="X635" s="274"/>
      <c r="Y635" s="274"/>
      <c r="Z635" s="274"/>
      <c r="AA635" s="274"/>
      <c r="AB635" s="274"/>
      <c r="AC635" s="274"/>
      <c r="AD635" s="274"/>
      <c r="AE635" s="274"/>
    </row>
    <row r="636" spans="15:31">
      <c r="O636" s="274"/>
      <c r="P636" s="274"/>
      <c r="Q636" s="274"/>
      <c r="R636" s="274"/>
      <c r="S636" s="274"/>
      <c r="T636" s="274"/>
      <c r="U636" s="274"/>
      <c r="V636" s="274"/>
      <c r="W636" s="274"/>
      <c r="X636" s="274"/>
      <c r="Y636" s="274"/>
      <c r="Z636" s="274"/>
      <c r="AA636" s="274"/>
      <c r="AB636" s="274"/>
      <c r="AC636" s="274"/>
      <c r="AD636" s="274"/>
      <c r="AE636" s="274"/>
    </row>
    <row r="637" spans="15:31">
      <c r="O637" s="274"/>
      <c r="P637" s="274"/>
      <c r="Q637" s="274"/>
      <c r="R637" s="274"/>
      <c r="S637" s="274"/>
      <c r="T637" s="274"/>
      <c r="U637" s="274"/>
      <c r="V637" s="274"/>
      <c r="W637" s="274"/>
      <c r="X637" s="274"/>
      <c r="Y637" s="274"/>
      <c r="Z637" s="274"/>
      <c r="AA637" s="274"/>
      <c r="AB637" s="274"/>
      <c r="AC637" s="274"/>
      <c r="AD637" s="274"/>
      <c r="AE637" s="274"/>
    </row>
    <row r="638" spans="15:31">
      <c r="O638" s="274"/>
      <c r="P638" s="274"/>
      <c r="Q638" s="274"/>
      <c r="R638" s="274"/>
      <c r="S638" s="274"/>
      <c r="T638" s="274"/>
      <c r="U638" s="274"/>
      <c r="V638" s="274"/>
      <c r="W638" s="274"/>
      <c r="X638" s="274"/>
      <c r="Y638" s="274"/>
      <c r="Z638" s="274"/>
      <c r="AA638" s="274"/>
      <c r="AB638" s="274"/>
      <c r="AC638" s="274"/>
      <c r="AD638" s="274"/>
      <c r="AE638" s="274"/>
    </row>
    <row r="639" spans="15:31">
      <c r="O639" s="274"/>
      <c r="P639" s="274"/>
      <c r="Q639" s="274"/>
      <c r="R639" s="274"/>
      <c r="S639" s="274"/>
      <c r="T639" s="274"/>
      <c r="U639" s="274"/>
      <c r="V639" s="274"/>
      <c r="W639" s="274"/>
      <c r="X639" s="274"/>
      <c r="Y639" s="274"/>
      <c r="Z639" s="274"/>
      <c r="AA639" s="274"/>
      <c r="AB639" s="274"/>
      <c r="AC639" s="274"/>
      <c r="AD639" s="274"/>
      <c r="AE639" s="274"/>
    </row>
    <row r="640" spans="15:31">
      <c r="O640" s="274"/>
      <c r="P640" s="274"/>
      <c r="Q640" s="274"/>
      <c r="R640" s="274"/>
      <c r="S640" s="274"/>
      <c r="T640" s="274"/>
      <c r="U640" s="274"/>
      <c r="V640" s="274"/>
      <c r="W640" s="274"/>
      <c r="X640" s="274"/>
      <c r="Y640" s="274"/>
      <c r="Z640" s="274"/>
      <c r="AA640" s="274"/>
      <c r="AB640" s="274"/>
      <c r="AC640" s="274"/>
      <c r="AD640" s="274"/>
      <c r="AE640" s="274"/>
    </row>
    <row r="641" spans="15:31">
      <c r="O641" s="274"/>
      <c r="P641" s="274"/>
      <c r="Q641" s="274"/>
      <c r="R641" s="274"/>
      <c r="S641" s="274"/>
      <c r="T641" s="274"/>
      <c r="U641" s="274"/>
      <c r="V641" s="274"/>
      <c r="W641" s="274"/>
      <c r="X641" s="274"/>
      <c r="Y641" s="274"/>
      <c r="Z641" s="274"/>
      <c r="AA641" s="274"/>
      <c r="AB641" s="274"/>
      <c r="AC641" s="274"/>
      <c r="AD641" s="274"/>
      <c r="AE641" s="274"/>
    </row>
    <row r="642" spans="15:31">
      <c r="O642" s="274"/>
      <c r="P642" s="274"/>
      <c r="Q642" s="274"/>
      <c r="R642" s="274"/>
      <c r="S642" s="274"/>
      <c r="T642" s="274"/>
      <c r="U642" s="274"/>
      <c r="V642" s="274"/>
      <c r="W642" s="274"/>
      <c r="X642" s="274"/>
      <c r="Y642" s="274"/>
      <c r="Z642" s="274"/>
      <c r="AA642" s="274"/>
      <c r="AB642" s="274"/>
      <c r="AC642" s="274"/>
      <c r="AD642" s="274"/>
      <c r="AE642" s="274"/>
    </row>
    <row r="643" spans="15:31">
      <c r="O643" s="274"/>
      <c r="P643" s="274"/>
      <c r="Q643" s="274"/>
      <c r="R643" s="274"/>
      <c r="S643" s="274"/>
      <c r="T643" s="274"/>
      <c r="U643" s="274"/>
      <c r="V643" s="274"/>
      <c r="W643" s="274"/>
      <c r="X643" s="274"/>
      <c r="Y643" s="274"/>
      <c r="Z643" s="274"/>
      <c r="AA643" s="274"/>
      <c r="AB643" s="274"/>
      <c r="AC643" s="274"/>
      <c r="AD643" s="274"/>
      <c r="AE643" s="274"/>
    </row>
    <row r="644" spans="15:31">
      <c r="O644" s="274"/>
      <c r="P644" s="274"/>
      <c r="Q644" s="274"/>
      <c r="R644" s="274"/>
      <c r="S644" s="274"/>
      <c r="T644" s="274"/>
      <c r="U644" s="274"/>
      <c r="V644" s="274"/>
      <c r="W644" s="274"/>
      <c r="X644" s="274"/>
      <c r="Y644" s="274"/>
      <c r="Z644" s="274"/>
      <c r="AA644" s="274"/>
      <c r="AB644" s="274"/>
      <c r="AC644" s="274"/>
      <c r="AD644" s="274"/>
      <c r="AE644" s="274"/>
    </row>
    <row r="645" spans="15:31">
      <c r="O645" s="274"/>
      <c r="P645" s="274"/>
      <c r="Q645" s="274"/>
      <c r="R645" s="274"/>
      <c r="S645" s="274"/>
      <c r="T645" s="274"/>
      <c r="U645" s="274"/>
      <c r="V645" s="274"/>
      <c r="W645" s="274"/>
      <c r="X645" s="274"/>
      <c r="Y645" s="274"/>
      <c r="Z645" s="274"/>
      <c r="AA645" s="274"/>
      <c r="AB645" s="274"/>
      <c r="AC645" s="274"/>
      <c r="AD645" s="274"/>
      <c r="AE645" s="274"/>
    </row>
    <row r="646" spans="15:31">
      <c r="O646" s="274"/>
      <c r="P646" s="274"/>
      <c r="Q646" s="274"/>
      <c r="R646" s="274"/>
      <c r="S646" s="274"/>
      <c r="T646" s="274"/>
      <c r="U646" s="274"/>
      <c r="V646" s="274"/>
      <c r="W646" s="274"/>
      <c r="X646" s="274"/>
      <c r="Y646" s="274"/>
      <c r="Z646" s="274"/>
      <c r="AA646" s="274"/>
      <c r="AB646" s="274"/>
      <c r="AC646" s="274"/>
      <c r="AD646" s="274"/>
      <c r="AE646" s="274"/>
    </row>
    <row r="647" spans="15:31">
      <c r="O647" s="274"/>
      <c r="P647" s="274"/>
      <c r="Q647" s="274"/>
      <c r="R647" s="274"/>
      <c r="S647" s="274"/>
      <c r="T647" s="274"/>
      <c r="U647" s="274"/>
      <c r="V647" s="274"/>
      <c r="W647" s="274"/>
      <c r="X647" s="274"/>
      <c r="Y647" s="274"/>
      <c r="Z647" s="274"/>
      <c r="AA647" s="274"/>
      <c r="AB647" s="274"/>
      <c r="AC647" s="274"/>
      <c r="AD647" s="274"/>
      <c r="AE647" s="274"/>
    </row>
    <row r="648" spans="15:31">
      <c r="O648" s="274"/>
      <c r="P648" s="274"/>
      <c r="Q648" s="274"/>
      <c r="R648" s="274"/>
      <c r="S648" s="274"/>
      <c r="T648" s="274"/>
      <c r="U648" s="274"/>
      <c r="V648" s="274"/>
      <c r="W648" s="274"/>
      <c r="X648" s="274"/>
      <c r="Y648" s="274"/>
      <c r="Z648" s="274"/>
      <c r="AA648" s="274"/>
      <c r="AB648" s="274"/>
      <c r="AC648" s="274"/>
      <c r="AD648" s="274"/>
      <c r="AE648" s="274"/>
    </row>
    <row r="649" spans="15:31">
      <c r="O649" s="274"/>
      <c r="P649" s="274"/>
      <c r="Q649" s="274"/>
      <c r="R649" s="274"/>
      <c r="S649" s="274"/>
      <c r="T649" s="274"/>
      <c r="U649" s="274"/>
      <c r="V649" s="274"/>
      <c r="W649" s="274"/>
      <c r="X649" s="274"/>
      <c r="Y649" s="274"/>
      <c r="Z649" s="274"/>
      <c r="AA649" s="274"/>
      <c r="AB649" s="274"/>
      <c r="AC649" s="274"/>
      <c r="AD649" s="274"/>
      <c r="AE649" s="274"/>
    </row>
    <row r="650" spans="15:31">
      <c r="O650" s="274"/>
      <c r="P650" s="274"/>
      <c r="Q650" s="274"/>
      <c r="R650" s="274"/>
      <c r="S650" s="274"/>
      <c r="T650" s="274"/>
      <c r="U650" s="274"/>
      <c r="V650" s="274"/>
      <c r="W650" s="274"/>
      <c r="X650" s="274"/>
      <c r="Y650" s="274"/>
      <c r="Z650" s="274"/>
      <c r="AA650" s="274"/>
      <c r="AB650" s="274"/>
      <c r="AC650" s="274"/>
      <c r="AD650" s="274"/>
      <c r="AE650" s="274"/>
    </row>
    <row r="651" spans="15:31">
      <c r="O651" s="274"/>
      <c r="P651" s="274"/>
      <c r="Q651" s="274"/>
      <c r="R651" s="274"/>
      <c r="S651" s="274"/>
      <c r="T651" s="274"/>
      <c r="U651" s="274"/>
      <c r="V651" s="274"/>
      <c r="W651" s="274"/>
      <c r="X651" s="274"/>
      <c r="Y651" s="274"/>
      <c r="Z651" s="274"/>
      <c r="AA651" s="274"/>
      <c r="AB651" s="274"/>
      <c r="AC651" s="274"/>
      <c r="AD651" s="274"/>
      <c r="AE651" s="274"/>
    </row>
    <row r="652" spans="15:31">
      <c r="O652" s="274"/>
      <c r="P652" s="274"/>
      <c r="Q652" s="274"/>
      <c r="R652" s="274"/>
      <c r="S652" s="274"/>
      <c r="T652" s="274"/>
      <c r="U652" s="274"/>
      <c r="V652" s="274"/>
      <c r="W652" s="274"/>
      <c r="X652" s="274"/>
      <c r="Y652" s="274"/>
      <c r="Z652" s="274"/>
      <c r="AA652" s="274"/>
      <c r="AB652" s="274"/>
      <c r="AC652" s="274"/>
      <c r="AD652" s="274"/>
      <c r="AE652" s="274"/>
    </row>
    <row r="653" spans="15:31">
      <c r="O653" s="274"/>
      <c r="P653" s="274"/>
      <c r="Q653" s="274"/>
      <c r="R653" s="274"/>
      <c r="S653" s="274"/>
      <c r="T653" s="274"/>
      <c r="U653" s="274"/>
      <c r="V653" s="274"/>
      <c r="W653" s="274"/>
      <c r="X653" s="274"/>
      <c r="Y653" s="274"/>
      <c r="Z653" s="274"/>
      <c r="AA653" s="274"/>
      <c r="AB653" s="274"/>
      <c r="AC653" s="274"/>
      <c r="AD653" s="274"/>
      <c r="AE653" s="274"/>
    </row>
    <row r="654" spans="15:31">
      <c r="O654" s="274"/>
      <c r="P654" s="274"/>
      <c r="Q654" s="274"/>
      <c r="R654" s="274"/>
      <c r="S654" s="274"/>
      <c r="T654" s="274"/>
      <c r="U654" s="274"/>
      <c r="V654" s="274"/>
      <c r="W654" s="274"/>
      <c r="X654" s="274"/>
      <c r="Y654" s="274"/>
      <c r="Z654" s="274"/>
      <c r="AA654" s="274"/>
      <c r="AB654" s="274"/>
      <c r="AC654" s="274"/>
      <c r="AD654" s="274"/>
      <c r="AE654" s="274"/>
    </row>
    <row r="655" spans="15:31">
      <c r="O655" s="274"/>
      <c r="P655" s="274"/>
      <c r="Q655" s="274"/>
      <c r="R655" s="274"/>
      <c r="S655" s="274"/>
      <c r="T655" s="274"/>
      <c r="U655" s="274"/>
      <c r="V655" s="274"/>
      <c r="W655" s="274"/>
      <c r="X655" s="274"/>
      <c r="Y655" s="274"/>
      <c r="Z655" s="274"/>
      <c r="AA655" s="274"/>
      <c r="AB655" s="274"/>
      <c r="AC655" s="274"/>
      <c r="AD655" s="274"/>
      <c r="AE655" s="274"/>
    </row>
    <row r="656" spans="15:31">
      <c r="O656" s="274"/>
      <c r="P656" s="274"/>
      <c r="Q656" s="274"/>
      <c r="R656" s="274"/>
      <c r="S656" s="274"/>
      <c r="T656" s="274"/>
      <c r="U656" s="274"/>
      <c r="V656" s="274"/>
      <c r="W656" s="274"/>
      <c r="X656" s="274"/>
      <c r="Y656" s="274"/>
      <c r="Z656" s="274"/>
      <c r="AA656" s="274"/>
      <c r="AB656" s="274"/>
      <c r="AC656" s="274"/>
      <c r="AD656" s="274"/>
      <c r="AE656" s="274"/>
    </row>
    <row r="657" spans="15:31">
      <c r="O657" s="274"/>
      <c r="P657" s="274"/>
      <c r="Q657" s="274"/>
      <c r="R657" s="274"/>
      <c r="S657" s="274"/>
      <c r="T657" s="274"/>
      <c r="U657" s="274"/>
      <c r="V657" s="274"/>
      <c r="W657" s="274"/>
      <c r="X657" s="274"/>
      <c r="Y657" s="274"/>
      <c r="Z657" s="274"/>
      <c r="AA657" s="274"/>
      <c r="AB657" s="274"/>
      <c r="AC657" s="274"/>
      <c r="AD657" s="274"/>
      <c r="AE657" s="274"/>
    </row>
    <row r="658" spans="15:31">
      <c r="O658" s="274"/>
      <c r="P658" s="274"/>
      <c r="Q658" s="274"/>
      <c r="R658" s="274"/>
      <c r="S658" s="274"/>
      <c r="T658" s="274"/>
      <c r="U658" s="274"/>
      <c r="V658" s="274"/>
      <c r="W658" s="274"/>
      <c r="X658" s="274"/>
      <c r="Y658" s="274"/>
      <c r="Z658" s="274"/>
      <c r="AA658" s="274"/>
      <c r="AB658" s="274"/>
      <c r="AC658" s="274"/>
      <c r="AD658" s="274"/>
      <c r="AE658" s="274"/>
    </row>
    <row r="659" spans="15:31">
      <c r="O659" s="274"/>
      <c r="P659" s="274"/>
      <c r="Q659" s="274"/>
      <c r="R659" s="274"/>
      <c r="S659" s="274"/>
      <c r="T659" s="274"/>
      <c r="U659" s="274"/>
      <c r="V659" s="274"/>
      <c r="W659" s="274"/>
      <c r="X659" s="274"/>
      <c r="Y659" s="274"/>
      <c r="Z659" s="274"/>
      <c r="AA659" s="274"/>
      <c r="AB659" s="274"/>
      <c r="AC659" s="274"/>
      <c r="AD659" s="274"/>
      <c r="AE659" s="274"/>
    </row>
    <row r="660" spans="15:31">
      <c r="O660" s="274"/>
      <c r="P660" s="274"/>
      <c r="Q660" s="274"/>
      <c r="R660" s="274"/>
      <c r="S660" s="274"/>
      <c r="T660" s="274"/>
      <c r="U660" s="274"/>
      <c r="V660" s="274"/>
      <c r="W660" s="274"/>
      <c r="X660" s="274"/>
      <c r="Y660" s="274"/>
      <c r="Z660" s="274"/>
      <c r="AA660" s="274"/>
      <c r="AB660" s="274"/>
      <c r="AC660" s="274"/>
      <c r="AD660" s="274"/>
      <c r="AE660" s="274"/>
    </row>
    <row r="661" spans="15:31">
      <c r="O661" s="274"/>
      <c r="P661" s="274"/>
      <c r="Q661" s="274"/>
      <c r="R661" s="274"/>
      <c r="S661" s="274"/>
      <c r="T661" s="274"/>
      <c r="U661" s="274"/>
      <c r="V661" s="274"/>
      <c r="W661" s="274"/>
      <c r="X661" s="274"/>
      <c r="Y661" s="274"/>
      <c r="Z661" s="274"/>
      <c r="AA661" s="274"/>
      <c r="AB661" s="274"/>
      <c r="AC661" s="274"/>
      <c r="AD661" s="274"/>
      <c r="AE661" s="274"/>
    </row>
    <row r="662" spans="15:31">
      <c r="O662" s="274"/>
      <c r="P662" s="274"/>
      <c r="Q662" s="274"/>
      <c r="R662" s="274"/>
      <c r="S662" s="274"/>
      <c r="T662" s="274"/>
      <c r="U662" s="274"/>
      <c r="V662" s="274"/>
      <c r="W662" s="274"/>
      <c r="X662" s="274"/>
      <c r="Y662" s="274"/>
      <c r="Z662" s="274"/>
      <c r="AA662" s="274"/>
      <c r="AB662" s="274"/>
      <c r="AC662" s="274"/>
      <c r="AD662" s="274"/>
      <c r="AE662" s="274"/>
    </row>
    <row r="663" spans="15:31">
      <c r="O663" s="274"/>
      <c r="P663" s="274"/>
      <c r="Q663" s="274"/>
      <c r="R663" s="274"/>
      <c r="S663" s="274"/>
      <c r="T663" s="274"/>
      <c r="U663" s="274"/>
      <c r="V663" s="274"/>
      <c r="W663" s="274"/>
      <c r="X663" s="274"/>
      <c r="Y663" s="274"/>
      <c r="Z663" s="274"/>
      <c r="AA663" s="274"/>
      <c r="AB663" s="274"/>
      <c r="AC663" s="274"/>
      <c r="AD663" s="274"/>
      <c r="AE663" s="274"/>
    </row>
    <row r="664" spans="15:31">
      <c r="O664" s="274"/>
      <c r="P664" s="274"/>
      <c r="Q664" s="274"/>
      <c r="R664" s="274"/>
      <c r="S664" s="274"/>
      <c r="T664" s="274"/>
      <c r="U664" s="274"/>
      <c r="V664" s="274"/>
      <c r="W664" s="274"/>
      <c r="X664" s="274"/>
      <c r="Y664" s="274"/>
      <c r="Z664" s="274"/>
      <c r="AA664" s="274"/>
      <c r="AB664" s="274"/>
      <c r="AC664" s="274"/>
      <c r="AD664" s="274"/>
      <c r="AE664" s="274"/>
    </row>
    <row r="665" spans="15:31">
      <c r="O665" s="274"/>
      <c r="P665" s="274"/>
      <c r="Q665" s="274"/>
      <c r="R665" s="274"/>
      <c r="S665" s="274"/>
      <c r="T665" s="274"/>
      <c r="U665" s="274"/>
      <c r="V665" s="274"/>
      <c r="W665" s="274"/>
      <c r="X665" s="274"/>
      <c r="Y665" s="274"/>
      <c r="Z665" s="274"/>
      <c r="AA665" s="274"/>
      <c r="AB665" s="274"/>
      <c r="AC665" s="274"/>
      <c r="AD665" s="274"/>
      <c r="AE665" s="274"/>
    </row>
    <row r="666" spans="15:31">
      <c r="O666" s="274"/>
      <c r="P666" s="274"/>
      <c r="Q666" s="274"/>
      <c r="R666" s="274"/>
      <c r="S666" s="274"/>
      <c r="T666" s="274"/>
      <c r="U666" s="274"/>
      <c r="V666" s="274"/>
      <c r="W666" s="274"/>
      <c r="X666" s="274"/>
      <c r="Y666" s="274"/>
      <c r="Z666" s="274"/>
      <c r="AA666" s="274"/>
      <c r="AB666" s="274"/>
      <c r="AC666" s="274"/>
      <c r="AD666" s="274"/>
      <c r="AE666" s="274"/>
    </row>
    <row r="667" spans="15:31">
      <c r="O667" s="274"/>
      <c r="P667" s="274"/>
      <c r="Q667" s="274"/>
      <c r="R667" s="274"/>
      <c r="S667" s="274"/>
      <c r="T667" s="274"/>
      <c r="U667" s="274"/>
      <c r="V667" s="274"/>
      <c r="W667" s="274"/>
      <c r="X667" s="274"/>
      <c r="Y667" s="274"/>
      <c r="Z667" s="274"/>
      <c r="AA667" s="274"/>
      <c r="AB667" s="274"/>
      <c r="AC667" s="274"/>
      <c r="AD667" s="274"/>
      <c r="AE667" s="274"/>
    </row>
    <row r="668" spans="15:31">
      <c r="O668" s="274"/>
      <c r="P668" s="274"/>
      <c r="Q668" s="274"/>
      <c r="R668" s="274"/>
      <c r="S668" s="274"/>
      <c r="T668" s="274"/>
      <c r="U668" s="274"/>
      <c r="V668" s="274"/>
      <c r="W668" s="274"/>
      <c r="X668" s="274"/>
      <c r="Y668" s="274"/>
      <c r="Z668" s="274"/>
      <c r="AA668" s="274"/>
      <c r="AB668" s="274"/>
      <c r="AC668" s="274"/>
      <c r="AD668" s="274"/>
      <c r="AE668" s="274"/>
    </row>
    <row r="669" spans="15:31">
      <c r="O669" s="274"/>
      <c r="P669" s="274"/>
      <c r="Q669" s="274"/>
      <c r="R669" s="274"/>
      <c r="S669" s="274"/>
      <c r="T669" s="274"/>
      <c r="U669" s="274"/>
      <c r="V669" s="274"/>
      <c r="W669" s="274"/>
      <c r="X669" s="274"/>
      <c r="Y669" s="274"/>
      <c r="Z669" s="274"/>
      <c r="AA669" s="274"/>
      <c r="AB669" s="274"/>
      <c r="AC669" s="274"/>
      <c r="AD669" s="274"/>
      <c r="AE669" s="274"/>
    </row>
    <row r="670" spans="15:31">
      <c r="O670" s="274"/>
      <c r="P670" s="274"/>
      <c r="Q670" s="274"/>
      <c r="R670" s="274"/>
      <c r="S670" s="274"/>
      <c r="T670" s="274"/>
      <c r="U670" s="274"/>
      <c r="V670" s="274"/>
      <c r="W670" s="274"/>
      <c r="X670" s="274"/>
      <c r="Y670" s="274"/>
      <c r="Z670" s="274"/>
      <c r="AA670" s="274"/>
      <c r="AB670" s="274"/>
      <c r="AC670" s="274"/>
      <c r="AD670" s="274"/>
      <c r="AE670" s="274"/>
    </row>
    <row r="671" spans="15:31">
      <c r="O671" s="274"/>
      <c r="P671" s="274"/>
      <c r="Q671" s="274"/>
      <c r="R671" s="274"/>
      <c r="S671" s="274"/>
      <c r="T671" s="274"/>
      <c r="U671" s="274"/>
      <c r="V671" s="274"/>
      <c r="W671" s="274"/>
      <c r="X671" s="274"/>
      <c r="Y671" s="274"/>
      <c r="Z671" s="274"/>
      <c r="AA671" s="274"/>
      <c r="AB671" s="274"/>
      <c r="AC671" s="274"/>
      <c r="AD671" s="274"/>
      <c r="AE671" s="274"/>
    </row>
    <row r="672" spans="15:31">
      <c r="O672" s="274"/>
      <c r="P672" s="274"/>
      <c r="Q672" s="274"/>
      <c r="R672" s="274"/>
      <c r="S672" s="274"/>
      <c r="T672" s="274"/>
      <c r="U672" s="274"/>
      <c r="V672" s="274"/>
      <c r="W672" s="274"/>
      <c r="X672" s="274"/>
      <c r="Y672" s="274"/>
      <c r="Z672" s="274"/>
      <c r="AA672" s="274"/>
      <c r="AB672" s="274"/>
      <c r="AC672" s="274"/>
      <c r="AD672" s="274"/>
      <c r="AE672" s="274"/>
    </row>
    <row r="673" spans="15:31">
      <c r="O673" s="274"/>
      <c r="P673" s="274"/>
      <c r="Q673" s="274"/>
      <c r="R673" s="274"/>
      <c r="S673" s="274"/>
      <c r="T673" s="274"/>
      <c r="U673" s="274"/>
      <c r="V673" s="274"/>
      <c r="W673" s="274"/>
      <c r="X673" s="274"/>
      <c r="Y673" s="274"/>
      <c r="Z673" s="274"/>
      <c r="AA673" s="274"/>
      <c r="AB673" s="274"/>
      <c r="AC673" s="274"/>
      <c r="AD673" s="274"/>
      <c r="AE673" s="274"/>
    </row>
    <row r="674" spans="15:31">
      <c r="O674" s="274"/>
      <c r="P674" s="274"/>
      <c r="Q674" s="274"/>
      <c r="R674" s="274"/>
      <c r="S674" s="274"/>
      <c r="T674" s="274"/>
      <c r="U674" s="274"/>
      <c r="V674" s="274"/>
      <c r="W674" s="274"/>
      <c r="X674" s="274"/>
      <c r="Y674" s="274"/>
      <c r="Z674" s="274"/>
      <c r="AA674" s="274"/>
      <c r="AB674" s="274"/>
      <c r="AC674" s="274"/>
      <c r="AD674" s="274"/>
      <c r="AE674" s="274"/>
    </row>
    <row r="675" spans="15:31">
      <c r="O675" s="274"/>
      <c r="P675" s="274"/>
      <c r="Q675" s="274"/>
      <c r="R675" s="274"/>
      <c r="S675" s="274"/>
      <c r="T675" s="274"/>
      <c r="U675" s="274"/>
      <c r="V675" s="274"/>
      <c r="W675" s="274"/>
      <c r="X675" s="274"/>
      <c r="Y675" s="274"/>
      <c r="Z675" s="274"/>
      <c r="AA675" s="274"/>
      <c r="AB675" s="274"/>
      <c r="AC675" s="274"/>
      <c r="AD675" s="274"/>
      <c r="AE675" s="274"/>
    </row>
    <row r="676" spans="15:31">
      <c r="O676" s="274"/>
      <c r="P676" s="274"/>
      <c r="Q676" s="274"/>
      <c r="R676" s="274"/>
      <c r="S676" s="274"/>
      <c r="T676" s="274"/>
      <c r="U676" s="274"/>
      <c r="V676" s="274"/>
      <c r="W676" s="274"/>
      <c r="X676" s="274"/>
      <c r="Y676" s="274"/>
      <c r="Z676" s="274"/>
      <c r="AA676" s="274"/>
      <c r="AB676" s="274"/>
      <c r="AC676" s="274"/>
      <c r="AD676" s="274"/>
      <c r="AE676" s="274"/>
    </row>
    <row r="677" spans="15:31">
      <c r="O677" s="274"/>
      <c r="P677" s="274"/>
      <c r="Q677" s="274"/>
      <c r="R677" s="274"/>
      <c r="S677" s="274"/>
      <c r="T677" s="274"/>
      <c r="U677" s="274"/>
      <c r="V677" s="274"/>
      <c r="W677" s="274"/>
      <c r="X677" s="274"/>
      <c r="Y677" s="274"/>
      <c r="Z677" s="274"/>
      <c r="AA677" s="274"/>
      <c r="AB677" s="274"/>
      <c r="AC677" s="274"/>
      <c r="AD677" s="274"/>
      <c r="AE677" s="274"/>
    </row>
    <row r="678" spans="15:31">
      <c r="O678" s="274"/>
      <c r="P678" s="274"/>
      <c r="Q678" s="274"/>
      <c r="R678" s="274"/>
      <c r="S678" s="274"/>
      <c r="T678" s="274"/>
      <c r="U678" s="274"/>
      <c r="V678" s="274"/>
      <c r="W678" s="274"/>
      <c r="X678" s="274"/>
      <c r="Y678" s="274"/>
      <c r="Z678" s="274"/>
      <c r="AA678" s="274"/>
      <c r="AB678" s="274"/>
      <c r="AC678" s="274"/>
      <c r="AD678" s="274"/>
      <c r="AE678" s="274"/>
    </row>
    <row r="679" spans="15:31">
      <c r="O679" s="274"/>
      <c r="P679" s="274"/>
      <c r="Q679" s="274"/>
      <c r="R679" s="274"/>
      <c r="S679" s="274"/>
      <c r="T679" s="274"/>
      <c r="U679" s="274"/>
      <c r="V679" s="274"/>
      <c r="W679" s="274"/>
      <c r="X679" s="274"/>
      <c r="Y679" s="274"/>
      <c r="Z679" s="274"/>
      <c r="AA679" s="274"/>
      <c r="AB679" s="274"/>
      <c r="AC679" s="274"/>
      <c r="AD679" s="274"/>
      <c r="AE679" s="274"/>
    </row>
    <row r="680" spans="15:31">
      <c r="O680" s="274"/>
      <c r="P680" s="274"/>
      <c r="Q680" s="274"/>
      <c r="R680" s="274"/>
      <c r="S680" s="274"/>
      <c r="T680" s="274"/>
      <c r="U680" s="274"/>
      <c r="V680" s="274"/>
      <c r="W680" s="274"/>
      <c r="X680" s="274"/>
      <c r="Y680" s="274"/>
      <c r="Z680" s="274"/>
      <c r="AA680" s="274"/>
      <c r="AB680" s="274"/>
      <c r="AC680" s="274"/>
      <c r="AD680" s="274"/>
      <c r="AE680" s="274"/>
    </row>
    <row r="681" spans="15:31">
      <c r="O681" s="274"/>
      <c r="P681" s="274"/>
      <c r="Q681" s="274"/>
      <c r="R681" s="274"/>
      <c r="S681" s="274"/>
      <c r="T681" s="274"/>
      <c r="U681" s="274"/>
      <c r="V681" s="274"/>
      <c r="W681" s="274"/>
      <c r="X681" s="274"/>
      <c r="Y681" s="274"/>
      <c r="Z681" s="274"/>
      <c r="AA681" s="274"/>
      <c r="AB681" s="274"/>
      <c r="AC681" s="274"/>
      <c r="AD681" s="274"/>
      <c r="AE681" s="274"/>
    </row>
    <row r="682" spans="15:31">
      <c r="O682" s="274"/>
      <c r="P682" s="274"/>
      <c r="Q682" s="274"/>
      <c r="R682" s="274"/>
      <c r="S682" s="274"/>
      <c r="T682" s="274"/>
      <c r="U682" s="274"/>
      <c r="V682" s="274"/>
      <c r="W682" s="274"/>
      <c r="X682" s="274"/>
      <c r="Y682" s="274"/>
      <c r="Z682" s="274"/>
      <c r="AA682" s="274"/>
      <c r="AB682" s="274"/>
      <c r="AC682" s="274"/>
      <c r="AD682" s="274"/>
      <c r="AE682" s="274"/>
    </row>
    <row r="683" spans="15:31">
      <c r="O683" s="274"/>
      <c r="P683" s="274"/>
      <c r="Q683" s="274"/>
      <c r="R683" s="274"/>
      <c r="S683" s="274"/>
      <c r="T683" s="274"/>
      <c r="U683" s="274"/>
      <c r="V683" s="274"/>
      <c r="W683" s="274"/>
      <c r="X683" s="274"/>
      <c r="Y683" s="274"/>
      <c r="Z683" s="274"/>
      <c r="AA683" s="274"/>
      <c r="AB683" s="274"/>
      <c r="AC683" s="274"/>
      <c r="AD683" s="274"/>
      <c r="AE683" s="274"/>
    </row>
    <row r="684" spans="15:31">
      <c r="O684" s="274"/>
      <c r="P684" s="274"/>
      <c r="Q684" s="274"/>
      <c r="R684" s="274"/>
      <c r="S684" s="274"/>
      <c r="T684" s="274"/>
      <c r="U684" s="274"/>
      <c r="V684" s="274"/>
      <c r="W684" s="274"/>
      <c r="X684" s="274"/>
      <c r="Y684" s="274"/>
      <c r="Z684" s="274"/>
      <c r="AA684" s="274"/>
      <c r="AB684" s="274"/>
      <c r="AC684" s="274"/>
      <c r="AD684" s="274"/>
      <c r="AE684" s="274"/>
    </row>
    <row r="685" spans="15:31">
      <c r="O685" s="274"/>
      <c r="P685" s="274"/>
      <c r="Q685" s="274"/>
      <c r="R685" s="274"/>
      <c r="S685" s="274"/>
      <c r="T685" s="274"/>
      <c r="U685" s="274"/>
      <c r="V685" s="274"/>
      <c r="W685" s="274"/>
      <c r="X685" s="274"/>
      <c r="Y685" s="274"/>
      <c r="Z685" s="274"/>
      <c r="AA685" s="274"/>
      <c r="AB685" s="274"/>
      <c r="AC685" s="274"/>
      <c r="AD685" s="274"/>
      <c r="AE685" s="274"/>
    </row>
    <row r="686" spans="15:31">
      <c r="O686" s="274"/>
      <c r="P686" s="274"/>
      <c r="Q686" s="274"/>
      <c r="R686" s="274"/>
      <c r="S686" s="274"/>
      <c r="T686" s="274"/>
      <c r="U686" s="274"/>
      <c r="V686" s="274"/>
      <c r="W686" s="274"/>
      <c r="X686" s="274"/>
      <c r="Y686" s="274"/>
      <c r="Z686" s="274"/>
      <c r="AA686" s="274"/>
      <c r="AB686" s="274"/>
      <c r="AC686" s="274"/>
      <c r="AD686" s="274"/>
      <c r="AE686" s="274"/>
    </row>
    <row r="687" spans="15:31">
      <c r="O687" s="274"/>
      <c r="P687" s="274"/>
      <c r="Q687" s="274"/>
      <c r="R687" s="274"/>
      <c r="S687" s="274"/>
      <c r="T687" s="274"/>
      <c r="U687" s="274"/>
      <c r="V687" s="274"/>
      <c r="W687" s="274"/>
      <c r="X687" s="274"/>
      <c r="Y687" s="274"/>
      <c r="Z687" s="274"/>
      <c r="AA687" s="274"/>
      <c r="AB687" s="274"/>
      <c r="AC687" s="274"/>
      <c r="AD687" s="274"/>
      <c r="AE687" s="274"/>
    </row>
    <row r="688" spans="15:31">
      <c r="O688" s="274"/>
      <c r="P688" s="274"/>
      <c r="Q688" s="274"/>
      <c r="R688" s="274"/>
      <c r="S688" s="274"/>
      <c r="T688" s="274"/>
      <c r="U688" s="274"/>
      <c r="V688" s="274"/>
      <c r="W688" s="274"/>
      <c r="X688" s="274"/>
      <c r="Y688" s="274"/>
      <c r="Z688" s="274"/>
      <c r="AA688" s="274"/>
      <c r="AB688" s="274"/>
      <c r="AC688" s="274"/>
      <c r="AD688" s="274"/>
      <c r="AE688" s="274"/>
    </row>
    <row r="689" spans="15:31">
      <c r="O689" s="274"/>
      <c r="P689" s="274"/>
      <c r="Q689" s="274"/>
      <c r="R689" s="274"/>
      <c r="S689" s="274"/>
      <c r="T689" s="274"/>
      <c r="U689" s="274"/>
      <c r="V689" s="274"/>
      <c r="W689" s="274"/>
      <c r="X689" s="274"/>
      <c r="Y689" s="274"/>
      <c r="Z689" s="274"/>
      <c r="AA689" s="274"/>
      <c r="AB689" s="274"/>
      <c r="AC689" s="274"/>
      <c r="AD689" s="274"/>
      <c r="AE689" s="274"/>
    </row>
    <row r="690" spans="15:31">
      <c r="O690" s="274"/>
      <c r="P690" s="274"/>
      <c r="Q690" s="274"/>
      <c r="R690" s="274"/>
      <c r="S690" s="274"/>
      <c r="T690" s="274"/>
      <c r="U690" s="274"/>
      <c r="V690" s="274"/>
      <c r="W690" s="274"/>
      <c r="X690" s="274"/>
      <c r="Y690" s="274"/>
      <c r="Z690" s="274"/>
      <c r="AA690" s="274"/>
      <c r="AB690" s="274"/>
      <c r="AC690" s="274"/>
      <c r="AD690" s="274"/>
      <c r="AE690" s="274"/>
    </row>
    <row r="691" spans="15:31">
      <c r="O691" s="274"/>
      <c r="P691" s="274"/>
      <c r="Q691" s="274"/>
      <c r="R691" s="274"/>
      <c r="S691" s="274"/>
      <c r="T691" s="274"/>
      <c r="U691" s="274"/>
      <c r="V691" s="274"/>
      <c r="W691" s="274"/>
      <c r="X691" s="274"/>
      <c r="Y691" s="274"/>
      <c r="Z691" s="274"/>
      <c r="AA691" s="274"/>
      <c r="AB691" s="274"/>
      <c r="AC691" s="274"/>
      <c r="AD691" s="274"/>
      <c r="AE691" s="274"/>
    </row>
    <row r="692" spans="15:31">
      <c r="O692" s="274"/>
      <c r="P692" s="274"/>
      <c r="Q692" s="274"/>
      <c r="R692" s="274"/>
      <c r="S692" s="274"/>
      <c r="T692" s="274"/>
      <c r="U692" s="274"/>
      <c r="V692" s="274"/>
      <c r="W692" s="274"/>
      <c r="X692" s="274"/>
      <c r="Y692" s="274"/>
      <c r="Z692" s="274"/>
      <c r="AA692" s="274"/>
      <c r="AB692" s="274"/>
      <c r="AC692" s="274"/>
      <c r="AD692" s="274"/>
      <c r="AE692" s="274"/>
    </row>
    <row r="693" spans="15:31">
      <c r="O693" s="274"/>
      <c r="P693" s="274"/>
      <c r="Q693" s="274"/>
      <c r="R693" s="274"/>
      <c r="S693" s="274"/>
      <c r="T693" s="274"/>
      <c r="U693" s="274"/>
      <c r="V693" s="274"/>
      <c r="W693" s="274"/>
      <c r="X693" s="274"/>
      <c r="Y693" s="274"/>
      <c r="Z693" s="274"/>
      <c r="AA693" s="274"/>
      <c r="AB693" s="274"/>
      <c r="AC693" s="274"/>
      <c r="AD693" s="274"/>
      <c r="AE693" s="274"/>
    </row>
    <row r="694" spans="15:31">
      <c r="O694" s="274"/>
      <c r="P694" s="274"/>
      <c r="Q694" s="274"/>
      <c r="R694" s="274"/>
      <c r="S694" s="274"/>
      <c r="T694" s="274"/>
      <c r="U694" s="274"/>
      <c r="V694" s="274"/>
      <c r="W694" s="274"/>
      <c r="X694" s="274"/>
      <c r="Y694" s="274"/>
      <c r="Z694" s="274"/>
      <c r="AA694" s="274"/>
      <c r="AB694" s="274"/>
      <c r="AC694" s="274"/>
      <c r="AD694" s="274"/>
      <c r="AE694" s="274"/>
    </row>
    <row r="695" spans="15:31">
      <c r="O695" s="274"/>
      <c r="P695" s="274"/>
      <c r="Q695" s="274"/>
      <c r="R695" s="274"/>
      <c r="S695" s="274"/>
      <c r="T695" s="274"/>
      <c r="U695" s="274"/>
      <c r="V695" s="274"/>
      <c r="W695" s="274"/>
      <c r="X695" s="274"/>
      <c r="Y695" s="274"/>
      <c r="Z695" s="274"/>
      <c r="AA695" s="274"/>
      <c r="AB695" s="274"/>
      <c r="AC695" s="274"/>
      <c r="AD695" s="274"/>
      <c r="AE695" s="274"/>
    </row>
    <row r="696" spans="15:31">
      <c r="O696" s="274"/>
      <c r="P696" s="274"/>
      <c r="Q696" s="274"/>
      <c r="R696" s="274"/>
      <c r="S696" s="274"/>
      <c r="T696" s="274"/>
      <c r="U696" s="274"/>
      <c r="V696" s="274"/>
      <c r="W696" s="274"/>
      <c r="X696" s="274"/>
      <c r="Y696" s="274"/>
      <c r="Z696" s="274"/>
      <c r="AA696" s="274"/>
      <c r="AB696" s="274"/>
      <c r="AC696" s="274"/>
      <c r="AD696" s="274"/>
      <c r="AE696" s="274"/>
    </row>
    <row r="697" spans="15:31">
      <c r="O697" s="274"/>
      <c r="P697" s="274"/>
      <c r="Q697" s="274"/>
      <c r="R697" s="274"/>
      <c r="S697" s="274"/>
      <c r="T697" s="274"/>
      <c r="U697" s="274"/>
      <c r="V697" s="274"/>
      <c r="W697" s="274"/>
      <c r="X697" s="274"/>
      <c r="Y697" s="274"/>
      <c r="Z697" s="274"/>
      <c r="AA697" s="274"/>
      <c r="AB697" s="274"/>
      <c r="AC697" s="274"/>
      <c r="AD697" s="274"/>
      <c r="AE697" s="274"/>
    </row>
    <row r="698" spans="15:31">
      <c r="O698" s="274"/>
      <c r="P698" s="274"/>
      <c r="Q698" s="274"/>
      <c r="R698" s="274"/>
      <c r="S698" s="274"/>
      <c r="T698" s="274"/>
      <c r="U698" s="274"/>
      <c r="V698" s="274"/>
      <c r="W698" s="274"/>
      <c r="X698" s="274"/>
      <c r="Y698" s="274"/>
      <c r="Z698" s="274"/>
      <c r="AA698" s="274"/>
      <c r="AB698" s="274"/>
      <c r="AC698" s="274"/>
      <c r="AD698" s="274"/>
      <c r="AE698" s="274"/>
    </row>
    <row r="699" spans="15:31">
      <c r="O699" s="274"/>
      <c r="P699" s="274"/>
      <c r="Q699" s="274"/>
      <c r="R699" s="274"/>
      <c r="S699" s="274"/>
      <c r="T699" s="274"/>
      <c r="U699" s="274"/>
      <c r="V699" s="274"/>
      <c r="W699" s="274"/>
      <c r="X699" s="274"/>
      <c r="Y699" s="274"/>
      <c r="Z699" s="274"/>
      <c r="AA699" s="274"/>
      <c r="AB699" s="274"/>
      <c r="AC699" s="274"/>
      <c r="AD699" s="274"/>
      <c r="AE699" s="274"/>
    </row>
    <row r="700" spans="15:31">
      <c r="O700" s="274"/>
      <c r="P700" s="274"/>
      <c r="Q700" s="274"/>
      <c r="R700" s="274"/>
      <c r="S700" s="274"/>
      <c r="T700" s="274"/>
      <c r="U700" s="274"/>
      <c r="V700" s="274"/>
      <c r="W700" s="274"/>
      <c r="X700" s="274"/>
      <c r="Y700" s="274"/>
      <c r="Z700" s="274"/>
      <c r="AA700" s="274"/>
      <c r="AB700" s="274"/>
      <c r="AC700" s="274"/>
      <c r="AD700" s="274"/>
      <c r="AE700" s="274"/>
    </row>
    <row r="701" spans="15:31">
      <c r="O701" s="274"/>
      <c r="P701" s="274"/>
      <c r="Q701" s="274"/>
      <c r="R701" s="274"/>
      <c r="S701" s="274"/>
      <c r="T701" s="274"/>
      <c r="U701" s="274"/>
      <c r="V701" s="274"/>
      <c r="W701" s="274"/>
      <c r="X701" s="274"/>
      <c r="Y701" s="274"/>
      <c r="Z701" s="274"/>
      <c r="AA701" s="274"/>
      <c r="AB701" s="274"/>
      <c r="AC701" s="274"/>
      <c r="AD701" s="274"/>
      <c r="AE701" s="274"/>
    </row>
    <row r="702" spans="15:31">
      <c r="O702" s="274"/>
      <c r="P702" s="274"/>
      <c r="Q702" s="274"/>
      <c r="R702" s="274"/>
      <c r="S702" s="274"/>
      <c r="T702" s="274"/>
      <c r="U702" s="274"/>
      <c r="V702" s="274"/>
      <c r="W702" s="274"/>
      <c r="X702" s="274"/>
      <c r="Y702" s="274"/>
      <c r="Z702" s="274"/>
      <c r="AA702" s="274"/>
      <c r="AB702" s="274"/>
      <c r="AC702" s="274"/>
      <c r="AD702" s="274"/>
      <c r="AE702" s="274"/>
    </row>
    <row r="703" spans="15:31">
      <c r="O703" s="274"/>
      <c r="P703" s="274"/>
      <c r="Q703" s="274"/>
      <c r="R703" s="274"/>
      <c r="S703" s="274"/>
      <c r="T703" s="274"/>
      <c r="U703" s="274"/>
      <c r="V703" s="274"/>
      <c r="W703" s="274"/>
      <c r="X703" s="274"/>
      <c r="Y703" s="274"/>
      <c r="Z703" s="274"/>
      <c r="AA703" s="274"/>
      <c r="AB703" s="274"/>
      <c r="AC703" s="274"/>
      <c r="AD703" s="274"/>
      <c r="AE703" s="274"/>
    </row>
    <row r="704" spans="15:31">
      <c r="O704" s="274"/>
      <c r="P704" s="274"/>
      <c r="Q704" s="274"/>
      <c r="R704" s="274"/>
      <c r="S704" s="274"/>
      <c r="T704" s="274"/>
      <c r="U704" s="274"/>
      <c r="V704" s="274"/>
      <c r="W704" s="274"/>
      <c r="X704" s="274"/>
      <c r="Y704" s="274"/>
      <c r="Z704" s="274"/>
      <c r="AA704" s="274"/>
      <c r="AB704" s="274"/>
      <c r="AC704" s="274"/>
      <c r="AD704" s="274"/>
      <c r="AE704" s="274"/>
    </row>
    <row r="705" spans="15:31">
      <c r="O705" s="274"/>
      <c r="P705" s="274"/>
      <c r="Q705" s="274"/>
      <c r="R705" s="274"/>
      <c r="S705" s="274"/>
      <c r="T705" s="274"/>
      <c r="U705" s="274"/>
      <c r="V705" s="274"/>
      <c r="W705" s="274"/>
      <c r="X705" s="274"/>
      <c r="Y705" s="274"/>
      <c r="Z705" s="274"/>
      <c r="AA705" s="274"/>
      <c r="AB705" s="274"/>
      <c r="AC705" s="274"/>
      <c r="AD705" s="274"/>
      <c r="AE705" s="274"/>
    </row>
    <row r="706" spans="15:31">
      <c r="O706" s="274"/>
      <c r="P706" s="274"/>
      <c r="Q706" s="274"/>
      <c r="R706" s="274"/>
      <c r="S706" s="274"/>
      <c r="T706" s="274"/>
      <c r="U706" s="274"/>
      <c r="V706" s="274"/>
      <c r="W706" s="274"/>
      <c r="X706" s="274"/>
      <c r="Y706" s="274"/>
      <c r="Z706" s="274"/>
      <c r="AA706" s="274"/>
      <c r="AB706" s="274"/>
      <c r="AC706" s="274"/>
      <c r="AD706" s="274"/>
      <c r="AE706" s="274"/>
    </row>
    <row r="707" spans="15:31">
      <c r="O707" s="274"/>
      <c r="P707" s="274"/>
      <c r="Q707" s="274"/>
      <c r="R707" s="274"/>
      <c r="S707" s="274"/>
      <c r="T707" s="274"/>
      <c r="U707" s="274"/>
      <c r="V707" s="274"/>
      <c r="W707" s="274"/>
      <c r="X707" s="274"/>
      <c r="Y707" s="274"/>
      <c r="Z707" s="274"/>
      <c r="AA707" s="274"/>
      <c r="AB707" s="274"/>
      <c r="AC707" s="274"/>
      <c r="AD707" s="274"/>
      <c r="AE707" s="274"/>
    </row>
    <row r="708" spans="15:31">
      <c r="O708" s="274"/>
      <c r="P708" s="274"/>
      <c r="Q708" s="274"/>
      <c r="R708" s="274"/>
      <c r="S708" s="274"/>
      <c r="T708" s="274"/>
      <c r="U708" s="274"/>
      <c r="V708" s="274"/>
      <c r="W708" s="274"/>
      <c r="X708" s="274"/>
      <c r="Y708" s="274"/>
      <c r="Z708" s="274"/>
      <c r="AA708" s="274"/>
      <c r="AB708" s="274"/>
      <c r="AC708" s="274"/>
      <c r="AD708" s="274"/>
      <c r="AE708" s="274"/>
    </row>
    <row r="709" spans="15:31">
      <c r="O709" s="274"/>
      <c r="P709" s="274"/>
      <c r="Q709" s="274"/>
      <c r="R709" s="274"/>
      <c r="S709" s="274"/>
      <c r="T709" s="274"/>
      <c r="U709" s="274"/>
      <c r="V709" s="274"/>
      <c r="W709" s="274"/>
      <c r="X709" s="274"/>
      <c r="Y709" s="274"/>
      <c r="Z709" s="274"/>
      <c r="AA709" s="274"/>
      <c r="AB709" s="274"/>
      <c r="AC709" s="274"/>
      <c r="AD709" s="274"/>
      <c r="AE709" s="274"/>
    </row>
    <row r="710" spans="15:31">
      <c r="O710" s="274"/>
      <c r="P710" s="274"/>
      <c r="Q710" s="274"/>
      <c r="R710" s="274"/>
      <c r="S710" s="274"/>
      <c r="T710" s="274"/>
      <c r="U710" s="274"/>
      <c r="V710" s="274"/>
      <c r="W710" s="274"/>
      <c r="X710" s="274"/>
      <c r="Y710" s="274"/>
      <c r="Z710" s="274"/>
      <c r="AA710" s="274"/>
      <c r="AB710" s="274"/>
      <c r="AC710" s="274"/>
      <c r="AD710" s="274"/>
      <c r="AE710" s="274"/>
    </row>
    <row r="711" spans="15:31">
      <c r="O711" s="274"/>
      <c r="P711" s="274"/>
      <c r="Q711" s="274"/>
      <c r="R711" s="274"/>
      <c r="S711" s="274"/>
      <c r="T711" s="274"/>
      <c r="U711" s="274"/>
      <c r="V711" s="274"/>
      <c r="W711" s="274"/>
      <c r="X711" s="274"/>
      <c r="Y711" s="274"/>
      <c r="Z711" s="274"/>
      <c r="AA711" s="274"/>
      <c r="AB711" s="274"/>
      <c r="AC711" s="274"/>
      <c r="AD711" s="274"/>
      <c r="AE711" s="274"/>
    </row>
    <row r="712" spans="15:31">
      <c r="O712" s="274"/>
      <c r="P712" s="274"/>
      <c r="Q712" s="274"/>
      <c r="R712" s="274"/>
      <c r="S712" s="274"/>
      <c r="T712" s="274"/>
      <c r="U712" s="274"/>
      <c r="V712" s="274"/>
      <c r="W712" s="274"/>
      <c r="X712" s="274"/>
      <c r="Y712" s="274"/>
      <c r="Z712" s="274"/>
      <c r="AA712" s="274"/>
      <c r="AB712" s="274"/>
      <c r="AC712" s="274"/>
      <c r="AD712" s="274"/>
      <c r="AE712" s="274"/>
    </row>
    <row r="713" spans="15:31">
      <c r="O713" s="274"/>
      <c r="P713" s="274"/>
      <c r="Q713" s="274"/>
      <c r="R713" s="274"/>
      <c r="S713" s="274"/>
      <c r="T713" s="274"/>
      <c r="U713" s="274"/>
      <c r="V713" s="274"/>
      <c r="W713" s="274"/>
      <c r="X713" s="274"/>
      <c r="Y713" s="274"/>
      <c r="Z713" s="274"/>
      <c r="AA713" s="274"/>
      <c r="AB713" s="274"/>
      <c r="AC713" s="274"/>
      <c r="AD713" s="274"/>
      <c r="AE713" s="274"/>
    </row>
    <row r="714" spans="15:31">
      <c r="O714" s="274"/>
      <c r="P714" s="274"/>
      <c r="Q714" s="274"/>
      <c r="R714" s="274"/>
      <c r="S714" s="274"/>
      <c r="T714" s="274"/>
      <c r="U714" s="274"/>
      <c r="V714" s="274"/>
      <c r="W714" s="274"/>
      <c r="X714" s="274"/>
      <c r="Y714" s="274"/>
      <c r="Z714" s="274"/>
      <c r="AA714" s="274"/>
      <c r="AB714" s="274"/>
      <c r="AC714" s="274"/>
      <c r="AD714" s="274"/>
      <c r="AE714" s="274"/>
    </row>
    <row r="715" spans="15:31">
      <c r="O715" s="274"/>
      <c r="P715" s="274"/>
      <c r="Q715" s="274"/>
      <c r="R715" s="274"/>
      <c r="S715" s="274"/>
      <c r="T715" s="274"/>
      <c r="U715" s="274"/>
      <c r="V715" s="274"/>
      <c r="W715" s="274"/>
      <c r="X715" s="274"/>
      <c r="Y715" s="274"/>
      <c r="Z715" s="274"/>
      <c r="AA715" s="274"/>
      <c r="AB715" s="274"/>
      <c r="AC715" s="274"/>
      <c r="AD715" s="274"/>
      <c r="AE715" s="274"/>
    </row>
    <row r="716" spans="15:31">
      <c r="O716" s="274"/>
      <c r="P716" s="274"/>
      <c r="Q716" s="274"/>
      <c r="R716" s="274"/>
      <c r="S716" s="274"/>
      <c r="T716" s="274"/>
      <c r="U716" s="274"/>
      <c r="V716" s="274"/>
      <c r="W716" s="274"/>
      <c r="X716" s="274"/>
      <c r="Y716" s="274"/>
      <c r="Z716" s="274"/>
      <c r="AA716" s="274"/>
      <c r="AB716" s="274"/>
      <c r="AC716" s="274"/>
      <c r="AD716" s="274"/>
      <c r="AE716" s="274"/>
    </row>
    <row r="717" spans="15:31">
      <c r="O717" s="274"/>
      <c r="P717" s="274"/>
      <c r="Q717" s="274"/>
      <c r="R717" s="274"/>
      <c r="S717" s="274"/>
      <c r="T717" s="274"/>
      <c r="U717" s="274"/>
      <c r="V717" s="274"/>
      <c r="W717" s="274"/>
      <c r="X717" s="274"/>
      <c r="Y717" s="274"/>
      <c r="Z717" s="274"/>
      <c r="AA717" s="274"/>
      <c r="AB717" s="274"/>
      <c r="AC717" s="274"/>
      <c r="AD717" s="274"/>
      <c r="AE717" s="274"/>
    </row>
    <row r="718" spans="15:31">
      <c r="O718" s="274"/>
      <c r="P718" s="274"/>
      <c r="Q718" s="274"/>
      <c r="R718" s="274"/>
      <c r="S718" s="274"/>
      <c r="T718" s="274"/>
      <c r="U718" s="274"/>
      <c r="V718" s="274"/>
      <c r="W718" s="274"/>
      <c r="X718" s="274"/>
      <c r="Y718" s="274"/>
      <c r="Z718" s="274"/>
      <c r="AA718" s="274"/>
      <c r="AB718" s="274"/>
      <c r="AC718" s="274"/>
      <c r="AD718" s="274"/>
      <c r="AE718" s="274"/>
    </row>
    <row r="719" spans="15:31">
      <c r="O719" s="274"/>
      <c r="P719" s="274"/>
      <c r="Q719" s="274"/>
      <c r="R719" s="274"/>
      <c r="S719" s="274"/>
      <c r="T719" s="274"/>
      <c r="U719" s="274"/>
      <c r="V719" s="274"/>
      <c r="W719" s="274"/>
      <c r="X719" s="274"/>
      <c r="Y719" s="274"/>
      <c r="Z719" s="274"/>
      <c r="AA719" s="274"/>
      <c r="AB719" s="274"/>
      <c r="AC719" s="274"/>
      <c r="AD719" s="274"/>
      <c r="AE719" s="274"/>
    </row>
    <row r="720" spans="15:31">
      <c r="O720" s="274"/>
      <c r="P720" s="274"/>
      <c r="Q720" s="274"/>
      <c r="R720" s="274"/>
      <c r="S720" s="274"/>
      <c r="T720" s="274"/>
      <c r="U720" s="274"/>
      <c r="V720" s="274"/>
      <c r="W720" s="274"/>
      <c r="X720" s="274"/>
      <c r="Y720" s="274"/>
      <c r="Z720" s="274"/>
      <c r="AA720" s="274"/>
      <c r="AB720" s="274"/>
      <c r="AC720" s="274"/>
      <c r="AD720" s="274"/>
      <c r="AE720" s="274"/>
    </row>
    <row r="721" spans="15:31">
      <c r="O721" s="274"/>
      <c r="P721" s="274"/>
      <c r="Q721" s="274"/>
      <c r="R721" s="274"/>
      <c r="S721" s="274"/>
      <c r="T721" s="274"/>
      <c r="U721" s="274"/>
      <c r="V721" s="274"/>
      <c r="W721" s="274"/>
      <c r="X721" s="274"/>
      <c r="Y721" s="274"/>
      <c r="Z721" s="274"/>
      <c r="AA721" s="274"/>
      <c r="AB721" s="274"/>
      <c r="AC721" s="274"/>
      <c r="AD721" s="274"/>
      <c r="AE721" s="274"/>
    </row>
    <row r="722" spans="15:31">
      <c r="O722" s="274"/>
      <c r="P722" s="274"/>
      <c r="Q722" s="274"/>
      <c r="R722" s="274"/>
      <c r="S722" s="274"/>
      <c r="T722" s="274"/>
      <c r="U722" s="274"/>
      <c r="V722" s="274"/>
      <c r="W722" s="274"/>
      <c r="X722" s="274"/>
      <c r="Y722" s="274"/>
      <c r="Z722" s="274"/>
      <c r="AA722" s="274"/>
      <c r="AB722" s="274"/>
      <c r="AC722" s="274"/>
      <c r="AD722" s="274"/>
      <c r="AE722" s="274"/>
    </row>
    <row r="723" spans="15:31">
      <c r="O723" s="274"/>
      <c r="P723" s="274"/>
      <c r="Q723" s="274"/>
      <c r="R723" s="274"/>
      <c r="S723" s="274"/>
      <c r="T723" s="274"/>
      <c r="U723" s="274"/>
      <c r="V723" s="274"/>
      <c r="W723" s="274"/>
      <c r="X723" s="274"/>
      <c r="Y723" s="274"/>
      <c r="Z723" s="274"/>
      <c r="AA723" s="274"/>
      <c r="AB723" s="274"/>
      <c r="AC723" s="274"/>
      <c r="AD723" s="274"/>
      <c r="AE723" s="274"/>
    </row>
    <row r="724" spans="15:31">
      <c r="O724" s="274"/>
      <c r="P724" s="274"/>
      <c r="Q724" s="274"/>
      <c r="R724" s="274"/>
      <c r="S724" s="274"/>
      <c r="T724" s="274"/>
      <c r="U724" s="274"/>
      <c r="V724" s="274"/>
      <c r="W724" s="274"/>
      <c r="X724" s="274"/>
      <c r="Y724" s="274"/>
      <c r="Z724" s="274"/>
      <c r="AA724" s="274"/>
      <c r="AB724" s="274"/>
      <c r="AC724" s="274"/>
      <c r="AD724" s="274"/>
      <c r="AE724" s="274"/>
    </row>
    <row r="725" spans="15:31">
      <c r="O725" s="274"/>
      <c r="P725" s="274"/>
      <c r="Q725" s="274"/>
      <c r="R725" s="274"/>
      <c r="S725" s="274"/>
      <c r="T725" s="274"/>
      <c r="U725" s="274"/>
      <c r="V725" s="274"/>
      <c r="W725" s="274"/>
      <c r="X725" s="274"/>
      <c r="Y725" s="274"/>
      <c r="Z725" s="274"/>
      <c r="AA725" s="274"/>
      <c r="AB725" s="274"/>
      <c r="AC725" s="274"/>
      <c r="AD725" s="274"/>
      <c r="AE725" s="274"/>
    </row>
    <row r="726" spans="15:31">
      <c r="O726" s="274"/>
      <c r="P726" s="274"/>
      <c r="Q726" s="274"/>
      <c r="R726" s="274"/>
      <c r="S726" s="274"/>
      <c r="T726" s="274"/>
      <c r="U726" s="274"/>
      <c r="V726" s="274"/>
      <c r="W726" s="274"/>
      <c r="X726" s="274"/>
      <c r="Y726" s="274"/>
      <c r="Z726" s="274"/>
      <c r="AA726" s="274"/>
      <c r="AB726" s="274"/>
      <c r="AC726" s="274"/>
      <c r="AD726" s="274"/>
      <c r="AE726" s="274"/>
    </row>
    <row r="727" spans="15:31">
      <c r="O727" s="274"/>
      <c r="P727" s="274"/>
      <c r="Q727" s="274"/>
      <c r="R727" s="274"/>
      <c r="S727" s="274"/>
      <c r="T727" s="274"/>
      <c r="U727" s="274"/>
      <c r="V727" s="274"/>
      <c r="W727" s="274"/>
      <c r="X727" s="274"/>
      <c r="Y727" s="274"/>
      <c r="Z727" s="274"/>
      <c r="AA727" s="274"/>
      <c r="AB727" s="274"/>
      <c r="AC727" s="274"/>
      <c r="AD727" s="274"/>
      <c r="AE727" s="274"/>
    </row>
    <row r="728" spans="15:31">
      <c r="O728" s="274"/>
      <c r="P728" s="274"/>
      <c r="Q728" s="274"/>
      <c r="R728" s="274"/>
      <c r="S728" s="274"/>
      <c r="T728" s="274"/>
      <c r="U728" s="274"/>
      <c r="V728" s="274"/>
      <c r="W728" s="274"/>
      <c r="X728" s="274"/>
      <c r="Y728" s="274"/>
      <c r="Z728" s="274"/>
      <c r="AA728" s="274"/>
      <c r="AB728" s="274"/>
      <c r="AC728" s="274"/>
      <c r="AD728" s="274"/>
      <c r="AE728" s="274"/>
    </row>
    <row r="729" spans="15:31">
      <c r="O729" s="274"/>
      <c r="P729" s="274"/>
      <c r="Q729" s="274"/>
      <c r="R729" s="274"/>
      <c r="S729" s="274"/>
      <c r="T729" s="274"/>
      <c r="U729" s="274"/>
      <c r="V729" s="274"/>
      <c r="W729" s="274"/>
      <c r="X729" s="274"/>
      <c r="Y729" s="274"/>
      <c r="Z729" s="274"/>
      <c r="AA729" s="274"/>
      <c r="AB729" s="274"/>
      <c r="AC729" s="274"/>
      <c r="AD729" s="274"/>
      <c r="AE729" s="274"/>
    </row>
    <row r="730" spans="15:31">
      <c r="O730" s="274"/>
      <c r="P730" s="274"/>
      <c r="Q730" s="274"/>
      <c r="R730" s="274"/>
      <c r="S730" s="274"/>
      <c r="T730" s="274"/>
      <c r="U730" s="274"/>
      <c r="V730" s="274"/>
      <c r="W730" s="274"/>
      <c r="X730" s="274"/>
      <c r="Y730" s="274"/>
      <c r="Z730" s="274"/>
      <c r="AA730" s="274"/>
      <c r="AB730" s="274"/>
      <c r="AC730" s="274"/>
      <c r="AD730" s="274"/>
      <c r="AE730" s="274"/>
    </row>
    <row r="731" spans="15:31">
      <c r="O731" s="274"/>
      <c r="P731" s="274"/>
      <c r="Q731" s="274"/>
      <c r="R731" s="274"/>
      <c r="S731" s="274"/>
      <c r="T731" s="274"/>
      <c r="U731" s="274"/>
      <c r="V731" s="274"/>
      <c r="W731" s="274"/>
      <c r="X731" s="274"/>
      <c r="Y731" s="274"/>
      <c r="Z731" s="274"/>
      <c r="AA731" s="274"/>
      <c r="AB731" s="274"/>
      <c r="AC731" s="274"/>
      <c r="AD731" s="274"/>
      <c r="AE731" s="274"/>
    </row>
    <row r="732" spans="15:31">
      <c r="O732" s="274"/>
      <c r="P732" s="274"/>
      <c r="Q732" s="274"/>
      <c r="R732" s="274"/>
      <c r="S732" s="274"/>
      <c r="T732" s="274"/>
      <c r="U732" s="274"/>
      <c r="V732" s="274"/>
      <c r="W732" s="274"/>
      <c r="X732" s="274"/>
      <c r="Y732" s="274"/>
      <c r="Z732" s="274"/>
      <c r="AA732" s="274"/>
      <c r="AB732" s="274"/>
      <c r="AC732" s="274"/>
      <c r="AD732" s="274"/>
      <c r="AE732" s="274"/>
    </row>
    <row r="733" spans="15:31">
      <c r="O733" s="274"/>
      <c r="P733" s="274"/>
      <c r="Q733" s="274"/>
      <c r="R733" s="274"/>
      <c r="S733" s="274"/>
      <c r="T733" s="274"/>
      <c r="U733" s="274"/>
      <c r="V733" s="274"/>
      <c r="W733" s="274"/>
      <c r="X733" s="274"/>
      <c r="Y733" s="274"/>
      <c r="Z733" s="274"/>
      <c r="AA733" s="274"/>
      <c r="AB733" s="274"/>
      <c r="AC733" s="274"/>
      <c r="AD733" s="274"/>
      <c r="AE733" s="274"/>
    </row>
    <row r="734" spans="15:31">
      <c r="O734" s="274"/>
      <c r="P734" s="274"/>
      <c r="Q734" s="274"/>
      <c r="R734" s="274"/>
      <c r="S734" s="274"/>
      <c r="T734" s="274"/>
      <c r="U734" s="274"/>
      <c r="V734" s="274"/>
      <c r="W734" s="274"/>
      <c r="X734" s="274"/>
      <c r="Y734" s="274"/>
      <c r="Z734" s="274"/>
      <c r="AA734" s="274"/>
      <c r="AB734" s="274"/>
      <c r="AC734" s="274"/>
      <c r="AD734" s="274"/>
      <c r="AE734" s="274"/>
    </row>
    <row r="735" spans="15:31">
      <c r="O735" s="274"/>
      <c r="P735" s="274"/>
      <c r="Q735" s="274"/>
      <c r="R735" s="274"/>
      <c r="S735" s="274"/>
      <c r="T735" s="274"/>
      <c r="U735" s="274"/>
      <c r="V735" s="274"/>
      <c r="W735" s="274"/>
      <c r="X735" s="274"/>
      <c r="Y735" s="274"/>
      <c r="Z735" s="274"/>
      <c r="AA735" s="274"/>
      <c r="AB735" s="274"/>
      <c r="AC735" s="274"/>
      <c r="AD735" s="274"/>
      <c r="AE735" s="274"/>
    </row>
    <row r="736" spans="15:31">
      <c r="O736" s="274"/>
      <c r="P736" s="274"/>
      <c r="Q736" s="274"/>
      <c r="R736" s="274"/>
      <c r="S736" s="274"/>
      <c r="T736" s="274"/>
      <c r="U736" s="274"/>
      <c r="V736" s="274"/>
      <c r="W736" s="274"/>
      <c r="X736" s="274"/>
      <c r="Y736" s="274"/>
      <c r="Z736" s="274"/>
      <c r="AA736" s="274"/>
      <c r="AB736" s="274"/>
      <c r="AC736" s="274"/>
      <c r="AD736" s="274"/>
      <c r="AE736" s="274"/>
    </row>
    <row r="737" spans="15:31">
      <c r="O737" s="274"/>
      <c r="P737" s="274"/>
      <c r="Q737" s="274"/>
      <c r="R737" s="274"/>
      <c r="S737" s="274"/>
      <c r="T737" s="274"/>
      <c r="U737" s="274"/>
      <c r="V737" s="274"/>
      <c r="W737" s="274"/>
      <c r="X737" s="274"/>
      <c r="Y737" s="274"/>
      <c r="Z737" s="274"/>
      <c r="AA737" s="274"/>
      <c r="AB737" s="274"/>
      <c r="AC737" s="274"/>
      <c r="AD737" s="274"/>
      <c r="AE737" s="274"/>
    </row>
    <row r="738" spans="15:31">
      <c r="O738" s="274"/>
      <c r="P738" s="274"/>
      <c r="Q738" s="274"/>
      <c r="R738" s="274"/>
      <c r="S738" s="274"/>
      <c r="T738" s="274"/>
      <c r="U738" s="274"/>
      <c r="V738" s="274"/>
      <c r="W738" s="274"/>
      <c r="X738" s="274"/>
      <c r="Y738" s="274"/>
      <c r="Z738" s="274"/>
      <c r="AA738" s="274"/>
      <c r="AB738" s="274"/>
      <c r="AC738" s="274"/>
      <c r="AD738" s="274"/>
      <c r="AE738" s="274"/>
    </row>
    <row r="739" spans="15:31">
      <c r="O739" s="274"/>
      <c r="P739" s="274"/>
      <c r="Q739" s="274"/>
      <c r="R739" s="274"/>
      <c r="S739" s="274"/>
      <c r="T739" s="274"/>
      <c r="U739" s="274"/>
      <c r="V739" s="274"/>
      <c r="W739" s="274"/>
      <c r="X739" s="274"/>
      <c r="Y739" s="274"/>
      <c r="Z739" s="274"/>
      <c r="AA739" s="274"/>
      <c r="AB739" s="274"/>
      <c r="AC739" s="274"/>
      <c r="AD739" s="274"/>
      <c r="AE739" s="274"/>
    </row>
    <row r="740" spans="15:31">
      <c r="O740" s="274"/>
      <c r="P740" s="274"/>
      <c r="Q740" s="274"/>
      <c r="R740" s="274"/>
      <c r="S740" s="274"/>
      <c r="T740" s="274"/>
      <c r="U740" s="274"/>
      <c r="V740" s="274"/>
      <c r="W740" s="274"/>
      <c r="X740" s="274"/>
      <c r="Y740" s="274"/>
      <c r="Z740" s="274"/>
      <c r="AA740" s="274"/>
      <c r="AB740" s="274"/>
      <c r="AC740" s="274"/>
      <c r="AD740" s="274"/>
      <c r="AE740" s="274"/>
    </row>
    <row r="741" spans="15:31">
      <c r="O741" s="274"/>
      <c r="P741" s="274"/>
      <c r="Q741" s="274"/>
      <c r="R741" s="274"/>
      <c r="S741" s="274"/>
      <c r="T741" s="274"/>
      <c r="U741" s="274"/>
      <c r="V741" s="274"/>
      <c r="W741" s="274"/>
      <c r="X741" s="274"/>
      <c r="Y741" s="274"/>
      <c r="Z741" s="274"/>
      <c r="AA741" s="274"/>
      <c r="AB741" s="274"/>
      <c r="AC741" s="274"/>
      <c r="AD741" s="274"/>
      <c r="AE741" s="274"/>
    </row>
    <row r="742" spans="15:31">
      <c r="O742" s="274"/>
      <c r="P742" s="274"/>
      <c r="Q742" s="274"/>
      <c r="R742" s="274"/>
      <c r="S742" s="274"/>
      <c r="T742" s="274"/>
      <c r="U742" s="274"/>
      <c r="V742" s="274"/>
      <c r="W742" s="274"/>
      <c r="X742" s="274"/>
      <c r="Y742" s="274"/>
      <c r="Z742" s="274"/>
      <c r="AA742" s="274"/>
      <c r="AB742" s="274"/>
      <c r="AC742" s="274"/>
      <c r="AD742" s="274"/>
      <c r="AE742" s="274"/>
    </row>
    <row r="743" spans="15:31">
      <c r="O743" s="274"/>
      <c r="P743" s="274"/>
      <c r="Q743" s="274"/>
      <c r="R743" s="274"/>
      <c r="S743" s="274"/>
      <c r="T743" s="274"/>
      <c r="U743" s="274"/>
      <c r="V743" s="274"/>
      <c r="W743" s="274"/>
      <c r="X743" s="274"/>
      <c r="Y743" s="274"/>
      <c r="Z743" s="274"/>
      <c r="AA743" s="274"/>
      <c r="AB743" s="274"/>
      <c r="AC743" s="274"/>
      <c r="AD743" s="274"/>
      <c r="AE743" s="274"/>
    </row>
    <row r="744" spans="15:31">
      <c r="O744" s="274"/>
      <c r="P744" s="274"/>
      <c r="Q744" s="274"/>
      <c r="R744" s="274"/>
      <c r="S744" s="274"/>
      <c r="T744" s="274"/>
      <c r="U744" s="274"/>
      <c r="V744" s="274"/>
      <c r="W744" s="274"/>
      <c r="X744" s="274"/>
      <c r="Y744" s="274"/>
      <c r="Z744" s="274"/>
      <c r="AA744" s="274"/>
      <c r="AB744" s="274"/>
      <c r="AC744" s="274"/>
      <c r="AD744" s="274"/>
      <c r="AE744" s="274"/>
    </row>
    <row r="745" spans="15:31">
      <c r="O745" s="274"/>
      <c r="P745" s="274"/>
      <c r="Q745" s="274"/>
      <c r="R745" s="274"/>
      <c r="S745" s="274"/>
      <c r="T745" s="274"/>
      <c r="U745" s="274"/>
      <c r="V745" s="274"/>
      <c r="W745" s="274"/>
      <c r="X745" s="274"/>
      <c r="Y745" s="274"/>
      <c r="Z745" s="274"/>
      <c r="AA745" s="274"/>
      <c r="AB745" s="274"/>
      <c r="AC745" s="274"/>
      <c r="AD745" s="274"/>
      <c r="AE745" s="274"/>
    </row>
    <row r="746" spans="15:31">
      <c r="O746" s="274"/>
      <c r="P746" s="274"/>
      <c r="Q746" s="274"/>
      <c r="R746" s="274"/>
      <c r="S746" s="274"/>
      <c r="T746" s="274"/>
      <c r="U746" s="274"/>
      <c r="V746" s="274"/>
      <c r="W746" s="274"/>
      <c r="X746" s="274"/>
      <c r="Y746" s="274"/>
      <c r="Z746" s="274"/>
      <c r="AA746" s="274"/>
      <c r="AB746" s="274"/>
      <c r="AC746" s="274"/>
      <c r="AD746" s="274"/>
      <c r="AE746" s="274"/>
    </row>
    <row r="747" spans="15:31">
      <c r="O747" s="274"/>
      <c r="P747" s="274"/>
      <c r="Q747" s="274"/>
      <c r="R747" s="274"/>
      <c r="S747" s="274"/>
      <c r="T747" s="274"/>
      <c r="U747" s="274"/>
      <c r="V747" s="274"/>
      <c r="W747" s="274"/>
      <c r="X747" s="274"/>
      <c r="Y747" s="274"/>
      <c r="Z747" s="274"/>
      <c r="AA747" s="274"/>
      <c r="AB747" s="274"/>
      <c r="AC747" s="274"/>
      <c r="AD747" s="274"/>
      <c r="AE747" s="274"/>
    </row>
    <row r="748" spans="15:31">
      <c r="O748" s="274"/>
      <c r="P748" s="274"/>
      <c r="Q748" s="274"/>
      <c r="R748" s="274"/>
      <c r="S748" s="274"/>
      <c r="T748" s="274"/>
      <c r="U748" s="274"/>
      <c r="V748" s="274"/>
      <c r="W748" s="274"/>
      <c r="X748" s="274"/>
      <c r="Y748" s="274"/>
      <c r="Z748" s="274"/>
      <c r="AA748" s="274"/>
      <c r="AB748" s="274"/>
      <c r="AC748" s="274"/>
      <c r="AD748" s="274"/>
      <c r="AE748" s="274"/>
    </row>
    <row r="749" spans="15:31">
      <c r="O749" s="274"/>
      <c r="P749" s="274"/>
      <c r="Q749" s="274"/>
      <c r="R749" s="274"/>
      <c r="S749" s="274"/>
      <c r="T749" s="274"/>
      <c r="U749" s="274"/>
      <c r="V749" s="274"/>
      <c r="W749" s="274"/>
      <c r="X749" s="274"/>
      <c r="Y749" s="274"/>
      <c r="Z749" s="274"/>
      <c r="AA749" s="274"/>
      <c r="AB749" s="274"/>
      <c r="AC749" s="274"/>
      <c r="AD749" s="274"/>
      <c r="AE749" s="274"/>
    </row>
    <row r="750" spans="15:31">
      <c r="O750" s="274"/>
      <c r="P750" s="274"/>
      <c r="Q750" s="274"/>
      <c r="R750" s="274"/>
      <c r="S750" s="274"/>
      <c r="T750" s="274"/>
      <c r="U750" s="274"/>
      <c r="V750" s="274"/>
      <c r="W750" s="274"/>
      <c r="X750" s="274"/>
      <c r="Y750" s="274"/>
      <c r="Z750" s="274"/>
      <c r="AA750" s="274"/>
      <c r="AB750" s="274"/>
      <c r="AC750" s="274"/>
      <c r="AD750" s="274"/>
      <c r="AE750" s="274"/>
    </row>
    <row r="751" spans="15:31">
      <c r="O751" s="274"/>
      <c r="P751" s="274"/>
      <c r="Q751" s="274"/>
      <c r="R751" s="274"/>
      <c r="S751" s="274"/>
      <c r="T751" s="274"/>
      <c r="U751" s="274"/>
      <c r="V751" s="274"/>
      <c r="W751" s="274"/>
      <c r="X751" s="274"/>
      <c r="Y751" s="274"/>
      <c r="Z751" s="274"/>
      <c r="AA751" s="274"/>
      <c r="AB751" s="274"/>
      <c r="AC751" s="274"/>
      <c r="AD751" s="274"/>
      <c r="AE751" s="274"/>
    </row>
    <row r="752" spans="15:31">
      <c r="O752" s="274"/>
      <c r="P752" s="274"/>
      <c r="Q752" s="274"/>
      <c r="R752" s="274"/>
      <c r="S752" s="274"/>
      <c r="T752" s="274"/>
      <c r="U752" s="274"/>
      <c r="V752" s="274"/>
      <c r="W752" s="274"/>
      <c r="X752" s="274"/>
      <c r="Y752" s="274"/>
      <c r="Z752" s="274"/>
      <c r="AA752" s="274"/>
      <c r="AB752" s="274"/>
      <c r="AC752" s="274"/>
      <c r="AD752" s="274"/>
      <c r="AE752" s="274"/>
    </row>
    <row r="753" spans="15:31">
      <c r="O753" s="274"/>
      <c r="P753" s="274"/>
      <c r="Q753" s="274"/>
      <c r="R753" s="274"/>
      <c r="S753" s="274"/>
      <c r="T753" s="274"/>
      <c r="U753" s="274"/>
      <c r="V753" s="274"/>
      <c r="W753" s="274"/>
      <c r="X753" s="274"/>
      <c r="Y753" s="274"/>
      <c r="Z753" s="274"/>
      <c r="AA753" s="274"/>
      <c r="AB753" s="274"/>
      <c r="AC753" s="274"/>
      <c r="AD753" s="274"/>
      <c r="AE753" s="274"/>
    </row>
    <row r="754" spans="15:31">
      <c r="O754" s="274"/>
      <c r="P754" s="274"/>
      <c r="Q754" s="274"/>
      <c r="R754" s="274"/>
      <c r="S754" s="274"/>
      <c r="T754" s="274"/>
      <c r="U754" s="274"/>
      <c r="V754" s="274"/>
      <c r="W754" s="274"/>
      <c r="X754" s="274"/>
      <c r="Y754" s="274"/>
      <c r="Z754" s="274"/>
      <c r="AA754" s="274"/>
      <c r="AB754" s="274"/>
      <c r="AC754" s="274"/>
      <c r="AD754" s="274"/>
      <c r="AE754" s="274"/>
    </row>
    <row r="755" spans="15:31">
      <c r="O755" s="274"/>
      <c r="P755" s="274"/>
      <c r="Q755" s="274"/>
      <c r="R755" s="274"/>
      <c r="S755" s="274"/>
      <c r="T755" s="274"/>
      <c r="U755" s="274"/>
      <c r="V755" s="274"/>
      <c r="W755" s="274"/>
      <c r="X755" s="274"/>
      <c r="Y755" s="274"/>
      <c r="Z755" s="274"/>
      <c r="AA755" s="274"/>
      <c r="AB755" s="274"/>
      <c r="AC755" s="274"/>
      <c r="AD755" s="274"/>
      <c r="AE755" s="274"/>
    </row>
    <row r="756" spans="15:31">
      <c r="O756" s="274"/>
      <c r="P756" s="274"/>
      <c r="Q756" s="274"/>
      <c r="R756" s="274"/>
      <c r="S756" s="274"/>
      <c r="T756" s="274"/>
      <c r="U756" s="274"/>
      <c r="V756" s="274"/>
      <c r="W756" s="274"/>
      <c r="X756" s="274"/>
      <c r="Y756" s="274"/>
      <c r="Z756" s="274"/>
      <c r="AA756" s="274"/>
      <c r="AB756" s="274"/>
      <c r="AC756" s="274"/>
      <c r="AD756" s="274"/>
      <c r="AE756" s="274"/>
    </row>
    <row r="757" spans="15:31">
      <c r="O757" s="274"/>
      <c r="P757" s="274"/>
      <c r="Q757" s="274"/>
      <c r="R757" s="274"/>
      <c r="S757" s="274"/>
      <c r="T757" s="274"/>
      <c r="U757" s="274"/>
      <c r="V757" s="274"/>
      <c r="W757" s="274"/>
      <c r="X757" s="274"/>
      <c r="Y757" s="274"/>
      <c r="Z757" s="274"/>
      <c r="AA757" s="274"/>
      <c r="AB757" s="274"/>
      <c r="AC757" s="274"/>
      <c r="AD757" s="274"/>
      <c r="AE757" s="274"/>
    </row>
    <row r="758" spans="15:31">
      <c r="O758" s="274"/>
      <c r="P758" s="274"/>
      <c r="Q758" s="274"/>
      <c r="R758" s="274"/>
      <c r="S758" s="274"/>
      <c r="T758" s="274"/>
      <c r="U758" s="274"/>
      <c r="V758" s="274"/>
      <c r="W758" s="274"/>
      <c r="X758" s="274"/>
      <c r="Y758" s="274"/>
      <c r="Z758" s="274"/>
      <c r="AA758" s="274"/>
      <c r="AB758" s="274"/>
      <c r="AC758" s="274"/>
      <c r="AD758" s="274"/>
      <c r="AE758" s="274"/>
    </row>
    <row r="759" spans="15:31">
      <c r="O759" s="274"/>
      <c r="P759" s="274"/>
      <c r="Q759" s="274"/>
      <c r="R759" s="274"/>
      <c r="S759" s="274"/>
      <c r="T759" s="274"/>
      <c r="U759" s="274"/>
      <c r="V759" s="274"/>
      <c r="W759" s="274"/>
      <c r="X759" s="274"/>
      <c r="Y759" s="274"/>
      <c r="Z759" s="274"/>
      <c r="AA759" s="274"/>
      <c r="AB759" s="274"/>
      <c r="AC759" s="274"/>
      <c r="AD759" s="274"/>
      <c r="AE759" s="274"/>
    </row>
    <row r="760" spans="15:31">
      <c r="O760" s="274"/>
      <c r="P760" s="274"/>
      <c r="Q760" s="274"/>
      <c r="R760" s="274"/>
      <c r="S760" s="274"/>
      <c r="T760" s="274"/>
      <c r="U760" s="274"/>
      <c r="V760" s="274"/>
      <c r="W760" s="274"/>
      <c r="X760" s="274"/>
      <c r="Y760" s="274"/>
      <c r="Z760" s="274"/>
      <c r="AA760" s="274"/>
      <c r="AB760" s="274"/>
      <c r="AC760" s="274"/>
      <c r="AD760" s="274"/>
      <c r="AE760" s="274"/>
    </row>
    <row r="761" spans="15:31">
      <c r="O761" s="274"/>
      <c r="P761" s="274"/>
      <c r="Q761" s="274"/>
      <c r="R761" s="274"/>
      <c r="S761" s="274"/>
      <c r="T761" s="274"/>
      <c r="U761" s="274"/>
      <c r="V761" s="274"/>
      <c r="W761" s="274"/>
      <c r="X761" s="274"/>
      <c r="Y761" s="274"/>
      <c r="Z761" s="274"/>
      <c r="AA761" s="274"/>
      <c r="AB761" s="274"/>
      <c r="AC761" s="274"/>
      <c r="AD761" s="274"/>
      <c r="AE761" s="274"/>
    </row>
    <row r="762" spans="15:31">
      <c r="O762" s="274"/>
      <c r="P762" s="274"/>
      <c r="Q762" s="274"/>
      <c r="R762" s="274"/>
      <c r="S762" s="274"/>
      <c r="T762" s="274"/>
      <c r="U762" s="274"/>
      <c r="V762" s="274"/>
      <c r="W762" s="274"/>
      <c r="X762" s="274"/>
      <c r="Y762" s="274"/>
      <c r="Z762" s="274"/>
      <c r="AA762" s="274"/>
      <c r="AB762" s="274"/>
      <c r="AC762" s="274"/>
      <c r="AD762" s="274"/>
      <c r="AE762" s="274"/>
    </row>
    <row r="763" spans="15:31">
      <c r="O763" s="274"/>
      <c r="P763" s="274"/>
      <c r="Q763" s="274"/>
      <c r="R763" s="274"/>
      <c r="S763" s="274"/>
      <c r="T763" s="274"/>
      <c r="U763" s="274"/>
      <c r="V763" s="274"/>
      <c r="W763" s="274"/>
      <c r="X763" s="274"/>
      <c r="Y763" s="274"/>
      <c r="Z763" s="274"/>
      <c r="AA763" s="274"/>
      <c r="AB763" s="274"/>
      <c r="AC763" s="274"/>
      <c r="AD763" s="274"/>
      <c r="AE763" s="274"/>
    </row>
    <row r="764" spans="15:31">
      <c r="O764" s="274"/>
      <c r="P764" s="274"/>
      <c r="Q764" s="274"/>
      <c r="R764" s="274"/>
      <c r="S764" s="274"/>
      <c r="T764" s="274"/>
      <c r="U764" s="274"/>
      <c r="V764" s="274"/>
      <c r="W764" s="274"/>
      <c r="X764" s="274"/>
      <c r="Y764" s="274"/>
      <c r="Z764" s="274"/>
      <c r="AA764" s="274"/>
      <c r="AB764" s="274"/>
      <c r="AC764" s="274"/>
      <c r="AD764" s="274"/>
      <c r="AE764" s="274"/>
    </row>
    <row r="765" spans="15:31">
      <c r="O765" s="274"/>
      <c r="P765" s="274"/>
      <c r="Q765" s="274"/>
      <c r="R765" s="274"/>
      <c r="S765" s="274"/>
      <c r="T765" s="274"/>
      <c r="U765" s="274"/>
      <c r="V765" s="274"/>
      <c r="W765" s="274"/>
      <c r="X765" s="274"/>
      <c r="Y765" s="274"/>
      <c r="Z765" s="274"/>
      <c r="AA765" s="274"/>
      <c r="AB765" s="274"/>
      <c r="AC765" s="274"/>
      <c r="AD765" s="274"/>
      <c r="AE765" s="274"/>
    </row>
    <row r="766" spans="15:31">
      <c r="O766" s="274"/>
      <c r="P766" s="274"/>
      <c r="Q766" s="274"/>
      <c r="R766" s="274"/>
      <c r="S766" s="274"/>
      <c r="T766" s="274"/>
      <c r="U766" s="274"/>
      <c r="V766" s="274"/>
      <c r="W766" s="274"/>
      <c r="X766" s="274"/>
      <c r="Y766" s="274"/>
      <c r="Z766" s="274"/>
      <c r="AA766" s="274"/>
      <c r="AB766" s="274"/>
      <c r="AC766" s="274"/>
      <c r="AD766" s="274"/>
      <c r="AE766" s="274"/>
    </row>
    <row r="767" spans="15:31">
      <c r="O767" s="274"/>
      <c r="P767" s="274"/>
      <c r="Q767" s="274"/>
      <c r="R767" s="274"/>
      <c r="S767" s="274"/>
      <c r="T767" s="274"/>
      <c r="U767" s="274"/>
      <c r="V767" s="274"/>
      <c r="W767" s="274"/>
      <c r="X767" s="274"/>
      <c r="Y767" s="274"/>
      <c r="Z767" s="274"/>
      <c r="AA767" s="274"/>
      <c r="AB767" s="274"/>
      <c r="AC767" s="274"/>
      <c r="AD767" s="274"/>
      <c r="AE767" s="274"/>
    </row>
    <row r="768" spans="15:31">
      <c r="O768" s="274"/>
      <c r="P768" s="274"/>
      <c r="Q768" s="274"/>
      <c r="R768" s="274"/>
      <c r="S768" s="274"/>
      <c r="T768" s="274"/>
      <c r="U768" s="274"/>
      <c r="V768" s="274"/>
      <c r="W768" s="274"/>
      <c r="X768" s="274"/>
      <c r="Y768" s="274"/>
      <c r="Z768" s="274"/>
      <c r="AA768" s="274"/>
      <c r="AB768" s="274"/>
      <c r="AC768" s="274"/>
      <c r="AD768" s="274"/>
      <c r="AE768" s="274"/>
    </row>
    <row r="769" spans="15:31">
      <c r="O769" s="274"/>
      <c r="P769" s="274"/>
      <c r="Q769" s="274"/>
      <c r="R769" s="274"/>
      <c r="S769" s="274"/>
      <c r="T769" s="274"/>
      <c r="U769" s="274"/>
      <c r="V769" s="274"/>
      <c r="W769" s="274"/>
      <c r="X769" s="274"/>
      <c r="Y769" s="274"/>
      <c r="Z769" s="274"/>
      <c r="AA769" s="274"/>
      <c r="AB769" s="274"/>
      <c r="AC769" s="274"/>
      <c r="AD769" s="274"/>
      <c r="AE769" s="274"/>
    </row>
    <row r="770" spans="15:31">
      <c r="O770" s="274"/>
      <c r="P770" s="274"/>
      <c r="Q770" s="274"/>
      <c r="R770" s="274"/>
      <c r="S770" s="274"/>
      <c r="T770" s="274"/>
      <c r="U770" s="274"/>
      <c r="V770" s="274"/>
      <c r="W770" s="274"/>
      <c r="X770" s="274"/>
      <c r="Y770" s="274"/>
      <c r="Z770" s="274"/>
      <c r="AA770" s="274"/>
      <c r="AB770" s="274"/>
      <c r="AC770" s="274"/>
      <c r="AD770" s="274"/>
      <c r="AE770" s="274"/>
    </row>
    <row r="771" spans="15:31">
      <c r="O771" s="274"/>
      <c r="P771" s="274"/>
      <c r="Q771" s="274"/>
      <c r="R771" s="274"/>
      <c r="S771" s="274"/>
      <c r="T771" s="274"/>
      <c r="U771" s="274"/>
      <c r="V771" s="274"/>
      <c r="W771" s="274"/>
      <c r="X771" s="274"/>
      <c r="Y771" s="274"/>
      <c r="Z771" s="274"/>
      <c r="AA771" s="274"/>
      <c r="AB771" s="274"/>
      <c r="AC771" s="274"/>
      <c r="AD771" s="274"/>
      <c r="AE771" s="274"/>
    </row>
    <row r="772" spans="15:31">
      <c r="O772" s="274"/>
      <c r="P772" s="274"/>
      <c r="Q772" s="274"/>
      <c r="R772" s="274"/>
      <c r="S772" s="274"/>
      <c r="T772" s="274"/>
      <c r="U772" s="274"/>
      <c r="V772" s="274"/>
      <c r="W772" s="274"/>
      <c r="X772" s="274"/>
      <c r="Y772" s="274"/>
      <c r="Z772" s="274"/>
      <c r="AA772" s="274"/>
      <c r="AB772" s="274"/>
      <c r="AC772" s="274"/>
      <c r="AD772" s="274"/>
      <c r="AE772" s="274"/>
    </row>
    <row r="773" spans="15:31">
      <c r="O773" s="274"/>
      <c r="P773" s="274"/>
      <c r="Q773" s="274"/>
      <c r="R773" s="274"/>
      <c r="S773" s="274"/>
      <c r="T773" s="274"/>
      <c r="U773" s="274"/>
      <c r="V773" s="274"/>
      <c r="W773" s="274"/>
      <c r="X773" s="274"/>
      <c r="Y773" s="274"/>
      <c r="Z773" s="274"/>
      <c r="AA773" s="274"/>
      <c r="AB773" s="274"/>
      <c r="AC773" s="274"/>
      <c r="AD773" s="274"/>
      <c r="AE773" s="274"/>
    </row>
    <row r="774" spans="15:31">
      <c r="O774" s="274"/>
      <c r="P774" s="274"/>
      <c r="Q774" s="274"/>
      <c r="R774" s="274"/>
      <c r="S774" s="274"/>
      <c r="T774" s="274"/>
      <c r="U774" s="274"/>
      <c r="V774" s="274"/>
      <c r="W774" s="274"/>
      <c r="X774" s="274"/>
      <c r="Y774" s="274"/>
      <c r="Z774" s="274"/>
      <c r="AA774" s="274"/>
      <c r="AB774" s="274"/>
      <c r="AC774" s="274"/>
      <c r="AD774" s="274"/>
      <c r="AE774" s="274"/>
    </row>
    <row r="775" spans="15:31">
      <c r="O775" s="274"/>
      <c r="P775" s="274"/>
      <c r="Q775" s="274"/>
      <c r="R775" s="274"/>
      <c r="S775" s="274"/>
      <c r="T775" s="274"/>
      <c r="U775" s="274"/>
      <c r="V775" s="274"/>
      <c r="W775" s="274"/>
      <c r="X775" s="274"/>
      <c r="Y775" s="274"/>
      <c r="Z775" s="274"/>
      <c r="AA775" s="274"/>
      <c r="AB775" s="274"/>
      <c r="AC775" s="274"/>
      <c r="AD775" s="274"/>
      <c r="AE775" s="274"/>
    </row>
    <row r="776" spans="15:31">
      <c r="O776" s="274"/>
      <c r="P776" s="274"/>
      <c r="Q776" s="274"/>
      <c r="R776" s="274"/>
      <c r="S776" s="274"/>
      <c r="T776" s="274"/>
      <c r="U776" s="274"/>
      <c r="V776" s="274"/>
      <c r="W776" s="274"/>
      <c r="X776" s="274"/>
      <c r="Y776" s="274"/>
      <c r="Z776" s="274"/>
      <c r="AA776" s="274"/>
      <c r="AB776" s="274"/>
      <c r="AC776" s="274"/>
      <c r="AD776" s="274"/>
      <c r="AE776" s="274"/>
    </row>
    <row r="777" spans="15:31">
      <c r="O777" s="274"/>
      <c r="P777" s="274"/>
      <c r="Q777" s="274"/>
      <c r="R777" s="274"/>
      <c r="S777" s="274"/>
      <c r="T777" s="274"/>
      <c r="U777" s="274"/>
      <c r="V777" s="274"/>
      <c r="W777" s="274"/>
      <c r="X777" s="274"/>
      <c r="Y777" s="274"/>
      <c r="Z777" s="274"/>
      <c r="AA777" s="274"/>
      <c r="AB777" s="274"/>
      <c r="AC777" s="274"/>
      <c r="AD777" s="274"/>
      <c r="AE777" s="274"/>
    </row>
    <row r="778" spans="15:31">
      <c r="O778" s="274"/>
      <c r="P778" s="274"/>
      <c r="Q778" s="274"/>
      <c r="R778" s="274"/>
      <c r="S778" s="274"/>
      <c r="T778" s="274"/>
      <c r="U778" s="274"/>
      <c r="V778" s="274"/>
      <c r="W778" s="274"/>
      <c r="X778" s="274"/>
      <c r="Y778" s="274"/>
      <c r="Z778" s="274"/>
      <c r="AA778" s="274"/>
      <c r="AB778" s="274"/>
      <c r="AC778" s="274"/>
      <c r="AD778" s="274"/>
      <c r="AE778" s="274"/>
    </row>
    <row r="779" spans="15:31">
      <c r="O779" s="274"/>
      <c r="P779" s="274"/>
      <c r="Q779" s="274"/>
      <c r="R779" s="274"/>
      <c r="S779" s="274"/>
      <c r="T779" s="274"/>
      <c r="U779" s="274"/>
      <c r="V779" s="274"/>
      <c r="W779" s="274"/>
      <c r="X779" s="274"/>
      <c r="Y779" s="274"/>
      <c r="Z779" s="274"/>
      <c r="AA779" s="274"/>
      <c r="AB779" s="274"/>
      <c r="AC779" s="274"/>
      <c r="AD779" s="274"/>
      <c r="AE779" s="274"/>
    </row>
    <row r="780" spans="15:31">
      <c r="O780" s="274"/>
      <c r="P780" s="274"/>
      <c r="Q780" s="274"/>
      <c r="R780" s="274"/>
      <c r="S780" s="274"/>
      <c r="T780" s="274"/>
      <c r="U780" s="274"/>
      <c r="V780" s="274"/>
      <c r="W780" s="274"/>
      <c r="X780" s="274"/>
      <c r="Y780" s="274"/>
      <c r="Z780" s="274"/>
      <c r="AA780" s="274"/>
      <c r="AB780" s="274"/>
      <c r="AC780" s="274"/>
      <c r="AD780" s="274"/>
      <c r="AE780" s="274"/>
    </row>
    <row r="781" spans="15:31">
      <c r="O781" s="274"/>
      <c r="P781" s="274"/>
      <c r="Q781" s="274"/>
      <c r="R781" s="274"/>
      <c r="S781" s="274"/>
      <c r="T781" s="274"/>
      <c r="U781" s="274"/>
      <c r="V781" s="274"/>
      <c r="W781" s="274"/>
      <c r="X781" s="274"/>
      <c r="Y781" s="274"/>
      <c r="Z781" s="274"/>
      <c r="AA781" s="274"/>
      <c r="AB781" s="274"/>
      <c r="AC781" s="274"/>
      <c r="AD781" s="274"/>
      <c r="AE781" s="274"/>
    </row>
    <row r="782" spans="15:31">
      <c r="O782" s="274"/>
      <c r="P782" s="274"/>
      <c r="Q782" s="274"/>
      <c r="R782" s="274"/>
      <c r="S782" s="274"/>
      <c r="T782" s="274"/>
      <c r="U782" s="274"/>
      <c r="V782" s="274"/>
      <c r="W782" s="274"/>
      <c r="X782" s="274"/>
      <c r="Y782" s="274"/>
      <c r="Z782" s="274"/>
      <c r="AA782" s="274"/>
      <c r="AB782" s="274"/>
      <c r="AC782" s="274"/>
      <c r="AD782" s="274"/>
      <c r="AE782" s="274"/>
    </row>
    <row r="783" spans="15:31">
      <c r="O783" s="274"/>
      <c r="P783" s="274"/>
      <c r="Q783" s="274"/>
      <c r="R783" s="274"/>
      <c r="S783" s="274"/>
      <c r="T783" s="274"/>
      <c r="U783" s="274"/>
      <c r="V783" s="274"/>
      <c r="W783" s="274"/>
      <c r="X783" s="274"/>
      <c r="Y783" s="274"/>
      <c r="Z783" s="274"/>
      <c r="AA783" s="274"/>
      <c r="AB783" s="274"/>
      <c r="AC783" s="274"/>
      <c r="AD783" s="274"/>
      <c r="AE783" s="274"/>
    </row>
    <row r="784" spans="15:31">
      <c r="O784" s="274"/>
      <c r="P784" s="274"/>
      <c r="Q784" s="274"/>
      <c r="R784" s="274"/>
      <c r="S784" s="274"/>
      <c r="T784" s="274"/>
      <c r="U784" s="274"/>
      <c r="V784" s="274"/>
      <c r="W784" s="274"/>
      <c r="X784" s="274"/>
      <c r="Y784" s="274"/>
      <c r="Z784" s="274"/>
      <c r="AA784" s="274"/>
      <c r="AB784" s="274"/>
      <c r="AC784" s="274"/>
      <c r="AD784" s="274"/>
      <c r="AE784" s="274"/>
    </row>
    <row r="785" spans="15:31">
      <c r="O785" s="274"/>
      <c r="P785" s="274"/>
      <c r="Q785" s="274"/>
      <c r="R785" s="274"/>
      <c r="S785" s="274"/>
      <c r="T785" s="274"/>
      <c r="U785" s="274"/>
      <c r="V785" s="274"/>
      <c r="W785" s="274"/>
      <c r="X785" s="274"/>
      <c r="Y785" s="274"/>
      <c r="Z785" s="274"/>
      <c r="AA785" s="274"/>
      <c r="AB785" s="274"/>
      <c r="AC785" s="274"/>
      <c r="AD785" s="274"/>
      <c r="AE785" s="274"/>
    </row>
    <row r="786" spans="15:31">
      <c r="O786" s="274"/>
      <c r="P786" s="274"/>
      <c r="Q786" s="274"/>
      <c r="R786" s="274"/>
      <c r="S786" s="274"/>
      <c r="T786" s="274"/>
      <c r="U786" s="274"/>
      <c r="V786" s="274"/>
      <c r="W786" s="274"/>
      <c r="X786" s="274"/>
      <c r="Y786" s="274"/>
      <c r="Z786" s="274"/>
      <c r="AA786" s="274"/>
      <c r="AB786" s="274"/>
      <c r="AC786" s="274"/>
      <c r="AD786" s="274"/>
      <c r="AE786" s="274"/>
    </row>
    <row r="787" spans="15:31">
      <c r="O787" s="274"/>
      <c r="P787" s="274"/>
      <c r="Q787" s="274"/>
      <c r="R787" s="274"/>
      <c r="S787" s="274"/>
      <c r="T787" s="274"/>
      <c r="U787" s="274"/>
      <c r="V787" s="274"/>
      <c r="W787" s="274"/>
      <c r="X787" s="274"/>
      <c r="Y787" s="274"/>
      <c r="Z787" s="274"/>
      <c r="AA787" s="274"/>
      <c r="AB787" s="274"/>
      <c r="AC787" s="274"/>
      <c r="AD787" s="274"/>
      <c r="AE787" s="274"/>
    </row>
    <row r="788" spans="15:31">
      <c r="O788" s="274"/>
      <c r="P788" s="274"/>
      <c r="Q788" s="274"/>
      <c r="R788" s="274"/>
      <c r="S788" s="274"/>
      <c r="T788" s="274"/>
      <c r="U788" s="274"/>
      <c r="V788" s="274"/>
      <c r="W788" s="274"/>
      <c r="X788" s="274"/>
      <c r="Y788" s="274"/>
      <c r="Z788" s="274"/>
      <c r="AA788" s="274"/>
      <c r="AB788" s="274"/>
      <c r="AC788" s="274"/>
      <c r="AD788" s="274"/>
      <c r="AE788" s="274"/>
    </row>
    <row r="789" spans="15:31">
      <c r="O789" s="274"/>
      <c r="P789" s="274"/>
      <c r="Q789" s="274"/>
      <c r="R789" s="274"/>
      <c r="S789" s="274"/>
      <c r="T789" s="274"/>
      <c r="U789" s="274"/>
      <c r="V789" s="274"/>
      <c r="W789" s="274"/>
      <c r="X789" s="274"/>
      <c r="Y789" s="274"/>
      <c r="Z789" s="274"/>
      <c r="AA789" s="274"/>
      <c r="AB789" s="274"/>
      <c r="AC789" s="274"/>
      <c r="AD789" s="274"/>
      <c r="AE789" s="274"/>
    </row>
    <row r="790" spans="15:31">
      <c r="O790" s="274"/>
      <c r="P790" s="274"/>
      <c r="Q790" s="274"/>
      <c r="R790" s="274"/>
      <c r="S790" s="274"/>
      <c r="T790" s="274"/>
      <c r="U790" s="274"/>
      <c r="V790" s="274"/>
      <c r="W790" s="274"/>
      <c r="X790" s="274"/>
      <c r="Y790" s="274"/>
      <c r="Z790" s="274"/>
      <c r="AA790" s="274"/>
      <c r="AB790" s="274"/>
      <c r="AC790" s="274"/>
      <c r="AD790" s="274"/>
      <c r="AE790" s="274"/>
    </row>
    <row r="791" spans="15:31">
      <c r="O791" s="274"/>
      <c r="P791" s="274"/>
      <c r="Q791" s="274"/>
      <c r="R791" s="274"/>
      <c r="S791" s="274"/>
      <c r="T791" s="274"/>
      <c r="U791" s="274"/>
      <c r="V791" s="274"/>
      <c r="W791" s="274"/>
      <c r="X791" s="274"/>
      <c r="Y791" s="274"/>
      <c r="Z791" s="274"/>
      <c r="AA791" s="274"/>
      <c r="AB791" s="274"/>
      <c r="AC791" s="274"/>
      <c r="AD791" s="274"/>
      <c r="AE791" s="274"/>
    </row>
    <row r="792" spans="15:31">
      <c r="O792" s="274"/>
      <c r="P792" s="274"/>
      <c r="Q792" s="274"/>
      <c r="R792" s="274"/>
      <c r="S792" s="274"/>
      <c r="T792" s="274"/>
      <c r="U792" s="274"/>
      <c r="V792" s="274"/>
      <c r="W792" s="274"/>
      <c r="X792" s="274"/>
      <c r="Y792" s="274"/>
      <c r="Z792" s="274"/>
      <c r="AA792" s="274"/>
      <c r="AB792" s="274"/>
      <c r="AC792" s="274"/>
      <c r="AD792" s="274"/>
      <c r="AE792" s="274"/>
    </row>
    <row r="793" spans="15:31">
      <c r="O793" s="274"/>
      <c r="P793" s="274"/>
      <c r="Q793" s="274"/>
      <c r="R793" s="274"/>
      <c r="S793" s="274"/>
      <c r="T793" s="274"/>
      <c r="U793" s="274"/>
      <c r="V793" s="274"/>
      <c r="W793" s="274"/>
      <c r="X793" s="274"/>
      <c r="Y793" s="274"/>
      <c r="Z793" s="274"/>
      <c r="AA793" s="274"/>
      <c r="AB793" s="274"/>
      <c r="AC793" s="274"/>
      <c r="AD793" s="274"/>
      <c r="AE793" s="274"/>
    </row>
    <row r="794" spans="15:31">
      <c r="O794" s="274"/>
      <c r="P794" s="274"/>
      <c r="Q794" s="274"/>
      <c r="R794" s="274"/>
      <c r="S794" s="274"/>
      <c r="T794" s="274"/>
      <c r="U794" s="274"/>
      <c r="V794" s="274"/>
      <c r="W794" s="274"/>
      <c r="X794" s="274"/>
      <c r="Y794" s="274"/>
      <c r="Z794" s="274"/>
      <c r="AA794" s="274"/>
      <c r="AB794" s="274"/>
      <c r="AC794" s="274"/>
      <c r="AD794" s="274"/>
      <c r="AE794" s="274"/>
    </row>
    <row r="795" spans="15:31">
      <c r="O795" s="274"/>
      <c r="P795" s="274"/>
      <c r="Q795" s="274"/>
      <c r="R795" s="274"/>
      <c r="S795" s="274"/>
      <c r="T795" s="274"/>
      <c r="U795" s="274"/>
      <c r="V795" s="274"/>
      <c r="W795" s="274"/>
      <c r="X795" s="274"/>
      <c r="Y795" s="274"/>
      <c r="Z795" s="274"/>
      <c r="AA795" s="274"/>
      <c r="AB795" s="274"/>
      <c r="AC795" s="274"/>
      <c r="AD795" s="274"/>
      <c r="AE795" s="274"/>
    </row>
    <row r="796" spans="15:31">
      <c r="O796" s="274"/>
      <c r="P796" s="274"/>
      <c r="Q796" s="274"/>
      <c r="R796" s="274"/>
      <c r="S796" s="274"/>
      <c r="T796" s="274"/>
      <c r="U796" s="274"/>
      <c r="V796" s="274"/>
      <c r="W796" s="274"/>
      <c r="X796" s="274"/>
      <c r="Y796" s="274"/>
      <c r="Z796" s="274"/>
      <c r="AA796" s="274"/>
      <c r="AB796" s="274"/>
      <c r="AC796" s="274"/>
      <c r="AD796" s="274"/>
      <c r="AE796" s="274"/>
    </row>
    <row r="797" spans="15:31">
      <c r="O797" s="274"/>
      <c r="P797" s="274"/>
      <c r="Q797" s="274"/>
      <c r="R797" s="274"/>
      <c r="S797" s="274"/>
      <c r="T797" s="274"/>
      <c r="U797" s="274"/>
      <c r="V797" s="274"/>
      <c r="W797" s="274"/>
      <c r="X797" s="274"/>
      <c r="Y797" s="274"/>
      <c r="Z797" s="274"/>
      <c r="AA797" s="274"/>
      <c r="AB797" s="274"/>
      <c r="AC797" s="274"/>
      <c r="AD797" s="274"/>
      <c r="AE797" s="274"/>
    </row>
    <row r="798" spans="15:31">
      <c r="O798" s="274"/>
      <c r="P798" s="274"/>
      <c r="Q798" s="274"/>
      <c r="R798" s="274"/>
      <c r="S798" s="274"/>
      <c r="T798" s="274"/>
      <c r="U798" s="274"/>
      <c r="V798" s="274"/>
      <c r="W798" s="274"/>
      <c r="X798" s="274"/>
      <c r="Y798" s="274"/>
      <c r="Z798" s="274"/>
      <c r="AA798" s="274"/>
      <c r="AB798" s="274"/>
      <c r="AC798" s="274"/>
      <c r="AD798" s="274"/>
      <c r="AE798" s="274"/>
    </row>
    <row r="799" spans="15:31">
      <c r="O799" s="274"/>
      <c r="P799" s="274"/>
      <c r="Q799" s="274"/>
      <c r="R799" s="274"/>
      <c r="S799" s="274"/>
      <c r="T799" s="274"/>
      <c r="U799" s="274"/>
      <c r="V799" s="274"/>
      <c r="W799" s="274"/>
      <c r="X799" s="274"/>
      <c r="Y799" s="274"/>
      <c r="Z799" s="274"/>
      <c r="AA799" s="274"/>
      <c r="AB799" s="274"/>
      <c r="AC799" s="274"/>
      <c r="AD799" s="274"/>
      <c r="AE799" s="274"/>
    </row>
    <row r="800" spans="15:31">
      <c r="O800" s="274"/>
      <c r="P800" s="274"/>
      <c r="Q800" s="274"/>
      <c r="R800" s="274"/>
      <c r="S800" s="274"/>
      <c r="T800" s="274"/>
      <c r="U800" s="274"/>
      <c r="V800" s="274"/>
      <c r="W800" s="274"/>
      <c r="X800" s="274"/>
      <c r="Y800" s="274"/>
      <c r="Z800" s="274"/>
      <c r="AA800" s="274"/>
      <c r="AB800" s="274"/>
      <c r="AC800" s="274"/>
      <c r="AD800" s="274"/>
      <c r="AE800" s="274"/>
    </row>
    <row r="801" spans="15:31">
      <c r="O801" s="274"/>
      <c r="P801" s="274"/>
      <c r="Q801" s="274"/>
      <c r="R801" s="274"/>
      <c r="S801" s="274"/>
      <c r="T801" s="274"/>
      <c r="U801" s="274"/>
      <c r="V801" s="274"/>
      <c r="W801" s="274"/>
      <c r="X801" s="274"/>
      <c r="Y801" s="274"/>
      <c r="Z801" s="274"/>
      <c r="AA801" s="274"/>
      <c r="AB801" s="274"/>
      <c r="AC801" s="274"/>
      <c r="AD801" s="274"/>
      <c r="AE801" s="274"/>
    </row>
    <row r="802" spans="15:31">
      <c r="O802" s="274"/>
      <c r="P802" s="274"/>
      <c r="Q802" s="274"/>
      <c r="R802" s="274"/>
      <c r="S802" s="274"/>
      <c r="T802" s="274"/>
      <c r="U802" s="274"/>
      <c r="V802" s="274"/>
      <c r="W802" s="274"/>
      <c r="X802" s="274"/>
      <c r="Y802" s="274"/>
      <c r="Z802" s="274"/>
      <c r="AA802" s="274"/>
      <c r="AB802" s="274"/>
      <c r="AC802" s="274"/>
      <c r="AD802" s="274"/>
      <c r="AE802" s="274"/>
    </row>
    <row r="803" spans="15:31">
      <c r="O803" s="274"/>
      <c r="P803" s="274"/>
      <c r="Q803" s="274"/>
      <c r="R803" s="274"/>
      <c r="S803" s="274"/>
      <c r="T803" s="274"/>
      <c r="U803" s="274"/>
      <c r="V803" s="274"/>
      <c r="W803" s="274"/>
      <c r="X803" s="274"/>
      <c r="Y803" s="274"/>
      <c r="Z803" s="274"/>
      <c r="AA803" s="274"/>
      <c r="AB803" s="274"/>
      <c r="AC803" s="274"/>
      <c r="AD803" s="274"/>
      <c r="AE803" s="274"/>
    </row>
    <row r="804" spans="15:31">
      <c r="O804" s="274"/>
      <c r="P804" s="274"/>
      <c r="Q804" s="274"/>
      <c r="R804" s="274"/>
      <c r="S804" s="274"/>
      <c r="T804" s="274"/>
      <c r="U804" s="274"/>
      <c r="V804" s="274"/>
      <c r="W804" s="274"/>
      <c r="X804" s="274"/>
      <c r="Y804" s="274"/>
      <c r="Z804" s="274"/>
      <c r="AA804" s="274"/>
      <c r="AB804" s="274"/>
      <c r="AC804" s="274"/>
      <c r="AD804" s="274"/>
      <c r="AE804" s="274"/>
    </row>
    <row r="805" spans="15:31">
      <c r="O805" s="274"/>
      <c r="P805" s="274"/>
      <c r="Q805" s="274"/>
      <c r="R805" s="274"/>
      <c r="S805" s="274"/>
      <c r="T805" s="274"/>
      <c r="U805" s="274"/>
      <c r="V805" s="274"/>
      <c r="W805" s="274"/>
      <c r="X805" s="274"/>
      <c r="Y805" s="274"/>
      <c r="Z805" s="274"/>
      <c r="AA805" s="274"/>
      <c r="AB805" s="274"/>
      <c r="AC805" s="274"/>
      <c r="AD805" s="274"/>
      <c r="AE805" s="274"/>
    </row>
    <row r="806" spans="15:31">
      <c r="O806" s="274"/>
      <c r="P806" s="274"/>
      <c r="Q806" s="274"/>
      <c r="R806" s="274"/>
      <c r="S806" s="274"/>
      <c r="T806" s="274"/>
      <c r="U806" s="274"/>
      <c r="V806" s="274"/>
      <c r="W806" s="274"/>
      <c r="X806" s="274"/>
      <c r="Y806" s="274"/>
      <c r="Z806" s="274"/>
      <c r="AA806" s="274"/>
      <c r="AB806" s="274"/>
      <c r="AC806" s="274"/>
      <c r="AD806" s="274"/>
      <c r="AE806" s="274"/>
    </row>
    <row r="807" spans="15:31">
      <c r="O807" s="274"/>
      <c r="P807" s="274"/>
      <c r="Q807" s="274"/>
      <c r="R807" s="274"/>
      <c r="S807" s="274"/>
      <c r="T807" s="274"/>
      <c r="U807" s="274"/>
      <c r="V807" s="274"/>
      <c r="W807" s="274"/>
      <c r="X807" s="274"/>
      <c r="Y807" s="274"/>
      <c r="Z807" s="274"/>
      <c r="AA807" s="274"/>
      <c r="AB807" s="274"/>
      <c r="AC807" s="274"/>
      <c r="AD807" s="274"/>
      <c r="AE807" s="274"/>
    </row>
    <row r="808" spans="15:31">
      <c r="O808" s="274"/>
      <c r="P808" s="274"/>
      <c r="Q808" s="274"/>
      <c r="R808" s="274"/>
      <c r="S808" s="274"/>
      <c r="T808" s="274"/>
      <c r="U808" s="274"/>
      <c r="V808" s="274"/>
      <c r="W808" s="274"/>
      <c r="X808" s="274"/>
      <c r="Y808" s="274"/>
      <c r="Z808" s="274"/>
      <c r="AA808" s="274"/>
      <c r="AB808" s="274"/>
      <c r="AC808" s="274"/>
      <c r="AD808" s="274"/>
      <c r="AE808" s="274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2024-08-20T13:51:03Z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