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696" documentId="13_ncr:1_{B5827D37-63AF-4BD1-A0A3-6E704A76DBBC}" xr6:coauthVersionLast="47" xr6:coauthVersionMax="47" xr10:uidLastSave="{5F8001E9-2FBC-4DB5-986E-219AA5D5081D}"/>
  <bookViews>
    <workbookView xWindow="-80" yWindow="-80" windowWidth="19360" windowHeight="11440" firstSheet="1" activeTab="4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Chart2" sheetId="17" state="hidden" r:id="rId9"/>
    <sheet name="FRTB" sheetId="16" r:id="rId10"/>
    <sheet name="CDO2" sheetId="13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9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T9" i="16" a="1"/>
  <c r="T9" i="16"/>
  <c r="S9" i="16" a="1"/>
  <c r="S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Y109" i="16"/>
  <c r="AC109" i="16"/>
  <c r="Y110" i="16"/>
  <c r="AC110" i="16"/>
  <c r="Y111" i="16"/>
  <c r="AC111" i="16"/>
  <c r="Y112" i="16"/>
  <c r="AC112" i="16"/>
  <c r="Y113" i="16"/>
  <c r="AC113" i="16"/>
  <c r="Y114" i="16"/>
  <c r="AC114" i="16"/>
  <c r="Y115" i="16"/>
  <c r="AC115" i="16"/>
  <c r="Y116" i="16"/>
  <c r="AC116" i="16"/>
  <c r="Y117" i="16"/>
  <c r="AC117" i="16"/>
  <c r="Y118" i="16"/>
  <c r="AC118" i="16"/>
  <c r="Y119" i="16"/>
  <c r="AC119" i="16"/>
  <c r="Y120" i="16"/>
  <c r="AC120" i="16"/>
  <c r="Y121" i="16"/>
  <c r="AC121" i="16"/>
  <c r="Y122" i="16"/>
  <c r="AC122" i="16"/>
  <c r="Y123" i="16"/>
  <c r="AC123" i="16"/>
  <c r="Y124" i="16"/>
  <c r="AC124" i="16"/>
  <c r="Y125" i="16"/>
  <c r="AC125" i="16"/>
  <c r="Y126" i="16"/>
  <c r="AC126" i="16"/>
  <c r="Y127" i="16"/>
  <c r="AC127" i="16"/>
  <c r="Y128" i="16"/>
  <c r="AC128" i="16"/>
  <c r="Y129" i="16"/>
  <c r="AC129" i="16"/>
  <c r="Y130" i="16"/>
  <c r="AC130" i="16"/>
  <c r="Y131" i="16"/>
  <c r="AC131" i="16"/>
  <c r="Y132" i="16"/>
  <c r="AC132" i="16"/>
  <c r="Y133" i="16"/>
  <c r="AC133" i="16"/>
  <c r="Y134" i="16"/>
  <c r="AC134" i="16"/>
  <c r="Y135" i="16"/>
  <c r="AC135" i="16"/>
  <c r="Y136" i="16"/>
  <c r="AC136" i="16"/>
  <c r="Y137" i="16"/>
  <c r="AC137" i="16"/>
  <c r="Y138" i="16"/>
  <c r="AC138" i="1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E17" i="11"/>
  <c r="C18" i="11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W14" i="16" a="1"/>
  <c r="AW14" i="16"/>
  <c r="AT14" i="16" a="1"/>
  <c r="AT14" i="16"/>
  <c r="AH11" i="16"/>
  <c r="AH11" i="16" a="1"/>
  <c r="AN14" i="16" a="1"/>
  <c r="AN14" i="16"/>
  <c r="AH14" i="16" a="1"/>
  <c r="AH14" i="16"/>
  <c r="BA14" i="16" a="1"/>
  <c r="BA14" i="16"/>
  <c r="C18" i="4" a="1"/>
  <c r="C18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9" i="8" l="1"/>
  <c r="F10" i="8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M18" i="16"/>
  <c r="AG14" i="16"/>
  <c r="BL14" i="16"/>
  <c r="BM14" i="16"/>
  <c r="AG15" i="16"/>
  <c r="BL15" i="16"/>
  <c r="BM15" i="16"/>
  <c r="AG16" i="16"/>
  <c r="BL16" i="16"/>
  <c r="BM16" i="16"/>
  <c r="AG17" i="16"/>
  <c r="BL17" i="16"/>
  <c r="BM17" i="16"/>
  <c r="AG18" i="16"/>
  <c r="BL18" i="16"/>
  <c r="AG19" i="16"/>
  <c r="BL19" i="16"/>
  <c r="BM19" i="16"/>
  <c r="AG20" i="16"/>
  <c r="BL20" i="16"/>
  <c r="BM20" i="16"/>
  <c r="AG21" i="16"/>
  <c r="BL21" i="16"/>
  <c r="BM21" i="16"/>
  <c r="AG22" i="16"/>
  <c r="BL22" i="16"/>
  <c r="BM22" i="16"/>
  <c r="AG23" i="16"/>
  <c r="BL23" i="16"/>
  <c r="BM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G210" i="16"/>
  <c r="AG211" i="16"/>
  <c r="AG212" i="16"/>
  <c r="AG213" i="16"/>
  <c r="AG214" i="16"/>
  <c r="AG215" i="16"/>
  <c r="AG216" i="16"/>
  <c r="AG217" i="16"/>
  <c r="AG218" i="16"/>
  <c r="AG219" i="16"/>
  <c r="AG220" i="16"/>
  <c r="AG221" i="16"/>
  <c r="AG222" i="16"/>
  <c r="AG223" i="16"/>
  <c r="AG224" i="16"/>
  <c r="AG225" i="16"/>
  <c r="AG226" i="16"/>
  <c r="AG227" i="16"/>
  <c r="AG228" i="16"/>
  <c r="AG229" i="16"/>
  <c r="AG230" i="16"/>
  <c r="AG231" i="16"/>
  <c r="AG232" i="16"/>
  <c r="AG233" i="16"/>
  <c r="AG234" i="16"/>
  <c r="AG235" i="16"/>
  <c r="AG236" i="16"/>
  <c r="AG237" i="16"/>
  <c r="AG238" i="16"/>
  <c r="AG239" i="16"/>
  <c r="AG240" i="16"/>
  <c r="AG241" i="16"/>
  <c r="AG242" i="16"/>
  <c r="AG243" i="16"/>
  <c r="AG244" i="16"/>
  <c r="AG245" i="16"/>
  <c r="AG246" i="16"/>
  <c r="AG247" i="16"/>
  <c r="AG248" i="16"/>
  <c r="AG249" i="16"/>
  <c r="AG250" i="16"/>
  <c r="AG251" i="16"/>
  <c r="AG252" i="16"/>
  <c r="AG253" i="16"/>
  <c r="AG254" i="16"/>
  <c r="AG255" i="16"/>
  <c r="AG256" i="16"/>
  <c r="AG257" i="16"/>
  <c r="AG258" i="16"/>
  <c r="AG259" i="16"/>
  <c r="AG260" i="16"/>
  <c r="AG261" i="16"/>
  <c r="AG262" i="16"/>
  <c r="AG263" i="16"/>
  <c r="AG264" i="16"/>
  <c r="AG265" i="16"/>
  <c r="AG266" i="16"/>
  <c r="AG267" i="16"/>
  <c r="AG268" i="16"/>
  <c r="AG269" i="16"/>
  <c r="AG270" i="16"/>
  <c r="AG271" i="16"/>
  <c r="AG272" i="16"/>
  <c r="AG273" i="16"/>
  <c r="AG274" i="16"/>
  <c r="AG275" i="16"/>
  <c r="AG276" i="16"/>
  <c r="AG277" i="16"/>
  <c r="AG278" i="16"/>
  <c r="AG279" i="16"/>
  <c r="AG280" i="16"/>
  <c r="AG281" i="16"/>
  <c r="AG282" i="16"/>
  <c r="AG283" i="16"/>
  <c r="AG284" i="16"/>
  <c r="AG285" i="16"/>
  <c r="AG286" i="16"/>
  <c r="AG287" i="16"/>
  <c r="AG288" i="16"/>
  <c r="AG289" i="16"/>
  <c r="AG290" i="16"/>
  <c r="AG291" i="16"/>
  <c r="AG292" i="16"/>
  <c r="AG293" i="16"/>
  <c r="AG294" i="16"/>
  <c r="AG295" i="16"/>
  <c r="AG296" i="16"/>
  <c r="AG297" i="16"/>
  <c r="AG298" i="16"/>
  <c r="AG299" i="16"/>
  <c r="AG300" i="16"/>
  <c r="AG301" i="16"/>
  <c r="AG302" i="16"/>
  <c r="AG303" i="16"/>
  <c r="AG304" i="16"/>
  <c r="AG305" i="16"/>
  <c r="AG306" i="16"/>
  <c r="AG307" i="16"/>
  <c r="AG308" i="16"/>
  <c r="AG309" i="16"/>
  <c r="AG310" i="16"/>
  <c r="AG311" i="16"/>
  <c r="AG312" i="16"/>
  <c r="AG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<sst xmlns="http://schemas.openxmlformats.org/spreadsheetml/2006/main" count="4169" uniqueCount="709">
  <si>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</si>
  <si>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</si>
  <si>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</si>
  <si>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</si>
  <si>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</si>
  <si>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</si>
  <si>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</si>
  <si>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</si>
  <si>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</si>
  <si>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</si>
  <si>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</si>
  <si>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</si>
  <si>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</si>
  <si>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</si>
  <si>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</si>
  <si>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</si>
  <si>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</si>
  <si>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</si>
  <si>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</si>
  <si>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</si>
  <si>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</si>
  <si>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</si>
  <si>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</si>
  <si>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</si>
  <si>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</si>
  <si>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</si>
  <si>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</si>
  <si>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</si>
  <si>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</si>
  <si>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</si>
  <si>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</si>
  <si>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</si>
  <si>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</si>
  <si>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</si>
  <si>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</si>
  <si>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</si>
  <si>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</si>
  <si>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</si>
  <si>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</si>
  <si>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</si>
  <si>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</si>
  <si>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</si>
  <si>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</si>
  <si>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</si>
  <si>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</si>
  <si>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</si>
  <si>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</si>
  <si>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</si>
  <si>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</si>
  <si>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</si>
  <si>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</si>
  <si>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</si>
  <si>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</si>
  <si>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</si>
  <si>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</si>
  <si>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</si>
  <si>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</si>
  <si>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</si>
  <si>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</si>
  <si>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</si>
  <si>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</si>
  <si>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</si>
  <si>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</si>
  <si>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</si>
  <si>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</si>
  <si>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</si>
  <si>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</si>
  <si>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</si>
  <si>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</si>
  <si>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</si>
  <si>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</si>
  <si>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</si>
  <si>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</si>
  <si>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</si>
  <si>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</si>
  <si>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</si>
  <si>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</si>
  <si>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</si>
  <si>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</si>
  <si>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</si>
  <si>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</si>
  <si>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</si>
  <si>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</si>
  <si>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</si>
  <si>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</si>
  <si>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</si>
  <si>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</si>
  <si>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</si>
  <si>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</si>
  <si>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</si>
  <si>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</si>
  <si>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</si>
  <si>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</si>
  <si>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</si>
  <si>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</si>
  <si>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</si>
  <si>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</si>
  <si>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</si>
  <si>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</si>
  <si>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</si>
  <si>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</si>
  <si>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</si>
  <si>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</si>
  <si>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</si>
  <si>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</si>
  <si>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</si>
  <si>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</si>
  <si>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</si>
  <si>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</si>
  <si>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</si>
  <si>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</si>
  <si>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</si>
  <si>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</si>
  <si>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</si>
  <si>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</si>
  <si>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</si>
  <si>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</si>
  <si>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</si>
  <si>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</si>
  <si>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</si>
  <si>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</si>
  <si>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</si>
  <si>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</si>
  <si>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</si>
  <si>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</si>
  <si>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</si>
  <si>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</si>
  <si>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</si>
  <si>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</si>
  <si>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</si>
  <si>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</si>
  <si>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</si>
  <si>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</si>
  <si>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</si>
  <si>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</si>
  <si>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</si>
  <si>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</si>
  <si>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</si>
  <si>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</si>
  <si>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</si>
  <si>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</si>
  <si>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</si>
  <si>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</si>
  <si>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</si>
  <si>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</si>
  <si>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</si>
  <si>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</si>
  <si>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</si>
  <si>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</si>
  <si>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</si>
  <si>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</si>
  <si>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</si>
  <si>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</si>
  <si>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</si>
  <si>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</si>
  <si>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</si>
  <si>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</si>
  <si>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</si>
  <si>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</si>
  <si>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</si>
  <si>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</si>
  <si>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</si>
  <si>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</si>
  <si>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</si>
  <si>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</si>
  <si>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</si>
  <si>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</si>
  <si>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</si>
  <si>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</si>
  <si>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</si>
  <si>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</si>
  <si>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</si>
  <si>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</si>
  <si>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</si>
  <si>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</si>
  <si>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</si>
  <si>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</si>
  <si>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</si>
  <si>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</si>
  <si>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</si>
  <si>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</si>
  <si>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</si>
  <si>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</si>
  <si>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</si>
  <si>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</si>
  <si>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</si>
  <si>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</si>
  <si>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</si>
  <si>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</si>
  <si>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</si>
  <si>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</si>
  <si>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</si>
  <si>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</si>
  <si>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</si>
  <si>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</si>
  <si>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</si>
  <si>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</si>
  <si>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</si>
  <si>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</si>
  <si>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</si>
  <si>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</si>
  <si>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</si>
  <si>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</si>
  <si>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</si>
  <si>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</si>
  <si>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</si>
  <si>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</si>
  <si>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</si>
  <si>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</si>
  <si>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</si>
  <si>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</si>
  <si>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</si>
  <si>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</si>
  <si>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</si>
  <si>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</si>
  <si>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</si>
  <si>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</si>
  <si>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</si>
  <si>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</si>
  <si>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</si>
  <si>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</si>
  <si>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</si>
  <si>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</si>
  <si>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</si>
  <si>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</si>
  <si>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</si>
  <si>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</si>
  <si>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</si>
  <si>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</si>
  <si>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</si>
  <si>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</si>
  <si>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</si>
  <si>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</si>
  <si>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</si>
  <si>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</si>
  <si>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</si>
  <si>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</si>
  <si>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</si>
  <si>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</si>
  <si>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</si>
  <si>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</si>
  <si>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</si>
  <si>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</si>
  <si>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</si>
  <si>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</si>
  <si>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</si>
  <si>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</si>
  <si>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</si>
  <si>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</si>
  <si>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</si>
  <si>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</si>
  <si>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</si>
  <si>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</si>
  <si>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</si>
  <si>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</si>
  <si>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</si>
  <si>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</si>
  <si>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</si>
  <si>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</si>
  <si>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</si>
  <si>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</si>
  <si>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</si>
  <si>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</si>
  <si>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</si>
  <si>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</si>
  <si>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</si>
  <si>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</si>
  <si>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</si>
  <si>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</si>
  <si>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</si>
  <si>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</si>
  <si>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</si>
  <si>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</si>
  <si>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</si>
  <si>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</si>
  <si>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</si>
  <si>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</si>
  <si>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</si>
  <si>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</si>
  <si>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</si>
  <si>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</si>
  <si>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</si>
  <si>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</si>
  <si>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</si>
  <si>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</si>
  <si>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</si>
  <si>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</si>
  <si>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</si>
  <si>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</si>
  <si>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</si>
  <si>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</si>
  <si>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</si>
  <si>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</si>
  <si>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</si>
  <si>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</si>
  <si>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</si>
  <si>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</si>
  <si>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</si>
  <si>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</si>
  <si>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</si>
  <si>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</si>
  <si>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</si>
  <si>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</si>
  <si>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</si>
  <si>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</si>
  <si>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</si>
  <si>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</si>
  <si>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</si>
  <si>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</si>
  <si>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</si>
  <si>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</si>
  <si>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</si>
  <si>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</si>
  <si>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</si>
  <si>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</si>
  <si>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</si>
  <si>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</si>
  <si>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</si>
  <si>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</si>
  <si>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</si>
  <si>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</si>
  <si>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</si>
  <si>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</si>
  <si>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</si>
  <si>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</si>
  <si>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</si>
  <si>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</si>
  <si>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</si>
  <si>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</si>
  <si>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</si>
  <si>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</si>
  <si>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</si>
  <si>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</si>
  <si>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</si>
  <si>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</si>
  <si>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</si>
  <si>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</si>
  <si>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</si>
  <si>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</si>
  <si>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</si>
  <si>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</si>
  <si>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</si>
  <si>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</si>
  <si>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</si>
  <si>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</si>
  <si>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</si>
  <si>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</si>
  <si>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</si>
  <si>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</si>
  <si>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</si>
  <si>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</si>
  <si>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</si>
  <si>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</si>
  <si>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</si>
  <si>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</si>
  <si>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</si>
  <si>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</si>
  <si>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</si>
  <si>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</si>
  <si>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</si>
  <si>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</si>
  <si>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</si>
  <si>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</si>
  <si>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</si>
  <si>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</si>
  <si>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</si>
  <si>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</si>
  <si>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</si>
  <si>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</si>
  <si>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</si>
  <si>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</si>
  <si>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</si>
  <si>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</si>
  <si>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</si>
  <si>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</si>
  <si>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</si>
  <si>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</si>
  <si>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</si>
  <si>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</si>
  <si>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</si>
  <si>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</si>
  <si>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</si>
  <si>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</si>
  <si>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</si>
  <si>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</si>
  <si>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</si>
  <si>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</si>
  <si>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</si>
  <si>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</si>
  <si>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</si>
  <si>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</si>
  <si>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</si>
  <si>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</si>
  <si>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</si>
  <si>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</si>
  <si>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</si>
  <si>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</si>
  <si>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</si>
  <si>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</si>
  <si>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</si>
  <si>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</si>
  <si>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</si>
  <si>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</si>
  <si>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</si>
  <si>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</si>
  <si>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</si>
  <si>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</si>
  <si>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</si>
  <si>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</si>
  <si>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</si>
  <si>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</si>
  <si>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</si>
  <si>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</si>
  <si>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</si>
  <si>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</si>
  <si>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</si>
  <si>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</si>
  <si>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</si>
  <si>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</si>
  <si>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</si>
  <si>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</si>
  <si>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</si>
  <si>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</si>
  <si>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</si>
  <si>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</si>
  <si>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</si>
  <si>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</si>
  <si>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</si>
  <si>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</si>
  <si>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</si>
  <si>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</si>
  <si>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</si>
  <si>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</si>
  <si>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</si>
  <si>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</si>
  <si>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</si>
  <si>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</si>
  <si>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</si>
  <si>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</si>
  <si>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</si>
  <si>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</si>
  <si>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</si>
  <si>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</si>
  <si>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</si>
  <si>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</si>
  <si>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</si>
  <si>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</si>
  <si>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</si>
  <si>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</si>
  <si>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</si>
  <si>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</si>
  <si>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</si>
  <si>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</si>
  <si>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</si>
  <si>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</si>
  <si>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</si>
  <si>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</si>
  <si>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</si>
  <si>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</si>
  <si>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</si>
  <si>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</si>
  <si>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</si>
  <si>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</si>
  <si>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</si>
  <si>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</si>
  <si>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</si>
  <si>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</si>
  <si>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</si>
  <si>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</si>
  <si>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</si>
  <si>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</si>
  <si>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</si>
  <si>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</si>
  <si>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</si>
  <si>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</si>
  <si>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</si>
  <si>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</si>
  <si>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</si>
  <si>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</si>
  <si>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</si>
  <si>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</si>
  <si>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</si>
  <si>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</si>
  <si>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</si>
  <si>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</si>
  <si>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</si>
  <si>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</si>
  <si>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</si>
  <si>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</si>
  <si>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</si>
  <si>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</si>
  <si>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</si>
  <si>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</si>
  <si>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</si>
  <si>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</si>
  <si>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</si>
  <si>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</si>
  <si>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</si>
  <si>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</si>
  <si>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</si>
  <si>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</si>
  <si>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</si>
  <si>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</si>
  <si>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</si>
  <si>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</si>
  <si>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</si>
  <si>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</si>
  <si>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</si>
  <si>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</si>
  <si>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</si>
  <si>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</si>
  <si>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</si>
  <si>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</si>
  <si>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</si>
  <si>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</si>
  <si>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</si>
  <si>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</si>
  <si>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</si>
  <si>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</si>
  <si>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</si>
  <si>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</si>
  <si>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</si>
  <si>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</si>
  <si>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</si>
  <si>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</si>
  <si>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</si>
  <si>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</si>
  <si>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</si>
  <si>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</si>
  <si>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</si>
  <si>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</si>
  <si>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</si>
  <si>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</si>
  <si>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</si>
  <si>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</si>
  <si>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</si>
  <si>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</si>
  <si>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</si>
  <si>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</si>
  <si>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</si>
  <si>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</si>
  <si>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</si>
  <si>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</si>
  <si>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</si>
  <si>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</si>
  <si>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</si>
  <si>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</si>
  <si>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</si>
  <si>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</si>
  <si>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</si>
  <si>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</si>
  <si>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</si>
  <si>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</si>
  <si>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</si>
  <si>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</si>
  <si>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</si>
  <si>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</si>
  <si>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</si>
  <si>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</si>
  <si>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</si>
  <si>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</si>
  <si>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</si>
  <si>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</si>
  <si>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</si>
  <si>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</si>
  <si>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</si>
  <si>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</si>
  <si>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</si>
  <si>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</si>
  <si>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</si>
  <si>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</si>
  <si>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</si>
  <si>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</si>
  <si>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</si>
  <si>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</si>
  <si>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</si>
  <si>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</si>
  <si>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</si>
  <si>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</si>
  <si>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</si>
  <si>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</si>
  <si>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</si>
  <si>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</si>
  <si>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</si>
  <si>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</si>
  <si>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</si>
  <si>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</si>
  <si>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</si>
  <si>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</si>
  <si>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</si>
  <si>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</si>
  <si>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</si>
  <si>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</si>
  <si>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</si>
  <si>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</si>
  <si>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</si>
  <si>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</si>
  <si>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</si>
  <si>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</si>
  <si>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</si>
  <si>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</si>
  <si>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</si>
  <si>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</si>
  <si>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</si>
  <si>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</si>
  <si>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</si>
  <si>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</si>
  <si>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</si>
  <si>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</si>
  <si>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</si>
  <si>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</si>
  <si>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</si>
  <si>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</si>
  <si>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</si>
  <si>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</si>
  <si>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</si>
  <si>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</si>
  <si>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</si>
  <si>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</si>
  <si>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</si>
  <si>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</si>
  <si>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</si>
  <si>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</si>
  <si>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</si>
  <si>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</si>
  <si>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</si>
  <si>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</si>
  <si>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</si>
  <si>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</si>
  <si>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</si>
  <si>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</si>
  <si>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</si>
  <si>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</si>
  <si>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</si>
  <si>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</si>
  <si>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</si>
  <si>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</si>
  <si>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</si>
  <si>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</si>
  <si>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</si>
  <si>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</si>
  <si>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</si>
  <si>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</si>
  <si>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</si>
  <si>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</si>
  <si>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</si>
  <si>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</si>
  <si>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</si>
  <si>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</si>
  <si>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</si>
  <si>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</si>
  <si>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</si>
  <si>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</si>
  <si>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</si>
  <si>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</si>
  <si>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</si>
  <si>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</si>
  <si>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</si>
  <si>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</si>
  <si>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</si>
  <si>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</si>
  <si>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</si>
  <si>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</si>
  <si>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</si>
  <si>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</si>
  <si>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</si>
  <si>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</si>
  <si>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</si>
  <si>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</si>
  <si>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</si>
  <si>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</si>
  <si>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</si>
  <si>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</si>
  <si>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</si>
  <si>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</si>
  <si>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</si>
  <si>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</si>
  <si>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</si>
  <si>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</si>
  <si>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</si>
  <si>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</si>
  <si>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</si>
  <si>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</si>
  <si>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</si>
  <si>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</si>
  <si>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</si>
  <si>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</si>
  <si>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</si>
  <si>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</si>
  <si>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</si>
  <si>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</si>
  <si>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</si>
  <si>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</si>
  <si>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</si>
  <si>
    <t>Delta CSR CDO</t>
  </si>
  <si>
    <t>Delta Risk</t>
  </si>
  <si>
    <t>Delta CSR CDS</t>
  </si>
  <si>
    <t>Delta CSR CDO Proxy</t>
  </si>
  <si>
    <t>DownWard</t>
  </si>
  <si>
    <t>UpWard</t>
  </si>
  <si>
    <t>Curvature</t>
  </si>
  <si>
    <t>Curvature CSR CDO</t>
  </si>
  <si>
    <t>Curvature CSR CDS</t>
  </si>
  <si>
    <t>Floor</t>
  </si>
  <si>
    <t>Correlation Scenario</t>
  </si>
  <si>
    <t>Risk Class</t>
  </si>
  <si>
    <t>SecCtp</t>
  </si>
  <si>
    <t>NonSec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</si>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</sst>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5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8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0" fontId="22" fillId="0" borderId="2" xfId="0" applyNumberFormat="1" applyFont="1" applyBorder="1" applyAlignment="1">
      <alignment horizontal="center"/>
    </xf>
    <xf numFmtId="2" fontId="0" fillId="0" borderId="0" xfId="0" applyNumberFormat="1"/>
    <xf numFmtId="185" fontId="0" fillId="0" borderId="0" xfId="0" applyNumberFormat="1"/>
    <xf numFmtId="179" fontId="0" fillId="0" borderId="0" xfId="0" applyNumberFormat="1"/>
    <xf numFmtId="177" fontId="47" fillId="4" borderId="12" xfId="0" applyNumberFormat="1" applyFont="1" applyFill="1" applyBorder="1"/>
    <xf numFmtId="177" fontId="44" fillId="3" borderId="1" xfId="0" applyNumberFormat="1" applyFont="1" applyFill="1" applyBorder="1"/>
    <xf numFmtId="167" fontId="47" fillId="9" borderId="12" xfId="0" applyNumberFormat="1" applyFont="1" applyFill="1" applyBorder="1"/>
    <xf numFmtId="177" fontId="47" fillId="4" borderId="9" xfId="0" applyNumberFormat="1" applyFont="1" applyFill="1" applyBorder="1"/>
    <xf numFmtId="0" fontId="20" fillId="9" borderId="14" xfId="0" applyFont="1" applyFill="1" applyBorder="1"/>
    <xf numFmtId="167" fontId="47" fillId="3" borderId="0" xfId="0" applyNumberFormat="1" applyFont="1" applyFill="1"/>
    <xf numFmtId="0" fontId="20" fillId="9" borderId="12" xfId="0" applyFont="1" applyFill="1" applyBorder="1"/>
    <xf numFmtId="0" fontId="20" fillId="9" borderId="23" xfId="0" applyFont="1" applyFill="1" applyBorder="1"/>
    <xf numFmtId="0" fontId="20" fillId="9" borderId="6" xfId="0" applyFont="1" applyFill="1" applyBorder="1"/>
    <xf numFmtId="177" fontId="47" fillId="4" borderId="5" xfId="0" applyNumberFormat="1" applyFont="1" applyFill="1" applyBorder="1"/>
    <xf numFmtId="0" fontId="20" fillId="4" borderId="1" xfId="0" applyFont="1" applyFill="1" applyBorder="1"/>
    <xf numFmtId="0" fontId="20" fillId="4" borderId="2" xfId="0" applyFont="1" applyFill="1" applyBorder="1"/>
    <xf numFmtId="167" fontId="47" fillId="4" borderId="2" xfId="0" applyNumberFormat="1" applyFont="1" applyFill="1" applyBorder="1"/>
    <xf numFmtId="167" fontId="47" fillId="4" borderId="4" xfId="0" applyNumberFormat="1" applyFont="1" applyFill="1" applyBorder="1"/>
    <xf numFmtId="167" fontId="44" fillId="4" borderId="4" xfId="0" applyNumberFormat="1" applyFont="1" applyFill="1" applyBorder="1"/>
    <xf numFmtId="10" fontId="33" fillId="4" borderId="11" xfId="0" applyNumberFormat="1" applyFont="1" applyFill="1" applyBorder="1" applyAlignment="1">
      <alignment horizontal="center"/>
    </xf>
    <xf numFmtId="0" fontId="33" fillId="4" borderId="9" xfId="0" applyFont="1" applyFill="1" applyBorder="1" applyAlignment="1">
      <alignment horizontal="center"/>
    </xf>
    <xf numFmtId="0" fontId="33" fillId="4" borderId="10" xfId="0" applyFont="1" applyFill="1" applyBorder="1" applyAlignment="1">
      <alignment horizontal="center"/>
    </xf>
    <xf numFmtId="164" fontId="20" fillId="0" borderId="0" xfId="1" applyNumberFormat="1" applyFont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25" fillId="4" borderId="0" xfId="0" applyFont="1" applyFill="1" applyBorder="1"/>
    <xf numFmtId="0" fontId="25" fillId="2" borderId="0" xfId="0" applyFont="1" applyFill="1" applyBorder="1" applyAlignment="1">
      <alignment horizontal="center"/>
    </xf>
    <xf numFmtId="178" fontId="36" fillId="4" borderId="0" xfId="0" applyNumberFormat="1" applyFont="1" applyFill="1" applyBorder="1" applyAlignment="1">
      <alignment horizontal="center"/>
    </xf>
    <xf numFmtId="177" fontId="36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2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FRTB!$AS$26:$AS$121</c:f>
              <c:numCache>
                <c:formatCode>0.0000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1C6-B82F-638BD7A3B8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FRTB!$AT$24:$AT$121</c:f>
              <c:numCache>
                <c:formatCode>0.0000</c:formatCode>
                <c:ptCount val="98"/>
                <c:pt idx="0">
                  <c:v>-1.5258874288978319E-2</c:v>
                </c:pt>
                <c:pt idx="1">
                  <c:v>-1.9755226509324153E-2</c:v>
                </c:pt>
                <c:pt idx="2">
                  <c:v>-8.5740397261078183E-3</c:v>
                </c:pt>
                <c:pt idx="3">
                  <c:v>9.9371992585113311E-3</c:v>
                </c:pt>
                <c:pt idx="4">
                  <c:v>-7.4632149252005231E-3</c:v>
                </c:pt>
                <c:pt idx="5">
                  <c:v>-6.2325743337723338E-3</c:v>
                </c:pt>
                <c:pt idx="6">
                  <c:v>-2.3054188078868387E-2</c:v>
                </c:pt>
                <c:pt idx="7">
                  <c:v>-8.5784140245444007E-3</c:v>
                </c:pt>
                <c:pt idx="8">
                  <c:v>-1.1082829175943276E-2</c:v>
                </c:pt>
                <c:pt idx="9">
                  <c:v>-2.5818539166274634E-2</c:v>
                </c:pt>
                <c:pt idx="10">
                  <c:v>-2.5480928403426972E-2</c:v>
                </c:pt>
                <c:pt idx="11">
                  <c:v>-7.00110403083265E-4</c:v>
                </c:pt>
                <c:pt idx="12">
                  <c:v>-1.1911430684843571E-2</c:v>
                </c:pt>
                <c:pt idx="13">
                  <c:v>-1.5765216666049575E-2</c:v>
                </c:pt>
                <c:pt idx="14">
                  <c:v>-4.4556065021952307E-3</c:v>
                </c:pt>
                <c:pt idx="15">
                  <c:v>-1.3859087758941735E-2</c:v>
                </c:pt>
                <c:pt idx="16">
                  <c:v>-1.999608715404011E-2</c:v>
                </c:pt>
                <c:pt idx="17">
                  <c:v>-1.9455523946561248E-2</c:v>
                </c:pt>
                <c:pt idx="18">
                  <c:v>-1.5712243791987213E-2</c:v>
                </c:pt>
                <c:pt idx="19">
                  <c:v>-9.4666465098813823E-3</c:v>
                </c:pt>
                <c:pt idx="20">
                  <c:v>-6.8465865076625665E-3</c:v>
                </c:pt>
                <c:pt idx="21">
                  <c:v>-9.5582894992494172E-3</c:v>
                </c:pt>
                <c:pt idx="22">
                  <c:v>-4.9929345045580664E-3</c:v>
                </c:pt>
                <c:pt idx="23">
                  <c:v>-2.0673927714934592E-2</c:v>
                </c:pt>
                <c:pt idx="24">
                  <c:v>-8.7138555996013611E-3</c:v>
                </c:pt>
                <c:pt idx="25">
                  <c:v>-1.1683931165408001E-2</c:v>
                </c:pt>
                <c:pt idx="26">
                  <c:v>-1.1569595852056747E-3</c:v>
                </c:pt>
                <c:pt idx="27">
                  <c:v>-1.7910009825628848E-2</c:v>
                </c:pt>
                <c:pt idx="28">
                  <c:v>-1.1801205437465434E-2</c:v>
                </c:pt>
                <c:pt idx="29">
                  <c:v>-2.1206483666646347E-2</c:v>
                </c:pt>
                <c:pt idx="30">
                  <c:v>-1.5217197070036992E-2</c:v>
                </c:pt>
                <c:pt idx="31">
                  <c:v>-2.4235846264644367E-2</c:v>
                </c:pt>
                <c:pt idx="32">
                  <c:v>-1.9217635934578148E-2</c:v>
                </c:pt>
                <c:pt idx="33">
                  <c:v>3.7040237507968143E-3</c:v>
                </c:pt>
                <c:pt idx="34">
                  <c:v>3.3469661859724109E-3</c:v>
                </c:pt>
                <c:pt idx="35">
                  <c:v>-2.0801400101796208E-2</c:v>
                </c:pt>
                <c:pt idx="36">
                  <c:v>-2.5136391816777959E-2</c:v>
                </c:pt>
                <c:pt idx="37">
                  <c:v>-1.0462150058259567E-2</c:v>
                </c:pt>
                <c:pt idx="38">
                  <c:v>-1.7164019326372237E-2</c:v>
                </c:pt>
                <c:pt idx="39">
                  <c:v>5.2703309819441824E-3</c:v>
                </c:pt>
                <c:pt idx="40">
                  <c:v>-1.5458698793831882E-2</c:v>
                </c:pt>
                <c:pt idx="41">
                  <c:v>-5.2231967255376155E-3</c:v>
                </c:pt>
                <c:pt idx="42">
                  <c:v>-2.0919871070867568E-2</c:v>
                </c:pt>
                <c:pt idx="43">
                  <c:v>-2.2112590509959507E-2</c:v>
                </c:pt>
                <c:pt idx="44">
                  <c:v>-1.5810752845785148E-2</c:v>
                </c:pt>
                <c:pt idx="45">
                  <c:v>-1.8762854039164001E-2</c:v>
                </c:pt>
                <c:pt idx="46">
                  <c:v>-2.2485688327566811E-2</c:v>
                </c:pt>
                <c:pt idx="47">
                  <c:v>-1.1431626428527686E-2</c:v>
                </c:pt>
                <c:pt idx="48">
                  <c:v>-1.4852241529849319E-2</c:v>
                </c:pt>
                <c:pt idx="49">
                  <c:v>-2.2510914891989087E-2</c:v>
                </c:pt>
                <c:pt idx="50">
                  <c:v>-1.499500170910939E-2</c:v>
                </c:pt>
                <c:pt idx="51">
                  <c:v>-1.2595439743908088E-2</c:v>
                </c:pt>
                <c:pt idx="52">
                  <c:v>-1.7892502911377006E-2</c:v>
                </c:pt>
                <c:pt idx="53">
                  <c:v>-1.2836973696141341E-2</c:v>
                </c:pt>
                <c:pt idx="54">
                  <c:v>-1.2038905749319984E-2</c:v>
                </c:pt>
                <c:pt idx="55">
                  <c:v>-1.282935811260133E-2</c:v>
                </c:pt>
                <c:pt idx="56">
                  <c:v>-1.6592503760905153E-2</c:v>
                </c:pt>
                <c:pt idx="57">
                  <c:v>-1.3957098282662894E-2</c:v>
                </c:pt>
                <c:pt idx="58">
                  <c:v>-2.1942748673968948E-2</c:v>
                </c:pt>
                <c:pt idx="59">
                  <c:v>-1.6319117106937009E-2</c:v>
                </c:pt>
                <c:pt idx="60">
                  <c:v>-1.8142615748339086E-2</c:v>
                </c:pt>
                <c:pt idx="61">
                  <c:v>-1.350676923078109E-2</c:v>
                </c:pt>
                <c:pt idx="62">
                  <c:v>-1.5947038842999861E-2</c:v>
                </c:pt>
                <c:pt idx="63">
                  <c:v>-1.3004184749566772E-2</c:v>
                </c:pt>
                <c:pt idx="64">
                  <c:v>-2.0538377935049867E-2</c:v>
                </c:pt>
                <c:pt idx="65">
                  <c:v>-2.1150347731385022E-2</c:v>
                </c:pt>
                <c:pt idx="66">
                  <c:v>-1.7093005086624702E-2</c:v>
                </c:pt>
                <c:pt idx="67">
                  <c:v>-1.9865865890466461E-2</c:v>
                </c:pt>
                <c:pt idx="68">
                  <c:v>-1.0825574096498425E-2</c:v>
                </c:pt>
                <c:pt idx="69">
                  <c:v>-2.0263333825844665E-2</c:v>
                </c:pt>
                <c:pt idx="70">
                  <c:v>-7.0626035254142128E-3</c:v>
                </c:pt>
                <c:pt idx="71">
                  <c:v>-1.6209874317248296E-2</c:v>
                </c:pt>
                <c:pt idx="72">
                  <c:v>-2.0717202906467946E-2</c:v>
                </c:pt>
                <c:pt idx="73">
                  <c:v>-1.4377981951507524E-2</c:v>
                </c:pt>
                <c:pt idx="74">
                  <c:v>-1.645765632219609E-2</c:v>
                </c:pt>
                <c:pt idx="75">
                  <c:v>-1.6941059392761026E-3</c:v>
                </c:pt>
                <c:pt idx="76">
                  <c:v>-2.9159889564110308E-2</c:v>
                </c:pt>
                <c:pt idx="77">
                  <c:v>-2.0793653317745076E-2</c:v>
                </c:pt>
                <c:pt idx="78">
                  <c:v>-1.1884588761704951E-2</c:v>
                </c:pt>
                <c:pt idx="79">
                  <c:v>-2.389122269674826E-2</c:v>
                </c:pt>
                <c:pt idx="80">
                  <c:v>-2.2744781887672705E-2</c:v>
                </c:pt>
                <c:pt idx="81">
                  <c:v>-2.2323987373995768E-2</c:v>
                </c:pt>
                <c:pt idx="82">
                  <c:v>-1.4112110480104967E-2</c:v>
                </c:pt>
                <c:pt idx="83">
                  <c:v>-1.2018466120156557E-2</c:v>
                </c:pt>
                <c:pt idx="84">
                  <c:v>-1.2293253077621635E-2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1C6-B82F-638BD7A3B88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FRTB!$AU$24:$AU$121</c:f>
              <c:numCache>
                <c:formatCode>0.0000</c:formatCode>
                <c:ptCount val="98"/>
                <c:pt idx="0">
                  <c:v>-6.2163791970821558E-2</c:v>
                </c:pt>
                <c:pt idx="1">
                  <c:v>-5.8715150096715796E-2</c:v>
                </c:pt>
                <c:pt idx="2">
                  <c:v>-6.492213150310211E-2</c:v>
                </c:pt>
                <c:pt idx="3">
                  <c:v>-1.336883361420127E-2</c:v>
                </c:pt>
                <c:pt idx="4">
                  <c:v>-6.5216387295829348E-2</c:v>
                </c:pt>
                <c:pt idx="5">
                  <c:v>-6.5310491058577558E-2</c:v>
                </c:pt>
                <c:pt idx="6">
                  <c:v>-5.5931185674231498E-2</c:v>
                </c:pt>
                <c:pt idx="7">
                  <c:v>-6.5021349992275601E-2</c:v>
                </c:pt>
                <c:pt idx="8">
                  <c:v>-6.4366840731436836E-2</c:v>
                </c:pt>
                <c:pt idx="9">
                  <c:v>-5.3384068013385244E-2</c:v>
                </c:pt>
                <c:pt idx="10">
                  <c:v>-5.3709962013922974E-2</c:v>
                </c:pt>
                <c:pt idx="11">
                  <c:v>-6.0435792339906591E-2</c:v>
                </c:pt>
                <c:pt idx="12">
                  <c:v>-6.4115340693526202E-2</c:v>
                </c:pt>
                <c:pt idx="13">
                  <c:v>-6.1812673707800414E-2</c:v>
                </c:pt>
                <c:pt idx="14">
                  <c:v>-6.4140681427714563E-2</c:v>
                </c:pt>
                <c:pt idx="15">
                  <c:v>-6.2944168949858215E-2</c:v>
                </c:pt>
                <c:pt idx="16">
                  <c:v>-5.8549420540739749E-2</c:v>
                </c:pt>
                <c:pt idx="17">
                  <c:v>-5.8920593815608546E-2</c:v>
                </c:pt>
                <c:pt idx="18">
                  <c:v>-6.1780930470772821E-2</c:v>
                </c:pt>
                <c:pt idx="19">
                  <c:v>-6.4704220986048666E-2</c:v>
                </c:pt>
                <c:pt idx="20">
                  <c:v>-6.5056184391007355E-2</c:v>
                </c:pt>
                <c:pt idx="21">
                  <c:v>-6.4734341947260576E-2</c:v>
                </c:pt>
                <c:pt idx="22">
                  <c:v>-6.4686553388401791E-2</c:v>
                </c:pt>
                <c:pt idx="23">
                  <c:v>-5.7989259221945311E-2</c:v>
                </c:pt>
                <c:pt idx="24">
                  <c:v>-6.5071465345088564E-2</c:v>
                </c:pt>
                <c:pt idx="25">
                  <c:v>-6.3974455120231921E-2</c:v>
                </c:pt>
                <c:pt idx="26">
                  <c:v>-6.1330730735744243E-2</c:v>
                </c:pt>
                <c:pt idx="27">
                  <c:v>-6.0184965205021035E-2</c:v>
                </c:pt>
                <c:pt idx="28">
                  <c:v>-6.4028631369354549E-2</c:v>
                </c:pt>
                <c:pt idx="29">
                  <c:v>-5.7576415001053594E-2</c:v>
                </c:pt>
                <c:pt idx="30">
                  <c:v>-6.2174599636962924E-2</c:v>
                </c:pt>
                <c:pt idx="31">
                  <c:v>-5.4880977889145477E-2</c:v>
                </c:pt>
                <c:pt idx="32">
                  <c:v>-5.9196733553441794E-2</c:v>
                </c:pt>
                <c:pt idx="33">
                  <c:v>-5.261102245915672E-2</c:v>
                </c:pt>
                <c:pt idx="34">
                  <c:v>-5.0301250738872261E-2</c:v>
                </c:pt>
                <c:pt idx="35">
                  <c:v>-5.7913007003583594E-2</c:v>
                </c:pt>
                <c:pt idx="36">
                  <c:v>-5.3997267542712057E-2</c:v>
                </c:pt>
                <c:pt idx="37">
                  <c:v>-6.4493570278170376E-2</c:v>
                </c:pt>
                <c:pt idx="38">
                  <c:v>-6.0752295911087772E-2</c:v>
                </c:pt>
                <c:pt idx="39">
                  <c:v>-4.6566978844594153E-2</c:v>
                </c:pt>
                <c:pt idx="40">
                  <c:v>-6.1906709622888023E-2</c:v>
                </c:pt>
                <c:pt idx="41">
                  <c:v>-6.4709493317642197E-2</c:v>
                </c:pt>
                <c:pt idx="42">
                  <c:v>-5.7812640343472221E-2</c:v>
                </c:pt>
                <c:pt idx="43">
                  <c:v>-5.6658898705590488E-2</c:v>
                </c:pt>
                <c:pt idx="44">
                  <c:v>-6.1913731202794642E-2</c:v>
                </c:pt>
                <c:pt idx="45">
                  <c:v>-5.9548015964015821E-2</c:v>
                </c:pt>
                <c:pt idx="46">
                  <c:v>-5.6441397598833154E-2</c:v>
                </c:pt>
                <c:pt idx="47">
                  <c:v>-6.4188327878232254E-2</c:v>
                </c:pt>
                <c:pt idx="48">
                  <c:v>-6.236387835804047E-2</c:v>
                </c:pt>
                <c:pt idx="49">
                  <c:v>-5.632745743893075E-2</c:v>
                </c:pt>
                <c:pt idx="50">
                  <c:v>-6.2320558666130621E-2</c:v>
                </c:pt>
                <c:pt idx="51">
                  <c:v>-6.3687559159921969E-2</c:v>
                </c:pt>
                <c:pt idx="52">
                  <c:v>-6.0237372046213045E-2</c:v>
                </c:pt>
                <c:pt idx="53">
                  <c:v>-6.336579344688853E-2</c:v>
                </c:pt>
                <c:pt idx="54">
                  <c:v>-6.3839899522189825E-2</c:v>
                </c:pt>
                <c:pt idx="55">
                  <c:v>-6.3638902653978535E-2</c:v>
                </c:pt>
                <c:pt idx="56">
                  <c:v>-6.1198745927954601E-2</c:v>
                </c:pt>
                <c:pt idx="57">
                  <c:v>-6.2864574446767074E-2</c:v>
                </c:pt>
                <c:pt idx="58">
                  <c:v>-5.6880409538810905E-2</c:v>
                </c:pt>
                <c:pt idx="59">
                  <c:v>-6.1445861449052952E-2</c:v>
                </c:pt>
                <c:pt idx="60">
                  <c:v>-6.0069121163870864E-2</c:v>
                </c:pt>
                <c:pt idx="61">
                  <c:v>-6.3067632131858842E-2</c:v>
                </c:pt>
                <c:pt idx="62">
                  <c:v>-6.1593755596609956E-2</c:v>
                </c:pt>
                <c:pt idx="63">
                  <c:v>-6.3302377701903279E-2</c:v>
                </c:pt>
                <c:pt idx="64">
                  <c:v>-5.811127928611004E-2</c:v>
                </c:pt>
                <c:pt idx="65">
                  <c:v>-5.7618042029014882E-2</c:v>
                </c:pt>
                <c:pt idx="66">
                  <c:v>-6.0862460051235079E-2</c:v>
                </c:pt>
                <c:pt idx="67">
                  <c:v>-5.8639168213653559E-2</c:v>
                </c:pt>
                <c:pt idx="68">
                  <c:v>-6.4581170305491487E-2</c:v>
                </c:pt>
                <c:pt idx="69">
                  <c:v>-5.8286632514345182E-2</c:v>
                </c:pt>
                <c:pt idx="70">
                  <c:v>-6.5316555693265554E-2</c:v>
                </c:pt>
                <c:pt idx="71">
                  <c:v>-6.1486478320731619E-2</c:v>
                </c:pt>
                <c:pt idx="72">
                  <c:v>-5.8015976519872003E-2</c:v>
                </c:pt>
                <c:pt idx="73">
                  <c:v>-6.2700573196652565E-2</c:v>
                </c:pt>
                <c:pt idx="74">
                  <c:v>-6.1373176071123803E-2</c:v>
                </c:pt>
                <c:pt idx="75">
                  <c:v>-6.2108087881073804E-2</c:v>
                </c:pt>
                <c:pt idx="76">
                  <c:v>-5.0204793105299572E-2</c:v>
                </c:pt>
                <c:pt idx="77">
                  <c:v>-5.790819417431492E-2</c:v>
                </c:pt>
                <c:pt idx="78">
                  <c:v>-6.4005753800504772E-2</c:v>
                </c:pt>
                <c:pt idx="79">
                  <c:v>-5.5213025066621624E-2</c:v>
                </c:pt>
                <c:pt idx="80">
                  <c:v>-5.6215920491397231E-2</c:v>
                </c:pt>
                <c:pt idx="81">
                  <c:v>-5.6589990787593969E-2</c:v>
                </c:pt>
                <c:pt idx="82">
                  <c:v>-6.2908326872904929E-2</c:v>
                </c:pt>
                <c:pt idx="83">
                  <c:v>-6.3976375756993331E-2</c:v>
                </c:pt>
                <c:pt idx="84">
                  <c:v>-6.3784048652988368E-2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1C6-B82F-638BD7A3B88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FRTB!$AV$24:$AV$121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1C6-B82F-638BD7A3B8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FRTB!$AW$24:$AW$121</c:f>
              <c:numCache>
                <c:formatCode>0.0000</c:formatCode>
                <c:ptCount val="98"/>
                <c:pt idx="0">
                  <c:v>-9.283866038912042E-2</c:v>
                </c:pt>
                <c:pt idx="1">
                  <c:v>-9.7740941689512667E-2</c:v>
                </c:pt>
                <c:pt idx="2">
                  <c:v>-8.3984903899731123E-2</c:v>
                </c:pt>
                <c:pt idx="3">
                  <c:v>-4.1710598002069985E-2</c:v>
                </c:pt>
                <c:pt idx="4">
                  <c:v>-8.2444224713276615E-2</c:v>
                </c:pt>
                <c:pt idx="5">
                  <c:v>-8.0563348640072238E-2</c:v>
                </c:pt>
                <c:pt idx="6">
                  <c:v>-5.4682495059786812E-2</c:v>
                </c:pt>
                <c:pt idx="7">
                  <c:v>-8.4023030425427914E-2</c:v>
                </c:pt>
                <c:pt idx="8">
                  <c:v>-8.7550772741859295E-2</c:v>
                </c:pt>
                <c:pt idx="9">
                  <c:v>-0.10355381846867219</c:v>
                </c:pt>
                <c:pt idx="10">
                  <c:v>-0.10325370997508145</c:v>
                </c:pt>
                <c:pt idx="11">
                  <c:v>-7.008860924850456E-2</c:v>
                </c:pt>
                <c:pt idx="12">
                  <c:v>-8.8674146725002345E-2</c:v>
                </c:pt>
                <c:pt idx="13">
                  <c:v>-9.3422910522917457E-2</c:v>
                </c:pt>
                <c:pt idx="14">
                  <c:v>-7.738374117838008E-2</c:v>
                </c:pt>
                <c:pt idx="15">
                  <c:v>-9.1085506793958063E-2</c:v>
                </c:pt>
                <c:pt idx="16">
                  <c:v>-5.3149344197021456E-2</c:v>
                </c:pt>
                <c:pt idx="17">
                  <c:v>-5.2852778030732475E-2</c:v>
                </c:pt>
                <c:pt idx="18">
                  <c:v>-9.3342836541122312E-2</c:v>
                </c:pt>
                <c:pt idx="19">
                  <c:v>-8.5263192933450721E-2</c:v>
                </c:pt>
                <c:pt idx="20">
                  <c:v>-8.1436960553715104E-2</c:v>
                </c:pt>
                <c:pt idx="21">
                  <c:v>-8.5410153419616192E-2</c:v>
                </c:pt>
                <c:pt idx="22">
                  <c:v>-0.1148772368370499</c:v>
                </c:pt>
                <c:pt idx="23">
                  <c:v>-9.8686163925843853E-2</c:v>
                </c:pt>
                <c:pt idx="24">
                  <c:v>-8.4243844506070004E-2</c:v>
                </c:pt>
                <c:pt idx="25">
                  <c:v>-0.13082457493973365</c:v>
                </c:pt>
                <c:pt idx="26">
                  <c:v>-7.1139217580999975E-2</c:v>
                </c:pt>
                <c:pt idx="27">
                  <c:v>-9.5795702260846105E-2</c:v>
                </c:pt>
                <c:pt idx="28">
                  <c:v>-8.8491108185287076E-2</c:v>
                </c:pt>
                <c:pt idx="29">
                  <c:v>-9.9228361255776165E-2</c:v>
                </c:pt>
                <c:pt idx="30">
                  <c:v>-9.2785360651419693E-2</c:v>
                </c:pt>
                <c:pt idx="31">
                  <c:v>-0.1021240311993796</c:v>
                </c:pt>
                <c:pt idx="32">
                  <c:v>-9.7196180995495637E-2</c:v>
                </c:pt>
                <c:pt idx="33">
                  <c:v>-6.0686461087500476E-2</c:v>
                </c:pt>
                <c:pt idx="34">
                  <c:v>-6.0270212684848265E-2</c:v>
                </c:pt>
                <c:pt idx="35">
                  <c:v>-9.8822459296253995E-2</c:v>
                </c:pt>
                <c:pt idx="36">
                  <c:v>-0.10293427980602951</c:v>
                </c:pt>
                <c:pt idx="37">
                  <c:v>-8.6678933526489921E-2</c:v>
                </c:pt>
                <c:pt idx="38">
                  <c:v>-9.4981973397741559E-2</c:v>
                </c:pt>
                <c:pt idx="39">
                  <c:v>-5.6571856345076978E-2</c:v>
                </c:pt>
                <c:pt idx="40">
                  <c:v>-9.2979448161681161E-2</c:v>
                </c:pt>
                <c:pt idx="41">
                  <c:v>-7.8776590262718077E-2</c:v>
                </c:pt>
                <c:pt idx="42">
                  <c:v>-9.8940998775402897E-2</c:v>
                </c:pt>
                <c:pt idx="43">
                  <c:v>-0.10008042574159987</c:v>
                </c:pt>
                <c:pt idx="44">
                  <c:v>-9.3509051478254945E-2</c:v>
                </c:pt>
                <c:pt idx="45">
                  <c:v>-9.6715218522392038E-2</c:v>
                </c:pt>
                <c:pt idx="46">
                  <c:v>-0.10047168558988917</c:v>
                </c:pt>
                <c:pt idx="47">
                  <c:v>-8.800456112364434E-2</c:v>
                </c:pt>
                <c:pt idx="48">
                  <c:v>-9.228656927933393E-2</c:v>
                </c:pt>
                <c:pt idx="49">
                  <c:v>-0.10047070988334451</c:v>
                </c:pt>
                <c:pt idx="50">
                  <c:v>-9.2524684390785997E-2</c:v>
                </c:pt>
                <c:pt idx="51">
                  <c:v>-4.8828737369191466E-2</c:v>
                </c:pt>
                <c:pt idx="52">
                  <c:v>-5.2025101206614049E-2</c:v>
                </c:pt>
                <c:pt idx="53">
                  <c:v>-4.8947274403788543E-2</c:v>
                </c:pt>
                <c:pt idx="54">
                  <c:v>-4.8440032233913341E-2</c:v>
                </c:pt>
                <c:pt idx="55">
                  <c:v>-4.8993620298812456E-2</c:v>
                </c:pt>
                <c:pt idx="56">
                  <c:v>-5.1294191350746435E-2</c:v>
                </c:pt>
                <c:pt idx="57">
                  <c:v>-9.1198467834882724E-2</c:v>
                </c:pt>
                <c:pt idx="58">
                  <c:v>-9.9936227213645826E-2</c:v>
                </c:pt>
                <c:pt idx="59">
                  <c:v>-5.1146399642055466E-2</c:v>
                </c:pt>
                <c:pt idx="60">
                  <c:v>-5.2166795573067339E-2</c:v>
                </c:pt>
                <c:pt idx="61">
                  <c:v>-4.9387951676149094E-2</c:v>
                </c:pt>
                <c:pt idx="62">
                  <c:v>-5.0909823974832027E-2</c:v>
                </c:pt>
                <c:pt idx="63">
                  <c:v>-8.9991325397342017E-2</c:v>
                </c:pt>
                <c:pt idx="64">
                  <c:v>-9.8551813043422171E-2</c:v>
                </c:pt>
                <c:pt idx="65">
                  <c:v>-9.9171013708241468E-2</c:v>
                </c:pt>
                <c:pt idx="66">
                  <c:v>-5.1583679055678247E-2</c:v>
                </c:pt>
                <c:pt idx="67">
                  <c:v>-9.7858891837782874E-2</c:v>
                </c:pt>
                <c:pt idx="68">
                  <c:v>-6.1702138884246416E-2</c:v>
                </c:pt>
                <c:pt idx="69">
                  <c:v>-6.914470692000832E-2</c:v>
                </c:pt>
                <c:pt idx="70">
                  <c:v>-8.1857218072896171E-2</c:v>
                </c:pt>
                <c:pt idx="71">
                  <c:v>-6.6223811301193203E-2</c:v>
                </c:pt>
                <c:pt idx="72">
                  <c:v>-6.9477451210654961E-2</c:v>
                </c:pt>
                <c:pt idx="73">
                  <c:v>-9.1732802238850164E-2</c:v>
                </c:pt>
                <c:pt idx="74">
                  <c:v>-9.4223302073851795E-2</c:v>
                </c:pt>
                <c:pt idx="75">
                  <c:v>-5.1509196890522406E-2</c:v>
                </c:pt>
                <c:pt idx="76">
                  <c:v>-0.10644707927089271</c:v>
                </c:pt>
                <c:pt idx="77">
                  <c:v>-6.9520180590535621E-2</c:v>
                </c:pt>
                <c:pt idx="78">
                  <c:v>-6.262329437170891E-2</c:v>
                </c:pt>
                <c:pt idx="79">
                  <c:v>-7.1539562583209565E-2</c:v>
                </c:pt>
                <c:pt idx="80">
                  <c:v>-7.0806453953596235E-2</c:v>
                </c:pt>
                <c:pt idx="81">
                  <c:v>-7.0534750100352803E-2</c:v>
                </c:pt>
                <c:pt idx="82">
                  <c:v>-9.1425225676567329E-2</c:v>
                </c:pt>
                <c:pt idx="83">
                  <c:v>-6.2748722532316975E-2</c:v>
                </c:pt>
                <c:pt idx="84">
                  <c:v>-8.9124541061930324E-2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1C6-B82F-638BD7A3B88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FRTB!$AX$24:$AX$121</c:f>
              <c:numCache>
                <c:formatCode>0.0000</c:formatCode>
                <c:ptCount val="98"/>
                <c:pt idx="0">
                  <c:v>-1.5592805467817477E-2</c:v>
                </c:pt>
                <c:pt idx="1">
                  <c:v>-2.0528383725261425E-2</c:v>
                </c:pt>
                <c:pt idx="2">
                  <c:v>-1.8798009369911939E-3</c:v>
                </c:pt>
                <c:pt idx="3">
                  <c:v>7.4576709142950795E-2</c:v>
                </c:pt>
                <c:pt idx="4">
                  <c:v>1.6730604229545296E-3</c:v>
                </c:pt>
                <c:pt idx="5">
                  <c:v>5.8910456452619248E-3</c:v>
                </c:pt>
                <c:pt idx="6">
                  <c:v>-5.1948033032098821E-3</c:v>
                </c:pt>
                <c:pt idx="7">
                  <c:v>-1.8875227167879718E-3</c:v>
                </c:pt>
                <c:pt idx="8">
                  <c:v>-8.172677718083006E-3</c:v>
                </c:pt>
                <c:pt idx="9">
                  <c:v>-2.361838768797362E-2</c:v>
                </c:pt>
                <c:pt idx="10">
                  <c:v>-2.3527486966251059E-2</c:v>
                </c:pt>
                <c:pt idx="11">
                  <c:v>3.2516630254034243E-2</c:v>
                </c:pt>
                <c:pt idx="12">
                  <c:v>-9.9083454849071412E-3</c:v>
                </c:pt>
                <c:pt idx="13">
                  <c:v>-1.6292016130633229E-2</c:v>
                </c:pt>
                <c:pt idx="14">
                  <c:v>1.2845054378673185E-2</c:v>
                </c:pt>
                <c:pt idx="15">
                  <c:v>-1.3515486417673448E-2</c:v>
                </c:pt>
                <c:pt idx="16">
                  <c:v>-2.1972803606738478E-3</c:v>
                </c:pt>
                <c:pt idx="17">
                  <c:v>-1.5851504629470249E-3</c:v>
                </c:pt>
                <c:pt idx="18">
                  <c:v>-1.6230562208554782E-2</c:v>
                </c:pt>
                <c:pt idx="19">
                  <c:v>-4.3060091787229873E-3</c:v>
                </c:pt>
                <c:pt idx="20">
                  <c:v>3.6782322263666026E-3</c:v>
                </c:pt>
                <c:pt idx="21">
                  <c:v>-4.5421143553129109E-3</c:v>
                </c:pt>
                <c:pt idx="22">
                  <c:v>-2.1691177866521791E-2</c:v>
                </c:pt>
                <c:pt idx="23">
                  <c:v>-2.1220789432976832E-2</c:v>
                </c:pt>
                <c:pt idx="24">
                  <c:v>-2.2612008619053159E-3</c:v>
                </c:pt>
                <c:pt idx="25">
                  <c:v>-3.8305863497448273E-2</c:v>
                </c:pt>
                <c:pt idx="26">
                  <c:v>2.9634008147408693E-2</c:v>
                </c:pt>
                <c:pt idx="27">
                  <c:v>-1.8834222066105591E-2</c:v>
                </c:pt>
                <c:pt idx="28">
                  <c:v>-9.7088572216560212E-3</c:v>
                </c:pt>
                <c:pt idx="29">
                  <c:v>-2.1576979272616932E-2</c:v>
                </c:pt>
                <c:pt idx="30">
                  <c:v>-1.553672909102282E-2</c:v>
                </c:pt>
                <c:pt idx="31">
                  <c:v>-2.3118711549347803E-2</c:v>
                </c:pt>
                <c:pt idx="32">
                  <c:v>-2.0073037855488876E-2</c:v>
                </c:pt>
                <c:pt idx="33">
                  <c:v>7.0437457607007758E-2</c:v>
                </c:pt>
                <c:pt idx="34">
                  <c:v>6.5002959187201365E-2</c:v>
                </c:pt>
                <c:pt idx="35">
                  <c:v>-2.1305787793317099E-2</c:v>
                </c:pt>
                <c:pt idx="36">
                  <c:v>-2.3431080298496297E-2</c:v>
                </c:pt>
                <c:pt idx="37">
                  <c:v>-6.7672290729853743E-3</c:v>
                </c:pt>
                <c:pt idx="38">
                  <c:v>-1.8026164425696736E-2</c:v>
                </c:pt>
                <c:pt idx="39">
                  <c:v>8.6288653966622608E-2</c:v>
                </c:pt>
                <c:pt idx="40">
                  <c:v>-1.5945064797870525E-2</c:v>
                </c:pt>
                <c:pt idx="41">
                  <c:v>9.6430344980273849E-3</c:v>
                </c:pt>
                <c:pt idx="42">
                  <c:v>-2.1387263498466799E-2</c:v>
                </c:pt>
                <c:pt idx="43">
                  <c:v>-2.2136730421298823E-2</c:v>
                </c:pt>
                <c:pt idx="44">
                  <c:v>-1.6316692190920731E-2</c:v>
                </c:pt>
                <c:pt idx="45">
                  <c:v>-1.9666126526233875E-2</c:v>
                </c:pt>
                <c:pt idx="46">
                  <c:v>-2.2333927846569152E-2</c:v>
                </c:pt>
                <c:pt idx="47">
                  <c:v>-8.9351354605185715E-3</c:v>
                </c:pt>
                <c:pt idx="48">
                  <c:v>-1.506957484981776E-2</c:v>
                </c:pt>
                <c:pt idx="49">
                  <c:v>-2.2353523969587383E-2</c:v>
                </c:pt>
                <c:pt idx="50">
                  <c:v>-1.5216315102448506E-2</c:v>
                </c:pt>
                <c:pt idx="51">
                  <c:v>1.0044957012827462E-2</c:v>
                </c:pt>
                <c:pt idx="52">
                  <c:v>4.8143572798894918E-4</c:v>
                </c:pt>
                <c:pt idx="53">
                  <c:v>9.4329167706386427E-3</c:v>
                </c:pt>
                <c:pt idx="54">
                  <c:v>1.1296315699533946E-2</c:v>
                </c:pt>
                <c:pt idx="55">
                  <c:v>9.5529806334908596E-3</c:v>
                </c:pt>
                <c:pt idx="56">
                  <c:v>2.4230381760552283E-3</c:v>
                </c:pt>
                <c:pt idx="57">
                  <c:v>-1.3678850610608174E-2</c:v>
                </c:pt>
                <c:pt idx="58">
                  <c:v>-2.2037752154591875E-2</c:v>
                </c:pt>
                <c:pt idx="59">
                  <c:v>2.8858950830345648E-3</c:v>
                </c:pt>
                <c:pt idx="60">
                  <c:v>1.4430646923133811E-4</c:v>
                </c:pt>
                <c:pt idx="61">
                  <c:v>8.0045298052257921E-3</c:v>
                </c:pt>
                <c:pt idx="62">
                  <c:v>3.455967349173427E-3</c:v>
                </c:pt>
                <c:pt idx="63">
                  <c:v>-1.2041272111314085E-2</c:v>
                </c:pt>
                <c:pt idx="64">
                  <c:v>-2.1122959007224315E-2</c:v>
                </c:pt>
                <c:pt idx="65">
                  <c:v>-2.1541321621061024E-2</c:v>
                </c:pt>
                <c:pt idx="66">
                  <c:v>1.6586194155352417E-3</c:v>
                </c:pt>
                <c:pt idx="67">
                  <c:v>-2.0616030950772624E-2</c:v>
                </c:pt>
                <c:pt idx="68">
                  <c:v>7.1106823207824112E-3</c:v>
                </c:pt>
                <c:pt idx="69">
                  <c:v>-8.6504730577593794E-3</c:v>
                </c:pt>
                <c:pt idx="70">
                  <c:v>3.0028951240234636E-3</c:v>
                </c:pt>
                <c:pt idx="71">
                  <c:v>-3.5928867002558984E-3</c:v>
                </c:pt>
                <c:pt idx="72">
                  <c:v>-9.0560030228521438E-3</c:v>
                </c:pt>
                <c:pt idx="73">
                  <c:v>-1.4341076252766139E-2</c:v>
                </c:pt>
                <c:pt idx="74">
                  <c:v>-1.717283521153971E-2</c:v>
                </c:pt>
                <c:pt idx="75">
                  <c:v>4.3405318196340102E-2</c:v>
                </c:pt>
                <c:pt idx="76">
                  <c:v>-2.4080564725507889E-2</c:v>
                </c:pt>
                <c:pt idx="77">
                  <c:v>-9.1435972058939684E-3</c:v>
                </c:pt>
                <c:pt idx="78">
                  <c:v>4.5091567690394088E-3</c:v>
                </c:pt>
                <c:pt idx="79">
                  <c:v>-1.1555864079791547E-2</c:v>
                </c:pt>
                <c:pt idx="80">
                  <c:v>-1.0775097406427164E-2</c:v>
                </c:pt>
                <c:pt idx="81">
                  <c:v>-1.0454036827791703E-2</c:v>
                </c:pt>
                <c:pt idx="82">
                  <c:v>-1.3909908789238163E-2</c:v>
                </c:pt>
                <c:pt idx="83">
                  <c:v>4.2151103485873684E-3</c:v>
                </c:pt>
                <c:pt idx="84">
                  <c:v>-1.0696265039445194E-2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1C6-B82F-638BD7A3B8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FRTB!$AY$24:$AY$121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1C6-B82F-638BD7A3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240"/>
        <c:axId val="325252000"/>
      </c:barChart>
      <c:catAx>
        <c:axId val="32524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52000"/>
        <c:crosses val="autoZero"/>
        <c:auto val="1"/>
        <c:lblAlgn val="ctr"/>
        <c:lblOffset val="100"/>
        <c:noMultiLvlLbl val="0"/>
      </c:catAx>
      <c:valAx>
        <c:axId val="325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4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110393-92B1-496A-AB1F-D5353159A188}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127000</xdr:rowOff>
        </xdr:from>
        <xdr:to>
          <xdr:col>45</xdr:col>
          <xdr:colOff>298450</xdr:colOff>
          <xdr:row>364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641350</xdr:colOff>
          <xdr:row>5</xdr:row>
          <xdr:rowOff>107950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355248</xdr:colOff>
      <xdr:row>6</xdr:row>
      <xdr:rowOff>69557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88900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937E31-2820-D7B7-1E7C-2C5ED9255B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31750</xdr:rowOff>
        </xdr:from>
        <xdr:to>
          <xdr:col>30</xdr:col>
          <xdr:colOff>349250</xdr:colOff>
          <xdr:row>6</xdr:row>
          <xdr:rowOff>101600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9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7" ht="15" thickBot="1"/>
    <row r="2" spans="2:7" ht="1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" thickBot="1">
      <c r="B4" s="41" t="s">
        <v>30</v>
      </c>
      <c r="D4" s="41" t="s">
        <v>31</v>
      </c>
      <c r="F4" s="38" t="s">
        <v>2</v>
      </c>
    </row>
    <row r="5" spans="2:7" ht="15" thickBot="1">
      <c r="F5" s="41" t="s">
        <v>1</v>
      </c>
    </row>
    <row r="6" spans="2:7" ht="15" thickBot="1">
      <c r="B6" s="57" t="s">
        <v>44</v>
      </c>
    </row>
    <row r="7" spans="2:7" ht="15" thickBot="1">
      <c r="B7" s="141" t="s">
        <v>45</v>
      </c>
      <c r="D7" s="92" t="s">
        <v>429</v>
      </c>
      <c r="E7" s="605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" thickBot="1">
      <c r="B11" s="143" t="s">
        <v>42</v>
      </c>
    </row>
    <row r="12" spans="2:7">
      <c r="G12" s="168"/>
    </row>
    <row r="13" spans="2:7" ht="15" thickBot="1"/>
    <row r="14" spans="2:7" ht="1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638" t="s">
        <v>21</v>
      </c>
      <c r="D5" s="639"/>
      <c r="F5" s="640" t="s">
        <v>23</v>
      </c>
      <c r="G5" s="641"/>
      <c r="I5" s="640" t="s">
        <v>22</v>
      </c>
      <c r="J5" s="641"/>
      <c r="R5" s="638" t="s">
        <v>39</v>
      </c>
      <c r="S5" s="639"/>
      <c r="U5" s="640" t="s">
        <v>40</v>
      </c>
      <c r="V5" s="641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638" t="s">
        <v>21</v>
      </c>
      <c r="C20" s="642"/>
      <c r="D20" s="642"/>
      <c r="E20" s="642"/>
      <c r="F20" s="642"/>
      <c r="G20" s="642"/>
      <c r="H20" s="642"/>
      <c r="I20" s="642"/>
      <c r="J20" s="639"/>
      <c r="L20" s="638" t="s">
        <v>23</v>
      </c>
      <c r="M20" s="639"/>
      <c r="O20" s="638" t="s">
        <v>22</v>
      </c>
      <c r="P20" s="639"/>
      <c r="R20" s="643" t="s">
        <v>39</v>
      </c>
      <c r="S20" s="644"/>
      <c r="T20" s="644"/>
      <c r="U20" s="644"/>
      <c r="V20" s="644"/>
      <c r="W20" s="644"/>
      <c r="X20" s="645"/>
      <c r="Z20" s="640" t="s">
        <v>40</v>
      </c>
      <c r="AA20" s="641"/>
    </row>
    <row r="21" spans="2:27" ht="1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17" width="11.1796875" customWidth="1"/>
  </cols>
  <sheetData>
    <row r="6" spans="2:17" ht="15" thickBot="1"/>
    <row r="7" spans="2:17" ht="15" thickBot="1">
      <c r="B7" s="109" t="s">
        <v>47</v>
      </c>
      <c r="C7" s="103">
        <f ca="1">Parameter_Date</f>
        <v>45261</v>
      </c>
      <c r="D7" s="110"/>
      <c r="E7" s="111"/>
      <c r="F7" s="646" t="s">
        <v>48</v>
      </c>
      <c r="G7" s="647"/>
      <c r="H7" s="647"/>
      <c r="I7" s="647"/>
      <c r="J7" s="647"/>
      <c r="K7" s="647"/>
      <c r="L7" s="647"/>
      <c r="M7" s="647"/>
      <c r="N7" s="647"/>
      <c r="O7" s="647"/>
      <c r="P7" s="647"/>
      <c r="Q7" s="648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609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649" t="s">
        <v>68</v>
      </c>
      <c r="G13" s="650"/>
      <c r="H13" s="650"/>
      <c r="I13" s="650"/>
      <c r="J13" s="650"/>
      <c r="K13" s="650"/>
      <c r="L13" s="650"/>
      <c r="M13" s="650"/>
      <c r="N13" s="650"/>
      <c r="O13" s="650"/>
      <c r="P13" s="650"/>
      <c r="Q13" s="651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" thickBot="1"/>
    <row r="18" spans="2:17" ht="15" thickBot="1">
      <c r="B18" s="128" t="s">
        <v>669</v>
      </c>
      <c r="C18" s="42" cm="1">
        <f t="array" aca="1" ref="C18" ca="1">GetStoreCurve(B21:B23,C21:C23,D21:D23,E21:E23,F21:F23,H21:O23,H20:O20,G21:G23)</f>
        <v>0</v>
      </c>
    </row>
    <row r="19" spans="2:17" ht="15" thickBot="1">
      <c r="B19" s="128" t="s">
        <v>655</v>
      </c>
      <c r="C19" s="551"/>
      <c r="D19" s="101"/>
      <c r="E19" s="101"/>
      <c r="F19" s="101"/>
      <c r="G19" s="102"/>
      <c r="H19" s="646" t="s">
        <v>48</v>
      </c>
      <c r="I19" s="647"/>
      <c r="J19" s="647"/>
      <c r="K19" s="647"/>
      <c r="L19" s="647"/>
      <c r="M19" s="647"/>
      <c r="N19" s="647"/>
      <c r="O19" s="648"/>
    </row>
    <row r="20" spans="2:17" ht="21.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656</v>
      </c>
      <c r="G20" s="553" t="s">
        <v>657</v>
      </c>
      <c r="H20" s="58" t="s">
        <v>609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661</v>
      </c>
      <c r="G21" s="63" t="s">
        <v>658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662</v>
      </c>
      <c r="G22" s="69" t="s">
        <v>658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660</v>
      </c>
      <c r="G23" s="75" t="s">
        <v>659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tabSelected="1" topLeftCell="B1" zoomScale="115" zoomScaleNormal="115" workbookViewId="0">
      <selection activeCell="N3" sqref="N3"/>
    </sheetView>
  </sheetViews>
  <sheetFormatPr defaultColWidth="11.453125" defaultRowHeight="14.5"/>
  <cols>
    <col min="2" max="2" width="30.453125" bestFit="1" customWidth="1"/>
    <col min="5" max="9" width="9.453125" customWidth="1"/>
    <col min="10" max="10" width="11.26953125" customWidth="1"/>
    <col min="11" max="13" width="9.453125" customWidth="1"/>
    <col min="14" max="31" width="8.453125" customWidth="1"/>
    <col min="33" max="33" width="14.54296875" customWidth="1"/>
    <col min="34" max="34" width="13.26953125" bestFit="1" customWidth="1"/>
    <col min="35" max="35" width="15.8164062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646" t="s">
        <v>72</v>
      </c>
      <c r="H2" s="647"/>
      <c r="I2" s="647"/>
      <c r="J2" s="144" t="b">
        <v>1</v>
      </c>
    </row>
    <row r="3" spans="1:50" ht="15" thickBot="1">
      <c r="C3">
        <f ca="1">GetCDSRefDate(Parameter_Date,C6)</f>
        <v>45555</v>
      </c>
      <c r="J3" s="99"/>
    </row>
    <row r="4" spans="1:50" ht="15" thickBot="1">
      <c r="G4" s="646" t="s">
        <v>73</v>
      </c>
      <c r="H4" s="647"/>
      <c r="I4" s="648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5" t="s">
        <v>70</v>
      </c>
      <c r="C6" s="655" t="b">
        <v>1</v>
      </c>
      <c r="D6" s="656"/>
      <c r="E6" s="85"/>
      <c r="F6" s="85"/>
      <c r="G6" s="646" t="s">
        <v>74</v>
      </c>
      <c r="H6" s="647"/>
      <c r="I6" s="648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57">
        <f ca="1">GetCDSRefDate(Parameter_Date,C6)</f>
        <v>45280</v>
      </c>
      <c r="D7" s="658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46" t="s">
        <v>76</v>
      </c>
      <c r="F9" s="647"/>
      <c r="G9" s="647"/>
      <c r="H9" s="647"/>
      <c r="I9" s="647"/>
      <c r="J9" s="647"/>
      <c r="K9" s="647"/>
      <c r="L9" s="647"/>
      <c r="M9" s="648"/>
      <c r="N9" s="652" t="s">
        <v>77</v>
      </c>
      <c r="O9" s="653"/>
      <c r="P9" s="653"/>
      <c r="Q9" s="653"/>
      <c r="R9" s="653"/>
      <c r="S9" s="653"/>
      <c r="T9" s="653"/>
      <c r="U9" s="653"/>
      <c r="V9" s="654"/>
      <c r="W9" s="652" t="s">
        <v>78</v>
      </c>
      <c r="X9" s="653"/>
      <c r="Y9" s="653"/>
      <c r="Z9" s="653"/>
      <c r="AA9" s="653"/>
      <c r="AB9" s="653"/>
      <c r="AC9" s="653"/>
      <c r="AD9" s="653"/>
      <c r="AE9" s="654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617</v>
      </c>
      <c r="AM364" s="135" t="s">
        <v>621</v>
      </c>
      <c r="AN364" s="135"/>
      <c r="AQ364" s="135" t="s">
        <v>625</v>
      </c>
      <c r="AR364" s="135"/>
      <c r="AU364" s="135" t="s">
        <v>663</v>
      </c>
      <c r="AV364" s="135"/>
    </row>
    <row r="365" spans="1:53" ht="10.5" customHeight="1">
      <c r="A365" s="96">
        <v>354</v>
      </c>
      <c r="B365" s="68" t="s">
        <v>610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622</v>
      </c>
      <c r="AN365" s="135">
        <f ca="1">0.00359635/AG366</f>
        <v>0.78057033849393798</v>
      </c>
      <c r="AO365" s="135"/>
      <c r="AP365" s="135"/>
      <c r="AQ365" s="135" t="s">
        <v>622</v>
      </c>
      <c r="AR365" s="135">
        <f ca="1">0.00094748/AG366</f>
        <v>0.20564594222370913</v>
      </c>
      <c r="AU365" s="135" t="s">
        <v>622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618</v>
      </c>
      <c r="AG366" s="135">
        <v>4.6073362292230243E-3</v>
      </c>
      <c r="AK366" s="135"/>
      <c r="AM366" s="135" t="s">
        <v>624</v>
      </c>
      <c r="AN366" s="135">
        <f ca="1">0.00928509/AG367</f>
        <v>1.1634497154520191</v>
      </c>
      <c r="AQ366" s="135" t="s">
        <v>624</v>
      </c>
      <c r="AR366" s="135">
        <f ca="1">0.00224398/AG367</f>
        <v>0.2811774460430671</v>
      </c>
      <c r="AU366" s="135" t="s">
        <v>624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619</v>
      </c>
      <c r="AG367" s="135">
        <v>7.9806543219554538E-3</v>
      </c>
      <c r="AK367" s="135"/>
      <c r="AM367" s="135" t="s">
        <v>623</v>
      </c>
      <c r="AN367" s="135">
        <f ca="1">0.01555165/AG368</f>
        <v>1.6944089896016694</v>
      </c>
      <c r="AQ367" s="135" t="s">
        <v>623</v>
      </c>
      <c r="AR367" s="135">
        <f ca="1">0.00370112/AG368</f>
        <v>0.4032505232303023</v>
      </c>
      <c r="AU367" s="135" t="s">
        <v>664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620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611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612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613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614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615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616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127000</xdr:rowOff>
                  </from>
                  <to>
                    <xdr:col>45</xdr:col>
                    <xdr:colOff>298450</xdr:colOff>
                    <xdr:row>364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57"/>
      <c r="K2" s="168"/>
    </row>
    <row r="3" spans="2:11">
      <c r="J3" s="257"/>
    </row>
    <row r="5" spans="2:11" ht="15" thickBot="1"/>
    <row r="6" spans="2:11" ht="15" thickBot="1">
      <c r="B6" s="172" t="s">
        <v>423</v>
      </c>
      <c r="C6" s="178" t="b">
        <v>1</v>
      </c>
      <c r="H6" s="173" t="s">
        <v>424</v>
      </c>
      <c r="I6" s="659">
        <v>1</v>
      </c>
      <c r="J6" s="660"/>
      <c r="K6" s="661"/>
    </row>
    <row r="7" spans="2:11" ht="15" thickBot="1">
      <c r="D7" s="162"/>
      <c r="H7" s="174" t="s">
        <v>425</v>
      </c>
      <c r="I7" s="662" t="str" cm="1">
        <f t="array" aca="1" ref="I7" ca="1">GetGetCDSName(I6)</f>
        <v>ABNAMRO_MMR.EUR.SU</v>
      </c>
      <c r="J7" s="663"/>
      <c r="K7" s="664"/>
    </row>
    <row r="8" spans="2:11" ht="15" thickBot="1"/>
    <row r="9" spans="2:11" ht="1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3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20.54296875" bestFit="1" customWidth="1"/>
    <col min="6" max="6" width="19.7265625" customWidth="1"/>
    <col min="7" max="7" width="17.54296875" customWidth="1"/>
    <col min="8" max="9" width="20.81640625" bestFit="1" customWidth="1"/>
    <col min="10" max="10" width="14.81640625" hidden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667" t="s">
        <v>456</v>
      </c>
      <c r="D3" s="668"/>
      <c r="E3" s="669"/>
    </row>
    <row r="4" spans="2:11">
      <c r="C4" s="670"/>
      <c r="D4" s="671"/>
      <c r="E4" s="672"/>
    </row>
    <row r="5" spans="2:11" ht="15" thickBot="1">
      <c r="C5" s="673"/>
      <c r="D5" s="674"/>
      <c r="E5" s="675"/>
      <c r="G5" s="461"/>
    </row>
    <row r="6" spans="2:11" ht="15" thickBot="1"/>
    <row r="7" spans="2:11" ht="16" thickBot="1">
      <c r="B7" s="665" t="s">
        <v>454</v>
      </c>
      <c r="C7" s="666"/>
      <c r="D7" s="79"/>
      <c r="E7" s="665" t="s">
        <v>455</v>
      </c>
      <c r="F7" s="666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670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IF(NOT($F$9),"",getcds(C9,C10,C11,C12,C13,C19,C20,C21,C15,C16,C17,C23,C24,C26,C28:C30,C32,))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15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" thickBot="1">
      <c r="B20" s="200" t="s">
        <v>444</v>
      </c>
      <c r="C20" s="69" t="s">
        <v>445</v>
      </c>
      <c r="E20" s="217" t="s">
        <v>443</v>
      </c>
      <c r="F20" s="258" t="str">
        <f ca="1"/>
        <v>00:00:00.0211759</v>
      </c>
      <c r="G20" s="254" t="str">
        <f ca="1"/>
        <v>00:00:00.0211759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" thickBot="1">
      <c r="B24" s="201" t="s">
        <v>448</v>
      </c>
      <c r="C24" s="190" t="b">
        <v>1</v>
      </c>
    </row>
    <row r="25" spans="2:11" ht="15" thickBot="1">
      <c r="B25" s="195"/>
      <c r="C25" s="85"/>
      <c r="D25" s="191"/>
      <c r="E25" s="168"/>
      <c r="F25" s="502"/>
      <c r="H25" s="618"/>
    </row>
    <row r="26" spans="2:11" ht="15" thickBot="1">
      <c r="B26" s="172" t="s">
        <v>449</v>
      </c>
      <c r="C26" s="189" t="b">
        <v>1</v>
      </c>
      <c r="D26" s="85"/>
      <c r="F26" s="616"/>
      <c r="G26" s="616"/>
      <c r="I26" s="616"/>
    </row>
    <row r="27" spans="2:11" ht="15" thickBot="1">
      <c r="B27" s="197" t="s">
        <v>450</v>
      </c>
      <c r="C27" s="211"/>
      <c r="D27" s="85"/>
      <c r="F27" s="616"/>
      <c r="G27" s="616"/>
      <c r="H27" s="617"/>
      <c r="I27" s="616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" thickBot="1">
      <c r="B30" s="198" t="s">
        <v>448</v>
      </c>
      <c r="C30" s="193" t="b">
        <v>1</v>
      </c>
      <c r="D30" s="85"/>
    </row>
    <row r="31" spans="2:11" ht="15" thickBot="1">
      <c r="B31" s="196"/>
      <c r="C31" s="79"/>
      <c r="D31" s="85"/>
    </row>
    <row r="32" spans="2:11" ht="1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N1" zoomScale="115" zoomScaleNormal="115" workbookViewId="0">
      <selection activeCell="T15" sqref="T15"/>
    </sheetView>
  </sheetViews>
  <sheetFormatPr defaultColWidth="11.453125" defaultRowHeight="10"/>
  <cols>
    <col min="1" max="1" width="3.1796875" style="220" customWidth="1"/>
    <col min="2" max="2" width="17.1796875" style="220" customWidth="1"/>
    <col min="3" max="3" width="20" style="221" customWidth="1"/>
    <col min="4" max="4" width="15.26953125" style="221" bestFit="1" customWidth="1"/>
    <col min="5" max="5" width="15" style="221" bestFit="1" customWidth="1"/>
    <col min="6" max="6" width="7.453125" style="221" customWidth="1"/>
    <col min="7" max="7" width="9.7265625" style="221" customWidth="1"/>
    <col min="8" max="8" width="11.26953125" style="221" customWidth="1"/>
    <col min="9" max="10" width="13.1796875" style="220" customWidth="1"/>
    <col min="11" max="11" width="18.54296875" style="220" customWidth="1"/>
    <col min="12" max="12" width="18.453125" style="220" customWidth="1"/>
    <col min="13" max="13" width="13.1796875" style="220" customWidth="1"/>
    <col min="14" max="14" width="27.54296875" style="220" customWidth="1"/>
    <col min="15" max="16" width="13.1796875" style="220" customWidth="1"/>
    <col min="17" max="18" width="19.26953125" style="220" customWidth="1"/>
    <col min="19" max="29" width="13.1796875" style="220" customWidth="1"/>
    <col min="30" max="30" width="11.453125" style="220"/>
    <col min="31" max="31" width="13.1796875" style="220" customWidth="1"/>
    <col min="32" max="32" width="13.54296875" style="220" customWidth="1"/>
    <col min="33" max="33" width="12.7265625" style="220" customWidth="1"/>
    <col min="34" max="34" width="13.54296875" style="220" customWidth="1"/>
    <col min="35" max="35" width="12.453125" style="220" customWidth="1"/>
    <col min="36" max="36" width="13" style="220" customWidth="1"/>
    <col min="37" max="37" width="11.453125" style="220" customWidth="1"/>
    <col min="38" max="39" width="11.453125" style="220"/>
    <col min="40" max="40" width="25.1796875" style="220" customWidth="1"/>
    <col min="41" max="50" width="9.7265625" style="220" customWidth="1"/>
    <col min="51" max="16384" width="11.453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0.5" thickBot="1">
      <c r="N4" s="473"/>
      <c r="O4" s="472"/>
      <c r="P4" s="472"/>
    </row>
    <row r="5" spans="1:32" ht="11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1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4.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1.5700410429975999</v>
      </c>
      <c r="J8" s="612">
        <f ca="1"/>
        <v>0.52334701433253294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1.6727978339923499</v>
      </c>
      <c r="J9" s="391">
        <f ca="1"/>
        <v>0.55759927799745002</v>
      </c>
      <c r="K9" s="400" t="str">
        <f ca="1"/>
        <v/>
      </c>
      <c r="L9" s="400">
        <f ca="1"/>
        <v>0</v>
      </c>
      <c r="M9" s="323">
        <f ca="1"/>
        <v>0</v>
      </c>
      <c r="N9" s="682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0.10275679099474901</v>
      </c>
      <c r="J10" s="391">
        <f ca="1"/>
        <v>3.4252263664916301E-2</v>
      </c>
      <c r="K10" s="400" t="str">
        <f ca="1"/>
        <v/>
      </c>
      <c r="L10" s="400">
        <f ca="1"/>
        <v>0</v>
      </c>
      <c r="M10" s="323">
        <f ca="1"/>
        <v>0</v>
      </c>
      <c r="N10" s="682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" thickBot="1">
      <c r="A11" s="220"/>
      <c r="B11" s="220"/>
      <c r="C11" s="220"/>
      <c r="D11" s="221"/>
      <c r="E11" s="221"/>
      <c r="F11" s="221"/>
      <c r="H11" s="377" t="s">
        <v>440</v>
      </c>
      <c r="I11" s="613">
        <f ca="1"/>
        <v>0.162791949592688</v>
      </c>
      <c r="J11" s="393">
        <f ca="1"/>
        <v>0.162791949592688</v>
      </c>
      <c r="K11" s="400" t="str">
        <f ca="1"/>
        <v/>
      </c>
      <c r="L11" s="400">
        <f ca="1"/>
        <v>0</v>
      </c>
      <c r="M11" s="323">
        <f ca="1"/>
        <v>0</v>
      </c>
      <c r="N11" s="682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-0.28260250588166119</v>
      </c>
      <c r="AA11" s="79"/>
      <c r="AB11" s="465" t="s">
        <v>505</v>
      </c>
      <c r="AC11" s="423">
        <f ca="1">SUM(AC15:AC314)</f>
        <v>-1.7425732711342689E-2</v>
      </c>
    </row>
    <row r="12" spans="1:32" customFormat="1" ht="1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3.42522636649162</v>
      </c>
      <c r="J12" s="394">
        <f ca="1"/>
        <v>3.42522636649162</v>
      </c>
      <c r="K12" s="400" t="str">
        <f ca="1"/>
        <v/>
      </c>
      <c r="L12" s="400">
        <f ca="1"/>
        <v>0</v>
      </c>
      <c r="M12" s="323">
        <f ca="1"/>
        <v>0</v>
      </c>
      <c r="N12" s="682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0.24074450845087175</v>
      </c>
      <c r="AA12" s="79"/>
      <c r="AB12" s="465" t="s">
        <v>498</v>
      </c>
      <c r="AC12" s="407">
        <f ca="1">$J$8+AC11</f>
        <v>0.50592128162119021</v>
      </c>
    </row>
    <row r="13" spans="1:32" customFormat="1" ht="1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00:00:15.2523887</v>
      </c>
      <c r="J13" s="395" t="str">
        <f ca="1"/>
        <v>00:00:15.2523887</v>
      </c>
      <c r="K13" s="401" t="str">
        <f ca="1"/>
        <v>Leverage=</v>
      </c>
      <c r="L13" s="402">
        <f ca="1"/>
        <v>8.3382427026742008</v>
      </c>
      <c r="M13" s="323">
        <f ca="1"/>
        <v>0</v>
      </c>
      <c r="N13" s="682">
        <f ca="1"/>
        <v>0</v>
      </c>
      <c r="O13" s="323" t="str">
        <f ca="1"/>
        <v/>
      </c>
      <c r="P13" s="445" t="str">
        <f ca="1"/>
        <v>Leverage=</v>
      </c>
      <c r="Q13" s="444">
        <f ca="1"/>
        <v>30.943769931823802</v>
      </c>
      <c r="R13" s="439" t="str">
        <f ca="1"/>
        <v/>
      </c>
      <c r="S13" s="435"/>
      <c r="T13" s="278" t="s">
        <v>499</v>
      </c>
      <c r="U13" s="408">
        <f ca="1">L13</f>
        <v>8.3382427026742008</v>
      </c>
      <c r="V13" s="409"/>
      <c r="W13" s="79"/>
      <c r="X13" s="79"/>
      <c r="Y13" s="465" t="s">
        <v>500</v>
      </c>
      <c r="Z13" s="410">
        <f ca="1">Z12*(C20-C21)</f>
        <v>0.72223352535261531</v>
      </c>
      <c r="AA13" s="79"/>
      <c r="AB13" s="465" t="s">
        <v>500</v>
      </c>
      <c r="AC13" s="411">
        <f ca="1">AC12*(C20-C21)</f>
        <v>1.5177638448635706</v>
      </c>
      <c r="AD13" s="220"/>
    </row>
    <row r="14" spans="1:32" customFormat="1" ht="14.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683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1.1396104084509401E-4</v>
      </c>
      <c r="J15" s="403">
        <f ca="1"/>
        <v>4.75990550649197E-4</v>
      </c>
      <c r="K15" s="403">
        <f ca="1"/>
        <v>0.23941870419415701</v>
      </c>
      <c r="L15" s="403">
        <f ca="1"/>
        <v>0.23941870419415701</v>
      </c>
      <c r="M15" s="403">
        <f ca="1"/>
        <v>-1.60123862167993E-4</v>
      </c>
      <c r="N15" s="684" t="str">
        <f ca="1"/>
        <v>AIRBUS SE</v>
      </c>
      <c r="O15" s="403">
        <f ca="1"/>
        <v>0.74608817534678995</v>
      </c>
      <c r="P15" s="403">
        <f ca="1"/>
        <v>0.77321745535682795</v>
      </c>
      <c r="Q15" s="403">
        <f ca="1"/>
        <v>0.96491377707255899</v>
      </c>
      <c r="R15" s="441">
        <f ca="1"/>
        <v>0.96491377707255899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-2.4439426691398401E-2</v>
      </c>
      <c r="U15" s="413">
        <f ca="1"/>
        <v>2.2693922751052701E-2</v>
      </c>
      <c r="V15" s="413">
        <f ca="1"/>
        <v>4.7133349442451102E-2</v>
      </c>
      <c r="W15" s="414">
        <f ca="1"/>
        <v>4.8148334500949502E-3</v>
      </c>
      <c r="X15" s="415">
        <f ca="1"/>
        <v>4.7133349442450996</v>
      </c>
      <c r="Y15" s="416">
        <f ca="1">IF($U$12,IF(T15="","",$U$13*D39/$C$18),"")</f>
        <v>8.7770975817623054E-2</v>
      </c>
      <c r="Z15" s="417">
        <f ca="1">IF($U$12,IF(Y15="","",Y15*($Z$10-W15)*X15),"")</f>
        <v>-1.9918677449896542E-3</v>
      </c>
      <c r="AA15" s="416">
        <f ca="1">IF($U$12,IF(OR(T15="",L15=""),"",L15/($C$20-$C$19)),"")</f>
        <v>7.9806234731385664E-2</v>
      </c>
      <c r="AB15" s="418">
        <f ca="1">IF($U$12,IF(W15="","",W15*$AC$10),"")</f>
        <v>4.574091777590202E-3</v>
      </c>
      <c r="AC15" s="417">
        <f ca="1">IF($U$12,IF(AA15="","",AA15*(AB15-W15)*X15),"")</f>
        <v>-9.0555826302322575E-5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1.1661835475936599E-4</v>
      </c>
      <c r="J16" s="403">
        <f ca="1"/>
        <v>4.7459805705665097E-4</v>
      </c>
      <c r="K16" s="403">
        <f ca="1"/>
        <v>0.24572025322355201</v>
      </c>
      <c r="L16" s="403">
        <f ca="1"/>
        <v>0.24572025322355201</v>
      </c>
      <c r="M16" s="403">
        <f ca="1"/>
        <v>-1.72613583103676E-4</v>
      </c>
      <c r="N16" s="684" t="str">
        <f ca="1"/>
        <v>AKTIEBOLAGET VOLVO</v>
      </c>
      <c r="O16" s="403">
        <f ca="1"/>
        <v>0.74591597845416002</v>
      </c>
      <c r="P16" s="403">
        <f ca="1"/>
        <v>0.77153806622633203</v>
      </c>
      <c r="Q16" s="403">
        <f ca="1"/>
        <v>0.96679089614140201</v>
      </c>
      <c r="R16" s="441">
        <f ca="1"/>
        <v>0.96679089614140201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-2.26716486592973E-2</v>
      </c>
      <c r="U16" s="413">
        <f ca="1"/>
        <v>2.44569507286936E-2</v>
      </c>
      <c r="V16" s="413">
        <f ca="1"/>
        <v>4.7128599387990897E-2</v>
      </c>
      <c r="W16" s="414">
        <f ca="1"/>
        <v>5.1894075033610196E-3</v>
      </c>
      <c r="X16" s="415">
        <f ca="1"/>
        <v>4.7128599387990899</v>
      </c>
      <c r="Y16" s="416">
        <f ca="1">IF($U$12,IF(T16="","",$U$13*D40/$C$18),"")</f>
        <v>8.7770975817623054E-2</v>
      </c>
      <c r="Z16" s="417">
        <f ca="1">IF($U$12,IF(Y16="","",Y16*($Z$10-W16)*X16),"")</f>
        <v>-2.1466104309809603E-3</v>
      </c>
      <c r="AA16" s="416">
        <f t="shared" ref="AA16:AA79" ca="1" si="0">IF($U$12,IF(OR(T16="",L16=""),"",L16/($C$20-$C$19)),"")</f>
        <v>8.1906751074517337E-2</v>
      </c>
      <c r="AB16" s="418">
        <f t="shared" ref="AB16:AB79" ca="1" si="1">IF($U$12,IF(W16="","",W16*$AC$10),"")</f>
        <v>4.9299371281929681E-3</v>
      </c>
      <c r="AC16" s="417">
        <f ca="1">IF($U$12,IF(AA16="","",AA16*(AB16-W16)*X16),"")</f>
        <v>-1.001594687688421E-4</v>
      </c>
      <c r="AD16" s="220"/>
      <c r="AE16" s="220">
        <f ca="1">X16*W16</f>
        <v>6.832663503179179E-3</v>
      </c>
      <c r="AF16" s="220"/>
    </row>
    <row r="17" spans="1:31" customFormat="1" ht="14.5">
      <c r="A17" s="220"/>
      <c r="B17" s="261" t="s">
        <v>463</v>
      </c>
      <c r="C17" s="228">
        <f ca="1">COUNTA(C39:C338)</f>
        <v>95</v>
      </c>
      <c r="D17" s="221"/>
      <c r="E17" s="637">
        <f ca="1">-0.6*K15+T15*K15</f>
        <v>-0.14949837351906492</v>
      </c>
      <c r="F17" s="515"/>
      <c r="G17" s="221"/>
      <c r="H17" s="377">
        <v>3</v>
      </c>
      <c r="I17" s="403">
        <f ca="1"/>
        <v>1.18105737523715E-4</v>
      </c>
      <c r="J17" s="403">
        <f ca="1"/>
        <v>4.73697559576069E-4</v>
      </c>
      <c r="K17" s="403">
        <f ca="1"/>
        <v>0.249327308397815</v>
      </c>
      <c r="L17" s="403">
        <f ca="1"/>
        <v>0.249327308397815</v>
      </c>
      <c r="M17" s="403">
        <f ca="1"/>
        <v>-1.7986368209232999E-4</v>
      </c>
      <c r="N17" s="684" t="str">
        <f ca="1"/>
        <v>AKZO NOBEL N.V.</v>
      </c>
      <c r="O17" s="403">
        <f ca="1"/>
        <v>0.74580056341334999</v>
      </c>
      <c r="P17" s="403">
        <f ca="1"/>
        <v>0.77056188278315196</v>
      </c>
      <c r="Q17" s="403">
        <f ca="1"/>
        <v>0.96786589121127098</v>
      </c>
      <c r="R17" s="441">
        <f ca="1"/>
        <v>0.96786589121127098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-2.1644087140160199E-2</v>
      </c>
      <c r="U17" s="413">
        <f ca="1"/>
        <v>2.5459272485494101E-2</v>
      </c>
      <c r="V17" s="413">
        <f ca="1"/>
        <v>4.7103359625654297E-2</v>
      </c>
      <c r="W17" s="414">
        <f ca="1"/>
        <v>5.4049801729276203E-3</v>
      </c>
      <c r="X17" s="415">
        <f ca="1"/>
        <v>4.7103359625654297</v>
      </c>
      <c r="Y17" s="416">
        <f ca="1">IF($U$12,IF(T17="","",$U$13*D41/$C$18),"")</f>
        <v>8.7770975817623054E-2</v>
      </c>
      <c r="Z17" s="417">
        <f t="shared" ref="Z17:Z79" ca="1" si="2">IF($U$12,IF(Y17="","",Y17*($Z$10-W17)*X17),"")</f>
        <v>-2.2345851896585773E-3</v>
      </c>
      <c r="AA17" s="416">
        <f t="shared" ca="1" si="0"/>
        <v>8.3109102799271667E-2</v>
      </c>
      <c r="AB17" s="418">
        <f t="shared" ca="1" si="1"/>
        <v>5.1347311642812388E-3</v>
      </c>
      <c r="AC17" s="417">
        <f t="shared" ref="AC17:AC79" ca="1" si="3">IF($U$12,IF(AA17="","",AA17*(AB17-W17)*X17),"")</f>
        <v>-1.0579486470958003E-4</v>
      </c>
      <c r="AD17" s="220"/>
      <c r="AE17" s="220">
        <f t="shared" ref="AE17:AE79" ca="1" si="4">X17*W17</f>
        <v>7.0613021977608461E-3</v>
      </c>
    </row>
    <row r="18" spans="1:31" customFormat="1" ht="14.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1.62376804893403E-4</v>
      </c>
      <c r="J18" s="403">
        <f ca="1"/>
        <v>4.43396785031926E-4</v>
      </c>
      <c r="K18" s="403">
        <f ca="1"/>
        <v>0.36621105604478199</v>
      </c>
      <c r="L18" s="403">
        <f ca="1"/>
        <v>0.36621105604478199</v>
      </c>
      <c r="M18" s="403">
        <f ca="1"/>
        <v>-4.74674098846326E-4</v>
      </c>
      <c r="N18" s="684" t="str">
        <f ca="1"/>
        <v>ALSTOM</v>
      </c>
      <c r="O18" s="403">
        <f ca="1"/>
        <v>0.73858902419535</v>
      </c>
      <c r="P18" s="403">
        <f ca="1"/>
        <v>0.72689375318795602</v>
      </c>
      <c r="Q18" s="403">
        <f ca="1"/>
        <v>1.0160893816408501</v>
      </c>
      <c r="R18" s="441">
        <f ca="1"/>
        <v>1.0160893816408501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2.4322365065309898E-2</v>
      </c>
      <c r="U18" s="413">
        <f ca="1"/>
        <v>7.00192712306828E-2</v>
      </c>
      <c r="V18" s="413">
        <f ca="1"/>
        <v>4.5696906165372898E-2</v>
      </c>
      <c r="W18" s="414">
        <f ca="1"/>
        <v>1.5322540869022801E-2</v>
      </c>
      <c r="X18" s="415">
        <f ca="1"/>
        <v>4.5696906165372901</v>
      </c>
      <c r="Y18" s="416">
        <f t="shared" ref="Y18:Y79" ca="1" si="5">IF($U$12,IF(T18="","",$U$13*D42/$C$18),"")</f>
        <v>8.7770975817623054E-2</v>
      </c>
      <c r="Z18" s="417">
        <f t="shared" ca="1" si="2"/>
        <v>-6.1456597619558339E-3</v>
      </c>
      <c r="AA18" s="416">
        <f t="shared" ca="1" si="0"/>
        <v>0.12207035201492733</v>
      </c>
      <c r="AB18" s="418">
        <f t="shared" ca="1" si="1"/>
        <v>1.455641382557166E-2</v>
      </c>
      <c r="AC18" s="417">
        <f t="shared" ca="1" si="3"/>
        <v>-4.273638543479053E-4</v>
      </c>
      <c r="AD18" s="220"/>
      <c r="AE18" s="220">
        <f t="shared" ca="1" si="4"/>
        <v>2.2514912477741966E-2</v>
      </c>
    </row>
    <row r="19" spans="1:31" customFormat="1" ht="14.5">
      <c r="A19" s="220"/>
      <c r="B19" s="262" t="s">
        <v>465</v>
      </c>
      <c r="C19" s="231">
        <v>0</v>
      </c>
      <c r="D19" s="221"/>
      <c r="E19" s="614"/>
      <c r="F19" s="221"/>
      <c r="G19" s="233"/>
      <c r="H19" s="377">
        <v>5</v>
      </c>
      <c r="I19" s="403">
        <f ca="1"/>
        <v>1.46508254047922E-4</v>
      </c>
      <c r="J19" s="403">
        <f ca="1"/>
        <v>4.6093560779138801E-4</v>
      </c>
      <c r="K19" s="403">
        <f ca="1"/>
        <v>0.31784972037619003</v>
      </c>
      <c r="L19" s="403">
        <f ca="1"/>
        <v>0.31784972037619003</v>
      </c>
      <c r="M19" s="403">
        <f ca="1"/>
        <v>-3.4246210663623898E-4</v>
      </c>
      <c r="N19" s="684" t="str">
        <f ca="1"/>
        <v>ANGLO AMERICAN PLC</v>
      </c>
      <c r="O19" s="403">
        <f ca="1"/>
        <v>0.74257504984642997</v>
      </c>
      <c r="P19" s="403">
        <f ca="1"/>
        <v>0.74768857182176895</v>
      </c>
      <c r="Q19" s="403">
        <f ca="1"/>
        <v>0.99316089322740397</v>
      </c>
      <c r="R19" s="441">
        <f ca="1"/>
        <v>0.99316089322740397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2.4330822928746998E-3</v>
      </c>
      <c r="U19" s="413">
        <f ca="1"/>
        <v>4.9016098509539897E-2</v>
      </c>
      <c r="V19" s="413">
        <f ca="1"/>
        <v>4.6583016216665198E-2</v>
      </c>
      <c r="W19" s="414">
        <f ca="1"/>
        <v>1.0522311024592799E-2</v>
      </c>
      <c r="X19" s="415">
        <f ca="1"/>
        <v>4.6583016216665198</v>
      </c>
      <c r="Y19" s="416">
        <f t="shared" ca="1" si="5"/>
        <v>8.7770975817623054E-2</v>
      </c>
      <c r="Z19" s="417">
        <f t="shared" ca="1" si="2"/>
        <v>-4.3021907969550766E-3</v>
      </c>
      <c r="AA19" s="416">
        <f t="shared" ca="1" si="0"/>
        <v>0.10594990679206334</v>
      </c>
      <c r="AB19" s="418">
        <f t="shared" ca="1" si="1"/>
        <v>9.9961954733631588E-3</v>
      </c>
      <c r="AC19" s="417">
        <f t="shared" ca="1" si="3"/>
        <v>-2.5966255341981895E-4</v>
      </c>
      <c r="AD19" s="220"/>
      <c r="AE19" s="220">
        <f t="shared" ca="1" si="4"/>
        <v>1.1034181550254405E-2</v>
      </c>
    </row>
    <row r="20" spans="1:31" customFormat="1" ht="14.5">
      <c r="A20" s="220"/>
      <c r="B20" s="262" t="s">
        <v>466</v>
      </c>
      <c r="C20" s="231">
        <v>3</v>
      </c>
      <c r="D20" s="232"/>
      <c r="E20" s="403"/>
      <c r="F20" s="221"/>
      <c r="G20" s="233"/>
      <c r="H20" s="377">
        <v>6</v>
      </c>
      <c r="I20" s="403">
        <f ca="1"/>
        <v>1.6119591389477701E-4</v>
      </c>
      <c r="J20" s="403">
        <f ca="1"/>
        <v>4.4851326362933098E-4</v>
      </c>
      <c r="K20" s="403">
        <f ca="1"/>
        <v>0.35940055058883502</v>
      </c>
      <c r="L20" s="403">
        <f ca="1"/>
        <v>0.35940055058883502</v>
      </c>
      <c r="M20" s="403">
        <f ca="1"/>
        <v>-4.5609136851801601E-4</v>
      </c>
      <c r="N20" s="684" t="str">
        <f ca="1"/>
        <v>ARCELORMITTAL</v>
      </c>
      <c r="O20" s="403">
        <f ca="1"/>
        <v>0.73939296026433998</v>
      </c>
      <c r="P20" s="403">
        <f ca="1"/>
        <v>0.73006498023562505</v>
      </c>
      <c r="Q20" s="403">
        <f ca="1"/>
        <v>1.01277691750905</v>
      </c>
      <c r="R20" s="441">
        <f ca="1"/>
        <v>1.01277691750905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2.09842313309208E-2</v>
      </c>
      <c r="U20" s="413">
        <f ca="1"/>
        <v>6.7078604133845393E-2</v>
      </c>
      <c r="V20" s="413">
        <f ca="1"/>
        <v>4.6094372802924603E-2</v>
      </c>
      <c r="W20" s="414">
        <f ca="1"/>
        <v>1.45524496928591E-2</v>
      </c>
      <c r="X20" s="415">
        <f ca="1"/>
        <v>4.6094372802924601</v>
      </c>
      <c r="Y20" s="416">
        <f t="shared" ca="1" si="5"/>
        <v>8.7770975817623054E-2</v>
      </c>
      <c r="Z20" s="417">
        <f t="shared" ca="1" si="2"/>
        <v>-5.8875545413116454E-3</v>
      </c>
      <c r="AA20" s="416">
        <f t="shared" ca="1" si="0"/>
        <v>0.11980018352961168</v>
      </c>
      <c r="AB20" s="418">
        <f t="shared" ca="1" si="1"/>
        <v>1.3824827208216145E-2</v>
      </c>
      <c r="AC20" s="417">
        <f t="shared" ca="1" si="3"/>
        <v>-4.018014543072417E-4</v>
      </c>
      <c r="AD20" s="220"/>
      <c r="AE20" s="220">
        <f t="shared" ca="1" si="4"/>
        <v>1.5734153358332083E-2</v>
      </c>
    </row>
    <row r="21" spans="1:31" customFormat="1" ht="14.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1.0066651022834901E-4</v>
      </c>
      <c r="J21" s="403">
        <f ca="1"/>
        <v>4.8200331395063198E-4</v>
      </c>
      <c r="K21" s="403">
        <f ca="1"/>
        <v>0.20885024503930999</v>
      </c>
      <c r="L21" s="403">
        <f ca="1"/>
        <v>0.20885024503930999</v>
      </c>
      <c r="M21" s="403">
        <f ca="1"/>
        <v>-1.0709698737581E-4</v>
      </c>
      <c r="N21" s="684" t="str">
        <f ca="1"/>
        <v>ASTRAZENECA PLC</v>
      </c>
      <c r="O21" s="403">
        <f ca="1"/>
        <v>0.74683785751668996</v>
      </c>
      <c r="P21" s="403">
        <f ca="1"/>
        <v>0.78027771499680298</v>
      </c>
      <c r="Q21" s="403">
        <f ca="1"/>
        <v>0.95714364663067397</v>
      </c>
      <c r="R21" s="441">
        <f ca="1"/>
        <v>0.95714364663067397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-3.1871278944003198E-2</v>
      </c>
      <c r="U21" s="413">
        <f ca="1"/>
        <v>1.5466160863358501E-2</v>
      </c>
      <c r="V21" s="413">
        <f ca="1"/>
        <v>4.73374398073617E-2</v>
      </c>
      <c r="W21" s="414">
        <f ca="1"/>
        <v>3.2672153218039702E-3</v>
      </c>
      <c r="X21" s="415">
        <f ca="1"/>
        <v>4.7337439807361701</v>
      </c>
      <c r="Y21" s="416">
        <f t="shared" ca="1" si="5"/>
        <v>8.7770975817623054E-2</v>
      </c>
      <c r="Z21" s="417">
        <f t="shared" ca="1" si="2"/>
        <v>-1.35748003112931E-3</v>
      </c>
      <c r="AA21" s="416">
        <f ca="1">IF($U$12,IF(OR(T21="",L21=""),"",L21/($C$20-$C$19)),"")</f>
        <v>6.9616748346436663E-2</v>
      </c>
      <c r="AB21" s="418">
        <f t="shared" ca="1" si="1"/>
        <v>3.1038545557137715E-3</v>
      </c>
      <c r="AC21" s="417">
        <f t="shared" ca="1" si="3"/>
        <v>-5.3835191435496966E-5</v>
      </c>
      <c r="AD21" s="220"/>
      <c r="AE21" s="220">
        <f t="shared" ca="1" si="4"/>
        <v>5.1071149272015146E-3</v>
      </c>
    </row>
    <row r="22" spans="1:31" customFormat="1" ht="15" thickBot="1">
      <c r="A22" s="220"/>
      <c r="B22" s="263" t="s">
        <v>468</v>
      </c>
      <c r="C22" s="235">
        <v>0.3</v>
      </c>
      <c r="D22" s="221"/>
      <c r="E22" s="403"/>
      <c r="F22" s="568"/>
      <c r="G22" s="234"/>
      <c r="H22" s="377">
        <v>8</v>
      </c>
      <c r="I22" s="403">
        <f ca="1"/>
        <v>1.0357470565486999E-4</v>
      </c>
      <c r="J22" s="403">
        <f ca="1"/>
        <v>4.8107495035408298E-4</v>
      </c>
      <c r="K22" s="403">
        <f ca="1"/>
        <v>0.21529848016122299</v>
      </c>
      <c r="L22" s="403">
        <f ca="1"/>
        <v>0.21529848016122299</v>
      </c>
      <c r="M22" s="403">
        <f ca="1"/>
        <v>-1.17571266930878E-4</v>
      </c>
      <c r="N22" s="684" t="str">
        <f ca="1"/>
        <v>BAE SYSTEMS PLC</v>
      </c>
      <c r="O22" s="403">
        <f ca="1"/>
        <v>0.74672259052597001</v>
      </c>
      <c r="P22" s="403">
        <f ca="1"/>
        <v>0.77887636182338804</v>
      </c>
      <c r="Q22" s="403">
        <f ca="1"/>
        <v>0.95871774664961695</v>
      </c>
      <c r="R22" s="441">
        <f ca="1"/>
        <v>0.95871774664961695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-3.0396170340408701E-2</v>
      </c>
      <c r="U22" s="413">
        <f ca="1"/>
        <v>1.6944335825739999E-2</v>
      </c>
      <c r="V22" s="413">
        <f ca="1"/>
        <v>4.7340506166148703E-2</v>
      </c>
      <c r="W22" s="414">
        <f ca="1"/>
        <v>3.5792468644655498E-3</v>
      </c>
      <c r="X22" s="415">
        <f ca="1"/>
        <v>4.7340506166148701</v>
      </c>
      <c r="Y22" s="416">
        <f t="shared" ca="1" si="5"/>
        <v>8.7770975817623054E-2</v>
      </c>
      <c r="Z22" s="417">
        <f t="shared" ca="1" si="2"/>
        <v>-1.4872208900067075E-3</v>
      </c>
      <c r="AA22" s="416">
        <f t="shared" ca="1" si="0"/>
        <v>7.1766160053740993E-2</v>
      </c>
      <c r="AB22" s="418">
        <f t="shared" ca="1" si="1"/>
        <v>3.4002845212422724E-3</v>
      </c>
      <c r="AC22" s="417">
        <f t="shared" ca="1" si="3"/>
        <v>-6.0801495843719622E-5</v>
      </c>
      <c r="AD22" s="220"/>
      <c r="AE22" s="220">
        <f t="shared" ca="1" si="4"/>
        <v>4.6900536295068577E-3</v>
      </c>
    </row>
    <row r="23" spans="1:31" customFormat="1" ht="1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1.11088974604048E-4</v>
      </c>
      <c r="J23" s="403">
        <f ca="1"/>
        <v>4.7773152523272597E-4</v>
      </c>
      <c r="K23" s="403">
        <f ca="1"/>
        <v>0.23253431841227401</v>
      </c>
      <c r="L23" s="403">
        <f ca="1"/>
        <v>0.23253431841227401</v>
      </c>
      <c r="M23" s="403">
        <f ca="1"/>
        <v>-1.4766235692411199E-4</v>
      </c>
      <c r="N23" s="684" t="str">
        <f ca="1"/>
        <v>BASF SE</v>
      </c>
      <c r="O23" s="403">
        <f ca="1"/>
        <v>0.74631781710164002</v>
      </c>
      <c r="P23" s="403">
        <f ca="1"/>
        <v>0.77487002387447401</v>
      </c>
      <c r="Q23" s="403">
        <f ca="1"/>
        <v>0.96315226309817903</v>
      </c>
      <c r="R23" s="441">
        <f ca="1"/>
        <v>0.96315226309817903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-2.6178972499446701E-2</v>
      </c>
      <c r="U23" s="413">
        <f ca="1"/>
        <v>2.1082290512201399E-2</v>
      </c>
      <c r="V23" s="413">
        <f ca="1"/>
        <v>4.7261263011648097E-2</v>
      </c>
      <c r="W23" s="414">
        <f ca="1"/>
        <v>4.46079710290548E-3</v>
      </c>
      <c r="X23" s="415">
        <f ca="1"/>
        <v>4.7261263011648103</v>
      </c>
      <c r="Y23" s="416">
        <f t="shared" ca="1" si="5"/>
        <v>8.7770975817623054E-2</v>
      </c>
      <c r="Z23" s="417">
        <f t="shared" ca="1" si="2"/>
        <v>-1.850413210726531E-3</v>
      </c>
      <c r="AA23" s="416">
        <f t="shared" ca="1" si="0"/>
        <v>7.7511439470758003E-2</v>
      </c>
      <c r="AB23" s="418">
        <f t="shared" ca="1" si="1"/>
        <v>4.2377572477602056E-3</v>
      </c>
      <c r="AC23" s="417">
        <f t="shared" ca="1" si="3"/>
        <v>-8.1705934247071799E-5</v>
      </c>
      <c r="AD23" s="220"/>
      <c r="AE23" s="220">
        <f t="shared" ca="1" si="4"/>
        <v>5.1673342898428181E-3</v>
      </c>
    </row>
    <row r="24" spans="1:31" customFormat="1" ht="14.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1.5136209459739799E-4</v>
      </c>
      <c r="J24" s="403">
        <f ca="1"/>
        <v>4.5418520348215801E-4</v>
      </c>
      <c r="K24" s="403">
        <f ca="1"/>
        <v>0.33326073468913398</v>
      </c>
      <c r="L24" s="403">
        <f ca="1"/>
        <v>0.33326073468913398</v>
      </c>
      <c r="M24" s="403">
        <f ca="1"/>
        <v>-3.8296478435006598E-4</v>
      </c>
      <c r="N24" s="684" t="str">
        <f ca="1"/>
        <v>BAYER AKTIENGESELLSCHAFT</v>
      </c>
      <c r="O24" s="403">
        <f ca="1"/>
        <v>0.74137799266668003</v>
      </c>
      <c r="P24" s="403">
        <f ca="1"/>
        <v>0.74152631880489195</v>
      </c>
      <c r="Q24" s="403">
        <f ca="1"/>
        <v>0.99979997184934599</v>
      </c>
      <c r="R24" s="441">
        <f ca="1"/>
        <v>0.99979997184934599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8.9196644159028997E-3</v>
      </c>
      <c r="U24" s="413">
        <f ca="1"/>
        <v>5.5076051480618102E-2</v>
      </c>
      <c r="V24" s="413">
        <f ca="1"/>
        <v>4.6156387064715199E-2</v>
      </c>
      <c r="W24" s="414">
        <f ca="1"/>
        <v>1.19324875674079E-2</v>
      </c>
      <c r="X24" s="415">
        <f ca="1"/>
        <v>4.6156387064715201</v>
      </c>
      <c r="Y24" s="416">
        <f t="shared" ca="1" si="5"/>
        <v>8.7770975817623054E-2</v>
      </c>
      <c r="Z24" s="417">
        <f t="shared" ca="1" si="2"/>
        <v>-4.8340787826354941E-3</v>
      </c>
      <c r="AA24" s="416">
        <f t="shared" ca="1" si="0"/>
        <v>0.11108691156304466</v>
      </c>
      <c r="AB24" s="418">
        <f t="shared" ca="1" si="1"/>
        <v>1.1335863189037504E-2</v>
      </c>
      <c r="AC24" s="417">
        <f t="shared" ca="1" si="3"/>
        <v>-3.059114230034565E-4</v>
      </c>
      <c r="AD24" s="220"/>
      <c r="AE24" s="220">
        <f t="shared" ca="1" si="4"/>
        <v>1.7566465666323531E-2</v>
      </c>
    </row>
    <row r="25" spans="1:31" customFormat="1" ht="1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1.17115363364939E-4</v>
      </c>
      <c r="J25" s="403">
        <f ca="1"/>
        <v>4.7432706645164201E-4</v>
      </c>
      <c r="K25" s="403">
        <f ca="1"/>
        <v>0.24690845546946899</v>
      </c>
      <c r="L25" s="403">
        <f ca="1"/>
        <v>0.24690845546946899</v>
      </c>
      <c r="M25" s="403">
        <f ca="1"/>
        <v>-1.75078758636515E-4</v>
      </c>
      <c r="N25" s="684" t="str">
        <f ca="1"/>
        <v>BAYERISCHE MOTOREN WERKE AKTIENGESELLSCHAFT</v>
      </c>
      <c r="O25" s="403">
        <f ca="1"/>
        <v>0.74588596178915001</v>
      </c>
      <c r="P25" s="403">
        <f ca="1"/>
        <v>0.77120470840197297</v>
      </c>
      <c r="Q25" s="403">
        <f ca="1"/>
        <v>0.96716987547277</v>
      </c>
      <c r="R25" s="441">
        <f ca="1"/>
        <v>0.96716987547277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-2.23207456862871E-2</v>
      </c>
      <c r="U25" s="413">
        <f ca="1"/>
        <v>2.48162118552641E-2</v>
      </c>
      <c r="V25" s="413">
        <f ca="1"/>
        <v>4.71369575415512E-2</v>
      </c>
      <c r="W25" s="414">
        <f ca="1"/>
        <v>5.2647037801259603E-3</v>
      </c>
      <c r="X25" s="415">
        <f ca="1"/>
        <v>4.7136957541551201</v>
      </c>
      <c r="Y25" s="416">
        <f t="shared" ca="1" si="5"/>
        <v>8.7770975817623054E-2</v>
      </c>
      <c r="Z25" s="417">
        <f t="shared" ca="1" si="2"/>
        <v>-2.1781431306334004E-3</v>
      </c>
      <c r="AA25" s="416">
        <f t="shared" ca="1" si="0"/>
        <v>8.2302818489823001E-2</v>
      </c>
      <c r="AB25" s="418">
        <f t="shared" ca="1" si="1"/>
        <v>5.0014685911196621E-3</v>
      </c>
      <c r="AC25" s="417">
        <f t="shared" ca="1" si="3"/>
        <v>-1.0212220899644001E-4</v>
      </c>
      <c r="AD25" s="220"/>
      <c r="AE25" s="220">
        <f t="shared" ca="1" si="4"/>
        <v>6.5877663587736507E-3</v>
      </c>
    </row>
    <row r="26" spans="1:31" customFormat="1" ht="1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1.03138851724824E-4</v>
      </c>
      <c r="J26" s="403">
        <f ca="1"/>
        <v>4.8113059494120299E-4</v>
      </c>
      <c r="K26" s="403">
        <f ca="1"/>
        <v>0.21436768480172899</v>
      </c>
      <c r="L26" s="403">
        <f ca="1"/>
        <v>0.21436768480172899</v>
      </c>
      <c r="M26" s="403">
        <f ca="1"/>
        <v>-1.1590898066303099E-4</v>
      </c>
      <c r="N26" s="684" t="str">
        <f ca="1"/>
        <v>BOUYGUES</v>
      </c>
      <c r="O26" s="403">
        <f ca="1"/>
        <v>0.74673155145534997</v>
      </c>
      <c r="P26" s="403">
        <f ca="1"/>
        <v>0.77910420216021703</v>
      </c>
      <c r="Q26" s="403">
        <f ca="1"/>
        <v>0.95844888191450195</v>
      </c>
      <c r="R26" s="441">
        <f ca="1"/>
        <v>0.95844888191450195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-3.06360022739126E-2</v>
      </c>
      <c r="U26" s="413">
        <f ca="1"/>
        <v>1.6684765881207202E-2</v>
      </c>
      <c r="V26" s="413">
        <f ca="1"/>
        <v>4.7320768155119798E-2</v>
      </c>
      <c r="W26" s="414">
        <f ca="1"/>
        <v>3.5258865254498202E-3</v>
      </c>
      <c r="X26" s="415">
        <f ca="1"/>
        <v>4.7320768155119799</v>
      </c>
      <c r="Y26" s="416">
        <f t="shared" ca="1" si="5"/>
        <v>8.7770975817623054E-2</v>
      </c>
      <c r="Z26" s="417">
        <f t="shared" ca="1" si="2"/>
        <v>-1.4644381826821381E-3</v>
      </c>
      <c r="AA26" s="416">
        <f t="shared" ca="1" si="0"/>
        <v>7.1455894933909664E-2</v>
      </c>
      <c r="AB26" s="418">
        <f t="shared" ca="1" si="1"/>
        <v>3.3495921991773289E-3</v>
      </c>
      <c r="AC26" s="417">
        <f t="shared" ca="1" si="3"/>
        <v>-5.9611243890221145E-5</v>
      </c>
      <c r="AD26" s="220"/>
      <c r="AE26" s="220">
        <f t="shared" ca="1" si="4"/>
        <v>5.1233283990498703E-3</v>
      </c>
    </row>
    <row r="27" spans="1:31" customFormat="1" ht="1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1.3643520768426699E-4</v>
      </c>
      <c r="J27" s="403">
        <f ca="1"/>
        <v>4.49517221610896E-4</v>
      </c>
      <c r="K27" s="403">
        <f ca="1"/>
        <v>0.303514973676283</v>
      </c>
      <c r="L27" s="403">
        <f ca="1"/>
        <v>0.303514973676283</v>
      </c>
      <c r="M27" s="403">
        <f ca="1"/>
        <v>-3.0348749894821398E-4</v>
      </c>
      <c r="N27" s="684" t="str">
        <f ca="1"/>
        <v>CNH INDUSTRIAL N.V</v>
      </c>
      <c r="O27" s="403">
        <f ca="1"/>
        <v>0.74339964416009996</v>
      </c>
      <c r="P27" s="403">
        <f ca="1"/>
        <v>0.75336139038321903</v>
      </c>
      <c r="Q27" s="403">
        <f ca="1"/>
        <v>0.98677693554476997</v>
      </c>
      <c r="R27" s="441">
        <f ca="1"/>
        <v>0.98677693554476997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-3.5383056665467998E-3</v>
      </c>
      <c r="U27" s="413">
        <f ca="1"/>
        <v>4.3048659316265801E-2</v>
      </c>
      <c r="V27" s="413">
        <f ca="1"/>
        <v>4.6586964982812597E-2</v>
      </c>
      <c r="W27" s="414">
        <f ca="1"/>
        <v>9.2404944885651503E-3</v>
      </c>
      <c r="X27" s="415">
        <f ca="1"/>
        <v>4.6586964982812598</v>
      </c>
      <c r="Y27" s="416">
        <f t="shared" ca="1" si="5"/>
        <v>8.7770975817623054E-2</v>
      </c>
      <c r="Z27" s="417">
        <f t="shared" ca="1" si="2"/>
        <v>-3.7784228358290544E-3</v>
      </c>
      <c r="AA27" s="416">
        <f t="shared" ca="1" si="0"/>
        <v>0.10117165789209433</v>
      </c>
      <c r="AB27" s="418">
        <f t="shared" ca="1" si="1"/>
        <v>8.7784697641368932E-3</v>
      </c>
      <c r="AC27" s="417">
        <f t="shared" ca="1" si="3"/>
        <v>-2.1776521165292766E-4</v>
      </c>
      <c r="AD27" s="220"/>
      <c r="AE27" s="220">
        <f t="shared" ca="1" si="4"/>
        <v>1.244374137261286E-2</v>
      </c>
    </row>
    <row r="28" spans="1:31" customFormat="1" ht="1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2.1658966997136099E-4</v>
      </c>
      <c r="J28" s="403">
        <f ca="1"/>
        <v>3.68883125357523E-4</v>
      </c>
      <c r="K28" s="403">
        <f ca="1"/>
        <v>0.58714984525638403</v>
      </c>
      <c r="L28" s="403">
        <f ca="1"/>
        <v>0.58714984525638403</v>
      </c>
      <c r="M28" s="403">
        <f ca="1"/>
        <v>-9.5782104333037995E-4</v>
      </c>
      <c r="N28" s="684" t="str">
        <f ca="1"/>
        <v>COMPAGNIE DE SAINT-GOBAIN</v>
      </c>
      <c r="O28" s="403">
        <f ca="1"/>
        <v>0.69586514425866997</v>
      </c>
      <c r="P28" s="403">
        <f ca="1"/>
        <v>0.58681133523453899</v>
      </c>
      <c r="Q28" s="403">
        <f ca="1"/>
        <v>1.1858413470839699</v>
      </c>
      <c r="R28" s="441">
        <f ca="1"/>
        <v>1.1858413470839699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0.17177754185838001</v>
      </c>
      <c r="U28" s="413">
        <f ca="1"/>
        <v>0.21618934750976601</v>
      </c>
      <c r="V28" s="413">
        <f ca="1"/>
        <v>4.4411805651385902E-2</v>
      </c>
      <c r="W28" s="414">
        <f ca="1"/>
        <v>4.8678351248936401E-2</v>
      </c>
      <c r="X28" s="415">
        <f ca="1"/>
        <v>4.4411805651385903</v>
      </c>
      <c r="Y28" s="416">
        <f t="shared" ca="1" si="5"/>
        <v>8.7770975817623054E-2</v>
      </c>
      <c r="Z28" s="417">
        <f t="shared" ca="1" si="2"/>
        <v>-1.8975149992307393E-2</v>
      </c>
      <c r="AA28" s="416">
        <f t="shared" ca="1" si="0"/>
        <v>0.19571661508546134</v>
      </c>
      <c r="AB28" s="418">
        <f t="shared" ca="1" si="1"/>
        <v>4.6244433686489582E-2</v>
      </c>
      <c r="AC28" s="417">
        <f t="shared" ca="1" si="3"/>
        <v>-2.1155923656072965E-3</v>
      </c>
      <c r="AD28" s="220"/>
      <c r="AE28" s="220">
        <f t="shared" ca="1" si="4"/>
        <v>6.747191359152277E-3</v>
      </c>
    </row>
    <row r="29" spans="1:31" customFormat="1" ht="1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1.44977466340977E-4</v>
      </c>
      <c r="J29" s="403">
        <f ca="1"/>
        <v>4.6131329863246601E-4</v>
      </c>
      <c r="K29" s="403">
        <f ca="1"/>
        <v>0.31427116185627801</v>
      </c>
      <c r="L29" s="403">
        <f ca="1"/>
        <v>0.31427116185627801</v>
      </c>
      <c r="M29" s="403">
        <f ca="1"/>
        <v>-3.3275817979755602E-4</v>
      </c>
      <c r="N29" s="684" t="str">
        <f ca="1"/>
        <v>CONTINENTAL AKTIENGESELLSCHAFT</v>
      </c>
      <c r="O29" s="403">
        <f ca="1"/>
        <v>0.74277279242866001</v>
      </c>
      <c r="P29" s="403">
        <f ca="1"/>
        <v>0.74911320416126703</v>
      </c>
      <c r="Q29" s="403">
        <f ca="1"/>
        <v>0.99153611003332098</v>
      </c>
      <c r="R29" s="441">
        <f ca="1"/>
        <v>0.99153611003332098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9.3346930392990103E-4</v>
      </c>
      <c r="U29" s="413">
        <f ca="1"/>
        <v>4.74892712749308E-2</v>
      </c>
      <c r="V29" s="413">
        <f ca="1"/>
        <v>4.6555801971000899E-2</v>
      </c>
      <c r="W29" s="414">
        <f ca="1"/>
        <v>1.02005054718016E-2</v>
      </c>
      <c r="X29" s="415">
        <f ca="1"/>
        <v>4.6555801971000896</v>
      </c>
      <c r="Y29" s="416">
        <f t="shared" ca="1" si="5"/>
        <v>8.7770975817623054E-2</v>
      </c>
      <c r="Z29" s="417">
        <f t="shared" ca="1" si="2"/>
        <v>-4.1681796806684775E-3</v>
      </c>
      <c r="AA29" s="416">
        <f t="shared" ca="1" si="0"/>
        <v>0.10475705395209267</v>
      </c>
      <c r="AB29" s="418">
        <f t="shared" ca="1" si="1"/>
        <v>9.6904801982115197E-3</v>
      </c>
      <c r="AC29" s="417">
        <f t="shared" ca="1" si="3"/>
        <v>-2.4874180765467374E-4</v>
      </c>
      <c r="AD29" s="220"/>
      <c r="AE29" s="220">
        <f t="shared" ca="1" si="4"/>
        <v>1.1928414881360988E-2</v>
      </c>
    </row>
    <row r="30" spans="1:31" customFormat="1" ht="14.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1.49865703395134E-4</v>
      </c>
      <c r="J30" s="403">
        <f ca="1"/>
        <v>4.5847400525171199E-4</v>
      </c>
      <c r="K30" s="403">
        <f ca="1"/>
        <v>0.326879390496424</v>
      </c>
      <c r="L30" s="403">
        <f ca="1"/>
        <v>0.326879390496424</v>
      </c>
      <c r="M30" s="403">
        <f ca="1"/>
        <v>-3.6651654403092599E-4</v>
      </c>
      <c r="N30" s="684" t="str">
        <f ca="1"/>
        <v>GLENCORE INTERNATIONAL AG</v>
      </c>
      <c r="O30" s="403">
        <f ca="1"/>
        <v>0.74197373288382995</v>
      </c>
      <c r="P30" s="403">
        <f ca="1"/>
        <v>0.74409480302577702</v>
      </c>
      <c r="Q30" s="403">
        <f ca="1"/>
        <v>0.99714946249681902</v>
      </c>
      <c r="R30" s="441">
        <f ca="1"/>
        <v>0.99714946249681902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6.2159968149719004E-3</v>
      </c>
      <c r="U30" s="413">
        <f ca="1"/>
        <v>5.2707390037736397E-2</v>
      </c>
      <c r="V30" s="413">
        <f ca="1"/>
        <v>4.64913932227645E-2</v>
      </c>
      <c r="W30" s="414">
        <f ca="1"/>
        <v>1.1337020980461399E-2</v>
      </c>
      <c r="X30" s="415">
        <f ca="1"/>
        <v>4.6491393222764499</v>
      </c>
      <c r="Y30" s="416">
        <f t="shared" ca="1" si="5"/>
        <v>8.7770975817623054E-2</v>
      </c>
      <c r="Z30" s="417">
        <f t="shared" ca="1" si="2"/>
        <v>-4.6261790564121712E-3</v>
      </c>
      <c r="AA30" s="416">
        <f t="shared" ca="1" si="0"/>
        <v>0.10895979683214134</v>
      </c>
      <c r="AB30" s="418">
        <f t="shared" ca="1" si="1"/>
        <v>1.0770169931438329E-2</v>
      </c>
      <c r="AC30" s="417">
        <f t="shared" ca="1" si="3"/>
        <v>-2.8714932550320859E-4</v>
      </c>
      <c r="AD30" s="220"/>
      <c r="AE30" s="220">
        <f t="shared" ca="1" si="4"/>
        <v>1.1841340298915874E-2</v>
      </c>
    </row>
    <row r="31" spans="1:31" customFormat="1" ht="1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9.3467505315114599E-5</v>
      </c>
      <c r="J31" s="403">
        <f ca="1"/>
        <v>4.84684310365719E-4</v>
      </c>
      <c r="K31" s="403">
        <f ca="1"/>
        <v>0.19284202792656599</v>
      </c>
      <c r="L31" s="403">
        <f ca="1"/>
        <v>0.19284202792656599</v>
      </c>
      <c r="M31" s="403">
        <f ca="1"/>
        <v>-8.4091364296008404E-5</v>
      </c>
      <c r="N31" s="684" t="str">
        <f ca="1"/>
        <v>GSK PLC</v>
      </c>
      <c r="O31" s="403">
        <f ca="1"/>
        <v>0.74713707496113002</v>
      </c>
      <c r="P31" s="403">
        <f ca="1"/>
        <v>0.78331791453974098</v>
      </c>
      <c r="Q31" s="403">
        <f ca="1"/>
        <v>0.95381078498648897</v>
      </c>
      <c r="R31" s="441">
        <f ca="1"/>
        <v>0.95381078498648897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-3.5071488989201302E-2</v>
      </c>
      <c r="U31" s="413">
        <f ca="1"/>
        <v>1.2388627926844699E-2</v>
      </c>
      <c r="V31" s="413">
        <f ca="1"/>
        <v>4.7460116916046E-2</v>
      </c>
      <c r="W31" s="414">
        <f ca="1"/>
        <v>2.6103239376252399E-3</v>
      </c>
      <c r="X31" s="415">
        <f ca="1"/>
        <v>4.7460116916045996</v>
      </c>
      <c r="Y31" s="416">
        <f t="shared" ca="1" si="5"/>
        <v>8.7770975817623054E-2</v>
      </c>
      <c r="Z31" s="417">
        <f t="shared" ca="1" si="2"/>
        <v>-1.0873619621806197E-3</v>
      </c>
      <c r="AA31" s="416">
        <f t="shared" ca="1" si="0"/>
        <v>6.4280675975521992E-2</v>
      </c>
      <c r="AB31" s="418">
        <f t="shared" ca="1" si="1"/>
        <v>2.479807740743978E-3</v>
      </c>
      <c r="AC31" s="417">
        <f t="shared" ca="1" si="3"/>
        <v>-3.9817468877340473E-5</v>
      </c>
      <c r="AD31" s="220"/>
      <c r="AE31" s="220">
        <f t="shared" ca="1" si="4"/>
        <v>3.5556406595304538E-3</v>
      </c>
    </row>
    <row r="32" spans="1:31" customFormat="1" ht="1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1.36453599310719E-4</v>
      </c>
      <c r="J32" s="403">
        <f ca="1"/>
        <v>4.4944546632909001E-4</v>
      </c>
      <c r="K32" s="403">
        <f ca="1"/>
        <v>0.30360435143605602</v>
      </c>
      <c r="L32" s="403">
        <f ca="1"/>
        <v>0.30360435143605602</v>
      </c>
      <c r="M32" s="403">
        <f ca="1"/>
        <v>-3.0383406607826098E-4</v>
      </c>
      <c r="N32" s="684" t="str">
        <f ca="1"/>
        <v>HEIDELBERG MATERIALS AG</v>
      </c>
      <c r="O32" s="403">
        <f ca="1"/>
        <v>0.74341421130426</v>
      </c>
      <c r="P32" s="403">
        <f ca="1"/>
        <v>0.75331862503562597</v>
      </c>
      <c r="Q32" s="403">
        <f ca="1"/>
        <v>0.98685229144454301</v>
      </c>
      <c r="R32" s="441">
        <f ca="1"/>
        <v>0.98685229144454301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-3.4932895111852999E-3</v>
      </c>
      <c r="U32" s="413">
        <f ca="1"/>
        <v>4.3129925199571401E-2</v>
      </c>
      <c r="V32" s="413">
        <f ca="1"/>
        <v>4.66232147107567E-2</v>
      </c>
      <c r="W32" s="414">
        <f ca="1"/>
        <v>9.2507403162014508E-3</v>
      </c>
      <c r="X32" s="415">
        <f ca="1"/>
        <v>4.6623214710756704</v>
      </c>
      <c r="Y32" s="416">
        <f t="shared" ca="1" si="5"/>
        <v>8.7770975817623054E-2</v>
      </c>
      <c r="Z32" s="417">
        <f t="shared" ca="1" si="2"/>
        <v>-3.7855556217074688E-3</v>
      </c>
      <c r="AA32" s="416">
        <f t="shared" ca="1" si="0"/>
        <v>0.10120145047868534</v>
      </c>
      <c r="AB32" s="418">
        <f t="shared" ca="1" si="1"/>
        <v>8.7882033003913781E-3</v>
      </c>
      <c r="AC32" s="417">
        <f t="shared" ca="1" si="3"/>
        <v>-2.1824054946169126E-4</v>
      </c>
      <c r="AD32" s="220"/>
      <c r="AE32" s="220">
        <f t="shared" ca="1" si="4"/>
        <v>1.1740502045878629E-2</v>
      </c>
    </row>
    <row r="33" spans="1:31" customFormat="1" ht="14.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1.28128977828675E-4</v>
      </c>
      <c r="J33" s="403">
        <f ca="1"/>
        <v>4.5577563817515802E-4</v>
      </c>
      <c r="K33" s="403">
        <f ca="1"/>
        <v>0.28112291903463699</v>
      </c>
      <c r="L33" s="403">
        <f ca="1"/>
        <v>0.28112291903463699</v>
      </c>
      <c r="M33" s="403">
        <f ca="1"/>
        <v>-2.4892274724036301E-4</v>
      </c>
      <c r="N33" s="684" t="str">
        <f ca="1"/>
        <v>HOLCIM AG</v>
      </c>
      <c r="O33" s="403">
        <f ca="1"/>
        <v>0.74457216166525997</v>
      </c>
      <c r="P33" s="403">
        <f ca="1"/>
        <v>0.761103904118135</v>
      </c>
      <c r="Q33" s="403">
        <f ca="1"/>
        <v>0.97827925679604799</v>
      </c>
      <c r="R33" s="441">
        <f ca="1"/>
        <v>0.97827925679604799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-1.16883201243529E-2</v>
      </c>
      <c r="U33" s="413">
        <f ca="1"/>
        <v>3.5163749072916202E-2</v>
      </c>
      <c r="V33" s="413">
        <f ca="1"/>
        <v>4.68520691972691E-2</v>
      </c>
      <c r="W33" s="414">
        <f ca="1"/>
        <v>7.5052713093333003E-3</v>
      </c>
      <c r="X33" s="415">
        <f ca="1"/>
        <v>4.6852069197269097</v>
      </c>
      <c r="Y33" s="416">
        <f t="shared" ca="1" si="5"/>
        <v>8.7770975817623054E-2</v>
      </c>
      <c r="Z33" s="417">
        <f t="shared" ca="1" si="2"/>
        <v>-3.0863565695358952E-3</v>
      </c>
      <c r="AA33" s="416">
        <f t="shared" ca="1" si="0"/>
        <v>9.3707639678212329E-2</v>
      </c>
      <c r="AB33" s="418">
        <f t="shared" ca="1" si="1"/>
        <v>7.1300077438666348E-3</v>
      </c>
      <c r="AC33" s="417">
        <f t="shared" ca="1" si="3"/>
        <v>-1.6475559639299553E-4</v>
      </c>
      <c r="AD33" s="220"/>
      <c r="AE33" s="220">
        <f t="shared" ca="1" si="4"/>
        <v>9.4006488933574359E-3</v>
      </c>
    </row>
    <row r="34" spans="1:31" customFormat="1" ht="14.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8.5651498169592096E-5</v>
      </c>
      <c r="J34" s="403">
        <f ca="1"/>
        <v>4.8689407945509602E-4</v>
      </c>
      <c r="K34" s="403">
        <f ca="1"/>
        <v>0.175914026856618</v>
      </c>
      <c r="L34" s="403">
        <f ca="1"/>
        <v>0.175914026856618</v>
      </c>
      <c r="M34" s="403">
        <f ca="1"/>
        <v>-6.3035361083252296E-5</v>
      </c>
      <c r="N34" s="684" t="str">
        <f ca="1"/>
        <v>DSM B.V</v>
      </c>
      <c r="O34" s="403">
        <f ca="1"/>
        <v>0.74736964626607005</v>
      </c>
      <c r="P34" s="403">
        <f ca="1"/>
        <v>0.78612756335624701</v>
      </c>
      <c r="Q34" s="403">
        <f ca="1"/>
        <v>0.95069767440196795</v>
      </c>
      <c r="R34" s="441">
        <f ca="1"/>
        <v>0.95069767440196795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-3.8029014059207902E-2</v>
      </c>
      <c r="U34" s="413">
        <f ca="1"/>
        <v>9.5100488789100698E-3</v>
      </c>
      <c r="V34" s="413">
        <f ca="1"/>
        <v>4.7539062938118E-2</v>
      </c>
      <c r="W34" s="414">
        <f ca="1"/>
        <v>2.0004704113098298E-3</v>
      </c>
      <c r="X34" s="415">
        <f ca="1"/>
        <v>4.7539062938118004</v>
      </c>
      <c r="Y34" s="416">
        <f t="shared" ca="1" si="5"/>
        <v>8.7770975817623054E-2</v>
      </c>
      <c r="Z34" s="417">
        <f t="shared" ca="1" si="2"/>
        <v>-8.347062701752299E-4</v>
      </c>
      <c r="AA34" s="416">
        <f t="shared" ca="1" si="0"/>
        <v>5.8638008952206E-2</v>
      </c>
      <c r="AB34" s="418">
        <f t="shared" ca="1" si="1"/>
        <v>1.9004468907443382E-3</v>
      </c>
      <c r="AC34" s="417">
        <f t="shared" ca="1" si="3"/>
        <v>-2.7882516564872334E-5</v>
      </c>
      <c r="AD34" s="220"/>
      <c r="AE34" s="220">
        <f t="shared" ca="1" si="4"/>
        <v>2.7749806048590273E-3</v>
      </c>
    </row>
    <row r="35" spans="1:31" customFormat="1" ht="14.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8.6595897700654203E-5</v>
      </c>
      <c r="J35" s="403">
        <f ca="1"/>
        <v>4.8666922051471203E-4</v>
      </c>
      <c r="K35" s="403">
        <f ca="1"/>
        <v>0.17793584235524201</v>
      </c>
      <c r="L35" s="403">
        <f ca="1"/>
        <v>0.17793584235524201</v>
      </c>
      <c r="M35" s="403">
        <f ca="1"/>
        <v>-6.5384913749229096E-5</v>
      </c>
      <c r="N35" s="684" t="str">
        <f ca="1"/>
        <v>L'AIR LIQUIDE SOCIETE ANONYME POUR L'ETUDE ET L'EXPLOITATION DES PROCEDES GEORGES CLAUDE</v>
      </c>
      <c r="O35" s="403">
        <f ca="1"/>
        <v>0.74734619602777996</v>
      </c>
      <c r="P35" s="403">
        <f ca="1"/>
        <v>0.78581070044623103</v>
      </c>
      <c r="Q35" s="403">
        <f ca="1"/>
        <v>0.95105118268737199</v>
      </c>
      <c r="R35" s="441">
        <f ca="1"/>
        <v>0.95105118268737199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-3.7695474153927301E-2</v>
      </c>
      <c r="U35" s="413">
        <f ca="1"/>
        <v>9.8376124015643607E-3</v>
      </c>
      <c r="V35" s="413">
        <f ca="1"/>
        <v>4.7533086555491703E-2</v>
      </c>
      <c r="W35" s="414">
        <f ca="1"/>
        <v>2.0696346722781402E-3</v>
      </c>
      <c r="X35" s="415">
        <f ca="1"/>
        <v>4.7533086555491701</v>
      </c>
      <c r="Y35" s="416">
        <f t="shared" ca="1" si="5"/>
        <v>8.7770975817623054E-2</v>
      </c>
      <c r="Z35" s="417">
        <f t="shared" ca="1" si="2"/>
        <v>-8.6345684020085352E-4</v>
      </c>
      <c r="AA35" s="416">
        <f t="shared" ca="1" si="0"/>
        <v>5.9311947451747338E-2</v>
      </c>
      <c r="AB35" s="418">
        <f t="shared" ca="1" si="1"/>
        <v>1.9661529386642332E-3</v>
      </c>
      <c r="AC35" s="417">
        <f t="shared" ca="1" si="3"/>
        <v>-2.917439749061212E-5</v>
      </c>
      <c r="AD35" s="220"/>
      <c r="AE35" s="220">
        <f t="shared" ca="1" si="4"/>
        <v>2.8075274338623325E-3</v>
      </c>
    </row>
    <row r="36" spans="1:31" customFormat="1" ht="1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1.69627307645377E-4</v>
      </c>
      <c r="J36" s="403">
        <f ca="1"/>
        <v>4.3483917877440101E-4</v>
      </c>
      <c r="K36" s="403">
        <f ca="1"/>
        <v>0.39009205224670301</v>
      </c>
      <c r="L36" s="403">
        <f ca="1"/>
        <v>0.39009205224670301</v>
      </c>
      <c r="M36" s="403">
        <f ca="1"/>
        <v>-5.4243128226643105E-4</v>
      </c>
      <c r="N36" s="684" t="str">
        <f ca="1"/>
        <v>LANXESS AKTIENGESELLSCHAFT</v>
      </c>
      <c r="O36" s="403">
        <f ca="1"/>
        <v>0.73611488301451999</v>
      </c>
      <c r="P36" s="403">
        <f ca="1"/>
        <v>0.71521558470652502</v>
      </c>
      <c r="Q36" s="403">
        <f ca="1"/>
        <v>1.0292209772198599</v>
      </c>
      <c r="R36" s="441">
        <f ca="1"/>
        <v>1.0292209772198599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3.6615173993132001E-2</v>
      </c>
      <c r="U36" s="413">
        <f ca="1"/>
        <v>8.1947913970165598E-2</v>
      </c>
      <c r="V36" s="413">
        <f ca="1"/>
        <v>4.5332739977033597E-2</v>
      </c>
      <c r="W36" s="414">
        <f ca="1"/>
        <v>1.8076982333669198E-2</v>
      </c>
      <c r="X36" s="415">
        <f ca="1"/>
        <v>4.5332739977033603</v>
      </c>
      <c r="Y36" s="416">
        <f t="shared" ca="1" si="5"/>
        <v>8.7770975817623054E-2</v>
      </c>
      <c r="Z36" s="417">
        <f t="shared" ca="1" si="2"/>
        <v>-7.192648375380058E-3</v>
      </c>
      <c r="AA36" s="416">
        <f t="shared" ca="1" si="0"/>
        <v>0.13003068408223434</v>
      </c>
      <c r="AB36" s="418">
        <f t="shared" ca="1" si="1"/>
        <v>1.7173133216985739E-2</v>
      </c>
      <c r="AC36" s="417">
        <f t="shared" ca="1" si="3"/>
        <v>-5.3278716563263581E-4</v>
      </c>
      <c r="AD36" s="220"/>
      <c r="AE36" s="220">
        <f t="shared" ca="1" si="4"/>
        <v>2.6399727478320881E-2</v>
      </c>
    </row>
    <row r="37" spans="1:31" customFormat="1" ht="1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1.25456453140469E-4</v>
      </c>
      <c r="J37" s="403">
        <f ca="1"/>
        <v>4.5752968452472301E-4</v>
      </c>
      <c r="K37" s="403">
        <f ca="1"/>
        <v>0.27420396399152103</v>
      </c>
      <c r="L37" s="403">
        <f ca="1"/>
        <v>0.27420396399152103</v>
      </c>
      <c r="M37" s="403">
        <f ca="1"/>
        <v>-2.3309407931673099E-4</v>
      </c>
      <c r="N37" s="684" t="str">
        <f ca="1"/>
        <v>LEONARDO SOCIETA' PER AZIONI</v>
      </c>
      <c r="O37" s="403">
        <f ca="1"/>
        <v>0.74489531188643998</v>
      </c>
      <c r="P37" s="403">
        <f ca="1"/>
        <v>0.76330094508080104</v>
      </c>
      <c r="Q37" s="403">
        <f ca="1"/>
        <v>0.97588679365199404</v>
      </c>
      <c r="R37" s="441">
        <f ca="1"/>
        <v>0.97588679365199404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-1.4000994821895501E-2</v>
      </c>
      <c r="U37" s="413">
        <f ca="1"/>
        <v>3.2948519415091297E-2</v>
      </c>
      <c r="V37" s="413">
        <f ca="1"/>
        <v>4.6949514236986803E-2</v>
      </c>
      <c r="W37" s="414">
        <f ca="1"/>
        <v>7.0178616223327004E-3</v>
      </c>
      <c r="X37" s="415">
        <f ca="1"/>
        <v>4.6949514236986802</v>
      </c>
      <c r="Y37" s="416">
        <f t="shared" ca="1" si="5"/>
        <v>8.7770975817623054E-2</v>
      </c>
      <c r="Z37" s="417">
        <f t="shared" ca="1" si="2"/>
        <v>-2.8919237008084571E-3</v>
      </c>
      <c r="AA37" s="416">
        <f t="shared" ca="1" si="0"/>
        <v>9.1401321330507004E-2</v>
      </c>
      <c r="AB37" s="418">
        <f t="shared" ca="1" si="1"/>
        <v>6.6669685412160647E-3</v>
      </c>
      <c r="AC37" s="417">
        <f t="shared" ca="1" si="3"/>
        <v>-1.5057691052116042E-4</v>
      </c>
      <c r="AD37" s="220"/>
      <c r="AE37" s="220">
        <f t="shared" ca="1" si="4"/>
        <v>8.1133551841451653E-3</v>
      </c>
    </row>
    <row r="38" spans="1:31" customFormat="1" ht="1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1.1551016552882501E-4</v>
      </c>
      <c r="J38" s="403">
        <f ca="1"/>
        <v>4.7526882846075198E-4</v>
      </c>
      <c r="K38" s="403">
        <f ca="1"/>
        <v>0.24304174524326899</v>
      </c>
      <c r="L38" s="403">
        <f ca="1"/>
        <v>0.24304174524326899</v>
      </c>
      <c r="M38" s="403">
        <f ca="1"/>
        <v>-1.6739731134883599E-4</v>
      </c>
      <c r="N38" s="684" t="str">
        <f ca="1"/>
        <v>MERCEDES-BENZ GROUP AG</v>
      </c>
      <c r="O38" s="403">
        <f ca="1"/>
        <v>0.74600457878552995</v>
      </c>
      <c r="P38" s="403">
        <f ca="1"/>
        <v>0.77223723558804802</v>
      </c>
      <c r="Q38" s="403">
        <f ca="1"/>
        <v>0.96603031349227497</v>
      </c>
      <c r="R38" s="441">
        <f ca="1"/>
        <v>0.96603031349227497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-2.34076164084711E-2</v>
      </c>
      <c r="U38" s="413">
        <f ca="1"/>
        <v>2.37525582070412E-2</v>
      </c>
      <c r="V38" s="413">
        <f ca="1"/>
        <v>4.71601746155123E-2</v>
      </c>
      <c r="W38" s="414">
        <f ca="1"/>
        <v>5.03657130209782E-3</v>
      </c>
      <c r="X38" s="415">
        <f ca="1"/>
        <v>4.71601746155123</v>
      </c>
      <c r="Y38" s="416">
        <f t="shared" ca="1" si="5"/>
        <v>8.7770975817623054E-2</v>
      </c>
      <c r="Z38" s="417">
        <f t="shared" ca="1" si="2"/>
        <v>-2.0847852119968914E-3</v>
      </c>
      <c r="AA38" s="416">
        <f t="shared" ca="1" si="0"/>
        <v>8.1013915081089669E-2</v>
      </c>
      <c r="AB38" s="418">
        <f t="shared" ca="1" si="1"/>
        <v>4.7847427369929283E-3</v>
      </c>
      <c r="AC38" s="417">
        <f t="shared" ca="1" si="3"/>
        <v>-9.6214386677193734E-5</v>
      </c>
      <c r="AD38" s="220"/>
      <c r="AE38" s="220">
        <f t="shared" ca="1" si="4"/>
        <v>6.4121210767193026E-3</v>
      </c>
    </row>
    <row r="39" spans="1:31" customFormat="1" ht="14.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1.5554283792149699E-4</v>
      </c>
      <c r="J39" s="403">
        <f ca="1"/>
        <v>4.50854976536591E-4</v>
      </c>
      <c r="K39" s="403">
        <f ca="1"/>
        <v>0.344995277897023</v>
      </c>
      <c r="L39" s="403">
        <f ca="1"/>
        <v>0.344995277897023</v>
      </c>
      <c r="M39" s="403">
        <f ca="1"/>
        <v>-4.15271876935525E-4</v>
      </c>
      <c r="N39" s="684" t="str">
        <f ca="1"/>
        <v>POSTNL N.V.</v>
      </c>
      <c r="O39" s="403">
        <f ca="1"/>
        <v>0.74048759158586996</v>
      </c>
      <c r="P39" s="403">
        <f ca="1"/>
        <v>0.73652337862614303</v>
      </c>
      <c r="Q39" s="403">
        <f ca="1"/>
        <v>1.0053823314707599</v>
      </c>
      <c r="R39" s="441">
        <f ca="1"/>
        <v>1.0053823314707599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1.4185917235639001E-2</v>
      </c>
      <c r="U39" s="413">
        <f ca="1"/>
        <v>6.0223947855388503E-2</v>
      </c>
      <c r="V39" s="413">
        <f ca="1"/>
        <v>4.6038030619749502E-2</v>
      </c>
      <c r="W39" s="414">
        <f ca="1"/>
        <v>1.30813475391264E-2</v>
      </c>
      <c r="X39" s="415">
        <f ca="1"/>
        <v>4.6038030619749497</v>
      </c>
      <c r="Y39" s="416">
        <f t="shared" ca="1" si="5"/>
        <v>8.7770975817623054E-2</v>
      </c>
      <c r="Z39" s="417">
        <f t="shared" ca="1" si="2"/>
        <v>-5.2859146708571043E-3</v>
      </c>
      <c r="AA39" s="416">
        <f t="shared" ca="1" si="0"/>
        <v>0.11499842596567433</v>
      </c>
      <c r="AB39" s="418">
        <f t="shared" ca="1" si="1"/>
        <v>1.242728016217008E-2</v>
      </c>
      <c r="AC39" s="417">
        <f t="shared" ca="1" si="3"/>
        <v>-3.4628296044042674E-4</v>
      </c>
      <c r="AD39" s="220"/>
      <c r="AE39" s="220">
        <f t="shared" ca="1" si="4"/>
        <v>1.8522789330206995E-2</v>
      </c>
    </row>
    <row r="40" spans="1:31" customFormat="1" ht="14.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1.19109825078918E-4</v>
      </c>
      <c r="J40" s="403">
        <f ca="1"/>
        <v>4.6160030538566998E-4</v>
      </c>
      <c r="K40" s="403">
        <f ca="1"/>
        <v>0.25803671204116901</v>
      </c>
      <c r="L40" s="403">
        <f ca="1"/>
        <v>0.25803671204116901</v>
      </c>
      <c r="M40" s="403">
        <f ca="1"/>
        <v>-1.9715609132320701E-4</v>
      </c>
      <c r="N40" s="684" t="str">
        <f ca="1"/>
        <v>RENTOKIL INITIAL PLC</v>
      </c>
      <c r="O40" s="403">
        <f ca="1"/>
        <v>0.74550511763459004</v>
      </c>
      <c r="P40" s="403">
        <f ca="1"/>
        <v>0.76822269977011004</v>
      </c>
      <c r="Q40" s="403">
        <f ca="1"/>
        <v>0.97042838991568703</v>
      </c>
      <c r="R40" s="441">
        <f ca="1"/>
        <v>0.97042838991568703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-1.9181789231695098E-2</v>
      </c>
      <c r="U40" s="413">
        <f ca="1"/>
        <v>2.7842456894480599E-2</v>
      </c>
      <c r="V40" s="413">
        <f ca="1"/>
        <v>4.7024246126175701E-2</v>
      </c>
      <c r="W40" s="414">
        <f ca="1"/>
        <v>5.9208725685412598E-3</v>
      </c>
      <c r="X40" s="415">
        <f ca="1"/>
        <v>4.7024246126175697</v>
      </c>
      <c r="Y40" s="416">
        <f t="shared" ca="1" si="5"/>
        <v>8.7770975817623054E-2</v>
      </c>
      <c r="Z40" s="417">
        <f t="shared" ca="1" si="2"/>
        <v>-2.4437596107886712E-3</v>
      </c>
      <c r="AA40" s="416">
        <f t="shared" ca="1" si="0"/>
        <v>8.6012237347056333E-2</v>
      </c>
      <c r="AB40" s="418">
        <f t="shared" ca="1" si="1"/>
        <v>5.6248289401141967E-3</v>
      </c>
      <c r="AC40" s="417">
        <f t="shared" ca="1" si="3"/>
        <v>-1.1973960053666272E-4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1.02443415387805E-4</v>
      </c>
      <c r="J41" s="403">
        <f ca="1"/>
        <v>4.8146427893371101E-4</v>
      </c>
      <c r="K41" s="403">
        <f ca="1"/>
        <v>0.21277469559046899</v>
      </c>
      <c r="L41" s="403">
        <f ca="1"/>
        <v>0.21277469559046899</v>
      </c>
      <c r="M41" s="403">
        <f ca="1"/>
        <v>-1.13409458007756E-4</v>
      </c>
      <c r="N41" s="684" t="str">
        <f ca="1"/>
        <v>SANOFI</v>
      </c>
      <c r="O41" s="403">
        <f ca="1"/>
        <v>0.74677019048968996</v>
      </c>
      <c r="P41" s="403">
        <f ca="1"/>
        <v>0.77943259285962996</v>
      </c>
      <c r="Q41" s="403">
        <f ca="1"/>
        <v>0.95809464132093003</v>
      </c>
      <c r="R41" s="441">
        <f ca="1"/>
        <v>0.95809464132093003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-3.0981676694346899E-2</v>
      </c>
      <c r="U41" s="413">
        <f ca="1"/>
        <v>1.63597438095342E-2</v>
      </c>
      <c r="V41" s="413">
        <f ca="1"/>
        <v>4.7341420503881099E-2</v>
      </c>
      <c r="W41" s="414">
        <f ca="1"/>
        <v>3.4556934784398898E-3</v>
      </c>
      <c r="X41" s="415">
        <f ca="1"/>
        <v>4.73414205038811</v>
      </c>
      <c r="Y41" s="416">
        <f t="shared" ca="1" si="5"/>
        <v>8.7770975817623054E-2</v>
      </c>
      <c r="Z41" s="417">
        <f t="shared" ca="1" si="2"/>
        <v>-1.4359106782891381E-3</v>
      </c>
      <c r="AA41" s="416">
        <f t="shared" ca="1" si="0"/>
        <v>7.0924898530156336E-2</v>
      </c>
      <c r="AB41" s="418">
        <f t="shared" ca="1" si="1"/>
        <v>3.2829088045178952E-3</v>
      </c>
      <c r="AC41" s="417">
        <f t="shared" ca="1" si="3"/>
        <v>-5.8015658483528513E-5</v>
      </c>
      <c r="AD41" s="220"/>
      <c r="AE41" s="220">
        <f t="shared" ca="1" si="4"/>
        <v>4.8152010248986611E-3</v>
      </c>
    </row>
    <row r="42" spans="1:31" customFormat="1" ht="14.5">
      <c r="A42" s="220"/>
      <c r="B42" s="267">
        <v>4</v>
      </c>
      <c r="C42" s="68" t="s">
        <v>610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1.04008609316519E-4</v>
      </c>
      <c r="J42" s="403">
        <f ca="1"/>
        <v>4.8070890051058699E-4</v>
      </c>
      <c r="K42" s="403">
        <f ca="1"/>
        <v>0.21636505836702</v>
      </c>
      <c r="L42" s="403">
        <f ca="1"/>
        <v>0.21636505836702</v>
      </c>
      <c r="M42" s="403">
        <f ca="1"/>
        <v>-1.1910108074932E-4</v>
      </c>
      <c r="N42" s="684" t="str">
        <f ca="1"/>
        <v>SIEMENS AKTIENGESELLSCHAFT</v>
      </c>
      <c r="O42" s="403">
        <f ca="1"/>
        <v>0.74668207953129995</v>
      </c>
      <c r="P42" s="403">
        <f ca="1"/>
        <v>0.77868376468509104</v>
      </c>
      <c r="Q42" s="403">
        <f ca="1"/>
        <v>0.95890284785026603</v>
      </c>
      <c r="R42" s="441">
        <f ca="1"/>
        <v>0.95890284785026603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-3.0193436510622E-2</v>
      </c>
      <c r="U42" s="413">
        <f ca="1"/>
        <v>1.71019119827228E-2</v>
      </c>
      <c r="V42" s="413">
        <f ca="1"/>
        <v>4.7295348493344803E-2</v>
      </c>
      <c r="W42" s="414">
        <f ca="1"/>
        <v>3.6159818095281302E-3</v>
      </c>
      <c r="X42" s="415">
        <f ca="1"/>
        <v>4.7295348493344802</v>
      </c>
      <c r="Y42" s="416">
        <f t="shared" ca="1" si="5"/>
        <v>8.7770975817623054E-2</v>
      </c>
      <c r="Z42" s="417">
        <f t="shared" ca="1" si="2"/>
        <v>-1.5010515030706847E-3</v>
      </c>
      <c r="AA42" s="416">
        <f t="shared" ca="1" si="0"/>
        <v>7.2121686122340004E-2</v>
      </c>
      <c r="AB42" s="418">
        <f t="shared" ca="1" si="1"/>
        <v>3.4351827190517237E-3</v>
      </c>
      <c r="AC42" s="417">
        <f t="shared" ca="1" si="3"/>
        <v>-6.1670936405491109E-5</v>
      </c>
      <c r="AD42" s="220"/>
      <c r="AE42" s="220">
        <f t="shared" ca="1" si="4"/>
        <v>5.4984378813148728E-3</v>
      </c>
    </row>
    <row r="43" spans="1:31" customFormat="1" ht="14.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1.15624951370034E-4</v>
      </c>
      <c r="J43" s="403">
        <f ca="1"/>
        <v>4.75151645064738E-4</v>
      </c>
      <c r="K43" s="403">
        <f ca="1"/>
        <v>0.24334326224269001</v>
      </c>
      <c r="L43" s="403">
        <f ca="1"/>
        <v>0.24334326224269001</v>
      </c>
      <c r="M43" s="403">
        <f ca="1"/>
        <v>-1.67860161503639E-4</v>
      </c>
      <c r="N43" s="684" t="str">
        <f ca="1"/>
        <v>SMURFIT KAPPA ACQUISITIONS UNLIMITED COMPANY</v>
      </c>
      <c r="O43" s="403">
        <f ca="1"/>
        <v>0.74598442325553005</v>
      </c>
      <c r="P43" s="403">
        <f ca="1"/>
        <v>0.77217775542397504</v>
      </c>
      <c r="Q43" s="403">
        <f ca="1"/>
        <v>0.96607862375669795</v>
      </c>
      <c r="R43" s="441">
        <f ca="1"/>
        <v>0.96607862375669795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-2.3345005709447701E-2</v>
      </c>
      <c r="U43" s="413">
        <f ca="1"/>
        <v>2.3789095762786899E-2</v>
      </c>
      <c r="V43" s="413">
        <f ca="1"/>
        <v>4.7134101472234603E-2</v>
      </c>
      <c r="W43" s="414">
        <f ca="1"/>
        <v>5.0471092096240396E-3</v>
      </c>
      <c r="X43" s="415">
        <f ca="1"/>
        <v>4.7134101472234597</v>
      </c>
      <c r="Y43" s="416">
        <f t="shared" ca="1" si="5"/>
        <v>8.7770975817623054E-2</v>
      </c>
      <c r="Z43" s="417">
        <f t="shared" ca="1" si="2"/>
        <v>-2.0879921489186902E-3</v>
      </c>
      <c r="AA43" s="416">
        <f t="shared" ca="1" si="0"/>
        <v>8.1114420747563337E-2</v>
      </c>
      <c r="AB43" s="418">
        <f t="shared" ca="1" si="1"/>
        <v>4.7947537491428377E-3</v>
      </c>
      <c r="AC43" s="417">
        <f t="shared" ca="1" si="3"/>
        <v>-9.6481936145338711E-5</v>
      </c>
      <c r="AD43" s="220"/>
      <c r="AE43" s="220">
        <f t="shared" ca="1" si="4"/>
        <v>6.8927180689868474E-3</v>
      </c>
    </row>
    <row r="44" spans="1:31" customFormat="1" ht="14.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1.3342417463247299E-4</v>
      </c>
      <c r="J44" s="403">
        <f ca="1"/>
        <v>4.5196209833667797E-4</v>
      </c>
      <c r="K44" s="403">
        <f ca="1"/>
        <v>0.29521098145951602</v>
      </c>
      <c r="L44" s="403">
        <f ca="1"/>
        <v>0.29521098145951602</v>
      </c>
      <c r="M44" s="403">
        <f ca="1"/>
        <v>-2.8265300868861098E-4</v>
      </c>
      <c r="N44" s="684" t="str">
        <f ca="1"/>
        <v>SOLVAY</v>
      </c>
      <c r="O44" s="403">
        <f ca="1"/>
        <v>0.74384531399968001</v>
      </c>
      <c r="P44" s="403">
        <f ca="1"/>
        <v>0.75634392867849998</v>
      </c>
      <c r="Q44" s="403">
        <f ca="1"/>
        <v>0.98347495867302304</v>
      </c>
      <c r="R44" s="441">
        <f ca="1"/>
        <v>0.98347495867302304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-6.6778196615791003E-3</v>
      </c>
      <c r="U44" s="413">
        <f ca="1"/>
        <v>3.9976728196730801E-2</v>
      </c>
      <c r="V44" s="413">
        <f ca="1"/>
        <v>4.66545478583099E-2</v>
      </c>
      <c r="W44" s="414">
        <f ca="1"/>
        <v>8.5686669428541792E-3</v>
      </c>
      <c r="X44" s="415">
        <f ca="1"/>
        <v>4.66545478583099</v>
      </c>
      <c r="Y44" s="416">
        <f t="shared" ca="1" si="5"/>
        <v>8.7770975817623054E-2</v>
      </c>
      <c r="Z44" s="417">
        <f t="shared" ca="1" si="2"/>
        <v>-3.5087964438229513E-3</v>
      </c>
      <c r="AA44" s="416">
        <f t="shared" ca="1" si="0"/>
        <v>9.840366048650534E-2</v>
      </c>
      <c r="AB44" s="418">
        <f t="shared" ca="1" si="1"/>
        <v>8.1402335957114699E-3</v>
      </c>
      <c r="AC44" s="417">
        <f t="shared" ca="1" si="3"/>
        <v>-1.9669281944162043E-4</v>
      </c>
      <c r="AD44" s="220"/>
      <c r="AE44" s="220">
        <f t="shared" ca="1" si="4"/>
        <v>1.1930706155046307E-2</v>
      </c>
    </row>
    <row r="45" spans="1:31" customFormat="1" ht="14.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1.4702137685719901E-4</v>
      </c>
      <c r="J45" s="403">
        <f ca="1"/>
        <v>4.59179796950034E-4</v>
      </c>
      <c r="K45" s="403">
        <f ca="1"/>
        <v>0.32018259042262998</v>
      </c>
      <c r="L45" s="403">
        <f ca="1"/>
        <v>0.32018259042262998</v>
      </c>
      <c r="M45" s="403">
        <f ca="1"/>
        <v>-3.4811767178753299E-4</v>
      </c>
      <c r="N45" s="684" t="str">
        <f ca="1"/>
        <v>STELLANTIS N.V.</v>
      </c>
      <c r="O45" s="403">
        <f ca="1"/>
        <v>0.74236542325486998</v>
      </c>
      <c r="P45" s="403">
        <f ca="1"/>
        <v>0.74682942518422701</v>
      </c>
      <c r="Q45" s="403">
        <f ca="1"/>
        <v>0.99402272891396104</v>
      </c>
      <c r="R45" s="441">
        <f ca="1"/>
        <v>0.99402272891396104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3.3374471744979E-3</v>
      </c>
      <c r="U45" s="413">
        <f ca="1"/>
        <v>4.9774549118033203E-2</v>
      </c>
      <c r="V45" s="413">
        <f ca="1"/>
        <v>4.64371019435353E-2</v>
      </c>
      <c r="W45" s="414">
        <f ca="1"/>
        <v>1.0718702725798E-2</v>
      </c>
      <c r="X45" s="415">
        <f ca="1"/>
        <v>4.6437101943535302</v>
      </c>
      <c r="Y45" s="416">
        <f t="shared" ca="1" si="5"/>
        <v>8.7770975817623054E-2</v>
      </c>
      <c r="Z45" s="417">
        <f t="shared" ca="1" si="2"/>
        <v>-4.3687607469719784E-3</v>
      </c>
      <c r="AA45" s="416">
        <f t="shared" ca="1" si="0"/>
        <v>0.10672753014087666</v>
      </c>
      <c r="AB45" s="418">
        <f t="shared" ca="1" si="1"/>
        <v>1.0182767589508099E-2</v>
      </c>
      <c r="AC45" s="417">
        <f t="shared" ca="1" si="3"/>
        <v>-2.656157345621718E-4</v>
      </c>
      <c r="AD45" s="220"/>
      <c r="AE45" s="220">
        <f t="shared" ca="1" si="4"/>
        <v>1.3598828991641493E-2</v>
      </c>
    </row>
    <row r="46" spans="1:31" customFormat="1" ht="14.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1.3313645514176001E-4</v>
      </c>
      <c r="J46" s="403">
        <f ca="1"/>
        <v>4.5215769682936701E-4</v>
      </c>
      <c r="K46" s="403">
        <f ca="1"/>
        <v>0.29444695086546802</v>
      </c>
      <c r="L46" s="403">
        <f ca="1"/>
        <v>0.29444695086546802</v>
      </c>
      <c r="M46" s="403">
        <f ca="1"/>
        <v>-2.8082603089973901E-4</v>
      </c>
      <c r="N46" s="684" t="str">
        <f ca="1"/>
        <v>STORA ENSO OYJ</v>
      </c>
      <c r="O46" s="403">
        <f ca="1"/>
        <v>0.74389580802124</v>
      </c>
      <c r="P46" s="403">
        <f ca="1"/>
        <v>0.75660756021846498</v>
      </c>
      <c r="Q46" s="403">
        <f ca="1"/>
        <v>0.983199015096341</v>
      </c>
      <c r="R46" s="441">
        <f ca="1"/>
        <v>0.983199015096341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-6.9553265457528001E-3</v>
      </c>
      <c r="U46" s="413">
        <f ca="1"/>
        <v>3.9726003600096101E-2</v>
      </c>
      <c r="V46" s="413">
        <f ca="1"/>
        <v>4.6681330145848902E-2</v>
      </c>
      <c r="W46" s="414">
        <f ca="1"/>
        <v>8.5100410540955105E-3</v>
      </c>
      <c r="X46" s="415">
        <f ca="1"/>
        <v>4.6681330145848898</v>
      </c>
      <c r="Y46" s="416">
        <f t="shared" ca="1" si="5"/>
        <v>8.7770975817623054E-2</v>
      </c>
      <c r="Z46" s="417">
        <f t="shared" ca="1" si="2"/>
        <v>-3.4867901013148363E-3</v>
      </c>
      <c r="AA46" s="416">
        <f t="shared" ca="1" si="0"/>
        <v>9.8148983621822672E-2</v>
      </c>
      <c r="AB46" s="418">
        <f t="shared" ca="1" si="1"/>
        <v>8.0845390013907347E-3</v>
      </c>
      <c r="AC46" s="417">
        <f t="shared" ca="1" si="3"/>
        <v>-1.9495334383531489E-4</v>
      </c>
      <c r="AD46" s="220"/>
      <c r="AE46" s="220">
        <f t="shared" ca="1" si="4"/>
        <v>1.1488335708370656E-2</v>
      </c>
    </row>
    <row r="47" spans="1:31" customFormat="1" ht="14.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1.5401591182922399E-4</v>
      </c>
      <c r="J47" s="403">
        <f ca="1"/>
        <v>4.5366848976795997E-4</v>
      </c>
      <c r="K47" s="403">
        <f ca="1"/>
        <v>0.33948999170737898</v>
      </c>
      <c r="L47" s="403">
        <f ca="1"/>
        <v>0.33948999170737898</v>
      </c>
      <c r="M47" s="403">
        <f ca="1"/>
        <v>-4.0034540154641399E-4</v>
      </c>
      <c r="N47" s="684" t="str">
        <f ca="1"/>
        <v>UNIBAIL-RODAMCO-WESTFIELD SE</v>
      </c>
      <c r="O47" s="403">
        <f ca="1"/>
        <v>0.74099146111717995</v>
      </c>
      <c r="P47" s="403">
        <f ca="1"/>
        <v>0.73889707846025199</v>
      </c>
      <c r="Q47" s="403">
        <f ca="1"/>
        <v>1.00283447142773</v>
      </c>
      <c r="R47" s="441">
        <f ca="1"/>
        <v>1.00283447142773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1.1687285831313701E-2</v>
      </c>
      <c r="U47" s="413">
        <f ca="1"/>
        <v>5.7913044048241401E-2</v>
      </c>
      <c r="V47" s="413">
        <f ca="1"/>
        <v>4.6225758216927697E-2</v>
      </c>
      <c r="W47" s="414">
        <f ca="1"/>
        <v>1.2528305923391801E-2</v>
      </c>
      <c r="X47" s="415">
        <f ca="1"/>
        <v>4.6225758216927701</v>
      </c>
      <c r="Y47" s="416">
        <f t="shared" ca="1" si="5"/>
        <v>8.7770975817623054E-2</v>
      </c>
      <c r="Z47" s="417">
        <f t="shared" ca="1" si="2"/>
        <v>-5.0830843886831211E-3</v>
      </c>
      <c r="AA47" s="416">
        <f t="shared" ca="1" si="0"/>
        <v>0.11316333056912632</v>
      </c>
      <c r="AB47" s="418">
        <f t="shared" ca="1" si="1"/>
        <v>1.190189062722221E-2</v>
      </c>
      <c r="AC47" s="417">
        <f t="shared" ca="1" si="3"/>
        <v>-3.2768164739477518E-4</v>
      </c>
      <c r="AD47" s="220"/>
      <c r="AE47" s="220">
        <f t="shared" ca="1" si="4"/>
        <v>1.5556486156789014E-2</v>
      </c>
    </row>
    <row r="48" spans="1:31" customFormat="1" ht="14.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1.0042320682595E-4</v>
      </c>
      <c r="J48" s="403">
        <f ca="1"/>
        <v>4.8225647755969402E-4</v>
      </c>
      <c r="K48" s="403">
        <f ca="1"/>
        <v>0.20823609738558599</v>
      </c>
      <c r="L48" s="403">
        <f ca="1"/>
        <v>0.20823609738558599</v>
      </c>
      <c r="M48" s="403">
        <f ca="1"/>
        <v>-1.06299845844125E-4</v>
      </c>
      <c r="N48" s="684" t="str">
        <f ca="1"/>
        <v>VINCI</v>
      </c>
      <c r="O48" s="403">
        <f ca="1"/>
        <v>0.74686323115219999</v>
      </c>
      <c r="P48" s="403">
        <f ca="1"/>
        <v>0.78037443019116104</v>
      </c>
      <c r="Q48" s="403">
        <f ca="1"/>
        <v>0.95705753835277196</v>
      </c>
      <c r="R48" s="441">
        <f ca="1"/>
        <v>0.95705753835277196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-3.19730844117481E-2</v>
      </c>
      <c r="U48" s="413">
        <f ca="1"/>
        <v>1.53972682680035E-2</v>
      </c>
      <c r="V48" s="413">
        <f ca="1"/>
        <v>4.73703526797516E-2</v>
      </c>
      <c r="W48" s="414">
        <f ca="1"/>
        <v>3.2504018646635499E-3</v>
      </c>
      <c r="X48" s="415">
        <f ca="1"/>
        <v>4.7370352679751599</v>
      </c>
      <c r="Y48" s="416">
        <f t="shared" ca="1" si="5"/>
        <v>8.7770975817623054E-2</v>
      </c>
      <c r="Z48" s="417">
        <f t="shared" ca="1" si="2"/>
        <v>-1.3514332608083864E-3</v>
      </c>
      <c r="AA48" s="416">
        <f t="shared" ca="1" si="0"/>
        <v>6.9412032461861992E-2</v>
      </c>
      <c r="AB48" s="418">
        <f t="shared" ca="1" si="1"/>
        <v>3.0878817714303725E-3</v>
      </c>
      <c r="AC48" s="417">
        <f t="shared" ca="1" si="3"/>
        <v>-5.343778424213267E-5</v>
      </c>
      <c r="AD48" s="220"/>
      <c r="AE48" s="220">
        <f t="shared" ca="1" si="4"/>
        <v>4.5069228051163417E-3</v>
      </c>
    </row>
    <row r="49" spans="1:31" customFormat="1" ht="14.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1.3602225971583301E-4</v>
      </c>
      <c r="J49" s="403">
        <f ca="1"/>
        <v>4.4975715646221499E-4</v>
      </c>
      <c r="K49" s="403">
        <f ca="1"/>
        <v>0.30243489794755601</v>
      </c>
      <c r="L49" s="403">
        <f ca="1"/>
        <v>0.30243489794755601</v>
      </c>
      <c r="M49" s="403">
        <f ca="1"/>
        <v>-3.0097871043972498E-4</v>
      </c>
      <c r="N49" s="684" t="str">
        <f ca="1"/>
        <v>VOLKSWAGEN AKTIENGESELLSCHAFT</v>
      </c>
      <c r="O49" s="403">
        <f ca="1"/>
        <v>0.74349374511763999</v>
      </c>
      <c r="P49" s="403">
        <f ca="1"/>
        <v>0.753734228613549</v>
      </c>
      <c r="Q49" s="403">
        <f ca="1"/>
        <v>0.98641366796523799</v>
      </c>
      <c r="R49" s="441">
        <f ca="1"/>
        <v>0.98641366796523799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-3.9307669616303999E-3</v>
      </c>
      <c r="U49" s="413">
        <f ca="1"/>
        <v>4.2731276327074803E-2</v>
      </c>
      <c r="V49" s="413">
        <f ca="1"/>
        <v>4.6662043288705199E-2</v>
      </c>
      <c r="W49" s="414">
        <f ca="1"/>
        <v>9.1576093362842996E-3</v>
      </c>
      <c r="X49" s="415">
        <f ca="1"/>
        <v>4.6662043288705197</v>
      </c>
      <c r="Y49" s="416">
        <f t="shared" ca="1" si="5"/>
        <v>8.7770975817623054E-2</v>
      </c>
      <c r="Z49" s="417">
        <f t="shared" ca="1" si="2"/>
        <v>-3.7505658211598584E-3</v>
      </c>
      <c r="AA49" s="416">
        <f t="shared" ca="1" si="0"/>
        <v>0.10081163264918534</v>
      </c>
      <c r="AB49" s="418">
        <f t="shared" ca="1" si="1"/>
        <v>8.6997288694700848E-3</v>
      </c>
      <c r="AC49" s="417">
        <f t="shared" ca="1" si="3"/>
        <v>-2.1539048658579508E-4</v>
      </c>
      <c r="AD49" s="220"/>
      <c r="AE49" s="220">
        <f t="shared" ca="1" si="4"/>
        <v>1.1107602406648749E-2</v>
      </c>
    </row>
    <row r="50" spans="1:31" customFormat="1" ht="14.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1.2610024004786199E-4</v>
      </c>
      <c r="J50" s="403">
        <f ca="1"/>
        <v>4.5725600982477903E-4</v>
      </c>
      <c r="K50" s="403">
        <f ca="1"/>
        <v>0.27577601461418499</v>
      </c>
      <c r="L50" s="403">
        <f ca="1"/>
        <v>0.27577601461418499</v>
      </c>
      <c r="M50" s="403">
        <f ca="1"/>
        <v>-2.3627969057013099E-4</v>
      </c>
      <c r="N50" s="684" t="str">
        <f ca="1"/>
        <v>WENDEL</v>
      </c>
      <c r="O50" s="403">
        <f ca="1"/>
        <v>0.74478483527202</v>
      </c>
      <c r="P50" s="403">
        <f ca="1"/>
        <v>0.76285602240666095</v>
      </c>
      <c r="Q50" s="403">
        <f ca="1"/>
        <v>0.97631114312025802</v>
      </c>
      <c r="R50" s="441">
        <f ca="1"/>
        <v>0.97631114312025802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-1.3532655164906499E-2</v>
      </c>
      <c r="U50" s="413">
        <f ca="1"/>
        <v>3.33142917035779E-2</v>
      </c>
      <c r="V50" s="413">
        <f ca="1"/>
        <v>4.6846946868484403E-2</v>
      </c>
      <c r="W50" s="414">
        <f ca="1"/>
        <v>7.1113047766170603E-3</v>
      </c>
      <c r="X50" s="415">
        <f ca="1"/>
        <v>4.6846946868484398</v>
      </c>
      <c r="Y50" s="416">
        <f t="shared" ca="1" si="5"/>
        <v>8.7770975817623054E-2</v>
      </c>
      <c r="Z50" s="417">
        <f t="shared" ca="1" si="2"/>
        <v>-2.9240278914959739E-3</v>
      </c>
      <c r="AA50" s="416">
        <f t="shared" ca="1" si="0"/>
        <v>9.1925338204728327E-2</v>
      </c>
      <c r="AB50" s="418">
        <f t="shared" ca="1" si="1"/>
        <v>6.7557395377862072E-3</v>
      </c>
      <c r="AC50" s="417">
        <f t="shared" ca="1" si="3"/>
        <v>-1.5312137659511857E-4</v>
      </c>
      <c r="AD50" s="220"/>
      <c r="AE50" s="220">
        <f t="shared" ca="1" si="4"/>
        <v>9.9525264281402764E-3</v>
      </c>
    </row>
    <row r="51" spans="1:31" customFormat="1" ht="14.5">
      <c r="A51" s="220"/>
      <c r="B51" s="267">
        <v>13</v>
      </c>
      <c r="C51" s="68" t="s">
        <v>611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1.6824651101940601E-4</v>
      </c>
      <c r="J51" s="403">
        <f ca="1"/>
        <v>4.3780598022740899E-4</v>
      </c>
      <c r="K51" s="403">
        <f ca="1"/>
        <v>0.38429468444449699</v>
      </c>
      <c r="L51" s="403">
        <f ca="1"/>
        <v>0.38429468444449699</v>
      </c>
      <c r="M51" s="403">
        <f ca="1"/>
        <v>-5.2605748501536904E-4</v>
      </c>
      <c r="N51" s="684" t="str">
        <f ca="1"/>
        <v>AKTIEBOLAGET ELECTROLUX</v>
      </c>
      <c r="O51" s="403">
        <f ca="1"/>
        <v>0.73681110107517001</v>
      </c>
      <c r="P51" s="403">
        <f ca="1"/>
        <v>0.71816197438033103</v>
      </c>
      <c r="Q51" s="403">
        <f ca="1"/>
        <v>1.0259678559435399</v>
      </c>
      <c r="R51" s="441">
        <f ca="1"/>
        <v>1.0259678559435399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3.3513711178599401E-2</v>
      </c>
      <c r="U51" s="413">
        <f ca="1"/>
        <v>7.9025584350955302E-2</v>
      </c>
      <c r="V51" s="413">
        <f ca="1"/>
        <v>4.5511873172355902E-2</v>
      </c>
      <c r="W51" s="414">
        <f ca="1"/>
        <v>1.7363729251855E-2</v>
      </c>
      <c r="X51" s="415">
        <f ca="1"/>
        <v>4.5511873172355903</v>
      </c>
      <c r="Y51" s="416">
        <f t="shared" ca="1" si="5"/>
        <v>8.7770975817623054E-2</v>
      </c>
      <c r="Z51" s="417">
        <f t="shared" ca="1" si="2"/>
        <v>-6.9361526530412106E-3</v>
      </c>
      <c r="AA51" s="416">
        <f t="shared" ca="1" si="0"/>
        <v>0.12809822814816565</v>
      </c>
      <c r="AB51" s="418">
        <f t="shared" ca="1" si="1"/>
        <v>1.6495542789262248E-2</v>
      </c>
      <c r="AC51" s="417">
        <f t="shared" ca="1" si="3"/>
        <v>-5.0615186668653909E-4</v>
      </c>
      <c r="AD51" s="220"/>
      <c r="AE51" s="220">
        <f t="shared" ca="1" si="4"/>
        <v>2.3743884336878008E-2</v>
      </c>
    </row>
    <row r="52" spans="1:31" customFormat="1" ht="14.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1.08766361460799E-4</v>
      </c>
      <c r="J52" s="403">
        <f ca="1"/>
        <v>4.7869431707126897E-4</v>
      </c>
      <c r="K52" s="403">
        <f ca="1"/>
        <v>0.22721464947871001</v>
      </c>
      <c r="L52" s="403">
        <f ca="1"/>
        <v>0.22721464947871001</v>
      </c>
      <c r="M52" s="403">
        <f ca="1"/>
        <v>-1.3770703418934701E-4</v>
      </c>
      <c r="N52" s="684" t="str">
        <f ca="1"/>
        <v>ANHEUSER-BUSCH INBEV</v>
      </c>
      <c r="O52" s="403">
        <f ca="1"/>
        <v>0.74643320051077999</v>
      </c>
      <c r="P52" s="403">
        <f ca="1"/>
        <v>0.77620768337924295</v>
      </c>
      <c r="Q52" s="403">
        <f ca="1"/>
        <v>0.96164108716517904</v>
      </c>
      <c r="R52" s="441">
        <f ca="1"/>
        <v>0.96164108716517904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-2.75870351360448E-2</v>
      </c>
      <c r="U52" s="413">
        <f ca="1"/>
        <v>1.9654801857257102E-2</v>
      </c>
      <c r="V52" s="413">
        <f ca="1"/>
        <v>4.7241836993301901E-2</v>
      </c>
      <c r="W52" s="414">
        <f ca="1"/>
        <v>4.1604651952979301E-3</v>
      </c>
      <c r="X52" s="415">
        <f ca="1"/>
        <v>4.7241836993301902</v>
      </c>
      <c r="Y52" s="416">
        <f t="shared" ca="1" si="5"/>
        <v>8.7770975817623054E-2</v>
      </c>
      <c r="Z52" s="417">
        <f t="shared" ca="1" si="2"/>
        <v>-1.7251211385134837E-3</v>
      </c>
      <c r="AA52" s="416">
        <f t="shared" ca="1" si="0"/>
        <v>7.573821649290334E-2</v>
      </c>
      <c r="AB52" s="418">
        <f t="shared" ca="1" si="1"/>
        <v>3.9524419355330331E-3</v>
      </c>
      <c r="AC52" s="417">
        <f t="shared" ca="1" si="3"/>
        <v>-7.4430981909502929E-5</v>
      </c>
      <c r="AD52" s="220"/>
      <c r="AE52" s="220">
        <f t="shared" ca="1" si="4"/>
        <v>5.8802642682255039E-3</v>
      </c>
    </row>
    <row r="53" spans="1:31" customFormat="1" ht="14.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1.2575947021771199E-4</v>
      </c>
      <c r="J53" s="403">
        <f ca="1"/>
        <v>4.5742219171824401E-4</v>
      </c>
      <c r="K53" s="403">
        <f ca="1"/>
        <v>0.27493084615180902</v>
      </c>
      <c r="L53" s="403">
        <f ca="1"/>
        <v>0.27493084615180902</v>
      </c>
      <c r="M53" s="403">
        <f ca="1"/>
        <v>-2.34491301726832E-4</v>
      </c>
      <c r="N53" s="684" t="str">
        <f ca="1"/>
        <v>BRITISH AMERICAN TOBACCO P.L.C.</v>
      </c>
      <c r="O53" s="403">
        <f ca="1"/>
        <v>0.74484088012326</v>
      </c>
      <c r="P53" s="403">
        <f ca="1"/>
        <v>0.76310690218979604</v>
      </c>
      <c r="Q53" s="403">
        <f ca="1"/>
        <v>0.97606361308734002</v>
      </c>
      <c r="R53" s="441">
        <f ca="1"/>
        <v>0.97606361308734002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-1.37967391471532E-2</v>
      </c>
      <c r="U53" s="413">
        <f ca="1"/>
        <v>3.3095986580023197E-2</v>
      </c>
      <c r="V53" s="413">
        <f ca="1"/>
        <v>4.6892725727176399E-2</v>
      </c>
      <c r="W53" s="414">
        <f ca="1"/>
        <v>7.0578082350291997E-3</v>
      </c>
      <c r="X53" s="415">
        <f ca="1"/>
        <v>4.6892725727176403</v>
      </c>
      <c r="Y53" s="416">
        <f t="shared" ca="1" si="5"/>
        <v>8.7770975817623054E-2</v>
      </c>
      <c r="Z53" s="417">
        <f t="shared" ca="1" si="2"/>
        <v>-2.9048670377755867E-3</v>
      </c>
      <c r="AA53" s="416">
        <f t="shared" ca="1" si="0"/>
        <v>9.1643615383936339E-2</v>
      </c>
      <c r="AB53" s="418">
        <f t="shared" ca="1" si="1"/>
        <v>6.7049178232777397E-3</v>
      </c>
      <c r="AC53" s="417">
        <f t="shared" ca="1" si="3"/>
        <v>-1.5165179324457787E-4</v>
      </c>
      <c r="AD53" s="220"/>
      <c r="AE53" s="220">
        <f t="shared" ca="1" si="4"/>
        <v>9.1452418053781289E-3</v>
      </c>
    </row>
    <row r="54" spans="1:31" customFormat="1" ht="14.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9.8879381454377606E-5</v>
      </c>
      <c r="J54" s="403">
        <f ca="1"/>
        <v>4.8289793868937301E-4</v>
      </c>
      <c r="K54" s="403">
        <f ca="1"/>
        <v>0.20476248402042199</v>
      </c>
      <c r="L54" s="403">
        <f ca="1"/>
        <v>0.20476248402042199</v>
      </c>
      <c r="M54" s="403">
        <f ca="1"/>
        <v>-1.01114992312707E-4</v>
      </c>
      <c r="N54" s="684" t="str">
        <f ca="1"/>
        <v>CARLSBERG BREWERIES A/S</v>
      </c>
      <c r="O54" s="403">
        <f ca="1"/>
        <v>0.74693550857205004</v>
      </c>
      <c r="P54" s="403">
        <f ca="1"/>
        <v>0.78105641186060804</v>
      </c>
      <c r="Q54" s="403">
        <f ca="1"/>
        <v>0.95631441881736001</v>
      </c>
      <c r="R54" s="441">
        <f ca="1"/>
        <v>0.95631441881736001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-3.2690959853271202E-2</v>
      </c>
      <c r="U54" s="413">
        <f ca="1"/>
        <v>1.4712892820885601E-2</v>
      </c>
      <c r="V54" s="413">
        <f ca="1"/>
        <v>4.7403852674156803E-2</v>
      </c>
      <c r="W54" s="414">
        <f ca="1"/>
        <v>3.1037335555864202E-3</v>
      </c>
      <c r="X54" s="415">
        <f ca="1"/>
        <v>4.7403852674156797</v>
      </c>
      <c r="Y54" s="416">
        <f t="shared" ca="1" si="5"/>
        <v>8.7770975817623054E-2</v>
      </c>
      <c r="Z54" s="417">
        <f t="shared" ca="1" si="2"/>
        <v>-1.2913649599892256E-3</v>
      </c>
      <c r="AA54" s="416">
        <f t="shared" ca="1" si="0"/>
        <v>6.8254161340140659E-2</v>
      </c>
      <c r="AB54" s="418">
        <f t="shared" ca="1" si="1"/>
        <v>2.948546877807099E-3</v>
      </c>
      <c r="AC54" s="417">
        <f t="shared" ca="1" si="3"/>
        <v>-5.0210808018846055E-5</v>
      </c>
      <c r="AD54" s="220"/>
      <c r="AE54" s="220">
        <f t="shared" ca="1" si="4"/>
        <v>4.0453824002200925E-3</v>
      </c>
    </row>
    <row r="55" spans="1:31" customFormat="1" ht="14.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1.17234948913101E-4</v>
      </c>
      <c r="J55" s="403">
        <f ca="1"/>
        <v>4.7424636935034003E-4</v>
      </c>
      <c r="K55" s="403">
        <f ca="1"/>
        <v>0.247202628190277</v>
      </c>
      <c r="L55" s="403">
        <f ca="1"/>
        <v>0.247202628190277</v>
      </c>
      <c r="M55" s="403">
        <f ca="1"/>
        <v>-1.75633588170912E-4</v>
      </c>
      <c r="N55" s="684" t="str">
        <f ca="1"/>
        <v>CARREFOUR</v>
      </c>
      <c r="O55" s="403">
        <f ca="1"/>
        <v>0.74587394273968</v>
      </c>
      <c r="P55" s="403">
        <f ca="1"/>
        <v>0.77113072558648099</v>
      </c>
      <c r="Q55" s="403">
        <f ca="1"/>
        <v>0.96724708015285998</v>
      </c>
      <c r="R55" s="441">
        <f ca="1"/>
        <v>0.96724708015285998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-2.22428690384011E-2</v>
      </c>
      <c r="U55" s="413">
        <f ca="1"/>
        <v>2.4886042286488601E-2</v>
      </c>
      <c r="V55" s="413">
        <f ca="1"/>
        <v>4.7128911324889701E-2</v>
      </c>
      <c r="W55" s="414">
        <f ca="1"/>
        <v>5.2804195104218001E-3</v>
      </c>
      <c r="X55" s="415">
        <f ca="1"/>
        <v>4.71289113248897</v>
      </c>
      <c r="Y55" s="416">
        <f t="shared" ca="1" si="5"/>
        <v>8.7770975817623054E-2</v>
      </c>
      <c r="Z55" s="417">
        <f t="shared" ca="1" si="2"/>
        <v>-2.1842722157237398E-3</v>
      </c>
      <c r="AA55" s="416">
        <f t="shared" ca="1" si="0"/>
        <v>8.2400876063425665E-2</v>
      </c>
      <c r="AB55" s="418">
        <f t="shared" ca="1" si="1"/>
        <v>5.0163985349007097E-3</v>
      </c>
      <c r="AC55" s="417">
        <f t="shared" ca="1" si="3"/>
        <v>-1.0253158430790622E-4</v>
      </c>
      <c r="AD55" s="220"/>
      <c r="AE55" s="220">
        <f t="shared" ca="1" si="4"/>
        <v>6.7217784840054185E-3</v>
      </c>
    </row>
    <row r="56" spans="1:31" customFormat="1" ht="14.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9.0107533630128295E-5</v>
      </c>
      <c r="J56" s="403">
        <f ca="1"/>
        <v>4.8573878684479097E-4</v>
      </c>
      <c r="K56" s="403">
        <f ca="1"/>
        <v>0.185506152834611</v>
      </c>
      <c r="L56" s="403">
        <f ca="1"/>
        <v>0.185506152834611</v>
      </c>
      <c r="M56" s="403">
        <f ca="1"/>
        <v>-7.4590175563988805E-5</v>
      </c>
      <c r="N56" s="684" t="str">
        <f ca="1"/>
        <v>COMPASS GROUP PLC</v>
      </c>
      <c r="O56" s="403">
        <f ca="1"/>
        <v>0.74724865135669005</v>
      </c>
      <c r="P56" s="403">
        <f ca="1"/>
        <v>0.784577910439342</v>
      </c>
      <c r="Q56" s="403">
        <f ca="1"/>
        <v>0.95242122090622106</v>
      </c>
      <c r="R56" s="441">
        <f ca="1"/>
        <v>0.95242122090622106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-3.6397800462464797E-2</v>
      </c>
      <c r="U56" s="413">
        <f ca="1"/>
        <v>1.1105838742753201E-2</v>
      </c>
      <c r="V56" s="413">
        <f ca="1"/>
        <v>4.7503639205218003E-2</v>
      </c>
      <c r="W56" s="414">
        <f ca="1"/>
        <v>2.3378921970115601E-3</v>
      </c>
      <c r="X56" s="415">
        <f ca="1"/>
        <v>4.7503639205218002</v>
      </c>
      <c r="Y56" s="416">
        <f t="shared" ca="1" si="5"/>
        <v>8.7770975817623054E-2</v>
      </c>
      <c r="Z56" s="417">
        <f t="shared" ca="1" si="2"/>
        <v>-9.7477030372460885E-4</v>
      </c>
      <c r="AA56" s="416">
        <f t="shared" ca="1" si="0"/>
        <v>6.1835384278203669E-2</v>
      </c>
      <c r="AB56" s="418">
        <f t="shared" ca="1" si="1"/>
        <v>2.2209975871609819E-3</v>
      </c>
      <c r="AC56" s="417">
        <f t="shared" ca="1" si="3"/>
        <v>-3.4336690319495256E-5</v>
      </c>
      <c r="AD56" s="220"/>
      <c r="AE56" s="220">
        <f t="shared" ca="1" si="4"/>
        <v>3.0515750550505504E-3</v>
      </c>
    </row>
    <row r="57" spans="1:31" customFormat="1" ht="14.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1.0480253628329301E-4</v>
      </c>
      <c r="J57" s="403">
        <f ca="1"/>
        <v>4.8051658359360601E-4</v>
      </c>
      <c r="K57" s="403">
        <f ca="1"/>
        <v>0.21810389039960601</v>
      </c>
      <c r="L57" s="403">
        <f ca="1"/>
        <v>0.21810389039960601</v>
      </c>
      <c r="M57" s="403">
        <f ca="1"/>
        <v>-1.2212186088488E-4</v>
      </c>
      <c r="N57" s="684" t="str">
        <f ca="1"/>
        <v>DANONE</v>
      </c>
      <c r="O57" s="403">
        <f ca="1"/>
        <v>0.74665635814064002</v>
      </c>
      <c r="P57" s="403">
        <f ca="1"/>
        <v>0.77827581352220898</v>
      </c>
      <c r="Q57" s="403">
        <f ca="1"/>
        <v>0.95937242962945202</v>
      </c>
      <c r="R57" s="441">
        <f ca="1"/>
        <v>0.95937242962945202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-2.97640142339037E-2</v>
      </c>
      <c r="U57" s="413">
        <f ca="1"/>
        <v>1.7548993684968001E-2</v>
      </c>
      <c r="V57" s="413">
        <f ca="1"/>
        <v>4.7313007918871698E-2</v>
      </c>
      <c r="W57" s="414">
        <f ca="1"/>
        <v>3.7091266137759698E-3</v>
      </c>
      <c r="X57" s="415">
        <f ca="1"/>
        <v>4.7313007918871701</v>
      </c>
      <c r="Y57" s="416">
        <f t="shared" ca="1" si="5"/>
        <v>8.7770975817623054E-2</v>
      </c>
      <c r="Z57" s="417">
        <f t="shared" ca="1" si="2"/>
        <v>-1.540292300346948E-3</v>
      </c>
      <c r="AA57" s="416">
        <f t="shared" ca="1" si="0"/>
        <v>7.270129679986867E-2</v>
      </c>
      <c r="AB57" s="418">
        <f t="shared" ca="1" si="1"/>
        <v>3.5236702830871713E-3</v>
      </c>
      <c r="AC57" s="417">
        <f t="shared" ca="1" si="3"/>
        <v>-6.3791729921494056E-5</v>
      </c>
      <c r="AD57" s="220"/>
      <c r="AE57" s="220">
        <f t="shared" ca="1" si="4"/>
        <v>5.0584720067240758E-3</v>
      </c>
    </row>
    <row r="58" spans="1:31" customFormat="1" ht="14.5">
      <c r="A58" s="220"/>
      <c r="B58" s="267">
        <v>20</v>
      </c>
      <c r="C58" s="68" t="s">
        <v>612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1.9405492389276799E-4</v>
      </c>
      <c r="J58" s="403">
        <f ca="1"/>
        <v>4.21665353711499E-4</v>
      </c>
      <c r="K58" s="403">
        <f ca="1"/>
        <v>0.46021073864546003</v>
      </c>
      <c r="L58" s="403">
        <f ca="1"/>
        <v>0.46021073864546003</v>
      </c>
      <c r="M58" s="403">
        <f ca="1"/>
        <v>-7.3963690710716196E-4</v>
      </c>
      <c r="N58" s="684" t="str">
        <f ca="1"/>
        <v>DIAGEO PLC</v>
      </c>
      <c r="O58" s="403">
        <f ca="1"/>
        <v>0.72645387836771003</v>
      </c>
      <c r="P58" s="403">
        <f ca="1"/>
        <v>0.67402236669386595</v>
      </c>
      <c r="Q58" s="403">
        <f ca="1"/>
        <v>1.0777889789192401</v>
      </c>
      <c r="R58" s="441">
        <f ca="1"/>
        <v>1.0777889789192401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7.9976456111720107E-2</v>
      </c>
      <c r="U58" s="413">
        <f ca="1"/>
        <v>0.125876541781095</v>
      </c>
      <c r="V58" s="413">
        <f ca="1"/>
        <v>4.5900085669374903E-2</v>
      </c>
      <c r="W58" s="414">
        <f ca="1"/>
        <v>2.7424031991530901E-2</v>
      </c>
      <c r="X58" s="415">
        <f ca="1"/>
        <v>4.5900085669374899</v>
      </c>
      <c r="Y58" s="416">
        <f t="shared" ca="1" si="5"/>
        <v>8.7770975817623054E-2</v>
      </c>
      <c r="Z58" s="417">
        <f t="shared" ca="1" si="2"/>
        <v>-1.1048306904674475E-2</v>
      </c>
      <c r="AA58" s="416">
        <f t="shared" ca="1" si="0"/>
        <v>0.15340357954848668</v>
      </c>
      <c r="AB58" s="418">
        <f t="shared" ca="1" si="1"/>
        <v>2.6052830391954353E-2</v>
      </c>
      <c r="AC58" s="417">
        <f t="shared" ca="1" si="3"/>
        <v>-9.6549560452022936E-4</v>
      </c>
      <c r="AD58" s="220"/>
      <c r="AE58" s="220">
        <f t="shared" ca="1" si="4"/>
        <v>3.9572105798336759E-3</v>
      </c>
    </row>
    <row r="59" spans="1:31" customFormat="1" ht="14.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1.8441767632081099E-4</v>
      </c>
      <c r="J59" s="403">
        <f ca="1"/>
        <v>4.0933690435776299E-4</v>
      </c>
      <c r="K59" s="403">
        <f ca="1"/>
        <v>0.450527852137243</v>
      </c>
      <c r="L59" s="403">
        <f ca="1"/>
        <v>0.450527852137243</v>
      </c>
      <c r="M59" s="403">
        <f ca="1"/>
        <v>-7.0898341602549004E-4</v>
      </c>
      <c r="N59" s="684" t="str">
        <f ca="1"/>
        <v>ELO</v>
      </c>
      <c r="O59" s="403">
        <f ca="1"/>
        <v>0.72778876091656997</v>
      </c>
      <c r="P59" s="403">
        <f ca="1"/>
        <v>0.68180259047712799</v>
      </c>
      <c r="Q59" s="403">
        <f ca="1"/>
        <v>1.0674479256631499</v>
      </c>
      <c r="R59" s="441">
        <f ca="1"/>
        <v>1.0674479256631499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7.1786746866181195E-2</v>
      </c>
      <c r="U59" s="413">
        <f ca="1"/>
        <v>0.115950241898314</v>
      </c>
      <c r="V59" s="413">
        <f ca="1"/>
        <v>4.41634950321328E-2</v>
      </c>
      <c r="W59" s="414">
        <f ca="1"/>
        <v>2.6254770328740899E-2</v>
      </c>
      <c r="X59" s="415">
        <f ca="1"/>
        <v>4.4163495032132802</v>
      </c>
      <c r="Y59" s="416">
        <f t="shared" ca="1" si="5"/>
        <v>8.7770975817623054E-2</v>
      </c>
      <c r="Z59" s="417">
        <f t="shared" ca="1" si="2"/>
        <v>-1.0177065877704429E-2</v>
      </c>
      <c r="AA59" s="416">
        <f t="shared" ca="1" si="0"/>
        <v>0.15017595071241432</v>
      </c>
      <c r="AB59" s="418">
        <f t="shared" ca="1" si="1"/>
        <v>2.4942031812303853E-2</v>
      </c>
      <c r="AC59" s="417">
        <f t="shared" ca="1" si="3"/>
        <v>-8.7064689062068461E-4</v>
      </c>
      <c r="AD59" s="220"/>
      <c r="AE59" s="220">
        <f t="shared" ca="1" si="4"/>
        <v>3.9921411516586777E-2</v>
      </c>
    </row>
    <row r="60" spans="1:31" customFormat="1" ht="14.5">
      <c r="A60" s="220"/>
      <c r="B60" s="267">
        <v>22</v>
      </c>
      <c r="C60" s="68" t="s">
        <v>613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1.00071893950404E-4</v>
      </c>
      <c r="J60" s="403">
        <f ca="1"/>
        <v>4.8244309698950599E-4</v>
      </c>
      <c r="K60" s="403">
        <f ca="1"/>
        <v>0.20742735169155199</v>
      </c>
      <c r="L60" s="403">
        <f ca="1"/>
        <v>0.20742735169155199</v>
      </c>
      <c r="M60" s="403">
        <f ca="1"/>
        <v>-1.05128455494224E-4</v>
      </c>
      <c r="N60" s="684" t="str">
        <f ca="1"/>
        <v>HEINEKEN N.V.</v>
      </c>
      <c r="O60" s="403">
        <f ca="1"/>
        <v>0.74688350936731995</v>
      </c>
      <c r="P60" s="403">
        <f ca="1"/>
        <v>0.78052581577513003</v>
      </c>
      <c r="Q60" s="403">
        <f ca="1"/>
        <v>0.95689789405056302</v>
      </c>
      <c r="R60" s="441">
        <f ca="1"/>
        <v>0.95689789405056302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-3.2132437658032101E-2</v>
      </c>
      <c r="U60" s="413">
        <f ca="1"/>
        <v>1.52532669484391E-2</v>
      </c>
      <c r="V60" s="413">
        <f ca="1"/>
        <v>4.73857046064712E-2</v>
      </c>
      <c r="W60" s="414">
        <f ca="1"/>
        <v>3.2189596155875301E-3</v>
      </c>
      <c r="X60" s="415">
        <f ca="1"/>
        <v>4.7385704606471197</v>
      </c>
      <c r="Y60" s="416">
        <f t="shared" ca="1" si="5"/>
        <v>8.7770975817623054E-2</v>
      </c>
      <c r="Z60" s="417">
        <f t="shared" ca="1" si="2"/>
        <v>-1.3387941244711952E-3</v>
      </c>
      <c r="AA60" s="416">
        <f t="shared" ca="1" si="0"/>
        <v>6.9142450563850669E-2</v>
      </c>
      <c r="AB60" s="418">
        <f t="shared" ca="1" si="1"/>
        <v>3.0580116348081533E-3</v>
      </c>
      <c r="AC60" s="417">
        <f t="shared" ca="1" si="3"/>
        <v>-5.2732412795983413E-5</v>
      </c>
      <c r="AD60" s="220"/>
      <c r="AE60" s="220">
        <f t="shared" ca="1" si="4"/>
        <v>4.2541611656394997E-3</v>
      </c>
    </row>
    <row r="61" spans="1:31" customFormat="1" ht="14.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8.7532891766661805E-5</v>
      </c>
      <c r="J61" s="403">
        <f ca="1"/>
        <v>4.8634726088066601E-4</v>
      </c>
      <c r="K61" s="403">
        <f ca="1"/>
        <v>0.17998022978099901</v>
      </c>
      <c r="L61" s="403">
        <f ca="1"/>
        <v>0.17998022978099901</v>
      </c>
      <c r="M61" s="403">
        <f ca="1"/>
        <v>-6.7707949748876394E-5</v>
      </c>
      <c r="N61" s="684" t="str">
        <f ca="1"/>
        <v>HENKEL AG &amp; CO. KGAA</v>
      </c>
      <c r="O61" s="403">
        <f ca="1"/>
        <v>0.74731609309929004</v>
      </c>
      <c r="P61" s="403">
        <f ca="1"/>
        <v>0.78550675465782405</v>
      </c>
      <c r="Q61" s="403">
        <f ca="1"/>
        <v>0.95138086167677804</v>
      </c>
      <c r="R61" s="441">
        <f ca="1"/>
        <v>0.95138086167677804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-3.7375531218761901E-2</v>
      </c>
      <c r="U61" s="413">
        <f ca="1"/>
        <v>1.0137172872672301E-2</v>
      </c>
      <c r="V61" s="413">
        <f ca="1"/>
        <v>4.7512704091434203E-2</v>
      </c>
      <c r="W61" s="414">
        <f ca="1"/>
        <v>2.1335710241126501E-3</v>
      </c>
      <c r="X61" s="415">
        <f ca="1"/>
        <v>4.7512704091434204</v>
      </c>
      <c r="Y61" s="416">
        <f t="shared" ca="1" si="5"/>
        <v>8.7770975817623054E-2</v>
      </c>
      <c r="Z61" s="417">
        <f t="shared" ca="1" si="2"/>
        <v>-8.897495550663811E-4</v>
      </c>
      <c r="AA61" s="416">
        <f t="shared" ca="1" si="0"/>
        <v>5.9993409926999669E-2</v>
      </c>
      <c r="AB61" s="418">
        <f t="shared" ca="1" si="1"/>
        <v>2.0268924729070176E-3</v>
      </c>
      <c r="AC61" s="417">
        <f t="shared" ca="1" si="3"/>
        <v>-3.0408178382554402E-5</v>
      </c>
      <c r="AD61" s="220"/>
      <c r="AE61" s="220">
        <f t="shared" ca="1" si="4"/>
        <v>3.1166384524504596E-3</v>
      </c>
    </row>
    <row r="62" spans="1:31" customFormat="1" ht="14.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1.30139296587908E-4</v>
      </c>
      <c r="J62" s="403">
        <f ca="1"/>
        <v>4.5439826170451901E-4</v>
      </c>
      <c r="K62" s="403">
        <f ca="1"/>
        <v>0.286399195498097</v>
      </c>
      <c r="L62" s="403">
        <f ca="1"/>
        <v>0.286399195498097</v>
      </c>
      <c r="M62" s="403">
        <f ca="1"/>
        <v>-2.6129357241237499E-4</v>
      </c>
      <c r="N62" s="684" t="str">
        <f ca="1"/>
        <v>IMPERIAL BRANDS PLC</v>
      </c>
      <c r="O62" s="403">
        <f ca="1"/>
        <v>0.74430545615681998</v>
      </c>
      <c r="P62" s="403">
        <f ca="1"/>
        <v>0.75936916866663495</v>
      </c>
      <c r="Q62" s="403">
        <f ca="1"/>
        <v>0.980162860000933</v>
      </c>
      <c r="R62" s="441">
        <f ca="1"/>
        <v>0.980162860000933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-9.8622828069840004E-3</v>
      </c>
      <c r="U62" s="413">
        <f ca="1"/>
        <v>3.6905165127975897E-2</v>
      </c>
      <c r="V62" s="413">
        <f ca="1"/>
        <v>4.6767447934959898E-2</v>
      </c>
      <c r="W62" s="414">
        <f ca="1"/>
        <v>7.8912078288514691E-3</v>
      </c>
      <c r="X62" s="415">
        <f ca="1"/>
        <v>4.67674479349599</v>
      </c>
      <c r="Y62" s="416">
        <f t="shared" ca="1" si="5"/>
        <v>8.7770975817623054E-2</v>
      </c>
      <c r="Z62" s="417">
        <f t="shared" ca="1" si="2"/>
        <v>-3.2392023559929587E-3</v>
      </c>
      <c r="AA62" s="416">
        <f t="shared" ca="1" si="0"/>
        <v>9.5466398499365668E-2</v>
      </c>
      <c r="AB62" s="418">
        <f t="shared" ca="1" si="1"/>
        <v>7.4966474374088951E-3</v>
      </c>
      <c r="AC62" s="417">
        <f t="shared" ca="1" si="3"/>
        <v>-1.7616016003961231E-4</v>
      </c>
      <c r="AD62" s="220"/>
      <c r="AE62" s="220">
        <f t="shared" ca="1" si="4"/>
        <v>1.0563625905184244E-2</v>
      </c>
    </row>
    <row r="63" spans="1:31" customFormat="1" ht="14.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1.1108084894490199E-4</v>
      </c>
      <c r="J63" s="403">
        <f ca="1"/>
        <v>4.77582544099146E-4</v>
      </c>
      <c r="K63" s="403">
        <f ca="1"/>
        <v>0.232589842986057</v>
      </c>
      <c r="L63" s="403">
        <f ca="1"/>
        <v>0.232589842986057</v>
      </c>
      <c r="M63" s="403">
        <f ca="1"/>
        <v>-1.47426092060128E-4</v>
      </c>
      <c r="N63" s="684" t="str">
        <f ca="1"/>
        <v>KERING</v>
      </c>
      <c r="O63" s="403">
        <f ca="1"/>
        <v>0.74629398620247001</v>
      </c>
      <c r="P63" s="403">
        <f ca="1"/>
        <v>0.774912146766358</v>
      </c>
      <c r="Q63" s="403">
        <f ca="1"/>
        <v>0.96306915476378996</v>
      </c>
      <c r="R63" s="441">
        <f ca="1"/>
        <v>0.96306915476378996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-2.6223312385639502E-2</v>
      </c>
      <c r="U63" s="413">
        <f ca="1"/>
        <v>2.09853245591438E-2</v>
      </c>
      <c r="V63" s="413">
        <f ca="1"/>
        <v>4.7208636944783298E-2</v>
      </c>
      <c r="W63" s="414">
        <f ca="1"/>
        <v>4.4452299234330602E-3</v>
      </c>
      <c r="X63" s="415">
        <f ca="1"/>
        <v>4.7208636944783304</v>
      </c>
      <c r="Y63" s="416">
        <f t="shared" ca="1" si="5"/>
        <v>8.7770975817623054E-2</v>
      </c>
      <c r="Z63" s="417">
        <f t="shared" ca="1" si="2"/>
        <v>-1.8419024144055835E-3</v>
      </c>
      <c r="AA63" s="416">
        <f t="shared" ca="1" si="0"/>
        <v>7.7529947662018997E-2</v>
      </c>
      <c r="AB63" s="418">
        <f t="shared" ca="1" si="1"/>
        <v>4.2229684272614074E-3</v>
      </c>
      <c r="AC63" s="417">
        <f t="shared" ca="1" si="3"/>
        <v>-8.134955573704507E-5</v>
      </c>
      <c r="AD63" s="220"/>
      <c r="AE63" s="220">
        <f t="shared" ca="1" si="4"/>
        <v>6.1786218882621067E-3</v>
      </c>
    </row>
    <row r="64" spans="1:31" customFormat="1" ht="14.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2.0054039397929399E-4</v>
      </c>
      <c r="J64" s="403">
        <f ca="1"/>
        <v>4.1155696700954301E-4</v>
      </c>
      <c r="K64" s="403">
        <f ca="1"/>
        <v>0.487272504305932</v>
      </c>
      <c r="L64" s="403">
        <f ca="1"/>
        <v>0.487272504305932</v>
      </c>
      <c r="M64" s="403">
        <f ca="1"/>
        <v>-8.0303974889742104E-4</v>
      </c>
      <c r="N64" s="684" t="str">
        <f ca="1"/>
        <v>KONINKLIJKE AHOLD DELHAIZE N.V.</v>
      </c>
      <c r="O64" s="403">
        <f ca="1"/>
        <v>0.72145848344022001</v>
      </c>
      <c r="P64" s="403">
        <f ca="1"/>
        <v>0.657052127863192</v>
      </c>
      <c r="Q64" s="403">
        <f ca="1"/>
        <v>1.0980232052310399</v>
      </c>
      <c r="R64" s="441">
        <f ca="1"/>
        <v>1.0980232052310399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9.7839865407166104E-2</v>
      </c>
      <c r="U64" s="413">
        <f ca="1"/>
        <v>0.14346748645794</v>
      </c>
      <c r="V64" s="413">
        <f ca="1"/>
        <v>4.5627621050773899E-2</v>
      </c>
      <c r="W64" s="414">
        <f ca="1"/>
        <v>3.1443122204046298E-2</v>
      </c>
      <c r="X64" s="415">
        <f ca="1"/>
        <v>4.5627621050773897</v>
      </c>
      <c r="Y64" s="416">
        <f t="shared" ca="1" si="5"/>
        <v>8.7770975817623054E-2</v>
      </c>
      <c r="Z64" s="417">
        <f t="shared" ca="1" si="2"/>
        <v>-1.2592281284515006E-2</v>
      </c>
      <c r="AA64" s="416">
        <f t="shared" ca="1" si="0"/>
        <v>0.16242416810197732</v>
      </c>
      <c r="AB64" s="418">
        <f t="shared" ca="1" si="1"/>
        <v>2.987096609384398E-2</v>
      </c>
      <c r="AC64" s="417">
        <f t="shared" ca="1" si="3"/>
        <v>-1.1651293568806314E-3</v>
      </c>
      <c r="AD64" s="220"/>
      <c r="AE64" s="220">
        <f t="shared" ca="1" si="4"/>
        <v>4.3422914220592043E-3</v>
      </c>
    </row>
    <row r="65" spans="1:31" customFormat="1" ht="14.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1.16390823604306E-4</v>
      </c>
      <c r="J65" s="403">
        <f ca="1"/>
        <v>4.7467197499325499E-4</v>
      </c>
      <c r="K65" s="403">
        <f ca="1"/>
        <v>0.245202644638879</v>
      </c>
      <c r="L65" s="403">
        <f ca="1"/>
        <v>0.245202644638879</v>
      </c>
      <c r="M65" s="403">
        <f ca="1"/>
        <v>-1.71457097473491E-4</v>
      </c>
      <c r="N65" s="684" t="str">
        <f ca="1"/>
        <v>KONINKLIJKE PHILIPS N.V.</v>
      </c>
      <c r="O65" s="403">
        <f ca="1"/>
        <v>0.74591929045710004</v>
      </c>
      <c r="P65" s="403">
        <f ca="1"/>
        <v>0.77169555444451898</v>
      </c>
      <c r="Q65" s="403">
        <f ca="1"/>
        <v>0.96659788456864504</v>
      </c>
      <c r="R65" s="441">
        <f ca="1"/>
        <v>0.96659788456864504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-2.28374257310727E-2</v>
      </c>
      <c r="U65" s="413">
        <f ca="1"/>
        <v>2.42676919158176E-2</v>
      </c>
      <c r="V65" s="413">
        <f ca="1"/>
        <v>4.71051176468903E-2</v>
      </c>
      <c r="W65" s="414">
        <f ca="1"/>
        <v>5.1518164327140001E-3</v>
      </c>
      <c r="X65" s="415">
        <f ca="1"/>
        <v>4.7105117646890298</v>
      </c>
      <c r="Y65" s="416">
        <f t="shared" ca="1" si="5"/>
        <v>8.7770975817623054E-2</v>
      </c>
      <c r="Z65" s="417">
        <f t="shared" ca="1" si="2"/>
        <v>-2.1299990002927502E-3</v>
      </c>
      <c r="AA65" s="416">
        <f t="shared" ca="1" si="0"/>
        <v>8.173421487962633E-2</v>
      </c>
      <c r="AB65" s="418">
        <f t="shared" ca="1" si="1"/>
        <v>4.8942256110783003E-3</v>
      </c>
      <c r="AC65" s="417">
        <f t="shared" ca="1" si="3"/>
        <v>-9.9175037284000118E-5</v>
      </c>
      <c r="AD65" s="220"/>
      <c r="AE65" s="220">
        <f t="shared" ca="1" si="4"/>
        <v>7.3198640940557239E-3</v>
      </c>
    </row>
    <row r="66" spans="1:31" customFormat="1" ht="14.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1.5305116728042399E-4</v>
      </c>
      <c r="J66" s="403">
        <f ca="1"/>
        <v>4.5422776712970999E-4</v>
      </c>
      <c r="K66" s="403">
        <f ca="1"/>
        <v>0.336948065169073</v>
      </c>
      <c r="L66" s="403">
        <f ca="1"/>
        <v>0.336948065169073</v>
      </c>
      <c r="M66" s="403">
        <f ca="1"/>
        <v>-3.9330955979263E-4</v>
      </c>
      <c r="N66" s="684" t="str">
        <f ca="1"/>
        <v>LOUIS DREYFUS COMPANY B.V.</v>
      </c>
      <c r="O66" s="403">
        <f ca="1"/>
        <v>0.7411737071865</v>
      </c>
      <c r="P66" s="403">
        <f ca="1"/>
        <v>0.73997928107489497</v>
      </c>
      <c r="Q66" s="403">
        <f ca="1"/>
        <v>1.00161413453343</v>
      </c>
      <c r="R66" s="441">
        <f ca="1"/>
        <v>1.00161413453343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1.0548125184321499E-2</v>
      </c>
      <c r="U66" s="413">
        <f ca="1"/>
        <v>5.6782242887920102E-2</v>
      </c>
      <c r="V66" s="413">
        <f ca="1"/>
        <v>4.6234117703598601E-2</v>
      </c>
      <c r="W66" s="414">
        <f ca="1"/>
        <v>1.2281459170897201E-2</v>
      </c>
      <c r="X66" s="415">
        <f ca="1"/>
        <v>4.6234117703598603</v>
      </c>
      <c r="Y66" s="416">
        <f t="shared" ca="1" si="5"/>
        <v>8.7770975817623054E-2</v>
      </c>
      <c r="Z66" s="417">
        <f t="shared" ca="1" si="2"/>
        <v>-4.9838328673860403E-3</v>
      </c>
      <c r="AA66" s="416">
        <f t="shared" ca="1" si="0"/>
        <v>0.11231602172302434</v>
      </c>
      <c r="AB66" s="418">
        <f t="shared" ca="1" si="1"/>
        <v>1.1667386212352341E-2</v>
      </c>
      <c r="AC66" s="417">
        <f t="shared" ca="1" si="3"/>
        <v>-3.1887778128408427E-4</v>
      </c>
      <c r="AD66" s="220"/>
      <c r="AE66" s="220">
        <f t="shared" ca="1" si="4"/>
        <v>1.5681769526762465E-2</v>
      </c>
    </row>
    <row r="67" spans="1:31" customFormat="1" ht="14.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9.9720432558347797E-5</v>
      </c>
      <c r="J67" s="403">
        <f ca="1"/>
        <v>4.8257448559511402E-4</v>
      </c>
      <c r="K67" s="403">
        <f ca="1"/>
        <v>0.20664257132320599</v>
      </c>
      <c r="L67" s="403">
        <f ca="1"/>
        <v>0.20664257132320599</v>
      </c>
      <c r="M67" s="403">
        <f ca="1"/>
        <v>-1.0393148126001301E-4</v>
      </c>
      <c r="N67" s="684" t="str">
        <f ca="1"/>
        <v>LVMH MOET HENNESSY LOUIS VUITTON</v>
      </c>
      <c r="O67" s="403">
        <f ca="1"/>
        <v>0.74689870153028004</v>
      </c>
      <c r="P67" s="403">
        <f ca="1"/>
        <v>0.78068438475596802</v>
      </c>
      <c r="Q67" s="403">
        <f ca="1"/>
        <v>0.95672299345881096</v>
      </c>
      <c r="R67" s="441">
        <f ca="1"/>
        <v>0.95672299345881096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-3.22993523747028E-2</v>
      </c>
      <c r="U67" s="413">
        <f ca="1"/>
        <v>1.50909329850178E-2</v>
      </c>
      <c r="V67" s="413">
        <f ca="1"/>
        <v>4.7390285359720598E-2</v>
      </c>
      <c r="W67" s="414">
        <f ca="1"/>
        <v>3.1843937782751399E-3</v>
      </c>
      <c r="X67" s="415">
        <f ca="1"/>
        <v>4.7390285359720599</v>
      </c>
      <c r="Y67" s="416">
        <f t="shared" ca="1" si="5"/>
        <v>8.7770975817623054E-2</v>
      </c>
      <c r="Z67" s="417">
        <f t="shared" ca="1" si="2"/>
        <v>-1.3245459140933649E-3</v>
      </c>
      <c r="AA67" s="416">
        <f t="shared" ca="1" si="0"/>
        <v>6.8880857107735324E-2</v>
      </c>
      <c r="AB67" s="418">
        <f t="shared" ca="1" si="1"/>
        <v>3.0251740893613827E-3</v>
      </c>
      <c r="AC67" s="417">
        <f t="shared" ca="1" si="3"/>
        <v>-5.1973819928170991E-5</v>
      </c>
      <c r="AD67" s="220"/>
      <c r="AE67" s="220">
        <f t="shared" ca="1" si="4"/>
        <v>4.2077718657642605E-3</v>
      </c>
    </row>
    <row r="68" spans="1:31" customFormat="1" ht="14.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9.6106311194157294E-5</v>
      </c>
      <c r="J68" s="403">
        <f ca="1"/>
        <v>4.8361039690314797E-4</v>
      </c>
      <c r="K68" s="403">
        <f ca="1"/>
        <v>0.19872672674033601</v>
      </c>
      <c r="L68" s="403">
        <f ca="1"/>
        <v>0.19872672674033601</v>
      </c>
      <c r="M68" s="403">
        <f ca="1"/>
        <v>-9.2049424426625693E-5</v>
      </c>
      <c r="N68" s="684" t="str">
        <f ca="1"/>
        <v>NESTLE S.A.</v>
      </c>
      <c r="O68" s="403">
        <f ca="1"/>
        <v>0.74702482454001995</v>
      </c>
      <c r="P68" s="403">
        <f ca="1"/>
        <v>0.78227562409257501</v>
      </c>
      <c r="Q68" s="403">
        <f ca="1"/>
        <v>0.95493813373841796</v>
      </c>
      <c r="R68" s="441">
        <f ca="1"/>
        <v>0.95493813373841796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-3.3974341150078802E-2</v>
      </c>
      <c r="U68" s="413">
        <f ca="1"/>
        <v>1.34191784159044E-2</v>
      </c>
      <c r="V68" s="413">
        <f ca="1"/>
        <v>4.73935195659832E-2</v>
      </c>
      <c r="W68" s="414">
        <f ca="1"/>
        <v>2.8314374072222499E-3</v>
      </c>
      <c r="X68" s="415">
        <f ca="1"/>
        <v>4.7393519565983198</v>
      </c>
      <c r="Y68" s="416">
        <f t="shared" ca="1" si="5"/>
        <v>8.7770975817623054E-2</v>
      </c>
      <c r="Z68" s="417">
        <f t="shared" ca="1" si="2"/>
        <v>-1.1778143842347179E-3</v>
      </c>
      <c r="AA68" s="416">
        <f t="shared" ca="1" si="0"/>
        <v>6.6242242246778674E-2</v>
      </c>
      <c r="AB68" s="418">
        <f t="shared" ca="1" si="1"/>
        <v>2.6898655368611372E-3</v>
      </c>
      <c r="AC68" s="417">
        <f t="shared" ca="1" si="3"/>
        <v>-4.4445823368954348E-5</v>
      </c>
      <c r="AD68" s="220"/>
      <c r="AE68" s="220">
        <f t="shared" ca="1" si="4"/>
        <v>4.5532900740234581E-3</v>
      </c>
    </row>
    <row r="69" spans="1:31" customFormat="1" ht="14.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1.15466957859143E-4</v>
      </c>
      <c r="J69" s="403">
        <f ca="1"/>
        <v>4.7535664459191502E-4</v>
      </c>
      <c r="K69" s="403">
        <f ca="1"/>
        <v>0.24290595108493601</v>
      </c>
      <c r="L69" s="403">
        <f ca="1"/>
        <v>0.24290595108493601</v>
      </c>
      <c r="M69" s="403">
        <f ca="1"/>
        <v>-1.6747255968458901E-4</v>
      </c>
      <c r="N69" s="684" t="str">
        <f ca="1"/>
        <v>NEXT PLC</v>
      </c>
      <c r="O69" s="403">
        <f ca="1"/>
        <v>0.74602817501935004</v>
      </c>
      <c r="P69" s="403">
        <f ca="1"/>
        <v>0.77221854749541996</v>
      </c>
      <c r="Q69" s="403">
        <f ca="1"/>
        <v>0.96608424835039897</v>
      </c>
      <c r="R69" s="441">
        <f ca="1"/>
        <v>0.96608424835039897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-2.33879447320215E-2</v>
      </c>
      <c r="U69" s="413">
        <f ca="1"/>
        <v>2.38208598219786E-2</v>
      </c>
      <c r="V69" s="413">
        <f ca="1"/>
        <v>4.7208804554000103E-2</v>
      </c>
      <c r="W69" s="414">
        <f ca="1"/>
        <v>5.0458510964265096E-3</v>
      </c>
      <c r="X69" s="415">
        <f ca="1"/>
        <v>4.7208804554000103</v>
      </c>
      <c r="Y69" s="416">
        <f t="shared" ca="1" si="5"/>
        <v>8.7770975817623054E-2</v>
      </c>
      <c r="Z69" s="417">
        <f t="shared" ca="1" si="2"/>
        <v>-2.0907801113898743E-3</v>
      </c>
      <c r="AA69" s="416">
        <f t="shared" ca="1" si="0"/>
        <v>8.0968650361645342E-2</v>
      </c>
      <c r="AB69" s="418">
        <f t="shared" ca="1" si="1"/>
        <v>4.7935585416051842E-3</v>
      </c>
      <c r="AC69" s="417">
        <f t="shared" ca="1" si="3"/>
        <v>-9.6437143511977623E-5</v>
      </c>
      <c r="AD69" s="220"/>
      <c r="AE69" s="220">
        <f t="shared" ca="1" si="4"/>
        <v>5.4822340652318658E-3</v>
      </c>
    </row>
    <row r="70" spans="1:31" customFormat="1" ht="14.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1.06175044786961E-4</v>
      </c>
      <c r="J70" s="403">
        <f ca="1"/>
        <v>4.7990747692371402E-4</v>
      </c>
      <c r="K70" s="403">
        <f ca="1"/>
        <v>0.22124065552710401</v>
      </c>
      <c r="L70" s="403">
        <f ca="1"/>
        <v>0.22124065552710401</v>
      </c>
      <c r="M70" s="403">
        <f ca="1"/>
        <v>-1.27374953117276E-4</v>
      </c>
      <c r="N70" s="684" t="str">
        <f ca="1"/>
        <v>PERNOD RICARD</v>
      </c>
      <c r="O70" s="403">
        <f ca="1"/>
        <v>0.74658264460568002</v>
      </c>
      <c r="P70" s="403">
        <f ca="1"/>
        <v>0.77757948578262603</v>
      </c>
      <c r="Q70" s="403">
        <f ca="1"/>
        <v>0.96013675547812605</v>
      </c>
      <c r="R70" s="441">
        <f ca="1"/>
        <v>0.96013675547812605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-2.90310376659224E-2</v>
      </c>
      <c r="U70" s="413">
        <f ca="1"/>
        <v>1.8258309662614599E-2</v>
      </c>
      <c r="V70" s="413">
        <f ca="1"/>
        <v>4.7289347328536999E-2</v>
      </c>
      <c r="W70" s="414">
        <f ca="1"/>
        <v>3.8609773012444602E-3</v>
      </c>
      <c r="X70" s="415">
        <f ca="1"/>
        <v>4.7289347328536904</v>
      </c>
      <c r="Y70" s="416">
        <f t="shared" ca="1" si="5"/>
        <v>8.7770975817623054E-2</v>
      </c>
      <c r="Z70" s="417">
        <f t="shared" ca="1" si="2"/>
        <v>-1.6025496558680224E-3</v>
      </c>
      <c r="AA70" s="416">
        <f t="shared" ca="1" si="0"/>
        <v>7.374688517570134E-2</v>
      </c>
      <c r="AB70" s="418">
        <f t="shared" ca="1" si="1"/>
        <v>3.667928436182237E-3</v>
      </c>
      <c r="AC70" s="417">
        <f t="shared" ca="1" si="3"/>
        <v>-6.732467330956203E-5</v>
      </c>
      <c r="AD70" s="220"/>
      <c r="AE70" s="220">
        <f t="shared" ca="1" si="4"/>
        <v>5.3294347242950884E-3</v>
      </c>
    </row>
    <row r="71" spans="1:31" customFormat="1" ht="14.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9.5114961940434505E-5</v>
      </c>
      <c r="J71" s="403">
        <f ca="1"/>
        <v>4.8416219452021998E-4</v>
      </c>
      <c r="K71" s="403">
        <f ca="1"/>
        <v>0.19645268262774701</v>
      </c>
      <c r="L71" s="403">
        <f ca="1"/>
        <v>0.19645268262774701</v>
      </c>
      <c r="M71" s="403">
        <f ca="1"/>
        <v>-8.9051779908464401E-5</v>
      </c>
      <c r="N71" s="684" t="str">
        <f ca="1"/>
        <v>SODEXO</v>
      </c>
      <c r="O71" s="403">
        <f ca="1"/>
        <v>0.74707930795190003</v>
      </c>
      <c r="P71" s="403">
        <f ca="1"/>
        <v>0.78265868370199998</v>
      </c>
      <c r="Q71" s="403">
        <f ca="1"/>
        <v>0.95454036799054198</v>
      </c>
      <c r="R71" s="441">
        <f ca="1"/>
        <v>0.95454036799054198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-3.4377561791578401E-2</v>
      </c>
      <c r="U71" s="413">
        <f ca="1"/>
        <v>1.30649935270176E-2</v>
      </c>
      <c r="V71" s="413">
        <f ca="1"/>
        <v>4.7442555318596001E-2</v>
      </c>
      <c r="W71" s="414">
        <f ca="1"/>
        <v>2.7538553602943299E-3</v>
      </c>
      <c r="X71" s="415">
        <f ca="1"/>
        <v>4.7442555318595998</v>
      </c>
      <c r="Y71" s="416">
        <f t="shared" ca="1" si="5"/>
        <v>8.7770975817623054E-2</v>
      </c>
      <c r="Z71" s="417">
        <f t="shared" ca="1" si="2"/>
        <v>-1.1467272309172623E-3</v>
      </c>
      <c r="AA71" s="416">
        <f t="shared" ca="1" si="0"/>
        <v>6.5484227542582332E-2</v>
      </c>
      <c r="AB71" s="418">
        <f t="shared" ca="1" si="1"/>
        <v>2.6161625922796134E-3</v>
      </c>
      <c r="AC71" s="417">
        <f t="shared" ca="1" si="3"/>
        <v>-4.277755044827925E-5</v>
      </c>
      <c r="AD71" s="220"/>
      <c r="AE71" s="220">
        <f t="shared" ca="1" si="4"/>
        <v>3.720477792855087E-3</v>
      </c>
    </row>
    <row r="72" spans="1:31" customFormat="1" ht="14.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1.2696858508314199E-4</v>
      </c>
      <c r="J72" s="403">
        <f ca="1"/>
        <v>4.5660383844388499E-4</v>
      </c>
      <c r="K72" s="403">
        <f ca="1"/>
        <v>0.27807165510446302</v>
      </c>
      <c r="L72" s="403">
        <f ca="1"/>
        <v>0.27807165510446302</v>
      </c>
      <c r="M72" s="403">
        <f ca="1"/>
        <v>-2.41735271484518E-4</v>
      </c>
      <c r="N72" s="684" t="str">
        <f ca="1"/>
        <v>SUEDZUCKER AG</v>
      </c>
      <c r="O72" s="403">
        <f ca="1"/>
        <v>0.74470329847234995</v>
      </c>
      <c r="P72" s="403">
        <f ca="1"/>
        <v>0.762102955859569</v>
      </c>
      <c r="Q72" s="403">
        <f ca="1"/>
        <v>0.97716888872633501</v>
      </c>
      <c r="R72" s="441">
        <f ca="1"/>
        <v>0.97716888872633501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-1.2739953536388101E-2</v>
      </c>
      <c r="U72" s="413">
        <f ca="1"/>
        <v>3.4125351880801298E-2</v>
      </c>
      <c r="V72" s="413">
        <f ca="1"/>
        <v>4.6865305417189397E-2</v>
      </c>
      <c r="W72" s="414">
        <f ca="1"/>
        <v>7.2815810282300403E-3</v>
      </c>
      <c r="X72" s="415">
        <f ca="1"/>
        <v>4.6865305417189402</v>
      </c>
      <c r="Y72" s="416">
        <f t="shared" ca="1" si="5"/>
        <v>8.7770975817623054E-2</v>
      </c>
      <c r="Z72" s="417">
        <f t="shared" ca="1" si="2"/>
        <v>-2.995215434697687E-3</v>
      </c>
      <c r="AA72" s="416">
        <f t="shared" ca="1" si="0"/>
        <v>9.269055170148767E-2</v>
      </c>
      <c r="AB72" s="418">
        <f t="shared" ca="1" si="1"/>
        <v>6.9175019768185379E-3</v>
      </c>
      <c r="AC72" s="417">
        <f t="shared" ca="1" si="3"/>
        <v>-1.5815488464194377E-4</v>
      </c>
      <c r="AD72" s="220"/>
      <c r="AE72" s="220">
        <f t="shared" ca="1" si="4"/>
        <v>9.407550349583774E-3</v>
      </c>
    </row>
    <row r="73" spans="1:31" customFormat="1" ht="14.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1.1835657905749E-4</v>
      </c>
      <c r="J73" s="403">
        <f ca="1"/>
        <v>4.7353212958188898E-4</v>
      </c>
      <c r="K73" s="403">
        <f ca="1"/>
        <v>0.24994413612861799</v>
      </c>
      <c r="L73" s="403">
        <f ca="1"/>
        <v>0.24994413612861799</v>
      </c>
      <c r="M73" s="403">
        <f ca="1"/>
        <v>-1.8108395813416E-4</v>
      </c>
      <c r="N73" s="684" t="str">
        <f ca="1"/>
        <v>TESCO PLC</v>
      </c>
      <c r="O73" s="403">
        <f ca="1"/>
        <v>0.74577722347744002</v>
      </c>
      <c r="P73" s="403">
        <f ca="1"/>
        <v>0.77039778017412297</v>
      </c>
      <c r="Q73" s="403">
        <f ca="1"/>
        <v>0.96804176059396496</v>
      </c>
      <c r="R73" s="441">
        <f ca="1"/>
        <v>0.96804176059396496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-2.1471347551708E-2</v>
      </c>
      <c r="U73" s="413">
        <f ca="1"/>
        <v>2.5620930770187299E-2</v>
      </c>
      <c r="V73" s="413">
        <f ca="1"/>
        <v>4.7092278321895303E-2</v>
      </c>
      <c r="W73" s="414">
        <f ca="1"/>
        <v>5.44058000232173E-3</v>
      </c>
      <c r="X73" s="415">
        <f ca="1"/>
        <v>4.70922783218953</v>
      </c>
      <c r="Y73" s="416">
        <f t="shared" ca="1" si="5"/>
        <v>8.7770975817623054E-2</v>
      </c>
      <c r="Z73" s="417">
        <f t="shared" ca="1" si="2"/>
        <v>-2.2487740950551012E-3</v>
      </c>
      <c r="AA73" s="416">
        <f t="shared" ca="1" si="0"/>
        <v>8.3314712042872663E-2</v>
      </c>
      <c r="AB73" s="418">
        <f t="shared" ca="1" si="1"/>
        <v>5.1685510022056432E-3</v>
      </c>
      <c r="AC73" s="417">
        <f t="shared" ca="1" si="3"/>
        <v>-1.0673002346942653E-4</v>
      </c>
      <c r="AD73" s="220"/>
      <c r="AE73" s="220">
        <f t="shared" ca="1" si="4"/>
        <v>7.2298411976667986E-3</v>
      </c>
    </row>
    <row r="74" spans="1:31" customFormat="1" ht="14.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9.4964716048089306E-5</v>
      </c>
      <c r="J74" s="403">
        <f ca="1"/>
        <v>4.8402730180313098E-4</v>
      </c>
      <c r="K74" s="403">
        <f ca="1"/>
        <v>0.19619702379250201</v>
      </c>
      <c r="L74" s="403">
        <f ca="1"/>
        <v>0.19619702379250201</v>
      </c>
      <c r="M74" s="403">
        <f ca="1"/>
        <v>-8.8518829922228293E-5</v>
      </c>
      <c r="N74" s="684" t="str">
        <f ca="1"/>
        <v>UNILEVER PLC</v>
      </c>
      <c r="O74" s="403">
        <f ca="1"/>
        <v>0.74707052499557003</v>
      </c>
      <c r="P74" s="403">
        <f ca="1"/>
        <v>0.78274237399704605</v>
      </c>
      <c r="Q74" s="403">
        <f ca="1"/>
        <v>0.95442708841822499</v>
      </c>
      <c r="R74" s="441">
        <f ca="1"/>
        <v>0.95442708841822499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-3.4465656838995801E-2</v>
      </c>
      <c r="U74" s="413">
        <f ca="1"/>
        <v>1.29479509256346E-2</v>
      </c>
      <c r="V74" s="413">
        <f ca="1"/>
        <v>4.7413607764630397E-2</v>
      </c>
      <c r="W74" s="414">
        <f ca="1"/>
        <v>2.73085123366072E-3</v>
      </c>
      <c r="X74" s="415">
        <f ca="1"/>
        <v>4.7413607764630399</v>
      </c>
      <c r="Y74" s="416">
        <f t="shared" ca="1" si="5"/>
        <v>8.7770975817623054E-2</v>
      </c>
      <c r="Z74" s="417">
        <f t="shared" ca="1" si="2"/>
        <v>-1.1364542875816482E-3</v>
      </c>
      <c r="AA74" s="416">
        <f t="shared" ca="1" si="0"/>
        <v>6.5399007930834002E-2</v>
      </c>
      <c r="AB74" s="418">
        <f t="shared" ca="1" si="1"/>
        <v>2.594308671977684E-3</v>
      </c>
      <c r="AC74" s="417">
        <f t="shared" ca="1" si="3"/>
        <v>-4.233915726368145E-5</v>
      </c>
      <c r="AD74" s="220"/>
      <c r="AE74" s="220">
        <f t="shared" ca="1" si="4"/>
        <v>4.2912701453375109E-3</v>
      </c>
    </row>
    <row r="75" spans="1:31" customFormat="1" ht="14.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1.1793864521021E-4</v>
      </c>
      <c r="J75" s="403">
        <f ca="1"/>
        <v>4.7381505980212001E-4</v>
      </c>
      <c r="K75" s="403">
        <f ca="1"/>
        <v>0.24891282531092401</v>
      </c>
      <c r="L75" s="403">
        <f ca="1"/>
        <v>0.24891282531092401</v>
      </c>
      <c r="M75" s="403">
        <f ca="1"/>
        <v>-1.7908150900844999E-4</v>
      </c>
      <c r="N75" s="684" t="str">
        <f ca="1"/>
        <v>BP P.L.C.</v>
      </c>
      <c r="O75" s="403">
        <f ca="1"/>
        <v>0.74581895646841001</v>
      </c>
      <c r="P75" s="403">
        <f ca="1"/>
        <v>0.77066636858155602</v>
      </c>
      <c r="Q75" s="403">
        <f ca="1"/>
        <v>0.96775853582545901</v>
      </c>
      <c r="R75" s="441">
        <f ca="1"/>
        <v>0.96775853582545901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-2.17540721911114E-2</v>
      </c>
      <c r="U75" s="413">
        <f ca="1"/>
        <v>2.5362962672799999E-2</v>
      </c>
      <c r="V75" s="413">
        <f ca="1"/>
        <v>4.7117034863911403E-2</v>
      </c>
      <c r="W75" s="414">
        <f ca="1"/>
        <v>5.3829708821992103E-3</v>
      </c>
      <c r="X75" s="415">
        <f ca="1"/>
        <v>4.7117034863911398</v>
      </c>
      <c r="Y75" s="416">
        <f t="shared" ca="1" si="5"/>
        <v>8.7770975817623054E-2</v>
      </c>
      <c r="Z75" s="417">
        <f t="shared" ca="1" si="2"/>
        <v>-2.2261319834176057E-3</v>
      </c>
      <c r="AA75" s="416">
        <f t="shared" ca="1" si="0"/>
        <v>8.2970941770308004E-2</v>
      </c>
      <c r="AB75" s="418">
        <f t="shared" ca="1" si="1"/>
        <v>5.1138223380892498E-3</v>
      </c>
      <c r="AC75" s="417">
        <f t="shared" ca="1" si="3"/>
        <v>-1.0521944495236924E-4</v>
      </c>
      <c r="AD75" s="220"/>
      <c r="AE75" s="220">
        <f t="shared" ca="1" si="4"/>
        <v>6.8280436839071494E-3</v>
      </c>
    </row>
    <row r="76" spans="1:31" customFormat="1" ht="14.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1.2319278504049799E-4</v>
      </c>
      <c r="J76" s="403">
        <f ca="1"/>
        <v>4.5907185685208101E-4</v>
      </c>
      <c r="K76" s="403">
        <f ca="1"/>
        <v>0.26835185647242199</v>
      </c>
      <c r="L76" s="403">
        <f ca="1"/>
        <v>0.26835185647242199</v>
      </c>
      <c r="M76" s="403">
        <f ca="1"/>
        <v>-2.1968888787329699E-4</v>
      </c>
      <c r="N76" s="684" t="str">
        <f ca="1"/>
        <v>CENTRICA PLC</v>
      </c>
      <c r="O76" s="403">
        <f ca="1"/>
        <v>0.74512136916396998</v>
      </c>
      <c r="P76" s="403">
        <f ca="1"/>
        <v>0.76514667459656704</v>
      </c>
      <c r="Q76" s="403">
        <f ca="1"/>
        <v>0.97382814812185403</v>
      </c>
      <c r="R76" s="441">
        <f ca="1"/>
        <v>0.97382814812185403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-1.5943867996386401E-2</v>
      </c>
      <c r="U76" s="413">
        <f ca="1"/>
        <v>3.10178031703701E-2</v>
      </c>
      <c r="V76" s="413">
        <f ca="1"/>
        <v>4.6961671166756501E-2</v>
      </c>
      <c r="W76" s="414">
        <f ca="1"/>
        <v>6.6049189476730403E-3</v>
      </c>
      <c r="X76" s="415">
        <f ca="1"/>
        <v>4.6961671166756496</v>
      </c>
      <c r="Y76" s="416">
        <f t="shared" ca="1" si="5"/>
        <v>8.7770975817623054E-2</v>
      </c>
      <c r="Z76" s="417">
        <f t="shared" ca="1" si="2"/>
        <v>-2.7224628519823429E-3</v>
      </c>
      <c r="AA76" s="416">
        <f t="shared" ca="1" si="0"/>
        <v>8.9450618824140668E-2</v>
      </c>
      <c r="AB76" s="418">
        <f t="shared" ca="1" si="1"/>
        <v>6.274673000289388E-3</v>
      </c>
      <c r="AC76" s="417">
        <f t="shared" ca="1" si="3"/>
        <v>-1.3872808440774985E-4</v>
      </c>
      <c r="AD76" s="220"/>
      <c r="AE76" s="220">
        <f t="shared" ca="1" si="4"/>
        <v>8.3599640368187504E-3</v>
      </c>
    </row>
    <row r="77" spans="1:31" customFormat="1" ht="14.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1.08853801101234E-4</v>
      </c>
      <c r="J77" s="403">
        <f ca="1"/>
        <v>4.7870574288617402E-4</v>
      </c>
      <c r="K77" s="403">
        <f ca="1"/>
        <v>0.227391884720124</v>
      </c>
      <c r="L77" s="403">
        <f ca="1"/>
        <v>0.227391884720124</v>
      </c>
      <c r="M77" s="403">
        <f ca="1"/>
        <v>-1.38094275397327E-4</v>
      </c>
      <c r="N77" s="684" t="str">
        <f ca="1"/>
        <v>E.ON SE</v>
      </c>
      <c r="O77" s="403">
        <f ca="1"/>
        <v>0.74643482355850999</v>
      </c>
      <c r="P77" s="403">
        <f ca="1"/>
        <v>0.77615355106430095</v>
      </c>
      <c r="Q77" s="403">
        <f ca="1"/>
        <v>0.96171024732794297</v>
      </c>
      <c r="R77" s="441">
        <f ca="1"/>
        <v>0.96171024732794297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-2.7530053751895898E-2</v>
      </c>
      <c r="U77" s="413">
        <f ca="1"/>
        <v>1.9724079920218698E-2</v>
      </c>
      <c r="V77" s="413">
        <f ca="1"/>
        <v>4.7254133672114597E-2</v>
      </c>
      <c r="W77" s="414">
        <f ca="1"/>
        <v>4.1740432820289398E-3</v>
      </c>
      <c r="X77" s="415">
        <f ca="1"/>
        <v>4.72541336721146</v>
      </c>
      <c r="Y77" s="416">
        <f t="shared" ca="1" si="5"/>
        <v>8.7770975817623054E-2</v>
      </c>
      <c r="Z77" s="417">
        <f t="shared" ca="1" si="2"/>
        <v>-1.7312017417023839E-3</v>
      </c>
      <c r="AA77" s="416">
        <f t="shared" ca="1" si="0"/>
        <v>7.5797294906708002E-2</v>
      </c>
      <c r="AB77" s="418">
        <f t="shared" ca="1" si="1"/>
        <v>3.9653411179274923E-3</v>
      </c>
      <c r="AC77" s="417">
        <f t="shared" ca="1" si="3"/>
        <v>-7.4751595123815099E-5</v>
      </c>
      <c r="AD77" s="220"/>
      <c r="AE77" s="220">
        <f t="shared" ca="1" si="4"/>
        <v>5.6326820328653406E-3</v>
      </c>
    </row>
    <row r="78" spans="1:31" customFormat="1" ht="14.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1.2233029480624301E-4</v>
      </c>
      <c r="J78" s="403">
        <f ca="1"/>
        <v>4.5973218726573398E-4</v>
      </c>
      <c r="K78" s="403">
        <f ca="1"/>
        <v>0.26609034171351997</v>
      </c>
      <c r="L78" s="403">
        <f ca="1"/>
        <v>0.26609034171351997</v>
      </c>
      <c r="M78" s="403">
        <f ca="1"/>
        <v>-2.14387826831963E-4</v>
      </c>
      <c r="N78" s="684" t="str">
        <f ca="1"/>
        <v>EDP - ENERGIAS DE PORTUGAL S.A.</v>
      </c>
      <c r="O78" s="403">
        <f ca="1"/>
        <v>0.74517568582454996</v>
      </c>
      <c r="P78" s="403">
        <f ca="1"/>
        <v>0.76586963117366103</v>
      </c>
      <c r="Q78" s="403">
        <f ca="1"/>
        <v>0.97297980686687002</v>
      </c>
      <c r="R78" s="441">
        <f ca="1"/>
        <v>0.97297980686687002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-1.6704874919643099E-2</v>
      </c>
      <c r="U78" s="413">
        <f ca="1"/>
        <v>3.0204354379957599E-2</v>
      </c>
      <c r="V78" s="413">
        <f ca="1"/>
        <v>4.6909229299600702E-2</v>
      </c>
      <c r="W78" s="414">
        <f ca="1"/>
        <v>6.4388937594876804E-3</v>
      </c>
      <c r="X78" s="415">
        <f ca="1"/>
        <v>4.6909229299600703</v>
      </c>
      <c r="Y78" s="416">
        <f t="shared" ca="1" si="5"/>
        <v>8.7770975817623054E-2</v>
      </c>
      <c r="Z78" s="417">
        <f t="shared" ca="1" si="2"/>
        <v>-2.6510656578701722E-3</v>
      </c>
      <c r="AA78" s="416">
        <f t="shared" ca="1" si="0"/>
        <v>8.869678057117332E-2</v>
      </c>
      <c r="AB78" s="418">
        <f t="shared" ca="1" si="1"/>
        <v>6.1169490715132962E-3</v>
      </c>
      <c r="AC78" s="417">
        <f t="shared" ca="1" si="3"/>
        <v>-1.339514496366528E-4</v>
      </c>
      <c r="AD78" s="220"/>
      <c r="AE78" s="220">
        <f t="shared" ca="1" si="4"/>
        <v>9.5455635873525815E-3</v>
      </c>
    </row>
    <row r="79" spans="1:31" customFormat="1" ht="14.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1.24951662071937E-4</v>
      </c>
      <c r="J79" s="403">
        <f ca="1"/>
        <v>4.5800648533422399E-4</v>
      </c>
      <c r="K79" s="403">
        <f ca="1"/>
        <v>0.27281635975253798</v>
      </c>
      <c r="L79" s="403">
        <f ca="1"/>
        <v>0.27281635975253798</v>
      </c>
      <c r="M79" s="403">
        <f ca="1"/>
        <v>-2.29546599312394E-4</v>
      </c>
      <c r="N79" s="684" t="str">
        <f ca="1"/>
        <v>ELECTRICITE DE FRANCE</v>
      </c>
      <c r="O79" s="403">
        <f ca="1"/>
        <v>0.74491647677634998</v>
      </c>
      <c r="P79" s="403">
        <f ca="1"/>
        <v>0.76378793040016302</v>
      </c>
      <c r="Q79" s="403">
        <f ca="1"/>
        <v>0.97529228615340102</v>
      </c>
      <c r="R79" s="441">
        <f ca="1"/>
        <v>0.97529228615340102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-1.45136109475398E-2</v>
      </c>
      <c r="U79" s="413">
        <f ca="1"/>
        <v>3.2368084316966E-2</v>
      </c>
      <c r="V79" s="413">
        <f ca="1"/>
        <v>4.68816952645058E-2</v>
      </c>
      <c r="W79" s="414">
        <f ca="1"/>
        <v>6.9042051773822999E-3</v>
      </c>
      <c r="X79" s="415">
        <f ca="1"/>
        <v>4.6881695264505803</v>
      </c>
      <c r="Y79" s="416">
        <f t="shared" ca="1" si="5"/>
        <v>8.7770975817623054E-2</v>
      </c>
      <c r="Z79" s="417">
        <f t="shared" ca="1" si="2"/>
        <v>-2.8409783458472086E-3</v>
      </c>
      <c r="AA79" s="416">
        <f t="shared" ca="1" si="0"/>
        <v>9.0938786584179324E-2</v>
      </c>
      <c r="AB79" s="418">
        <f t="shared" ca="1" si="1"/>
        <v>6.5589949185131842E-3</v>
      </c>
      <c r="AC79" s="417">
        <f t="shared" ca="1" si="3"/>
        <v>-1.4717571559196506E-4</v>
      </c>
      <c r="AD79" s="220"/>
      <c r="AE79" s="220">
        <f t="shared" ca="1" si="4"/>
        <v>9.5317636251238472E-3</v>
      </c>
    </row>
    <row r="80" spans="1:31" customFormat="1" ht="14.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1.2246720263361599E-4</v>
      </c>
      <c r="J80" s="403">
        <f ca="1"/>
        <v>4.5947953041397001E-4</v>
      </c>
      <c r="K80" s="403">
        <f ca="1"/>
        <v>0.26653462129918698</v>
      </c>
      <c r="L80" s="403">
        <f ca="1"/>
        <v>0.26653462129918698</v>
      </c>
      <c r="M80" s="403">
        <f ca="1"/>
        <v>-2.15803977205553E-4</v>
      </c>
      <c r="N80" s="684" t="str">
        <f ca="1"/>
        <v>ENEL S.P.A.</v>
      </c>
      <c r="O80" s="403">
        <f ca="1"/>
        <v>0.74520556608052002</v>
      </c>
      <c r="P80" s="403">
        <f ca="1"/>
        <v>0.76567875097107196</v>
      </c>
      <c r="Q80" s="403">
        <f ca="1"/>
        <v>0.97326139080575702</v>
      </c>
      <c r="R80" s="441">
        <f ca="1"/>
        <v>0.97326139080575702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-1.6503948390602201E-2</v>
      </c>
      <c r="U80" s="413">
        <f ca="1"/>
        <v>3.04987221462798E-2</v>
      </c>
      <c r="V80" s="413">
        <f ca="1"/>
        <v>4.7002670536882001E-2</v>
      </c>
      <c r="W80" s="414">
        <f ca="1"/>
        <v>6.4887211296532797E-3</v>
      </c>
      <c r="X80" s="415">
        <f ca="1"/>
        <v>4.7002670536881999</v>
      </c>
      <c r="Y80" s="416">
        <f t="shared" ref="Y80:Y143" ca="1" si="7">IF($U$12,IF(T80="","",$U$13*D104/$C$18),"")</f>
        <v>8.7770975817623054E-2</v>
      </c>
      <c r="Z80" s="417">
        <f t="shared" ref="Z80:Z143" ca="1" si="8">IF($U$12,IF(Y80="","",Y80*($Z$10-W80)*X80),"")</f>
        <v>-2.6769026039695281E-3</v>
      </c>
      <c r="AA80" s="416">
        <f t="shared" ref="AA80:AA143" ca="1" si="9">IF($U$12,IF(OR(T80="",L80=""),"",L80/($C$20-$C$19)),"")</f>
        <v>8.884487376639566E-2</v>
      </c>
      <c r="AB80" s="418">
        <f t="shared" ref="AB80:AB143" ca="1" si="10">IF($U$12,IF(W80="","",W80*$AC$10),"")</f>
        <v>6.1642850731706157E-3</v>
      </c>
      <c r="AC80" s="417">
        <f t="shared" ref="AC80:AC143" ca="1" si="11">IF($U$12,IF(AA80="","",AA80*(AB80-W80)*X80),"")</f>
        <v>-1.3548275595613019E-4</v>
      </c>
      <c r="AD80" s="220"/>
      <c r="AE80" s="220">
        <f t="shared" ref="AE80:AE109" ca="1" si="12">X80*W80</f>
        <v>7.7167346514629082E-3</v>
      </c>
    </row>
    <row r="81" spans="1:31" customFormat="1" ht="14.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1.12887447357127E-4</v>
      </c>
      <c r="J81" s="403">
        <f ca="1"/>
        <v>4.76687026146066E-4</v>
      </c>
      <c r="K81" s="403">
        <f ca="1"/>
        <v>0.23681669767646699</v>
      </c>
      <c r="L81" s="403">
        <f ca="1"/>
        <v>0.23681669767646699</v>
      </c>
      <c r="M81" s="403">
        <f ca="1"/>
        <v>-1.5535556250990401E-4</v>
      </c>
      <c r="N81" s="684" t="str">
        <f ca="1"/>
        <v>ENGIE</v>
      </c>
      <c r="O81" s="403">
        <f ca="1"/>
        <v>0.74618201420884001</v>
      </c>
      <c r="P81" s="403">
        <f ca="1"/>
        <v>0.77385160746577097</v>
      </c>
      <c r="Q81" s="403">
        <f ca="1"/>
        <v>0.96424431636506602</v>
      </c>
      <c r="R81" s="441">
        <f ca="1"/>
        <v>0.96424431636506602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-2.5106955227127699E-2</v>
      </c>
      <c r="U81" s="413">
        <f ca="1"/>
        <v>2.2083816941978699E-2</v>
      </c>
      <c r="V81" s="413">
        <f ca="1"/>
        <v>4.7190772169106401E-2</v>
      </c>
      <c r="W81" s="414">
        <f ca="1"/>
        <v>4.6796896780671804E-3</v>
      </c>
      <c r="X81" s="415">
        <f ca="1"/>
        <v>4.7190772169106401</v>
      </c>
      <c r="Y81" s="416">
        <f t="shared" ca="1" si="7"/>
        <v>8.7770975817623054E-2</v>
      </c>
      <c r="Z81" s="417">
        <f t="shared" ca="1" si="8"/>
        <v>-1.9383181627752285E-3</v>
      </c>
      <c r="AA81" s="416">
        <f t="shared" ca="1" si="9"/>
        <v>7.8938899225488995E-2</v>
      </c>
      <c r="AB81" s="418">
        <f t="shared" ca="1" si="10"/>
        <v>4.4457051941638216E-3</v>
      </c>
      <c r="AC81" s="417">
        <f t="shared" ca="1" si="11"/>
        <v>-8.7163610004850145E-5</v>
      </c>
      <c r="AD81" s="220"/>
      <c r="AE81" s="220">
        <f t="shared" ca="1" si="12"/>
        <v>6.2456750723365578E-3</v>
      </c>
    </row>
    <row r="82" spans="1:31" customFormat="1" ht="14.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1.1878810464391901E-4</v>
      </c>
      <c r="J82" s="403">
        <f ca="1"/>
        <v>4.6180195921715001E-4</v>
      </c>
      <c r="K82" s="403">
        <f ca="1"/>
        <v>0.257227372628062</v>
      </c>
      <c r="L82" s="403">
        <f ca="1"/>
        <v>0.257227372628062</v>
      </c>
      <c r="M82" s="403">
        <f ca="1"/>
        <v>-1.9540652375129599E-4</v>
      </c>
      <c r="N82" s="684" t="str">
        <f ca="1"/>
        <v>ENI S.P.A.</v>
      </c>
      <c r="O82" s="403">
        <f ca="1"/>
        <v>0.74553033721103001</v>
      </c>
      <c r="P82" s="403">
        <f ca="1"/>
        <v>0.76846030136490895</v>
      </c>
      <c r="Q82" s="403">
        <f ca="1"/>
        <v>0.97016115977214201</v>
      </c>
      <c r="R82" s="441">
        <f ca="1"/>
        <v>0.97016115977214201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-1.9431896173588498E-2</v>
      </c>
      <c r="U82" s="413">
        <f ca="1"/>
        <v>2.75907261299E-2</v>
      </c>
      <c r="V82" s="413">
        <f ca="1"/>
        <v>4.7022622303488498E-2</v>
      </c>
      <c r="W82" s="414">
        <f ca="1"/>
        <v>5.8675430629595302E-3</v>
      </c>
      <c r="X82" s="415">
        <f ca="1"/>
        <v>4.7022622303488504</v>
      </c>
      <c r="Y82" s="416">
        <f t="shared" ca="1" si="7"/>
        <v>8.7770975817623054E-2</v>
      </c>
      <c r="Z82" s="417">
        <f t="shared" ca="1" si="8"/>
        <v>-2.4216649559381138E-3</v>
      </c>
      <c r="AA82" s="416">
        <f t="shared" ca="1" si="9"/>
        <v>8.5742457542687334E-2</v>
      </c>
      <c r="AB82" s="418">
        <f t="shared" ca="1" si="10"/>
        <v>5.5741659098115532E-3</v>
      </c>
      <c r="AC82" s="417">
        <f t="shared" ca="1" si="11"/>
        <v>-1.1828483318824346E-4</v>
      </c>
      <c r="AD82" s="220"/>
      <c r="AE82" s="220">
        <f t="shared" ca="1" si="12"/>
        <v>8.0557223684549831E-3</v>
      </c>
    </row>
    <row r="83" spans="1:31" customFormat="1" ht="14.5">
      <c r="A83" s="220"/>
      <c r="B83" s="267">
        <v>45</v>
      </c>
      <c r="C83" s="68" t="s">
        <v>614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9.6664404575208494E-5</v>
      </c>
      <c r="J83" s="403">
        <f ca="1"/>
        <v>4.8356964784780198E-4</v>
      </c>
      <c r="K83" s="403">
        <f ca="1"/>
        <v>0.199897584568071</v>
      </c>
      <c r="L83" s="403">
        <f ca="1"/>
        <v>0.199897584568071</v>
      </c>
      <c r="M83" s="403">
        <f ca="1"/>
        <v>-9.3844259632840405E-5</v>
      </c>
      <c r="N83" s="684" t="str">
        <f ca="1"/>
        <v>EQUINOR ASA</v>
      </c>
      <c r="O83" s="403">
        <f ca="1"/>
        <v>0.74701532237095003</v>
      </c>
      <c r="P83" s="403">
        <f ca="1"/>
        <v>0.78202831715981802</v>
      </c>
      <c r="Q83" s="403">
        <f ca="1"/>
        <v>0.95522797062384002</v>
      </c>
      <c r="R83" s="441">
        <f ca="1"/>
        <v>0.95522797062384002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-3.3714018062966401E-2</v>
      </c>
      <c r="U83" s="413">
        <f ca="1"/>
        <v>1.36971862792166E-2</v>
      </c>
      <c r="V83" s="413">
        <f ca="1"/>
        <v>4.7411204342183003E-2</v>
      </c>
      <c r="W83" s="414">
        <f ca="1"/>
        <v>2.8890188446509999E-3</v>
      </c>
      <c r="X83" s="415">
        <f ca="1"/>
        <v>4.7411204342183</v>
      </c>
      <c r="Y83" s="416">
        <f t="shared" ca="1" si="7"/>
        <v>8.7770975817623054E-2</v>
      </c>
      <c r="Z83" s="417">
        <f t="shared" ca="1" si="8"/>
        <v>-1.2022154056825984E-3</v>
      </c>
      <c r="AA83" s="416">
        <f t="shared" ca="1" si="9"/>
        <v>6.6632528189356999E-2</v>
      </c>
      <c r="AB83" s="418">
        <f t="shared" ca="1" si="10"/>
        <v>2.7445679024184497E-3</v>
      </c>
      <c r="AC83" s="417">
        <f t="shared" ca="1" si="11"/>
        <v>-4.5633907543238763E-5</v>
      </c>
      <c r="AD83" s="220"/>
      <c r="AE83" s="220">
        <f t="shared" ca="1" si="12"/>
        <v>4.1544199459633063E-3</v>
      </c>
    </row>
    <row r="84" spans="1:31" customFormat="1" ht="14.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1.1378499713066599E-4</v>
      </c>
      <c r="J84" s="403">
        <f ca="1"/>
        <v>4.7625075924318498E-4</v>
      </c>
      <c r="K84" s="403">
        <f ca="1"/>
        <v>0.23891824825955699</v>
      </c>
      <c r="L84" s="403">
        <f ca="1"/>
        <v>0.23891824825955699</v>
      </c>
      <c r="M84" s="403">
        <f ca="1"/>
        <v>-1.5945676583911501E-4</v>
      </c>
      <c r="N84" s="684" t="str">
        <f ca="1"/>
        <v>FORTUM OYJ</v>
      </c>
      <c r="O84" s="403">
        <f ca="1"/>
        <v>0.74612993880278</v>
      </c>
      <c r="P84" s="403">
        <f ca="1"/>
        <v>0.773300191735107</v>
      </c>
      <c r="Q84" s="403">
        <f ca="1"/>
        <v>0.96486454649472797</v>
      </c>
      <c r="R84" s="441">
        <f ca="1"/>
        <v>0.96486454649472797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-2.4526517615901602E-2</v>
      </c>
      <c r="U84" s="413">
        <f ca="1"/>
        <v>2.2668469203380899E-2</v>
      </c>
      <c r="V84" s="413">
        <f ca="1"/>
        <v>4.7194986819282497E-2</v>
      </c>
      <c r="W84" s="414">
        <f ca="1"/>
        <v>4.8031519301366303E-3</v>
      </c>
      <c r="X84" s="415">
        <f ca="1"/>
        <v>4.7194986819282496</v>
      </c>
      <c r="Y84" s="416">
        <f t="shared" ca="1" si="7"/>
        <v>8.7770975817623054E-2</v>
      </c>
      <c r="Z84" s="417">
        <f t="shared" ca="1" si="8"/>
        <v>-1.9896336622724827E-3</v>
      </c>
      <c r="AA84" s="416">
        <f t="shared" ca="1" si="9"/>
        <v>7.9639416086518991E-2</v>
      </c>
      <c r="AB84" s="418">
        <f t="shared" ca="1" si="10"/>
        <v>4.562994333629799E-3</v>
      </c>
      <c r="AC84" s="417">
        <f t="shared" ca="1" si="11"/>
        <v>-9.0265182546624793E-5</v>
      </c>
      <c r="AD84" s="220"/>
      <c r="AE84" s="220">
        <f t="shared" ca="1" si="12"/>
        <v>6.0236785993917144E-3</v>
      </c>
    </row>
    <row r="85" spans="1:31" customFormat="1" ht="14.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1.08104771828996E-4</v>
      </c>
      <c r="J85" s="403">
        <f ca="1"/>
        <v>4.7908728438779598E-4</v>
      </c>
      <c r="K85" s="403">
        <f ca="1"/>
        <v>0.22564734099995601</v>
      </c>
      <c r="L85" s="403">
        <f ca="1"/>
        <v>0.22564734099995601</v>
      </c>
      <c r="M85" s="403">
        <f ca="1"/>
        <v>-1.3506450956087199E-4</v>
      </c>
      <c r="N85" s="684" t="str">
        <f ca="1"/>
        <v>IBERDROLA, S.A.</v>
      </c>
      <c r="O85" s="403">
        <f ca="1"/>
        <v>0.74648205888838004</v>
      </c>
      <c r="P85" s="403">
        <f ca="1"/>
        <v>0.77655473934448505</v>
      </c>
      <c r="Q85" s="403">
        <f ca="1"/>
        <v>0.96127422970660104</v>
      </c>
      <c r="R85" s="441">
        <f ca="1"/>
        <v>0.96127422970660104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-2.79523572047214E-2</v>
      </c>
      <c r="U85" s="413">
        <f ca="1"/>
        <v>1.9321325156943701E-2</v>
      </c>
      <c r="V85" s="413">
        <f ca="1"/>
        <v>4.7273682361665098E-2</v>
      </c>
      <c r="W85" s="414">
        <f ca="1"/>
        <v>4.08712082319435E-3</v>
      </c>
      <c r="X85" s="415">
        <f ca="1"/>
        <v>4.7273682361665097</v>
      </c>
      <c r="Y85" s="416">
        <f t="shared" ca="1" si="7"/>
        <v>8.7770975817623054E-2</v>
      </c>
      <c r="Z85" s="417">
        <f t="shared" ca="1" si="8"/>
        <v>-1.6958515631145363E-3</v>
      </c>
      <c r="AA85" s="416">
        <f t="shared" ca="1" si="9"/>
        <v>7.5215780333318674E-2</v>
      </c>
      <c r="AB85" s="418">
        <f t="shared" ca="1" si="10"/>
        <v>3.8827647820346323E-3</v>
      </c>
      <c r="AC85" s="417">
        <f t="shared" ca="1" si="11"/>
        <v>-7.2663427437665088E-5</v>
      </c>
      <c r="AD85" s="220"/>
      <c r="AE85" s="220">
        <f t="shared" ca="1" si="12"/>
        <v>5.3641651032835186E-3</v>
      </c>
    </row>
    <row r="86" spans="1:31" customFormat="1" ht="14.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1.20202745714577E-4</v>
      </c>
      <c r="J86" s="403">
        <f ca="1"/>
        <v>4.6099928111595302E-4</v>
      </c>
      <c r="K86" s="403">
        <f ca="1"/>
        <v>0.260743889716268</v>
      </c>
      <c r="L86" s="403">
        <f ca="1"/>
        <v>0.260743889716268</v>
      </c>
      <c r="M86" s="403">
        <f ca="1"/>
        <v>-2.0282126840072201E-4</v>
      </c>
      <c r="N86" s="684" t="str">
        <f ca="1"/>
        <v>NATIONAL GRID PLC</v>
      </c>
      <c r="O86" s="403">
        <f ca="1"/>
        <v>0.74539219188981998</v>
      </c>
      <c r="P86" s="403">
        <f ca="1"/>
        <v>0.76745155624052497</v>
      </c>
      <c r="Q86" s="403">
        <f ca="1"/>
        <v>0.97125634292962304</v>
      </c>
      <c r="R86" s="441">
        <f ca="1"/>
        <v>0.97125634292962304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-1.8370059200552898E-2</v>
      </c>
      <c r="U86" s="413">
        <f ca="1"/>
        <v>2.8605111636626001E-2</v>
      </c>
      <c r="V86" s="413">
        <f ca="1"/>
        <v>4.6975170837178899E-2</v>
      </c>
      <c r="W86" s="414">
        <f ca="1"/>
        <v>6.0894108795845397E-3</v>
      </c>
      <c r="X86" s="415">
        <f ca="1"/>
        <v>4.6975170837178899</v>
      </c>
      <c r="Y86" s="416">
        <f t="shared" ca="1" si="7"/>
        <v>8.7770975817623054E-2</v>
      </c>
      <c r="Z86" s="417">
        <f t="shared" ca="1" si="8"/>
        <v>-2.510698561718705E-3</v>
      </c>
      <c r="AA86" s="416">
        <f t="shared" ca="1" si="9"/>
        <v>8.6914629905422661E-2</v>
      </c>
      <c r="AB86" s="418">
        <f t="shared" ca="1" si="10"/>
        <v>5.7849403356053123E-3</v>
      </c>
      <c r="AC86" s="417">
        <f t="shared" ca="1" si="11"/>
        <v>-1.2431013456503238E-4</v>
      </c>
      <c r="AD86" s="220"/>
      <c r="AE86" s="220">
        <f t="shared" ca="1" si="12"/>
        <v>8.6986056660482876E-3</v>
      </c>
    </row>
    <row r="87" spans="1:31" customFormat="1" ht="14.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1.14864710963038E-4</v>
      </c>
      <c r="J87" s="403">
        <f ca="1"/>
        <v>4.75556067780777E-4</v>
      </c>
      <c r="K87" s="403">
        <f ca="1"/>
        <v>0.24153768345142601</v>
      </c>
      <c r="L87" s="403">
        <f ca="1"/>
        <v>0.24153768345142601</v>
      </c>
      <c r="M87" s="403">
        <f ca="1"/>
        <v>-1.6429221240388299E-4</v>
      </c>
      <c r="N87" s="684" t="str">
        <f ca="1"/>
        <v>NATURGY ENERGY GROUP, S.A.</v>
      </c>
      <c r="O87" s="403">
        <f ca="1"/>
        <v>0.74603471975208002</v>
      </c>
      <c r="P87" s="403">
        <f ca="1"/>
        <v>0.77265731794831005</v>
      </c>
      <c r="Q87" s="403">
        <f ca="1"/>
        <v>0.96554410658152701</v>
      </c>
      <c r="R87" s="441">
        <f ca="1"/>
        <v>0.96554410658152701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-2.3849808366642099E-2</v>
      </c>
      <c r="U87" s="413">
        <f ca="1"/>
        <v>2.3287745622337701E-2</v>
      </c>
      <c r="V87" s="413">
        <f ca="1"/>
        <v>4.71375539889798E-2</v>
      </c>
      <c r="W87" s="414">
        <f ca="1"/>
        <v>4.94038057803807E-3</v>
      </c>
      <c r="X87" s="415">
        <f ca="1"/>
        <v>4.7137553988979803</v>
      </c>
      <c r="Y87" s="416">
        <f t="shared" ca="1" si="7"/>
        <v>8.7770975817623054E-2</v>
      </c>
      <c r="Z87" s="417">
        <f t="shared" ca="1" si="8"/>
        <v>-2.0439881578651576E-3</v>
      </c>
      <c r="AA87" s="416">
        <f t="shared" ca="1" si="9"/>
        <v>8.0512561150475337E-2</v>
      </c>
      <c r="AB87" s="418">
        <f t="shared" ca="1" si="10"/>
        <v>4.6933615491361663E-3</v>
      </c>
      <c r="AC87" s="417">
        <f t="shared" ca="1" si="11"/>
        <v>-9.3747802173758905E-5</v>
      </c>
      <c r="AD87" s="220"/>
      <c r="AE87" s="220">
        <f t="shared" ca="1" si="12"/>
        <v>6.9504574422507726E-3</v>
      </c>
    </row>
    <row r="88" spans="1:31" customFormat="1" ht="14.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1.21800843958688E-4</v>
      </c>
      <c r="J88" s="403">
        <f ca="1"/>
        <v>4.6004849195900002E-4</v>
      </c>
      <c r="K88" s="403">
        <f ca="1"/>
        <v>0.264756533468961</v>
      </c>
      <c r="L88" s="403">
        <f ca="1"/>
        <v>0.264756533468961</v>
      </c>
      <c r="M88" s="403">
        <f ca="1"/>
        <v>-2.1148311492751401E-4</v>
      </c>
      <c r="N88" s="684" t="str">
        <f ca="1"/>
        <v>REPSOL, S.A.</v>
      </c>
      <c r="O88" s="403">
        <f ca="1"/>
        <v>0.74523241628178005</v>
      </c>
      <c r="P88" s="403">
        <f ca="1"/>
        <v>0.76626812794293997</v>
      </c>
      <c r="Q88" s="403">
        <f ca="1"/>
        <v>0.97254784468508304</v>
      </c>
      <c r="R88" s="441">
        <f ca="1"/>
        <v>0.97254784468508304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-1.71243452030947E-2</v>
      </c>
      <c r="U88" s="413">
        <f ca="1"/>
        <v>2.9804425859164301E-2</v>
      </c>
      <c r="V88" s="413">
        <f ca="1"/>
        <v>4.6928771062258998E-2</v>
      </c>
      <c r="W88" s="414">
        <f ca="1"/>
        <v>6.3509921918951696E-3</v>
      </c>
      <c r="X88" s="415">
        <f ca="1"/>
        <v>4.6928771062259003</v>
      </c>
      <c r="Y88" s="416">
        <f t="shared" ca="1" si="7"/>
        <v>8.7770975817623054E-2</v>
      </c>
      <c r="Z88" s="417">
        <f t="shared" ca="1" si="8"/>
        <v>-2.6159635413428479E-3</v>
      </c>
      <c r="AA88" s="416">
        <f t="shared" ca="1" si="9"/>
        <v>8.8252177822986999E-2</v>
      </c>
      <c r="AB88" s="418">
        <f t="shared" ca="1" si="10"/>
        <v>6.033442582300411E-3</v>
      </c>
      <c r="AC88" s="417">
        <f t="shared" ca="1" si="11"/>
        <v>-1.3151527454175003E-4</v>
      </c>
      <c r="AD88" s="220"/>
      <c r="AE88" s="220">
        <f t="shared" ca="1" si="12"/>
        <v>9.2764097404042598E-3</v>
      </c>
    </row>
    <row r="89" spans="1:31" customFormat="1" ht="14.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1.00833700683549E-4</v>
      </c>
      <c r="J89" s="403">
        <f ca="1"/>
        <v>4.82114516557698E-4</v>
      </c>
      <c r="K89" s="403">
        <f ca="1"/>
        <v>0.209148858249493</v>
      </c>
      <c r="L89" s="403">
        <f ca="1"/>
        <v>0.209148858249493</v>
      </c>
      <c r="M89" s="403">
        <f ca="1"/>
        <v>-1.07728231505853E-4</v>
      </c>
      <c r="N89" s="684" t="str">
        <f ca="1"/>
        <v>SHELL PLC</v>
      </c>
      <c r="O89" s="403">
        <f ca="1"/>
        <v>0.74684629074625997</v>
      </c>
      <c r="P89" s="403">
        <f ca="1"/>
        <v>0.78018419635537495</v>
      </c>
      <c r="Q89" s="403">
        <f ca="1"/>
        <v>0.95726918621928903</v>
      </c>
      <c r="R89" s="441">
        <f ca="1"/>
        <v>0.95726918621928903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-3.1772838268815898E-2</v>
      </c>
      <c r="U89" s="413">
        <f ca="1"/>
        <v>1.55948277452561E-2</v>
      </c>
      <c r="V89" s="413">
        <f ca="1"/>
        <v>4.7367666014072003E-2</v>
      </c>
      <c r="W89" s="414">
        <f ca="1"/>
        <v>3.2922938910739598E-3</v>
      </c>
      <c r="X89" s="415">
        <f ca="1"/>
        <v>4.7367666014071999</v>
      </c>
      <c r="Y89" s="416">
        <f t="shared" ca="1" si="7"/>
        <v>8.7770975817623054E-2</v>
      </c>
      <c r="Z89" s="417">
        <f t="shared" ca="1" si="8"/>
        <v>-1.368773248908869E-3</v>
      </c>
      <c r="AA89" s="416">
        <f t="shared" ca="1" si="9"/>
        <v>6.9716286083164339E-2</v>
      </c>
      <c r="AB89" s="418">
        <f t="shared" ca="1" si="10"/>
        <v>3.1276791965202618E-3</v>
      </c>
      <c r="AC89" s="417">
        <f t="shared" ca="1" si="11"/>
        <v>-5.4360673625297092E-5</v>
      </c>
      <c r="AD89" s="220"/>
      <c r="AE89" s="220">
        <f t="shared" ca="1" si="12"/>
        <v>4.5092412496482888E-3</v>
      </c>
    </row>
    <row r="90" spans="1:31" customFormat="1" ht="14.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9.9039692176154906E-5</v>
      </c>
      <c r="J90" s="403">
        <f ca="1"/>
        <v>4.82828411565942E-4</v>
      </c>
      <c r="K90" s="403">
        <f ca="1"/>
        <v>0.20512399395665801</v>
      </c>
      <c r="L90" s="403">
        <f ca="1"/>
        <v>0.20512399395665801</v>
      </c>
      <c r="M90" s="403">
        <f ca="1"/>
        <v>-1.01641075440444E-4</v>
      </c>
      <c r="N90" s="684" t="str">
        <f ca="1"/>
        <v>TOTALENERGIES SE</v>
      </c>
      <c r="O90" s="403">
        <f ca="1"/>
        <v>0.74692784987355998</v>
      </c>
      <c r="P90" s="403">
        <f ca="1"/>
        <v>0.780987590944625</v>
      </c>
      <c r="Q90" s="403">
        <f ca="1"/>
        <v>0.95638888317051396</v>
      </c>
      <c r="R90" s="441">
        <f ca="1"/>
        <v>0.95638888317051396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-3.2618516783815298E-2</v>
      </c>
      <c r="U90" s="413">
        <f ca="1"/>
        <v>1.47811091277112E-2</v>
      </c>
      <c r="V90" s="413">
        <f ca="1"/>
        <v>4.7399625911526501E-2</v>
      </c>
      <c r="W90" s="414">
        <f ca="1"/>
        <v>3.1184020640375402E-3</v>
      </c>
      <c r="X90" s="415">
        <f ca="1"/>
        <v>4.7399625911526497</v>
      </c>
      <c r="Y90" s="416">
        <f t="shared" ca="1" si="7"/>
        <v>8.7770975817623054E-2</v>
      </c>
      <c r="Z90" s="417">
        <f t="shared" ca="1" si="8"/>
        <v>-1.2973523718059828E-3</v>
      </c>
      <c r="AA90" s="416">
        <f t="shared" ca="1" si="9"/>
        <v>6.8374664652219336E-2</v>
      </c>
      <c r="AB90" s="418">
        <f t="shared" ca="1" si="10"/>
        <v>2.9624819608356631E-3</v>
      </c>
      <c r="AC90" s="417">
        <f t="shared" ca="1" si="11"/>
        <v>-5.0532668989755435E-5</v>
      </c>
      <c r="AD90" s="220"/>
      <c r="AE90" s="220">
        <f t="shared" ca="1" si="12"/>
        <v>4.1080232978809115E-3</v>
      </c>
    </row>
    <row r="91" spans="1:31" customFormat="1" ht="14.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1.11349785218864E-4</v>
      </c>
      <c r="J91" s="403">
        <f ca="1"/>
        <v>4.77512728739282E-4</v>
      </c>
      <c r="K91" s="403">
        <f ca="1"/>
        <v>0.233187051396194</v>
      </c>
      <c r="L91" s="403">
        <f ca="1"/>
        <v>0.233187051396194</v>
      </c>
      <c r="M91" s="403">
        <f ca="1"/>
        <v>-1.4863765306311299E-4</v>
      </c>
      <c r="N91" s="684" t="str">
        <f ca="1"/>
        <v>VEOLIA ENVIRONNEMENT</v>
      </c>
      <c r="O91" s="403">
        <f ca="1"/>
        <v>0.74628690966004996</v>
      </c>
      <c r="P91" s="403">
        <f ca="1"/>
        <v>0.77474712848554805</v>
      </c>
      <c r="Q91" s="403">
        <f ca="1"/>
        <v>0.96326515093882104</v>
      </c>
      <c r="R91" s="441">
        <f ca="1"/>
        <v>0.96326515093882104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-2.60496089321555E-2</v>
      </c>
      <c r="U91" s="413">
        <f ca="1"/>
        <v>2.11751698088532E-2</v>
      </c>
      <c r="V91" s="413">
        <f ca="1"/>
        <v>4.7224778741008701E-2</v>
      </c>
      <c r="W91" s="414">
        <f ca="1"/>
        <v>4.48391085641344E-3</v>
      </c>
      <c r="X91" s="415">
        <f ca="1"/>
        <v>4.7224778741008704</v>
      </c>
      <c r="Y91" s="416">
        <f t="shared" ca="1" si="7"/>
        <v>8.7770975817623054E-2</v>
      </c>
      <c r="Z91" s="417">
        <f t="shared" ca="1" si="8"/>
        <v>-1.858565317226912E-3</v>
      </c>
      <c r="AA91" s="416">
        <f t="shared" ca="1" si="9"/>
        <v>7.7729017132064662E-2</v>
      </c>
      <c r="AB91" s="418">
        <f t="shared" ca="1" si="10"/>
        <v>4.2597153135927679E-3</v>
      </c>
      <c r="AC91" s="417">
        <f t="shared" ca="1" si="11"/>
        <v>-8.2296256842336285E-5</v>
      </c>
      <c r="AD91" s="220"/>
      <c r="AE91" s="220">
        <f t="shared" ca="1" si="12"/>
        <v>5.8293674590938292E-3</v>
      </c>
    </row>
    <row r="92" spans="1:31" customFormat="1" ht="14.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1.0281908141343E-4</v>
      </c>
      <c r="J92" s="403">
        <f ca="1"/>
        <v>4.8128456657747901E-4</v>
      </c>
      <c r="K92" s="403">
        <f ca="1"/>
        <v>0.21363469463523299</v>
      </c>
      <c r="L92" s="403">
        <f ca="1"/>
        <v>0.21363469463523299</v>
      </c>
      <c r="M92" s="403">
        <f ca="1"/>
        <v>-1.1475374925342701E-4</v>
      </c>
      <c r="N92" s="684" t="str">
        <f ca="1"/>
        <v>BERTELSMANN SE &amp; CO. KGAA</v>
      </c>
      <c r="O92" s="403">
        <f ca="1"/>
        <v>0.74674943485109002</v>
      </c>
      <c r="P92" s="403">
        <f ca="1"/>
        <v>0.77925606710226702</v>
      </c>
      <c r="Q92" s="403">
        <f ca="1"/>
        <v>0.958285044385916</v>
      </c>
      <c r="R92" s="441">
        <f ca="1"/>
        <v>0.958285044385916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-3.0795860107648999E-2</v>
      </c>
      <c r="U92" s="413">
        <f ca="1"/>
        <v>1.65343959733758E-2</v>
      </c>
      <c r="V92" s="413">
        <f ca="1"/>
        <v>4.7330256081024799E-2</v>
      </c>
      <c r="W92" s="414">
        <f ca="1"/>
        <v>3.4934093627278298E-3</v>
      </c>
      <c r="X92" s="415">
        <f ca="1"/>
        <v>4.73302560810248</v>
      </c>
      <c r="Y92" s="416">
        <f t="shared" ca="1" si="7"/>
        <v>8.7770975817623054E-2</v>
      </c>
      <c r="Z92" s="417">
        <f t="shared" ca="1" si="8"/>
        <v>-1.4512400691381699E-3</v>
      </c>
      <c r="AA92" s="416">
        <f t="shared" ca="1" si="9"/>
        <v>7.1211564878411002E-2</v>
      </c>
      <c r="AB92" s="418">
        <f t="shared" ca="1" si="10"/>
        <v>3.3187388945914382E-3</v>
      </c>
      <c r="AC92" s="417">
        <f t="shared" ca="1" si="11"/>
        <v>-5.8872010579169419E-5</v>
      </c>
      <c r="AD92" s="220"/>
      <c r="AE92" s="220">
        <f t="shared" ca="1" si="12"/>
        <v>4.9820255389902944E-3</v>
      </c>
    </row>
    <row r="93" spans="1:31" customFormat="1" ht="14.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1.29022931290934E-4</v>
      </c>
      <c r="J93" s="403">
        <f ca="1"/>
        <v>4.5506113240431899E-4</v>
      </c>
      <c r="K93" s="403">
        <f ca="1"/>
        <v>0.28352878789985902</v>
      </c>
      <c r="L93" s="403">
        <f ca="1"/>
        <v>0.28352878789985902</v>
      </c>
      <c r="M93" s="403">
        <f ca="1"/>
        <v>-2.5482715664710301E-4</v>
      </c>
      <c r="N93" s="684" t="str">
        <f ca="1"/>
        <v>BRITISH TELECOMMUNICATIONS PUBLIC LIMITED COMPANY</v>
      </c>
      <c r="O93" s="403">
        <f ca="1"/>
        <v>0.74448064503780997</v>
      </c>
      <c r="P93" s="403">
        <f ca="1"/>
        <v>0.76028135952183695</v>
      </c>
      <c r="Q93" s="403">
        <f ca="1"/>
        <v>0.97921728017379694</v>
      </c>
      <c r="R93" s="441">
        <f ca="1"/>
        <v>0.97921728017379694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-1.08224837071965E-2</v>
      </c>
      <c r="U93" s="413">
        <f ca="1"/>
        <v>3.6051815401866701E-2</v>
      </c>
      <c r="V93" s="413">
        <f ca="1"/>
        <v>4.6874299109063197E-2</v>
      </c>
      <c r="W93" s="414">
        <f ca="1"/>
        <v>7.6911689533713202E-3</v>
      </c>
      <c r="X93" s="415">
        <f ca="1"/>
        <v>4.68742991090632</v>
      </c>
      <c r="Y93" s="416">
        <f t="shared" ca="1" si="7"/>
        <v>8.7770975817623054E-2</v>
      </c>
      <c r="Z93" s="417">
        <f t="shared" ca="1" si="8"/>
        <v>-3.16430301781866E-3</v>
      </c>
      <c r="AA93" s="416">
        <f t="shared" ca="1" si="9"/>
        <v>9.4509595966619675E-2</v>
      </c>
      <c r="AB93" s="418">
        <f t="shared" ca="1" si="10"/>
        <v>7.3066105057027538E-3</v>
      </c>
      <c r="AC93" s="417">
        <f t="shared" ca="1" si="11"/>
        <v>-1.7036212537467946E-4</v>
      </c>
      <c r="AD93" s="220"/>
      <c r="AE93" s="220">
        <f t="shared" ca="1" si="12"/>
        <v>8.763088184865632E-3</v>
      </c>
    </row>
    <row r="94" spans="1:31" customFormat="1" ht="14.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1.0160666235377501E-4</v>
      </c>
      <c r="J94" s="403">
        <f ca="1"/>
        <v>4.8172063484299901E-4</v>
      </c>
      <c r="K94" s="403">
        <f ca="1"/>
        <v>0.210924454973556</v>
      </c>
      <c r="L94" s="403">
        <f ca="1"/>
        <v>0.210924454973556</v>
      </c>
      <c r="M94" s="403">
        <f ca="1"/>
        <v>-1.10399314363954E-4</v>
      </c>
      <c r="N94" s="684" t="str">
        <f ca="1"/>
        <v>DEUTSCHE TELEKOM AG</v>
      </c>
      <c r="O94" s="403">
        <f ca="1"/>
        <v>0.74680231296218003</v>
      </c>
      <c r="P94" s="403">
        <f ca="1"/>
        <v>0.77983584582402898</v>
      </c>
      <c r="Q94" s="403">
        <f ca="1"/>
        <v>0.95764040209392598</v>
      </c>
      <c r="R94" s="441">
        <f ca="1"/>
        <v>0.95764040209392598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-3.14061534989774E-2</v>
      </c>
      <c r="U94" s="413">
        <f ca="1"/>
        <v>1.5932529356877199E-2</v>
      </c>
      <c r="V94" s="413">
        <f ca="1"/>
        <v>4.7338682855854602E-2</v>
      </c>
      <c r="W94" s="414">
        <f ca="1"/>
        <v>3.3656469499566302E-3</v>
      </c>
      <c r="X94" s="415">
        <f ca="1"/>
        <v>4.7338682855854604</v>
      </c>
      <c r="Y94" s="416">
        <f t="shared" ca="1" si="7"/>
        <v>8.7770975817623054E-2</v>
      </c>
      <c r="Z94" s="417">
        <f t="shared" ca="1" si="8"/>
        <v>-1.3984136488960318E-3</v>
      </c>
      <c r="AA94" s="416">
        <f t="shared" ca="1" si="9"/>
        <v>7.0308151657851994E-2</v>
      </c>
      <c r="AB94" s="418">
        <f t="shared" ca="1" si="10"/>
        <v>3.1973646024587984E-3</v>
      </c>
      <c r="AC94" s="417">
        <f t="shared" ca="1" si="11"/>
        <v>-5.6009334515824897E-5</v>
      </c>
      <c r="AD94" s="220"/>
      <c r="AE94" s="220">
        <f t="shared" ca="1" si="12"/>
        <v>4.9704419312139045E-3</v>
      </c>
    </row>
    <row r="95" spans="1:31" customFormat="1" ht="14.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1.4663961903583101E-4</v>
      </c>
      <c r="J95" s="403">
        <f ca="1"/>
        <v>4.60573807344663E-4</v>
      </c>
      <c r="K95" s="403">
        <f ca="1"/>
        <v>0.31838462521620498</v>
      </c>
      <c r="L95" s="403">
        <f ca="1"/>
        <v>0.31838462521620498</v>
      </c>
      <c r="M95" s="403">
        <f ca="1"/>
        <v>-3.43752282459358E-4</v>
      </c>
      <c r="N95" s="684" t="str">
        <f ca="1"/>
        <v>ITV PLC</v>
      </c>
      <c r="O95" s="403">
        <f ca="1"/>
        <v>0.74253026280477996</v>
      </c>
      <c r="P95" s="403">
        <f ca="1"/>
        <v>0.74749511979995997</v>
      </c>
      <c r="Q95" s="403">
        <f ca="1"/>
        <v>0.99335800747902003</v>
      </c>
      <c r="R95" s="441">
        <f ca="1"/>
        <v>0.99335800747902003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2.6367160000415999E-3</v>
      </c>
      <c r="U95" s="413">
        <f ca="1"/>
        <v>4.9190449934652797E-2</v>
      </c>
      <c r="V95" s="413">
        <f ca="1"/>
        <v>4.6553733934611201E-2</v>
      </c>
      <c r="W95" s="414">
        <f ca="1"/>
        <v>1.05663812066601E-2</v>
      </c>
      <c r="X95" s="415">
        <f ca="1"/>
        <v>4.6553733934611197</v>
      </c>
      <c r="Y95" s="416">
        <f t="shared" ca="1" si="7"/>
        <v>8.7770975817623054E-2</v>
      </c>
      <c r="Z95" s="417">
        <f t="shared" ca="1" si="8"/>
        <v>-4.3174937916724285E-3</v>
      </c>
      <c r="AA95" s="416">
        <f t="shared" ca="1" si="9"/>
        <v>0.10612820840540166</v>
      </c>
      <c r="AB95" s="418">
        <f t="shared" ca="1" si="10"/>
        <v>1.0038062146327095E-2</v>
      </c>
      <c r="AC95" s="417">
        <f t="shared" ca="1" si="11"/>
        <v>-2.6102471611101679E-4</v>
      </c>
      <c r="AD95" s="220"/>
      <c r="AE95" s="220">
        <f t="shared" ca="1" si="12"/>
        <v>1.154336243580887E-2</v>
      </c>
    </row>
    <row r="96" spans="1:31" customFormat="1" ht="14.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1.14098622607485E-4</v>
      </c>
      <c r="J96" s="403">
        <f ca="1"/>
        <v>4.7604885422220699E-4</v>
      </c>
      <c r="K96" s="403">
        <f ca="1"/>
        <v>0.239678389298731</v>
      </c>
      <c r="L96" s="403">
        <f ca="1"/>
        <v>0.239678389298731</v>
      </c>
      <c r="M96" s="403">
        <f ca="1"/>
        <v>-1.6083604639015799E-4</v>
      </c>
      <c r="N96" s="684" t="str">
        <f ca="1"/>
        <v>KONINKLIJKE KPN N.V.</v>
      </c>
      <c r="O96" s="403">
        <f ca="1"/>
        <v>0.74610214521953</v>
      </c>
      <c r="P96" s="403">
        <f ca="1"/>
        <v>0.77311755519582503</v>
      </c>
      <c r="Q96" s="403">
        <f ca="1"/>
        <v>0.96505653015542703</v>
      </c>
      <c r="R96" s="441">
        <f ca="1"/>
        <v>0.96505653015542703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-2.4334268627184501E-2</v>
      </c>
      <c r="U96" s="413">
        <f ca="1"/>
        <v>2.2842682863807799E-2</v>
      </c>
      <c r="V96" s="413">
        <f ca="1"/>
        <v>4.7176951490992297E-2</v>
      </c>
      <c r="W96" s="414">
        <f ca="1"/>
        <v>4.8419158385359503E-3</v>
      </c>
      <c r="X96" s="415">
        <f ca="1"/>
        <v>4.7176951490992298</v>
      </c>
      <c r="Y96" s="416">
        <f t="shared" ca="1" si="7"/>
        <v>8.7770975817623054E-2</v>
      </c>
      <c r="Z96" s="417">
        <f t="shared" ca="1" si="8"/>
        <v>-2.0049245652489053E-3</v>
      </c>
      <c r="AA96" s="416">
        <f t="shared" ca="1" si="9"/>
        <v>7.9892796432910335E-2</v>
      </c>
      <c r="AB96" s="418">
        <f t="shared" ca="1" si="10"/>
        <v>4.5998200466091524E-3</v>
      </c>
      <c r="AC96" s="417">
        <f t="shared" ca="1" si="11"/>
        <v>-9.1248290600986367E-5</v>
      </c>
      <c r="AD96" s="220"/>
      <c r="AE96" s="220">
        <f t="shared" ca="1" si="12"/>
        <v>6.3196565064664451E-3</v>
      </c>
    </row>
    <row r="97" spans="1:31" customFormat="1" ht="14.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1.00349933170123E-4</v>
      </c>
      <c r="J97" s="403">
        <f ca="1"/>
        <v>4.8239091109553899E-4</v>
      </c>
      <c r="K97" s="403">
        <f ca="1"/>
        <v>0.20802616894713499</v>
      </c>
      <c r="L97" s="403">
        <f ca="1"/>
        <v>0.20802616894713499</v>
      </c>
      <c r="M97" s="403">
        <f ca="1"/>
        <v>-1.0612851640340999E-4</v>
      </c>
      <c r="N97" s="684" t="str">
        <f ca="1"/>
        <v>ORANGE</v>
      </c>
      <c r="O97" s="403">
        <f ca="1"/>
        <v>0.74687613797182995</v>
      </c>
      <c r="P97" s="403">
        <f ca="1"/>
        <v>0.78038914078712296</v>
      </c>
      <c r="Q97" s="403">
        <f ca="1"/>
        <v>0.95705603645190296</v>
      </c>
      <c r="R97" s="441">
        <f ca="1"/>
        <v>0.95705603645190296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-3.1988569249602902E-2</v>
      </c>
      <c r="U97" s="413">
        <f ca="1"/>
        <v>1.54044541586803E-2</v>
      </c>
      <c r="V97" s="413">
        <f ca="1"/>
        <v>4.7393023408283198E-2</v>
      </c>
      <c r="W97" s="414">
        <f ca="1"/>
        <v>3.2503632498761402E-3</v>
      </c>
      <c r="X97" s="415">
        <f ca="1"/>
        <v>4.7393023408283197</v>
      </c>
      <c r="Y97" s="416">
        <f t="shared" ca="1" si="7"/>
        <v>8.7770975817623054E-2</v>
      </c>
      <c r="Z97" s="417">
        <f t="shared" ca="1" si="8"/>
        <v>-1.3520639734452148E-3</v>
      </c>
      <c r="AA97" s="416">
        <f t="shared" ca="1" si="9"/>
        <v>6.9342056315711664E-2</v>
      </c>
      <c r="AB97" s="418">
        <f t="shared" ca="1" si="10"/>
        <v>3.0878450873823332E-3</v>
      </c>
      <c r="AC97" s="417">
        <f t="shared" ca="1" si="11"/>
        <v>-5.340882638920052E-5</v>
      </c>
      <c r="AD97" s="220"/>
      <c r="AE97" s="220">
        <f t="shared" ca="1" si="12"/>
        <v>4.0801836681962885E-3</v>
      </c>
    </row>
    <row r="98" spans="1:31" customFormat="1" ht="14.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1.1988938123234799E-4</v>
      </c>
      <c r="J98" s="403">
        <f ca="1"/>
        <v>4.7256361581925302E-4</v>
      </c>
      <c r="K98" s="403">
        <f ca="1"/>
        <v>0.25369998285734202</v>
      </c>
      <c r="L98" s="403">
        <f ca="1"/>
        <v>0.25369998285734202</v>
      </c>
      <c r="M98" s="403">
        <f ca="1"/>
        <v>-1.8887864543275901E-4</v>
      </c>
      <c r="N98" s="684" t="str">
        <f ca="1"/>
        <v>PEARSON PLC</v>
      </c>
      <c r="O98" s="403">
        <f ca="1"/>
        <v>0.74565727568426998</v>
      </c>
      <c r="P98" s="403">
        <f ca="1"/>
        <v>0.76934383669566497</v>
      </c>
      <c r="Q98" s="403">
        <f ca="1"/>
        <v>0.96921199614319498</v>
      </c>
      <c r="R98" s="441">
        <f ca="1"/>
        <v>0.96921199614319498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-2.03619333638577E-2</v>
      </c>
      <c r="U98" s="413">
        <f ca="1"/>
        <v>2.6716788859493801E-2</v>
      </c>
      <c r="V98" s="413">
        <f ca="1"/>
        <v>4.70787222233515E-2</v>
      </c>
      <c r="W98" s="414">
        <f ca="1"/>
        <v>5.6749180091897299E-3</v>
      </c>
      <c r="X98" s="415">
        <f ca="1"/>
        <v>4.7078722223351503</v>
      </c>
      <c r="Y98" s="416">
        <f t="shared" ca="1" si="7"/>
        <v>8.7770975817623054E-2</v>
      </c>
      <c r="Z98" s="417">
        <f t="shared" ca="1" si="8"/>
        <v>-2.3449586289111734E-3</v>
      </c>
      <c r="AA98" s="416">
        <f t="shared" ca="1" si="9"/>
        <v>8.4566660952447345E-2</v>
      </c>
      <c r="AB98" s="418">
        <f t="shared" ca="1" si="10"/>
        <v>5.3911721087302432E-3</v>
      </c>
      <c r="AC98" s="417">
        <f t="shared" ca="1" si="11"/>
        <v>-1.129674812609469E-4</v>
      </c>
      <c r="AD98" s="220"/>
      <c r="AE98" s="220">
        <f t="shared" ca="1" si="12"/>
        <v>7.2159903787417726E-3</v>
      </c>
    </row>
    <row r="99" spans="1:31" customFormat="1" ht="14.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1.13371824407973E-4</v>
      </c>
      <c r="J99" s="403">
        <f ca="1"/>
        <v>4.7649584437104998E-4</v>
      </c>
      <c r="K99" s="403">
        <f ca="1"/>
        <v>0.237928254248719</v>
      </c>
      <c r="L99" s="403">
        <f ca="1"/>
        <v>0.237928254248719</v>
      </c>
      <c r="M99" s="403">
        <f ca="1"/>
        <v>-1.5763029514880001E-4</v>
      </c>
      <c r="N99" s="684" t="str">
        <f ca="1"/>
        <v>PUBLICIS GROUPE SA</v>
      </c>
      <c r="O99" s="403">
        <f ca="1"/>
        <v>0.74616233104312002</v>
      </c>
      <c r="P99" s="403">
        <f ca="1"/>
        <v>0.773542836435125</v>
      </c>
      <c r="Q99" s="403">
        <f ca="1"/>
        <v>0.96460376322765995</v>
      </c>
      <c r="R99" s="441">
        <f ca="1"/>
        <v>0.96460376322765995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-2.47819330896057E-2</v>
      </c>
      <c r="U99" s="413">
        <f ca="1"/>
        <v>2.2428866911555798E-2</v>
      </c>
      <c r="V99" s="413">
        <f ca="1"/>
        <v>4.7210800001161499E-2</v>
      </c>
      <c r="W99" s="414">
        <f ca="1"/>
        <v>4.7507915373185801E-3</v>
      </c>
      <c r="X99" s="415">
        <f ca="1"/>
        <v>4.7210800001161504</v>
      </c>
      <c r="Y99" s="416">
        <f t="shared" ca="1" si="7"/>
        <v>8.7770975817623054E-2</v>
      </c>
      <c r="Z99" s="417">
        <f t="shared" ca="1" si="8"/>
        <v>-1.968603535310851E-3</v>
      </c>
      <c r="AA99" s="416">
        <f t="shared" ca="1" si="9"/>
        <v>7.9309418082906327E-2</v>
      </c>
      <c r="AB99" s="418">
        <f t="shared" ca="1" si="10"/>
        <v>4.5132519604526508E-3</v>
      </c>
      <c r="AC99" s="417">
        <f t="shared" ca="1" si="11"/>
        <v>-8.8941019150722296E-5</v>
      </c>
      <c r="AD99" s="220"/>
      <c r="AE99" s="220">
        <f t="shared" ca="1" si="12"/>
        <v>5.7854078129028789E-3</v>
      </c>
    </row>
    <row r="100" spans="1:31" customFormat="1" ht="14.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1.6635274990179101E-4</v>
      </c>
      <c r="J100" s="403">
        <f ca="1"/>
        <v>4.4059323115798601E-4</v>
      </c>
      <c r="K100" s="403">
        <f ca="1"/>
        <v>0.37756537808031099</v>
      </c>
      <c r="L100" s="403">
        <f ca="1"/>
        <v>0.37756537808031099</v>
      </c>
      <c r="M100" s="403">
        <f ca="1"/>
        <v>-5.0700619167287598E-4</v>
      </c>
      <c r="N100" s="684" t="str">
        <f ca="1"/>
        <v>SES</v>
      </c>
      <c r="O100" s="403">
        <f ca="1"/>
        <v>0.73754403416103997</v>
      </c>
      <c r="P100" s="403">
        <f ca="1"/>
        <v>0.72148732230034696</v>
      </c>
      <c r="Q100" s="403">
        <f ca="1"/>
        <v>1.0222550159433099</v>
      </c>
      <c r="R100" s="441">
        <f ca="1"/>
        <v>1.0222550159433099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3.0013344947002699E-2</v>
      </c>
      <c r="U100" s="413">
        <f ca="1"/>
        <v>7.56665408389324E-2</v>
      </c>
      <c r="V100" s="413">
        <f ca="1"/>
        <v>4.5653195891929697E-2</v>
      </c>
      <c r="W100" s="414">
        <f ca="1"/>
        <v>1.6574204578809901E-2</v>
      </c>
      <c r="X100" s="415">
        <f ca="1"/>
        <v>4.5653195891929697</v>
      </c>
      <c r="Y100" s="416">
        <f t="shared" ca="1" si="7"/>
        <v>8.7770975817623054E-2</v>
      </c>
      <c r="Z100" s="417">
        <f t="shared" ca="1" si="8"/>
        <v>-6.6413261261771455E-3</v>
      </c>
      <c r="AA100" s="416">
        <f t="shared" ca="1" si="9"/>
        <v>0.12585512602677032</v>
      </c>
      <c r="AB100" s="418">
        <f t="shared" ca="1" si="10"/>
        <v>1.5745494349869407E-2</v>
      </c>
      <c r="AC100" s="417">
        <f t="shared" ca="1" si="11"/>
        <v>-4.7615110166468152E-4</v>
      </c>
      <c r="AD100" s="220"/>
      <c r="AE100" s="220">
        <f t="shared" ca="1" si="12"/>
        <v>2.1916348710331959E-2</v>
      </c>
    </row>
    <row r="101" spans="1:31" customFormat="1" ht="14.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7.6614937146657404E-5</v>
      </c>
      <c r="J101" s="403">
        <f ca="1"/>
        <v>4.8899953402871898E-4</v>
      </c>
      <c r="K101" s="403">
        <f ca="1"/>
        <v>0.15667691237954801</v>
      </c>
      <c r="L101" s="403">
        <f ca="1"/>
        <v>0.15667691237954801</v>
      </c>
      <c r="M101" s="403">
        <f ca="1"/>
        <v>-4.3475025282004903E-5</v>
      </c>
      <c r="N101" s="684" t="str">
        <f ca="1"/>
        <v>SKY LIMITED</v>
      </c>
      <c r="O101" s="403">
        <f ca="1"/>
        <v>0.74756746071942004</v>
      </c>
      <c r="P101" s="403">
        <f ca="1"/>
        <v>0.78876704065516801</v>
      </c>
      <c r="Q101" s="403">
        <f ca="1"/>
        <v>0.94776711270601899</v>
      </c>
      <c r="R101" s="441">
        <f ca="1"/>
        <v>0.94776711270601899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-4.0807411215966302E-2</v>
      </c>
      <c r="U101" s="413">
        <f ca="1"/>
        <v>6.816562920144E-3</v>
      </c>
      <c r="V101" s="413">
        <f ca="1"/>
        <v>4.7623974136110303E-2</v>
      </c>
      <c r="W101" s="414">
        <f ca="1"/>
        <v>1.43133013231154E-3</v>
      </c>
      <c r="X101" s="415">
        <f ca="1"/>
        <v>4.7623974136110299</v>
      </c>
      <c r="Y101" s="416">
        <f t="shared" ca="1" si="7"/>
        <v>8.7770975817623054E-2</v>
      </c>
      <c r="Z101" s="417">
        <f t="shared" ca="1" si="8"/>
        <v>-5.9829637922326597E-4</v>
      </c>
      <c r="AA101" s="416">
        <f t="shared" ca="1" si="9"/>
        <v>5.2225637459849338E-2</v>
      </c>
      <c r="AB101" s="418">
        <f t="shared" ca="1" si="10"/>
        <v>1.3597636256959629E-3</v>
      </c>
      <c r="AC101" s="417">
        <f t="shared" ca="1" si="11"/>
        <v>-1.7799967189484674E-5</v>
      </c>
      <c r="AD101" s="220"/>
      <c r="AE101" s="220">
        <f t="shared" ca="1" si="12"/>
        <v>1.8373751376222752E-3</v>
      </c>
    </row>
    <row r="102" spans="1:31" customFormat="1" ht="14.5">
      <c r="A102" s="220"/>
      <c r="B102" s="267">
        <v>64</v>
      </c>
      <c r="C102" s="68" t="s">
        <v>615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1.00084952811641E-4</v>
      </c>
      <c r="J102" s="403">
        <f ca="1"/>
        <v>4.8241870344086402E-4</v>
      </c>
      <c r="K102" s="403">
        <f ca="1"/>
        <v>0.20746490983409699</v>
      </c>
      <c r="L102" s="403">
        <f ca="1"/>
        <v>0.20746490983409699</v>
      </c>
      <c r="M102" s="403">
        <f ca="1"/>
        <v>-1.05159293117927E-4</v>
      </c>
      <c r="N102" s="684" t="str">
        <f ca="1"/>
        <v>STMICROELECTRONICS N.V.</v>
      </c>
      <c r="O102" s="403">
        <f ca="1"/>
        <v>0.74688119147090004</v>
      </c>
      <c r="P102" s="403">
        <f ca="1"/>
        <v>0.78052316542606204</v>
      </c>
      <c r="Q102" s="403">
        <f ca="1"/>
        <v>0.95689817362845597</v>
      </c>
      <c r="R102" s="441">
        <f ca="1"/>
        <v>0.95689817362845597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-3.2129647816907497E-2</v>
      </c>
      <c r="U102" s="413">
        <f ca="1"/>
        <v>1.52519905322724E-2</v>
      </c>
      <c r="V102" s="413">
        <f ca="1"/>
        <v>4.7381638349179897E-2</v>
      </c>
      <c r="W102" s="414">
        <f ca="1"/>
        <v>3.21896647386327E-3</v>
      </c>
      <c r="X102" s="415">
        <f ca="1"/>
        <v>4.73816383491799</v>
      </c>
      <c r="Y102" s="416">
        <f t="shared" ca="1" si="7"/>
        <v>8.7770975817623054E-2</v>
      </c>
      <c r="Z102" s="417">
        <f t="shared" ca="1" si="8"/>
        <v>-1.3386820921786992E-3</v>
      </c>
      <c r="AA102" s="416">
        <f t="shared" ca="1" si="9"/>
        <v>6.9154969944698996E-2</v>
      </c>
      <c r="AB102" s="418">
        <f t="shared" ca="1" si="10"/>
        <v>3.0580181501701064E-3</v>
      </c>
      <c r="AC102" s="417">
        <f t="shared" ca="1" si="11"/>
        <v>-5.2737547342806712E-5</v>
      </c>
      <c r="AD102" s="220"/>
      <c r="AE102" s="220">
        <f t="shared" ca="1" si="12"/>
        <v>4.3306960403219075E-3</v>
      </c>
    </row>
    <row r="103" spans="1:31" customFormat="1" ht="14.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1.2549328802111701E-4</v>
      </c>
      <c r="J103" s="403">
        <f ca="1"/>
        <v>4.57590421980938E-4</v>
      </c>
      <c r="K103" s="403">
        <f ca="1"/>
        <v>0.27424806550331299</v>
      </c>
      <c r="L103" s="403">
        <f ca="1"/>
        <v>0.27424806550331299</v>
      </c>
      <c r="M103" s="403">
        <f ca="1"/>
        <v>-2.3295328015032101E-4</v>
      </c>
      <c r="N103" s="684" t="str">
        <f ca="1"/>
        <v>TELEFONICA, S.A.</v>
      </c>
      <c r="O103" s="403">
        <f ca="1"/>
        <v>0.74487279409871998</v>
      </c>
      <c r="P103" s="403">
        <f ca="1"/>
        <v>0.76331982394929299</v>
      </c>
      <c r="Q103" s="403">
        <f ca="1"/>
        <v>0.97583315764664502</v>
      </c>
      <c r="R103" s="441">
        <f ca="1"/>
        <v>0.97583315764664502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-1.40208673150447E-2</v>
      </c>
      <c r="U103" s="413">
        <f ca="1"/>
        <v>3.2883088696915599E-2</v>
      </c>
      <c r="V103" s="413">
        <f ca="1"/>
        <v>4.6903956011960297E-2</v>
      </c>
      <c r="W103" s="414">
        <f ca="1"/>
        <v>7.0107281971121E-3</v>
      </c>
      <c r="X103" s="415">
        <f ca="1"/>
        <v>4.6903956011960304</v>
      </c>
      <c r="Y103" s="416">
        <f t="shared" ca="1" si="7"/>
        <v>8.7770975817623054E-2</v>
      </c>
      <c r="Z103" s="417">
        <f t="shared" ca="1" si="8"/>
        <v>-2.8861807828257304E-3</v>
      </c>
      <c r="AA103" s="416">
        <f t="shared" ca="1" si="9"/>
        <v>9.1416021834437658E-2</v>
      </c>
      <c r="AB103" s="418">
        <f t="shared" ca="1" si="10"/>
        <v>6.6601917872564946E-3</v>
      </c>
      <c r="AC103" s="417">
        <f t="shared" ca="1" si="11"/>
        <v>-1.5030205771504937E-4</v>
      </c>
      <c r="AD103" s="220"/>
      <c r="AE103" s="220">
        <f t="shared" ca="1" si="12"/>
        <v>8.9864229916841332E-3</v>
      </c>
    </row>
    <row r="104" spans="1:31" customFormat="1" ht="14.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9.1100315161263303E-5</v>
      </c>
      <c r="J104" s="403">
        <f ca="1"/>
        <v>4.8548194514187802E-4</v>
      </c>
      <c r="K104" s="403">
        <f ca="1"/>
        <v>0.187649234071187</v>
      </c>
      <c r="L104" s="403">
        <f ca="1"/>
        <v>0.187649234071187</v>
      </c>
      <c r="M104" s="403">
        <f ca="1"/>
        <v>-7.7361240809450404E-5</v>
      </c>
      <c r="N104" s="684" t="str">
        <f ca="1"/>
        <v>TELEKOM AUSTRIA AKTIENGESELLSCHAFT</v>
      </c>
      <c r="O104" s="403">
        <f ca="1"/>
        <v>0.74722024558620004</v>
      </c>
      <c r="P104" s="403">
        <f ca="1"/>
        <v>0.78420567421191301</v>
      </c>
      <c r="Q104" s="403">
        <f ca="1"/>
        <v>0.95283708108477905</v>
      </c>
      <c r="R104" s="441">
        <f ca="1"/>
        <v>0.95283708108477905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-3.6005972854644797E-2</v>
      </c>
      <c r="U104" s="413">
        <f ca="1"/>
        <v>1.14929015025919E-2</v>
      </c>
      <c r="V104" s="413">
        <f ca="1"/>
        <v>4.7498874357236702E-2</v>
      </c>
      <c r="W104" s="414">
        <f ca="1"/>
        <v>2.4196155504979601E-3</v>
      </c>
      <c r="X104" s="415">
        <f ca="1"/>
        <v>4.7498874357236698</v>
      </c>
      <c r="Y104" s="416">
        <f t="shared" ca="1" si="7"/>
        <v>8.7770975817623054E-2</v>
      </c>
      <c r="Z104" s="417">
        <f t="shared" ca="1" si="8"/>
        <v>-1.0087431798583148E-3</v>
      </c>
      <c r="AA104" s="416">
        <f t="shared" ca="1" si="9"/>
        <v>6.2549744690395662E-2</v>
      </c>
      <c r="AB104" s="418">
        <f t="shared" ca="1" si="10"/>
        <v>2.2986347729730622E-3</v>
      </c>
      <c r="AC104" s="417">
        <f t="shared" ca="1" si="11"/>
        <v>-3.5943902736949278E-5</v>
      </c>
      <c r="AD104" s="220"/>
      <c r="AE104" s="220">
        <f t="shared" ca="1" si="12"/>
        <v>3.0469274122941516E-3</v>
      </c>
    </row>
    <row r="105" spans="1:31" customFormat="1" ht="14.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9.4367742815584202E-5</v>
      </c>
      <c r="J105" s="403">
        <f ca="1"/>
        <v>4.8441394037027899E-4</v>
      </c>
      <c r="K105" s="403">
        <f ca="1"/>
        <v>0.194808065893915</v>
      </c>
      <c r="L105" s="403">
        <f ca="1"/>
        <v>0.194808065893915</v>
      </c>
      <c r="M105" s="403">
        <f ca="1"/>
        <v>-8.6787453715295702E-5</v>
      </c>
      <c r="N105" s="684" t="str">
        <f ca="1"/>
        <v>TELENOR ASA</v>
      </c>
      <c r="O105" s="403">
        <f ca="1"/>
        <v>0.74710684536190997</v>
      </c>
      <c r="P105" s="403">
        <f ca="1"/>
        <v>0.78295850236671705</v>
      </c>
      <c r="Q105" s="403">
        <f ca="1"/>
        <v>0.95421001637195901</v>
      </c>
      <c r="R105" s="441">
        <f ca="1"/>
        <v>0.95421001637195901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-3.4693160386017899E-2</v>
      </c>
      <c r="U105" s="413">
        <f ca="1"/>
        <v>1.2759548184942E-2</v>
      </c>
      <c r="V105" s="413">
        <f ca="1"/>
        <v>4.7452708570959901E-2</v>
      </c>
      <c r="W105" s="414">
        <f ca="1"/>
        <v>2.68889776141263E-3</v>
      </c>
      <c r="X105" s="415">
        <f ca="1"/>
        <v>4.7452708570959903</v>
      </c>
      <c r="Y105" s="416">
        <f t="shared" ca="1" si="7"/>
        <v>8.7770975817623054E-2</v>
      </c>
      <c r="Z105" s="417">
        <f t="shared" ca="1" si="8"/>
        <v>-1.1199179951843405E-3</v>
      </c>
      <c r="AA105" s="416">
        <f t="shared" ca="1" si="9"/>
        <v>6.4936021964638338E-2</v>
      </c>
      <c r="AB105" s="418">
        <f t="shared" ca="1" si="10"/>
        <v>2.5544528733419986E-3</v>
      </c>
      <c r="AC105" s="417">
        <f t="shared" ca="1" si="11"/>
        <v>-4.1427715059812721E-5</v>
      </c>
      <c r="AD105" s="220"/>
      <c r="AE105" s="220">
        <f t="shared" ca="1" si="12"/>
        <v>3.6043997981093688E-3</v>
      </c>
    </row>
    <row r="106" spans="1:31" customFormat="1" ht="14.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9.5589852599085106E-5</v>
      </c>
      <c r="J106" s="403">
        <f ca="1"/>
        <v>4.8401602918710101E-4</v>
      </c>
      <c r="K106" s="403">
        <f ca="1"/>
        <v>0.197493154843709</v>
      </c>
      <c r="L106" s="403">
        <f ca="1"/>
        <v>0.197493154843709</v>
      </c>
      <c r="M106" s="403">
        <f ca="1"/>
        <v>-9.0522747459838E-5</v>
      </c>
      <c r="N106" s="684" t="str">
        <f ca="1"/>
        <v>TELIA COMPANY AB</v>
      </c>
      <c r="O106" s="403">
        <f ca="1"/>
        <v>0.74706268900684003</v>
      </c>
      <c r="P106" s="403">
        <f ca="1"/>
        <v>0.78246262716401904</v>
      </c>
      <c r="Q106" s="403">
        <f ca="1"/>
        <v>0.95475830163865605</v>
      </c>
      <c r="R106" s="441">
        <f ca="1"/>
        <v>0.95475830163865605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-3.4171186488441301E-2</v>
      </c>
      <c r="U106" s="413">
        <f ca="1"/>
        <v>1.32677499383095E-2</v>
      </c>
      <c r="V106" s="413">
        <f ca="1"/>
        <v>4.7438936426750802E-2</v>
      </c>
      <c r="W106" s="414">
        <f ca="1"/>
        <v>2.7968059441627301E-3</v>
      </c>
      <c r="X106" s="415">
        <f ca="1"/>
        <v>4.7438936426750802</v>
      </c>
      <c r="Y106" s="416">
        <f t="shared" ca="1" si="7"/>
        <v>8.7770975817623054E-2</v>
      </c>
      <c r="Z106" s="417">
        <f t="shared" ca="1" si="8"/>
        <v>-1.1645233589896286E-3</v>
      </c>
      <c r="AA106" s="416">
        <f t="shared" ca="1" si="9"/>
        <v>6.5831051614569661E-2</v>
      </c>
      <c r="AB106" s="418">
        <f t="shared" ca="1" si="10"/>
        <v>2.6569656469545935E-3</v>
      </c>
      <c r="AC106" s="417">
        <f t="shared" ca="1" si="11"/>
        <v>-4.3671496549902672E-5</v>
      </c>
      <c r="AD106" s="220"/>
      <c r="AE106" s="220">
        <f t="shared" ca="1" si="12"/>
        <v>3.7390482866800868E-3</v>
      </c>
    </row>
    <row r="107" spans="1:31" customFormat="1" ht="14.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1.18353542271868E-4</v>
      </c>
      <c r="J107" s="403">
        <f ca="1"/>
        <v>4.61962582700829E-4</v>
      </c>
      <c r="K107" s="403">
        <f ca="1"/>
        <v>0.25619724779423297</v>
      </c>
      <c r="L107" s="403">
        <f ca="1"/>
        <v>0.25619724779423297</v>
      </c>
      <c r="M107" s="403">
        <f ca="1"/>
        <v>-1.93496259444168E-4</v>
      </c>
      <c r="N107" s="684" t="str">
        <f ca="1"/>
        <v>VIVENDI SE</v>
      </c>
      <c r="O107" s="403">
        <f ca="1"/>
        <v>0.74558943114794995</v>
      </c>
      <c r="P107" s="403">
        <f ca="1"/>
        <v>0.76871729042169401</v>
      </c>
      <c r="Q107" s="403">
        <f ca="1"/>
        <v>0.96991369966316598</v>
      </c>
      <c r="R107" s="441">
        <f ca="1"/>
        <v>0.96991369966316598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-1.9702410970203799E-2</v>
      </c>
      <c r="U107" s="413">
        <f ca="1"/>
        <v>2.7376910988920301E-2</v>
      </c>
      <c r="V107" s="413">
        <f ca="1"/>
        <v>4.70793219591241E-2</v>
      </c>
      <c r="W107" s="414">
        <f ca="1"/>
        <v>5.8150605934150701E-3</v>
      </c>
      <c r="X107" s="415">
        <f ca="1"/>
        <v>4.7079321959124103</v>
      </c>
      <c r="Y107" s="416">
        <f t="shared" ca="1" si="7"/>
        <v>8.7770975817623054E-2</v>
      </c>
      <c r="Z107" s="417">
        <f t="shared" ca="1" si="8"/>
        <v>-2.4028981923697457E-3</v>
      </c>
      <c r="AA107" s="416">
        <f t="shared" ca="1" si="9"/>
        <v>8.5399082598077658E-2</v>
      </c>
      <c r="AB107" s="418">
        <f t="shared" ca="1" si="10"/>
        <v>5.524307563744316E-3</v>
      </c>
      <c r="AC107" s="417">
        <f t="shared" ca="1" si="11"/>
        <v>-1.1689815414115162E-4</v>
      </c>
      <c r="AD107" s="220"/>
      <c r="AE107" s="220">
        <f t="shared" ca="1" si="12"/>
        <v>7.0428294269594153E-3</v>
      </c>
    </row>
    <row r="108" spans="1:31" customFormat="1" ht="14.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1.2507006818995799E-4</v>
      </c>
      <c r="J108" s="403">
        <f ca="1"/>
        <v>4.57849761207977E-4</v>
      </c>
      <c r="K108" s="403">
        <f ca="1"/>
        <v>0.27316835955090801</v>
      </c>
      <c r="L108" s="403">
        <f ca="1"/>
        <v>0.27316835955090801</v>
      </c>
      <c r="M108" s="403">
        <f ca="1"/>
        <v>-2.3054861048620999E-4</v>
      </c>
      <c r="N108" s="684" t="str">
        <f ca="1"/>
        <v>VODAFONE GROUP PUBLIC LIMITED COMPANY</v>
      </c>
      <c r="O108" s="403">
        <f ca="1"/>
        <v>0.74492429653633996</v>
      </c>
      <c r="P108" s="403">
        <f ca="1"/>
        <v>0.76365231676121303</v>
      </c>
      <c r="Q108" s="403">
        <f ca="1"/>
        <v>0.975475723946858</v>
      </c>
      <c r="R108" s="441">
        <f ca="1"/>
        <v>0.975475723946858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-1.43708597486448E-2</v>
      </c>
      <c r="U108" s="413">
        <f ca="1"/>
        <v>3.25540524266454E-2</v>
      </c>
      <c r="V108" s="413">
        <f ca="1"/>
        <v>4.6924912175290198E-2</v>
      </c>
      <c r="W108" s="414">
        <f ca="1"/>
        <v>6.9374775396570101E-3</v>
      </c>
      <c r="X108" s="415">
        <f ca="1"/>
        <v>4.6924912175290201</v>
      </c>
      <c r="Y108" s="416">
        <f t="shared" ca="1" si="7"/>
        <v>8.7770975817623054E-2</v>
      </c>
      <c r="Z108" s="417">
        <f t="shared" ca="1" si="8"/>
        <v>-2.8573009483047226E-3</v>
      </c>
      <c r="AA108" s="416">
        <f t="shared" ca="1" si="9"/>
        <v>9.1056119850302666E-2</v>
      </c>
      <c r="AB108" s="418">
        <f t="shared" ca="1" si="10"/>
        <v>6.590603662674159E-3</v>
      </c>
      <c r="AC108" s="417">
        <f t="shared" ca="1" si="11"/>
        <v>-1.4821228496868303E-4</v>
      </c>
      <c r="AD108" s="220"/>
      <c r="AE108" s="220">
        <f t="shared" ca="1" si="12"/>
        <v>8.6732714407551301E-3</v>
      </c>
    </row>
    <row r="109" spans="1:31" customFormat="1" ht="14.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1.2415059287844299E-4</v>
      </c>
      <c r="J109" s="403">
        <f ca="1"/>
        <v>4.5849116740537602E-4</v>
      </c>
      <c r="K109" s="403">
        <f ca="1"/>
        <v>0.270780773337505</v>
      </c>
      <c r="L109" s="403">
        <f ca="1"/>
        <v>0.270780773337505</v>
      </c>
      <c r="M109" s="403">
        <f ca="1"/>
        <v>-2.2503764910315901E-4</v>
      </c>
      <c r="N109" s="684" t="str">
        <f ca="1"/>
        <v>WPP 2005 LIMITED</v>
      </c>
      <c r="O109" s="403">
        <f ca="1"/>
        <v>0.74501318182520004</v>
      </c>
      <c r="P109" s="403">
        <f ca="1"/>
        <v>0.76441100689478902</v>
      </c>
      <c r="Q109" s="403">
        <f ca="1"/>
        <v>0.97462382815707005</v>
      </c>
      <c r="R109" s="441">
        <f ca="1"/>
        <v>0.97462382815707005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-1.5169480941882999E-2</v>
      </c>
      <c r="U109" s="413">
        <f ca="1"/>
        <v>3.1752811817288999E-2</v>
      </c>
      <c r="V109" s="413">
        <f ca="1"/>
        <v>4.6922292759172E-2</v>
      </c>
      <c r="W109" s="414">
        <f ca="1"/>
        <v>6.7671057721454099E-3</v>
      </c>
      <c r="X109" s="415">
        <f ca="1"/>
        <v>4.6922292759172004</v>
      </c>
      <c r="Y109" s="416">
        <f t="shared" ca="1" si="7"/>
        <v>8.7770975817623054E-2</v>
      </c>
      <c r="Z109" s="417">
        <f t="shared" ca="1" si="8"/>
        <v>-2.7869752781568054E-3</v>
      </c>
      <c r="AA109" s="416">
        <f t="shared" ca="1" si="9"/>
        <v>9.0260257779168337E-2</v>
      </c>
      <c r="AB109" s="418">
        <f t="shared" ca="1" si="10"/>
        <v>6.4287504835381388E-3</v>
      </c>
      <c r="AC109" s="417">
        <f t="shared" ca="1" si="11"/>
        <v>-1.433008489920965E-4</v>
      </c>
      <c r="AD109" s="220"/>
      <c r="AE109" s="220">
        <f t="shared" ca="1" si="12"/>
        <v>8.9196610944298673E-3</v>
      </c>
    </row>
    <row r="110" spans="1:31" customFormat="1" ht="14.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684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4.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684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4.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684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4.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684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4.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684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4.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684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4.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684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4.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684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4.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684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4.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684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4.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684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4.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684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4.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684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4.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684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4.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684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4.5">
      <c r="A125" s="220"/>
      <c r="B125" s="267">
        <v>87</v>
      </c>
      <c r="C125" s="68" t="s">
        <v>616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684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4.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684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4.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684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4.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684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4.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684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4.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684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4.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684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4.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684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4.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684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4.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684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4.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684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4.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684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4.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684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4.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684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4.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684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4.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685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4.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685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4.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685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4.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685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4.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685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4.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685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4.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685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4.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685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4.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685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4.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685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4.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685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4.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685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4.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685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4.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685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4.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685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4.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685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4.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685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4.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685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4.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685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4.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685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4.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685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4.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685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4.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685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4.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684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4.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684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4.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684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4.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684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4.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684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4.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684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4.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684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4.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684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4.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684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4.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684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4.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684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4.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684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4.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684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4.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684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4.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684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4.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684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4.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684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4.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684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4.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684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4.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684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4.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684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4.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684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4.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684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4.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684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4.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684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4.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684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4.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684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4.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684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4.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684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4.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684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4.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684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4.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684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4.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684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4.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684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4.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684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4.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684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4.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684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4.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684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4.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684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4.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684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4.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684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4.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684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4.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684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4.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684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4.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684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4.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684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4.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684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4.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684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4.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684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4.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684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4.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684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4.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684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4.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684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4.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684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4.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684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4.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684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4.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684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4.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684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4.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684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4.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684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4.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684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4.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684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4.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684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4.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684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4.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684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4.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684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4.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684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4.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684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4.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684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4.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684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4.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684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4.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684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4.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684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4.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684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4.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684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4.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684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4.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684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4.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684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4.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684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4.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684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4.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684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4.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684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4.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684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4.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684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4.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684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4.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684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4.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684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4.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684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4.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684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4.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684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4.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684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4.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684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4.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684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4.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684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4.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684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4.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684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4.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684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4.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684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4.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684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4.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684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4.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684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4.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684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4.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684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4.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684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4.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684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4.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684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4.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684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4.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684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4.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684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4.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684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4.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684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4.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684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4.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684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4.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684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4.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684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4.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684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4.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684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4.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684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4.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684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4.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684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4.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684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4.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684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4.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684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4.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684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4.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684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4.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684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4.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684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4.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684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4.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684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4.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684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4.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684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4.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684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4.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684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4.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684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4.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684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4.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684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4.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684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4.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684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4.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684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4.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684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4.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684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4.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684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4.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684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4.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684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4.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684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4.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684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4.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684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4.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684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4.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684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4.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684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4.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684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4.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4.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4.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4.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4.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4.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4.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4.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4.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4.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4.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4.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4.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4.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4.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4.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4.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4.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4.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4.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4.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4.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4.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641350</xdr:colOff>
                    <xdr:row>5</xdr:row>
                    <xdr:rowOff>107950</xdr:rowOff>
                  </from>
                  <to>
                    <xdr:col>9</xdr:col>
                    <xdr:colOff>723900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317500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317500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88900</xdr:rowOff>
                  </from>
                  <to>
                    <xdr:col>22</xdr:col>
                    <xdr:colOff>127000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opLeftCell="AF3" zoomScale="149" zoomScaleNormal="130" workbookViewId="0">
      <selection activeCell="AF6" sqref="AF6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10.453125" style="272" bestFit="1" customWidth="1"/>
    <col min="4" max="4" width="10.54296875" style="273" customWidth="1"/>
    <col min="5" max="5" width="9.81640625" style="273" customWidth="1"/>
    <col min="6" max="6" width="22.54296875" style="273" bestFit="1" customWidth="1"/>
    <col min="7" max="12" width="12.453125" style="273" customWidth="1"/>
    <col min="13" max="13" width="36.26953125" style="273" bestFit="1" customWidth="1"/>
    <col min="14" max="14" width="12.453125" style="273" customWidth="1"/>
    <col min="15" max="15" width="9.81640625" style="273" customWidth="1"/>
    <col min="16" max="16" width="9.81640625" style="79" bestFit="1" customWidth="1"/>
    <col min="17" max="17" width="9.1796875" style="79"/>
    <col min="18" max="18" width="12.1796875" style="79" bestFit="1" customWidth="1"/>
    <col min="19" max="19" width="12.26953125" style="79" bestFit="1" customWidth="1"/>
    <col min="20" max="21" width="10.26953125" style="79" bestFit="1" customWidth="1"/>
    <col min="22" max="22" width="12.1796875" style="79" bestFit="1" customWidth="1"/>
    <col min="23" max="23" width="12.26953125" style="79" bestFit="1" customWidth="1"/>
    <col min="24" max="32" width="9" style="79" customWidth="1"/>
    <col min="33" max="33" width="9" style="272" customWidth="1"/>
    <col min="34" max="51" width="7.7265625" style="272" customWidth="1"/>
    <col min="52" max="54" width="9.1796875" style="272"/>
    <col min="55" max="55" width="7.1796875" style="272" bestFit="1" customWidth="1"/>
    <col min="56" max="58" width="9.1796875" style="272"/>
    <col min="59" max="59" width="9.7265625" style="272" bestFit="1" customWidth="1"/>
    <col min="60" max="61" width="9.1796875" style="272"/>
    <col min="62" max="62" width="9.7265625" style="272" bestFit="1" customWidth="1"/>
    <col min="63" max="63" width="9.1796875" style="272"/>
    <col min="64" max="64" width="20.54296875" style="272" bestFit="1" customWidth="1"/>
    <col min="65" max="16384" width="9.179687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6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  <c r="AW5" s="580"/>
      <c r="AX5" s="580"/>
      <c r="AY5" s="580"/>
      <c r="AZ5" s="580"/>
      <c r="BA5" s="580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  <c r="AW6" s="580"/>
      <c r="AX6" s="580"/>
      <c r="AY6" s="580"/>
      <c r="AZ6" s="580"/>
      <c r="BA6" s="580"/>
    </row>
    <row r="7" spans="1:229" ht="10.5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  <c r="AR7" s="580"/>
      <c r="AW7" s="580"/>
      <c r="AX7" s="580"/>
      <c r="AZ7" s="580"/>
      <c r="BA7" s="580"/>
    </row>
    <row r="8" spans="1:229" ht="11" thickBot="1">
      <c r="B8" s="468" t="s">
        <v>626</v>
      </c>
      <c r="C8" s="476" t="s">
        <v>627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665</v>
      </c>
      <c r="U8" s="476" t="s">
        <v>654</v>
      </c>
      <c r="V8" s="476" t="s">
        <v>666</v>
      </c>
      <c r="W8" s="476" t="s">
        <v>667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N8" s="580"/>
      <c r="AO8" s="580"/>
      <c r="AP8" s="580"/>
      <c r="AQ8" s="580"/>
      <c r="AR8" s="580"/>
    </row>
    <row r="9" spans="1:229" ht="10.5" thickBot="1">
      <c r="B9" s="468" t="s">
        <v>628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 cm="1">
        <f t="array" aca="1" ref="S9" ca="1">rw(T9:T103)</f>
        <v>0.06</v>
      </c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272"/>
      <c r="AN9" s="580"/>
      <c r="AO9" s="580"/>
      <c r="AP9" s="580"/>
      <c r="AQ9" s="580"/>
      <c r="AR9" s="580"/>
      <c r="AT9" s="476" t="s">
        <v>705</v>
      </c>
      <c r="AU9" s="476"/>
      <c r="AV9" s="635" t="s">
        <v>706</v>
      </c>
      <c r="AW9" s="476" t="s">
        <v>705</v>
      </c>
      <c r="AX9" s="476"/>
      <c r="AY9" s="635" t="s">
        <v>707</v>
      </c>
    </row>
    <row r="10" spans="1:229" ht="10.5" thickBot="1">
      <c r="B10" s="468" t="s">
        <v>629</v>
      </c>
      <c r="C10" s="468" t="s">
        <v>82</v>
      </c>
      <c r="D10" s="468" t="s">
        <v>432</v>
      </c>
      <c r="E10" s="468" t="s">
        <v>630</v>
      </c>
      <c r="F10" s="468" t="s">
        <v>631</v>
      </c>
      <c r="G10" s="468" t="s">
        <v>632</v>
      </c>
      <c r="H10" s="468" t="s">
        <v>633</v>
      </c>
      <c r="I10" s="468" t="s">
        <v>634</v>
      </c>
      <c r="J10" s="468" t="s">
        <v>635</v>
      </c>
      <c r="K10" s="476" t="s">
        <v>485</v>
      </c>
      <c r="L10" s="272" t="s">
        <v>693</v>
      </c>
      <c r="M10" s="468" t="s">
        <v>676</v>
      </c>
      <c r="N10" s="468" t="s">
        <v>690</v>
      </c>
      <c r="P10" s="273"/>
      <c r="R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1.0755528731065279E-3</v>
      </c>
      <c r="Z10" s="272"/>
      <c r="AA10" s="272"/>
      <c r="AB10" s="466" t="s">
        <v>604</v>
      </c>
      <c r="AC10" s="493">
        <f ca="1">MAX(MAX(AC11,0)+0.5*MIN(AC11,0),0)</f>
        <v>3.5081178139517957E-2</v>
      </c>
      <c r="AD10" s="272"/>
      <c r="AE10" s="272"/>
      <c r="AF10" s="272"/>
      <c r="AG10" s="79"/>
      <c r="AH10" s="476" t="s">
        <v>697</v>
      </c>
      <c r="AI10" s="626"/>
      <c r="AJ10" s="626"/>
      <c r="AK10" s="626"/>
      <c r="AL10" s="626"/>
      <c r="AM10" s="625"/>
      <c r="AN10" s="624"/>
      <c r="AO10" s="624"/>
      <c r="AP10" s="624"/>
      <c r="AQ10" s="624"/>
      <c r="AR10" s="624"/>
      <c r="AS10" s="194"/>
      <c r="AT10" s="476" t="s">
        <v>704</v>
      </c>
      <c r="AU10" s="476"/>
      <c r="AV10" s="636" t="s">
        <v>708</v>
      </c>
      <c r="AW10" s="476" t="s">
        <v>704</v>
      </c>
      <c r="AX10" s="476"/>
      <c r="AY10" s="636" t="s">
        <v>708</v>
      </c>
    </row>
    <row r="11" spans="1:229" ht="10.5" thickBot="1">
      <c r="B11" s="529" t="s">
        <v>636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7"/>
      <c r="L11" s="272"/>
      <c r="M11" s="588" t="s">
        <v>677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1.0755528731065279E-3</v>
      </c>
      <c r="Z11" s="272"/>
      <c r="AA11" s="272"/>
      <c r="AB11" s="466" t="s">
        <v>603</v>
      </c>
      <c r="AC11" s="493">
        <f ca="1">(S9*SUM(AD14:AD313)-AC12*SUM(W9:W133))/95</f>
        <v>3.5081178139517957E-2</v>
      </c>
      <c r="AD11" s="272"/>
      <c r="AE11" s="272"/>
      <c r="AF11" s="272"/>
      <c r="AH11" s="503" cm="1">
        <f t="array" aca="1" ref="AH11:AM11" ca="1">GetDeltaCSRCDOProxy(A29:A313,D29:D313,I29:I313,'CDO Bespoke'!B10,'CDO Bespoke'!B23:B24,'CDO Bespoke'!B25:B26,'CDO Bespoke'!F43:F137,'CDO Bespoke'!B12,'CDO Bespoke'!B21,'CDO Bespoke'!B43:B137,'CDO Bespoke'!C43:C137,'CDO Bespoke'!B16,'CDO Bespoke'!B17,'CDO Bespoke'!B18,'CDO Bespoke'!B19,'CDO Bespoke'!B13,'CDO Bespoke'!B14,'CDO Bespoke'!D43:D137,'CDO Bespoke'!E43:E137,'CDO Bespoke'!B28,'CDO Bespoke'!B29,'CDO Bespoke'!K10,'CDO Bespoke'!B33:B35,'CDO Bespoke'!B40,'CDO Bespoke'!B37,'CDO Bespoke'!B39,'CDO Bespoke'!B38)</f>
        <v>-1.3180653499755834E-2</v>
      </c>
      <c r="AI11" s="504">
        <f ca="1"/>
        <v>-2.4480857698794267E-2</v>
      </c>
      <c r="AJ11" s="504">
        <f ca="1"/>
        <v>-5.4004857998890543E-2</v>
      </c>
      <c r="AK11" s="504">
        <f ca="1"/>
        <v>-0.13567459050012332</v>
      </c>
      <c r="AL11" s="505">
        <f ca="1"/>
        <v>0</v>
      </c>
      <c r="AM11" s="622">
        <f ca="1"/>
        <v>1.0164712145070576E-2</v>
      </c>
      <c r="AN11" s="194"/>
      <c r="AO11" s="194"/>
      <c r="AP11" s="194"/>
      <c r="AQ11" s="194"/>
      <c r="AR11" s="194"/>
      <c r="AS11" s="194"/>
      <c r="AT11" s="476" t="s">
        <v>703</v>
      </c>
      <c r="AU11" s="476"/>
      <c r="AV11" s="634">
        <v>1E-4</v>
      </c>
      <c r="AW11" s="476" t="s">
        <v>703</v>
      </c>
      <c r="AX11" s="476"/>
      <c r="AY11" s="634">
        <v>1E-4</v>
      </c>
    </row>
    <row r="12" spans="1:229" ht="10.5" thickBot="1">
      <c r="B12" s="517" t="s">
        <v>636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8"/>
      <c r="L12" s="272"/>
      <c r="M12" s="598" t="s">
        <v>678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272"/>
      <c r="AH12" s="476" t="s">
        <v>694</v>
      </c>
      <c r="AI12" s="623"/>
      <c r="AJ12" s="623"/>
      <c r="AK12" s="623"/>
      <c r="AL12" s="623"/>
      <c r="AM12" s="627"/>
      <c r="AN12" s="476" t="s">
        <v>696</v>
      </c>
      <c r="AO12" s="623"/>
      <c r="AP12" s="623"/>
      <c r="AQ12" s="623"/>
      <c r="AR12" s="623"/>
      <c r="AS12" s="621"/>
      <c r="AT12" s="476" t="s">
        <v>701</v>
      </c>
      <c r="AU12" s="476"/>
      <c r="AV12" s="476"/>
      <c r="AW12" s="476" t="s">
        <v>702</v>
      </c>
      <c r="AX12" s="476"/>
      <c r="AY12" s="476"/>
      <c r="AZ12" s="580"/>
      <c r="BA12" s="580"/>
      <c r="BD12" s="547"/>
    </row>
    <row r="13" spans="1:229" ht="10.5" thickBot="1">
      <c r="B13" s="534" t="s">
        <v>636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09"/>
      <c r="L13" s="272"/>
      <c r="M13" s="596" t="s">
        <v>679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272"/>
      <c r="AG13" s="476" t="s">
        <v>80</v>
      </c>
      <c r="AH13" s="474" t="s">
        <v>84</v>
      </c>
      <c r="AI13" s="474" t="s">
        <v>53</v>
      </c>
      <c r="AJ13" s="474" t="s">
        <v>55</v>
      </c>
      <c r="AK13" s="474" t="s">
        <v>57</v>
      </c>
      <c r="AL13" s="474" t="s">
        <v>62</v>
      </c>
      <c r="AM13" s="474" t="s">
        <v>695</v>
      </c>
      <c r="AN13" s="474" t="s">
        <v>84</v>
      </c>
      <c r="AO13" s="474" t="s">
        <v>53</v>
      </c>
      <c r="AP13" s="474" t="s">
        <v>55</v>
      </c>
      <c r="AQ13" s="474" t="s">
        <v>57</v>
      </c>
      <c r="AR13" s="474" t="s">
        <v>62</v>
      </c>
      <c r="AS13" s="474" t="s">
        <v>695</v>
      </c>
      <c r="AT13" s="476" t="s">
        <v>699</v>
      </c>
      <c r="AU13" s="476" t="s">
        <v>698</v>
      </c>
      <c r="AV13" s="476" t="s">
        <v>700</v>
      </c>
      <c r="AW13" s="476" t="s">
        <v>699</v>
      </c>
      <c r="AX13" s="476" t="s">
        <v>698</v>
      </c>
      <c r="AY13" s="476" t="s">
        <v>700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668</v>
      </c>
    </row>
    <row r="14" spans="1:229" ht="10.5" thickBot="1">
      <c r="B14" s="539" t="s">
        <v>637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0">
        <v>0.93662999999999996</v>
      </c>
      <c r="L14" s="272"/>
      <c r="M14" s="587" t="s">
        <v>680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0.74608817534678995</v>
      </c>
      <c r="Y14" s="487">
        <f ca="1">IF(X14&lt;&gt;"",ABS(MIN(-0.75*('CDO Bespoke'!Q15)+'CDO Bespoke'!T15,0)),"")</f>
        <v>0.74812475949581769</v>
      </c>
      <c r="Z14" s="487">
        <f t="shared" ref="Z14:Z77" ca="1" si="2">IF(X14&lt;&gt;"",IF($Y$8,MAX(X14-Y14,0),X14),0)</f>
        <v>0</v>
      </c>
      <c r="AA14" s="487">
        <f t="shared" ref="AA14:AA77" ca="1" si="3">IF(X14&lt;&gt;"",IF($Y$8,0,Y14),0)</f>
        <v>0</v>
      </c>
      <c r="AB14" s="486">
        <f ca="1">IF('CDO Bespoke'!O15&lt;&gt;"",'CDO Bespoke'!O15,"")</f>
        <v>0.74608817534678995</v>
      </c>
      <c r="AC14" s="485">
        <f ca="1">IF(AB14&lt;&gt;"",ABS(MIN(-0.6*'CDO Bespoke'!K15+'CDO Bespoke'!T15*'CDO Bespoke'!K15,0)),"")</f>
        <v>0.1495024783861969</v>
      </c>
      <c r="AD14" s="487">
        <f ca="1">IF(AB14&lt;&gt;"",IF($Y$8,MAX(AB14-AC14,0),AB14),0)</f>
        <v>0.59658569696059305</v>
      </c>
      <c r="AE14" s="488">
        <f t="shared" ref="AE14:AE77" ca="1" si="4">IF(AB14&lt;&gt;"",IF($Y$8,0,AC14),0)</f>
        <v>0</v>
      </c>
      <c r="AF14" s="272"/>
      <c r="AG14" s="471" t="str">
        <f ca="1">IF('CDO Bespoke'!C39&lt;&gt;"",'CDO Bespoke'!C39,"")</f>
        <v>Airbus SE</v>
      </c>
      <c r="AH14" s="503" cm="1">
        <f t="array" aca="1" ref="AH14:AM108" ca="1">GetDeltaCSRCDO(B25:B309,E25:E309,J25:J309,'CDO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8.0173908001412997E-3</v>
      </c>
      <c r="AI14" s="504">
        <f ca="1"/>
        <v>2.6624973499256299E-2</v>
      </c>
      <c r="AJ14" s="504">
        <f ca="1"/>
        <v>7.2686588599157886E-2</v>
      </c>
      <c r="AK14" s="504">
        <f ca="1"/>
        <v>1.2166951312986285</v>
      </c>
      <c r="AL14" s="505">
        <f ca="1"/>
        <v>0</v>
      </c>
      <c r="AM14" s="619">
        <f ca="1"/>
        <v>3.8088505998744249</v>
      </c>
      <c r="AN14" s="503" cm="1">
        <f t="array" aca="1" ref="AN14:AS108" ca="1">GetDeltaCSRCDS(B25:B309,E25:E309,J25:J309,'CDO Bespoke'!C5,CDSRollDate,'CDS Strip'!J4,'CDS Strip'!J6,'CDO Bespoke'!C6,'CDO Bespoke'!G39:G133,'CDO Bespoke'!C17,'CDO Bespoke'!C39:C133,'CDO Bespoke'!K15:K109,'CDO Bespoke'!F39:F133,'CDO Bespoke'!C13,'CDO Bespoke'!C14,'CDO Bespoke'!C15)</f>
        <v>6.3049639540541103E-4</v>
      </c>
      <c r="AO14" s="504">
        <f ca="1"/>
        <v>3.0864181384000072E-3</v>
      </c>
      <c r="AP14" s="504">
        <f ca="1"/>
        <v>1.3404565227699561E-2</v>
      </c>
      <c r="AQ14" s="504">
        <f ca="1"/>
        <v>1.3084424766167042</v>
      </c>
      <c r="AR14" s="505">
        <f ca="1"/>
        <v>0</v>
      </c>
      <c r="AS14" s="628">
        <f ca="1"/>
        <v>2.203412590373186</v>
      </c>
      <c r="AT14" s="503" cm="1">
        <f t="array" aca="1" ref="AT14:AV108" ca="1">GetCurvatureCSR(AV11,#REF!,AH14:AL108,B25:B309,E25:E309,J25:J309,'CDO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Bespoke'!F39:F133,AV10,'CDO Bespoke'!C24,'CDO Bespoke'!C25,'CDO Bespoke'!L6)</f>
        <v>-1.6220432479740809E-2</v>
      </c>
      <c r="AU14" s="505">
        <f ca="1"/>
        <v>-6.1348777879119076E-2</v>
      </c>
      <c r="AV14" s="619">
        <f ca="1"/>
        <v>0.47316585731585487</v>
      </c>
      <c r="AW14" s="503" cm="1">
        <f t="array" aca="1" ref="AW14:AY108" ca="1">GetCurvatureCSR(AY11,AY9,AN14:AR108,B25:B309,E25:E309,J25:J309,'CDO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Bespoke'!F39:F133,AY10,'CDO Bespoke'!C24,'CDO Bespoke'!C25,'CDO Bespoke'!L6)</f>
        <v>-9.3900444513813713E-2</v>
      </c>
      <c r="AX14" s="505">
        <f ca="1"/>
        <v>-1.6899259363401569E-2</v>
      </c>
      <c r="AY14" s="619">
        <f ca="1"/>
        <v>5.6029526638631255E-2</v>
      </c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1.6663974106787813E-6</v>
      </c>
      <c r="BB14" s="580">
        <f ca="1"/>
        <v>9.3270504589714474E-6</v>
      </c>
      <c r="BC14" s="580">
        <f ca="1"/>
        <v>3.7746271490111168E-5</v>
      </c>
      <c r="BD14" s="580">
        <f ca="1"/>
        <v>1.1741811917241753E-4</v>
      </c>
      <c r="BE14" s="580">
        <f ca="1"/>
        <v>2.2392703860293022E-4</v>
      </c>
      <c r="BF14" s="580">
        <f ca="1"/>
        <v>2.2084996559528429E-3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583">
        <f ca="1"/>
        <v>0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0.5" thickBot="1">
      <c r="B15" s="517" t="s">
        <v>637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8"/>
      <c r="L15" s="272"/>
      <c r="M15" s="587" t="s">
        <v>681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0.74591597845416002</v>
      </c>
      <c r="Y15" s="485">
        <f ca="1">IF(X15&lt;&gt;"",ABS(MIN(-0.75*('CDO Bespoke'!Q16)+'CDO Bespoke'!T16,0)),"")</f>
        <v>0.74776482076534878</v>
      </c>
      <c r="Z15" s="485">
        <f t="shared" ca="1" si="2"/>
        <v>0</v>
      </c>
      <c r="AA15" s="485">
        <f t="shared" ca="1" si="3"/>
        <v>0</v>
      </c>
      <c r="AB15" s="484">
        <f ca="1">IF('CDO Bespoke'!O16&lt;&gt;"",'CDO Bespoke'!O16,"")</f>
        <v>0.74591597845416002</v>
      </c>
      <c r="AC15" s="485">
        <f ca="1">IF(AB15&lt;&gt;"",ABS(MIN(-0.6*'CDO Bespoke'!K16+'CDO Bespoke'!T16*'CDO Bespoke'!K16,0)),"")</f>
        <v>0.15300303518368913</v>
      </c>
      <c r="AD15" s="485">
        <f t="shared" ref="AD14:AD77" ca="1" si="5">IF(AB15&lt;&gt;"",IF($Y$8,MAX(AB15-AC15,0),AB15),0)</f>
        <v>0.59291294327047095</v>
      </c>
      <c r="AE15" s="489">
        <f t="shared" ca="1" si="4"/>
        <v>0</v>
      </c>
      <c r="AF15" s="272"/>
      <c r="AG15" s="494" t="str">
        <f ca="1">IF('CDO Bespoke'!C40&lt;&gt;"",'CDO Bespoke'!C40,"")</f>
        <v>Aktiebolaget Volvo</v>
      </c>
      <c r="AH15" s="496">
        <f ca="1"/>
        <v>7.9083771997723318E-3</v>
      </c>
      <c r="AI15" s="585">
        <f ca="1"/>
        <v>2.6109268900231797E-2</v>
      </c>
      <c r="AJ15" s="585">
        <f ca="1"/>
        <v>7.0597107999503805E-2</v>
      </c>
      <c r="AK15" s="585">
        <f ca="1"/>
        <v>1.2413263520993922</v>
      </c>
      <c r="AL15" s="497">
        <f ca="1"/>
        <v>0</v>
      </c>
      <c r="AM15" s="620">
        <f ca="1"/>
        <v>0</v>
      </c>
      <c r="AN15" s="496">
        <f ca="1"/>
        <v>6.0132626360058505E-4</v>
      </c>
      <c r="AO15" s="585">
        <f ca="1"/>
        <v>2.9495390561993379E-3</v>
      </c>
      <c r="AP15" s="585">
        <f ca="1"/>
        <v>1.2675021782001736E-2</v>
      </c>
      <c r="AQ15" s="585">
        <f ca="1"/>
        <v>1.3317703406401022</v>
      </c>
      <c r="AR15" s="497">
        <f ca="1"/>
        <v>0</v>
      </c>
      <c r="AS15" s="620">
        <f ca="1"/>
        <v>0</v>
      </c>
      <c r="AT15" s="496">
        <f ca="1"/>
        <v>-1.5405187231545048E-2</v>
      </c>
      <c r="AU15" s="497">
        <f ca="1"/>
        <v>-6.2019646785755E-2</v>
      </c>
      <c r="AV15" s="620">
        <f ca="1"/>
        <v>0</v>
      </c>
      <c r="AW15" s="496">
        <f ca="1"/>
        <v>-9.2996261443663977E-2</v>
      </c>
      <c r="AX15" s="497">
        <f ca="1"/>
        <v>-1.5806288500725518E-2</v>
      </c>
      <c r="AY15" s="620">
        <f ca="1"/>
        <v>0</v>
      </c>
      <c r="BA15" s="506">
        <f ca="1"/>
        <v>1.6663974106787813E-6</v>
      </c>
      <c r="BB15" s="580">
        <f ca="1"/>
        <v>9.3270504589714474E-6</v>
      </c>
      <c r="BC15" s="580">
        <f ca="1"/>
        <v>3.7746271490111168E-5</v>
      </c>
      <c r="BD15" s="580">
        <f ca="1"/>
        <v>1.1741811917241753E-4</v>
      </c>
      <c r="BE15" s="580">
        <f ca="1"/>
        <v>2.2392703860293022E-4</v>
      </c>
      <c r="BF15" s="580">
        <f ca="1"/>
        <v>2.2084996559528429E-3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0.5" thickBot="1">
      <c r="B16" s="534" t="s">
        <v>637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09"/>
      <c r="L16" s="272"/>
      <c r="M16" s="598" t="s">
        <v>682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0.74580056341334999</v>
      </c>
      <c r="Y16" s="485">
        <f ca="1">IF(X16&lt;&gt;"",ABS(MIN(-0.75*('CDO Bespoke'!Q17)+'CDO Bespoke'!T17,0)),"")</f>
        <v>0.74754350554861348</v>
      </c>
      <c r="Z16" s="485">
        <f t="shared" ca="1" si="2"/>
        <v>0</v>
      </c>
      <c r="AA16" s="485">
        <f t="shared" ca="1" si="3"/>
        <v>0</v>
      </c>
      <c r="AB16" s="484">
        <f ca="1">IF('CDO Bespoke'!O17&lt;&gt;"",'CDO Bespoke'!O17,"")</f>
        <v>0.74580056341334999</v>
      </c>
      <c r="AC16" s="485">
        <f ca="1">IF(AB16&lt;&gt;"",ABS(MIN(-0.6*'CDO Bespoke'!K17+'CDO Bespoke'!T17*'CDO Bespoke'!K17,0)),"")</f>
        <v>0.15499284702807289</v>
      </c>
      <c r="AD16" s="485">
        <f t="shared" ca="1" si="5"/>
        <v>0.59080771638527707</v>
      </c>
      <c r="AE16" s="489">
        <f t="shared" ca="1" si="4"/>
        <v>0</v>
      </c>
      <c r="AF16" s="272"/>
      <c r="AG16" s="494" t="str">
        <f ca="1">IF('CDO Bespoke'!C41&lt;&gt;"",'CDO Bespoke'!C41,"")</f>
        <v>Akzo Nobel N.V.</v>
      </c>
      <c r="AH16" s="496">
        <f ca="1"/>
        <v>7.8610719000948848E-3</v>
      </c>
      <c r="AI16" s="585">
        <f ca="1"/>
        <v>2.5943623398472226E-2</v>
      </c>
      <c r="AJ16" s="585">
        <f ca="1"/>
        <v>6.998451649975479E-2</v>
      </c>
      <c r="AK16" s="585">
        <f ca="1"/>
        <v>1.253750797398645</v>
      </c>
      <c r="AL16" s="497">
        <f ca="1"/>
        <v>0</v>
      </c>
      <c r="AM16" s="620">
        <f ca="1"/>
        <v>0</v>
      </c>
      <c r="AN16" s="496">
        <f ca="1"/>
        <v>5.8368870260554206E-4</v>
      </c>
      <c r="AO16" s="585">
        <f ca="1"/>
        <v>2.8677073470040337E-3</v>
      </c>
      <c r="AP16" s="585">
        <f ca="1"/>
        <v>1.225470827780073E-2</v>
      </c>
      <c r="AQ16" s="585">
        <f ca="1"/>
        <v>1.3459981494397082</v>
      </c>
      <c r="AR16" s="497">
        <f ca="1"/>
        <v>0</v>
      </c>
      <c r="AS16" s="620">
        <f ca="1"/>
        <v>0</v>
      </c>
      <c r="AT16" s="496">
        <f ca="1"/>
        <v>-1.4935519826651644E-2</v>
      </c>
      <c r="AU16" s="497">
        <f ca="1"/>
        <v>-6.2329022729178396E-2</v>
      </c>
      <c r="AV16" s="620">
        <f ca="1"/>
        <v>0</v>
      </c>
      <c r="AW16" s="496">
        <f ca="1"/>
        <v>-9.239017367303326E-2</v>
      </c>
      <c r="AX16" s="497">
        <f ca="1"/>
        <v>-1.5190078193300649E-2</v>
      </c>
      <c r="AY16" s="620">
        <f ca="1"/>
        <v>0</v>
      </c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0.5" thickBot="1">
      <c r="B17" s="539" t="s">
        <v>638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639</v>
      </c>
      <c r="H17" s="540">
        <v>100</v>
      </c>
      <c r="I17" s="541">
        <v>-6.1151900000000004E-3</v>
      </c>
      <c r="J17" s="546">
        <v>46376</v>
      </c>
      <c r="K17" s="610">
        <v>0.82702600000000004</v>
      </c>
      <c r="L17" s="272"/>
      <c r="M17" s="600" t="s">
        <v>674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0.73858902419535</v>
      </c>
      <c r="Y17" s="485">
        <f ca="1">IF(X17&lt;&gt;"",ABS(MIN(-0.75*('CDO Bespoke'!Q18)+'CDO Bespoke'!T18,0)),"")</f>
        <v>0.7377446711653276</v>
      </c>
      <c r="Z17" s="485">
        <f t="shared" ca="1" si="2"/>
        <v>8.4435303002239337E-4</v>
      </c>
      <c r="AA17" s="485">
        <f t="shared" ca="1" si="3"/>
        <v>0</v>
      </c>
      <c r="AB17" s="484">
        <f ca="1">IF('CDO Bespoke'!O18&lt;&gt;"",'CDO Bespoke'!O18,"")</f>
        <v>0.73858902419535</v>
      </c>
      <c r="AC17" s="485">
        <f ca="1">IF(AB17&lt;&gt;"",ABS(MIN(-0.6*'CDO Bespoke'!K18+'CDO Bespoke'!T18*'CDO Bespoke'!K18,0)),"")</f>
        <v>0.21081951463079535</v>
      </c>
      <c r="AD17" s="485">
        <f t="shared" ca="1" si="5"/>
        <v>0.52776950956455471</v>
      </c>
      <c r="AE17" s="489">
        <f t="shared" ca="1" si="4"/>
        <v>0</v>
      </c>
      <c r="AF17" s="272"/>
      <c r="AG17" s="494" t="str">
        <f ca="1">IF('CDO Bespoke'!C42&lt;&gt;"",'CDO Bespoke'!C42,"")</f>
        <v>ALSTOM</v>
      </c>
      <c r="AH17" s="496">
        <f ca="1"/>
        <v>5.6923795987984249E-3</v>
      </c>
      <c r="AI17" s="585">
        <f ca="1"/>
        <v>1.7836361099199394E-2</v>
      </c>
      <c r="AJ17" s="585">
        <f ca="1"/>
        <v>3.8379442999225688E-2</v>
      </c>
      <c r="AK17" s="585">
        <f ca="1"/>
        <v>1.5966444273995961</v>
      </c>
      <c r="AL17" s="497">
        <f ca="1"/>
        <v>0</v>
      </c>
      <c r="AM17" s="620">
        <f ca="1"/>
        <v>0</v>
      </c>
      <c r="AN17" s="496">
        <f ca="1"/>
        <v>-6.3894693799748659E-4</v>
      </c>
      <c r="AO17" s="585">
        <f ca="1"/>
        <v>-2.9202502659954332E-3</v>
      </c>
      <c r="AP17" s="585">
        <f ca="1"/>
        <v>-1.552974873600399E-2</v>
      </c>
      <c r="AQ17" s="585">
        <f ca="1"/>
        <v>1.6836214488129968</v>
      </c>
      <c r="AR17" s="497">
        <f ca="1"/>
        <v>0</v>
      </c>
      <c r="AS17" s="620">
        <f ca="1"/>
        <v>0</v>
      </c>
      <c r="AT17" s="496">
        <f ca="1"/>
        <v>-2.5996385668789479E-3</v>
      </c>
      <c r="AU17" s="497">
        <f ca="1"/>
        <v>-6.2712600230790949E-2</v>
      </c>
      <c r="AV17" s="620">
        <f ca="1"/>
        <v>0</v>
      </c>
      <c r="AW17" s="496">
        <f ca="1"/>
        <v>-7.3923367633458914E-2</v>
      </c>
      <c r="AX17" s="497">
        <f ca="1"/>
        <v>2.1637304247417805E-2</v>
      </c>
      <c r="AY17" s="620">
        <f ca="1"/>
        <v>0</v>
      </c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0.5" thickBot="1">
      <c r="B18" s="517" t="s">
        <v>638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639</v>
      </c>
      <c r="H18" s="518">
        <v>100</v>
      </c>
      <c r="I18" s="525">
        <v>3.497422E-2</v>
      </c>
      <c r="J18" s="523">
        <v>47107</v>
      </c>
      <c r="K18" s="608"/>
      <c r="L18" s="272"/>
      <c r="M18" s="596" t="s">
        <v>673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0.74257504984642997</v>
      </c>
      <c r="Y18" s="485">
        <f ca="1">IF(X18&lt;&gt;"",ABS(MIN(-0.75*('CDO Bespoke'!Q19)+'CDO Bespoke'!T19,0)),"")</f>
        <v>0.74243758762767831</v>
      </c>
      <c r="Z18" s="485">
        <f t="shared" ca="1" si="2"/>
        <v>1.3746221875166054E-4</v>
      </c>
      <c r="AA18" s="485">
        <f t="shared" ca="1" si="3"/>
        <v>0</v>
      </c>
      <c r="AB18" s="484">
        <f ca="1">IF('CDO Bespoke'!O19&lt;&gt;"",'CDO Bespoke'!O19,"")</f>
        <v>0.74257504984642997</v>
      </c>
      <c r="AC18" s="485">
        <f ca="1">IF(AB18&lt;&gt;"",ABS(MIN(-0.6*'CDO Bespoke'!K19+'CDO Bespoke'!T19*'CDO Bespoke'!K19,0)),"")</f>
        <v>0.18993647769927152</v>
      </c>
      <c r="AD18" s="485">
        <f t="shared" ca="1" si="5"/>
        <v>0.5526385721471585</v>
      </c>
      <c r="AE18" s="489">
        <f t="shared" ca="1" si="4"/>
        <v>0</v>
      </c>
      <c r="AF18" s="272"/>
      <c r="AG18" s="494" t="str">
        <f ca="1">IF('CDO Bespoke'!C43&lt;&gt;"",'CDO Bespoke'!C43,"")</f>
        <v>Anglo American plc</v>
      </c>
      <c r="AH18" s="496">
        <f ca="1"/>
        <v>6.7089124988761739E-3</v>
      </c>
      <c r="AI18" s="585">
        <f ca="1"/>
        <v>2.1441454098880541E-2</v>
      </c>
      <c r="AJ18" s="585">
        <f ca="1"/>
        <v>5.2531116898624219E-2</v>
      </c>
      <c r="AK18" s="585">
        <f ca="1"/>
        <v>1.4779213382998257</v>
      </c>
      <c r="AL18" s="497">
        <f ca="1"/>
        <v>0</v>
      </c>
      <c r="AM18" s="620">
        <f ca="1"/>
        <v>0</v>
      </c>
      <c r="AN18" s="496">
        <f ca="1"/>
        <v>1.6611772979315681E-5</v>
      </c>
      <c r="AO18" s="585">
        <f ca="1"/>
        <v>2.0298497897938347E-4</v>
      </c>
      <c r="AP18" s="585">
        <f ca="1"/>
        <v>-4.0845710501066258E-4</v>
      </c>
      <c r="AQ18" s="585">
        <f ca="1"/>
        <v>1.5638798532209899</v>
      </c>
      <c r="AR18" s="497">
        <f ca="1"/>
        <v>0</v>
      </c>
      <c r="AS18" s="620">
        <f ca="1"/>
        <v>0</v>
      </c>
      <c r="AT18" s="496">
        <f ca="1"/>
        <v>-7.1258970841197034E-3</v>
      </c>
      <c r="AU18" s="497">
        <f ca="1"/>
        <v>-6.5376972193930349E-2</v>
      </c>
      <c r="AV18" s="620">
        <f ca="1"/>
        <v>0</v>
      </c>
      <c r="AW18" s="496">
        <f ca="1"/>
        <v>-8.197399422380916E-2</v>
      </c>
      <c r="AX18" s="497">
        <f ca="1"/>
        <v>2.8134125843572652E-3</v>
      </c>
      <c r="AY18" s="620">
        <f ca="1"/>
        <v>0</v>
      </c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0.5" thickBot="1">
      <c r="B19" s="534" t="s">
        <v>638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639</v>
      </c>
      <c r="H19" s="535">
        <v>100</v>
      </c>
      <c r="I19" s="536">
        <v>0.10563547</v>
      </c>
      <c r="J19" s="545">
        <v>47837</v>
      </c>
      <c r="K19" s="609"/>
      <c r="L19" s="272"/>
      <c r="M19" s="587" t="s">
        <v>651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0.73939296026433998</v>
      </c>
      <c r="Y19" s="485">
        <f ca="1">IF(X19&lt;&gt;"",ABS(MIN(-0.75*('CDO Bespoke'!Q20)+'CDO Bespoke'!T20,0)),"")</f>
        <v>0.73859845680086678</v>
      </c>
      <c r="Z19" s="485">
        <f t="shared" ca="1" si="2"/>
        <v>7.9450346347320622E-4</v>
      </c>
      <c r="AA19" s="485">
        <f t="shared" ca="1" si="3"/>
        <v>0</v>
      </c>
      <c r="AB19" s="484">
        <f ca="1">IF('CDO Bespoke'!O20&lt;&gt;"",'CDO Bespoke'!O20,"")</f>
        <v>0.73939296026433998</v>
      </c>
      <c r="AC19" s="485">
        <f ca="1">IF(AB19&lt;&gt;"",ABS(MIN(-0.6*'CDO Bespoke'!K20+'CDO Bespoke'!T20*'CDO Bespoke'!K20,0)),"")</f>
        <v>0.20809858605928461</v>
      </c>
      <c r="AD19" s="485">
        <f t="shared" ca="1" si="5"/>
        <v>0.53129437420505532</v>
      </c>
      <c r="AE19" s="489">
        <f t="shared" ca="1" si="4"/>
        <v>0</v>
      </c>
      <c r="AF19" s="272"/>
      <c r="AG19" s="494" t="str">
        <f ca="1">IF('CDO Bespoke'!C44&lt;&gt;"",'CDO Bespoke'!C44,"")</f>
        <v>ArcelorMittal</v>
      </c>
      <c r="AH19" s="496">
        <f ca="1"/>
        <v>5.8168469996289218E-3</v>
      </c>
      <c r="AI19" s="585">
        <f ca="1"/>
        <v>1.790766489984108E-2</v>
      </c>
      <c r="AJ19" s="585">
        <f ca="1"/>
        <v>3.8010698999446646E-2</v>
      </c>
      <c r="AK19" s="585">
        <f ca="1"/>
        <v>1.5950760854988033</v>
      </c>
      <c r="AL19" s="497">
        <f ca="1"/>
        <v>0</v>
      </c>
      <c r="AM19" s="620">
        <f ca="1"/>
        <v>0</v>
      </c>
      <c r="AN19" s="496">
        <f ca="1"/>
        <v>-5.4042518200098089E-4</v>
      </c>
      <c r="AO19" s="585">
        <f ca="1"/>
        <v>-2.4384646720061742E-3</v>
      </c>
      <c r="AP19" s="585">
        <f ca="1"/>
        <v>-1.3099239058005085E-2</v>
      </c>
      <c r="AQ19" s="585">
        <f ca="1"/>
        <v>1.679479471256998</v>
      </c>
      <c r="AR19" s="497">
        <f ca="1"/>
        <v>0</v>
      </c>
      <c r="AS19" s="620">
        <f ca="1"/>
        <v>0</v>
      </c>
      <c r="AT19" s="496">
        <f ca="1"/>
        <v>-3.2443407261739665E-3</v>
      </c>
      <c r="AU19" s="497">
        <f ca="1"/>
        <v>-6.4040329119035899E-2</v>
      </c>
      <c r="AV19" s="620">
        <f ca="1"/>
        <v>0</v>
      </c>
      <c r="AW19" s="496">
        <f ca="1"/>
        <v>-7.5408368285410823E-2</v>
      </c>
      <c r="AX19" s="497">
        <f ca="1"/>
        <v>1.8349167676704733E-2</v>
      </c>
      <c r="AY19" s="620">
        <f ca="1"/>
        <v>0</v>
      </c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0.5" thickBot="1">
      <c r="B20" s="517" t="s">
        <v>640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639</v>
      </c>
      <c r="H20" s="518">
        <v>100</v>
      </c>
      <c r="I20" s="604">
        <v>0.1057844</v>
      </c>
      <c r="J20" s="523">
        <v>46376</v>
      </c>
      <c r="K20" s="608">
        <v>0.710345</v>
      </c>
      <c r="L20" s="272">
        <v>28</v>
      </c>
      <c r="M20" s="587" t="s">
        <v>647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0.74683785751668996</v>
      </c>
      <c r="Y20" s="485">
        <f ca="1">IF(X20&lt;&gt;"",ABS(MIN(-0.75*('CDO Bespoke'!Q21)+'CDO Bespoke'!T21,0)),"")</f>
        <v>0.74972901391700875</v>
      </c>
      <c r="Z20" s="485">
        <f t="shared" ca="1" si="2"/>
        <v>0</v>
      </c>
      <c r="AA20" s="485">
        <f t="shared" ca="1" si="3"/>
        <v>0</v>
      </c>
      <c r="AB20" s="484">
        <f ca="1">IF('CDO Bespoke'!O21&lt;&gt;"",'CDO Bespoke'!O21,"")</f>
        <v>0.74683785751668996</v>
      </c>
      <c r="AC20" s="485">
        <f ca="1">IF(AB20&lt;&gt;"",ABS(MIN(-0.6*'CDO Bespoke'!K21+'CDO Bespoke'!T21*'CDO Bespoke'!K21,0)),"")</f>
        <v>0.13196647144075724</v>
      </c>
      <c r="AD20" s="485">
        <f t="shared" ca="1" si="5"/>
        <v>0.61487138607593272</v>
      </c>
      <c r="AE20" s="489">
        <f t="shared" ca="1" si="4"/>
        <v>0</v>
      </c>
      <c r="AF20" s="272"/>
      <c r="AG20" s="494" t="str">
        <f ca="1">IF('CDO Bespoke'!C45&lt;&gt;"",'CDO Bespoke'!C45,"")</f>
        <v>ASTRAZENECA PLC</v>
      </c>
      <c r="AH20" s="496">
        <f ca="1"/>
        <v>8.3528210992334095E-3</v>
      </c>
      <c r="AI20" s="585">
        <f ca="1"/>
        <v>2.7668059399132972E-2</v>
      </c>
      <c r="AJ20" s="585">
        <f ca="1"/>
        <v>7.6132956898788962E-2</v>
      </c>
      <c r="AK20" s="585">
        <f ca="1"/>
        <v>1.1079347559994623</v>
      </c>
      <c r="AL20" s="497">
        <f ca="1"/>
        <v>0</v>
      </c>
      <c r="AM20" s="620">
        <f ca="1"/>
        <v>0</v>
      </c>
      <c r="AN20" s="496">
        <f ca="1"/>
        <v>7.324540058067236E-4</v>
      </c>
      <c r="AO20" s="585">
        <f ca="1"/>
        <v>3.5548179129051699E-3</v>
      </c>
      <c r="AP20" s="585">
        <f ca="1"/>
        <v>1.5822654814900625E-2</v>
      </c>
      <c r="AQ20" s="585">
        <f ca="1"/>
        <v>1.1993202806903027</v>
      </c>
      <c r="AR20" s="497">
        <f ca="1"/>
        <v>0</v>
      </c>
      <c r="AS20" s="620">
        <f ca="1"/>
        <v>0</v>
      </c>
      <c r="AT20" s="496">
        <f ca="1"/>
        <v>-2.05664152761591E-2</v>
      </c>
      <c r="AU20" s="497">
        <f ca="1"/>
        <v>-5.7992341960990901E-2</v>
      </c>
      <c r="AV20" s="620">
        <f ca="1"/>
        <v>0</v>
      </c>
      <c r="AW20" s="496">
        <f ca="1"/>
        <v>-5.342876629310897E-2</v>
      </c>
      <c r="AX20" s="497">
        <f ca="1"/>
        <v>-2.8573134851869256E-3</v>
      </c>
      <c r="AY20" s="620">
        <f ca="1"/>
        <v>0</v>
      </c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0.5" thickBot="1">
      <c r="B21" s="517" t="s">
        <v>640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639</v>
      </c>
      <c r="H21" s="518">
        <v>100</v>
      </c>
      <c r="I21" s="525">
        <v>0.25752876000000002</v>
      </c>
      <c r="J21" s="523">
        <v>47107</v>
      </c>
      <c r="K21" s="608" t="s">
        <v>75</v>
      </c>
      <c r="L21" s="565"/>
      <c r="M21" s="587" t="s">
        <v>683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0.74672259052597001</v>
      </c>
      <c r="Y21" s="485">
        <f ca="1">IF(X21&lt;&gt;"",ABS(MIN(-0.75*('CDO Bespoke'!Q22)+'CDO Bespoke'!T22,0)),"")</f>
        <v>0.74943448032762139</v>
      </c>
      <c r="Z21" s="485">
        <f t="shared" ca="1" si="2"/>
        <v>0</v>
      </c>
      <c r="AA21" s="485">
        <f t="shared" ca="1" si="3"/>
        <v>0</v>
      </c>
      <c r="AB21" s="484">
        <f ca="1">IF('CDO Bespoke'!O22&lt;&gt;"",'CDO Bespoke'!O22,"")</f>
        <v>0.74672259052597001</v>
      </c>
      <c r="AC21" s="485">
        <f ca="1">IF(AB21&lt;&gt;"",ABS(MIN(-0.6*'CDO Bespoke'!K22+'CDO Bespoke'!T22*'CDO Bespoke'!K22,0)),"")</f>
        <v>0.13572333737374542</v>
      </c>
      <c r="AD21" s="485">
        <f t="shared" ca="1" si="5"/>
        <v>0.61099925315222459</v>
      </c>
      <c r="AE21" s="489">
        <f t="shared" ca="1" si="4"/>
        <v>0</v>
      </c>
      <c r="AF21" s="272"/>
      <c r="AG21" s="494" t="str">
        <f ca="1">IF('CDO Bespoke'!C46&lt;&gt;"",'CDO Bespoke'!C46,"")</f>
        <v>BAE SYSTEMS PLC</v>
      </c>
      <c r="AH21" s="496">
        <f ca="1"/>
        <v>8.2402821988125652E-3</v>
      </c>
      <c r="AI21" s="585">
        <f ca="1"/>
        <v>2.7113513099141784E-2</v>
      </c>
      <c r="AJ21" s="585">
        <f ca="1"/>
        <v>7.3976093999394976E-2</v>
      </c>
      <c r="AK21" s="585">
        <f ca="1"/>
        <v>1.1349661595994043</v>
      </c>
      <c r="AL21" s="497">
        <f ca="1"/>
        <v>0</v>
      </c>
      <c r="AM21" s="620">
        <f ca="1"/>
        <v>0</v>
      </c>
      <c r="AN21" s="496">
        <f ca="1"/>
        <v>7.1730906319768251E-4</v>
      </c>
      <c r="AO21" s="585">
        <f ca="1"/>
        <v>3.4841315988982241E-3</v>
      </c>
      <c r="AP21" s="585">
        <f ca="1"/>
        <v>1.5416767908602025E-2</v>
      </c>
      <c r="AQ21" s="585">
        <f ca="1"/>
        <v>1.2246190290235002</v>
      </c>
      <c r="AR21" s="497">
        <f ca="1"/>
        <v>0</v>
      </c>
      <c r="AS21" s="620">
        <f ca="1"/>
        <v>0</v>
      </c>
      <c r="AT21" s="496">
        <f ca="1"/>
        <v>-1.9632405946212295E-2</v>
      </c>
      <c r="AU21" s="497">
        <f ca="1"/>
        <v>-5.889039025317766E-2</v>
      </c>
      <c r="AV21" s="620">
        <f ca="1"/>
        <v>0</v>
      </c>
      <c r="AW21" s="496">
        <f ca="1"/>
        <v>-9.7634866434557155E-2</v>
      </c>
      <c r="AX21" s="497">
        <f ca="1"/>
        <v>-2.0419716583088342E-2</v>
      </c>
      <c r="AY21" s="620">
        <f ca="1"/>
        <v>0</v>
      </c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0.5" thickBot="1">
      <c r="B22" s="520" t="s">
        <v>640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639</v>
      </c>
      <c r="H22" s="521">
        <v>100</v>
      </c>
      <c r="I22" s="526">
        <v>0.38828527000000002</v>
      </c>
      <c r="J22" s="524">
        <v>47837</v>
      </c>
      <c r="K22" s="611"/>
      <c r="L22" s="565"/>
      <c r="M22" s="587" t="s">
        <v>684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0.74631781710164002</v>
      </c>
      <c r="Y22" s="485">
        <f ca="1">IF(X22&lt;&gt;"",ABS(MIN(-0.75*('CDO Bespoke'!Q23)+'CDO Bespoke'!T23,0)),"")</f>
        <v>0.748543169823081</v>
      </c>
      <c r="Z22" s="485">
        <f t="shared" ca="1" si="2"/>
        <v>0</v>
      </c>
      <c r="AA22" s="485">
        <f t="shared" ca="1" si="3"/>
        <v>0</v>
      </c>
      <c r="AB22" s="484">
        <f ca="1">IF('CDO Bespoke'!O23&lt;&gt;"",'CDO Bespoke'!O23,"")</f>
        <v>0.74631781710164002</v>
      </c>
      <c r="AC22" s="485">
        <f ca="1">IF(AB22&lt;&gt;"",ABS(MIN(-0.6*'CDO Bespoke'!K23+'CDO Bespoke'!T23*'CDO Bespoke'!K23,0)),"")</f>
        <v>0.14560810057425688</v>
      </c>
      <c r="AD22" s="485">
        <f t="shared" ca="1" si="5"/>
        <v>0.60070971652738314</v>
      </c>
      <c r="AE22" s="489">
        <f t="shared" ca="1" si="4"/>
        <v>0</v>
      </c>
      <c r="AF22" s="272"/>
      <c r="AG22" s="494" t="str">
        <f ca="1">IF('CDO Bespoke'!C47&lt;&gt;"",'CDO Bespoke'!C47,"")</f>
        <v>BASF SE</v>
      </c>
      <c r="AH22" s="496">
        <f ca="1"/>
        <v>8.0262212986959014E-3</v>
      </c>
      <c r="AI22" s="585">
        <f ca="1"/>
        <v>2.631506659911409E-2</v>
      </c>
      <c r="AJ22" s="585">
        <f ca="1"/>
        <v>7.1091268698530996E-2</v>
      </c>
      <c r="AK22" s="585">
        <f ca="1"/>
        <v>1.1987723192996569</v>
      </c>
      <c r="AL22" s="497">
        <f ca="1"/>
        <v>0</v>
      </c>
      <c r="AM22" s="620">
        <f ca="1"/>
        <v>0</v>
      </c>
      <c r="AN22" s="496">
        <f ca="1"/>
        <v>6.6045264020785088E-4</v>
      </c>
      <c r="AO22" s="585">
        <f ca="1"/>
        <v>3.2216083419023267E-3</v>
      </c>
      <c r="AP22" s="585">
        <f ca="1"/>
        <v>1.4033325155607401E-2</v>
      </c>
      <c r="AQ22" s="585">
        <f ca="1"/>
        <v>1.2875508070632999</v>
      </c>
      <c r="AR22" s="497">
        <f ca="1"/>
        <v>0</v>
      </c>
      <c r="AS22" s="620">
        <f ca="1"/>
        <v>0</v>
      </c>
      <c r="AT22" s="496">
        <f ca="1"/>
        <v>-1.7201295188040033E-2</v>
      </c>
      <c r="AU22" s="497">
        <f ca="1"/>
        <v>-6.0873522584899753E-2</v>
      </c>
      <c r="AV22" s="620">
        <f ca="1"/>
        <v>0</v>
      </c>
      <c r="AW22" s="496">
        <f ca="1"/>
        <v>-9.5062847585391352E-2</v>
      </c>
      <c r="AX22" s="497">
        <f ca="1"/>
        <v>-1.8039870307532724E-2</v>
      </c>
      <c r="AY22" s="620">
        <f ca="1"/>
        <v>0</v>
      </c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0.5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685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0.74137799266668003</v>
      </c>
      <c r="Y23" s="485">
        <f ca="1">IF(X23&lt;&gt;"",ABS(MIN(-0.75*('CDO Bespoke'!Q24)+'CDO Bespoke'!T24,0)),"")</f>
        <v>0.74093031447110658</v>
      </c>
      <c r="Z23" s="485">
        <f t="shared" ca="1" si="2"/>
        <v>4.4767819557345323E-4</v>
      </c>
      <c r="AA23" s="485">
        <f t="shared" ca="1" si="3"/>
        <v>0</v>
      </c>
      <c r="AB23" s="484">
        <f ca="1">IF('CDO Bespoke'!O24&lt;&gt;"",'CDO Bespoke'!O24,"")</f>
        <v>0.74137799266668003</v>
      </c>
      <c r="AC23" s="485">
        <f ca="1">IF(AB23&lt;&gt;"",ABS(MIN(-0.6*'CDO Bespoke'!K24+'CDO Bespoke'!T24*'CDO Bespoke'!K24,0)),"")</f>
        <v>0.19698386689705605</v>
      </c>
      <c r="AD23" s="485">
        <f t="shared" ca="1" si="5"/>
        <v>0.54439412576962398</v>
      </c>
      <c r="AE23" s="489">
        <f t="shared" ca="1" si="4"/>
        <v>0</v>
      </c>
      <c r="AF23" s="272"/>
      <c r="AG23" s="494" t="str">
        <f ca="1">IF('CDO Bespoke'!C48&lt;&gt;"",'CDO Bespoke'!C48,"")</f>
        <v>Bayer Aktiengesellschaft</v>
      </c>
      <c r="AH23" s="496">
        <f ca="1"/>
        <v>6.4553318002147364E-3</v>
      </c>
      <c r="AI23" s="585">
        <f ca="1"/>
        <v>2.0907186399909961E-2</v>
      </c>
      <c r="AJ23" s="585">
        <f ca="1"/>
        <v>5.1019370399529862E-2</v>
      </c>
      <c r="AK23" s="585">
        <f ca="1"/>
        <v>1.5085350482002546</v>
      </c>
      <c r="AL23" s="497">
        <f ca="1"/>
        <v>0</v>
      </c>
      <c r="AM23" s="620">
        <f ca="1"/>
        <v>0</v>
      </c>
      <c r="AN23" s="496">
        <f ca="1"/>
        <v>-1.6685422699752595E-4</v>
      </c>
      <c r="AO23" s="585">
        <f ca="1"/>
        <v>-6.6697479299965279E-4</v>
      </c>
      <c r="AP23" s="585">
        <f ca="1"/>
        <v>-4.6175927609966999E-3</v>
      </c>
      <c r="AQ23" s="585">
        <f ca="1"/>
        <v>1.5971608988479997</v>
      </c>
      <c r="AR23" s="497">
        <f ca="1"/>
        <v>0</v>
      </c>
      <c r="AS23" s="620">
        <f ca="1"/>
        <v>0</v>
      </c>
      <c r="AT23" s="496">
        <f ca="1"/>
        <v>-5.5350501085145165E-3</v>
      </c>
      <c r="AU23" s="497">
        <f ca="1"/>
        <v>-6.4478664169625333E-2</v>
      </c>
      <c r="AV23" s="620">
        <f ca="1"/>
        <v>0</v>
      </c>
      <c r="AW23" s="496">
        <f ca="1"/>
        <v>-4.3510420436679215E-2</v>
      </c>
      <c r="AX23" s="497">
        <f ca="1"/>
        <v>3.2326177987577018E-2</v>
      </c>
      <c r="AY23" s="620">
        <f ca="1"/>
        <v>0</v>
      </c>
      <c r="BA23" s="507"/>
      <c r="BB23" s="508"/>
      <c r="BC23" s="508"/>
      <c r="BD23" s="508"/>
      <c r="BE23" s="508"/>
      <c r="BF23" s="508"/>
      <c r="BG23" s="584"/>
      <c r="BH23" s="584"/>
      <c r="BI23" s="584"/>
      <c r="BJ23" s="586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0.5" thickBot="1">
      <c r="B24" s="468" t="s">
        <v>641</v>
      </c>
      <c r="C24" s="468" t="s">
        <v>82</v>
      </c>
      <c r="D24" s="468" t="s">
        <v>432</v>
      </c>
      <c r="E24" s="468" t="s">
        <v>642</v>
      </c>
      <c r="F24" s="468" t="s">
        <v>643</v>
      </c>
      <c r="G24" s="468" t="s">
        <v>644</v>
      </c>
      <c r="H24" s="468" t="s">
        <v>645</v>
      </c>
      <c r="I24" s="468" t="s">
        <v>85</v>
      </c>
      <c r="J24" s="468" t="s">
        <v>692</v>
      </c>
      <c r="K24" s="476" t="s">
        <v>654</v>
      </c>
      <c r="L24" s="272"/>
      <c r="M24" s="596" t="s">
        <v>671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0.74588596178915001</v>
      </c>
      <c r="Y24" s="485">
        <f ca="1">IF(X24&lt;&gt;"",ABS(MIN(-0.75*('CDO Bespoke'!Q25)+'CDO Bespoke'!T25,0)),"")</f>
        <v>0.74769815229086456</v>
      </c>
      <c r="Z24" s="485">
        <f t="shared" ca="1" si="2"/>
        <v>0</v>
      </c>
      <c r="AA24" s="485">
        <f t="shared" ca="1" si="3"/>
        <v>0</v>
      </c>
      <c r="AB24" s="484">
        <f ca="1">IF('CDO Bespoke'!O25&lt;&gt;"",'CDO Bespoke'!O25,"")</f>
        <v>0.74588596178915001</v>
      </c>
      <c r="AC24" s="485">
        <f ca="1">IF(AB24&lt;&gt;"",ABS(MIN(-0.6*'CDO Bespoke'!K25+'CDO Bespoke'!T25*'CDO Bespoke'!K25,0)),"")</f>
        <v>0.15365625412400935</v>
      </c>
      <c r="AD24" s="485">
        <f t="shared" ca="1" si="5"/>
        <v>0.5922297076651406</v>
      </c>
      <c r="AE24" s="489">
        <f t="shared" ca="1" si="4"/>
        <v>0</v>
      </c>
      <c r="AF24" s="272"/>
      <c r="AG24" s="494" t="str">
        <f ca="1">IF('CDO Bespoke'!C49&lt;&gt;"",'CDO Bespoke'!C49,"")</f>
        <v>Bayerische Motoren Werke Aktiengesellschaft</v>
      </c>
      <c r="AH24" s="496">
        <f ca="1"/>
        <v>7.8798860991824426E-3</v>
      </c>
      <c r="AI24" s="585">
        <f ca="1"/>
        <v>2.5948851398727157E-2</v>
      </c>
      <c r="AJ24" s="585">
        <f ca="1"/>
        <v>6.9923525498616357E-2</v>
      </c>
      <c r="AK24" s="585">
        <f ca="1"/>
        <v>1.2466240396991068</v>
      </c>
      <c r="AL24" s="497">
        <f ca="1"/>
        <v>0</v>
      </c>
      <c r="AM24" s="620">
        <f ca="1"/>
        <v>0</v>
      </c>
      <c r="AN24" s="496">
        <f ca="1"/>
        <v>5.9551613250038993E-4</v>
      </c>
      <c r="AO24" s="585">
        <f ca="1"/>
        <v>2.9218818927041756E-3</v>
      </c>
      <c r="AP24" s="585">
        <f ca="1"/>
        <v>1.2521106130605753E-2</v>
      </c>
      <c r="AQ24" s="585">
        <f ca="1"/>
        <v>1.3365136820019021</v>
      </c>
      <c r="AR24" s="497">
        <f ca="1"/>
        <v>0</v>
      </c>
      <c r="AS24" s="620">
        <f ca="1"/>
        <v>0</v>
      </c>
      <c r="AT24" s="496">
        <f ca="1"/>
        <v>-1.5258874288978319E-2</v>
      </c>
      <c r="AU24" s="497">
        <f ca="1"/>
        <v>-6.2163791970821558E-2</v>
      </c>
      <c r="AV24" s="620">
        <f ca="1"/>
        <v>0</v>
      </c>
      <c r="AW24" s="496">
        <f ca="1"/>
        <v>-9.283866038912042E-2</v>
      </c>
      <c r="AX24" s="497">
        <f ca="1"/>
        <v>-1.5592805467817477E-2</v>
      </c>
      <c r="AY24" s="620">
        <f ca="1"/>
        <v>0</v>
      </c>
      <c r="AZ24" s="580"/>
      <c r="BA24" s="580"/>
      <c r="BB24" s="579"/>
      <c r="BC24" s="579"/>
      <c r="BD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646</v>
      </c>
      <c r="F25" s="530" t="s">
        <v>647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687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0.74673155145534997</v>
      </c>
      <c r="Y25" s="485">
        <f ca="1">IF(X25&lt;&gt;"",ABS(MIN(-0.75*('CDO Bespoke'!Q26)+'CDO Bespoke'!T26,0)),"")</f>
        <v>0.74947266370978904</v>
      </c>
      <c r="Z25" s="485">
        <f t="shared" ca="1" si="2"/>
        <v>0</v>
      </c>
      <c r="AA25" s="485">
        <f t="shared" ca="1" si="3"/>
        <v>0</v>
      </c>
      <c r="AB25" s="484">
        <f ca="1">IF('CDO Bespoke'!O26&lt;&gt;"",'CDO Bespoke'!O26,"")</f>
        <v>0.74673155145534997</v>
      </c>
      <c r="AC25" s="485">
        <f ca="1">IF(AB25&lt;&gt;"",ABS(MIN(-0.6*'CDO Bespoke'!K26+'CDO Bespoke'!T26*'CDO Bespoke'!K26,0)),"")</f>
        <v>0.13518797976007652</v>
      </c>
      <c r="AD25" s="485">
        <f t="shared" ca="1" si="5"/>
        <v>0.61154357169527351</v>
      </c>
      <c r="AE25" s="489">
        <f t="shared" ca="1" si="4"/>
        <v>0</v>
      </c>
      <c r="AF25" s="272"/>
      <c r="AG25" s="494" t="str">
        <f ca="1">IF('CDO Bespoke'!C50&lt;&gt;"",'CDO Bespoke'!C50,"")</f>
        <v>BOUYGUES</v>
      </c>
      <c r="AH25" s="496">
        <f ca="1"/>
        <v>8.2798578993070748E-3</v>
      </c>
      <c r="AI25" s="585">
        <f ca="1"/>
        <v>2.7368443400455078E-2</v>
      </c>
      <c r="AJ25" s="585">
        <f ca="1"/>
        <v>7.5033707600535848E-2</v>
      </c>
      <c r="AK25" s="585">
        <f ca="1"/>
        <v>1.1294193900002192</v>
      </c>
      <c r="AL25" s="497">
        <f ca="1"/>
        <v>0</v>
      </c>
      <c r="AM25" s="620">
        <f ca="1"/>
        <v>0</v>
      </c>
      <c r="AN25" s="496">
        <f ca="1"/>
        <v>7.1938881040546632E-4</v>
      </c>
      <c r="AO25" s="585">
        <f ca="1"/>
        <v>3.4947547132048451E-3</v>
      </c>
      <c r="AP25" s="585">
        <f ca="1"/>
        <v>1.5492720187798917E-2</v>
      </c>
      <c r="AQ25" s="585">
        <f ca="1"/>
        <v>1.2202034159118982</v>
      </c>
      <c r="AR25" s="497">
        <f ca="1"/>
        <v>0</v>
      </c>
      <c r="AS25" s="620">
        <f ca="1"/>
        <v>0</v>
      </c>
      <c r="AT25" s="496">
        <f ca="1"/>
        <v>-1.9755226509324153E-2</v>
      </c>
      <c r="AU25" s="497">
        <f ca="1"/>
        <v>-5.8715150096715796E-2</v>
      </c>
      <c r="AV25" s="620">
        <f ca="1"/>
        <v>0</v>
      </c>
      <c r="AW25" s="496">
        <f ca="1"/>
        <v>-9.7740941689512667E-2</v>
      </c>
      <c r="AX25" s="497">
        <f ca="1"/>
        <v>-2.0528383725261425E-2</v>
      </c>
      <c r="AY25" s="620">
        <f ca="1"/>
        <v>0</v>
      </c>
      <c r="AZ25" s="580"/>
      <c r="BA25" s="580"/>
      <c r="BB25" s="579"/>
      <c r="BC25" s="579"/>
      <c r="BD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646</v>
      </c>
      <c r="F26" s="518" t="s">
        <v>647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686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0.74339964416009996</v>
      </c>
      <c r="Y26" s="485">
        <f ca="1">IF(X26&lt;&gt;"",ABS(MIN(-0.75*('CDO Bespoke'!Q27)+'CDO Bespoke'!T27,0)),"")</f>
        <v>0.74362100732512426</v>
      </c>
      <c r="Z26" s="485">
        <f t="shared" ca="1" si="2"/>
        <v>0</v>
      </c>
      <c r="AA26" s="485">
        <f t="shared" ca="1" si="3"/>
        <v>0</v>
      </c>
      <c r="AB26" s="484">
        <f ca="1">IF('CDO Bespoke'!O27&lt;&gt;"",'CDO Bespoke'!O27,"")</f>
        <v>0.74339964416009996</v>
      </c>
      <c r="AC26" s="485">
        <f ca="1">IF(AB26&lt;&gt;"",ABS(MIN(-0.6*'CDO Bespoke'!K27+'CDO Bespoke'!T27*'CDO Bespoke'!K27,0)),"")</f>
        <v>0.18318291295701039</v>
      </c>
      <c r="AD26" s="485">
        <f t="shared" ca="1" si="5"/>
        <v>0.56021673120308957</v>
      </c>
      <c r="AE26" s="489">
        <f t="shared" ca="1" si="4"/>
        <v>0</v>
      </c>
      <c r="AF26" s="272"/>
      <c r="AG26" s="494" t="str">
        <f ca="1">IF('CDO Bespoke'!C51&lt;&gt;"",'CDO Bespoke'!C51,"")</f>
        <v>CNH Industrial N.V</v>
      </c>
      <c r="AH26" s="496">
        <f ca="1"/>
        <v>7.0391819995130334E-3</v>
      </c>
      <c r="AI26" s="585">
        <f ca="1"/>
        <v>2.3040313099631504E-2</v>
      </c>
      <c r="AJ26" s="585">
        <f ca="1"/>
        <v>5.8781712699573774E-2</v>
      </c>
      <c r="AK26" s="585">
        <f ca="1"/>
        <v>1.4255533572993251</v>
      </c>
      <c r="AL26" s="497">
        <f ca="1"/>
        <v>0</v>
      </c>
      <c r="AM26" s="620">
        <f ca="1"/>
        <v>0</v>
      </c>
      <c r="AN26" s="496">
        <f ca="1"/>
        <v>1.7609691499919852E-4</v>
      </c>
      <c r="AO26" s="585">
        <f ca="1"/>
        <v>9.5719544199917087E-4</v>
      </c>
      <c r="AP26" s="585">
        <f ca="1"/>
        <v>2.6531227189990556E-3</v>
      </c>
      <c r="AQ26" s="585">
        <f ca="1"/>
        <v>1.5175129178079991</v>
      </c>
      <c r="AR26" s="497">
        <f ca="1"/>
        <v>0</v>
      </c>
      <c r="AS26" s="620">
        <f ca="1"/>
        <v>0</v>
      </c>
      <c r="AT26" s="496">
        <f ca="1"/>
        <v>-8.5740397261078183E-3</v>
      </c>
      <c r="AU26" s="497">
        <f ca="1"/>
        <v>-6.492213150310211E-2</v>
      </c>
      <c r="AV26" s="620">
        <f ca="1"/>
        <v>0</v>
      </c>
      <c r="AW26" s="496">
        <f ca="1"/>
        <v>-8.3984903899731123E-2</v>
      </c>
      <c r="AX26" s="497">
        <f ca="1"/>
        <v>-1.8798009369911939E-3</v>
      </c>
      <c r="AY26" s="620">
        <f ca="1"/>
        <v>0</v>
      </c>
    </row>
    <row r="27" spans="2:65">
      <c r="B27" s="534" t="s">
        <v>510</v>
      </c>
      <c r="C27" s="535" t="s">
        <v>66</v>
      </c>
      <c r="D27" s="535" t="s">
        <v>59</v>
      </c>
      <c r="E27" s="535" t="s">
        <v>646</v>
      </c>
      <c r="F27" s="535" t="s">
        <v>647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653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0.69586514425866997</v>
      </c>
      <c r="Y27" s="485">
        <f ca="1">IF(X27&lt;&gt;"",ABS(MIN(-0.75*('CDO Bespoke'!Q28)+'CDO Bespoke'!T28,0)),"")</f>
        <v>0.71760346845459744</v>
      </c>
      <c r="Z27" s="485">
        <f t="shared" ca="1" si="2"/>
        <v>0</v>
      </c>
      <c r="AA27" s="485">
        <f t="shared" ca="1" si="3"/>
        <v>0</v>
      </c>
      <c r="AB27" s="484">
        <f ca="1">IF('CDO Bespoke'!O28&lt;&gt;"",'CDO Bespoke'!O28,"")</f>
        <v>0.69586514425866997</v>
      </c>
      <c r="AC27" s="485">
        <f ca="1">IF(AB27&lt;&gt;"",ABS(MIN(-0.6*'CDO Bespoke'!K28+'CDO Bespoke'!T28*'CDO Bespoke'!K28,0)),"")</f>
        <v>0.25143075003316057</v>
      </c>
      <c r="AD27" s="485">
        <f t="shared" ca="1" si="5"/>
        <v>0.4444343942255094</v>
      </c>
      <c r="AE27" s="489">
        <f t="shared" ca="1" si="4"/>
        <v>0</v>
      </c>
      <c r="AF27" s="272"/>
      <c r="AG27" s="494" t="str">
        <f ca="1">IF('CDO Bespoke'!C52&lt;&gt;"",'CDO Bespoke'!C52,"")</f>
        <v>COMPAGNIE DE SAINT-GOBAIN</v>
      </c>
      <c r="AH27" s="496">
        <f ca="1"/>
        <v>-3.7593378010569722E-3</v>
      </c>
      <c r="AI27" s="585">
        <f ca="1"/>
        <v>-2.667969650094193E-2</v>
      </c>
      <c r="AJ27" s="585">
        <f ca="1"/>
        <v>-0.14761039309973967</v>
      </c>
      <c r="AK27" s="585">
        <f ca="1"/>
        <v>2.1822908963997634</v>
      </c>
      <c r="AL27" s="497">
        <f ca="1"/>
        <v>0</v>
      </c>
      <c r="AM27" s="620">
        <f ca="1"/>
        <v>0</v>
      </c>
      <c r="AN27" s="496">
        <f ca="1"/>
        <v>-7.6031553279676256E-3</v>
      </c>
      <c r="AO27" s="585">
        <f ca="1"/>
        <v>-3.579897751487815E-2</v>
      </c>
      <c r="AP27" s="585">
        <f ca="1"/>
        <v>-0.16141533776298234</v>
      </c>
      <c r="AQ27" s="585">
        <f ca="1"/>
        <v>2.2231680716690292</v>
      </c>
      <c r="AR27" s="497">
        <f ca="1"/>
        <v>0</v>
      </c>
      <c r="AS27" s="620">
        <f ca="1"/>
        <v>0</v>
      </c>
      <c r="AT27" s="496">
        <f ca="1"/>
        <v>9.9371992585113311E-3</v>
      </c>
      <c r="AU27" s="497">
        <f ca="1"/>
        <v>-1.336883361420127E-2</v>
      </c>
      <c r="AV27" s="620">
        <f ca="1"/>
        <v>0</v>
      </c>
      <c r="AW27" s="496">
        <f ca="1"/>
        <v>-4.1710598002069985E-2</v>
      </c>
      <c r="AX27" s="497">
        <f ca="1"/>
        <v>7.4576709142950795E-2</v>
      </c>
      <c r="AY27" s="620">
        <f ca="1"/>
        <v>0</v>
      </c>
    </row>
    <row r="28" spans="2:65">
      <c r="B28" s="539" t="s">
        <v>511</v>
      </c>
      <c r="C28" s="540" t="s">
        <v>66</v>
      </c>
      <c r="D28" s="540" t="s">
        <v>55</v>
      </c>
      <c r="E28" s="540" t="s">
        <v>646</v>
      </c>
      <c r="F28" s="540" t="s">
        <v>647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675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0.74277279242866001</v>
      </c>
      <c r="Y28" s="485">
        <f ca="1">IF(X28&lt;&gt;"",ABS(MIN(-0.75*('CDO Bespoke'!Q29)+'CDO Bespoke'!T29,0)),"")</f>
        <v>0.74271861322106081</v>
      </c>
      <c r="Z28" s="485">
        <f t="shared" ca="1" si="2"/>
        <v>5.4179207599203139E-5</v>
      </c>
      <c r="AA28" s="485">
        <f t="shared" ca="1" si="3"/>
        <v>0</v>
      </c>
      <c r="AB28" s="484">
        <f ca="1">IF('CDO Bespoke'!O29&lt;&gt;"",'CDO Bespoke'!O29,"")</f>
        <v>0.74277279242866001</v>
      </c>
      <c r="AC28" s="485">
        <f ca="1">IF(AB28&lt;&gt;"",ABS(MIN(-0.6*'CDO Bespoke'!K29+'CDO Bespoke'!T29*'CDO Bespoke'!K29,0)),"")</f>
        <v>0.18826933463106357</v>
      </c>
      <c r="AD28" s="485">
        <f t="shared" ca="1" si="5"/>
        <v>0.55450345779759647</v>
      </c>
      <c r="AE28" s="489">
        <f t="shared" ca="1" si="4"/>
        <v>0</v>
      </c>
      <c r="AF28" s="272"/>
      <c r="AG28" s="494" t="str">
        <f ca="1">IF('CDO Bespoke'!C53&lt;&gt;"",'CDO Bespoke'!C53,"")</f>
        <v>Continental Aktiengesellschaft</v>
      </c>
      <c r="AH28" s="496">
        <f ca="1"/>
        <v>6.8018674004299839E-3</v>
      </c>
      <c r="AI28" s="585">
        <f ca="1"/>
        <v>2.1944560599784779E-2</v>
      </c>
      <c r="AJ28" s="585">
        <f ca="1"/>
        <v>5.4713223098801222E-2</v>
      </c>
      <c r="AK28" s="585">
        <f ca="1"/>
        <v>1.463412345399373</v>
      </c>
      <c r="AL28" s="497">
        <f ca="1"/>
        <v>0</v>
      </c>
      <c r="AM28" s="620">
        <f ca="1"/>
        <v>0</v>
      </c>
      <c r="AN28" s="496">
        <f ca="1"/>
        <v>5.7714870990016598E-5</v>
      </c>
      <c r="AO28" s="585">
        <f ca="1"/>
        <v>3.9738549398955682E-4</v>
      </c>
      <c r="AP28" s="585">
        <f ca="1"/>
        <v>5.2929853698981469E-4</v>
      </c>
      <c r="AQ28" s="585">
        <f ca="1"/>
        <v>1.5507847053579897</v>
      </c>
      <c r="AR28" s="497">
        <f ca="1"/>
        <v>0</v>
      </c>
      <c r="AS28" s="620">
        <f ca="1"/>
        <v>0</v>
      </c>
      <c r="AT28" s="496">
        <f ca="1"/>
        <v>-7.4632149252005231E-3</v>
      </c>
      <c r="AU28" s="497">
        <f ca="1"/>
        <v>-6.5216387295829348E-2</v>
      </c>
      <c r="AV28" s="620">
        <f ca="1"/>
        <v>0</v>
      </c>
      <c r="AW28" s="496">
        <f ca="1"/>
        <v>-8.2444224713276615E-2</v>
      </c>
      <c r="AX28" s="497">
        <f ca="1"/>
        <v>1.6730604229545296E-3</v>
      </c>
      <c r="AY28" s="620">
        <f ca="1"/>
        <v>0</v>
      </c>
      <c r="BE28" s="578"/>
    </row>
    <row r="29" spans="2:65">
      <c r="B29" s="517" t="s">
        <v>511</v>
      </c>
      <c r="C29" s="518" t="s">
        <v>66</v>
      </c>
      <c r="D29" s="518" t="s">
        <v>57</v>
      </c>
      <c r="E29" s="518" t="s">
        <v>646</v>
      </c>
      <c r="F29" s="518" t="s">
        <v>647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672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0.74197373288382995</v>
      </c>
      <c r="Y29" s="485">
        <f ca="1">IF(X29&lt;&gt;"",ABS(MIN(-0.75*('CDO Bespoke'!Q30)+'CDO Bespoke'!T30,0)),"")</f>
        <v>0.74164610005764242</v>
      </c>
      <c r="Z29" s="485">
        <f t="shared" ca="1" si="2"/>
        <v>3.2763282618752942E-4</v>
      </c>
      <c r="AA29" s="485">
        <f t="shared" ca="1" si="3"/>
        <v>0</v>
      </c>
      <c r="AB29" s="484">
        <f ca="1">IF('CDO Bespoke'!O30&lt;&gt;"",'CDO Bespoke'!O30,"")</f>
        <v>0.74197373288382995</v>
      </c>
      <c r="AC29" s="485">
        <f ca="1">IF(AB29&lt;&gt;"",ABS(MIN(-0.6*'CDO Bespoke'!K30+'CDO Bespoke'!T30*'CDO Bespoke'!K30,0)),"")</f>
        <v>0.19409575304764867</v>
      </c>
      <c r="AD29" s="485">
        <f t="shared" ca="1" si="5"/>
        <v>0.54787797983618125</v>
      </c>
      <c r="AE29" s="489">
        <f t="shared" ca="1" si="4"/>
        <v>0</v>
      </c>
      <c r="AF29" s="272"/>
      <c r="AG29" s="494" t="str">
        <f ca="1">IF('CDO Bespoke'!C54&lt;&gt;"",'CDO Bespoke'!C54,"")</f>
        <v>Glencore International AG</v>
      </c>
      <c r="AH29" s="496">
        <f ca="1"/>
        <v>6.5285270989257072E-3</v>
      </c>
      <c r="AI29" s="585">
        <f ca="1"/>
        <v>2.0727938898623677E-2</v>
      </c>
      <c r="AJ29" s="585">
        <f ca="1"/>
        <v>4.9625380500462057E-2</v>
      </c>
      <c r="AK29" s="585">
        <f ca="1"/>
        <v>1.5047564801995428</v>
      </c>
      <c r="AL29" s="497">
        <f ca="1"/>
        <v>0</v>
      </c>
      <c r="AM29" s="620">
        <f ca="1"/>
        <v>0</v>
      </c>
      <c r="AN29" s="496">
        <f ca="1"/>
        <v>-9.0279302002865824E-5</v>
      </c>
      <c r="AO29" s="585">
        <f ca="1"/>
        <v>-3.0216581100098172E-4</v>
      </c>
      <c r="AP29" s="585">
        <f ca="1"/>
        <v>-2.8381990030022439E-3</v>
      </c>
      <c r="AQ29" s="585">
        <f ca="1"/>
        <v>1.5903074140659985</v>
      </c>
      <c r="AR29" s="497">
        <f ca="1"/>
        <v>0</v>
      </c>
      <c r="AS29" s="620">
        <f ca="1"/>
        <v>0</v>
      </c>
      <c r="AT29" s="496">
        <f ca="1"/>
        <v>-6.2325743337723338E-3</v>
      </c>
      <c r="AU29" s="497">
        <f ca="1"/>
        <v>-6.5310491058577558E-2</v>
      </c>
      <c r="AV29" s="620">
        <f ca="1"/>
        <v>0</v>
      </c>
      <c r="AW29" s="496">
        <f ca="1"/>
        <v>-8.0563348640072238E-2</v>
      </c>
      <c r="AX29" s="497">
        <f ca="1"/>
        <v>5.8910456452619248E-3</v>
      </c>
      <c r="AY29" s="620">
        <f ca="1"/>
        <v>0</v>
      </c>
    </row>
    <row r="30" spans="2:65">
      <c r="B30" s="534" t="s">
        <v>511</v>
      </c>
      <c r="C30" s="535" t="s">
        <v>66</v>
      </c>
      <c r="D30" s="535" t="s">
        <v>59</v>
      </c>
      <c r="E30" s="535" t="s">
        <v>646</v>
      </c>
      <c r="F30" s="535" t="s">
        <v>647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652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0.74713707496113002</v>
      </c>
      <c r="Y30" s="485">
        <f ca="1">IF(X30&lt;&gt;"",ABS(MIN(-0.75*('CDO Bespoke'!Q31)+'CDO Bespoke'!T31,0)),"")</f>
        <v>0.75042957772906804</v>
      </c>
      <c r="Z30" s="485">
        <f t="shared" ca="1" si="2"/>
        <v>0</v>
      </c>
      <c r="AA30" s="485">
        <f t="shared" ca="1" si="3"/>
        <v>0</v>
      </c>
      <c r="AB30" s="484">
        <f ca="1">IF('CDO Bespoke'!O31&lt;&gt;"",'CDO Bespoke'!O31,"")</f>
        <v>0.74713707496113002</v>
      </c>
      <c r="AC30" s="485">
        <f ca="1">IF(AB30&lt;&gt;"",ABS(MIN(-0.6*'CDO Bespoke'!K31+'CDO Bespoke'!T31*'CDO Bespoke'!K31,0)),"")</f>
        <v>0.12246847381502139</v>
      </c>
      <c r="AD30" s="485">
        <f t="shared" ca="1" si="5"/>
        <v>0.62466860114610867</v>
      </c>
      <c r="AE30" s="489">
        <f t="shared" ca="1" si="4"/>
        <v>0</v>
      </c>
      <c r="AF30" s="272"/>
      <c r="AG30" s="494" t="str">
        <f ca="1">IF('CDO Bespoke'!C55&lt;&gt;"",'CDO Bespoke'!C55,"")</f>
        <v>GSK PLC</v>
      </c>
      <c r="AH30" s="496">
        <f ca="1"/>
        <v>8.4447899983963737E-3</v>
      </c>
      <c r="AI30" s="585">
        <f ca="1"/>
        <v>2.7683712899850832E-2</v>
      </c>
      <c r="AJ30" s="585">
        <f ca="1"/>
        <v>7.5662977598867087E-2</v>
      </c>
      <c r="AK30" s="585">
        <f ca="1"/>
        <v>1.0518064779985181</v>
      </c>
      <c r="AL30" s="497">
        <f ca="1"/>
        <v>0</v>
      </c>
      <c r="AM30" s="620">
        <f ca="1"/>
        <v>0</v>
      </c>
      <c r="AN30" s="496">
        <f ca="1"/>
        <v>7.6033074530856837E-4</v>
      </c>
      <c r="AO30" s="585">
        <f ca="1"/>
        <v>3.677682697197926E-3</v>
      </c>
      <c r="AP30" s="585">
        <f ca="1"/>
        <v>1.6465879654602861E-2</v>
      </c>
      <c r="AQ30" s="585">
        <f ca="1"/>
        <v>1.1407644785492963</v>
      </c>
      <c r="AR30" s="497">
        <f ca="1"/>
        <v>0</v>
      </c>
      <c r="AS30" s="620">
        <f ca="1"/>
        <v>0</v>
      </c>
      <c r="AT30" s="496">
        <f ca="1"/>
        <v>-2.3054188078868387E-2</v>
      </c>
      <c r="AU30" s="497">
        <f ca="1"/>
        <v>-5.5931185674231498E-2</v>
      </c>
      <c r="AV30" s="620">
        <f ca="1"/>
        <v>0</v>
      </c>
      <c r="AW30" s="496">
        <f ca="1"/>
        <v>-5.4682495059786812E-2</v>
      </c>
      <c r="AX30" s="497">
        <f ca="1"/>
        <v>-5.1948033032098821E-3</v>
      </c>
      <c r="AY30" s="620">
        <f ca="1"/>
        <v>0</v>
      </c>
    </row>
    <row r="31" spans="2:65">
      <c r="B31" s="539" t="s">
        <v>529</v>
      </c>
      <c r="C31" s="540" t="s">
        <v>66</v>
      </c>
      <c r="D31" s="540" t="s">
        <v>55</v>
      </c>
      <c r="E31" s="540" t="s">
        <v>648</v>
      </c>
      <c r="F31" s="540" t="s">
        <v>673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688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0.74341421130426</v>
      </c>
      <c r="Y31" s="485">
        <f ca="1">IF(X31&lt;&gt;"",ABS(MIN(-0.75*('CDO Bespoke'!Q32)+'CDO Bespoke'!T32,0)),"")</f>
        <v>0.74363250809459258</v>
      </c>
      <c r="Z31" s="485">
        <f t="shared" ca="1" si="2"/>
        <v>0</v>
      </c>
      <c r="AA31" s="485">
        <f t="shared" ca="1" si="3"/>
        <v>0</v>
      </c>
      <c r="AB31" s="484">
        <f ca="1">IF('CDO Bespoke'!O32&lt;&gt;"",'CDO Bespoke'!O32,"")</f>
        <v>0.74341421130426</v>
      </c>
      <c r="AC31" s="485">
        <f ca="1">IF(AB31&lt;&gt;"",ABS(MIN(-0.6*'CDO Bespoke'!K32+'CDO Bespoke'!T32*'CDO Bespoke'!K32,0)),"")</f>
        <v>0.18322318875805538</v>
      </c>
      <c r="AD31" s="485">
        <f t="shared" ca="1" si="5"/>
        <v>0.56019102254620456</v>
      </c>
      <c r="AE31" s="489">
        <f t="shared" ca="1" si="4"/>
        <v>0</v>
      </c>
      <c r="AF31" s="272"/>
      <c r="AG31" s="494" t="str">
        <f ca="1">IF('CDO Bespoke'!C56&lt;&gt;"",'CDO Bespoke'!C56,"")</f>
        <v>Heidelberg Materials AG</v>
      </c>
      <c r="AH31" s="496">
        <f ca="1"/>
        <v>7.0260187001736085E-3</v>
      </c>
      <c r="AI31" s="585">
        <f ca="1"/>
        <v>2.29112422989175E-2</v>
      </c>
      <c r="AJ31" s="585">
        <f ca="1"/>
        <v>5.813408940014142E-2</v>
      </c>
      <c r="AK31" s="585">
        <f ca="1"/>
        <v>1.4279978066000787</v>
      </c>
      <c r="AL31" s="497">
        <f ca="1"/>
        <v>0</v>
      </c>
      <c r="AM31" s="620">
        <f ca="1"/>
        <v>0</v>
      </c>
      <c r="AN31" s="496">
        <f ca="1"/>
        <v>1.7520259700063573E-4</v>
      </c>
      <c r="AO31" s="585">
        <f ca="1"/>
        <v>9.526018650003569E-4</v>
      </c>
      <c r="AP31" s="585">
        <f ca="1"/>
        <v>2.6045379120012008E-3</v>
      </c>
      <c r="AQ31" s="585">
        <f ca="1"/>
        <v>1.5193093758860103</v>
      </c>
      <c r="AR31" s="497">
        <f ca="1"/>
        <v>0</v>
      </c>
      <c r="AS31" s="620">
        <f ca="1"/>
        <v>0</v>
      </c>
      <c r="AT31" s="496">
        <f ca="1"/>
        <v>-8.5784140245444007E-3</v>
      </c>
      <c r="AU31" s="497">
        <f ca="1"/>
        <v>-6.5021349992275601E-2</v>
      </c>
      <c r="AV31" s="620">
        <f ca="1"/>
        <v>0</v>
      </c>
      <c r="AW31" s="496">
        <f ca="1"/>
        <v>-8.4023030425427914E-2</v>
      </c>
      <c r="AX31" s="497">
        <f ca="1"/>
        <v>-1.8875227167879718E-3</v>
      </c>
      <c r="AY31" s="620">
        <f ca="1"/>
        <v>0</v>
      </c>
    </row>
    <row r="32" spans="2:65">
      <c r="B32" s="517" t="s">
        <v>529</v>
      </c>
      <c r="C32" s="518" t="s">
        <v>66</v>
      </c>
      <c r="D32" s="518" t="s">
        <v>57</v>
      </c>
      <c r="E32" s="518" t="s">
        <v>648</v>
      </c>
      <c r="F32" s="518" t="s">
        <v>673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689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0.74457216166525997</v>
      </c>
      <c r="Y32" s="485">
        <f ca="1">IF(X32&lt;&gt;"",ABS(MIN(-0.75*('CDO Bespoke'!Q33)+'CDO Bespoke'!T33,0)),"")</f>
        <v>0.74539776272138891</v>
      </c>
      <c r="Z32" s="485">
        <f t="shared" ca="1" si="2"/>
        <v>0</v>
      </c>
      <c r="AA32" s="485">
        <f t="shared" ca="1" si="3"/>
        <v>0</v>
      </c>
      <c r="AB32" s="484">
        <f ca="1">IF('CDO Bespoke'!O33&lt;&gt;"",'CDO Bespoke'!O33,"")</f>
        <v>0.74457216166525997</v>
      </c>
      <c r="AC32" s="485">
        <f ca="1">IF(AB32&lt;&gt;"",ABS(MIN(-0.6*'CDO Bespoke'!K33+'CDO Bespoke'!T33*'CDO Bespoke'!K33,0)),"")</f>
        <v>0.17195960609275157</v>
      </c>
      <c r="AD32" s="485">
        <f t="shared" ca="1" si="5"/>
        <v>0.57261255557250834</v>
      </c>
      <c r="AE32" s="489">
        <f t="shared" ca="1" si="4"/>
        <v>0</v>
      </c>
      <c r="AF32" s="272"/>
      <c r="AG32" s="494" t="str">
        <f ca="1">IF('CDO Bespoke'!C57&lt;&gt;"",'CDO Bespoke'!C57,"")</f>
        <v>Holcim AG</v>
      </c>
      <c r="AH32" s="496">
        <f ca="1"/>
        <v>7.4031248997741272E-3</v>
      </c>
      <c r="AI32" s="585">
        <f ca="1"/>
        <v>2.4293786200502154E-2</v>
      </c>
      <c r="AJ32" s="585">
        <f ca="1"/>
        <v>6.3644173100563251E-2</v>
      </c>
      <c r="AK32" s="585">
        <f ca="1"/>
        <v>1.3583062610988961</v>
      </c>
      <c r="AL32" s="497">
        <f ca="1"/>
        <v>0</v>
      </c>
      <c r="AM32" s="620">
        <f ca="1"/>
        <v>0</v>
      </c>
      <c r="AN32" s="496">
        <f ca="1"/>
        <v>3.7644702499759625E-4</v>
      </c>
      <c r="AO32" s="585">
        <f ca="1"/>
        <v>1.8987871899973918E-3</v>
      </c>
      <c r="AP32" s="585">
        <f ca="1"/>
        <v>7.3546664349985469E-3</v>
      </c>
      <c r="AQ32" s="585">
        <f ca="1"/>
        <v>1.4499208092949967</v>
      </c>
      <c r="AR32" s="497">
        <f ca="1"/>
        <v>0</v>
      </c>
      <c r="AS32" s="620">
        <f ca="1"/>
        <v>0</v>
      </c>
      <c r="AT32" s="496">
        <f ca="1"/>
        <v>-1.1082829175943276E-2</v>
      </c>
      <c r="AU32" s="497">
        <f ca="1"/>
        <v>-6.4366840731436836E-2</v>
      </c>
      <c r="AV32" s="620">
        <f ca="1"/>
        <v>0</v>
      </c>
      <c r="AW32" s="496">
        <f ca="1"/>
        <v>-8.7550772741859295E-2</v>
      </c>
      <c r="AX32" s="497">
        <f ca="1"/>
        <v>-8.172677718083006E-3</v>
      </c>
      <c r="AY32" s="620">
        <f ca="1"/>
        <v>0</v>
      </c>
    </row>
    <row r="33" spans="2:51" ht="10.5" thickBot="1">
      <c r="B33" s="534" t="s">
        <v>529</v>
      </c>
      <c r="C33" s="535" t="s">
        <v>66</v>
      </c>
      <c r="D33" s="535" t="s">
        <v>59</v>
      </c>
      <c r="E33" s="535" t="s">
        <v>648</v>
      </c>
      <c r="F33" s="535" t="s">
        <v>673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691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0.74736964626607005</v>
      </c>
      <c r="Y33" s="485">
        <f ca="1">IF(X33&lt;&gt;"",ABS(MIN(-0.75*('CDO Bespoke'!Q34)+'CDO Bespoke'!T34,0)),"")</f>
        <v>0.75105226986068385</v>
      </c>
      <c r="Z33" s="485">
        <f t="shared" ca="1" si="2"/>
        <v>0</v>
      </c>
      <c r="AA33" s="485">
        <f t="shared" ca="1" si="3"/>
        <v>0</v>
      </c>
      <c r="AB33" s="484">
        <f ca="1">IF('CDO Bespoke'!O34&lt;&gt;"",'CDO Bespoke'!O34,"")</f>
        <v>0.74736964626607005</v>
      </c>
      <c r="AC33" s="485">
        <f ca="1">IF(AB33&lt;&gt;"",ABS(MIN(-0.6*'CDO Bespoke'!K34+'CDO Bespoke'!T34*'CDO Bespoke'!K34,0)),"")</f>
        <v>0.11223825311451299</v>
      </c>
      <c r="AD33" s="485">
        <f t="shared" ca="1" si="5"/>
        <v>0.63513139315155709</v>
      </c>
      <c r="AE33" s="489">
        <f t="shared" ca="1" si="4"/>
        <v>0</v>
      </c>
      <c r="AF33" s="272"/>
      <c r="AG33" s="494" t="str">
        <f ca="1">IF('CDO Bespoke'!C58&lt;&gt;"",'CDO Bespoke'!C58,"")</f>
        <v>DSM B.V</v>
      </c>
      <c r="AH33" s="496">
        <f ca="1"/>
        <v>8.5669066995919252E-3</v>
      </c>
      <c r="AI33" s="585">
        <f ca="1"/>
        <v>2.7943352598480686E-2</v>
      </c>
      <c r="AJ33" s="585">
        <f ca="1"/>
        <v>7.6186169899461476E-2</v>
      </c>
      <c r="AK33" s="585">
        <f ca="1"/>
        <v>0.98724038170017181</v>
      </c>
      <c r="AL33" s="497">
        <f ca="1"/>
        <v>0</v>
      </c>
      <c r="AM33" s="620">
        <f ca="1"/>
        <v>0</v>
      </c>
      <c r="AN33" s="496">
        <f ca="1"/>
        <v>7.7137924029205274E-4</v>
      </c>
      <c r="AO33" s="585">
        <f ca="1"/>
        <v>3.7224647322919857E-3</v>
      </c>
      <c r="AP33" s="585">
        <f ca="1"/>
        <v>1.67627884324964E-2</v>
      </c>
      <c r="AQ33" s="585">
        <f ca="1"/>
        <v>1.0750504529396903</v>
      </c>
      <c r="AR33" s="497">
        <f ca="1"/>
        <v>0</v>
      </c>
      <c r="AS33" s="620">
        <f ca="1"/>
        <v>0</v>
      </c>
      <c r="AT33" s="496">
        <f ca="1"/>
        <v>-2.5818539166274634E-2</v>
      </c>
      <c r="AU33" s="497">
        <f ca="1"/>
        <v>-5.3384068013385244E-2</v>
      </c>
      <c r="AV33" s="620">
        <f ca="1"/>
        <v>0</v>
      </c>
      <c r="AW33" s="496">
        <f ca="1"/>
        <v>-0.10355381846867219</v>
      </c>
      <c r="AX33" s="497">
        <f ca="1"/>
        <v>-2.361838768797362E-2</v>
      </c>
      <c r="AY33" s="620">
        <f ca="1"/>
        <v>0</v>
      </c>
    </row>
    <row r="34" spans="2:51">
      <c r="B34" s="539" t="s">
        <v>610</v>
      </c>
      <c r="C34" s="540" t="s">
        <v>66</v>
      </c>
      <c r="D34" s="540" t="s">
        <v>55</v>
      </c>
      <c r="E34" s="540" t="s">
        <v>648</v>
      </c>
      <c r="F34" s="540" t="s">
        <v>647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0.74734619602777996</v>
      </c>
      <c r="Y34" s="485">
        <f ca="1">IF(X34&lt;&gt;"",ABS(MIN(-0.75*('CDO Bespoke'!Q35)+'CDO Bespoke'!T35,0)),"")</f>
        <v>0.75098386116945626</v>
      </c>
      <c r="Z34" s="485">
        <f t="shared" ca="1" si="2"/>
        <v>0</v>
      </c>
      <c r="AA34" s="485">
        <f t="shared" ca="1" si="3"/>
        <v>0</v>
      </c>
      <c r="AB34" s="484">
        <f ca="1">IF('CDO Bespoke'!O35&lt;&gt;"",'CDO Bespoke'!O35,"")</f>
        <v>0.74734619602777996</v>
      </c>
      <c r="AC34" s="485">
        <f ca="1">IF(AB34&lt;&gt;"",ABS(MIN(-0.6*'CDO Bespoke'!K35+'CDO Bespoke'!T35*'CDO Bespoke'!K35,0)),"")</f>
        <v>0.11346888135970451</v>
      </c>
      <c r="AD34" s="485">
        <f t="shared" ca="1" si="5"/>
        <v>0.6338773146680754</v>
      </c>
      <c r="AE34" s="489">
        <f t="shared" ca="1" si="4"/>
        <v>0</v>
      </c>
      <c r="AF34" s="272"/>
      <c r="AG34" s="494" t="str">
        <f ca="1">IF('CDO Bespoke'!C59&lt;&gt;"",'CDO Bespoke'!C59,"")</f>
        <v>L'AIR LIQUIDE SOCIETE ANONYME POUR L'ETUDE ET L'EXPLOITATION DES PROCEDES GEORGES CLAUDE</v>
      </c>
      <c r="AH34" s="496">
        <f ca="1"/>
        <v>8.5469250987735279E-3</v>
      </c>
      <c r="AI34" s="585">
        <f ca="1"/>
        <v>2.787362019862627E-2</v>
      </c>
      <c r="AJ34" s="585">
        <f ca="1"/>
        <v>7.5972764799203674E-2</v>
      </c>
      <c r="AK34" s="585">
        <f ca="1"/>
        <v>0.99540217209925785</v>
      </c>
      <c r="AL34" s="497">
        <f ca="1"/>
        <v>0</v>
      </c>
      <c r="AM34" s="620">
        <f ca="1"/>
        <v>0</v>
      </c>
      <c r="AN34" s="496">
        <f ca="1"/>
        <v>7.7101169140142423E-4</v>
      </c>
      <c r="AO34" s="585">
        <f ca="1"/>
        <v>3.721484357500221E-3</v>
      </c>
      <c r="AP34" s="585">
        <f ca="1"/>
        <v>1.6746339089809825E-2</v>
      </c>
      <c r="AQ34" s="585">
        <f ca="1"/>
        <v>1.0831574055262041</v>
      </c>
      <c r="AR34" s="497">
        <f ca="1"/>
        <v>0</v>
      </c>
      <c r="AS34" s="620">
        <f ca="1"/>
        <v>0</v>
      </c>
      <c r="AT34" s="496">
        <f ca="1"/>
        <v>-2.5480928403426972E-2</v>
      </c>
      <c r="AU34" s="497">
        <f ca="1"/>
        <v>-5.3709962013922974E-2</v>
      </c>
      <c r="AV34" s="620">
        <f ca="1"/>
        <v>0</v>
      </c>
      <c r="AW34" s="496">
        <f ca="1"/>
        <v>-0.10325370997508145</v>
      </c>
      <c r="AX34" s="497">
        <f ca="1"/>
        <v>-2.3527486966251059E-2</v>
      </c>
      <c r="AY34" s="620">
        <f ca="1"/>
        <v>0</v>
      </c>
    </row>
    <row r="35" spans="2:51">
      <c r="B35" s="517" t="s">
        <v>610</v>
      </c>
      <c r="C35" s="518" t="s">
        <v>66</v>
      </c>
      <c r="D35" s="518" t="s">
        <v>57</v>
      </c>
      <c r="E35" s="518" t="s">
        <v>648</v>
      </c>
      <c r="F35" s="518" t="s">
        <v>647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0.73611488301451999</v>
      </c>
      <c r="Y35" s="485">
        <f ca="1">IF(X35&lt;&gt;"",ABS(MIN(-0.75*('CDO Bespoke'!Q36)+'CDO Bespoke'!T36,0)),"")</f>
        <v>0.73530055892176294</v>
      </c>
      <c r="Z35" s="485">
        <f t="shared" ca="1" si="2"/>
        <v>8.1432409275705719E-4</v>
      </c>
      <c r="AA35" s="485">
        <f t="shared" ca="1" si="3"/>
        <v>0</v>
      </c>
      <c r="AB35" s="484">
        <f ca="1">IF('CDO Bespoke'!O36&lt;&gt;"",'CDO Bespoke'!O36,"")</f>
        <v>0.73611488301451999</v>
      </c>
      <c r="AC35" s="485">
        <f ca="1">IF(AB35&lt;&gt;"",ABS(MIN(-0.6*'CDO Bespoke'!K36+'CDO Bespoke'!T36*'CDO Bespoke'!K36,0)),"")</f>
        <v>0.21977194298167083</v>
      </c>
      <c r="AD35" s="485">
        <f t="shared" ca="1" si="5"/>
        <v>0.5163429400328492</v>
      </c>
      <c r="AE35" s="489">
        <f t="shared" ca="1" si="4"/>
        <v>0</v>
      </c>
      <c r="AF35" s="272"/>
      <c r="AG35" s="494" t="str">
        <f ca="1">IF('CDO Bespoke'!C60&lt;&gt;"",'CDO Bespoke'!C60,"")</f>
        <v>LANXESS Aktiengesellschaft</v>
      </c>
      <c r="AH35" s="496">
        <f ca="1"/>
        <v>5.0683314989363737E-3</v>
      </c>
      <c r="AI35" s="585">
        <f ca="1"/>
        <v>1.5244307098871701E-2</v>
      </c>
      <c r="AJ35" s="585">
        <f ca="1"/>
        <v>2.7457093398908228E-2</v>
      </c>
      <c r="AK35" s="585">
        <f ca="1"/>
        <v>1.6559853050002182</v>
      </c>
      <c r="AL35" s="497">
        <f ca="1"/>
        <v>0</v>
      </c>
      <c r="AM35" s="620">
        <f ca="1"/>
        <v>0</v>
      </c>
      <c r="AN35" s="496">
        <f ca="1"/>
        <v>-1.0467793389902502E-3</v>
      </c>
      <c r="AO35" s="585">
        <f ca="1"/>
        <v>-4.8798311089864876E-3</v>
      </c>
      <c r="AP35" s="585">
        <f ca="1"/>
        <v>-2.5027706158000512E-2</v>
      </c>
      <c r="AQ35" s="585">
        <f ca="1"/>
        <v>1.7414829396420091</v>
      </c>
      <c r="AR35" s="497">
        <f ca="1"/>
        <v>0</v>
      </c>
      <c r="AS35" s="620">
        <f ca="1"/>
        <v>0</v>
      </c>
      <c r="AT35" s="496">
        <f ca="1"/>
        <v>-7.00110403083265E-4</v>
      </c>
      <c r="AU35" s="497">
        <f ca="1"/>
        <v>-6.0435792339906591E-2</v>
      </c>
      <c r="AV35" s="620">
        <f ca="1"/>
        <v>0</v>
      </c>
      <c r="AW35" s="496">
        <f ca="1"/>
        <v>-7.008860924850456E-2</v>
      </c>
      <c r="AX35" s="497">
        <f ca="1"/>
        <v>3.2516630254034243E-2</v>
      </c>
      <c r="AY35" s="620">
        <f ca="1"/>
        <v>0</v>
      </c>
    </row>
    <row r="36" spans="2:51">
      <c r="B36" s="534" t="s">
        <v>610</v>
      </c>
      <c r="C36" s="535" t="s">
        <v>66</v>
      </c>
      <c r="D36" s="535" t="s">
        <v>59</v>
      </c>
      <c r="E36" s="535" t="s">
        <v>648</v>
      </c>
      <c r="F36" s="535" t="s">
        <v>647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0.74489531188643998</v>
      </c>
      <c r="Y36" s="485">
        <f ca="1">IF(X36&lt;&gt;"",ABS(MIN(-0.75*('CDO Bespoke'!Q37)+'CDO Bespoke'!T37,0)),"")</f>
        <v>0.7459160900608911</v>
      </c>
      <c r="Z36" s="485">
        <f t="shared" ca="1" si="2"/>
        <v>0</v>
      </c>
      <c r="AA36" s="485">
        <f t="shared" ca="1" si="3"/>
        <v>0</v>
      </c>
      <c r="AB36" s="484">
        <f ca="1">IF('CDO Bespoke'!O37&lt;&gt;"",'CDO Bespoke'!O37,"")</f>
        <v>0.74489531188643998</v>
      </c>
      <c r="AC36" s="485">
        <f ca="1">IF(AB36&lt;&gt;"",ABS(MIN(-0.6*'CDO Bespoke'!K37+'CDO Bespoke'!T37*'CDO Bespoke'!K37,0)),"")</f>
        <v>0.1683615066749011</v>
      </c>
      <c r="AD36" s="485">
        <f t="shared" ca="1" si="5"/>
        <v>0.57653380521153885</v>
      </c>
      <c r="AE36" s="489">
        <f t="shared" ca="1" si="4"/>
        <v>0</v>
      </c>
      <c r="AF36" s="272"/>
      <c r="AG36" s="494" t="str">
        <f ca="1">IF('CDO Bespoke'!C61&lt;&gt;"",'CDO Bespoke'!C61,"")</f>
        <v>LEONARDO SOCIETA' PER AZIONI</v>
      </c>
      <c r="AH36" s="496">
        <f ca="1"/>
        <v>7.4897533997031474E-3</v>
      </c>
      <c r="AI36" s="585">
        <f ca="1"/>
        <v>2.4502420998828711E-2</v>
      </c>
      <c r="AJ36" s="585">
        <f ca="1"/>
        <v>6.433430999930323E-2</v>
      </c>
      <c r="AK36" s="585">
        <f ca="1"/>
        <v>1.3383589502002913</v>
      </c>
      <c r="AL36" s="497">
        <f ca="1"/>
        <v>0</v>
      </c>
      <c r="AM36" s="620">
        <f ca="1"/>
        <v>0</v>
      </c>
      <c r="AN36" s="496">
        <f ca="1"/>
        <v>4.2931273020081762E-4</v>
      </c>
      <c r="AO36" s="585">
        <f ca="1"/>
        <v>2.1456694999054393E-3</v>
      </c>
      <c r="AP36" s="585">
        <f ca="1"/>
        <v>8.5712633361018087E-3</v>
      </c>
      <c r="AQ36" s="585">
        <f ca="1"/>
        <v>1.4291688492068</v>
      </c>
      <c r="AR36" s="497">
        <f ca="1"/>
        <v>0</v>
      </c>
      <c r="AS36" s="620">
        <f ca="1"/>
        <v>0</v>
      </c>
      <c r="AT36" s="496">
        <f ca="1"/>
        <v>-1.1911430684843571E-2</v>
      </c>
      <c r="AU36" s="497">
        <f ca="1"/>
        <v>-6.4115340693526202E-2</v>
      </c>
      <c r="AV36" s="620">
        <f ca="1"/>
        <v>0</v>
      </c>
      <c r="AW36" s="496">
        <f ca="1"/>
        <v>-8.8674146725002345E-2</v>
      </c>
      <c r="AX36" s="497">
        <f ca="1"/>
        <v>-9.9083454849071412E-3</v>
      </c>
      <c r="AY36" s="620">
        <f ca="1"/>
        <v>0</v>
      </c>
    </row>
    <row r="37" spans="2:51">
      <c r="B37" s="539" t="s">
        <v>512</v>
      </c>
      <c r="C37" s="540" t="s">
        <v>66</v>
      </c>
      <c r="D37" s="540" t="s">
        <v>55</v>
      </c>
      <c r="E37" s="540" t="s">
        <v>648</v>
      </c>
      <c r="F37" s="540" t="s">
        <v>673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0.74600457878552995</v>
      </c>
      <c r="Y37" s="485">
        <f ca="1">IF(X37&lt;&gt;"",ABS(MIN(-0.75*('CDO Bespoke'!Q38)+'CDO Bespoke'!T38,0)),"")</f>
        <v>0.7479303515276774</v>
      </c>
      <c r="Z37" s="485">
        <f t="shared" ca="1" si="2"/>
        <v>0</v>
      </c>
      <c r="AA37" s="485">
        <f t="shared" ca="1" si="3"/>
        <v>0</v>
      </c>
      <c r="AB37" s="484">
        <f ca="1">IF('CDO Bespoke'!O38&lt;&gt;"",'CDO Bespoke'!O38,"")</f>
        <v>0.74600457878552995</v>
      </c>
      <c r="AC37" s="485">
        <f ca="1">IF(AB37&lt;&gt;"",ABS(MIN(-0.6*'CDO Bespoke'!K38+'CDO Bespoke'!T38*'CDO Bespoke'!K38,0)),"")</f>
        <v>0.1515140750898612</v>
      </c>
      <c r="AD37" s="485">
        <f t="shared" ca="1" si="5"/>
        <v>0.59449050369566869</v>
      </c>
      <c r="AE37" s="489">
        <f t="shared" ca="1" si="4"/>
        <v>0</v>
      </c>
      <c r="AF37" s="272"/>
      <c r="AG37" s="494" t="str">
        <f ca="1">IF('CDO Bespoke'!C62&lt;&gt;"",'CDO Bespoke'!C62,"")</f>
        <v>Mercedes-Benz Group AG</v>
      </c>
      <c r="AH37" s="496">
        <f ca="1"/>
        <v>7.9320085988321409E-3</v>
      </c>
      <c r="AI37" s="585">
        <f ca="1"/>
        <v>2.6141455200523467E-2</v>
      </c>
      <c r="AJ37" s="585">
        <f ca="1"/>
        <v>7.0647343000107554E-2</v>
      </c>
      <c r="AK37" s="585">
        <f ca="1"/>
        <v>1.2330103774993439</v>
      </c>
      <c r="AL37" s="497">
        <f ca="1"/>
        <v>0</v>
      </c>
      <c r="AM37" s="620">
        <f ca="1"/>
        <v>0</v>
      </c>
      <c r="AN37" s="496">
        <f ca="1"/>
        <v>6.1447921809870687E-4</v>
      </c>
      <c r="AO37" s="585">
        <f ca="1"/>
        <v>3.0101187622946085E-3</v>
      </c>
      <c r="AP37" s="585">
        <f ca="1"/>
        <v>1.2974127595998669E-2</v>
      </c>
      <c r="AQ37" s="585">
        <f ca="1"/>
        <v>1.3230384240545989</v>
      </c>
      <c r="AR37" s="497">
        <f ca="1"/>
        <v>0</v>
      </c>
      <c r="AS37" s="620">
        <f ca="1"/>
        <v>0</v>
      </c>
      <c r="AT37" s="496">
        <f ca="1"/>
        <v>-1.5765216666049575E-2</v>
      </c>
      <c r="AU37" s="497">
        <f ca="1"/>
        <v>-6.1812673707800414E-2</v>
      </c>
      <c r="AV37" s="620">
        <f ca="1"/>
        <v>0</v>
      </c>
      <c r="AW37" s="496">
        <f ca="1"/>
        <v>-9.3422910522917457E-2</v>
      </c>
      <c r="AX37" s="497">
        <f ca="1"/>
        <v>-1.6292016130633229E-2</v>
      </c>
      <c r="AY37" s="620">
        <f ca="1"/>
        <v>0</v>
      </c>
    </row>
    <row r="38" spans="2:51">
      <c r="B38" s="517" t="s">
        <v>512</v>
      </c>
      <c r="C38" s="518" t="s">
        <v>66</v>
      </c>
      <c r="D38" s="518" t="s">
        <v>57</v>
      </c>
      <c r="E38" s="518" t="s">
        <v>648</v>
      </c>
      <c r="F38" s="518" t="s">
        <v>673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0.74048759158586996</v>
      </c>
      <c r="Y38" s="485">
        <f ca="1">IF(X38&lt;&gt;"",ABS(MIN(-0.75*('CDO Bespoke'!Q39)+'CDO Bespoke'!T39,0)),"")</f>
        <v>0.73985083136743091</v>
      </c>
      <c r="Z38" s="485">
        <f t="shared" ca="1" si="2"/>
        <v>6.3676021843905861E-4</v>
      </c>
      <c r="AA38" s="485">
        <f t="shared" ca="1" si="3"/>
        <v>0</v>
      </c>
      <c r="AB38" s="484">
        <f ca="1">IF('CDO Bespoke'!O39&lt;&gt;"",'CDO Bespoke'!O39,"")</f>
        <v>0.74048759158586996</v>
      </c>
      <c r="AC38" s="485">
        <f ca="1">IF(AB38&lt;&gt;"",ABS(MIN(-0.6*'CDO Bespoke'!K39+'CDO Bespoke'!T39*'CDO Bespoke'!K39,0)),"")</f>
        <v>0.20210309227928036</v>
      </c>
      <c r="AD38" s="485">
        <f t="shared" ca="1" si="5"/>
        <v>0.5383844993065896</v>
      </c>
      <c r="AE38" s="489">
        <f t="shared" ca="1" si="4"/>
        <v>0</v>
      </c>
      <c r="AF38" s="272"/>
      <c r="AG38" s="494" t="str">
        <f ca="1">IF('CDO Bespoke'!C63&lt;&gt;"",'CDO Bespoke'!C63,"")</f>
        <v>PostNL N.V.</v>
      </c>
      <c r="AH38" s="496">
        <f ca="1"/>
        <v>6.1924764005460986E-3</v>
      </c>
      <c r="AI38" s="585">
        <f ca="1"/>
        <v>1.9806778299713557E-2</v>
      </c>
      <c r="AJ38" s="585">
        <f ca="1"/>
        <v>4.6431018498882537E-2</v>
      </c>
      <c r="AK38" s="585">
        <f ca="1"/>
        <v>1.5427996272987521</v>
      </c>
      <c r="AL38" s="497">
        <f ca="1"/>
        <v>0</v>
      </c>
      <c r="AM38" s="620">
        <f ca="1"/>
        <v>0</v>
      </c>
      <c r="AN38" s="496">
        <f ca="1"/>
        <v>-3.2341926700131529E-4</v>
      </c>
      <c r="AO38" s="585">
        <f ca="1"/>
        <v>-1.4115257949975923E-3</v>
      </c>
      <c r="AP38" s="585">
        <f ca="1"/>
        <v>-8.2148059089934972E-3</v>
      </c>
      <c r="AQ38" s="585">
        <f ca="1"/>
        <v>1.6304281268859997</v>
      </c>
      <c r="AR38" s="497">
        <f ca="1"/>
        <v>0</v>
      </c>
      <c r="AS38" s="620">
        <f ca="1"/>
        <v>0</v>
      </c>
      <c r="AT38" s="496">
        <f ca="1"/>
        <v>-4.4556065021952307E-3</v>
      </c>
      <c r="AU38" s="497">
        <f ca="1"/>
        <v>-6.4140681427714563E-2</v>
      </c>
      <c r="AV38" s="620">
        <f ca="1"/>
        <v>0</v>
      </c>
      <c r="AW38" s="496">
        <f ca="1"/>
        <v>-7.738374117838008E-2</v>
      </c>
      <c r="AX38" s="497">
        <f ca="1"/>
        <v>1.2845054378673185E-2</v>
      </c>
      <c r="AY38" s="620">
        <f ca="1"/>
        <v>0</v>
      </c>
    </row>
    <row r="39" spans="2:51">
      <c r="B39" s="534" t="s">
        <v>512</v>
      </c>
      <c r="C39" s="535" t="s">
        <v>66</v>
      </c>
      <c r="D39" s="535" t="s">
        <v>59</v>
      </c>
      <c r="E39" s="535" t="s">
        <v>648</v>
      </c>
      <c r="F39" s="535" t="s">
        <v>673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0.74550511763459004</v>
      </c>
      <c r="Y39" s="485">
        <f ca="1">IF(X39&lt;&gt;"",ABS(MIN(-0.75*('CDO Bespoke'!Q40)+'CDO Bespoke'!T40,0)),"")</f>
        <v>0.74700308166846041</v>
      </c>
      <c r="Z39" s="485">
        <f t="shared" ca="1" si="2"/>
        <v>0</v>
      </c>
      <c r="AA39" s="485">
        <f t="shared" ca="1" si="3"/>
        <v>0</v>
      </c>
      <c r="AB39" s="484">
        <f ca="1">IF('CDO Bespoke'!O40&lt;&gt;"",'CDO Bespoke'!O40,"")</f>
        <v>0.74550511763459004</v>
      </c>
      <c r="AC39" s="485">
        <f ca="1">IF(AB39&lt;&gt;"",ABS(MIN(-0.6*'CDO Bespoke'!K40+'CDO Bespoke'!T40*'CDO Bespoke'!K40,0)),"")</f>
        <v>0.15977163304911471</v>
      </c>
      <c r="AD39" s="485">
        <f t="shared" ca="1" si="5"/>
        <v>0.58573348458547536</v>
      </c>
      <c r="AE39" s="489">
        <f t="shared" ca="1" si="4"/>
        <v>0</v>
      </c>
      <c r="AF39" s="272"/>
      <c r="AG39" s="494" t="str">
        <f ca="1">IF('CDO Bespoke'!C64&lt;&gt;"",'CDO Bespoke'!C64,"")</f>
        <v>RENTOKIL INITIAL PLC</v>
      </c>
      <c r="AH39" s="496">
        <f ca="1"/>
        <v>7.7585817992442685E-3</v>
      </c>
      <c r="AI39" s="585">
        <f ca="1"/>
        <v>2.5638308098763218E-2</v>
      </c>
      <c r="AJ39" s="585">
        <f ca="1"/>
        <v>6.8921545899325309E-2</v>
      </c>
      <c r="AK39" s="585">
        <f ca="1"/>
        <v>1.2810394781004319</v>
      </c>
      <c r="AL39" s="497">
        <f ca="1"/>
        <v>0</v>
      </c>
      <c r="AM39" s="620">
        <f ca="1"/>
        <v>0</v>
      </c>
      <c r="AN39" s="496">
        <f ca="1"/>
        <v>5.3652873849459326E-4</v>
      </c>
      <c r="AO39" s="585">
        <f ca="1"/>
        <v>2.6485764288968622E-3</v>
      </c>
      <c r="AP39" s="585">
        <f ca="1"/>
        <v>1.1155337657896974E-2</v>
      </c>
      <c r="AQ39" s="585">
        <f ca="1"/>
        <v>1.3736291454250966</v>
      </c>
      <c r="AR39" s="497">
        <f ca="1"/>
        <v>0</v>
      </c>
      <c r="AS39" s="620">
        <f ca="1"/>
        <v>0</v>
      </c>
      <c r="AT39" s="496">
        <f ca="1"/>
        <v>-1.3859087758941735E-2</v>
      </c>
      <c r="AU39" s="497">
        <f ca="1"/>
        <v>-6.2944168949858215E-2</v>
      </c>
      <c r="AV39" s="620">
        <f ca="1"/>
        <v>0</v>
      </c>
      <c r="AW39" s="496">
        <f ca="1"/>
        <v>-9.1085506793958063E-2</v>
      </c>
      <c r="AX39" s="497">
        <f ca="1"/>
        <v>-1.3515486417673448E-2</v>
      </c>
      <c r="AY39" s="620">
        <f ca="1"/>
        <v>0</v>
      </c>
    </row>
    <row r="40" spans="2:51">
      <c r="B40" s="539" t="s">
        <v>513</v>
      </c>
      <c r="C40" s="540" t="s">
        <v>66</v>
      </c>
      <c r="D40" s="540" t="s">
        <v>55</v>
      </c>
      <c r="E40" s="540" t="s">
        <v>648</v>
      </c>
      <c r="F40" s="540" t="s">
        <v>673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0.74677019048968996</v>
      </c>
      <c r="Y40" s="485">
        <f ca="1">IF(X40&lt;&gt;"",ABS(MIN(-0.75*('CDO Bespoke'!Q41)+'CDO Bespoke'!T41,0)),"")</f>
        <v>0.74955265768504442</v>
      </c>
      <c r="Z40" s="485">
        <f t="shared" ca="1" si="2"/>
        <v>0</v>
      </c>
      <c r="AA40" s="485">
        <f t="shared" ca="1" si="3"/>
        <v>0</v>
      </c>
      <c r="AB40" s="484">
        <f ca="1">IF('CDO Bespoke'!O41&lt;&gt;"",'CDO Bespoke'!O41,"")</f>
        <v>0.74677019048968996</v>
      </c>
      <c r="AC40" s="485">
        <f ca="1">IF(AB40&lt;&gt;"",ABS(MIN(-0.6*'CDO Bespoke'!K41+'CDO Bespoke'!T41*'CDO Bespoke'!K41,0)),"")</f>
        <v>0.13425693418180337</v>
      </c>
      <c r="AD40" s="485">
        <f t="shared" ca="1" si="5"/>
        <v>0.61251325630788656</v>
      </c>
      <c r="AE40" s="489">
        <f t="shared" ca="1" si="4"/>
        <v>0</v>
      </c>
      <c r="AF40" s="272"/>
      <c r="AG40" s="494" t="str">
        <f ca="1">IF('CDO Bespoke'!C65&lt;&gt;"",'CDO Bespoke'!C65,"")</f>
        <v>SANOFI</v>
      </c>
      <c r="AH40" s="496">
        <f ca="1"/>
        <v>8.2826163994020874E-3</v>
      </c>
      <c r="AI40" s="585">
        <f ca="1"/>
        <v>2.7316291699719386E-2</v>
      </c>
      <c r="AJ40" s="585">
        <f ca="1"/>
        <v>7.4755848800123204E-2</v>
      </c>
      <c r="AK40" s="585">
        <f ca="1"/>
        <v>1.1245836662987507</v>
      </c>
      <c r="AL40" s="497">
        <f ca="1"/>
        <v>0</v>
      </c>
      <c r="AM40" s="620">
        <f ca="1"/>
        <v>0</v>
      </c>
      <c r="AN40" s="496">
        <f ca="1"/>
        <v>7.2366811570100109E-4</v>
      </c>
      <c r="AO40" s="585">
        <f ca="1"/>
        <v>3.5137361985033283E-3</v>
      </c>
      <c r="AP40" s="585">
        <f ca="1"/>
        <v>1.5583640624499198E-2</v>
      </c>
      <c r="AQ40" s="585">
        <f ca="1"/>
        <v>1.2148307508696998</v>
      </c>
      <c r="AR40" s="497">
        <f ca="1"/>
        <v>0</v>
      </c>
      <c r="AS40" s="620">
        <f ca="1"/>
        <v>0</v>
      </c>
      <c r="AT40" s="496">
        <f ca="1"/>
        <v>-1.999608715404011E-2</v>
      </c>
      <c r="AU40" s="497">
        <f ca="1"/>
        <v>-5.8549420540739749E-2</v>
      </c>
      <c r="AV40" s="620">
        <f ca="1"/>
        <v>0</v>
      </c>
      <c r="AW40" s="496">
        <f ca="1"/>
        <v>-5.3149344197021456E-2</v>
      </c>
      <c r="AX40" s="497">
        <f ca="1"/>
        <v>-2.1972803606738478E-3</v>
      </c>
      <c r="AY40" s="620">
        <f ca="1"/>
        <v>0</v>
      </c>
    </row>
    <row r="41" spans="2:51">
      <c r="B41" s="517" t="s">
        <v>513</v>
      </c>
      <c r="C41" s="518" t="s">
        <v>66</v>
      </c>
      <c r="D41" s="518" t="s">
        <v>57</v>
      </c>
      <c r="E41" s="518" t="s">
        <v>648</v>
      </c>
      <c r="F41" s="518" t="s">
        <v>673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0.74668207953129995</v>
      </c>
      <c r="Y41" s="485">
        <f ca="1">IF(X41&lt;&gt;"",ABS(MIN(-0.75*('CDO Bespoke'!Q42)+'CDO Bespoke'!T42,0)),"")</f>
        <v>0.7493705723983215</v>
      </c>
      <c r="Z41" s="485">
        <f t="shared" ca="1" si="2"/>
        <v>0</v>
      </c>
      <c r="AA41" s="485">
        <f t="shared" ca="1" si="3"/>
        <v>0</v>
      </c>
      <c r="AB41" s="484">
        <f ca="1">IF('CDO Bespoke'!O42&lt;&gt;"",'CDO Bespoke'!O42,"")</f>
        <v>0.74668207953129995</v>
      </c>
      <c r="AC41" s="485">
        <f ca="1">IF(AB41&lt;&gt;"",ABS(MIN(-0.6*'CDO Bespoke'!K42+'CDO Bespoke'!T42*'CDO Bespoke'!K42,0)),"")</f>
        <v>0.13635183967313363</v>
      </c>
      <c r="AD41" s="485">
        <f t="shared" ca="1" si="5"/>
        <v>0.61033023985816626</v>
      </c>
      <c r="AE41" s="489">
        <f t="shared" ca="1" si="4"/>
        <v>0</v>
      </c>
      <c r="AF41" s="272"/>
      <c r="AG41" s="494" t="str">
        <f ca="1">IF('CDO Bespoke'!C66&lt;&gt;"",'CDO Bespoke'!C66,"")</f>
        <v>Siemens Aktiengesellschaft</v>
      </c>
      <c r="AH41" s="496">
        <f ca="1"/>
        <v>8.273559499727412E-3</v>
      </c>
      <c r="AI41" s="585">
        <f ca="1"/>
        <v>2.7415735799340979E-2</v>
      </c>
      <c r="AJ41" s="585">
        <f ca="1"/>
        <v>7.5312591298892784E-2</v>
      </c>
      <c r="AK41" s="585">
        <f ca="1"/>
        <v>1.135570117298812</v>
      </c>
      <c r="AL41" s="497">
        <f ca="1"/>
        <v>0</v>
      </c>
      <c r="AM41" s="620">
        <f ca="1"/>
        <v>0</v>
      </c>
      <c r="AN41" s="496">
        <f ca="1"/>
        <v>7.1375824700278812E-4</v>
      </c>
      <c r="AO41" s="585">
        <f ca="1"/>
        <v>3.4696617472011748E-3</v>
      </c>
      <c r="AP41" s="585">
        <f ca="1"/>
        <v>1.5371779565403684E-2</v>
      </c>
      <c r="AQ41" s="585">
        <f ca="1"/>
        <v>1.2269463225210007</v>
      </c>
      <c r="AR41" s="497">
        <f ca="1"/>
        <v>0</v>
      </c>
      <c r="AS41" s="620">
        <f ca="1"/>
        <v>0</v>
      </c>
      <c r="AT41" s="496">
        <f ca="1"/>
        <v>-1.9455523946561248E-2</v>
      </c>
      <c r="AU41" s="497">
        <f ca="1"/>
        <v>-5.8920593815608546E-2</v>
      </c>
      <c r="AV41" s="620">
        <f ca="1"/>
        <v>0</v>
      </c>
      <c r="AW41" s="496">
        <f ca="1"/>
        <v>-5.2852778030732475E-2</v>
      </c>
      <c r="AX41" s="497">
        <f ca="1"/>
        <v>-1.5851504629470249E-3</v>
      </c>
      <c r="AY41" s="620">
        <f ca="1"/>
        <v>0</v>
      </c>
    </row>
    <row r="42" spans="2:51">
      <c r="B42" s="534" t="s">
        <v>513</v>
      </c>
      <c r="C42" s="535" t="s">
        <v>66</v>
      </c>
      <c r="D42" s="535" t="s">
        <v>59</v>
      </c>
      <c r="E42" s="535" t="s">
        <v>648</v>
      </c>
      <c r="F42" s="535" t="s">
        <v>673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0.74598442325553005</v>
      </c>
      <c r="Y42" s="485">
        <f ca="1">IF(X42&lt;&gt;"",ABS(MIN(-0.75*('CDO Bespoke'!Q43)+'CDO Bespoke'!T43,0)),"")</f>
        <v>0.74790397352697124</v>
      </c>
      <c r="Z42" s="485">
        <f t="shared" ca="1" si="2"/>
        <v>0</v>
      </c>
      <c r="AA42" s="485">
        <f t="shared" ca="1" si="3"/>
        <v>0</v>
      </c>
      <c r="AB42" s="484">
        <f ca="1">IF('CDO Bespoke'!O43&lt;&gt;"",'CDO Bespoke'!O43,"")</f>
        <v>0.74598442325553005</v>
      </c>
      <c r="AC42" s="485">
        <f ca="1">IF(AB42&lt;&gt;"",ABS(MIN(-0.6*'CDO Bespoke'!K43+'CDO Bespoke'!T43*'CDO Bespoke'!K43,0)),"")</f>
        <v>0.15168680719202524</v>
      </c>
      <c r="AD42" s="485">
        <f t="shared" ca="1" si="5"/>
        <v>0.59429761606350484</v>
      </c>
      <c r="AE42" s="489">
        <f t="shared" ca="1" si="4"/>
        <v>0</v>
      </c>
      <c r="AF42" s="272"/>
      <c r="AG42" s="494" t="str">
        <f ca="1">IF('CDO Bespoke'!C67&lt;&gt;"",'CDO Bespoke'!C67,"")</f>
        <v>SMURFIT KAPPA ACQUISITIONS UNLIMITED COMPANY</v>
      </c>
      <c r="AH42" s="496">
        <f ca="1"/>
        <v>7.9473166003651841E-3</v>
      </c>
      <c r="AI42" s="585">
        <f ca="1"/>
        <v>2.628409299987311E-2</v>
      </c>
      <c r="AJ42" s="585">
        <f ca="1"/>
        <v>7.1294759098616822E-2</v>
      </c>
      <c r="AK42" s="585">
        <f ca="1"/>
        <v>1.2323161590988008</v>
      </c>
      <c r="AL42" s="497">
        <f ca="1"/>
        <v>0</v>
      </c>
      <c r="AM42" s="620">
        <f ca="1"/>
        <v>0</v>
      </c>
      <c r="AN42" s="496">
        <f ca="1"/>
        <v>6.127948558049684E-4</v>
      </c>
      <c r="AO42" s="585">
        <f ca="1"/>
        <v>3.0031711352029172E-3</v>
      </c>
      <c r="AP42" s="585">
        <f ca="1"/>
        <v>1.2957300645106973E-2</v>
      </c>
      <c r="AQ42" s="585">
        <f ca="1"/>
        <v>1.3231378114107044</v>
      </c>
      <c r="AR42" s="497">
        <f ca="1"/>
        <v>0</v>
      </c>
      <c r="AS42" s="620">
        <f ca="1"/>
        <v>0</v>
      </c>
      <c r="AT42" s="496">
        <f ca="1"/>
        <v>-1.5712243791987213E-2</v>
      </c>
      <c r="AU42" s="497">
        <f ca="1"/>
        <v>-6.1780930470772821E-2</v>
      </c>
      <c r="AV42" s="620">
        <f ca="1"/>
        <v>0</v>
      </c>
      <c r="AW42" s="496">
        <f ca="1"/>
        <v>-9.3342836541122312E-2</v>
      </c>
      <c r="AX42" s="497">
        <f ca="1"/>
        <v>-1.6230562208554782E-2</v>
      </c>
      <c r="AY42" s="620">
        <f ca="1"/>
        <v>0</v>
      </c>
    </row>
    <row r="43" spans="2:51">
      <c r="B43" s="539" t="s">
        <v>514</v>
      </c>
      <c r="C43" s="540" t="s">
        <v>66</v>
      </c>
      <c r="D43" s="540" t="s">
        <v>55</v>
      </c>
      <c r="E43" s="540" t="s">
        <v>646</v>
      </c>
      <c r="F43" s="540" t="s">
        <v>672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0.74384531399968001</v>
      </c>
      <c r="Y43" s="485">
        <f ca="1">IF(X43&lt;&gt;"",ABS(MIN(-0.75*('CDO Bespoke'!Q44)+'CDO Bespoke'!T44,0)),"")</f>
        <v>0.7442840386663464</v>
      </c>
      <c r="Z43" s="485">
        <f t="shared" ca="1" si="2"/>
        <v>0</v>
      </c>
      <c r="AA43" s="485">
        <f t="shared" ca="1" si="3"/>
        <v>0</v>
      </c>
      <c r="AB43" s="484">
        <f ca="1">IF('CDO Bespoke'!O44&lt;&gt;"",'CDO Bespoke'!O44,"")</f>
        <v>0.74384531399968001</v>
      </c>
      <c r="AC43" s="485">
        <f ca="1">IF(AB43&lt;&gt;"",ABS(MIN(-0.6*'CDO Bespoke'!K44+'CDO Bespoke'!T44*'CDO Bespoke'!K44,0)),"")</f>
        <v>0.17909795457201402</v>
      </c>
      <c r="AD43" s="485">
        <f t="shared" ca="1" si="5"/>
        <v>0.56474735942766596</v>
      </c>
      <c r="AE43" s="489">
        <f t="shared" ca="1" si="4"/>
        <v>0</v>
      </c>
      <c r="AF43" s="272"/>
      <c r="AG43" s="494" t="str">
        <f ca="1">IF('CDO Bespoke'!C68&lt;&gt;"",'CDO Bespoke'!C68,"")</f>
        <v>Solvay</v>
      </c>
      <c r="AH43" s="496">
        <f ca="1"/>
        <v>7.1926418998558006E-3</v>
      </c>
      <c r="AI43" s="585">
        <f ca="1"/>
        <v>2.3660715799955767E-2</v>
      </c>
      <c r="AJ43" s="585">
        <f ca="1"/>
        <v>6.1350578299812497E-2</v>
      </c>
      <c r="AK43" s="585">
        <f ca="1"/>
        <v>1.3989606483999495</v>
      </c>
      <c r="AL43" s="497">
        <f ca="1"/>
        <v>0</v>
      </c>
      <c r="AM43" s="620">
        <f ca="1"/>
        <v>0</v>
      </c>
      <c r="AN43" s="496">
        <f ca="1"/>
        <v>2.5547746699845081E-4</v>
      </c>
      <c r="AO43" s="585">
        <f ca="1"/>
        <v>1.3316732070008108E-3</v>
      </c>
      <c r="AP43" s="585">
        <f ca="1"/>
        <v>4.5474530190004955E-3</v>
      </c>
      <c r="AQ43" s="585">
        <f ca="1"/>
        <v>1.491483299252</v>
      </c>
      <c r="AR43" s="497">
        <f ca="1"/>
        <v>0</v>
      </c>
      <c r="AS43" s="620">
        <f ca="1"/>
        <v>0</v>
      </c>
      <c r="AT43" s="496">
        <f ca="1"/>
        <v>-9.4666465098813823E-3</v>
      </c>
      <c r="AU43" s="497">
        <f ca="1"/>
        <v>-6.4704220986048666E-2</v>
      </c>
      <c r="AV43" s="620">
        <f ca="1"/>
        <v>0</v>
      </c>
      <c r="AW43" s="496">
        <f ca="1"/>
        <v>-8.5263192933450721E-2</v>
      </c>
      <c r="AX43" s="497">
        <f ca="1"/>
        <v>-4.3060091787229873E-3</v>
      </c>
      <c r="AY43" s="620">
        <f ca="1"/>
        <v>0</v>
      </c>
    </row>
    <row r="44" spans="2:51">
      <c r="B44" s="517" t="s">
        <v>514</v>
      </c>
      <c r="C44" s="518" t="s">
        <v>66</v>
      </c>
      <c r="D44" s="518" t="s">
        <v>57</v>
      </c>
      <c r="E44" s="518" t="s">
        <v>646</v>
      </c>
      <c r="F44" s="518" t="s">
        <v>672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0.74236542325486998</v>
      </c>
      <c r="Y44" s="485">
        <f ca="1">IF(X44&lt;&gt;"",ABS(MIN(-0.75*('CDO Bespoke'!Q45)+'CDO Bespoke'!T45,0)),"")</f>
        <v>0.7421795995109729</v>
      </c>
      <c r="Z44" s="485">
        <f t="shared" ca="1" si="2"/>
        <v>1.8582374389708445E-4</v>
      </c>
      <c r="AA44" s="485">
        <f t="shared" ca="1" si="3"/>
        <v>0</v>
      </c>
      <c r="AB44" s="484">
        <f ca="1">IF('CDO Bespoke'!O45&lt;&gt;"",'CDO Bespoke'!O45,"")</f>
        <v>0.74236542325486998</v>
      </c>
      <c r="AC44" s="485">
        <f ca="1">IF(AB44&lt;&gt;"",ABS(MIN(-0.6*'CDO Bespoke'!K45+'CDO Bespoke'!T45*'CDO Bespoke'!K45,0)),"")</f>
        <v>0.19104096177184857</v>
      </c>
      <c r="AD44" s="485">
        <f t="shared" ca="1" si="5"/>
        <v>0.55132446148302139</v>
      </c>
      <c r="AE44" s="489">
        <f t="shared" ca="1" si="4"/>
        <v>0</v>
      </c>
      <c r="AF44" s="272"/>
      <c r="AG44" s="494" t="str">
        <f ca="1">IF('CDO Bespoke'!C69&lt;&gt;"",'CDO Bespoke'!C69,"")</f>
        <v>Stellantis N.V.</v>
      </c>
      <c r="AH44" s="496">
        <f ca="1"/>
        <v>6.7026148986570888E-3</v>
      </c>
      <c r="AI44" s="585">
        <f ca="1"/>
        <v>2.1668290899334863E-2</v>
      </c>
      <c r="AJ44" s="585">
        <f ca="1"/>
        <v>5.3747927000191709E-2</v>
      </c>
      <c r="AK44" s="585">
        <f ca="1"/>
        <v>1.4777746991989638</v>
      </c>
      <c r="AL44" s="497">
        <f ca="1"/>
        <v>0</v>
      </c>
      <c r="AM44" s="620">
        <f ca="1"/>
        <v>0</v>
      </c>
      <c r="AN44" s="496">
        <f ca="1"/>
        <v>-8.5572619996920896E-6</v>
      </c>
      <c r="AO44" s="585">
        <f ca="1"/>
        <v>8.4292389999386652E-5</v>
      </c>
      <c r="AP44" s="585">
        <f ca="1"/>
        <v>-9.8063465599988048E-4</v>
      </c>
      <c r="AQ44" s="585">
        <f ca="1"/>
        <v>1.5658881461930001</v>
      </c>
      <c r="AR44" s="497">
        <f ca="1"/>
        <v>0</v>
      </c>
      <c r="AS44" s="620">
        <f ca="1"/>
        <v>0</v>
      </c>
      <c r="AT44" s="496">
        <f ca="1"/>
        <v>-6.8465865076625665E-3</v>
      </c>
      <c r="AU44" s="497">
        <f ca="1"/>
        <v>-6.5056184391007355E-2</v>
      </c>
      <c r="AV44" s="620">
        <f ca="1"/>
        <v>0</v>
      </c>
      <c r="AW44" s="496">
        <f ca="1"/>
        <v>-8.1436960553715104E-2</v>
      </c>
      <c r="AX44" s="497">
        <f ca="1"/>
        <v>3.6782322263666026E-3</v>
      </c>
      <c r="AY44" s="620">
        <f ca="1"/>
        <v>0</v>
      </c>
    </row>
    <row r="45" spans="2:51">
      <c r="B45" s="534" t="s">
        <v>514</v>
      </c>
      <c r="C45" s="535" t="s">
        <v>66</v>
      </c>
      <c r="D45" s="535" t="s">
        <v>59</v>
      </c>
      <c r="E45" s="535" t="s">
        <v>646</v>
      </c>
      <c r="F45" s="535" t="s">
        <v>672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0.74389580802124</v>
      </c>
      <c r="Y45" s="485">
        <f ca="1">IF(X45&lt;&gt;"",ABS(MIN(-0.75*('CDO Bespoke'!Q46)+'CDO Bespoke'!T46,0)),"")</f>
        <v>0.74435458786800857</v>
      </c>
      <c r="Z45" s="485">
        <f t="shared" ca="1" si="2"/>
        <v>0</v>
      </c>
      <c r="AA45" s="485">
        <f t="shared" ca="1" si="3"/>
        <v>0</v>
      </c>
      <c r="AB45" s="484">
        <f ca="1">IF('CDO Bespoke'!O46&lt;&gt;"",'CDO Bespoke'!O46,"")</f>
        <v>0.74389580802124</v>
      </c>
      <c r="AC45" s="485">
        <f ca="1">IF(AB45&lt;&gt;"",ABS(MIN(-0.6*'CDO Bespoke'!K46+'CDO Bespoke'!T46*'CDO Bespoke'!K46,0)),"")</f>
        <v>0.17871614521295137</v>
      </c>
      <c r="AD45" s="485">
        <f t="shared" ca="1" si="5"/>
        <v>0.56517966280828857</v>
      </c>
      <c r="AE45" s="489">
        <f t="shared" ca="1" si="4"/>
        <v>0</v>
      </c>
      <c r="AF45" s="272"/>
      <c r="AG45" s="494" t="str">
        <f ca="1">IF('CDO Bespoke'!C70&lt;&gt;"",'CDO Bespoke'!C70,"")</f>
        <v>Stora Enso Oyj</v>
      </c>
      <c r="AH45" s="496">
        <f ca="1"/>
        <v>7.1998412987106519E-3</v>
      </c>
      <c r="AI45" s="585">
        <f ca="1"/>
        <v>2.3645886799705806E-2</v>
      </c>
      <c r="AJ45" s="585">
        <f ca="1"/>
        <v>6.1222717999687148E-2</v>
      </c>
      <c r="AK45" s="585">
        <f ca="1"/>
        <v>1.3977051238001081</v>
      </c>
      <c r="AL45" s="497">
        <f ca="1"/>
        <v>0</v>
      </c>
      <c r="AM45" s="620">
        <f ca="1"/>
        <v>0</v>
      </c>
      <c r="AN45" s="496">
        <f ca="1"/>
        <v>2.6261061299940464E-4</v>
      </c>
      <c r="AO45" s="585">
        <f ca="1"/>
        <v>1.364773002002044E-3</v>
      </c>
      <c r="AP45" s="585">
        <f ca="1"/>
        <v>4.7004004630028795E-3</v>
      </c>
      <c r="AQ45" s="585">
        <f ca="1"/>
        <v>1.489906360856003</v>
      </c>
      <c r="AR45" s="497">
        <f ca="1"/>
        <v>0</v>
      </c>
      <c r="AS45" s="620">
        <f ca="1"/>
        <v>0</v>
      </c>
      <c r="AT45" s="496">
        <f ca="1"/>
        <v>-9.5582894992494172E-3</v>
      </c>
      <c r="AU45" s="497">
        <f ca="1"/>
        <v>-6.4734341947260576E-2</v>
      </c>
      <c r="AV45" s="620">
        <f ca="1"/>
        <v>0</v>
      </c>
      <c r="AW45" s="496">
        <f ca="1"/>
        <v>-8.5410153419616192E-2</v>
      </c>
      <c r="AX45" s="497">
        <f ca="1"/>
        <v>-4.5421143553129109E-3</v>
      </c>
      <c r="AY45" s="620">
        <f ca="1"/>
        <v>0</v>
      </c>
    </row>
    <row r="46" spans="2:51">
      <c r="B46" s="539" t="s">
        <v>515</v>
      </c>
      <c r="C46" s="540" t="s">
        <v>66</v>
      </c>
      <c r="D46" s="540" t="s">
        <v>55</v>
      </c>
      <c r="E46" s="540" t="s">
        <v>648</v>
      </c>
      <c r="F46" s="540" t="s">
        <v>647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0.74099146111717995</v>
      </c>
      <c r="Y46" s="485">
        <f ca="1">IF(X46&lt;&gt;"",ABS(MIN(-0.75*('CDO Bespoke'!Q47)+'CDO Bespoke'!T47,0)),"")</f>
        <v>0.7404385677394838</v>
      </c>
      <c r="Z46" s="485">
        <f t="shared" ca="1" si="2"/>
        <v>5.5289337769615088E-4</v>
      </c>
      <c r="AA46" s="485">
        <f t="shared" ca="1" si="3"/>
        <v>0</v>
      </c>
      <c r="AB46" s="484">
        <f ca="1">IF('CDO Bespoke'!O47&lt;&gt;"",'CDO Bespoke'!O47,"")</f>
        <v>0.74099146111717995</v>
      </c>
      <c r="AC46" s="485">
        <f ca="1">IF(AB46&lt;&gt;"",ABS(MIN(-0.6*'CDO Bespoke'!K47+'CDO Bespoke'!T47*'CDO Bespoke'!K47,0)),"")</f>
        <v>0.19972627845447294</v>
      </c>
      <c r="AD46" s="485">
        <f t="shared" ca="1" si="5"/>
        <v>0.54126518266270707</v>
      </c>
      <c r="AE46" s="489">
        <f t="shared" ca="1" si="4"/>
        <v>0</v>
      </c>
      <c r="AF46" s="272"/>
      <c r="AG46" s="494" t="str">
        <f ca="1">IF('CDO Bespoke'!C71&lt;&gt;"",'CDO Bespoke'!C71,"")</f>
        <v>UNIBAIL-RODAMCO-WESTFIELD SE</v>
      </c>
      <c r="AH46" s="496">
        <f ca="1"/>
        <v>6.2963021996154112E-3</v>
      </c>
      <c r="AI46" s="585">
        <f ca="1"/>
        <v>2.0036442098803064E-2</v>
      </c>
      <c r="AJ46" s="585">
        <f ca="1"/>
        <v>4.7071291200406762E-2</v>
      </c>
      <c r="AK46" s="585">
        <f ca="1"/>
        <v>1.533932820299011</v>
      </c>
      <c r="AL46" s="497">
        <f ca="1"/>
        <v>0</v>
      </c>
      <c r="AM46" s="620">
        <f ca="1"/>
        <v>0</v>
      </c>
      <c r="AN46" s="496">
        <f ca="1"/>
        <v>-2.4994682199831753E-4</v>
      </c>
      <c r="AO46" s="585">
        <f ca="1"/>
        <v>-1.0600109029944293E-3</v>
      </c>
      <c r="AP46" s="585">
        <f ca="1"/>
        <v>-6.498206366993553E-3</v>
      </c>
      <c r="AQ46" s="585">
        <f ca="1"/>
        <v>1.6209654732870018</v>
      </c>
      <c r="AR46" s="497">
        <f ca="1"/>
        <v>0</v>
      </c>
      <c r="AS46" s="620">
        <f ca="1"/>
        <v>0</v>
      </c>
      <c r="AT46" s="496">
        <f ca="1"/>
        <v>-4.9929345045580664E-3</v>
      </c>
      <c r="AU46" s="497">
        <f ca="1"/>
        <v>-6.4686553388401791E-2</v>
      </c>
      <c r="AV46" s="620">
        <f ca="1"/>
        <v>0</v>
      </c>
      <c r="AW46" s="496">
        <f ca="1"/>
        <v>-0.1148772368370499</v>
      </c>
      <c r="AX46" s="497">
        <f ca="1"/>
        <v>-2.1691177866521791E-2</v>
      </c>
      <c r="AY46" s="620">
        <f ca="1"/>
        <v>0</v>
      </c>
    </row>
    <row r="47" spans="2:51">
      <c r="B47" s="517" t="s">
        <v>515</v>
      </c>
      <c r="C47" s="518" t="s">
        <v>66</v>
      </c>
      <c r="D47" s="518" t="s">
        <v>57</v>
      </c>
      <c r="E47" s="518" t="s">
        <v>648</v>
      </c>
      <c r="F47" s="518" t="s">
        <v>647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0.74686323115219999</v>
      </c>
      <c r="Y47" s="485">
        <f ca="1">IF(X47&lt;&gt;"",ABS(MIN(-0.75*('CDO Bespoke'!Q48)+'CDO Bespoke'!T48,0)),"")</f>
        <v>0.74976623817632704</v>
      </c>
      <c r="Z47" s="485">
        <f t="shared" ca="1" si="2"/>
        <v>0</v>
      </c>
      <c r="AA47" s="485">
        <f t="shared" ca="1" si="3"/>
        <v>0</v>
      </c>
      <c r="AB47" s="484">
        <f ca="1">IF('CDO Bespoke'!O48&lt;&gt;"",'CDO Bespoke'!O48,"")</f>
        <v>0.74686323115219999</v>
      </c>
      <c r="AC47" s="485">
        <f ca="1">IF(AB47&lt;&gt;"",ABS(MIN(-0.6*'CDO Bespoke'!K48+'CDO Bespoke'!T48*'CDO Bespoke'!K48,0)),"")</f>
        <v>0.13159960875063392</v>
      </c>
      <c r="AD47" s="485">
        <f t="shared" ca="1" si="5"/>
        <v>0.61526362240156607</v>
      </c>
      <c r="AE47" s="489">
        <f t="shared" ca="1" si="4"/>
        <v>0</v>
      </c>
      <c r="AF47" s="272"/>
      <c r="AG47" s="494" t="str">
        <f ca="1">IF('CDO Bespoke'!C72&lt;&gt;"",'CDO Bespoke'!C72,"")</f>
        <v>VINCI</v>
      </c>
      <c r="AH47" s="496">
        <f ca="1"/>
        <v>8.3228265990165085E-3</v>
      </c>
      <c r="AI47" s="585">
        <f ca="1"/>
        <v>2.7416003298696978E-2</v>
      </c>
      <c r="AJ47" s="585">
        <f ca="1"/>
        <v>7.5031544199966049E-2</v>
      </c>
      <c r="AK47" s="585">
        <f ca="1"/>
        <v>1.1082445327992296</v>
      </c>
      <c r="AL47" s="497">
        <f ca="1"/>
        <v>0</v>
      </c>
      <c r="AM47" s="620">
        <f ca="1"/>
        <v>0</v>
      </c>
      <c r="AN47" s="496">
        <f ca="1"/>
        <v>7.3438358999880493E-4</v>
      </c>
      <c r="AO47" s="585">
        <f ca="1"/>
        <v>3.5621970155032268E-3</v>
      </c>
      <c r="AP47" s="585">
        <f ca="1"/>
        <v>1.5838508041097696E-2</v>
      </c>
      <c r="AQ47" s="585">
        <f ca="1"/>
        <v>1.1982433823385947</v>
      </c>
      <c r="AR47" s="497">
        <f ca="1"/>
        <v>0</v>
      </c>
      <c r="AS47" s="620">
        <f ca="1"/>
        <v>0</v>
      </c>
      <c r="AT47" s="496">
        <f ca="1"/>
        <v>-2.0673927714934592E-2</v>
      </c>
      <c r="AU47" s="497">
        <f ca="1"/>
        <v>-5.7989259221945311E-2</v>
      </c>
      <c r="AV47" s="620">
        <f ca="1"/>
        <v>0</v>
      </c>
      <c r="AW47" s="496">
        <f ca="1"/>
        <v>-9.8686163925843853E-2</v>
      </c>
      <c r="AX47" s="497">
        <f ca="1"/>
        <v>-2.1220789432976832E-2</v>
      </c>
      <c r="AY47" s="620">
        <f ca="1"/>
        <v>0</v>
      </c>
    </row>
    <row r="48" spans="2:51">
      <c r="B48" s="534" t="s">
        <v>515</v>
      </c>
      <c r="C48" s="535" t="s">
        <v>66</v>
      </c>
      <c r="D48" s="535" t="s">
        <v>59</v>
      </c>
      <c r="E48" s="535" t="s">
        <v>648</v>
      </c>
      <c r="F48" s="535" t="s">
        <v>647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0.74349374511763999</v>
      </c>
      <c r="Y48" s="485">
        <f ca="1">IF(X48&lt;&gt;"",ABS(MIN(-0.75*('CDO Bespoke'!Q49)+'CDO Bespoke'!T49,0)),"")</f>
        <v>0.74374101793555891</v>
      </c>
      <c r="Z48" s="485">
        <f t="shared" ca="1" si="2"/>
        <v>0</v>
      </c>
      <c r="AA48" s="485">
        <f t="shared" ca="1" si="3"/>
        <v>0</v>
      </c>
      <c r="AB48" s="484">
        <f ca="1">IF('CDO Bespoke'!O49&lt;&gt;"",'CDO Bespoke'!O49,"")</f>
        <v>0.74349374511763999</v>
      </c>
      <c r="AC48" s="485">
        <f ca="1">IF(AB48&lt;&gt;"",ABS(MIN(-0.6*'CDO Bespoke'!K49+'CDO Bespoke'!T49*'CDO Bespoke'!K49,0)),"")</f>
        <v>0.18264973987342992</v>
      </c>
      <c r="AD48" s="485">
        <f t="shared" ca="1" si="5"/>
        <v>0.56084400524421008</v>
      </c>
      <c r="AE48" s="489">
        <f t="shared" ca="1" si="4"/>
        <v>0</v>
      </c>
      <c r="AF48" s="272"/>
      <c r="AG48" s="494" t="str">
        <f ca="1">IF('CDO Bespoke'!C73&lt;&gt;"",'CDO Bespoke'!C73,"")</f>
        <v>VOLKSWAGEN AKTIENGESELLSCHAFT</v>
      </c>
      <c r="AH48" s="496">
        <f ca="1"/>
        <v>7.0375775984565792E-3</v>
      </c>
      <c r="AI48" s="585">
        <f ca="1"/>
        <v>2.2895206099882159E-2</v>
      </c>
      <c r="AJ48" s="585">
        <f ca="1"/>
        <v>5.7985182899678023E-2</v>
      </c>
      <c r="AK48" s="585">
        <f ca="1"/>
        <v>1.426020603099154</v>
      </c>
      <c r="AL48" s="497">
        <f ca="1"/>
        <v>0</v>
      </c>
      <c r="AM48" s="620">
        <f ca="1"/>
        <v>0</v>
      </c>
      <c r="AN48" s="496">
        <f ca="1"/>
        <v>1.8669711299938024E-4</v>
      </c>
      <c r="AO48" s="585">
        <f ca="1"/>
        <v>1.0065098470001324E-3</v>
      </c>
      <c r="AP48" s="585">
        <f ca="1"/>
        <v>2.857339930001021E-3</v>
      </c>
      <c r="AQ48" s="585">
        <f ca="1"/>
        <v>1.5168656666710001</v>
      </c>
      <c r="AR48" s="497">
        <f ca="1"/>
        <v>0</v>
      </c>
      <c r="AS48" s="620">
        <f ca="1"/>
        <v>0</v>
      </c>
      <c r="AT48" s="496">
        <f ca="1"/>
        <v>-8.7138555996013611E-3</v>
      </c>
      <c r="AU48" s="497">
        <f ca="1"/>
        <v>-6.5071465345088564E-2</v>
      </c>
      <c r="AV48" s="620">
        <f ca="1"/>
        <v>0</v>
      </c>
      <c r="AW48" s="496">
        <f ca="1"/>
        <v>-8.4243844506070004E-2</v>
      </c>
      <c r="AX48" s="497">
        <f ca="1"/>
        <v>-2.2612008619053159E-3</v>
      </c>
      <c r="AY48" s="620">
        <f ca="1"/>
        <v>0</v>
      </c>
    </row>
    <row r="49" spans="2:51">
      <c r="B49" s="539" t="s">
        <v>530</v>
      </c>
      <c r="C49" s="540" t="s">
        <v>66</v>
      </c>
      <c r="D49" s="540" t="s">
        <v>55</v>
      </c>
      <c r="E49" s="540" t="s">
        <v>646</v>
      </c>
      <c r="F49" s="540" t="s">
        <v>673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0.74478483527202</v>
      </c>
      <c r="Y49" s="485">
        <f ca="1">IF(X49&lt;&gt;"",ABS(MIN(-0.75*('CDO Bespoke'!Q50)+'CDO Bespoke'!T50,0)),"")</f>
        <v>0.74576601250510011</v>
      </c>
      <c r="Z49" s="485">
        <f t="shared" ca="1" si="2"/>
        <v>0</v>
      </c>
      <c r="AA49" s="485">
        <f t="shared" ca="1" si="3"/>
        <v>0</v>
      </c>
      <c r="AB49" s="484">
        <f ca="1">IF('CDO Bespoke'!O50&lt;&gt;"",'CDO Bespoke'!O50,"")</f>
        <v>0.74478483527202</v>
      </c>
      <c r="AC49" s="485">
        <f ca="1">IF(AB49&lt;&gt;"",ABS(MIN(-0.6*'CDO Bespoke'!K50+'CDO Bespoke'!T50*'CDO Bespoke'!K50,0)),"")</f>
        <v>0.16919759047703697</v>
      </c>
      <c r="AD49" s="485">
        <f t="shared" ca="1" si="5"/>
        <v>0.57558724479498302</v>
      </c>
      <c r="AE49" s="489">
        <f t="shared" ca="1" si="4"/>
        <v>0</v>
      </c>
      <c r="AF49" s="272"/>
      <c r="AG49" s="494" t="str">
        <f ca="1">IF('CDO Bespoke'!C74&lt;&gt;"",'CDO Bespoke'!C74,"")</f>
        <v>WENDEL</v>
      </c>
      <c r="AH49" s="496">
        <f ca="1"/>
        <v>7.5113405983984194E-3</v>
      </c>
      <c r="AI49" s="585">
        <f ca="1"/>
        <v>2.4829166298534489E-2</v>
      </c>
      <c r="AJ49" s="585">
        <f ca="1"/>
        <v>6.594460060016516E-2</v>
      </c>
      <c r="AK49" s="585">
        <f ca="1"/>
        <v>1.3377630338995417</v>
      </c>
      <c r="AL49" s="497">
        <f ca="1"/>
        <v>0</v>
      </c>
      <c r="AM49" s="620">
        <f ca="1"/>
        <v>0</v>
      </c>
      <c r="AN49" s="496">
        <f ca="1"/>
        <v>4.1728892229662973E-4</v>
      </c>
      <c r="AO49" s="585">
        <f ca="1"/>
        <v>2.0917161715032495E-3</v>
      </c>
      <c r="AP49" s="585">
        <f ca="1"/>
        <v>8.3654978918958761E-3</v>
      </c>
      <c r="AQ49" s="585">
        <f ca="1"/>
        <v>1.4306782766768977</v>
      </c>
      <c r="AR49" s="497">
        <f ca="1"/>
        <v>0</v>
      </c>
      <c r="AS49" s="620">
        <f ca="1"/>
        <v>0</v>
      </c>
      <c r="AT49" s="496">
        <f ca="1"/>
        <v>-1.1683931165408001E-2</v>
      </c>
      <c r="AU49" s="497">
        <f ca="1"/>
        <v>-6.3974455120231921E-2</v>
      </c>
      <c r="AV49" s="620">
        <f ca="1"/>
        <v>0</v>
      </c>
      <c r="AW49" s="496">
        <f ca="1"/>
        <v>-0.13082457493973365</v>
      </c>
      <c r="AX49" s="497">
        <f ca="1"/>
        <v>-3.8305863497448273E-2</v>
      </c>
      <c r="AY49" s="620">
        <f ca="1"/>
        <v>0</v>
      </c>
    </row>
    <row r="50" spans="2:51">
      <c r="B50" s="517" t="s">
        <v>530</v>
      </c>
      <c r="C50" s="518" t="s">
        <v>66</v>
      </c>
      <c r="D50" s="518" t="s">
        <v>57</v>
      </c>
      <c r="E50" s="518" t="s">
        <v>646</v>
      </c>
      <c r="F50" s="518" t="s">
        <v>673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0.73681110107517001</v>
      </c>
      <c r="Y50" s="485">
        <f ca="1">IF(X50&lt;&gt;"",ABS(MIN(-0.75*('CDO Bespoke'!Q51)+'CDO Bespoke'!T51,0)),"")</f>
        <v>0.73596218077905562</v>
      </c>
      <c r="Z50" s="485">
        <f t="shared" ca="1" si="2"/>
        <v>8.4892029611438602E-4</v>
      </c>
      <c r="AA50" s="485">
        <f t="shared" ca="1" si="3"/>
        <v>0</v>
      </c>
      <c r="AB50" s="484">
        <f ca="1">IF('CDO Bespoke'!O51&lt;&gt;"",'CDO Bespoke'!O51,"")</f>
        <v>0.73681110107517001</v>
      </c>
      <c r="AC50" s="485">
        <f ca="1">IF(AB50&lt;&gt;"",ABS(MIN(-0.6*'CDO Bespoke'!K51+'CDO Bespoke'!T51*'CDO Bespoke'!K51,0)),"")</f>
        <v>0.21769766960475431</v>
      </c>
      <c r="AD50" s="485">
        <f t="shared" ca="1" si="5"/>
        <v>0.51911343147041566</v>
      </c>
      <c r="AE50" s="489">
        <f t="shared" ca="1" si="4"/>
        <v>0</v>
      </c>
      <c r="AF50" s="272"/>
      <c r="AG50" s="494" t="str">
        <f ca="1">IF('CDO Bespoke'!C75&lt;&gt;"",'CDO Bespoke'!C75,"")</f>
        <v>Aktiebolaget Electrolux</v>
      </c>
      <c r="AH50" s="496">
        <f ca="1"/>
        <v>5.2204344003214942E-3</v>
      </c>
      <c r="AI50" s="585">
        <f ca="1"/>
        <v>1.577905359928522E-2</v>
      </c>
      <c r="AJ50" s="585">
        <f ca="1"/>
        <v>2.9540602899391644E-2</v>
      </c>
      <c r="AK50" s="585">
        <f ca="1"/>
        <v>1.6465132673992855</v>
      </c>
      <c r="AL50" s="497">
        <f ca="1"/>
        <v>0</v>
      </c>
      <c r="AM50" s="620">
        <f ca="1"/>
        <v>0</v>
      </c>
      <c r="AN50" s="496">
        <f ca="1"/>
        <v>-9.4559442701327989E-4</v>
      </c>
      <c r="AO50" s="585">
        <f ca="1"/>
        <v>-4.3872158980023945E-3</v>
      </c>
      <c r="AP50" s="585">
        <f ca="1"/>
        <v>-2.2587909129997974E-2</v>
      </c>
      <c r="AQ50" s="585">
        <f ca="1"/>
        <v>1.7315968804999977</v>
      </c>
      <c r="AR50" s="497">
        <f ca="1"/>
        <v>0</v>
      </c>
      <c r="AS50" s="620">
        <f ca="1"/>
        <v>0</v>
      </c>
      <c r="AT50" s="496">
        <f ca="1"/>
        <v>-1.1569595852056747E-3</v>
      </c>
      <c r="AU50" s="497">
        <f ca="1"/>
        <v>-6.1330730735744243E-2</v>
      </c>
      <c r="AV50" s="620">
        <f ca="1"/>
        <v>0</v>
      </c>
      <c r="AW50" s="496">
        <f ca="1"/>
        <v>-7.1139217580999975E-2</v>
      </c>
      <c r="AX50" s="497">
        <f ca="1"/>
        <v>2.9634008147408693E-2</v>
      </c>
      <c r="AY50" s="620">
        <f ca="1"/>
        <v>0</v>
      </c>
    </row>
    <row r="51" spans="2:51">
      <c r="B51" s="534" t="s">
        <v>530</v>
      </c>
      <c r="C51" s="535" t="s">
        <v>66</v>
      </c>
      <c r="D51" s="535" t="s">
        <v>59</v>
      </c>
      <c r="E51" s="535" t="s">
        <v>646</v>
      </c>
      <c r="F51" s="535" t="s">
        <v>673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0.74643320051077999</v>
      </c>
      <c r="Y51" s="485">
        <f ca="1">IF(X51&lt;&gt;"",ABS(MIN(-0.75*('CDO Bespoke'!Q52)+'CDO Bespoke'!T52,0)),"")</f>
        <v>0.74881785050992899</v>
      </c>
      <c r="Z51" s="485">
        <f t="shared" ca="1" si="2"/>
        <v>0</v>
      </c>
      <c r="AA51" s="485">
        <f t="shared" ca="1" si="3"/>
        <v>0</v>
      </c>
      <c r="AB51" s="484">
        <f ca="1">IF('CDO Bespoke'!O52&lt;&gt;"",'CDO Bespoke'!O52,"")</f>
        <v>0.74643320051077999</v>
      </c>
      <c r="AC51" s="485">
        <f ca="1">IF(AB51&lt;&gt;"",ABS(MIN(-0.6*'CDO Bespoke'!K52+'CDO Bespoke'!T52*'CDO Bespoke'!K52,0)),"")</f>
        <v>0.14259696820581927</v>
      </c>
      <c r="AD51" s="485">
        <f t="shared" ca="1" si="5"/>
        <v>0.60383623230496075</v>
      </c>
      <c r="AE51" s="489">
        <f t="shared" ca="1" si="4"/>
        <v>0</v>
      </c>
      <c r="AF51" s="272"/>
      <c r="AG51" s="494" t="str">
        <f ca="1">IF('CDO Bespoke'!C76&lt;&gt;"",'CDO Bespoke'!C76,"")</f>
        <v>Anheuser-Busch InBev</v>
      </c>
      <c r="AH51" s="496">
        <f ca="1"/>
        <v>8.1414762997944479E-3</v>
      </c>
      <c r="AI51" s="585">
        <f ca="1"/>
        <v>2.693393879926731E-2</v>
      </c>
      <c r="AJ51" s="585">
        <f ca="1"/>
        <v>7.3593975200569872E-2</v>
      </c>
      <c r="AK51" s="585">
        <f ca="1"/>
        <v>1.1756675521001902</v>
      </c>
      <c r="AL51" s="497">
        <f ca="1"/>
        <v>0</v>
      </c>
      <c r="AM51" s="620">
        <f ca="1"/>
        <v>0</v>
      </c>
      <c r="AN51" s="496">
        <f ca="1"/>
        <v>6.7982877730021762E-4</v>
      </c>
      <c r="AO51" s="585">
        <f ca="1"/>
        <v>3.3134095996003449E-3</v>
      </c>
      <c r="AP51" s="585">
        <f ca="1"/>
        <v>1.4548783815997862E-2</v>
      </c>
      <c r="AQ51" s="585">
        <f ca="1"/>
        <v>1.2665507120329047</v>
      </c>
      <c r="AR51" s="497">
        <f ca="1"/>
        <v>0</v>
      </c>
      <c r="AS51" s="620">
        <f ca="1"/>
        <v>0</v>
      </c>
      <c r="AT51" s="496">
        <f ca="1"/>
        <v>-1.7910009825628848E-2</v>
      </c>
      <c r="AU51" s="497">
        <f ca="1"/>
        <v>-6.0184965205021035E-2</v>
      </c>
      <c r="AV51" s="620">
        <f ca="1"/>
        <v>0</v>
      </c>
      <c r="AW51" s="496">
        <f ca="1"/>
        <v>-9.5795702260846105E-2</v>
      </c>
      <c r="AX51" s="497">
        <f ca="1"/>
        <v>-1.8834222066105591E-2</v>
      </c>
      <c r="AY51" s="620">
        <f ca="1"/>
        <v>0</v>
      </c>
    </row>
    <row r="52" spans="2:51">
      <c r="B52" s="539" t="s">
        <v>531</v>
      </c>
      <c r="C52" s="540" t="s">
        <v>66</v>
      </c>
      <c r="D52" s="540" t="s">
        <v>55</v>
      </c>
      <c r="E52" s="540" t="s">
        <v>648</v>
      </c>
      <c r="F52" s="540" t="s">
        <v>672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0.74484088012326</v>
      </c>
      <c r="Y52" s="485">
        <f ca="1">IF(X52&lt;&gt;"",ABS(MIN(-0.75*('CDO Bespoke'!Q53)+'CDO Bespoke'!T53,0)),"")</f>
        <v>0.74584444896265822</v>
      </c>
      <c r="Z52" s="485">
        <f t="shared" ca="1" si="2"/>
        <v>0</v>
      </c>
      <c r="AA52" s="485">
        <f t="shared" ca="1" si="3"/>
        <v>0</v>
      </c>
      <c r="AB52" s="484">
        <f ca="1">IF('CDO Bespoke'!O53&lt;&gt;"",'CDO Bespoke'!O53,"")</f>
        <v>0.74484088012326</v>
      </c>
      <c r="AC52" s="485">
        <f ca="1">IF(AB52&lt;&gt;"",ABS(MIN(-0.6*'CDO Bespoke'!K53+'CDO Bespoke'!T53*'CDO Bespoke'!K53,0)),"")</f>
        <v>0.16875165685894802</v>
      </c>
      <c r="AD52" s="485">
        <f t="shared" ca="1" si="5"/>
        <v>0.576089223264312</v>
      </c>
      <c r="AE52" s="489">
        <f t="shared" ca="1" si="4"/>
        <v>0</v>
      </c>
      <c r="AF52" s="272"/>
      <c r="AG52" s="494" t="str">
        <f ca="1">IF('CDO Bespoke'!C77&lt;&gt;"",'CDO Bespoke'!C77,"")</f>
        <v>BRITISH AMERICAN TOBACCO p.l.c.</v>
      </c>
      <c r="AH52" s="496">
        <f ca="1"/>
        <v>7.5068060989558205E-3</v>
      </c>
      <c r="AI52" s="585">
        <f ca="1"/>
        <v>2.4711297799129284E-2</v>
      </c>
      <c r="AJ52" s="585">
        <f ca="1"/>
        <v>6.5333676699808052E-2</v>
      </c>
      <c r="AK52" s="585">
        <f ca="1"/>
        <v>1.3374172593993983</v>
      </c>
      <c r="AL52" s="497">
        <f ca="1"/>
        <v>0</v>
      </c>
      <c r="AM52" s="620">
        <f ca="1"/>
        <v>0</v>
      </c>
      <c r="AN52" s="496">
        <f ca="1"/>
        <v>4.2385405749426064E-4</v>
      </c>
      <c r="AO52" s="585">
        <f ca="1"/>
        <v>2.1215363887015781E-3</v>
      </c>
      <c r="AP52" s="585">
        <f ca="1"/>
        <v>8.4872768304003476E-3</v>
      </c>
      <c r="AQ52" s="585">
        <f ca="1"/>
        <v>1.4294870485296978</v>
      </c>
      <c r="AR52" s="497">
        <f ca="1"/>
        <v>0</v>
      </c>
      <c r="AS52" s="620">
        <f ca="1"/>
        <v>0</v>
      </c>
      <c r="AT52" s="496">
        <f ca="1"/>
        <v>-1.1801205437465434E-2</v>
      </c>
      <c r="AU52" s="497">
        <f ca="1"/>
        <v>-6.4028631369354549E-2</v>
      </c>
      <c r="AV52" s="620">
        <f ca="1"/>
        <v>0</v>
      </c>
      <c r="AW52" s="496">
        <f ca="1"/>
        <v>-8.8491108185287076E-2</v>
      </c>
      <c r="AX52" s="497">
        <f ca="1"/>
        <v>-9.7088572216560212E-3</v>
      </c>
      <c r="AY52" s="620">
        <f ca="1"/>
        <v>0</v>
      </c>
    </row>
    <row r="53" spans="2:51">
      <c r="B53" s="517" t="s">
        <v>531</v>
      </c>
      <c r="C53" s="518" t="s">
        <v>66</v>
      </c>
      <c r="D53" s="518" t="s">
        <v>57</v>
      </c>
      <c r="E53" s="518" t="s">
        <v>648</v>
      </c>
      <c r="F53" s="518" t="s">
        <v>672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0.74693550857205004</v>
      </c>
      <c r="Y53" s="485">
        <f ca="1">IF(X53&lt;&gt;"",ABS(MIN(-0.75*('CDO Bespoke'!Q54)+'CDO Bespoke'!T54,0)),"")</f>
        <v>0.74992677396629115</v>
      </c>
      <c r="Z53" s="485">
        <f t="shared" ca="1" si="2"/>
        <v>0</v>
      </c>
      <c r="AA53" s="485">
        <f t="shared" ca="1" si="3"/>
        <v>0</v>
      </c>
      <c r="AB53" s="484">
        <f ca="1">IF('CDO Bespoke'!O54&lt;&gt;"",'CDO Bespoke'!O54,"")</f>
        <v>0.74693550857205004</v>
      </c>
      <c r="AC53" s="485">
        <f ca="1">IF(AB53&lt;&gt;"",ABS(MIN(-0.6*'CDO Bespoke'!K54+'CDO Bespoke'!T54*'CDO Bespoke'!K54,0)),"")</f>
        <v>0.12955137255682089</v>
      </c>
      <c r="AD53" s="485">
        <f t="shared" ca="1" si="5"/>
        <v>0.61738413601522912</v>
      </c>
      <c r="AE53" s="489">
        <f t="shared" ca="1" si="4"/>
        <v>0</v>
      </c>
      <c r="AF53" s="272"/>
      <c r="AG53" s="494" t="str">
        <f ca="1">IF('CDO Bespoke'!C78&lt;&gt;"",'CDO Bespoke'!C78,"")</f>
        <v>CARLSBERG BREWERIES A/S</v>
      </c>
      <c r="AH53" s="496">
        <f ca="1"/>
        <v>8.3343168988392335E-3</v>
      </c>
      <c r="AI53" s="585">
        <f ca="1"/>
        <v>2.7355826799357885E-2</v>
      </c>
      <c r="AJ53" s="585">
        <f ca="1"/>
        <v>7.4674477898994951E-2</v>
      </c>
      <c r="AK53" s="585">
        <f ca="1"/>
        <v>1.0968008057998802</v>
      </c>
      <c r="AL53" s="497">
        <f ca="1"/>
        <v>0</v>
      </c>
      <c r="AM53" s="620">
        <f ca="1"/>
        <v>0</v>
      </c>
      <c r="AN53" s="496">
        <f ca="1"/>
        <v>7.417893711954282E-4</v>
      </c>
      <c r="AO53" s="585">
        <f ca="1"/>
        <v>3.5949973802018587E-3</v>
      </c>
      <c r="AP53" s="585">
        <f ca="1"/>
        <v>1.6003136348698502E-2</v>
      </c>
      <c r="AQ53" s="585">
        <f ca="1"/>
        <v>1.1859440817482951</v>
      </c>
      <c r="AR53" s="497">
        <f ca="1"/>
        <v>0</v>
      </c>
      <c r="AS53" s="620">
        <f ca="1"/>
        <v>0</v>
      </c>
      <c r="AT53" s="496">
        <f ca="1"/>
        <v>-2.1206483666646347E-2</v>
      </c>
      <c r="AU53" s="497">
        <f ca="1"/>
        <v>-5.7576415001053594E-2</v>
      </c>
      <c r="AV53" s="620">
        <f ca="1"/>
        <v>0</v>
      </c>
      <c r="AW53" s="496">
        <f ca="1"/>
        <v>-9.9228361255776165E-2</v>
      </c>
      <c r="AX53" s="497">
        <f ca="1"/>
        <v>-2.1576979272616932E-2</v>
      </c>
      <c r="AY53" s="620">
        <f ca="1"/>
        <v>0</v>
      </c>
    </row>
    <row r="54" spans="2:51">
      <c r="B54" s="534" t="s">
        <v>531</v>
      </c>
      <c r="C54" s="535" t="s">
        <v>66</v>
      </c>
      <c r="D54" s="535" t="s">
        <v>59</v>
      </c>
      <c r="E54" s="535" t="s">
        <v>648</v>
      </c>
      <c r="F54" s="535" t="s">
        <v>672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0.74587394273968</v>
      </c>
      <c r="Y54" s="485">
        <f ca="1">IF(X54&lt;&gt;"",ABS(MIN(-0.75*('CDO Bespoke'!Q55)+'CDO Bespoke'!T55,0)),"")</f>
        <v>0.74767817915304613</v>
      </c>
      <c r="Z54" s="485">
        <f t="shared" ca="1" si="2"/>
        <v>0</v>
      </c>
      <c r="AA54" s="485">
        <f t="shared" ca="1" si="3"/>
        <v>0</v>
      </c>
      <c r="AB54" s="484">
        <f ca="1">IF('CDO Bespoke'!O55&lt;&gt;"",'CDO Bespoke'!O55,"")</f>
        <v>0.74587394273968</v>
      </c>
      <c r="AC54" s="485">
        <f ca="1">IF(AB54&lt;&gt;"",ABS(MIN(-0.6*'CDO Bespoke'!K55+'CDO Bespoke'!T55*'CDO Bespoke'!K55,0)),"")</f>
        <v>0.15382007259895109</v>
      </c>
      <c r="AD54" s="485">
        <f t="shared" ca="1" si="5"/>
        <v>0.59205387014072897</v>
      </c>
      <c r="AE54" s="489">
        <f t="shared" ca="1" si="4"/>
        <v>0</v>
      </c>
      <c r="AF54" s="272"/>
      <c r="AG54" s="494" t="str">
        <f ca="1">IF('CDO Bespoke'!C79&lt;&gt;"",'CDO Bespoke'!C79,"")</f>
        <v>Carrefour</v>
      </c>
      <c r="AH54" s="496">
        <f ca="1"/>
        <v>7.8808968995147666E-3</v>
      </c>
      <c r="AI54" s="585">
        <f ca="1"/>
        <v>2.5974708499632015E-2</v>
      </c>
      <c r="AJ54" s="585">
        <f ca="1"/>
        <v>7.0048209199757849E-2</v>
      </c>
      <c r="AK54" s="585">
        <f ca="1"/>
        <v>1.2472024873999565</v>
      </c>
      <c r="AL54" s="497">
        <f ca="1"/>
        <v>0</v>
      </c>
      <c r="AM54" s="620">
        <f ca="1"/>
        <v>0</v>
      </c>
      <c r="AN54" s="496">
        <f ca="1"/>
        <v>5.9398598060110552E-4</v>
      </c>
      <c r="AO54" s="585">
        <f ca="1"/>
        <v>2.9149496458963364E-3</v>
      </c>
      <c r="AP54" s="585">
        <f ca="1"/>
        <v>1.2490419208600542E-2</v>
      </c>
      <c r="AQ54" s="585">
        <f ca="1"/>
        <v>1.3372878142085993</v>
      </c>
      <c r="AR54" s="497">
        <f ca="1"/>
        <v>0</v>
      </c>
      <c r="AS54" s="620">
        <f ca="1"/>
        <v>0</v>
      </c>
      <c r="AT54" s="496">
        <f ca="1"/>
        <v>-1.5217197070036992E-2</v>
      </c>
      <c r="AU54" s="497">
        <f ca="1"/>
        <v>-6.2174599636962924E-2</v>
      </c>
      <c r="AV54" s="620">
        <f ca="1"/>
        <v>0</v>
      </c>
      <c r="AW54" s="496">
        <f ca="1"/>
        <v>-9.2785360651419693E-2</v>
      </c>
      <c r="AX54" s="497">
        <f ca="1"/>
        <v>-1.553672909102282E-2</v>
      </c>
      <c r="AY54" s="620">
        <f ca="1"/>
        <v>0</v>
      </c>
    </row>
    <row r="55" spans="2:51">
      <c r="B55" s="539" t="s">
        <v>532</v>
      </c>
      <c r="C55" s="540" t="s">
        <v>66</v>
      </c>
      <c r="D55" s="540" t="s">
        <v>55</v>
      </c>
      <c r="E55" s="540" t="s">
        <v>646</v>
      </c>
      <c r="F55" s="540" t="s">
        <v>671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0.74724865135669005</v>
      </c>
      <c r="Y55" s="485">
        <f ca="1">IF(X55&lt;&gt;"",ABS(MIN(-0.75*('CDO Bespoke'!Q56)+'CDO Bespoke'!T56,0)),"")</f>
        <v>0.75071371614213056</v>
      </c>
      <c r="Z55" s="485">
        <f t="shared" ca="1" si="2"/>
        <v>0</v>
      </c>
      <c r="AA55" s="485">
        <f t="shared" ca="1" si="3"/>
        <v>0</v>
      </c>
      <c r="AB55" s="484">
        <f ca="1">IF('CDO Bespoke'!O56&lt;&gt;"",'CDO Bespoke'!O56,"")</f>
        <v>0.74724865135669005</v>
      </c>
      <c r="AC55" s="485">
        <f ca="1">IF(AB55&lt;&gt;"",ABS(MIN(-0.6*'CDO Bespoke'!K56+'CDO Bespoke'!T56*'CDO Bespoke'!K56,0)),"")</f>
        <v>0.11805570763620027</v>
      </c>
      <c r="AD55" s="485">
        <f t="shared" ca="1" si="5"/>
        <v>0.62919294372048973</v>
      </c>
      <c r="AE55" s="489">
        <f t="shared" ca="1" si="4"/>
        <v>0</v>
      </c>
      <c r="AF55" s="272"/>
      <c r="AG55" s="494" t="str">
        <f ca="1">IF('CDO Bespoke'!C80&lt;&gt;"",'CDO Bespoke'!C80,"")</f>
        <v>COMPASS GROUP PLC</v>
      </c>
      <c r="AH55" s="496">
        <f ca="1"/>
        <v>8.4842020986464206E-3</v>
      </c>
      <c r="AI55" s="585">
        <f ca="1"/>
        <v>2.7697875100152203E-2</v>
      </c>
      <c r="AJ55" s="585">
        <f ca="1"/>
        <v>7.5501860898885553E-2</v>
      </c>
      <c r="AK55" s="585">
        <f ca="1"/>
        <v>1.0249624161984272</v>
      </c>
      <c r="AL55" s="497">
        <f ca="1"/>
        <v>0</v>
      </c>
      <c r="AM55" s="620">
        <f ca="1"/>
        <v>0</v>
      </c>
      <c r="AN55" s="496">
        <f ca="1"/>
        <v>7.6739366149797261E-4</v>
      </c>
      <c r="AO55" s="585">
        <f ca="1"/>
        <v>3.7074012330939876E-3</v>
      </c>
      <c r="AP55" s="585">
        <f ca="1"/>
        <v>1.6638444632188082E-2</v>
      </c>
      <c r="AQ55" s="585">
        <f ca="1"/>
        <v>1.1129303143467966</v>
      </c>
      <c r="AR55" s="497">
        <f ca="1"/>
        <v>0</v>
      </c>
      <c r="AS55" s="620">
        <f ca="1"/>
        <v>0</v>
      </c>
      <c r="AT55" s="496">
        <f ca="1"/>
        <v>-2.4235846264644367E-2</v>
      </c>
      <c r="AU55" s="497">
        <f ca="1"/>
        <v>-5.4880977889145477E-2</v>
      </c>
      <c r="AV55" s="620">
        <f ca="1"/>
        <v>0</v>
      </c>
      <c r="AW55" s="496">
        <f ca="1"/>
        <v>-0.1021240311993796</v>
      </c>
      <c r="AX55" s="497">
        <f ca="1"/>
        <v>-2.3118711549347803E-2</v>
      </c>
      <c r="AY55" s="620">
        <f ca="1"/>
        <v>0</v>
      </c>
    </row>
    <row r="56" spans="2:51">
      <c r="B56" s="517" t="s">
        <v>532</v>
      </c>
      <c r="C56" s="518" t="s">
        <v>66</v>
      </c>
      <c r="D56" s="518" t="s">
        <v>57</v>
      </c>
      <c r="E56" s="518" t="s">
        <v>646</v>
      </c>
      <c r="F56" s="518" t="s">
        <v>671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0.74665635814064002</v>
      </c>
      <c r="Y56" s="485">
        <f ca="1">IF(X56&lt;&gt;"",ABS(MIN(-0.75*('CDO Bespoke'!Q57)+'CDO Bespoke'!T57,0)),"")</f>
        <v>0.74929333645599272</v>
      </c>
      <c r="Z56" s="485">
        <f t="shared" ca="1" si="2"/>
        <v>0</v>
      </c>
      <c r="AA56" s="485">
        <f t="shared" ca="1" si="3"/>
        <v>0</v>
      </c>
      <c r="AB56" s="484">
        <f ca="1">IF('CDO Bespoke'!O57&lt;&gt;"",'CDO Bespoke'!O57,"")</f>
        <v>0.74665635814064002</v>
      </c>
      <c r="AC56" s="485">
        <f ca="1">IF(AB56&lt;&gt;"",ABS(MIN(-0.6*'CDO Bespoke'!K57+'CDO Bespoke'!T57*'CDO Bespoke'!K57,0)),"")</f>
        <v>0.13735398153808723</v>
      </c>
      <c r="AD56" s="485">
        <f t="shared" ca="1" si="5"/>
        <v>0.60930237660255282</v>
      </c>
      <c r="AE56" s="489">
        <f t="shared" ca="1" si="4"/>
        <v>0</v>
      </c>
      <c r="AF56" s="272"/>
      <c r="AG56" s="494" t="str">
        <f ca="1">IF('CDO Bespoke'!C81&lt;&gt;"",'CDO Bespoke'!C81,"")</f>
        <v>DANONE</v>
      </c>
      <c r="AH56" s="496">
        <f ca="1"/>
        <v>8.2249649002719138E-3</v>
      </c>
      <c r="AI56" s="585">
        <f ca="1"/>
        <v>2.712669729953987E-2</v>
      </c>
      <c r="AJ56" s="585">
        <f ca="1"/>
        <v>7.4119884898582455E-2</v>
      </c>
      <c r="AK56" s="585">
        <f ca="1"/>
        <v>1.1441816997992404</v>
      </c>
      <c r="AL56" s="497">
        <f ca="1"/>
        <v>0</v>
      </c>
      <c r="AM56" s="620">
        <f ca="1"/>
        <v>0</v>
      </c>
      <c r="AN56" s="496">
        <f ca="1"/>
        <v>7.0933925610042192E-4</v>
      </c>
      <c r="AO56" s="585">
        <f ca="1"/>
        <v>3.4482470794971326E-3</v>
      </c>
      <c r="AP56" s="585">
        <f ca="1"/>
        <v>1.5237361758700663E-2</v>
      </c>
      <c r="AQ56" s="585">
        <f ca="1"/>
        <v>1.234384562581901</v>
      </c>
      <c r="AR56" s="497">
        <f ca="1"/>
        <v>0</v>
      </c>
      <c r="AS56" s="620">
        <f ca="1"/>
        <v>0</v>
      </c>
      <c r="AT56" s="496">
        <f ca="1"/>
        <v>-1.9217635934578148E-2</v>
      </c>
      <c r="AU56" s="497">
        <f ca="1"/>
        <v>-5.9196733553441794E-2</v>
      </c>
      <c r="AV56" s="620">
        <f ca="1"/>
        <v>0</v>
      </c>
      <c r="AW56" s="496">
        <f ca="1"/>
        <v>-9.7196180995495637E-2</v>
      </c>
      <c r="AX56" s="497">
        <f ca="1"/>
        <v>-2.0073037855488876E-2</v>
      </c>
      <c r="AY56" s="620">
        <f ca="1"/>
        <v>0</v>
      </c>
    </row>
    <row r="57" spans="2:51">
      <c r="B57" s="534" t="s">
        <v>532</v>
      </c>
      <c r="C57" s="535" t="s">
        <v>66</v>
      </c>
      <c r="D57" s="535" t="s">
        <v>59</v>
      </c>
      <c r="E57" s="535" t="s">
        <v>646</v>
      </c>
      <c r="F57" s="535" t="s">
        <v>671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0.72645387836771003</v>
      </c>
      <c r="Y57" s="485">
        <f ca="1">IF(X57&lt;&gt;"",ABS(MIN(-0.75*('CDO Bespoke'!Q58)+'CDO Bespoke'!T58,0)),"")</f>
        <v>0.72836527807771001</v>
      </c>
      <c r="Z57" s="485">
        <f t="shared" ca="1" si="2"/>
        <v>0</v>
      </c>
      <c r="AA57" s="485">
        <f t="shared" ca="1" si="3"/>
        <v>0</v>
      </c>
      <c r="AB57" s="484">
        <f ca="1">IF('CDO Bespoke'!O58&lt;&gt;"",'CDO Bespoke'!O58,"")</f>
        <v>0.72645387836771003</v>
      </c>
      <c r="AC57" s="485">
        <f ca="1">IF(AB57&lt;&gt;"",ABS(MIN(-0.6*'CDO Bespoke'!K58+'CDO Bespoke'!T58*'CDO Bespoke'!K58,0)),"")</f>
        <v>0.23932041924585509</v>
      </c>
      <c r="AD57" s="485">
        <f t="shared" ca="1" si="5"/>
        <v>0.48713345912185491</v>
      </c>
      <c r="AE57" s="489">
        <f t="shared" ca="1" si="4"/>
        <v>0</v>
      </c>
      <c r="AF57" s="272"/>
      <c r="AG57" s="494" t="str">
        <f ca="1">IF('CDO Bespoke'!C82&lt;&gt;"",'CDO Bespoke'!C82,"")</f>
        <v>DIAGEO PLC</v>
      </c>
      <c r="AH57" s="496">
        <f ca="1"/>
        <v>2.0864595984271261E-3</v>
      </c>
      <c r="AI57" s="585">
        <f ca="1"/>
        <v>-3.2358330015469505E-4</v>
      </c>
      <c r="AJ57" s="585">
        <f ca="1"/>
        <v>-3.7362924201200798E-2</v>
      </c>
      <c r="AK57" s="585">
        <f ca="1"/>
        <v>1.9183851391990636</v>
      </c>
      <c r="AL57" s="497">
        <f ca="1"/>
        <v>0</v>
      </c>
      <c r="AM57" s="620">
        <f ca="1"/>
        <v>0</v>
      </c>
      <c r="AN57" s="496">
        <f ca="1"/>
        <v>-2.8754338499831222E-3</v>
      </c>
      <c r="AO57" s="585">
        <f ca="1"/>
        <v>-1.3421016272982533E-2</v>
      </c>
      <c r="AP57" s="585">
        <f ca="1"/>
        <v>-6.3397830248959619E-2</v>
      </c>
      <c r="AQ57" s="585">
        <f ca="1"/>
        <v>1.9731326840149999</v>
      </c>
      <c r="AR57" s="497">
        <f ca="1"/>
        <v>0</v>
      </c>
      <c r="AS57" s="620">
        <f ca="1"/>
        <v>0</v>
      </c>
      <c r="AT57" s="496">
        <f ca="1"/>
        <v>3.7040237507968143E-3</v>
      </c>
      <c r="AU57" s="497">
        <f ca="1"/>
        <v>-5.261102245915672E-2</v>
      </c>
      <c r="AV57" s="620">
        <f ca="1"/>
        <v>0</v>
      </c>
      <c r="AW57" s="496">
        <f ca="1"/>
        <v>-6.0686461087500476E-2</v>
      </c>
      <c r="AX57" s="497">
        <f ca="1"/>
        <v>7.0437457607007758E-2</v>
      </c>
      <c r="AY57" s="620">
        <f ca="1"/>
        <v>0</v>
      </c>
    </row>
    <row r="58" spans="2:51">
      <c r="B58" s="539" t="s">
        <v>516</v>
      </c>
      <c r="C58" s="540" t="s">
        <v>66</v>
      </c>
      <c r="D58" s="540" t="s">
        <v>55</v>
      </c>
      <c r="E58" s="540" t="s">
        <v>646</v>
      </c>
      <c r="F58" s="540" t="s">
        <v>647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0.72778876091656997</v>
      </c>
      <c r="Y58" s="485">
        <f ca="1">IF(X58&lt;&gt;"",ABS(MIN(-0.75*('CDO Bespoke'!Q59)+'CDO Bespoke'!T59,0)),"")</f>
        <v>0.72879919738118115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0.72778876091656997</v>
      </c>
      <c r="AC58" s="485">
        <f ca="1">IF(AB58&lt;&gt;"",ABS(MIN(-0.6*'CDO Bespoke'!K59+'CDO Bespoke'!T59*'CDO Bespoke'!K59,0)),"")</f>
        <v>0.23797478240480524</v>
      </c>
      <c r="AD58" s="485">
        <f t="shared" ca="1" si="5"/>
        <v>0.48981397851176472</v>
      </c>
      <c r="AE58" s="489">
        <f t="shared" ca="1" si="4"/>
        <v>0</v>
      </c>
      <c r="AF58" s="272"/>
      <c r="AG58" s="494" t="str">
        <f ca="1">IF('CDO Bespoke'!C83&lt;&gt;"",'CDO Bespoke'!C83,"")</f>
        <v>ELO</v>
      </c>
      <c r="AH58" s="496">
        <f ca="1"/>
        <v>3.2312004005774497E-3</v>
      </c>
      <c r="AI58" s="585">
        <f ca="1"/>
        <v>7.4360794988237444E-3</v>
      </c>
      <c r="AJ58" s="585">
        <f ca="1"/>
        <v>-6.1502282000525099E-3</v>
      </c>
      <c r="AK58" s="585">
        <f ca="1"/>
        <v>1.7816297532990966</v>
      </c>
      <c r="AL58" s="497">
        <f ca="1"/>
        <v>0</v>
      </c>
      <c r="AM58" s="620">
        <f ca="1"/>
        <v>0</v>
      </c>
      <c r="AN58" s="496">
        <f ca="1"/>
        <v>-2.3146561289877354E-3</v>
      </c>
      <c r="AO58" s="585">
        <f ca="1"/>
        <v>-1.1076938561012384E-2</v>
      </c>
      <c r="AP58" s="585">
        <f ca="1"/>
        <v>-5.5182689066013424E-2</v>
      </c>
      <c r="AQ58" s="585">
        <f ca="1"/>
        <v>1.8632813916250046</v>
      </c>
      <c r="AR58" s="497">
        <f ca="1"/>
        <v>0</v>
      </c>
      <c r="AS58" s="620">
        <f ca="1"/>
        <v>0</v>
      </c>
      <c r="AT58" s="496">
        <f ca="1"/>
        <v>3.3469661859724109E-3</v>
      </c>
      <c r="AU58" s="497">
        <f ca="1"/>
        <v>-5.0301250738872261E-2</v>
      </c>
      <c r="AV58" s="620">
        <f ca="1"/>
        <v>0</v>
      </c>
      <c r="AW58" s="496">
        <f ca="1"/>
        <v>-6.0270212684848265E-2</v>
      </c>
      <c r="AX58" s="497">
        <f ca="1"/>
        <v>6.5002959187201365E-2</v>
      </c>
      <c r="AY58" s="620">
        <f ca="1"/>
        <v>0</v>
      </c>
    </row>
    <row r="59" spans="2:51">
      <c r="B59" s="517" t="s">
        <v>516</v>
      </c>
      <c r="C59" s="518" t="s">
        <v>66</v>
      </c>
      <c r="D59" s="518" t="s">
        <v>57</v>
      </c>
      <c r="E59" s="518" t="s">
        <v>646</v>
      </c>
      <c r="F59" s="518" t="s">
        <v>647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0.74688350936731995</v>
      </c>
      <c r="Y59" s="485">
        <f ca="1">IF(X59&lt;&gt;"",ABS(MIN(-0.75*('CDO Bespoke'!Q60)+'CDO Bespoke'!T60,0)),"")</f>
        <v>0.74980585819595436</v>
      </c>
      <c r="Z59" s="485">
        <f t="shared" ca="1" si="2"/>
        <v>0</v>
      </c>
      <c r="AA59" s="485">
        <f t="shared" ca="1" si="3"/>
        <v>0</v>
      </c>
      <c r="AB59" s="484">
        <f ca="1">IF('CDO Bespoke'!O60&lt;&gt;"",'CDO Bespoke'!O60,"")</f>
        <v>0.74688350936731995</v>
      </c>
      <c r="AC59" s="485">
        <f ca="1">IF(AB59&lt;&gt;"",ABS(MIN(-0.6*'CDO Bespoke'!K60+'CDO Bespoke'!T60*'CDO Bespoke'!K60,0)),"")</f>
        <v>0.13112155746173068</v>
      </c>
      <c r="AD59" s="485">
        <f t="shared" ca="1" si="5"/>
        <v>0.61576195190558924</v>
      </c>
      <c r="AE59" s="489">
        <f t="shared" ca="1" si="4"/>
        <v>0</v>
      </c>
      <c r="AF59" s="272"/>
      <c r="AG59" s="494" t="str">
        <f ca="1">IF('CDO Bespoke'!C84&lt;&gt;"",'CDO Bespoke'!C84,"")</f>
        <v>Heineken N.V.</v>
      </c>
      <c r="AH59" s="496">
        <f ca="1"/>
        <v>8.3153579999439842E-3</v>
      </c>
      <c r="AI59" s="585">
        <f ca="1"/>
        <v>2.7327282199340885E-2</v>
      </c>
      <c r="AJ59" s="585">
        <f ca="1"/>
        <v>7.4635010398615975E-2</v>
      </c>
      <c r="AK59" s="585">
        <f ca="1"/>
        <v>1.1062726164001724</v>
      </c>
      <c r="AL59" s="497">
        <f ca="1"/>
        <v>0</v>
      </c>
      <c r="AM59" s="620">
        <f ca="1"/>
        <v>0</v>
      </c>
      <c r="AN59" s="496">
        <f ca="1"/>
        <v>7.3629313570612587E-4</v>
      </c>
      <c r="AO59" s="585">
        <f ca="1"/>
        <v>3.5703319414999435E-3</v>
      </c>
      <c r="AP59" s="585">
        <f ca="1"/>
        <v>1.5873381765205835E-2</v>
      </c>
      <c r="AQ59" s="585">
        <f ca="1"/>
        <v>1.1956964092650015</v>
      </c>
      <c r="AR59" s="497">
        <f ca="1"/>
        <v>0</v>
      </c>
      <c r="AS59" s="620">
        <f ca="1"/>
        <v>0</v>
      </c>
      <c r="AT59" s="496">
        <f ca="1"/>
        <v>-2.0801400101796208E-2</v>
      </c>
      <c r="AU59" s="497">
        <f ca="1"/>
        <v>-5.7913007003583594E-2</v>
      </c>
      <c r="AV59" s="620">
        <f ca="1"/>
        <v>0</v>
      </c>
      <c r="AW59" s="496">
        <f ca="1"/>
        <v>-9.8822459296253995E-2</v>
      </c>
      <c r="AX59" s="497">
        <f ca="1"/>
        <v>-2.1305787793317099E-2</v>
      </c>
      <c r="AY59" s="620">
        <f ca="1"/>
        <v>0</v>
      </c>
    </row>
    <row r="60" spans="2:51">
      <c r="B60" s="534" t="s">
        <v>516</v>
      </c>
      <c r="C60" s="535" t="s">
        <v>66</v>
      </c>
      <c r="D60" s="535" t="s">
        <v>59</v>
      </c>
      <c r="E60" s="535" t="s">
        <v>646</v>
      </c>
      <c r="F60" s="535" t="s">
        <v>647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0.74731609309929004</v>
      </c>
      <c r="Y60" s="485">
        <f ca="1">IF(X60&lt;&gt;"",ABS(MIN(-0.75*('CDO Bespoke'!Q61)+'CDO Bespoke'!T61,0)),"")</f>
        <v>0.75091117747634539</v>
      </c>
      <c r="Z60" s="485">
        <f t="shared" ca="1" si="2"/>
        <v>0</v>
      </c>
      <c r="AA60" s="485">
        <f t="shared" ca="1" si="3"/>
        <v>0</v>
      </c>
      <c r="AB60" s="484">
        <f ca="1">IF('CDO Bespoke'!O61&lt;&gt;"",'CDO Bespoke'!O61,"")</f>
        <v>0.74731609309929004</v>
      </c>
      <c r="AC60" s="485">
        <f ca="1">IF(AB60&lt;&gt;"",ABS(MIN(-0.6*'CDO Bespoke'!K61+'CDO Bespoke'!T61*'CDO Bespoke'!K61,0)),"")</f>
        <v>0.11471499456553907</v>
      </c>
      <c r="AD60" s="485">
        <f t="shared" ca="1" si="5"/>
        <v>0.63260109853375091</v>
      </c>
      <c r="AE60" s="489">
        <f t="shared" ca="1" si="4"/>
        <v>0</v>
      </c>
      <c r="AF60" s="272"/>
      <c r="AG60" s="494" t="str">
        <f ca="1">IF('CDO Bespoke'!C85&lt;&gt;"",'CDO Bespoke'!C85,"")</f>
        <v>Henkel AG &amp; Co. KGaA</v>
      </c>
      <c r="AH60" s="496">
        <f ca="1"/>
        <v>8.5581621989128109E-3</v>
      </c>
      <c r="AI60" s="585">
        <f ca="1"/>
        <v>2.801812490016431E-2</v>
      </c>
      <c r="AJ60" s="585">
        <f ca="1"/>
        <v>7.6613847199702434E-2</v>
      </c>
      <c r="AK60" s="585">
        <f ca="1"/>
        <v>1.001907994500062</v>
      </c>
      <c r="AL60" s="497">
        <f ca="1"/>
        <v>0</v>
      </c>
      <c r="AM60" s="620">
        <f ca="1"/>
        <v>0</v>
      </c>
      <c r="AN60" s="496">
        <f ca="1"/>
        <v>7.7014278889939169E-4</v>
      </c>
      <c r="AO60" s="585">
        <f ca="1"/>
        <v>3.7188343837875337E-3</v>
      </c>
      <c r="AP60" s="585">
        <f ca="1"/>
        <v>1.6732503815893723E-2</v>
      </c>
      <c r="AQ60" s="585">
        <f ca="1"/>
        <v>1.0906594377532892</v>
      </c>
      <c r="AR60" s="497">
        <f ca="1"/>
        <v>0</v>
      </c>
      <c r="AS60" s="620">
        <f ca="1"/>
        <v>0</v>
      </c>
      <c r="AT60" s="496">
        <f ca="1"/>
        <v>-2.5136391816777959E-2</v>
      </c>
      <c r="AU60" s="497">
        <f ca="1"/>
        <v>-5.3997267542712057E-2</v>
      </c>
      <c r="AV60" s="620">
        <f ca="1"/>
        <v>0</v>
      </c>
      <c r="AW60" s="496">
        <f ca="1"/>
        <v>-0.10293427980602951</v>
      </c>
      <c r="AX60" s="497">
        <f ca="1"/>
        <v>-2.3431080298496297E-2</v>
      </c>
      <c r="AY60" s="620">
        <f ca="1"/>
        <v>0</v>
      </c>
    </row>
    <row r="61" spans="2:51">
      <c r="B61" s="539" t="s">
        <v>611</v>
      </c>
      <c r="C61" s="540" t="s">
        <v>66</v>
      </c>
      <c r="D61" s="540" t="s">
        <v>55</v>
      </c>
      <c r="E61" s="540" t="s">
        <v>648</v>
      </c>
      <c r="F61" s="540" t="s">
        <v>647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0.74430545615681998</v>
      </c>
      <c r="Y61" s="485">
        <f ca="1">IF(X61&lt;&gt;"",ABS(MIN(-0.75*('CDO Bespoke'!Q62)+'CDO Bespoke'!T62,0)),"")</f>
        <v>0.7449844278076837</v>
      </c>
      <c r="Z61" s="485">
        <f t="shared" ca="1" si="2"/>
        <v>0</v>
      </c>
      <c r="AA61" s="485">
        <f t="shared" ca="1" si="3"/>
        <v>0</v>
      </c>
      <c r="AB61" s="484">
        <f ca="1">IF('CDO Bespoke'!O62&lt;&gt;"",'CDO Bespoke'!O62,"")</f>
        <v>0.74430545615681998</v>
      </c>
      <c r="AC61" s="485">
        <f ca="1">IF(AB61&lt;&gt;"",ABS(MIN(-0.6*'CDO Bespoke'!K62+'CDO Bespoke'!T62*'CDO Bespoke'!K62,0)),"")</f>
        <v>0.1746640671605531</v>
      </c>
      <c r="AD61" s="485">
        <f t="shared" ca="1" si="5"/>
        <v>0.56964138899626682</v>
      </c>
      <c r="AE61" s="489">
        <f t="shared" ca="1" si="4"/>
        <v>0</v>
      </c>
      <c r="AF61" s="272"/>
      <c r="AG61" s="494" t="str">
        <f ca="1">IF('CDO Bespoke'!C86&lt;&gt;"",'CDO Bespoke'!C86,"")</f>
        <v>IMPERIAL BRANDS PLC</v>
      </c>
      <c r="AH61" s="496">
        <f ca="1"/>
        <v>7.333169198542322E-3</v>
      </c>
      <c r="AI61" s="585">
        <f ca="1"/>
        <v>2.4126561899429078E-2</v>
      </c>
      <c r="AJ61" s="585">
        <f ca="1"/>
        <v>6.3112599399950398E-2</v>
      </c>
      <c r="AK61" s="585">
        <f ca="1"/>
        <v>1.3729072380996854</v>
      </c>
      <c r="AL61" s="497">
        <f ca="1"/>
        <v>0</v>
      </c>
      <c r="AM61" s="620">
        <f ca="1"/>
        <v>0</v>
      </c>
      <c r="AN61" s="496">
        <f ca="1"/>
        <v>3.3314013000041581E-4</v>
      </c>
      <c r="AO61" s="585">
        <f ca="1"/>
        <v>1.6964829430013775E-3</v>
      </c>
      <c r="AP61" s="585">
        <f ca="1"/>
        <v>6.3627376710017475E-3</v>
      </c>
      <c r="AQ61" s="585">
        <f ca="1"/>
        <v>1.4651732271699991</v>
      </c>
      <c r="AR61" s="497">
        <f ca="1"/>
        <v>0</v>
      </c>
      <c r="AS61" s="620">
        <f ca="1"/>
        <v>0</v>
      </c>
      <c r="AT61" s="496">
        <f ca="1"/>
        <v>-1.0462150058259567E-2</v>
      </c>
      <c r="AU61" s="497">
        <f ca="1"/>
        <v>-6.4493570278170376E-2</v>
      </c>
      <c r="AV61" s="620">
        <f ca="1"/>
        <v>0</v>
      </c>
      <c r="AW61" s="496">
        <f ca="1"/>
        <v>-8.6678933526489921E-2</v>
      </c>
      <c r="AX61" s="497">
        <f ca="1"/>
        <v>-6.7672290729853743E-3</v>
      </c>
      <c r="AY61" s="620">
        <f ca="1"/>
        <v>0</v>
      </c>
    </row>
    <row r="62" spans="2:51">
      <c r="B62" s="517" t="s">
        <v>611</v>
      </c>
      <c r="C62" s="518" t="s">
        <v>66</v>
      </c>
      <c r="D62" s="518" t="s">
        <v>57</v>
      </c>
      <c r="E62" s="518" t="s">
        <v>648</v>
      </c>
      <c r="F62" s="518" t="s">
        <v>647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0.74629398620247001</v>
      </c>
      <c r="Y62" s="485">
        <f ca="1">IF(X62&lt;&gt;"",ABS(MIN(-0.75*('CDO Bespoke'!Q63)+'CDO Bespoke'!T63,0)),"")</f>
        <v>0.74852517845848188</v>
      </c>
      <c r="Z62" s="485">
        <f t="shared" ca="1" si="2"/>
        <v>0</v>
      </c>
      <c r="AA62" s="485">
        <f t="shared" ca="1" si="3"/>
        <v>0</v>
      </c>
      <c r="AB62" s="484">
        <f ca="1">IF('CDO Bespoke'!O63&lt;&gt;"",'CDO Bespoke'!O63,"")</f>
        <v>0.74629398620247001</v>
      </c>
      <c r="AC62" s="485">
        <f ca="1">IF(AB62&lt;&gt;"",ABS(MIN(-0.6*'CDO Bespoke'!K63+'CDO Bespoke'!T63*'CDO Bespoke'!K63,0)),"")</f>
        <v>0.14565318190198442</v>
      </c>
      <c r="AD62" s="485">
        <f t="shared" ca="1" si="5"/>
        <v>0.60064080430048561</v>
      </c>
      <c r="AE62" s="489">
        <f t="shared" ca="1" si="4"/>
        <v>0</v>
      </c>
      <c r="AF62" s="272"/>
      <c r="AG62" s="494" t="str">
        <f ca="1">IF('CDO Bespoke'!C87&lt;&gt;"",'CDO Bespoke'!C87,"")</f>
        <v>Kering</v>
      </c>
      <c r="AH62" s="496">
        <f ca="1"/>
        <v>8.0778822986182774E-3</v>
      </c>
      <c r="AI62" s="585">
        <f ca="1"/>
        <v>2.6718867598418683E-2</v>
      </c>
      <c r="AJ62" s="585">
        <f ca="1"/>
        <v>7.2838358500249001E-2</v>
      </c>
      <c r="AK62" s="585">
        <f ca="1"/>
        <v>1.1948444006004699</v>
      </c>
      <c r="AL62" s="497">
        <f ca="1"/>
        <v>0</v>
      </c>
      <c r="AM62" s="620">
        <f ca="1"/>
        <v>0</v>
      </c>
      <c r="AN62" s="496">
        <f ca="1"/>
        <v>6.5971224229993686E-4</v>
      </c>
      <c r="AO62" s="585">
        <f ca="1"/>
        <v>3.2205131514015384E-3</v>
      </c>
      <c r="AP62" s="585">
        <f ca="1"/>
        <v>1.4068890906299147E-2</v>
      </c>
      <c r="AQ62" s="585">
        <f ca="1"/>
        <v>1.2856681063893975</v>
      </c>
      <c r="AR62" s="497">
        <f ca="1"/>
        <v>0</v>
      </c>
      <c r="AS62" s="620">
        <f ca="1"/>
        <v>0</v>
      </c>
      <c r="AT62" s="496">
        <f ca="1"/>
        <v>-1.7164019326372237E-2</v>
      </c>
      <c r="AU62" s="497">
        <f ca="1"/>
        <v>-6.0752295911087772E-2</v>
      </c>
      <c r="AV62" s="620">
        <f ca="1"/>
        <v>0</v>
      </c>
      <c r="AW62" s="496">
        <f ca="1"/>
        <v>-9.4981973397741559E-2</v>
      </c>
      <c r="AX62" s="497">
        <f ca="1"/>
        <v>-1.8026164425696736E-2</v>
      </c>
      <c r="AY62" s="620">
        <f ca="1"/>
        <v>0</v>
      </c>
    </row>
    <row r="63" spans="2:51">
      <c r="B63" s="534" t="s">
        <v>611</v>
      </c>
      <c r="C63" s="535" t="s">
        <v>66</v>
      </c>
      <c r="D63" s="535" t="s">
        <v>59</v>
      </c>
      <c r="E63" s="535" t="s">
        <v>648</v>
      </c>
      <c r="F63" s="535" t="s">
        <v>647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0.72145848344022001</v>
      </c>
      <c r="Y63" s="485">
        <f ca="1">IF(X63&lt;&gt;"",ABS(MIN(-0.75*('CDO Bespoke'!Q64)+'CDO Bespoke'!T64,0)),"")</f>
        <v>0.72567753851611383</v>
      </c>
      <c r="Z63" s="485">
        <f t="shared" ca="1" si="2"/>
        <v>0</v>
      </c>
      <c r="AA63" s="485">
        <f t="shared" ca="1" si="3"/>
        <v>0</v>
      </c>
      <c r="AB63" s="484">
        <f ca="1">IF('CDO Bespoke'!O64&lt;&gt;"",'CDO Bespoke'!O64,"")</f>
        <v>0.72145848344022001</v>
      </c>
      <c r="AC63" s="485">
        <f ca="1">IF(AB63&lt;&gt;"",ABS(MIN(-0.6*'CDO Bespoke'!K64+'CDO Bespoke'!T64*'CDO Bespoke'!K64,0)),"")</f>
        <v>0.24468882634565403</v>
      </c>
      <c r="AD63" s="485">
        <f t="shared" ca="1" si="5"/>
        <v>0.47676965709456598</v>
      </c>
      <c r="AE63" s="489">
        <f t="shared" ca="1" si="4"/>
        <v>0</v>
      </c>
      <c r="AF63" s="272"/>
      <c r="AG63" s="494" t="str">
        <f ca="1">IF('CDO Bespoke'!C88&lt;&gt;"",'CDO Bespoke'!C88,"")</f>
        <v>Koninklijke Ahold Delhaize N.V.</v>
      </c>
      <c r="AH63" s="496">
        <f ca="1"/>
        <v>1.0204263989344042E-3</v>
      </c>
      <c r="AI63" s="585">
        <f ca="1"/>
        <v>-5.1020223001962961E-3</v>
      </c>
      <c r="AJ63" s="585">
        <f ca="1"/>
        <v>-5.7562021100743266E-2</v>
      </c>
      <c r="AK63" s="585">
        <f ca="1"/>
        <v>1.9833239196986874</v>
      </c>
      <c r="AL63" s="497">
        <f ca="1"/>
        <v>0</v>
      </c>
      <c r="AM63" s="620">
        <f ca="1"/>
        <v>0</v>
      </c>
      <c r="AN63" s="496">
        <f ca="1"/>
        <v>-3.7012270430458738E-3</v>
      </c>
      <c r="AO63" s="585">
        <f ca="1"/>
        <v>-1.7319967485010523E-2</v>
      </c>
      <c r="AP63" s="585">
        <f ca="1"/>
        <v>-8.0906589993989808E-2</v>
      </c>
      <c r="AQ63" s="585">
        <f ca="1"/>
        <v>2.0350675209149931</v>
      </c>
      <c r="AR63" s="497">
        <f ca="1"/>
        <v>0</v>
      </c>
      <c r="AS63" s="620">
        <f ca="1"/>
        <v>0</v>
      </c>
      <c r="AT63" s="496">
        <f ca="1"/>
        <v>5.2703309819441824E-3</v>
      </c>
      <c r="AU63" s="497">
        <f ca="1"/>
        <v>-4.6566978844594153E-2</v>
      </c>
      <c r="AV63" s="620">
        <f ca="1"/>
        <v>0</v>
      </c>
      <c r="AW63" s="496">
        <f ca="1"/>
        <v>-5.6571856345076978E-2</v>
      </c>
      <c r="AX63" s="497">
        <f ca="1"/>
        <v>8.6288653966622608E-2</v>
      </c>
      <c r="AY63" s="620">
        <f ca="1"/>
        <v>0</v>
      </c>
    </row>
    <row r="64" spans="2:51">
      <c r="B64" s="539" t="s">
        <v>517</v>
      </c>
      <c r="C64" s="540" t="s">
        <v>66</v>
      </c>
      <c r="D64" s="540" t="s">
        <v>55</v>
      </c>
      <c r="E64" s="540" t="s">
        <v>648</v>
      </c>
      <c r="F64" s="540" t="s">
        <v>647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0.74591929045710004</v>
      </c>
      <c r="Y64" s="485">
        <f ca="1">IF(X64&lt;&gt;"",ABS(MIN(-0.75*('CDO Bespoke'!Q65)+'CDO Bespoke'!T65,0)),"")</f>
        <v>0.74778583915755648</v>
      </c>
      <c r="Z64" s="485">
        <f t="shared" ca="1" si="2"/>
        <v>0</v>
      </c>
      <c r="AA64" s="485">
        <f t="shared" ca="1" si="3"/>
        <v>0</v>
      </c>
      <c r="AB64" s="484">
        <f ca="1">IF('CDO Bespoke'!O65&lt;&gt;"",'CDO Bespoke'!O65,"")</f>
        <v>0.74591929045710004</v>
      </c>
      <c r="AC64" s="485">
        <f ca="1">IF(AB64&lt;&gt;"",ABS(MIN(-0.6*'CDO Bespoke'!K65+'CDO Bespoke'!T65*'CDO Bespoke'!K65,0)),"")</f>
        <v>0.15272138396933041</v>
      </c>
      <c r="AD64" s="485">
        <f t="shared" ca="1" si="5"/>
        <v>0.5931979064877696</v>
      </c>
      <c r="AE64" s="489">
        <f t="shared" ca="1" si="4"/>
        <v>0</v>
      </c>
      <c r="AF64" s="272"/>
      <c r="AG64" s="494" t="str">
        <f ca="1">IF('CDO Bespoke'!C89&lt;&gt;"",'CDO Bespoke'!C89,"")</f>
        <v>Koninklijke Philips N.V.</v>
      </c>
      <c r="AH64" s="496">
        <f ca="1"/>
        <v>7.934734298498114E-3</v>
      </c>
      <c r="AI64" s="585">
        <f ca="1"/>
        <v>2.6296427000360723E-2</v>
      </c>
      <c r="AJ64" s="585">
        <f ca="1"/>
        <v>7.1425753900289379E-2</v>
      </c>
      <c r="AK64" s="585">
        <f ca="1"/>
        <v>1.2376320817986119</v>
      </c>
      <c r="AL64" s="497">
        <f ca="1"/>
        <v>0</v>
      </c>
      <c r="AM64" s="620">
        <f ca="1"/>
        <v>0</v>
      </c>
      <c r="AN64" s="496">
        <f ca="1"/>
        <v>6.0438556139831567E-4</v>
      </c>
      <c r="AO64" s="585">
        <f ca="1"/>
        <v>2.9649736341987032E-3</v>
      </c>
      <c r="AP64" s="585">
        <f ca="1"/>
        <v>1.277164952660087E-2</v>
      </c>
      <c r="AQ64" s="585">
        <f ca="1"/>
        <v>1.3307946871381031</v>
      </c>
      <c r="AR64" s="497">
        <f ca="1"/>
        <v>0</v>
      </c>
      <c r="AS64" s="620">
        <f ca="1"/>
        <v>0</v>
      </c>
      <c r="AT64" s="496">
        <f ca="1"/>
        <v>-1.5458698793831882E-2</v>
      </c>
      <c r="AU64" s="497">
        <f ca="1"/>
        <v>-6.1906709622888023E-2</v>
      </c>
      <c r="AV64" s="620">
        <f ca="1"/>
        <v>0</v>
      </c>
      <c r="AW64" s="496">
        <f ca="1"/>
        <v>-9.2979448161681161E-2</v>
      </c>
      <c r="AX64" s="497">
        <f ca="1"/>
        <v>-1.5945064797870525E-2</v>
      </c>
      <c r="AY64" s="620">
        <f ca="1"/>
        <v>0</v>
      </c>
    </row>
    <row r="65" spans="2:51">
      <c r="B65" s="517" t="s">
        <v>517</v>
      </c>
      <c r="C65" s="518" t="s">
        <v>66</v>
      </c>
      <c r="D65" s="518" t="s">
        <v>57</v>
      </c>
      <c r="E65" s="518" t="s">
        <v>648</v>
      </c>
      <c r="F65" s="518" t="s">
        <v>647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0.7411737071865</v>
      </c>
      <c r="Y65" s="485">
        <f ca="1">IF(X65&lt;&gt;"",ABS(MIN(-0.75*('CDO Bespoke'!Q66)+'CDO Bespoke'!T66,0)),"")</f>
        <v>0.74066247571575106</v>
      </c>
      <c r="Z65" s="485">
        <f t="shared" ca="1" si="2"/>
        <v>5.1123147074894071E-4</v>
      </c>
      <c r="AA65" s="485">
        <f t="shared" ca="1" si="3"/>
        <v>0</v>
      </c>
      <c r="AB65" s="484">
        <f ca="1">IF('CDO Bespoke'!O66&lt;&gt;"",'CDO Bespoke'!O66,"")</f>
        <v>0.7411737071865</v>
      </c>
      <c r="AC65" s="485">
        <f ca="1">IF(AB65&lt;&gt;"",ABS(MIN(-0.6*'CDO Bespoke'!K66+'CDO Bespoke'!T66*'CDO Bespoke'!K66,0)),"")</f>
        <v>0.19861466872942549</v>
      </c>
      <c r="AD65" s="485">
        <f t="shared" ca="1" si="5"/>
        <v>0.54255903845707454</v>
      </c>
      <c r="AE65" s="489">
        <f t="shared" ca="1" si="4"/>
        <v>0</v>
      </c>
      <c r="AF65" s="272"/>
      <c r="AG65" s="494" t="str">
        <f ca="1">IF('CDO Bespoke'!C90&lt;&gt;"",'CDO Bespoke'!C90,"")</f>
        <v>Louis Dreyfus Company B.V.</v>
      </c>
      <c r="AH65" s="496">
        <f ca="1"/>
        <v>6.3561049001847891E-3</v>
      </c>
      <c r="AI65" s="585">
        <f ca="1"/>
        <v>2.0313289299522808E-2</v>
      </c>
      <c r="AJ65" s="585">
        <f ca="1"/>
        <v>4.826179069938874E-2</v>
      </c>
      <c r="AK65" s="585">
        <f ca="1"/>
        <v>1.5255518053991501</v>
      </c>
      <c r="AL65" s="497">
        <f ca="1"/>
        <v>0</v>
      </c>
      <c r="AM65" s="620">
        <f ca="1"/>
        <v>0</v>
      </c>
      <c r="AN65" s="496">
        <f ca="1"/>
        <v>-2.1579787399736428E-4</v>
      </c>
      <c r="AO65" s="585">
        <f ca="1"/>
        <v>-8.9813730500074712E-4</v>
      </c>
      <c r="AP65" s="585">
        <f ca="1"/>
        <v>-5.720960359000514E-3</v>
      </c>
      <c r="AQ65" s="585">
        <f ca="1"/>
        <v>1.6130319977650025</v>
      </c>
      <c r="AR65" s="497">
        <f ca="1"/>
        <v>0</v>
      </c>
      <c r="AS65" s="620">
        <f ca="1"/>
        <v>0</v>
      </c>
      <c r="AT65" s="496">
        <f ca="1"/>
        <v>-5.2231967255376155E-3</v>
      </c>
      <c r="AU65" s="497">
        <f ca="1"/>
        <v>-6.4709493317642197E-2</v>
      </c>
      <c r="AV65" s="620">
        <f ca="1"/>
        <v>0</v>
      </c>
      <c r="AW65" s="496">
        <f ca="1"/>
        <v>-7.8776590262718077E-2</v>
      </c>
      <c r="AX65" s="497">
        <f ca="1"/>
        <v>9.6430344980273849E-3</v>
      </c>
      <c r="AY65" s="620">
        <f ca="1"/>
        <v>0</v>
      </c>
    </row>
    <row r="66" spans="2:51">
      <c r="B66" s="534" t="s">
        <v>517</v>
      </c>
      <c r="C66" s="535" t="s">
        <v>66</v>
      </c>
      <c r="D66" s="535" t="s">
        <v>59</v>
      </c>
      <c r="E66" s="535" t="s">
        <v>648</v>
      </c>
      <c r="F66" s="535" t="s">
        <v>647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0.74689870153028004</v>
      </c>
      <c r="Y66" s="485">
        <f ca="1">IF(X66&lt;&gt;"",ABS(MIN(-0.75*('CDO Bespoke'!Q67)+'CDO Bespoke'!T67,0)),"")</f>
        <v>0.74984159746881107</v>
      </c>
      <c r="Z66" s="485">
        <f t="shared" ca="1" si="2"/>
        <v>0</v>
      </c>
      <c r="AA66" s="485">
        <f t="shared" ca="1" si="3"/>
        <v>0</v>
      </c>
      <c r="AB66" s="484">
        <f ca="1">IF('CDO Bespoke'!O67&lt;&gt;"",'CDO Bespoke'!O67,"")</f>
        <v>0.74689870153028004</v>
      </c>
      <c r="AC66" s="485">
        <f ca="1">IF(AB66&lt;&gt;"",ABS(MIN(-0.6*'CDO Bespoke'!K67+'CDO Bespoke'!T67*'CDO Bespoke'!K67,0)),"")</f>
        <v>0.13065996402070648</v>
      </c>
      <c r="AD66" s="485">
        <f t="shared" ca="1" si="5"/>
        <v>0.61623873750957359</v>
      </c>
      <c r="AE66" s="489">
        <f t="shared" ca="1" si="4"/>
        <v>0</v>
      </c>
      <c r="AF66" s="272"/>
      <c r="AG66" s="494" t="str">
        <f ca="1">IF('CDO Bespoke'!C91&lt;&gt;"",'CDO Bespoke'!C91,"")</f>
        <v>LVMH MOET HENNESSY LOUIS VUITTON</v>
      </c>
      <c r="AH66" s="496">
        <f ca="1"/>
        <v>8.3222233993041073E-3</v>
      </c>
      <c r="AI66" s="585">
        <f ca="1"/>
        <v>2.7344809598872644E-2</v>
      </c>
      <c r="AJ66" s="585">
        <f ca="1"/>
        <v>7.4684398299051935E-2</v>
      </c>
      <c r="AK66" s="585">
        <f ca="1"/>
        <v>1.1034109132990189</v>
      </c>
      <c r="AL66" s="497">
        <f ca="1"/>
        <v>0</v>
      </c>
      <c r="AM66" s="620">
        <f ca="1"/>
        <v>0</v>
      </c>
      <c r="AN66" s="496">
        <f ca="1"/>
        <v>7.3794680689916181E-4</v>
      </c>
      <c r="AO66" s="585">
        <f ca="1"/>
        <v>3.577823705002911E-3</v>
      </c>
      <c r="AP66" s="585">
        <f ca="1"/>
        <v>1.5913335315803981E-2</v>
      </c>
      <c r="AQ66" s="585">
        <f ca="1"/>
        <v>1.1927966438212041</v>
      </c>
      <c r="AR66" s="497">
        <f ca="1"/>
        <v>0</v>
      </c>
      <c r="AS66" s="620">
        <f ca="1"/>
        <v>0</v>
      </c>
      <c r="AT66" s="496">
        <f ca="1"/>
        <v>-2.0919871070867568E-2</v>
      </c>
      <c r="AU66" s="497">
        <f ca="1"/>
        <v>-5.7812640343472221E-2</v>
      </c>
      <c r="AV66" s="620">
        <f ca="1"/>
        <v>0</v>
      </c>
      <c r="AW66" s="496">
        <f ca="1"/>
        <v>-9.8940998775402897E-2</v>
      </c>
      <c r="AX66" s="497">
        <f ca="1"/>
        <v>-2.1387263498466799E-2</v>
      </c>
      <c r="AY66" s="620">
        <f ca="1"/>
        <v>0</v>
      </c>
    </row>
    <row r="67" spans="2:51">
      <c r="B67" s="539" t="s">
        <v>518</v>
      </c>
      <c r="C67" s="540" t="s">
        <v>66</v>
      </c>
      <c r="D67" s="540" t="s">
        <v>55</v>
      </c>
      <c r="E67" s="540" t="s">
        <v>648</v>
      </c>
      <c r="F67" s="540" t="s">
        <v>671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0.74702482454001995</v>
      </c>
      <c r="Y67" s="485">
        <f ca="1">IF(X67&lt;&gt;"",ABS(MIN(-0.75*('CDO Bespoke'!Q68)+'CDO Bespoke'!T68,0)),"")</f>
        <v>0.75017794145389227</v>
      </c>
      <c r="Z67" s="485">
        <f t="shared" ca="1" si="2"/>
        <v>0</v>
      </c>
      <c r="AA67" s="485">
        <f t="shared" ca="1" si="3"/>
        <v>0</v>
      </c>
      <c r="AB67" s="484">
        <f ca="1">IF('CDO Bespoke'!O68&lt;&gt;"",'CDO Bespoke'!O68,"")</f>
        <v>0.74702482454001995</v>
      </c>
      <c r="AC67" s="485">
        <f ca="1">IF(AB67&lt;&gt;"",ABS(MIN(-0.6*'CDO Bespoke'!K68+'CDO Bespoke'!T68*'CDO Bespoke'!K68,0)),"")</f>
        <v>0.12598764565411627</v>
      </c>
      <c r="AD67" s="485">
        <f t="shared" ca="1" si="5"/>
        <v>0.62103717888590371</v>
      </c>
      <c r="AE67" s="489">
        <f t="shared" ca="1" si="4"/>
        <v>0</v>
      </c>
      <c r="AF67" s="272"/>
      <c r="AG67" s="494" t="str">
        <f ca="1">IF('CDO Bespoke'!C92&lt;&gt;"",'CDO Bespoke'!C92,"")</f>
        <v>Nestle S.A.</v>
      </c>
      <c r="AH67" s="496">
        <f ca="1"/>
        <v>8.4495167995690679E-3</v>
      </c>
      <c r="AI67" s="585">
        <f ca="1"/>
        <v>2.7949090299905777E-2</v>
      </c>
      <c r="AJ67" s="585">
        <f ca="1"/>
        <v>7.6969692099915221E-2</v>
      </c>
      <c r="AK67" s="585">
        <f ca="1"/>
        <v>1.0703637928988208</v>
      </c>
      <c r="AL67" s="497">
        <f ca="1"/>
        <v>0</v>
      </c>
      <c r="AM67" s="620">
        <f ca="1"/>
        <v>0</v>
      </c>
      <c r="AN67" s="496">
        <f ca="1"/>
        <v>7.5158736879965549E-4</v>
      </c>
      <c r="AO67" s="585">
        <f ca="1"/>
        <v>3.6407563522994346E-3</v>
      </c>
      <c r="AP67" s="585">
        <f ca="1"/>
        <v>1.6287070057300485E-2</v>
      </c>
      <c r="AQ67" s="585">
        <f ca="1"/>
        <v>1.1615524979416945</v>
      </c>
      <c r="AR67" s="497">
        <f ca="1"/>
        <v>0</v>
      </c>
      <c r="AS67" s="620">
        <f ca="1"/>
        <v>0</v>
      </c>
      <c r="AT67" s="496">
        <f ca="1"/>
        <v>-2.2112590509959507E-2</v>
      </c>
      <c r="AU67" s="497">
        <f ca="1"/>
        <v>-5.6658898705590488E-2</v>
      </c>
      <c r="AV67" s="620">
        <f ca="1"/>
        <v>0</v>
      </c>
      <c r="AW67" s="496">
        <f ca="1"/>
        <v>-0.10008042574159987</v>
      </c>
      <c r="AX67" s="497">
        <f ca="1"/>
        <v>-2.2136730421298823E-2</v>
      </c>
      <c r="AY67" s="620">
        <f ca="1"/>
        <v>0</v>
      </c>
    </row>
    <row r="68" spans="2:51">
      <c r="B68" s="517" t="s">
        <v>518</v>
      </c>
      <c r="C68" s="518" t="s">
        <v>66</v>
      </c>
      <c r="D68" s="518" t="s">
        <v>57</v>
      </c>
      <c r="E68" s="518" t="s">
        <v>648</v>
      </c>
      <c r="F68" s="518" t="s">
        <v>671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0.74602817501935004</v>
      </c>
      <c r="Y68" s="485">
        <f ca="1">IF(X68&lt;&gt;"",ABS(MIN(-0.75*('CDO Bespoke'!Q69)+'CDO Bespoke'!T69,0)),"")</f>
        <v>0.7479511309948208</v>
      </c>
      <c r="Z68" s="485">
        <f t="shared" ca="1" si="2"/>
        <v>0</v>
      </c>
      <c r="AA68" s="485">
        <f t="shared" ca="1" si="3"/>
        <v>0</v>
      </c>
      <c r="AB68" s="484">
        <f ca="1">IF('CDO Bespoke'!O69&lt;&gt;"",'CDO Bespoke'!O69,"")</f>
        <v>0.74602817501935004</v>
      </c>
      <c r="AC68" s="485">
        <f ca="1">IF(AB68&lt;&gt;"",ABS(MIN(-0.6*'CDO Bespoke'!K69+'CDO Bespoke'!T69*'CDO Bespoke'!K69,0)),"")</f>
        <v>0.1514246416100152</v>
      </c>
      <c r="AD68" s="485">
        <f t="shared" ca="1" si="5"/>
        <v>0.59460353340933481</v>
      </c>
      <c r="AE68" s="489">
        <f t="shared" ca="1" si="4"/>
        <v>0</v>
      </c>
      <c r="AF68" s="272"/>
      <c r="AG68" s="494" t="str">
        <f ca="1">IF('CDO Bespoke'!C93&lt;&gt;"",'CDO Bespoke'!C93,"")</f>
        <v>NEXT PLC</v>
      </c>
      <c r="AH68" s="496">
        <f ca="1"/>
        <v>7.8883888998682039E-3</v>
      </c>
      <c r="AI68" s="585">
        <f ca="1"/>
        <v>2.579273020053563E-2</v>
      </c>
      <c r="AJ68" s="585">
        <f ca="1"/>
        <v>6.9138240499366788E-2</v>
      </c>
      <c r="AK68" s="585">
        <f ca="1"/>
        <v>1.2362065532989241</v>
      </c>
      <c r="AL68" s="497">
        <f ca="1"/>
        <v>0</v>
      </c>
      <c r="AM68" s="620">
        <f ca="1"/>
        <v>0</v>
      </c>
      <c r="AN68" s="496">
        <f ca="1"/>
        <v>6.1532866029931355E-4</v>
      </c>
      <c r="AO68" s="585">
        <f ca="1"/>
        <v>3.0120882833946372E-3</v>
      </c>
      <c r="AP68" s="585">
        <f ca="1"/>
        <v>1.2946871578095945E-2</v>
      </c>
      <c r="AQ68" s="585">
        <f ca="1"/>
        <v>1.3244698762000013</v>
      </c>
      <c r="AR68" s="497">
        <f ca="1"/>
        <v>0</v>
      </c>
      <c r="AS68" s="620">
        <f ca="1"/>
        <v>0</v>
      </c>
      <c r="AT68" s="496">
        <f ca="1"/>
        <v>-1.5810752845785148E-2</v>
      </c>
      <c r="AU68" s="497">
        <f ca="1"/>
        <v>-6.1913731202794642E-2</v>
      </c>
      <c r="AV68" s="620">
        <f ca="1"/>
        <v>0</v>
      </c>
      <c r="AW68" s="496">
        <f ca="1"/>
        <v>-9.3509051478254945E-2</v>
      </c>
      <c r="AX68" s="497">
        <f ca="1"/>
        <v>-1.6316692190920731E-2</v>
      </c>
      <c r="AY68" s="620">
        <f ca="1"/>
        <v>0</v>
      </c>
    </row>
    <row r="69" spans="2:51">
      <c r="B69" s="534" t="s">
        <v>518</v>
      </c>
      <c r="C69" s="535" t="s">
        <v>66</v>
      </c>
      <c r="D69" s="535" t="s">
        <v>59</v>
      </c>
      <c r="E69" s="535" t="s">
        <v>648</v>
      </c>
      <c r="F69" s="535" t="s">
        <v>671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0.74658264460568002</v>
      </c>
      <c r="Y69" s="485">
        <f ca="1">IF(X69&lt;&gt;"",ABS(MIN(-0.75*('CDO Bespoke'!Q70)+'CDO Bespoke'!T70,0)),"")</f>
        <v>0.74913360427451692</v>
      </c>
      <c r="Z69" s="485">
        <f t="shared" ca="1" si="2"/>
        <v>0</v>
      </c>
      <c r="AA69" s="485">
        <f t="shared" ca="1" si="3"/>
        <v>0</v>
      </c>
      <c r="AB69" s="484">
        <f ca="1">IF('CDO Bespoke'!O70&lt;&gt;"",'CDO Bespoke'!O70,"")</f>
        <v>0.74658264460568002</v>
      </c>
      <c r="AC69" s="485">
        <f ca="1">IF(AB69&lt;&gt;"",ABS(MIN(-0.6*'CDO Bespoke'!K70+'CDO Bespoke'!T70*'CDO Bespoke'!K70,0)),"")</f>
        <v>0.13916723912010312</v>
      </c>
      <c r="AD69" s="485">
        <f t="shared" ca="1" si="5"/>
        <v>0.60741540548557693</v>
      </c>
      <c r="AE69" s="489">
        <f t="shared" ca="1" si="4"/>
        <v>0</v>
      </c>
      <c r="AF69" s="272"/>
      <c r="AG69" s="494" t="str">
        <f ca="1">IF('CDO Bespoke'!C94&lt;&gt;"",'CDO Bespoke'!C94,"")</f>
        <v>PERNOD RICARD</v>
      </c>
      <c r="AH69" s="496">
        <f ca="1"/>
        <v>8.1971092003030321E-3</v>
      </c>
      <c r="AI69" s="585">
        <f ca="1"/>
        <v>2.7064187400061002E-2</v>
      </c>
      <c r="AJ69" s="585">
        <f ca="1"/>
        <v>7.3954411399235198E-2</v>
      </c>
      <c r="AK69" s="585">
        <f ca="1"/>
        <v>1.1550994274989179</v>
      </c>
      <c r="AL69" s="497">
        <f ca="1"/>
        <v>0</v>
      </c>
      <c r="AM69" s="620">
        <f ca="1"/>
        <v>0</v>
      </c>
      <c r="AN69" s="496">
        <f ca="1"/>
        <v>6.9986604629701521E-4</v>
      </c>
      <c r="AO69" s="585">
        <f ca="1"/>
        <v>3.4050880589990562E-3</v>
      </c>
      <c r="AP69" s="585">
        <f ca="1"/>
        <v>1.5015887019900406E-2</v>
      </c>
      <c r="AQ69" s="585">
        <f ca="1"/>
        <v>1.2455419711391962</v>
      </c>
      <c r="AR69" s="497">
        <f ca="1"/>
        <v>0</v>
      </c>
      <c r="AS69" s="620">
        <f ca="1"/>
        <v>0</v>
      </c>
      <c r="AT69" s="496">
        <f ca="1"/>
        <v>-1.8762854039164001E-2</v>
      </c>
      <c r="AU69" s="497">
        <f ca="1"/>
        <v>-5.9548015964015821E-2</v>
      </c>
      <c r="AV69" s="620">
        <f ca="1"/>
        <v>0</v>
      </c>
      <c r="AW69" s="496">
        <f ca="1"/>
        <v>-9.6715218522392038E-2</v>
      </c>
      <c r="AX69" s="497">
        <f ca="1"/>
        <v>-1.9666126526233875E-2</v>
      </c>
      <c r="AY69" s="620">
        <f ca="1"/>
        <v>0</v>
      </c>
    </row>
    <row r="70" spans="2:51">
      <c r="B70" s="539" t="s">
        <v>533</v>
      </c>
      <c r="C70" s="540" t="s">
        <v>66</v>
      </c>
      <c r="D70" s="540" t="s">
        <v>55</v>
      </c>
      <c r="E70" s="540" t="s">
        <v>648</v>
      </c>
      <c r="F70" s="540" t="s">
        <v>673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0.74707930795190003</v>
      </c>
      <c r="Y70" s="485">
        <f ca="1">IF(X70&lt;&gt;"",ABS(MIN(-0.75*('CDO Bespoke'!Q71)+'CDO Bespoke'!T71,0)),"")</f>
        <v>0.7502828377844849</v>
      </c>
      <c r="Z70" s="485">
        <f t="shared" ca="1" si="2"/>
        <v>0</v>
      </c>
      <c r="AA70" s="485">
        <f t="shared" ca="1" si="3"/>
        <v>0</v>
      </c>
      <c r="AB70" s="484">
        <f ca="1">IF('CDO Bespoke'!O71&lt;&gt;"",'CDO Bespoke'!O71,"")</f>
        <v>0.74707930795190003</v>
      </c>
      <c r="AC70" s="485">
        <f ca="1">IF(AB70&lt;&gt;"",ABS(MIN(-0.6*'CDO Bespoke'!K71+'CDO Bespoke'!T71*'CDO Bespoke'!K71,0)),"")</f>
        <v>0.12462517381280491</v>
      </c>
      <c r="AD70" s="485">
        <f t="shared" ca="1" si="5"/>
        <v>0.62245413413909512</v>
      </c>
      <c r="AE70" s="489">
        <f t="shared" ca="1" si="4"/>
        <v>0</v>
      </c>
      <c r="AF70" s="272"/>
      <c r="AG70" s="494" t="str">
        <f ca="1">IF('CDO Bespoke'!C95&lt;&gt;"",'CDO Bespoke'!C95,"")</f>
        <v>SODEXO</v>
      </c>
      <c r="AH70" s="496">
        <f ca="1"/>
        <v>8.4141940992488173E-3</v>
      </c>
      <c r="AI70" s="585">
        <f ca="1"/>
        <v>2.7602495300538266E-2</v>
      </c>
      <c r="AJ70" s="585">
        <f ca="1"/>
        <v>7.5440989599773189E-2</v>
      </c>
      <c r="AK70" s="585">
        <f ca="1"/>
        <v>1.0654252646991047</v>
      </c>
      <c r="AL70" s="497">
        <f ca="1"/>
        <v>0</v>
      </c>
      <c r="AM70" s="620">
        <f ca="1"/>
        <v>0</v>
      </c>
      <c r="AN70" s="496">
        <f ca="1"/>
        <v>7.5567613709928705E-4</v>
      </c>
      <c r="AO70" s="585">
        <f ca="1"/>
        <v>3.6572544149897357E-3</v>
      </c>
      <c r="AP70" s="585">
        <f ca="1"/>
        <v>1.6349117933495139E-2</v>
      </c>
      <c r="AQ70" s="585">
        <f ca="1"/>
        <v>1.1545179373280943</v>
      </c>
      <c r="AR70" s="497">
        <f ca="1"/>
        <v>0</v>
      </c>
      <c r="AS70" s="620">
        <f ca="1"/>
        <v>0</v>
      </c>
      <c r="AT70" s="496">
        <f ca="1"/>
        <v>-2.2485688327566811E-2</v>
      </c>
      <c r="AU70" s="497">
        <f ca="1"/>
        <v>-5.6441397598833154E-2</v>
      </c>
      <c r="AV70" s="620">
        <f ca="1"/>
        <v>0</v>
      </c>
      <c r="AW70" s="496">
        <f ca="1"/>
        <v>-0.10047168558988917</v>
      </c>
      <c r="AX70" s="497">
        <f ca="1"/>
        <v>-2.2333927846569152E-2</v>
      </c>
      <c r="AY70" s="620">
        <f ca="1"/>
        <v>0</v>
      </c>
    </row>
    <row r="71" spans="2:51">
      <c r="B71" s="517" t="s">
        <v>533</v>
      </c>
      <c r="C71" s="518" t="s">
        <v>66</v>
      </c>
      <c r="D71" s="518" t="s">
        <v>57</v>
      </c>
      <c r="E71" s="518" t="s">
        <v>648</v>
      </c>
      <c r="F71" s="518" t="s">
        <v>673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0.74470329847234995</v>
      </c>
      <c r="Y71" s="485">
        <f ca="1">IF(X71&lt;&gt;"",ABS(MIN(-0.75*('CDO Bespoke'!Q72)+'CDO Bespoke'!T72,0)),"")</f>
        <v>0.74561662008113938</v>
      </c>
      <c r="Z71" s="485">
        <f t="shared" ca="1" si="2"/>
        <v>0</v>
      </c>
      <c r="AA71" s="485">
        <f t="shared" ca="1" si="3"/>
        <v>0</v>
      </c>
      <c r="AB71" s="484">
        <f ca="1">IF('CDO Bespoke'!O72&lt;&gt;"",'CDO Bespoke'!O72,"")</f>
        <v>0.74470329847234995</v>
      </c>
      <c r="AC71" s="485">
        <f ca="1">IF(AB71&lt;&gt;"",ABS(MIN(-0.6*'CDO Bespoke'!K72+'CDO Bespoke'!T72*'CDO Bespoke'!K72,0)),"")</f>
        <v>0.1703856130284952</v>
      </c>
      <c r="AD71" s="485">
        <f t="shared" ca="1" si="5"/>
        <v>0.57431768544385475</v>
      </c>
      <c r="AE71" s="489">
        <f t="shared" ca="1" si="4"/>
        <v>0</v>
      </c>
      <c r="AF71" s="272"/>
      <c r="AG71" s="494" t="str">
        <f ca="1">IF('CDO Bespoke'!C96&lt;&gt;"",'CDO Bespoke'!C96,"")</f>
        <v>Suedzucker AG</v>
      </c>
      <c r="AH71" s="496">
        <f ca="1"/>
        <v>7.4579640996219609E-3</v>
      </c>
      <c r="AI71" s="585">
        <f ca="1"/>
        <v>2.4532462798987353E-2</v>
      </c>
      <c r="AJ71" s="585">
        <f ca="1"/>
        <v>6.4633937300051514E-2</v>
      </c>
      <c r="AK71" s="585">
        <f ca="1"/>
        <v>1.3476011104995855</v>
      </c>
      <c r="AL71" s="497">
        <f ca="1"/>
        <v>0</v>
      </c>
      <c r="AM71" s="620">
        <f ca="1"/>
        <v>0</v>
      </c>
      <c r="AN71" s="496">
        <f ca="1"/>
        <v>4.0019353479952419E-4</v>
      </c>
      <c r="AO71" s="585">
        <f ca="1"/>
        <v>2.0106241374997016E-3</v>
      </c>
      <c r="AP71" s="585">
        <f ca="1"/>
        <v>7.9282945633987745E-3</v>
      </c>
      <c r="AQ71" s="585">
        <f ca="1"/>
        <v>1.439600713193101</v>
      </c>
      <c r="AR71" s="497">
        <f ca="1"/>
        <v>0</v>
      </c>
      <c r="AS71" s="620">
        <f ca="1"/>
        <v>0</v>
      </c>
      <c r="AT71" s="496">
        <f ca="1"/>
        <v>-1.1431626428527686E-2</v>
      </c>
      <c r="AU71" s="497">
        <f ca="1"/>
        <v>-6.4188327878232254E-2</v>
      </c>
      <c r="AV71" s="620">
        <f ca="1"/>
        <v>0</v>
      </c>
      <c r="AW71" s="496">
        <f ca="1"/>
        <v>-8.800456112364434E-2</v>
      </c>
      <c r="AX71" s="497">
        <f ca="1"/>
        <v>-8.9351354605185715E-3</v>
      </c>
      <c r="AY71" s="620">
        <f ca="1"/>
        <v>0</v>
      </c>
    </row>
    <row r="72" spans="2:51">
      <c r="B72" s="534" t="s">
        <v>533</v>
      </c>
      <c r="C72" s="535" t="s">
        <v>66</v>
      </c>
      <c r="D72" s="535" t="s">
        <v>59</v>
      </c>
      <c r="E72" s="535" t="s">
        <v>648</v>
      </c>
      <c r="F72" s="535" t="s">
        <v>673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0.74577722347744002</v>
      </c>
      <c r="Y72" s="485">
        <f ca="1">IF(X72&lt;&gt;"",ABS(MIN(-0.75*('CDO Bespoke'!Q73)+'CDO Bespoke'!T73,0)),"")</f>
        <v>0.74750266799718168</v>
      </c>
      <c r="Z72" s="485">
        <f t="shared" ca="1" si="2"/>
        <v>0</v>
      </c>
      <c r="AA72" s="485">
        <f t="shared" ca="1" si="3"/>
        <v>0</v>
      </c>
      <c r="AB72" s="484">
        <f ca="1">IF('CDO Bespoke'!O73&lt;&gt;"",'CDO Bespoke'!O73,"")</f>
        <v>0.74577722347744002</v>
      </c>
      <c r="AC72" s="485">
        <f ca="1">IF(AB72&lt;&gt;"",ABS(MIN(-0.6*'CDO Bespoke'!K73+'CDO Bespoke'!T73*'CDO Bespoke'!K73,0)),"")</f>
        <v>0.15533311909249975</v>
      </c>
      <c r="AD72" s="485">
        <f t="shared" ca="1" si="5"/>
        <v>0.59044410438494022</v>
      </c>
      <c r="AE72" s="489">
        <f t="shared" ca="1" si="4"/>
        <v>0</v>
      </c>
      <c r="AF72" s="272"/>
      <c r="AG72" s="494" t="str">
        <f ca="1">IF('CDO Bespoke'!C97&lt;&gt;"",'CDO Bespoke'!C97,"")</f>
        <v>TESCO PLC</v>
      </c>
      <c r="AH72" s="496">
        <f ca="1"/>
        <v>7.8576556994391922E-3</v>
      </c>
      <c r="AI72" s="585">
        <f ca="1"/>
        <v>2.5954836899710898E-2</v>
      </c>
      <c r="AJ72" s="585">
        <f ca="1"/>
        <v>7.0058596099986659E-2</v>
      </c>
      <c r="AK72" s="585">
        <f ca="1"/>
        <v>1.2553980511986751</v>
      </c>
      <c r="AL72" s="497">
        <f ca="1"/>
        <v>0</v>
      </c>
      <c r="AM72" s="620">
        <f ca="1"/>
        <v>0</v>
      </c>
      <c r="AN72" s="496">
        <f ca="1"/>
        <v>5.803345159982598E-4</v>
      </c>
      <c r="AO72" s="585">
        <f ca="1"/>
        <v>2.8523965000994828E-3</v>
      </c>
      <c r="AP72" s="585">
        <f ca="1"/>
        <v>1.2182110850694414E-2</v>
      </c>
      <c r="AQ72" s="585">
        <f ca="1"/>
        <v>1.3478390563894</v>
      </c>
      <c r="AR72" s="497">
        <f ca="1"/>
        <v>0</v>
      </c>
      <c r="AS72" s="620">
        <f ca="1"/>
        <v>0</v>
      </c>
      <c r="AT72" s="496">
        <f ca="1"/>
        <v>-1.4852241529849319E-2</v>
      </c>
      <c r="AU72" s="497">
        <f ca="1"/>
        <v>-6.236387835804047E-2</v>
      </c>
      <c r="AV72" s="620">
        <f ca="1"/>
        <v>0</v>
      </c>
      <c r="AW72" s="496">
        <f ca="1"/>
        <v>-9.228656927933393E-2</v>
      </c>
      <c r="AX72" s="497">
        <f ca="1"/>
        <v>-1.506957484981776E-2</v>
      </c>
      <c r="AY72" s="620">
        <f ca="1"/>
        <v>0</v>
      </c>
    </row>
    <row r="73" spans="2:51">
      <c r="B73" s="539" t="s">
        <v>519</v>
      </c>
      <c r="C73" s="540" t="s">
        <v>66</v>
      </c>
      <c r="D73" s="540" t="s">
        <v>55</v>
      </c>
      <c r="E73" s="540" t="s">
        <v>646</v>
      </c>
      <c r="F73" s="540" t="s">
        <v>672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0.74707052499557003</v>
      </c>
      <c r="Y73" s="485">
        <f ca="1">IF(X73&lt;&gt;"",ABS(MIN(-0.75*('CDO Bespoke'!Q74)+'CDO Bespoke'!T74,0)),"")</f>
        <v>0.75028597315266454</v>
      </c>
      <c r="Z73" s="485">
        <f t="shared" ca="1" si="2"/>
        <v>0</v>
      </c>
      <c r="AA73" s="485">
        <f t="shared" ca="1" si="3"/>
        <v>0</v>
      </c>
      <c r="AB73" s="484">
        <f ca="1">IF('CDO Bespoke'!O74&lt;&gt;"",'CDO Bespoke'!O74,"")</f>
        <v>0.74707052499557003</v>
      </c>
      <c r="AC73" s="485">
        <f ca="1">IF(AB73&lt;&gt;"",ABS(MIN(-0.6*'CDO Bespoke'!K74+'CDO Bespoke'!T74*'CDO Bespoke'!K74,0)),"")</f>
        <v>0.12448027357036587</v>
      </c>
      <c r="AD73" s="485">
        <f t="shared" ca="1" si="5"/>
        <v>0.62259025142520419</v>
      </c>
      <c r="AE73" s="489">
        <f t="shared" ca="1" si="4"/>
        <v>0</v>
      </c>
      <c r="AF73" s="272"/>
      <c r="AG73" s="494" t="str">
        <f ca="1">IF('CDO Bespoke'!C98&lt;&gt;"",'CDO Bespoke'!C98,"")</f>
        <v>UNILEVER PLC</v>
      </c>
      <c r="AH73" s="496">
        <f ca="1"/>
        <v>8.4631865004958229E-3</v>
      </c>
      <c r="AI73" s="585">
        <f ca="1"/>
        <v>2.7945136600315834E-2</v>
      </c>
      <c r="AJ73" s="585">
        <f ca="1"/>
        <v>7.6860399600420237E-2</v>
      </c>
      <c r="AK73" s="585">
        <f ca="1"/>
        <v>1.061496222798386</v>
      </c>
      <c r="AL73" s="497">
        <f ca="1"/>
        <v>0</v>
      </c>
      <c r="AM73" s="620">
        <f ca="1"/>
        <v>0</v>
      </c>
      <c r="AN73" s="496">
        <f ca="1"/>
        <v>7.5546034910417559E-4</v>
      </c>
      <c r="AO73" s="585">
        <f ca="1"/>
        <v>3.6576199186066916E-3</v>
      </c>
      <c r="AP73" s="585">
        <f ca="1"/>
        <v>1.6375476433912184E-2</v>
      </c>
      <c r="AQ73" s="585">
        <f ca="1"/>
        <v>1.1522707185834031</v>
      </c>
      <c r="AR73" s="497">
        <f ca="1"/>
        <v>0</v>
      </c>
      <c r="AS73" s="620">
        <f ca="1"/>
        <v>0</v>
      </c>
      <c r="AT73" s="496">
        <f ca="1"/>
        <v>-2.2510914891989087E-2</v>
      </c>
      <c r="AU73" s="497">
        <f ca="1"/>
        <v>-5.632745743893075E-2</v>
      </c>
      <c r="AV73" s="620">
        <f ca="1"/>
        <v>0</v>
      </c>
      <c r="AW73" s="496">
        <f ca="1"/>
        <v>-0.10047070988334451</v>
      </c>
      <c r="AX73" s="497">
        <f ca="1"/>
        <v>-2.2353523969587383E-2</v>
      </c>
      <c r="AY73" s="620">
        <f ca="1"/>
        <v>0</v>
      </c>
    </row>
    <row r="74" spans="2:51">
      <c r="B74" s="517" t="s">
        <v>519</v>
      </c>
      <c r="C74" s="518" t="s">
        <v>66</v>
      </c>
      <c r="D74" s="518" t="s">
        <v>57</v>
      </c>
      <c r="E74" s="518" t="s">
        <v>646</v>
      </c>
      <c r="F74" s="518" t="s">
        <v>672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0.74581895646841001</v>
      </c>
      <c r="Y74" s="485">
        <f ca="1">IF(X74&lt;&gt;"",ABS(MIN(-0.75*('CDO Bespoke'!Q75)+'CDO Bespoke'!T75,0)),"")</f>
        <v>0.74757297406020562</v>
      </c>
      <c r="Z74" s="485">
        <f t="shared" ca="1" si="2"/>
        <v>0</v>
      </c>
      <c r="AA74" s="485">
        <f t="shared" ca="1" si="3"/>
        <v>0</v>
      </c>
      <c r="AB74" s="484">
        <f ca="1">IF('CDO Bespoke'!O75&lt;&gt;"",'CDO Bespoke'!O75,"")</f>
        <v>0.74581895646841001</v>
      </c>
      <c r="AC74" s="485">
        <f ca="1">IF(AB74&lt;&gt;"",ABS(MIN(-0.6*'CDO Bespoke'!K75+'CDO Bespoke'!T75*'CDO Bespoke'!K75,0)),"")</f>
        <v>0.15476256275766176</v>
      </c>
      <c r="AD74" s="485">
        <f t="shared" ca="1" si="5"/>
        <v>0.59105639371074825</v>
      </c>
      <c r="AE74" s="489">
        <f t="shared" ca="1" si="4"/>
        <v>0</v>
      </c>
      <c r="AF74" s="272"/>
      <c r="AG74" s="494" t="str">
        <f ca="1">IF('CDO Bespoke'!C99&lt;&gt;"",'CDO Bespoke'!C99,"")</f>
        <v>BP P.L.C.</v>
      </c>
      <c r="AH74" s="496">
        <f ca="1"/>
        <v>7.8584679985560513E-3</v>
      </c>
      <c r="AI74" s="585">
        <f ca="1"/>
        <v>2.5896106199407853E-2</v>
      </c>
      <c r="AJ74" s="585">
        <f ca="1"/>
        <v>6.9756648399810217E-2</v>
      </c>
      <c r="AK74" s="585">
        <f ca="1"/>
        <v>1.253090809398838</v>
      </c>
      <c r="AL74" s="497">
        <f ca="1"/>
        <v>0</v>
      </c>
      <c r="AM74" s="620">
        <f ca="1"/>
        <v>0</v>
      </c>
      <c r="AN74" s="496">
        <f ca="1"/>
        <v>5.8516772000020978E-4</v>
      </c>
      <c r="AO74" s="585">
        <f ca="1"/>
        <v>2.873919633392466E-3</v>
      </c>
      <c r="AP74" s="585">
        <f ca="1"/>
        <v>1.2281299617295655E-2</v>
      </c>
      <c r="AQ74" s="585">
        <f ca="1"/>
        <v>1.3431578040591987</v>
      </c>
      <c r="AR74" s="497">
        <f ca="1"/>
        <v>0</v>
      </c>
      <c r="AS74" s="620">
        <f ca="1"/>
        <v>0</v>
      </c>
      <c r="AT74" s="496">
        <f ca="1"/>
        <v>-1.499500170910939E-2</v>
      </c>
      <c r="AU74" s="497">
        <f ca="1"/>
        <v>-6.2320558666130621E-2</v>
      </c>
      <c r="AV74" s="620">
        <f ca="1"/>
        <v>0</v>
      </c>
      <c r="AW74" s="496">
        <f ca="1"/>
        <v>-9.2524684390785997E-2</v>
      </c>
      <c r="AX74" s="497">
        <f ca="1"/>
        <v>-1.5216315102448506E-2</v>
      </c>
      <c r="AY74" s="620">
        <f ca="1"/>
        <v>0</v>
      </c>
    </row>
    <row r="75" spans="2:51">
      <c r="B75" s="534" t="s">
        <v>519</v>
      </c>
      <c r="C75" s="535" t="s">
        <v>66</v>
      </c>
      <c r="D75" s="535" t="s">
        <v>59</v>
      </c>
      <c r="E75" s="535" t="s">
        <v>646</v>
      </c>
      <c r="F75" s="535" t="s">
        <v>672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0.74512136916396998</v>
      </c>
      <c r="Y75" s="485">
        <f ca="1">IF(X75&lt;&gt;"",ABS(MIN(-0.75*('CDO Bespoke'!Q76)+'CDO Bespoke'!T76,0)),"")</f>
        <v>0.74631497908777689</v>
      </c>
      <c r="Z75" s="485">
        <f t="shared" ca="1" si="2"/>
        <v>0</v>
      </c>
      <c r="AA75" s="485">
        <f t="shared" ca="1" si="3"/>
        <v>0</v>
      </c>
      <c r="AB75" s="484">
        <f ca="1">IF('CDO Bespoke'!O76&lt;&gt;"",'CDO Bespoke'!O76,"")</f>
        <v>0.74512136916396998</v>
      </c>
      <c r="AC75" s="485">
        <f ca="1">IF(AB75&lt;&gt;"",ABS(MIN(-0.6*'CDO Bespoke'!K76+'CDO Bespoke'!T76*'CDO Bespoke'!K76,0)),"")</f>
        <v>0.16528968045963471</v>
      </c>
      <c r="AD75" s="485">
        <f t="shared" ca="1" si="5"/>
        <v>0.57983168870433532</v>
      </c>
      <c r="AE75" s="489">
        <f t="shared" ca="1" si="4"/>
        <v>0</v>
      </c>
      <c r="AF75" s="272"/>
      <c r="AG75" s="494" t="str">
        <f ca="1">IF('CDO Bespoke'!C100&lt;&gt;"",'CDO Bespoke'!C100,"")</f>
        <v>Centrica plc</v>
      </c>
      <c r="AH75" s="496">
        <f ca="1"/>
        <v>7.5987671999122597E-3</v>
      </c>
      <c r="AI75" s="585">
        <f ca="1"/>
        <v>2.5006288699724877E-2</v>
      </c>
      <c r="AJ75" s="585">
        <f ca="1"/>
        <v>6.6426124498697448E-2</v>
      </c>
      <c r="AK75" s="585">
        <f ca="1"/>
        <v>1.3167389059987045</v>
      </c>
      <c r="AL75" s="497">
        <f ca="1"/>
        <v>0</v>
      </c>
      <c r="AM75" s="620">
        <f ca="1"/>
        <v>0</v>
      </c>
      <c r="AN75" s="496">
        <f ca="1"/>
        <v>4.7071963949971152E-4</v>
      </c>
      <c r="AO75" s="585">
        <f ca="1"/>
        <v>2.340586429004296E-3</v>
      </c>
      <c r="AP75" s="585">
        <f ca="1"/>
        <v>9.5824034291019239E-3</v>
      </c>
      <c r="AQ75" s="585">
        <f ca="1"/>
        <v>1.4086079309754036</v>
      </c>
      <c r="AR75" s="497">
        <f ca="1"/>
        <v>0</v>
      </c>
      <c r="AS75" s="620">
        <f ca="1"/>
        <v>0</v>
      </c>
      <c r="AT75" s="496">
        <f ca="1"/>
        <v>-1.2595439743908088E-2</v>
      </c>
      <c r="AU75" s="497">
        <f ca="1"/>
        <v>-6.3687559159921969E-2</v>
      </c>
      <c r="AV75" s="620">
        <f ca="1"/>
        <v>0</v>
      </c>
      <c r="AW75" s="496">
        <f ca="1"/>
        <v>-4.8828737369191466E-2</v>
      </c>
      <c r="AX75" s="497">
        <f ca="1"/>
        <v>1.0044957012827462E-2</v>
      </c>
      <c r="AY75" s="620">
        <f ca="1"/>
        <v>0</v>
      </c>
    </row>
    <row r="76" spans="2:51">
      <c r="B76" s="539" t="s">
        <v>534</v>
      </c>
      <c r="C76" s="540" t="s">
        <v>66</v>
      </c>
      <c r="D76" s="540" t="s">
        <v>55</v>
      </c>
      <c r="E76" s="540" t="s">
        <v>648</v>
      </c>
      <c r="F76" s="540" t="s">
        <v>647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0.74643482355850999</v>
      </c>
      <c r="Y76" s="485">
        <f ca="1">IF(X76&lt;&gt;"",ABS(MIN(-0.75*('CDO Bespoke'!Q77)+'CDO Bespoke'!T77,0)),"")</f>
        <v>0.74881273924785308</v>
      </c>
      <c r="Z76" s="485">
        <f t="shared" ca="1" si="2"/>
        <v>0</v>
      </c>
      <c r="AA76" s="485">
        <f t="shared" ca="1" si="3"/>
        <v>0</v>
      </c>
      <c r="AB76" s="484">
        <f ca="1">IF('CDO Bespoke'!O77&lt;&gt;"",'CDO Bespoke'!O77,"")</f>
        <v>0.74643482355850999</v>
      </c>
      <c r="AC76" s="485">
        <f ca="1">IF(AB76&lt;&gt;"",ABS(MIN(-0.6*'CDO Bespoke'!K77+'CDO Bespoke'!T77*'CDO Bespoke'!K77,0)),"")</f>
        <v>0.14269524164116432</v>
      </c>
      <c r="AD76" s="485">
        <f t="shared" ca="1" si="5"/>
        <v>0.60373958191734567</v>
      </c>
      <c r="AE76" s="489">
        <f t="shared" ca="1" si="4"/>
        <v>0</v>
      </c>
      <c r="AF76" s="272"/>
      <c r="AG76" s="494" t="str">
        <f ca="1">IF('CDO Bespoke'!C101&lt;&gt;"",'CDO Bespoke'!C101,"")</f>
        <v>E.ON SE</v>
      </c>
      <c r="AH76" s="496">
        <f ca="1"/>
        <v>8.1264985984930149E-3</v>
      </c>
      <c r="AI76" s="585">
        <f ca="1"/>
        <v>2.6825892598392187E-2</v>
      </c>
      <c r="AJ76" s="585">
        <f ca="1"/>
        <v>7.3127013100471316E-2</v>
      </c>
      <c r="AK76" s="585">
        <f ca="1"/>
        <v>1.1773489779987045</v>
      </c>
      <c r="AL76" s="497">
        <f ca="1"/>
        <v>0</v>
      </c>
      <c r="AM76" s="620">
        <f ca="1"/>
        <v>0</v>
      </c>
      <c r="AN76" s="496">
        <f ca="1"/>
        <v>6.7939515709450338E-4</v>
      </c>
      <c r="AO76" s="585">
        <f ca="1"/>
        <v>3.3108535766029207E-3</v>
      </c>
      <c r="AP76" s="585">
        <f ca="1"/>
        <v>1.4524899131394473E-2</v>
      </c>
      <c r="AQ76" s="585">
        <f ca="1"/>
        <v>1.2677131026618982</v>
      </c>
      <c r="AR76" s="497">
        <f ca="1"/>
        <v>0</v>
      </c>
      <c r="AS76" s="620">
        <f ca="1"/>
        <v>0</v>
      </c>
      <c r="AT76" s="496">
        <f ca="1"/>
        <v>-1.7892502911377006E-2</v>
      </c>
      <c r="AU76" s="497">
        <f ca="1"/>
        <v>-6.0237372046213045E-2</v>
      </c>
      <c r="AV76" s="620">
        <f ca="1"/>
        <v>0</v>
      </c>
      <c r="AW76" s="496">
        <f ca="1"/>
        <v>-5.2025101206614049E-2</v>
      </c>
      <c r="AX76" s="497">
        <f ca="1"/>
        <v>4.8143572798894918E-4</v>
      </c>
      <c r="AY76" s="620">
        <f ca="1"/>
        <v>0</v>
      </c>
    </row>
    <row r="77" spans="2:51">
      <c r="B77" s="517" t="s">
        <v>534</v>
      </c>
      <c r="C77" s="518" t="s">
        <v>66</v>
      </c>
      <c r="D77" s="518" t="s">
        <v>57</v>
      </c>
      <c r="E77" s="518" t="s">
        <v>648</v>
      </c>
      <c r="F77" s="518" t="s">
        <v>647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0.74517568582454996</v>
      </c>
      <c r="Y77" s="485">
        <f ca="1">IF(X77&lt;&gt;"",ABS(MIN(-0.75*('CDO Bespoke'!Q78)+'CDO Bespoke'!T78,0)),"")</f>
        <v>0.74643973006979569</v>
      </c>
      <c r="Z77" s="485">
        <f t="shared" ca="1" si="2"/>
        <v>0</v>
      </c>
      <c r="AA77" s="485">
        <f t="shared" ca="1" si="3"/>
        <v>0</v>
      </c>
      <c r="AB77" s="484">
        <f ca="1">IF('CDO Bespoke'!O78&lt;&gt;"",'CDO Bespoke'!O78,"")</f>
        <v>0.74517568582454996</v>
      </c>
      <c r="AC77" s="485">
        <f ca="1">IF(AB77&lt;&gt;"",ABS(MIN(-0.6*'CDO Bespoke'!K78+'CDO Bespoke'!T78*'CDO Bespoke'!K78,0)),"")</f>
        <v>0.16409921090376142</v>
      </c>
      <c r="AD77" s="485">
        <f t="shared" ca="1" si="5"/>
        <v>0.58107647492078851</v>
      </c>
      <c r="AE77" s="489">
        <f t="shared" ca="1" si="4"/>
        <v>0</v>
      </c>
      <c r="AF77" s="272"/>
      <c r="AG77" s="494" t="str">
        <f ca="1">IF('CDO Bespoke'!C102&lt;&gt;"",'CDO Bespoke'!C102,"")</f>
        <v>EDP - ENERGIAS DE PORTUGAL S.A.</v>
      </c>
      <c r="AH77" s="496">
        <f ca="1"/>
        <v>7.6684793004488938E-3</v>
      </c>
      <c r="AI77" s="585">
        <f ca="1"/>
        <v>2.5458553498669545E-2</v>
      </c>
      <c r="AJ77" s="585">
        <f ca="1"/>
        <v>6.8465832199215981E-2</v>
      </c>
      <c r="AK77" s="585">
        <f ca="1"/>
        <v>1.3047101287000373</v>
      </c>
      <c r="AL77" s="497">
        <f ca="1"/>
        <v>0</v>
      </c>
      <c r="AM77" s="620">
        <f ca="1"/>
        <v>0</v>
      </c>
      <c r="AN77" s="496">
        <f ca="1"/>
        <v>4.8519264050049526E-4</v>
      </c>
      <c r="AO77" s="585">
        <f ca="1"/>
        <v>2.4104410117041508E-3</v>
      </c>
      <c r="AP77" s="585">
        <f ca="1"/>
        <v>9.9894190485044082E-3</v>
      </c>
      <c r="AQ77" s="585">
        <f ca="1"/>
        <v>1.3983565696761013</v>
      </c>
      <c r="AR77" s="497">
        <f ca="1"/>
        <v>0</v>
      </c>
      <c r="AS77" s="620">
        <f ca="1"/>
        <v>0</v>
      </c>
      <c r="AT77" s="496">
        <f ca="1"/>
        <v>-1.2836973696141341E-2</v>
      </c>
      <c r="AU77" s="497">
        <f ca="1"/>
        <v>-6.336579344688853E-2</v>
      </c>
      <c r="AV77" s="620">
        <f ca="1"/>
        <v>0</v>
      </c>
      <c r="AW77" s="496">
        <f ca="1"/>
        <v>-4.8947274403788543E-2</v>
      </c>
      <c r="AX77" s="497">
        <f ca="1"/>
        <v>9.4329167706386427E-3</v>
      </c>
      <c r="AY77" s="620">
        <f ca="1"/>
        <v>0</v>
      </c>
    </row>
    <row r="78" spans="2:51">
      <c r="B78" s="534" t="s">
        <v>534</v>
      </c>
      <c r="C78" s="535" t="s">
        <v>66</v>
      </c>
      <c r="D78" s="535" t="s">
        <v>59</v>
      </c>
      <c r="E78" s="535" t="s">
        <v>648</v>
      </c>
      <c r="F78" s="535" t="s">
        <v>647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0.74491647677634998</v>
      </c>
      <c r="Y78" s="485">
        <f ca="1">IF(X78&lt;&gt;"",ABS(MIN(-0.75*('CDO Bespoke'!Q79)+'CDO Bespoke'!T79,0)),"")</f>
        <v>0.74598282556259055</v>
      </c>
      <c r="Z78" s="485">
        <f t="shared" ref="Z78:Z138" ca="1" si="10">IF(X78&lt;&gt;"",IF($Y$8,MAX(X78-Y78,0),X78),0)</f>
        <v>0</v>
      </c>
      <c r="AA78" s="485">
        <f t="shared" ref="AA78:AA138" ca="1" si="11">IF(X78&lt;&gt;"",IF($Y$8,0,Y78),0)</f>
        <v>0</v>
      </c>
      <c r="AB78" s="484">
        <f ca="1">IF('CDO Bespoke'!O79&lt;&gt;"",'CDO Bespoke'!O79,"")</f>
        <v>0.74491647677634998</v>
      </c>
      <c r="AC78" s="485">
        <f ca="1">IF(AB78&lt;&gt;"",ABS(MIN(-0.6*'CDO Bespoke'!K79+'CDO Bespoke'!T79*'CDO Bespoke'!K79,0)),"")</f>
        <v>0.16764936635709518</v>
      </c>
      <c r="AD78" s="485">
        <f t="shared" ref="AD78:AD138" ca="1" si="12">IF(AB78&lt;&gt;"",IF($Y$8,MAX(AB78-AC78,0),AB78),0)</f>
        <v>0.57726711041925483</v>
      </c>
      <c r="AE78" s="489">
        <f t="shared" ref="AE78:AE138" ca="1" si="13">IF(AB78&lt;&gt;"",IF($Y$8,0,AC78),0)</f>
        <v>0</v>
      </c>
      <c r="AF78" s="272"/>
      <c r="AG78" s="494" t="str">
        <f ca="1">IF('CDO Bespoke'!C103&lt;&gt;"",'CDO Bespoke'!C103,"")</f>
        <v>Electricite de France</v>
      </c>
      <c r="AH78" s="496">
        <f ca="1"/>
        <v>7.5533120003079546E-3</v>
      </c>
      <c r="AI78" s="585">
        <f ca="1"/>
        <v>2.4960217399616624E-2</v>
      </c>
      <c r="AJ78" s="585">
        <f ca="1"/>
        <v>6.6418259199174656E-2</v>
      </c>
      <c r="AK78" s="585">
        <f ca="1"/>
        <v>1.3286773333986979</v>
      </c>
      <c r="AL78" s="497">
        <f ca="1"/>
        <v>0</v>
      </c>
      <c r="AM78" s="620">
        <f ca="1"/>
        <v>0</v>
      </c>
      <c r="AN78" s="496">
        <f ca="1"/>
        <v>4.3905298460246434E-4</v>
      </c>
      <c r="AO78" s="585">
        <f ca="1"/>
        <v>2.1936089252081598E-3</v>
      </c>
      <c r="AP78" s="585">
        <f ca="1"/>
        <v>8.8726195340057407E-3</v>
      </c>
      <c r="AQ78" s="585">
        <f ca="1"/>
        <v>1.4214742108233005</v>
      </c>
      <c r="AR78" s="497">
        <f ca="1"/>
        <v>0</v>
      </c>
      <c r="AS78" s="620">
        <f ca="1"/>
        <v>0</v>
      </c>
      <c r="AT78" s="496">
        <f ca="1"/>
        <v>-1.2038905749319984E-2</v>
      </c>
      <c r="AU78" s="497">
        <f ca="1"/>
        <v>-6.3839899522189825E-2</v>
      </c>
      <c r="AV78" s="620">
        <f ca="1"/>
        <v>0</v>
      </c>
      <c r="AW78" s="496">
        <f ca="1"/>
        <v>-4.8440032233913341E-2</v>
      </c>
      <c r="AX78" s="497">
        <f ca="1"/>
        <v>1.1296315699533946E-2</v>
      </c>
      <c r="AY78" s="620">
        <f ca="1"/>
        <v>0</v>
      </c>
    </row>
    <row r="79" spans="2:51">
      <c r="B79" s="539" t="s">
        <v>535</v>
      </c>
      <c r="C79" s="540" t="s">
        <v>66</v>
      </c>
      <c r="D79" s="540" t="s">
        <v>55</v>
      </c>
      <c r="E79" s="540" t="s">
        <v>648</v>
      </c>
      <c r="F79" s="540" t="s">
        <v>647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0.74520556608052002</v>
      </c>
      <c r="Y79" s="485">
        <f ca="1">IF(X79&lt;&gt;"",ABS(MIN(-0.75*('CDO Bespoke'!Q80)+'CDO Bespoke'!T80,0)),"")</f>
        <v>0.74644999149491997</v>
      </c>
      <c r="Z79" s="485">
        <f t="shared" ca="1" si="10"/>
        <v>0</v>
      </c>
      <c r="AA79" s="485">
        <f t="shared" ca="1" si="11"/>
        <v>0</v>
      </c>
      <c r="AB79" s="484">
        <f ca="1">IF('CDO Bespoke'!O80&lt;&gt;"",'CDO Bespoke'!O80,"")</f>
        <v>0.74520556608052002</v>
      </c>
      <c r="AC79" s="485">
        <f ca="1">IF(AB79&lt;&gt;"",ABS(MIN(-0.6*'CDO Bespoke'!K80+'CDO Bespoke'!T80*'CDO Bespoke'!K80,0)),"")</f>
        <v>0.16431964641374266</v>
      </c>
      <c r="AD79" s="485">
        <f t="shared" ca="1" si="12"/>
        <v>0.58088591966677738</v>
      </c>
      <c r="AE79" s="489">
        <f t="shared" ca="1" si="13"/>
        <v>0</v>
      </c>
      <c r="AF79" s="272"/>
      <c r="AG79" s="494" t="str">
        <f ca="1">IF('CDO Bespoke'!C104&lt;&gt;"",'CDO Bespoke'!C104,"")</f>
        <v>ENEL S.P.A.</v>
      </c>
      <c r="AH79" s="496">
        <f ca="1"/>
        <v>7.6090681999652077E-3</v>
      </c>
      <c r="AI79" s="585">
        <f ca="1"/>
        <v>2.4961614599749993E-2</v>
      </c>
      <c r="AJ79" s="585">
        <f ca="1"/>
        <v>6.6152790398898986E-2</v>
      </c>
      <c r="AK79" s="585">
        <f ca="1"/>
        <v>1.3124975485001578</v>
      </c>
      <c r="AL79" s="497">
        <f ca="1"/>
        <v>0</v>
      </c>
      <c r="AM79" s="620">
        <f ca="1"/>
        <v>0</v>
      </c>
      <c r="AN79" s="496">
        <f ca="1"/>
        <v>4.8306912300150051E-4</v>
      </c>
      <c r="AO79" s="585">
        <f ca="1"/>
        <v>2.3975329222023639E-3</v>
      </c>
      <c r="AP79" s="585">
        <f ca="1"/>
        <v>9.8504153964000529E-3</v>
      </c>
      <c r="AQ79" s="585">
        <f ca="1"/>
        <v>1.4036842007463055</v>
      </c>
      <c r="AR79" s="497">
        <f ca="1"/>
        <v>0</v>
      </c>
      <c r="AS79" s="620">
        <f ca="1"/>
        <v>0</v>
      </c>
      <c r="AT79" s="496">
        <f ca="1"/>
        <v>-1.282935811260133E-2</v>
      </c>
      <c r="AU79" s="497">
        <f ca="1"/>
        <v>-6.3638902653978535E-2</v>
      </c>
      <c r="AV79" s="620">
        <f ca="1"/>
        <v>0</v>
      </c>
      <c r="AW79" s="496">
        <f ca="1"/>
        <v>-4.8993620298812456E-2</v>
      </c>
      <c r="AX79" s="497">
        <f ca="1"/>
        <v>9.5529806334908596E-3</v>
      </c>
      <c r="AY79" s="620">
        <f ca="1"/>
        <v>0</v>
      </c>
    </row>
    <row r="80" spans="2:51">
      <c r="B80" s="517" t="s">
        <v>535</v>
      </c>
      <c r="C80" s="518" t="s">
        <v>66</v>
      </c>
      <c r="D80" s="518" t="s">
        <v>57</v>
      </c>
      <c r="E80" s="518" t="s">
        <v>648</v>
      </c>
      <c r="F80" s="518" t="s">
        <v>647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0.74618201420884001</v>
      </c>
      <c r="Y80" s="485">
        <f ca="1">IF(X80&lt;&gt;"",ABS(MIN(-0.75*('CDO Bespoke'!Q81)+'CDO Bespoke'!T81,0)),"")</f>
        <v>0.74829019250092721</v>
      </c>
      <c r="Z80" s="485">
        <f t="shared" ca="1" si="10"/>
        <v>0</v>
      </c>
      <c r="AA80" s="485">
        <f t="shared" ca="1" si="11"/>
        <v>0</v>
      </c>
      <c r="AB80" s="484">
        <f ca="1">IF('CDO Bespoke'!O81&lt;&gt;"",'CDO Bespoke'!O81,"")</f>
        <v>0.74618201420884001</v>
      </c>
      <c r="AC80" s="485">
        <f ca="1">IF(AB80&lt;&gt;"",ABS(MIN(-0.6*'CDO Bespoke'!K81+'CDO Bespoke'!T81*'CDO Bespoke'!K81,0)),"")</f>
        <v>0.14803576483147948</v>
      </c>
      <c r="AD80" s="485">
        <f t="shared" ca="1" si="12"/>
        <v>0.59814624937736049</v>
      </c>
      <c r="AE80" s="489">
        <f t="shared" ca="1" si="13"/>
        <v>0</v>
      </c>
      <c r="AF80" s="272"/>
      <c r="AG80" s="494" t="str">
        <f ca="1">IF('CDO Bespoke'!C105&lt;&gt;"",'CDO Bespoke'!C105,"")</f>
        <v>ENGIE</v>
      </c>
      <c r="AH80" s="496">
        <f ca="1"/>
        <v>8.0185876005778312E-3</v>
      </c>
      <c r="AI80" s="585">
        <f ca="1"/>
        <v>2.6480085300040201E-2</v>
      </c>
      <c r="AJ80" s="585">
        <f ca="1"/>
        <v>7.1931733298669087E-2</v>
      </c>
      <c r="AK80" s="585">
        <f ca="1"/>
        <v>1.210465639298608</v>
      </c>
      <c r="AL80" s="497">
        <f ca="1"/>
        <v>0</v>
      </c>
      <c r="AM80" s="620">
        <f ca="1"/>
        <v>0</v>
      </c>
      <c r="AN80" s="496">
        <f ca="1"/>
        <v>6.4247709020102961E-4</v>
      </c>
      <c r="AO80" s="585">
        <f ca="1"/>
        <v>3.1403519893009879E-3</v>
      </c>
      <c r="AP80" s="585">
        <f ca="1"/>
        <v>1.3649430623098938E-2</v>
      </c>
      <c r="AQ80" s="585">
        <f ca="1"/>
        <v>1.3009174705828039</v>
      </c>
      <c r="AR80" s="497">
        <f ca="1"/>
        <v>0</v>
      </c>
      <c r="AS80" s="620">
        <f ca="1"/>
        <v>0</v>
      </c>
      <c r="AT80" s="496">
        <f ca="1"/>
        <v>-1.6592503760905153E-2</v>
      </c>
      <c r="AU80" s="497">
        <f ca="1"/>
        <v>-6.1198745927954601E-2</v>
      </c>
      <c r="AV80" s="620">
        <f ca="1"/>
        <v>0</v>
      </c>
      <c r="AW80" s="496">
        <f ca="1"/>
        <v>-5.1294191350746435E-2</v>
      </c>
      <c r="AX80" s="497">
        <f ca="1"/>
        <v>2.4230381760552283E-3</v>
      </c>
      <c r="AY80" s="620">
        <f ca="1"/>
        <v>0</v>
      </c>
    </row>
    <row r="81" spans="2:51">
      <c r="B81" s="534" t="s">
        <v>535</v>
      </c>
      <c r="C81" s="535" t="s">
        <v>66</v>
      </c>
      <c r="D81" s="535" t="s">
        <v>59</v>
      </c>
      <c r="E81" s="535" t="s">
        <v>648</v>
      </c>
      <c r="F81" s="535" t="s">
        <v>647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0.74553033721103001</v>
      </c>
      <c r="Y81" s="485">
        <f ca="1">IF(X81&lt;&gt;"",ABS(MIN(-0.75*('CDO Bespoke'!Q82)+'CDO Bespoke'!T82,0)),"")</f>
        <v>0.74705276600269499</v>
      </c>
      <c r="Z81" s="485">
        <f t="shared" ca="1" si="10"/>
        <v>0</v>
      </c>
      <c r="AA81" s="485">
        <f t="shared" ca="1" si="11"/>
        <v>0</v>
      </c>
      <c r="AB81" s="484">
        <f ca="1">IF('CDO Bespoke'!O82&lt;&gt;"",'CDO Bespoke'!O82,"")</f>
        <v>0.74553033721103001</v>
      </c>
      <c r="AC81" s="485">
        <f ca="1">IF(AB81&lt;&gt;"",ABS(MIN(-0.6*'CDO Bespoke'!K82+'CDO Bespoke'!T82*'CDO Bespoke'!K82,0)),"")</f>
        <v>0.15933483917475066</v>
      </c>
      <c r="AD81" s="485">
        <f t="shared" ca="1" si="12"/>
        <v>0.58619549803627935</v>
      </c>
      <c r="AE81" s="489">
        <f t="shared" ca="1" si="13"/>
        <v>0</v>
      </c>
      <c r="AF81" s="272"/>
      <c r="AG81" s="494" t="str">
        <f ca="1">IF('CDO Bespoke'!C106&lt;&gt;"",'CDO Bespoke'!C106,"")</f>
        <v>ENI S.P.A.</v>
      </c>
      <c r="AH81" s="496">
        <f ca="1"/>
        <v>7.774632999613118E-3</v>
      </c>
      <c r="AI81" s="585">
        <f ca="1"/>
        <v>2.5719970699888961E-2</v>
      </c>
      <c r="AJ81" s="585">
        <f ca="1"/>
        <v>6.926546120000765E-2</v>
      </c>
      <c r="AK81" s="585">
        <f ca="1"/>
        <v>1.2777833749000322</v>
      </c>
      <c r="AL81" s="497">
        <f ca="1"/>
        <v>0</v>
      </c>
      <c r="AM81" s="620">
        <f ca="1"/>
        <v>0</v>
      </c>
      <c r="AN81" s="496">
        <f ca="1"/>
        <v>5.412266048960418E-4</v>
      </c>
      <c r="AO81" s="585">
        <f ca="1"/>
        <v>2.6708158859956727E-3</v>
      </c>
      <c r="AP81" s="585">
        <f ca="1"/>
        <v>1.1274054507095371E-2</v>
      </c>
      <c r="AQ81" s="585">
        <f ca="1"/>
        <v>1.3706036850691989</v>
      </c>
      <c r="AR81" s="497">
        <f ca="1"/>
        <v>0</v>
      </c>
      <c r="AS81" s="620">
        <f ca="1"/>
        <v>0</v>
      </c>
      <c r="AT81" s="496">
        <f ca="1"/>
        <v>-1.3957098282662894E-2</v>
      </c>
      <c r="AU81" s="497">
        <f ca="1"/>
        <v>-6.2864574446767074E-2</v>
      </c>
      <c r="AV81" s="620">
        <f ca="1"/>
        <v>0</v>
      </c>
      <c r="AW81" s="496">
        <f ca="1"/>
        <v>-9.1198467834882724E-2</v>
      </c>
      <c r="AX81" s="497">
        <f ca="1"/>
        <v>-1.3678850610608174E-2</v>
      </c>
      <c r="AY81" s="620">
        <f ca="1"/>
        <v>0</v>
      </c>
    </row>
    <row r="82" spans="2:51">
      <c r="B82" s="539" t="s">
        <v>612</v>
      </c>
      <c r="C82" s="540" t="s">
        <v>66</v>
      </c>
      <c r="D82" s="540" t="s">
        <v>55</v>
      </c>
      <c r="E82" s="540" t="s">
        <v>649</v>
      </c>
      <c r="F82" s="540" t="s">
        <v>673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0.74701532237095003</v>
      </c>
      <c r="Y82" s="485">
        <f ca="1">IF(X82&lt;&gt;"",ABS(MIN(-0.75*('CDO Bespoke'!Q83)+'CDO Bespoke'!T83,0)),"")</f>
        <v>0.75013499603084643</v>
      </c>
      <c r="Z82" s="485">
        <f t="shared" ca="1" si="10"/>
        <v>0</v>
      </c>
      <c r="AA82" s="485">
        <f t="shared" ca="1" si="11"/>
        <v>0</v>
      </c>
      <c r="AB82" s="484">
        <f ca="1">IF('CDO Bespoke'!O83&lt;&gt;"",'CDO Bespoke'!O83,"")</f>
        <v>0.74701532237095003</v>
      </c>
      <c r="AC82" s="485">
        <f ca="1">IF(AB82&lt;&gt;"",ABS(MIN(-0.6*'CDO Bespoke'!K83+'CDO Bespoke'!T83*'CDO Bespoke'!K83,0)),"")</f>
        <v>0.12667790151771388</v>
      </c>
      <c r="AD82" s="485">
        <f t="shared" ca="1" si="12"/>
        <v>0.62033742085323618</v>
      </c>
      <c r="AE82" s="489">
        <f t="shared" ca="1" si="13"/>
        <v>0</v>
      </c>
      <c r="AF82" s="272"/>
      <c r="AG82" s="494" t="str">
        <f ca="1">IF('CDO Bespoke'!C107&lt;&gt;"",'CDO Bespoke'!C107,"")</f>
        <v>EQUINOR ASA</v>
      </c>
      <c r="AH82" s="496">
        <f ca="1"/>
        <v>8.4058633986749953E-3</v>
      </c>
      <c r="AI82" s="585">
        <f ca="1"/>
        <v>2.767711599904743E-2</v>
      </c>
      <c r="AJ82" s="585">
        <f ca="1"/>
        <v>7.5858084900293221E-2</v>
      </c>
      <c r="AK82" s="585">
        <f ca="1"/>
        <v>1.0769621445994026</v>
      </c>
      <c r="AL82" s="497">
        <f ca="1"/>
        <v>0</v>
      </c>
      <c r="AM82" s="620">
        <f ca="1"/>
        <v>0</v>
      </c>
      <c r="AN82" s="496">
        <f ca="1"/>
        <v>7.502320508064042E-4</v>
      </c>
      <c r="AO82" s="585">
        <f ca="1"/>
        <v>3.633667201800167E-3</v>
      </c>
      <c r="AP82" s="585">
        <f ca="1"/>
        <v>1.6228709085915061E-2</v>
      </c>
      <c r="AQ82" s="585">
        <f ca="1"/>
        <v>1.1669518924311075</v>
      </c>
      <c r="AR82" s="497">
        <f ca="1"/>
        <v>0</v>
      </c>
      <c r="AS82" s="620">
        <f ca="1"/>
        <v>0</v>
      </c>
      <c r="AT82" s="496">
        <f ca="1"/>
        <v>-2.1942748673968948E-2</v>
      </c>
      <c r="AU82" s="497">
        <f ca="1"/>
        <v>-5.6880409538810905E-2</v>
      </c>
      <c r="AV82" s="620">
        <f ca="1"/>
        <v>0</v>
      </c>
      <c r="AW82" s="496">
        <f ca="1"/>
        <v>-9.9936227213645826E-2</v>
      </c>
      <c r="AX82" s="497">
        <f ca="1"/>
        <v>-2.2037752154591875E-2</v>
      </c>
      <c r="AY82" s="620">
        <f ca="1"/>
        <v>0</v>
      </c>
    </row>
    <row r="83" spans="2:51">
      <c r="B83" s="517" t="s">
        <v>612</v>
      </c>
      <c r="C83" s="518" t="s">
        <v>66</v>
      </c>
      <c r="D83" s="518" t="s">
        <v>57</v>
      </c>
      <c r="E83" s="518" t="s">
        <v>649</v>
      </c>
      <c r="F83" s="518" t="s">
        <v>673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0.74612993880278</v>
      </c>
      <c r="Y83" s="485">
        <f ca="1">IF(X83&lt;&gt;"",ABS(MIN(-0.75*('CDO Bespoke'!Q84)+'CDO Bespoke'!T84,0)),"")</f>
        <v>0.74817492748694758</v>
      </c>
      <c r="Z83" s="485">
        <f t="shared" ca="1" si="10"/>
        <v>0</v>
      </c>
      <c r="AA83" s="485">
        <f t="shared" ca="1" si="11"/>
        <v>0</v>
      </c>
      <c r="AB83" s="484">
        <f ca="1">IF('CDO Bespoke'!O84&lt;&gt;"",'CDO Bespoke'!O84,"")</f>
        <v>0.74612993880278</v>
      </c>
      <c r="AC83" s="485">
        <f ca="1">IF(AB83&lt;&gt;"",ABS(MIN(-0.6*'CDO Bespoke'!K84+'CDO Bespoke'!T84*'CDO Bespoke'!K84,0)),"")</f>
        <v>0.14921078158043258</v>
      </c>
      <c r="AD83" s="485">
        <f t="shared" ca="1" si="12"/>
        <v>0.59691915722234745</v>
      </c>
      <c r="AE83" s="489">
        <f t="shared" ca="1" si="13"/>
        <v>0</v>
      </c>
      <c r="AF83" s="272"/>
      <c r="AG83" s="494" t="str">
        <f ca="1">IF('CDO Bespoke'!C108&lt;&gt;"",'CDO Bespoke'!C108,"")</f>
        <v>Fortum Oyj</v>
      </c>
      <c r="AH83" s="496">
        <f ca="1"/>
        <v>7.9768118999012927E-3</v>
      </c>
      <c r="AI83" s="585">
        <f ca="1"/>
        <v>2.6265174000172919E-2</v>
      </c>
      <c r="AJ83" s="585">
        <f ca="1"/>
        <v>7.1057519299699834E-2</v>
      </c>
      <c r="AK83" s="585">
        <f ca="1"/>
        <v>1.219191104999684</v>
      </c>
      <c r="AL83" s="497">
        <f ca="1"/>
        <v>0</v>
      </c>
      <c r="AM83" s="620">
        <f ca="1"/>
        <v>0</v>
      </c>
      <c r="AN83" s="496">
        <f ca="1"/>
        <v>6.3349948410326706E-4</v>
      </c>
      <c r="AO83" s="585">
        <f ca="1"/>
        <v>3.0980700843011993E-3</v>
      </c>
      <c r="AP83" s="585">
        <f ca="1"/>
        <v>1.3418483351202229E-2</v>
      </c>
      <c r="AQ83" s="585">
        <f ca="1"/>
        <v>1.3089825265292023</v>
      </c>
      <c r="AR83" s="497">
        <f ca="1"/>
        <v>0</v>
      </c>
      <c r="AS83" s="620">
        <f ca="1"/>
        <v>0</v>
      </c>
      <c r="AT83" s="496">
        <f ca="1"/>
        <v>-1.6319117106937009E-2</v>
      </c>
      <c r="AU83" s="497">
        <f ca="1"/>
        <v>-6.1445861449052952E-2</v>
      </c>
      <c r="AV83" s="620">
        <f ca="1"/>
        <v>0</v>
      </c>
      <c r="AW83" s="496">
        <f ca="1"/>
        <v>-5.1146399642055466E-2</v>
      </c>
      <c r="AX83" s="497">
        <f ca="1"/>
        <v>2.8858950830345648E-3</v>
      </c>
      <c r="AY83" s="620">
        <f ca="1"/>
        <v>0</v>
      </c>
    </row>
    <row r="84" spans="2:51">
      <c r="B84" s="534" t="s">
        <v>612</v>
      </c>
      <c r="C84" s="535" t="s">
        <v>66</v>
      </c>
      <c r="D84" s="535" t="s">
        <v>59</v>
      </c>
      <c r="E84" s="535" t="s">
        <v>649</v>
      </c>
      <c r="F84" s="535" t="s">
        <v>673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0.74648205888838004</v>
      </c>
      <c r="Y84" s="485">
        <f ca="1">IF(X84&lt;&gt;"",ABS(MIN(-0.75*('CDO Bespoke'!Q85)+'CDO Bespoke'!T85,0)),"")</f>
        <v>0.74890802948467228</v>
      </c>
      <c r="Z84" s="485">
        <f t="shared" ca="1" si="10"/>
        <v>0</v>
      </c>
      <c r="AA84" s="485">
        <f t="shared" ca="1" si="11"/>
        <v>0</v>
      </c>
      <c r="AB84" s="484">
        <f ca="1">IF('CDO Bespoke'!O85&lt;&gt;"",'CDO Bespoke'!O85,"")</f>
        <v>0.74648205888838004</v>
      </c>
      <c r="AC84" s="485">
        <f ca="1">IF(AB84&lt;&gt;"",ABS(MIN(-0.6*'CDO Bespoke'!K85+'CDO Bespoke'!T85*'CDO Bespoke'!K85,0)),"")</f>
        <v>0.14169577967789992</v>
      </c>
      <c r="AD84" s="485">
        <f t="shared" ca="1" si="12"/>
        <v>0.60478627921048012</v>
      </c>
      <c r="AE84" s="489">
        <f t="shared" ca="1" si="13"/>
        <v>0</v>
      </c>
      <c r="AF84" s="272"/>
      <c r="AG84" s="494" t="str">
        <f ca="1">IF('CDO Bespoke'!C109&lt;&gt;"",'CDO Bespoke'!C109,"")</f>
        <v>Iberdrola, S.A.</v>
      </c>
      <c r="AH84" s="496">
        <f ca="1"/>
        <v>8.1369778004436455E-3</v>
      </c>
      <c r="AI84" s="585">
        <f ca="1"/>
        <v>2.681911239976742E-2</v>
      </c>
      <c r="AJ84" s="585">
        <f ca="1"/>
        <v>7.304098149862881E-2</v>
      </c>
      <c r="AK84" s="585">
        <f ca="1"/>
        <v>1.1718229384993784</v>
      </c>
      <c r="AL84" s="497">
        <f ca="1"/>
        <v>0</v>
      </c>
      <c r="AM84" s="620">
        <f ca="1"/>
        <v>0</v>
      </c>
      <c r="AN84" s="496">
        <f ca="1"/>
        <v>6.8560657480280784E-4</v>
      </c>
      <c r="AO84" s="585">
        <f ca="1"/>
        <v>3.3390648688028102E-3</v>
      </c>
      <c r="AP84" s="585">
        <f ca="1"/>
        <v>1.4664033686304784E-2</v>
      </c>
      <c r="AQ84" s="585">
        <f ca="1"/>
        <v>1.2618268940925002</v>
      </c>
      <c r="AR84" s="497">
        <f ca="1"/>
        <v>0</v>
      </c>
      <c r="AS84" s="620">
        <f ca="1"/>
        <v>0</v>
      </c>
      <c r="AT84" s="496">
        <f ca="1"/>
        <v>-1.8142615748339086E-2</v>
      </c>
      <c r="AU84" s="497">
        <f ca="1"/>
        <v>-6.0069121163870864E-2</v>
      </c>
      <c r="AV84" s="620">
        <f ca="1"/>
        <v>0</v>
      </c>
      <c r="AW84" s="496">
        <f ca="1"/>
        <v>-5.2166795573067339E-2</v>
      </c>
      <c r="AX84" s="497">
        <f ca="1"/>
        <v>1.4430646923133811E-4</v>
      </c>
      <c r="AY84" s="620">
        <f ca="1"/>
        <v>0</v>
      </c>
    </row>
    <row r="85" spans="2:51">
      <c r="B85" s="539" t="s">
        <v>520</v>
      </c>
      <c r="C85" s="540" t="s">
        <v>66</v>
      </c>
      <c r="D85" s="540" t="s">
        <v>55</v>
      </c>
      <c r="E85" s="540" t="s">
        <v>646</v>
      </c>
      <c r="F85" s="540" t="s">
        <v>673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0.74539219188981998</v>
      </c>
      <c r="Y85" s="485">
        <f ca="1">IF(X85&lt;&gt;"",ABS(MIN(-0.75*('CDO Bespoke'!Q86)+'CDO Bespoke'!T86,0)),"")</f>
        <v>0.74681231639777024</v>
      </c>
      <c r="Z85" s="485">
        <f t="shared" ca="1" si="10"/>
        <v>0</v>
      </c>
      <c r="AA85" s="485">
        <f t="shared" ca="1" si="11"/>
        <v>0</v>
      </c>
      <c r="AB85" s="484">
        <f ca="1">IF('CDO Bespoke'!O86&lt;&gt;"",'CDO Bespoke'!O86,"")</f>
        <v>0.74539219188981998</v>
      </c>
      <c r="AC85" s="485">
        <f ca="1">IF(AB85&lt;&gt;"",ABS(MIN(-0.6*'CDO Bespoke'!K86+'CDO Bespoke'!T86*'CDO Bespoke'!K86,0)),"")</f>
        <v>0.16123621452003106</v>
      </c>
      <c r="AD85" s="485">
        <f t="shared" ca="1" si="12"/>
        <v>0.58415597736978886</v>
      </c>
      <c r="AE85" s="489">
        <f t="shared" ca="1" si="13"/>
        <v>0</v>
      </c>
      <c r="AF85" s="272"/>
      <c r="AG85" s="494" t="str">
        <f ca="1">IF('CDO Bespoke'!C110&lt;&gt;"",'CDO Bespoke'!C110,"")</f>
        <v>NATIONAL GRID PLC</v>
      </c>
      <c r="AH85" s="496">
        <f ca="1"/>
        <v>7.7359836003765281E-3</v>
      </c>
      <c r="AI85" s="585">
        <f ca="1"/>
        <v>2.5641181500279941E-2</v>
      </c>
      <c r="AJ85" s="585">
        <f ca="1"/>
        <v>6.9059940099869266E-2</v>
      </c>
      <c r="AK85" s="585">
        <f ca="1"/>
        <v>1.2883065539992522</v>
      </c>
      <c r="AL85" s="497">
        <f ca="1"/>
        <v>0</v>
      </c>
      <c r="AM85" s="620">
        <f ca="1"/>
        <v>0</v>
      </c>
      <c r="AN85" s="496">
        <f ca="1"/>
        <v>5.19761941394567E-4</v>
      </c>
      <c r="AO85" s="585">
        <f ca="1"/>
        <v>2.5712453775948024E-3</v>
      </c>
      <c r="AP85" s="585">
        <f ca="1"/>
        <v>1.0785204117898933E-2</v>
      </c>
      <c r="AQ85" s="585">
        <f ca="1"/>
        <v>1.381564594309199</v>
      </c>
      <c r="AR85" s="497">
        <f ca="1"/>
        <v>0</v>
      </c>
      <c r="AS85" s="620">
        <f ca="1"/>
        <v>0</v>
      </c>
      <c r="AT85" s="496">
        <f ca="1"/>
        <v>-1.350676923078109E-2</v>
      </c>
      <c r="AU85" s="497">
        <f ca="1"/>
        <v>-6.3067632131858842E-2</v>
      </c>
      <c r="AV85" s="620">
        <f ca="1"/>
        <v>0</v>
      </c>
      <c r="AW85" s="496">
        <f ca="1"/>
        <v>-4.9387951676149094E-2</v>
      </c>
      <c r="AX85" s="497">
        <f ca="1"/>
        <v>8.0045298052257921E-3</v>
      </c>
      <c r="AY85" s="620">
        <f ca="1"/>
        <v>0</v>
      </c>
    </row>
    <row r="86" spans="2:51">
      <c r="B86" s="517" t="s">
        <v>520</v>
      </c>
      <c r="C86" s="518" t="s">
        <v>66</v>
      </c>
      <c r="D86" s="518" t="s">
        <v>57</v>
      </c>
      <c r="E86" s="518" t="s">
        <v>646</v>
      </c>
      <c r="F86" s="518" t="s">
        <v>673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0.74603471975208002</v>
      </c>
      <c r="Y86" s="485">
        <f ca="1">IF(X86&lt;&gt;"",ABS(MIN(-0.75*('CDO Bespoke'!Q87)+'CDO Bespoke'!T87,0)),"")</f>
        <v>0.7480078883027873</v>
      </c>
      <c r="Z86" s="485">
        <f t="shared" ca="1" si="10"/>
        <v>0</v>
      </c>
      <c r="AA86" s="485">
        <f t="shared" ca="1" si="11"/>
        <v>0</v>
      </c>
      <c r="AB86" s="484">
        <f ca="1">IF('CDO Bespoke'!O87&lt;&gt;"",'CDO Bespoke'!O87,"")</f>
        <v>0.74603471975208002</v>
      </c>
      <c r="AC86" s="485">
        <f ca="1">IF(AB86&lt;&gt;"",ABS(MIN(-0.6*'CDO Bespoke'!K87+'CDO Bespoke'!T87*'CDO Bespoke'!K87,0)),"")</f>
        <v>0.15068323753449478</v>
      </c>
      <c r="AD86" s="485">
        <f t="shared" ca="1" si="12"/>
        <v>0.59535148221758527</v>
      </c>
      <c r="AE86" s="489">
        <f t="shared" ca="1" si="13"/>
        <v>0</v>
      </c>
      <c r="AF86" s="272"/>
      <c r="AG86" s="494" t="str">
        <f ca="1">IF('CDO Bespoke'!C111&lt;&gt;"",'CDO Bespoke'!C111,"")</f>
        <v>NATURGY ENERGY GROUP, S.A.</v>
      </c>
      <c r="AH86" s="496">
        <f ca="1"/>
        <v>7.9770170002824159E-3</v>
      </c>
      <c r="AI86" s="585">
        <f ca="1"/>
        <v>2.6419295700019774E-2</v>
      </c>
      <c r="AJ86" s="585">
        <f ca="1"/>
        <v>7.1835806398912183E-2</v>
      </c>
      <c r="AK86" s="585">
        <f ca="1"/>
        <v>1.2254041058001874</v>
      </c>
      <c r="AL86" s="497">
        <f ca="1"/>
        <v>0</v>
      </c>
      <c r="AM86" s="620">
        <f ca="1"/>
        <v>0</v>
      </c>
      <c r="AN86" s="496">
        <f ca="1"/>
        <v>6.2113227200510934E-4</v>
      </c>
      <c r="AO86" s="585">
        <f ca="1"/>
        <v>3.0423816261074266E-3</v>
      </c>
      <c r="AP86" s="585">
        <f ca="1"/>
        <v>1.3164686515207066E-2</v>
      </c>
      <c r="AQ86" s="585">
        <f ca="1"/>
        <v>1.3165338369497055</v>
      </c>
      <c r="AR86" s="497">
        <f ca="1"/>
        <v>0</v>
      </c>
      <c r="AS86" s="620">
        <f ca="1"/>
        <v>0</v>
      </c>
      <c r="AT86" s="496">
        <f ca="1"/>
        <v>-1.5947038842999861E-2</v>
      </c>
      <c r="AU86" s="497">
        <f ca="1"/>
        <v>-6.1593755596609956E-2</v>
      </c>
      <c r="AV86" s="620">
        <f ca="1"/>
        <v>0</v>
      </c>
      <c r="AW86" s="496">
        <f ca="1"/>
        <v>-5.0909823974832027E-2</v>
      </c>
      <c r="AX86" s="497">
        <f ca="1"/>
        <v>3.455967349173427E-3</v>
      </c>
      <c r="AY86" s="620">
        <f ca="1"/>
        <v>0</v>
      </c>
    </row>
    <row r="87" spans="2:51">
      <c r="B87" s="534" t="s">
        <v>520</v>
      </c>
      <c r="C87" s="535" t="s">
        <v>66</v>
      </c>
      <c r="D87" s="535" t="s">
        <v>59</v>
      </c>
      <c r="E87" s="535" t="s">
        <v>646</v>
      </c>
      <c r="F87" s="535" t="s">
        <v>673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0.74523241628178005</v>
      </c>
      <c r="Y87" s="485">
        <f ca="1">IF(X87&lt;&gt;"",ABS(MIN(-0.75*('CDO Bespoke'!Q88)+'CDO Bespoke'!T88,0)),"")</f>
        <v>0.74653522871690692</v>
      </c>
      <c r="Z87" s="485">
        <f t="shared" ca="1" si="10"/>
        <v>0</v>
      </c>
      <c r="AA87" s="485">
        <f t="shared" ca="1" si="11"/>
        <v>0</v>
      </c>
      <c r="AB87" s="484">
        <f ca="1">IF('CDO Bespoke'!O88&lt;&gt;"",'CDO Bespoke'!O88,"")</f>
        <v>0.74523241628178005</v>
      </c>
      <c r="AC87" s="485">
        <f ca="1">IF(AB87&lt;&gt;"",ABS(MIN(-0.6*'CDO Bespoke'!K88+'CDO Bespoke'!T88*'CDO Bespoke'!K88,0)),"")</f>
        <v>0.16338770235527378</v>
      </c>
      <c r="AD87" s="485">
        <f t="shared" ca="1" si="12"/>
        <v>0.58184471392650627</v>
      </c>
      <c r="AE87" s="489">
        <f t="shared" ca="1" si="13"/>
        <v>0</v>
      </c>
      <c r="AF87" s="272"/>
      <c r="AG87" s="494" t="str">
        <f ca="1">IF('CDO Bespoke'!C112&lt;&gt;"",'CDO Bespoke'!C112,"")</f>
        <v>REPSOL, S.A.</v>
      </c>
      <c r="AH87" s="496">
        <f ca="1"/>
        <v>7.6844191987390786E-3</v>
      </c>
      <c r="AI87" s="585">
        <f ca="1"/>
        <v>2.549378300020777E-2</v>
      </c>
      <c r="AJ87" s="585">
        <f ca="1"/>
        <v>6.8562272299566018E-2</v>
      </c>
      <c r="AK87" s="585">
        <f ca="1"/>
        <v>1.3008138192005525</v>
      </c>
      <c r="AL87" s="497">
        <f ca="1"/>
        <v>0</v>
      </c>
      <c r="AM87" s="620">
        <f ca="1"/>
        <v>0</v>
      </c>
      <c r="AN87" s="496">
        <f ca="1"/>
        <v>4.9409710980649613E-4</v>
      </c>
      <c r="AO87" s="585">
        <f ca="1"/>
        <v>2.4517902635044775E-3</v>
      </c>
      <c r="AP87" s="585">
        <f ca="1"/>
        <v>1.0191685863303324E-2</v>
      </c>
      <c r="AQ87" s="585">
        <f ca="1"/>
        <v>1.3943028996273985</v>
      </c>
      <c r="AR87" s="497">
        <f ca="1"/>
        <v>0</v>
      </c>
      <c r="AS87" s="620">
        <f ca="1"/>
        <v>0</v>
      </c>
      <c r="AT87" s="496">
        <f ca="1"/>
        <v>-1.3004184749566772E-2</v>
      </c>
      <c r="AU87" s="497">
        <f ca="1"/>
        <v>-6.3302377701903279E-2</v>
      </c>
      <c r="AV87" s="620">
        <f ca="1"/>
        <v>0</v>
      </c>
      <c r="AW87" s="496">
        <f ca="1"/>
        <v>-8.9991325397342017E-2</v>
      </c>
      <c r="AX87" s="497">
        <f ca="1"/>
        <v>-1.2041272111314085E-2</v>
      </c>
      <c r="AY87" s="620">
        <f ca="1"/>
        <v>0</v>
      </c>
    </row>
    <row r="88" spans="2:51">
      <c r="B88" s="539" t="s">
        <v>613</v>
      </c>
      <c r="C88" s="540" t="s">
        <v>66</v>
      </c>
      <c r="D88" s="540" t="s">
        <v>55</v>
      </c>
      <c r="E88" s="540" t="s">
        <v>648</v>
      </c>
      <c r="F88" s="540" t="s">
        <v>673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0.74684629074625997</v>
      </c>
      <c r="Y88" s="485">
        <f ca="1">IF(X88&lt;&gt;"",ABS(MIN(-0.75*('CDO Bespoke'!Q89)+'CDO Bespoke'!T89,0)),"")</f>
        <v>0.74972472793328271</v>
      </c>
      <c r="Z88" s="485">
        <f t="shared" ca="1" si="10"/>
        <v>0</v>
      </c>
      <c r="AA88" s="485">
        <f t="shared" ca="1" si="11"/>
        <v>0</v>
      </c>
      <c r="AB88" s="484">
        <f ca="1">IF('CDO Bespoke'!O89&lt;&gt;"",'CDO Bespoke'!O89,"")</f>
        <v>0.74684629074625997</v>
      </c>
      <c r="AC88" s="485">
        <f ca="1">IF(AB88&lt;&gt;"",ABS(MIN(-0.6*'CDO Bespoke'!K89+'CDO Bespoke'!T89*'CDO Bespoke'!K89,0)),"")</f>
        <v>0.13213456779696442</v>
      </c>
      <c r="AD88" s="485">
        <f t="shared" ca="1" si="12"/>
        <v>0.61471172294929555</v>
      </c>
      <c r="AE88" s="489">
        <f t="shared" ca="1" si="13"/>
        <v>0</v>
      </c>
      <c r="AF88" s="272"/>
      <c r="AG88" s="494" t="str">
        <f ca="1">IF('CDO Bespoke'!C113&lt;&gt;"",'CDO Bespoke'!C113,"")</f>
        <v>SHELL PLC</v>
      </c>
      <c r="AH88" s="496">
        <f ca="1"/>
        <v>8.3108551995891844E-3</v>
      </c>
      <c r="AI88" s="585">
        <f ca="1"/>
        <v>2.7367009800549624E-2</v>
      </c>
      <c r="AJ88" s="585">
        <f ca="1"/>
        <v>7.4854105398536319E-2</v>
      </c>
      <c r="AK88" s="585">
        <f ca="1"/>
        <v>1.1118155209999259</v>
      </c>
      <c r="AL88" s="497">
        <f ca="1"/>
        <v>0</v>
      </c>
      <c r="AM88" s="620">
        <f ca="1"/>
        <v>0</v>
      </c>
      <c r="AN88" s="496">
        <f ca="1"/>
        <v>7.3237244250026756E-4</v>
      </c>
      <c r="AO88" s="585">
        <f ca="1"/>
        <v>3.5530692775020273E-3</v>
      </c>
      <c r="AP88" s="585">
        <f ca="1"/>
        <v>1.5787843162294937E-2</v>
      </c>
      <c r="AQ88" s="585">
        <f ca="1"/>
        <v>1.2017167046157999</v>
      </c>
      <c r="AR88" s="497">
        <f ca="1"/>
        <v>0</v>
      </c>
      <c r="AS88" s="620">
        <f ca="1"/>
        <v>0</v>
      </c>
      <c r="AT88" s="496">
        <f ca="1"/>
        <v>-2.0538377935049867E-2</v>
      </c>
      <c r="AU88" s="497">
        <f ca="1"/>
        <v>-5.811127928611004E-2</v>
      </c>
      <c r="AV88" s="620">
        <f ca="1"/>
        <v>0</v>
      </c>
      <c r="AW88" s="496">
        <f ca="1"/>
        <v>-9.8551813043422171E-2</v>
      </c>
      <c r="AX88" s="497">
        <f ca="1"/>
        <v>-2.1122959007224315E-2</v>
      </c>
      <c r="AY88" s="620">
        <f ca="1"/>
        <v>0</v>
      </c>
    </row>
    <row r="89" spans="2:51">
      <c r="B89" s="517" t="s">
        <v>613</v>
      </c>
      <c r="C89" s="518" t="s">
        <v>66</v>
      </c>
      <c r="D89" s="518" t="s">
        <v>57</v>
      </c>
      <c r="E89" s="518" t="s">
        <v>648</v>
      </c>
      <c r="F89" s="518" t="s">
        <v>673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0.74692784987355998</v>
      </c>
      <c r="Y89" s="485">
        <f ca="1">IF(X89&lt;&gt;"",ABS(MIN(-0.75*('CDO Bespoke'!Q90)+'CDO Bespoke'!T90,0)),"")</f>
        <v>0.74991017916170077</v>
      </c>
      <c r="Z89" s="485">
        <f t="shared" ca="1" si="10"/>
        <v>0</v>
      </c>
      <c r="AA89" s="485">
        <f t="shared" ca="1" si="11"/>
        <v>0</v>
      </c>
      <c r="AB89" s="484">
        <f ca="1">IF('CDO Bespoke'!O90&lt;&gt;"",'CDO Bespoke'!O90,"")</f>
        <v>0.74692784987355998</v>
      </c>
      <c r="AC89" s="485">
        <f ca="1">IF(AB89&lt;&gt;"",ABS(MIN(-0.6*'CDO Bespoke'!K90+'CDO Bespoke'!T90*'CDO Bespoke'!K90,0)),"")</f>
        <v>0.12976523681363328</v>
      </c>
      <c r="AD89" s="485">
        <f t="shared" ca="1" si="12"/>
        <v>0.6171626130599267</v>
      </c>
      <c r="AE89" s="489">
        <f t="shared" ca="1" si="13"/>
        <v>0</v>
      </c>
      <c r="AF89" s="272"/>
      <c r="AG89" s="494" t="str">
        <f ca="1">IF('CDO Bespoke'!C114&lt;&gt;"",'CDO Bespoke'!C114,"")</f>
        <v>TotalEnergies SE</v>
      </c>
      <c r="AH89" s="496">
        <f ca="1"/>
        <v>8.3345103996101955E-3</v>
      </c>
      <c r="AI89" s="585">
        <f ca="1"/>
        <v>2.7371817699073375E-2</v>
      </c>
      <c r="AJ89" s="585">
        <f ca="1"/>
        <v>7.4751221699198567E-2</v>
      </c>
      <c r="AK89" s="585">
        <f ca="1"/>
        <v>1.0979159169988151</v>
      </c>
      <c r="AL89" s="497">
        <f ca="1"/>
        <v>0</v>
      </c>
      <c r="AM89" s="620">
        <f ca="1"/>
        <v>0</v>
      </c>
      <c r="AN89" s="496">
        <f ca="1"/>
        <v>7.410411062037936E-4</v>
      </c>
      <c r="AO89" s="585">
        <f ca="1"/>
        <v>3.5917459486993486E-3</v>
      </c>
      <c r="AP89" s="585">
        <f ca="1"/>
        <v>1.5987482055203339E-2</v>
      </c>
      <c r="AQ89" s="585">
        <f ca="1"/>
        <v>1.1871955179237978</v>
      </c>
      <c r="AR89" s="497">
        <f ca="1"/>
        <v>0</v>
      </c>
      <c r="AS89" s="620">
        <f ca="1"/>
        <v>0</v>
      </c>
      <c r="AT89" s="496">
        <f ca="1"/>
        <v>-2.1150347731385022E-2</v>
      </c>
      <c r="AU89" s="497">
        <f ca="1"/>
        <v>-5.7618042029014882E-2</v>
      </c>
      <c r="AV89" s="620">
        <f ca="1"/>
        <v>0</v>
      </c>
      <c r="AW89" s="496">
        <f ca="1"/>
        <v>-9.9171013708241468E-2</v>
      </c>
      <c r="AX89" s="497">
        <f ca="1"/>
        <v>-2.1541321621061024E-2</v>
      </c>
      <c r="AY89" s="620">
        <f ca="1"/>
        <v>0</v>
      </c>
    </row>
    <row r="90" spans="2:51">
      <c r="B90" s="534" t="s">
        <v>613</v>
      </c>
      <c r="C90" s="535" t="s">
        <v>66</v>
      </c>
      <c r="D90" s="535" t="s">
        <v>59</v>
      </c>
      <c r="E90" s="535" t="s">
        <v>648</v>
      </c>
      <c r="F90" s="535" t="s">
        <v>673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0.74628690966004996</v>
      </c>
      <c r="Y90" s="485">
        <f ca="1">IF(X90&lt;&gt;"",ABS(MIN(-0.75*('CDO Bespoke'!Q91)+'CDO Bespoke'!T91,0)),"")</f>
        <v>0.74849847213627119</v>
      </c>
      <c r="Z90" s="485">
        <f t="shared" ca="1" si="10"/>
        <v>0</v>
      </c>
      <c r="AA90" s="485">
        <f t="shared" ca="1" si="11"/>
        <v>0</v>
      </c>
      <c r="AB90" s="484">
        <f ca="1">IF('CDO Bespoke'!O91&lt;&gt;"",'CDO Bespoke'!O91,"")</f>
        <v>0.74628690966004996</v>
      </c>
      <c r="AC90" s="485">
        <f ca="1">IF(AB90&lt;&gt;"",ABS(MIN(-0.6*'CDO Bespoke'!K91+'CDO Bespoke'!T91*'CDO Bespoke'!K91,0)),"")</f>
        <v>0.1459866623346297</v>
      </c>
      <c r="AD90" s="485">
        <f t="shared" ca="1" si="12"/>
        <v>0.6003002473254202</v>
      </c>
      <c r="AE90" s="489">
        <f t="shared" ca="1" si="13"/>
        <v>0</v>
      </c>
      <c r="AF90" s="272"/>
      <c r="AG90" s="494" t="str">
        <f ca="1">IF('CDO Bespoke'!C115&lt;&gt;"",'CDO Bespoke'!C115,"")</f>
        <v>VEOLIA ENVIRONNEMENT</v>
      </c>
      <c r="AH90" s="496">
        <f ca="1"/>
        <v>8.0525247003748746E-3</v>
      </c>
      <c r="AI90" s="585">
        <f ca="1"/>
        <v>2.6550469800490362E-2</v>
      </c>
      <c r="AJ90" s="585">
        <f ca="1"/>
        <v>7.2118682299393555E-2</v>
      </c>
      <c r="AK90" s="585">
        <f ca="1"/>
        <v>1.1984827694000444</v>
      </c>
      <c r="AL90" s="497">
        <f ca="1"/>
        <v>0</v>
      </c>
      <c r="AM90" s="620">
        <f ca="1"/>
        <v>0</v>
      </c>
      <c r="AN90" s="496">
        <f ca="1"/>
        <v>6.5761506269981784E-4</v>
      </c>
      <c r="AO90" s="585">
        <f ca="1"/>
        <v>3.2099139882051098E-3</v>
      </c>
      <c r="AP90" s="585">
        <f ca="1"/>
        <v>1.3998525201404377E-2</v>
      </c>
      <c r="AQ90" s="585">
        <f ca="1"/>
        <v>1.2885651149447015</v>
      </c>
      <c r="AR90" s="497">
        <f ca="1"/>
        <v>0</v>
      </c>
      <c r="AS90" s="620">
        <f ca="1"/>
        <v>0</v>
      </c>
      <c r="AT90" s="496">
        <f ca="1"/>
        <v>-1.7093005086624702E-2</v>
      </c>
      <c r="AU90" s="497">
        <f ca="1"/>
        <v>-6.0862460051235079E-2</v>
      </c>
      <c r="AV90" s="620">
        <f ca="1"/>
        <v>0</v>
      </c>
      <c r="AW90" s="496">
        <f ca="1"/>
        <v>-5.1583679055678247E-2</v>
      </c>
      <c r="AX90" s="497">
        <f ca="1"/>
        <v>1.6586194155352417E-3</v>
      </c>
      <c r="AY90" s="620">
        <f ca="1"/>
        <v>0</v>
      </c>
    </row>
    <row r="91" spans="2:51">
      <c r="B91" s="539" t="s">
        <v>536</v>
      </c>
      <c r="C91" s="540" t="s">
        <v>66</v>
      </c>
      <c r="D91" s="540" t="s">
        <v>55</v>
      </c>
      <c r="E91" s="540" t="s">
        <v>648</v>
      </c>
      <c r="F91" s="540" t="s">
        <v>647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0.74674943485109002</v>
      </c>
      <c r="Y91" s="485">
        <f ca="1">IF(X91&lt;&gt;"",ABS(MIN(-0.75*('CDO Bespoke'!Q92)+'CDO Bespoke'!T92,0)),"")</f>
        <v>0.74950964339708603</v>
      </c>
      <c r="Z91" s="485">
        <f t="shared" ca="1" si="10"/>
        <v>0</v>
      </c>
      <c r="AA91" s="485">
        <f t="shared" ca="1" si="11"/>
        <v>0</v>
      </c>
      <c r="AB91" s="484">
        <f ca="1">IF('CDO Bespoke'!O92&lt;&gt;"",'CDO Bespoke'!O92,"")</f>
        <v>0.74674943485109002</v>
      </c>
      <c r="AC91" s="485">
        <f ca="1">IF(AB91&lt;&gt;"",ABS(MIN(-0.6*'CDO Bespoke'!K92+'CDO Bespoke'!T92*'CDO Bespoke'!K92,0)),"")</f>
        <v>0.13475988095126673</v>
      </c>
      <c r="AD91" s="485">
        <f t="shared" ca="1" si="12"/>
        <v>0.61198955389982324</v>
      </c>
      <c r="AE91" s="489">
        <f t="shared" ca="1" si="13"/>
        <v>0</v>
      </c>
      <c r="AF91" s="272"/>
      <c r="AG91" s="494" t="str">
        <f ca="1">IF('CDO Bespoke'!C116&lt;&gt;"",'CDO Bespoke'!C116,"")</f>
        <v>Bertelsmann SE &amp; Co. KGaA</v>
      </c>
      <c r="AH91" s="496">
        <f ca="1"/>
        <v>8.2813637991563382E-3</v>
      </c>
      <c r="AI91" s="585">
        <f ca="1"/>
        <v>2.7345922899435493E-2</v>
      </c>
      <c r="AJ91" s="585">
        <f ca="1"/>
        <v>7.4911360399276816E-2</v>
      </c>
      <c r="AK91" s="585">
        <f ca="1"/>
        <v>1.1271882769992025</v>
      </c>
      <c r="AL91" s="497">
        <f ca="1"/>
        <v>0</v>
      </c>
      <c r="AM91" s="620">
        <f ca="1"/>
        <v>0</v>
      </c>
      <c r="AN91" s="496">
        <f ca="1"/>
        <v>7.2137903580314633E-4</v>
      </c>
      <c r="AO91" s="585">
        <f ca="1"/>
        <v>3.5036019740974922E-3</v>
      </c>
      <c r="AP91" s="585">
        <f ca="1"/>
        <v>1.5535160172901533E-2</v>
      </c>
      <c r="AQ91" s="585">
        <f ca="1"/>
        <v>1.2177316941024054</v>
      </c>
      <c r="AR91" s="497">
        <f ca="1"/>
        <v>0</v>
      </c>
      <c r="AS91" s="620">
        <f ca="1"/>
        <v>0</v>
      </c>
      <c r="AT91" s="496">
        <f ca="1"/>
        <v>-1.9865865890466461E-2</v>
      </c>
      <c r="AU91" s="497">
        <f ca="1"/>
        <v>-5.8639168213653559E-2</v>
      </c>
      <c r="AV91" s="620">
        <f ca="1"/>
        <v>0</v>
      </c>
      <c r="AW91" s="496">
        <f ca="1"/>
        <v>-9.7858891837782874E-2</v>
      </c>
      <c r="AX91" s="497">
        <f ca="1"/>
        <v>-2.0616030950772624E-2</v>
      </c>
      <c r="AY91" s="620">
        <f ca="1"/>
        <v>0</v>
      </c>
    </row>
    <row r="92" spans="2:51">
      <c r="B92" s="517" t="s">
        <v>536</v>
      </c>
      <c r="C92" s="518" t="s">
        <v>66</v>
      </c>
      <c r="D92" s="518" t="s">
        <v>57</v>
      </c>
      <c r="E92" s="518" t="s">
        <v>648</v>
      </c>
      <c r="F92" s="518" t="s">
        <v>647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0.74448064503780997</v>
      </c>
      <c r="Y92" s="485">
        <f ca="1">IF(X92&lt;&gt;"",ABS(MIN(-0.75*('CDO Bespoke'!Q93)+'CDO Bespoke'!T93,0)),"")</f>
        <v>0.74523544383754425</v>
      </c>
      <c r="Z92" s="485">
        <f t="shared" ca="1" si="10"/>
        <v>0</v>
      </c>
      <c r="AA92" s="485">
        <f t="shared" ca="1" si="11"/>
        <v>0</v>
      </c>
      <c r="AB92" s="484">
        <f ca="1">IF('CDO Bespoke'!O93&lt;&gt;"",'CDO Bespoke'!O93,"")</f>
        <v>0.74448064503780997</v>
      </c>
      <c r="AC92" s="485">
        <f ca="1">IF(AB92&lt;&gt;"",ABS(MIN(-0.6*'CDO Bespoke'!K93+'CDO Bespoke'!T93*'CDO Bespoke'!K93,0)),"")</f>
        <v>0.17318575842748282</v>
      </c>
      <c r="AD92" s="485">
        <f t="shared" ca="1" si="12"/>
        <v>0.57129488661032712</v>
      </c>
      <c r="AE92" s="489">
        <f t="shared" ca="1" si="13"/>
        <v>0</v>
      </c>
      <c r="AF92" s="272"/>
      <c r="AG92" s="494" t="str">
        <f ca="1">IF('CDO Bespoke'!C117&lt;&gt;"",'CDO Bespoke'!C117,"")</f>
        <v>BRITISH TELECOMMUNICATIONS public limited company</v>
      </c>
      <c r="AH92" s="496">
        <f ca="1"/>
        <v>7.3422099000630681E-3</v>
      </c>
      <c r="AI92" s="585">
        <f ca="1"/>
        <v>2.3949406400269879E-2</v>
      </c>
      <c r="AJ92" s="585">
        <f ca="1"/>
        <v>6.2134298899341189E-2</v>
      </c>
      <c r="AK92" s="585">
        <f ca="1"/>
        <v>1.3688250689991577</v>
      </c>
      <c r="AL92" s="497">
        <f ca="1"/>
        <v>0</v>
      </c>
      <c r="AM92" s="620">
        <f ca="1"/>
        <v>0</v>
      </c>
      <c r="AN92" s="496">
        <f ca="1"/>
        <v>3.570020570007118E-4</v>
      </c>
      <c r="AO92" s="585">
        <f ca="1"/>
        <v>1.8065769929976813E-3</v>
      </c>
      <c r="AP92" s="585">
        <f ca="1"/>
        <v>6.8583819180009081E-3</v>
      </c>
      <c r="AQ92" s="585">
        <f ca="1"/>
        <v>1.4593546447720001</v>
      </c>
      <c r="AR92" s="497">
        <f ca="1"/>
        <v>0</v>
      </c>
      <c r="AS92" s="620">
        <f ca="1"/>
        <v>0</v>
      </c>
      <c r="AT92" s="496">
        <f ca="1"/>
        <v>-1.0825574096498425E-2</v>
      </c>
      <c r="AU92" s="497">
        <f ca="1"/>
        <v>-6.4581170305491487E-2</v>
      </c>
      <c r="AV92" s="620">
        <f ca="1"/>
        <v>0</v>
      </c>
      <c r="AW92" s="496">
        <f ca="1"/>
        <v>-6.1702138884246416E-2</v>
      </c>
      <c r="AX92" s="497">
        <f ca="1"/>
        <v>7.1106823207824112E-3</v>
      </c>
      <c r="AY92" s="620">
        <f ca="1"/>
        <v>0</v>
      </c>
    </row>
    <row r="93" spans="2:51">
      <c r="B93" s="534" t="s">
        <v>536</v>
      </c>
      <c r="C93" s="535" t="s">
        <v>66</v>
      </c>
      <c r="D93" s="535" t="s">
        <v>59</v>
      </c>
      <c r="E93" s="535" t="s">
        <v>648</v>
      </c>
      <c r="F93" s="535" t="s">
        <v>647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0.74680231296218003</v>
      </c>
      <c r="Y93" s="485">
        <f ca="1">IF(X93&lt;&gt;"",ABS(MIN(-0.75*('CDO Bespoke'!Q94)+'CDO Bespoke'!T94,0)),"")</f>
        <v>0.74963645506942189</v>
      </c>
      <c r="Z93" s="485">
        <f t="shared" ca="1" si="10"/>
        <v>0</v>
      </c>
      <c r="AA93" s="485">
        <f t="shared" ca="1" si="11"/>
        <v>0</v>
      </c>
      <c r="AB93" s="484">
        <f ca="1">IF('CDO Bespoke'!O94&lt;&gt;"",'CDO Bespoke'!O94,"")</f>
        <v>0.74680231296218003</v>
      </c>
      <c r="AC93" s="485">
        <f ca="1">IF(AB93&lt;&gt;"",ABS(MIN(-0.6*'CDO Bespoke'!K94+'CDO Bespoke'!T94*'CDO Bespoke'!K94,0)),"")</f>
        <v>0.13317899879372122</v>
      </c>
      <c r="AD93" s="485">
        <f t="shared" ca="1" si="12"/>
        <v>0.61362331416845883</v>
      </c>
      <c r="AE93" s="489">
        <f t="shared" ca="1" si="13"/>
        <v>0</v>
      </c>
      <c r="AF93" s="272"/>
      <c r="AG93" s="494" t="str">
        <f ca="1">IF('CDO Bespoke'!C118&lt;&gt;"",'CDO Bespoke'!C118,"")</f>
        <v>Deutsche Telekom AG</v>
      </c>
      <c r="AH93" s="496">
        <f ca="1"/>
        <v>8.3171037990048546E-3</v>
      </c>
      <c r="AI93" s="585">
        <f ca="1"/>
        <v>2.7491947498514691E-2</v>
      </c>
      <c r="AJ93" s="585">
        <f ca="1"/>
        <v>7.5445521099393176E-2</v>
      </c>
      <c r="AK93" s="585">
        <f ca="1"/>
        <v>1.1166651541993922</v>
      </c>
      <c r="AL93" s="497">
        <f ca="1"/>
        <v>0</v>
      </c>
      <c r="AM93" s="620">
        <f ca="1"/>
        <v>0</v>
      </c>
      <c r="AN93" s="496">
        <f ca="1"/>
        <v>7.2795601150331402E-4</v>
      </c>
      <c r="AO93" s="585">
        <f ca="1"/>
        <v>3.5338097302030358E-3</v>
      </c>
      <c r="AP93" s="585">
        <f ca="1"/>
        <v>1.5700489967400422E-2</v>
      </c>
      <c r="AQ93" s="585">
        <f ca="1"/>
        <v>1.2074941964271972</v>
      </c>
      <c r="AR93" s="497">
        <f ca="1"/>
        <v>0</v>
      </c>
      <c r="AS93" s="620">
        <f ca="1"/>
        <v>0</v>
      </c>
      <c r="AT93" s="496">
        <f ca="1"/>
        <v>-2.0263333825844665E-2</v>
      </c>
      <c r="AU93" s="497">
        <f ca="1"/>
        <v>-5.8286632514345182E-2</v>
      </c>
      <c r="AV93" s="620">
        <f ca="1"/>
        <v>0</v>
      </c>
      <c r="AW93" s="496">
        <f ca="1"/>
        <v>-6.914470692000832E-2</v>
      </c>
      <c r="AX93" s="497">
        <f ca="1"/>
        <v>-8.6504730577593794E-3</v>
      </c>
      <c r="AY93" s="620">
        <f ca="1"/>
        <v>0</v>
      </c>
    </row>
    <row r="94" spans="2:51">
      <c r="B94" s="539" t="s">
        <v>521</v>
      </c>
      <c r="C94" s="540" t="s">
        <v>66</v>
      </c>
      <c r="D94" s="540" t="s">
        <v>55</v>
      </c>
      <c r="E94" s="540" t="s">
        <v>646</v>
      </c>
      <c r="F94" s="540" t="s">
        <v>671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0.74253026280477996</v>
      </c>
      <c r="Y94" s="485">
        <f ca="1">IF(X94&lt;&gt;"",ABS(MIN(-0.75*('CDO Bespoke'!Q95)+'CDO Bespoke'!T95,0)),"")</f>
        <v>0.74238178960922352</v>
      </c>
      <c r="Z94" s="485">
        <f t="shared" ca="1" si="10"/>
        <v>1.4847319555644223E-4</v>
      </c>
      <c r="AA94" s="485">
        <f t="shared" ca="1" si="11"/>
        <v>0</v>
      </c>
      <c r="AB94" s="484">
        <f ca="1">IF('CDO Bespoke'!O95&lt;&gt;"",'CDO Bespoke'!O95,"")</f>
        <v>0.74253026280477996</v>
      </c>
      <c r="AC94" s="485">
        <f ca="1">IF(AB94&lt;&gt;"",ABS(MIN(-0.6*'CDO Bespoke'!K95+'CDO Bespoke'!T95*'CDO Bespoke'!K95,0)),"")</f>
        <v>0.19019128529424814</v>
      </c>
      <c r="AD94" s="485">
        <f t="shared" ca="1" si="12"/>
        <v>0.55233897751053185</v>
      </c>
      <c r="AE94" s="489">
        <f t="shared" ca="1" si="13"/>
        <v>0</v>
      </c>
      <c r="AF94" s="272"/>
      <c r="AG94" s="494" t="str">
        <f ca="1">IF('CDO Bespoke'!C119&lt;&gt;"",'CDO Bespoke'!C119,"")</f>
        <v>ITV PLC</v>
      </c>
      <c r="AH94" s="496">
        <f ca="1"/>
        <v>6.7077580001573267E-3</v>
      </c>
      <c r="AI94" s="585">
        <f ca="1"/>
        <v>2.1489917898520616E-2</v>
      </c>
      <c r="AJ94" s="585">
        <f ca="1"/>
        <v>5.278021879995265E-2</v>
      </c>
      <c r="AK94" s="585">
        <f ca="1"/>
        <v>1.4780894968002833</v>
      </c>
      <c r="AL94" s="497">
        <f ca="1"/>
        <v>0</v>
      </c>
      <c r="AM94" s="620">
        <f ca="1"/>
        <v>0</v>
      </c>
      <c r="AN94" s="496">
        <f ca="1"/>
        <v>1.0942498990251792E-5</v>
      </c>
      <c r="AO94" s="585">
        <f ca="1"/>
        <v>1.7628176601064936E-4</v>
      </c>
      <c r="AP94" s="585">
        <f ca="1"/>
        <v>-5.3692566900930862E-4</v>
      </c>
      <c r="AQ94" s="585">
        <f ca="1"/>
        <v>1.5645074906130096</v>
      </c>
      <c r="AR94" s="497">
        <f ca="1"/>
        <v>0</v>
      </c>
      <c r="AS94" s="620">
        <f ca="1"/>
        <v>0</v>
      </c>
      <c r="AT94" s="496">
        <f ca="1"/>
        <v>-7.0626035254142128E-3</v>
      </c>
      <c r="AU94" s="497">
        <f ca="1"/>
        <v>-6.5316555693265554E-2</v>
      </c>
      <c r="AV94" s="620">
        <f ca="1"/>
        <v>0</v>
      </c>
      <c r="AW94" s="496">
        <f ca="1"/>
        <v>-8.1857218072896171E-2</v>
      </c>
      <c r="AX94" s="497">
        <f ca="1"/>
        <v>3.0028951240234636E-3</v>
      </c>
      <c r="AY94" s="620">
        <f ca="1"/>
        <v>0</v>
      </c>
    </row>
    <row r="95" spans="2:51">
      <c r="B95" s="517" t="s">
        <v>521</v>
      </c>
      <c r="C95" s="518" t="s">
        <v>66</v>
      </c>
      <c r="D95" s="518" t="s">
        <v>57</v>
      </c>
      <c r="E95" s="518" t="s">
        <v>646</v>
      </c>
      <c r="F95" s="518" t="s">
        <v>671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0.74610214521953</v>
      </c>
      <c r="Y95" s="485">
        <f ca="1">IF(X95&lt;&gt;"",ABS(MIN(-0.75*('CDO Bespoke'!Q96)+'CDO Bespoke'!T96,0)),"")</f>
        <v>0.74812666624375479</v>
      </c>
      <c r="Z95" s="485">
        <f t="shared" ca="1" si="10"/>
        <v>0</v>
      </c>
      <c r="AA95" s="485">
        <f t="shared" ca="1" si="11"/>
        <v>0</v>
      </c>
      <c r="AB95" s="484">
        <f ca="1">IF('CDO Bespoke'!O96&lt;&gt;"",'CDO Bespoke'!O96,"")</f>
        <v>0.74610214521953</v>
      </c>
      <c r="AC95" s="485">
        <f ca="1">IF(AB95&lt;&gt;"",ABS(MIN(-0.6*'CDO Bespoke'!K96+'CDO Bespoke'!T96*'CDO Bespoke'!K96,0)),"")</f>
        <v>0.14963943188856482</v>
      </c>
      <c r="AD95" s="485">
        <f t="shared" ca="1" si="12"/>
        <v>0.59646271333096523</v>
      </c>
      <c r="AE95" s="489">
        <f t="shared" ca="1" si="13"/>
        <v>0</v>
      </c>
      <c r="AF95" s="272"/>
      <c r="AG95" s="494" t="str">
        <f ca="1">IF('CDO Bespoke'!C120&lt;&gt;"",'CDO Bespoke'!C120,"")</f>
        <v>Koninklijke KPN N.V.</v>
      </c>
      <c r="AH95" s="496">
        <f ca="1"/>
        <v>7.9790239992938439E-3</v>
      </c>
      <c r="AI95" s="585">
        <f ca="1"/>
        <v>2.6325271800242689E-2</v>
      </c>
      <c r="AJ95" s="585">
        <f ca="1"/>
        <v>7.1346093799551369E-2</v>
      </c>
      <c r="AK95" s="585">
        <f ca="1"/>
        <v>1.2208681678993472</v>
      </c>
      <c r="AL95" s="497">
        <f ca="1"/>
        <v>0</v>
      </c>
      <c r="AM95" s="620">
        <f ca="1"/>
        <v>0</v>
      </c>
      <c r="AN95" s="496">
        <f ca="1"/>
        <v>6.2998801809814597E-4</v>
      </c>
      <c r="AO95" s="585">
        <f ca="1"/>
        <v>3.082298551193921E-3</v>
      </c>
      <c r="AP95" s="585">
        <f ca="1"/>
        <v>1.3347831176900235E-2</v>
      </c>
      <c r="AQ95" s="585">
        <f ca="1"/>
        <v>1.3111209234499976</v>
      </c>
      <c r="AR95" s="497">
        <f ca="1"/>
        <v>0</v>
      </c>
      <c r="AS95" s="620">
        <f ca="1"/>
        <v>0</v>
      </c>
      <c r="AT95" s="496">
        <f ca="1"/>
        <v>-1.6209874317248296E-2</v>
      </c>
      <c r="AU95" s="497">
        <f ca="1"/>
        <v>-6.1486478320731619E-2</v>
      </c>
      <c r="AV95" s="620">
        <f ca="1"/>
        <v>0</v>
      </c>
      <c r="AW95" s="496">
        <f ca="1"/>
        <v>-6.6223811301193203E-2</v>
      </c>
      <c r="AX95" s="497">
        <f ca="1"/>
        <v>-3.5928867002558984E-3</v>
      </c>
      <c r="AY95" s="620">
        <f ca="1"/>
        <v>0</v>
      </c>
    </row>
    <row r="96" spans="2:51">
      <c r="B96" s="534" t="s">
        <v>521</v>
      </c>
      <c r="C96" s="535" t="s">
        <v>66</v>
      </c>
      <c r="D96" s="535" t="s">
        <v>59</v>
      </c>
      <c r="E96" s="535" t="s">
        <v>646</v>
      </c>
      <c r="F96" s="535" t="s">
        <v>671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0.74687613797182995</v>
      </c>
      <c r="Y96" s="485">
        <f ca="1">IF(X96&lt;&gt;"",ABS(MIN(-0.75*('CDO Bespoke'!Q97)+'CDO Bespoke'!T97,0)),"")</f>
        <v>0.74978059658853013</v>
      </c>
      <c r="Z96" s="485">
        <f t="shared" ca="1" si="10"/>
        <v>0</v>
      </c>
      <c r="AA96" s="485">
        <f t="shared" ca="1" si="11"/>
        <v>0</v>
      </c>
      <c r="AB96" s="484">
        <f ca="1">IF('CDO Bespoke'!O97&lt;&gt;"",'CDO Bespoke'!O97,"")</f>
        <v>0.74687613797182995</v>
      </c>
      <c r="AC96" s="485">
        <f ca="1">IF(AB96&lt;&gt;"",ABS(MIN(-0.6*'CDO Bespoke'!K97+'CDO Bespoke'!T97*'CDO Bespoke'!K97,0)),"")</f>
        <v>0.13147016087937602</v>
      </c>
      <c r="AD96" s="485">
        <f t="shared" ca="1" si="12"/>
        <v>0.61540597709245393</v>
      </c>
      <c r="AE96" s="489">
        <f t="shared" ca="1" si="13"/>
        <v>0</v>
      </c>
      <c r="AF96" s="272"/>
      <c r="AG96" s="494" t="str">
        <f ca="1">IF('CDO Bespoke'!C121&lt;&gt;"",'CDO Bespoke'!C121,"")</f>
        <v>Orange</v>
      </c>
      <c r="AH96" s="496">
        <f ca="1"/>
        <v>8.2940644996476465E-3</v>
      </c>
      <c r="AI96" s="585">
        <f ca="1"/>
        <v>2.7197806700129945E-2</v>
      </c>
      <c r="AJ96" s="585">
        <f ca="1"/>
        <v>7.4116965600445894E-2</v>
      </c>
      <c r="AK96" s="585">
        <f ca="1"/>
        <v>1.1094791052990161</v>
      </c>
      <c r="AL96" s="497">
        <f ca="1"/>
        <v>0</v>
      </c>
      <c r="AM96" s="620">
        <f ca="1"/>
        <v>0</v>
      </c>
      <c r="AN96" s="496">
        <f ca="1"/>
        <v>7.3511658039461525E-4</v>
      </c>
      <c r="AO96" s="585">
        <f ca="1"/>
        <v>3.5645325867014743E-3</v>
      </c>
      <c r="AP96" s="585">
        <f ca="1"/>
        <v>1.583398276959469E-2</v>
      </c>
      <c r="AQ96" s="585">
        <f ca="1"/>
        <v>1.1983562138712014</v>
      </c>
      <c r="AR96" s="497">
        <f ca="1"/>
        <v>0</v>
      </c>
      <c r="AS96" s="620">
        <f ca="1"/>
        <v>0</v>
      </c>
      <c r="AT96" s="496">
        <f ca="1"/>
        <v>-2.0717202906467946E-2</v>
      </c>
      <c r="AU96" s="497">
        <f ca="1"/>
        <v>-5.8015976519872003E-2</v>
      </c>
      <c r="AV96" s="620">
        <f ca="1"/>
        <v>0</v>
      </c>
      <c r="AW96" s="496">
        <f ca="1"/>
        <v>-6.9477451210654961E-2</v>
      </c>
      <c r="AX96" s="497">
        <f ca="1"/>
        <v>-9.0560030228521438E-3</v>
      </c>
      <c r="AY96" s="620">
        <f ca="1"/>
        <v>0</v>
      </c>
    </row>
    <row r="97" spans="2:51">
      <c r="B97" s="539" t="s">
        <v>537</v>
      </c>
      <c r="C97" s="540" t="s">
        <v>66</v>
      </c>
      <c r="D97" s="540" t="s">
        <v>55</v>
      </c>
      <c r="E97" s="540" t="s">
        <v>648</v>
      </c>
      <c r="F97" s="540" t="s">
        <v>647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0.74565727568426998</v>
      </c>
      <c r="Y97" s="485">
        <f ca="1">IF(X97&lt;&gt;"",ABS(MIN(-0.75*('CDO Bespoke'!Q98)+'CDO Bespoke'!T98,0)),"")</f>
        <v>0.74727093047125392</v>
      </c>
      <c r="Z97" s="485">
        <f t="shared" ca="1" si="10"/>
        <v>0</v>
      </c>
      <c r="AA97" s="485">
        <f t="shared" ca="1" si="11"/>
        <v>0</v>
      </c>
      <c r="AB97" s="484">
        <f ca="1">IF('CDO Bespoke'!O98&lt;&gt;"",'CDO Bespoke'!O98,"")</f>
        <v>0.74565727568426998</v>
      </c>
      <c r="AC97" s="485">
        <f ca="1">IF(AB97&lt;&gt;"",ABS(MIN(-0.6*'CDO Bespoke'!K98+'CDO Bespoke'!T98*'CDO Bespoke'!K98,0)),"")</f>
        <v>0.15738581185975825</v>
      </c>
      <c r="AD97" s="485">
        <f t="shared" ca="1" si="12"/>
        <v>0.58827146382451168</v>
      </c>
      <c r="AE97" s="489">
        <f t="shared" ca="1" si="13"/>
        <v>0</v>
      </c>
      <c r="AF97" s="272"/>
      <c r="AG97" s="494" t="str">
        <f ca="1">IF('CDO Bespoke'!C122&lt;&gt;"",'CDO Bespoke'!C122,"")</f>
        <v>PEARSON plc</v>
      </c>
      <c r="AH97" s="496">
        <f ca="1"/>
        <v>7.797541499154903E-3</v>
      </c>
      <c r="AI97" s="585">
        <f ca="1"/>
        <v>2.5696129799523959E-2</v>
      </c>
      <c r="AJ97" s="585">
        <f ca="1"/>
        <v>6.9028448499430795E-2</v>
      </c>
      <c r="AK97" s="585">
        <f ca="1"/>
        <v>1.2691655128005408</v>
      </c>
      <c r="AL97" s="497">
        <f ca="1"/>
        <v>0</v>
      </c>
      <c r="AM97" s="620">
        <f ca="1"/>
        <v>0</v>
      </c>
      <c r="AN97" s="496">
        <f ca="1"/>
        <v>5.5994473190101868E-4</v>
      </c>
      <c r="AO97" s="585">
        <f ca="1"/>
        <v>2.7568282048948817E-3</v>
      </c>
      <c r="AP97" s="585">
        <f ca="1"/>
        <v>1.1685571484195897E-2</v>
      </c>
      <c r="AQ97" s="585">
        <f ca="1"/>
        <v>1.3611250334407028</v>
      </c>
      <c r="AR97" s="497">
        <f ca="1"/>
        <v>0</v>
      </c>
      <c r="AS97" s="620">
        <f ca="1"/>
        <v>0</v>
      </c>
      <c r="AT97" s="496">
        <f ca="1"/>
        <v>-1.4377981951507524E-2</v>
      </c>
      <c r="AU97" s="497">
        <f ca="1"/>
        <v>-6.2700573196652565E-2</v>
      </c>
      <c r="AV97" s="620">
        <f ca="1"/>
        <v>0</v>
      </c>
      <c r="AW97" s="496">
        <f ca="1"/>
        <v>-9.1732802238850164E-2</v>
      </c>
      <c r="AX97" s="497">
        <f ca="1"/>
        <v>-1.4341076252766139E-2</v>
      </c>
      <c r="AY97" s="620">
        <f ca="1"/>
        <v>0</v>
      </c>
    </row>
    <row r="98" spans="2:51">
      <c r="B98" s="517" t="s">
        <v>537</v>
      </c>
      <c r="C98" s="518" t="s">
        <v>66</v>
      </c>
      <c r="D98" s="518" t="s">
        <v>57</v>
      </c>
      <c r="E98" s="518" t="s">
        <v>648</v>
      </c>
      <c r="F98" s="518" t="s">
        <v>647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0.74616233104312002</v>
      </c>
      <c r="Y98" s="485">
        <f ca="1">IF(X98&lt;&gt;"",ABS(MIN(-0.75*('CDO Bespoke'!Q99)+'CDO Bespoke'!T99,0)),"")</f>
        <v>0.74823475551035068</v>
      </c>
      <c r="Z98" s="485">
        <f t="shared" ca="1" si="10"/>
        <v>0</v>
      </c>
      <c r="AA98" s="485">
        <f t="shared" ca="1" si="11"/>
        <v>0</v>
      </c>
      <c r="AB98" s="484">
        <f ca="1">IF('CDO Bespoke'!O99&lt;&gt;"",'CDO Bespoke'!O99,"")</f>
        <v>0.74616233104312002</v>
      </c>
      <c r="AC98" s="485">
        <f ca="1">IF(AB98&lt;&gt;"",ABS(MIN(-0.6*'CDO Bespoke'!K99+'CDO Bespoke'!T99*'CDO Bespoke'!K99,0)),"")</f>
        <v>0.14865327462614986</v>
      </c>
      <c r="AD98" s="485">
        <f t="shared" ca="1" si="12"/>
        <v>0.59750905641697016</v>
      </c>
      <c r="AE98" s="489">
        <f t="shared" ca="1" si="13"/>
        <v>0</v>
      </c>
      <c r="AF98" s="272"/>
      <c r="AG98" s="494" t="str">
        <f ca="1">IF('CDO Bespoke'!C123&lt;&gt;"",'CDO Bespoke'!C123,"")</f>
        <v>PUBLICIS GROUPE SA</v>
      </c>
      <c r="AH98" s="496">
        <f ca="1"/>
        <v>7.979970200189257E-3</v>
      </c>
      <c r="AI98" s="585">
        <f ca="1"/>
        <v>2.6236265300294548E-2</v>
      </c>
      <c r="AJ98" s="585">
        <f ca="1"/>
        <v>7.0902067399458701E-2</v>
      </c>
      <c r="AK98" s="585">
        <f ca="1"/>
        <v>1.2164468834985342</v>
      </c>
      <c r="AL98" s="497">
        <f ca="1"/>
        <v>0</v>
      </c>
      <c r="AM98" s="620">
        <f ca="1"/>
        <v>0</v>
      </c>
      <c r="AN98" s="496">
        <f ca="1"/>
        <v>6.3793579179599602E-4</v>
      </c>
      <c r="AO98" s="585">
        <f ca="1"/>
        <v>3.1182198426994712E-3</v>
      </c>
      <c r="AP98" s="585">
        <f ca="1"/>
        <v>1.3514307182199009E-2</v>
      </c>
      <c r="AQ98" s="585">
        <f ca="1"/>
        <v>1.3058915939492994</v>
      </c>
      <c r="AR98" s="497">
        <f ca="1"/>
        <v>0</v>
      </c>
      <c r="AS98" s="620">
        <f ca="1"/>
        <v>0</v>
      </c>
      <c r="AT98" s="496">
        <f ca="1"/>
        <v>-1.645765632219609E-2</v>
      </c>
      <c r="AU98" s="497">
        <f ca="1"/>
        <v>-6.1373176071123803E-2</v>
      </c>
      <c r="AV98" s="620">
        <f ca="1"/>
        <v>0</v>
      </c>
      <c r="AW98" s="496">
        <f ca="1"/>
        <v>-9.4223302073851795E-2</v>
      </c>
      <c r="AX98" s="497">
        <f ca="1"/>
        <v>-1.717283521153971E-2</v>
      </c>
      <c r="AY98" s="620">
        <f ca="1"/>
        <v>0</v>
      </c>
    </row>
    <row r="99" spans="2:51">
      <c r="B99" s="534" t="s">
        <v>537</v>
      </c>
      <c r="C99" s="535" t="s">
        <v>66</v>
      </c>
      <c r="D99" s="535" t="s">
        <v>59</v>
      </c>
      <c r="E99" s="535" t="s">
        <v>648</v>
      </c>
      <c r="F99" s="535" t="s">
        <v>647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0.73754403416103997</v>
      </c>
      <c r="Y99" s="485">
        <f ca="1">IF(X99&lt;&gt;"",ABS(MIN(-0.75*('CDO Bespoke'!Q100)+'CDO Bespoke'!T100,0)),"")</f>
        <v>0.73667791701047969</v>
      </c>
      <c r="Z99" s="485">
        <f t="shared" ca="1" si="10"/>
        <v>8.6611715056028604E-4</v>
      </c>
      <c r="AA99" s="485">
        <f t="shared" ca="1" si="11"/>
        <v>0</v>
      </c>
      <c r="AB99" s="484">
        <f ca="1">IF('CDO Bespoke'!O100&lt;&gt;"",'CDO Bespoke'!O100,"")</f>
        <v>0.73754403416103997</v>
      </c>
      <c r="AC99" s="485">
        <f ca="1">IF(AB99&lt;&gt;"",ABS(MIN(-0.6*'CDO Bespoke'!K100+'CDO Bespoke'!T100*'CDO Bespoke'!K100,0)),"")</f>
        <v>0.21520722691581673</v>
      </c>
      <c r="AD99" s="485">
        <f t="shared" ca="1" si="12"/>
        <v>0.52233680724522324</v>
      </c>
      <c r="AE99" s="489">
        <f t="shared" ca="1" si="13"/>
        <v>0</v>
      </c>
      <c r="AF99" s="272"/>
      <c r="AG99" s="494" t="str">
        <f ca="1">IF('CDO Bespoke'!C124&lt;&gt;"",'CDO Bespoke'!C124,"")</f>
        <v>SES</v>
      </c>
      <c r="AH99" s="496">
        <f ca="1"/>
        <v>5.394382398549169E-3</v>
      </c>
      <c r="AI99" s="585">
        <f ca="1"/>
        <v>1.6452067399530534E-2</v>
      </c>
      <c r="AJ99" s="585">
        <f ca="1"/>
        <v>3.2296924199481936E-2</v>
      </c>
      <c r="AK99" s="585">
        <f ca="1"/>
        <v>1.6319119698993134</v>
      </c>
      <c r="AL99" s="497">
        <f ca="1"/>
        <v>0</v>
      </c>
      <c r="AM99" s="620">
        <f ca="1"/>
        <v>0</v>
      </c>
      <c r="AN99" s="496">
        <f ca="1"/>
        <v>-8.2967645999992845E-4</v>
      </c>
      <c r="AO99" s="585">
        <f ca="1"/>
        <v>-3.8285651060045167E-3</v>
      </c>
      <c r="AP99" s="585">
        <f ca="1"/>
        <v>-1.9867284565995569E-2</v>
      </c>
      <c r="AQ99" s="585">
        <f ca="1"/>
        <v>1.7170001994100055</v>
      </c>
      <c r="AR99" s="497">
        <f ca="1"/>
        <v>0</v>
      </c>
      <c r="AS99" s="620">
        <f ca="1"/>
        <v>0</v>
      </c>
      <c r="AT99" s="496">
        <f ca="1"/>
        <v>-1.6941059392761026E-3</v>
      </c>
      <c r="AU99" s="497">
        <f ca="1"/>
        <v>-6.2108087881073804E-2</v>
      </c>
      <c r="AV99" s="620">
        <f ca="1"/>
        <v>0</v>
      </c>
      <c r="AW99" s="496">
        <f ca="1"/>
        <v>-5.1509196890522406E-2</v>
      </c>
      <c r="AX99" s="497">
        <f ca="1"/>
        <v>4.3405318196340102E-2</v>
      </c>
      <c r="AY99" s="620">
        <f ca="1"/>
        <v>0</v>
      </c>
    </row>
    <row r="100" spans="2:51">
      <c r="B100" s="539" t="s">
        <v>522</v>
      </c>
      <c r="C100" s="540" t="s">
        <v>66</v>
      </c>
      <c r="D100" s="540" t="s">
        <v>55</v>
      </c>
      <c r="E100" s="540" t="s">
        <v>648</v>
      </c>
      <c r="F100" s="540" t="s">
        <v>647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0.74756746071942004</v>
      </c>
      <c r="Y100" s="485">
        <f ca="1">IF(X100&lt;&gt;"",ABS(MIN(-0.75*('CDO Bespoke'!Q101)+'CDO Bespoke'!T101,0)),"")</f>
        <v>0.75163274574548056</v>
      </c>
      <c r="Z100" s="485">
        <f t="shared" ca="1" si="10"/>
        <v>0</v>
      </c>
      <c r="AA100" s="485">
        <f t="shared" ca="1" si="11"/>
        <v>0</v>
      </c>
      <c r="AB100" s="484">
        <f ca="1">IF('CDO Bespoke'!O101&lt;&gt;"",'CDO Bespoke'!O101,"")</f>
        <v>0.74756746071942004</v>
      </c>
      <c r="AC100" s="485">
        <f ca="1">IF(AB100&lt;&gt;"",ABS(MIN(-0.6*'CDO Bespoke'!K101+'CDO Bespoke'!T101*'CDO Bespoke'!K101,0)),"")</f>
        <v>0.10039972661924892</v>
      </c>
      <c r="AD100" s="485">
        <f t="shared" ca="1" si="12"/>
        <v>0.64716773410017114</v>
      </c>
      <c r="AE100" s="489">
        <f t="shared" ca="1" si="13"/>
        <v>0</v>
      </c>
      <c r="AF100" s="272"/>
      <c r="AG100" s="494" t="str">
        <f ca="1">IF('CDO Bespoke'!C125&lt;&gt;"",'CDO Bespoke'!C125,"")</f>
        <v>SKY LIMITED</v>
      </c>
      <c r="AH100" s="496">
        <f ca="1"/>
        <v>8.6420898992578543E-3</v>
      </c>
      <c r="AI100" s="585">
        <f ca="1"/>
        <v>2.7868793299745676E-2</v>
      </c>
      <c r="AJ100" s="585">
        <f ca="1"/>
        <v>7.5310358298441571E-2</v>
      </c>
      <c r="AK100" s="585">
        <f ca="1"/>
        <v>0.91321137339894776</v>
      </c>
      <c r="AL100" s="497">
        <f ca="1"/>
        <v>0</v>
      </c>
      <c r="AM100" s="620">
        <f ca="1"/>
        <v>0</v>
      </c>
      <c r="AN100" s="496">
        <f ca="1"/>
        <v>7.6393484250286692E-4</v>
      </c>
      <c r="AO100" s="585">
        <f ca="1"/>
        <v>3.6787729898977994E-3</v>
      </c>
      <c r="AP100" s="585">
        <f ca="1"/>
        <v>1.6635702447895945E-2</v>
      </c>
      <c r="AQ100" s="585">
        <f ca="1"/>
        <v>0.99792470731349314</v>
      </c>
      <c r="AR100" s="497">
        <f ca="1"/>
        <v>0</v>
      </c>
      <c r="AS100" s="620">
        <f ca="1"/>
        <v>0</v>
      </c>
      <c r="AT100" s="496">
        <f ca="1"/>
        <v>-2.9159889564110308E-2</v>
      </c>
      <c r="AU100" s="497">
        <f ca="1"/>
        <v>-5.0204793105299572E-2</v>
      </c>
      <c r="AV100" s="620">
        <f ca="1"/>
        <v>0</v>
      </c>
      <c r="AW100" s="496">
        <f ca="1"/>
        <v>-0.10644707927089271</v>
      </c>
      <c r="AX100" s="497">
        <f ca="1"/>
        <v>-2.4080564725507889E-2</v>
      </c>
      <c r="AY100" s="620">
        <f ca="1"/>
        <v>0</v>
      </c>
    </row>
    <row r="101" spans="2:51">
      <c r="B101" s="517" t="s">
        <v>522</v>
      </c>
      <c r="C101" s="518" t="s">
        <v>66</v>
      </c>
      <c r="D101" s="518" t="s">
        <v>57</v>
      </c>
      <c r="E101" s="518" t="s">
        <v>648</v>
      </c>
      <c r="F101" s="518" t="s">
        <v>647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0.74688119147090004</v>
      </c>
      <c r="Y101" s="485">
        <f ca="1">IF(X101&lt;&gt;"",ABS(MIN(-0.75*('CDO Bespoke'!Q102)+'CDO Bespoke'!T102,0)),"")</f>
        <v>0.74980327803824953</v>
      </c>
      <c r="Z101" s="485">
        <f t="shared" ca="1" si="10"/>
        <v>0</v>
      </c>
      <c r="AA101" s="485">
        <f t="shared" ca="1" si="11"/>
        <v>0</v>
      </c>
      <c r="AB101" s="484">
        <f ca="1">IF('CDO Bespoke'!O102&lt;&gt;"",'CDO Bespoke'!O102,"")</f>
        <v>0.74688119147090004</v>
      </c>
      <c r="AC101" s="485">
        <f ca="1">IF(AB101&lt;&gt;"",ABS(MIN(-0.6*'CDO Bespoke'!K102+'CDO Bespoke'!T102*'CDO Bespoke'!K102,0)),"")</f>
        <v>0.13114472038779421</v>
      </c>
      <c r="AD101" s="485">
        <f t="shared" ca="1" si="12"/>
        <v>0.61573647108310581</v>
      </c>
      <c r="AE101" s="489">
        <f t="shared" ca="1" si="13"/>
        <v>0</v>
      </c>
      <c r="AF101" s="272"/>
      <c r="AG101" s="494" t="str">
        <f ca="1">IF('CDO Bespoke'!C126&lt;&gt;"",'CDO Bespoke'!C126,"")</f>
        <v>STMicroelectronics N.V.</v>
      </c>
      <c r="AH101" s="496">
        <f ca="1"/>
        <v>8.3205071987890733E-3</v>
      </c>
      <c r="AI101" s="585">
        <f ca="1"/>
        <v>2.7366387298499717E-2</v>
      </c>
      <c r="AJ101" s="585">
        <f ca="1"/>
        <v>7.479913880059641E-2</v>
      </c>
      <c r="AK101" s="585">
        <f ca="1"/>
        <v>1.1060508487004128</v>
      </c>
      <c r="AL101" s="497">
        <f ca="1"/>
        <v>0</v>
      </c>
      <c r="AM101" s="620">
        <f ca="1"/>
        <v>0</v>
      </c>
      <c r="AN101" s="496">
        <f ca="1"/>
        <v>7.3615623870197655E-4</v>
      </c>
      <c r="AO101" s="585">
        <f ca="1"/>
        <v>3.5699098106974081E-3</v>
      </c>
      <c r="AP101" s="585">
        <f ca="1"/>
        <v>1.5874174272897251E-2</v>
      </c>
      <c r="AQ101" s="585">
        <f ca="1"/>
        <v>1.1956759270535018</v>
      </c>
      <c r="AR101" s="497">
        <f ca="1"/>
        <v>0</v>
      </c>
      <c r="AS101" s="620">
        <f ca="1"/>
        <v>0</v>
      </c>
      <c r="AT101" s="496">
        <f ca="1"/>
        <v>-2.0793653317745076E-2</v>
      </c>
      <c r="AU101" s="497">
        <f ca="1"/>
        <v>-5.790819417431492E-2</v>
      </c>
      <c r="AV101" s="620">
        <f ca="1"/>
        <v>0</v>
      </c>
      <c r="AW101" s="496">
        <f ca="1"/>
        <v>-6.9520180590535621E-2</v>
      </c>
      <c r="AX101" s="497">
        <f ca="1"/>
        <v>-9.1435972058939684E-3</v>
      </c>
      <c r="AY101" s="620">
        <f ca="1"/>
        <v>0</v>
      </c>
    </row>
    <row r="102" spans="2:51">
      <c r="B102" s="534" t="s">
        <v>522</v>
      </c>
      <c r="C102" s="535" t="s">
        <v>66</v>
      </c>
      <c r="D102" s="535" t="s">
        <v>59</v>
      </c>
      <c r="E102" s="535" t="s">
        <v>648</v>
      </c>
      <c r="F102" s="535" t="s">
        <v>647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0.74487279409871998</v>
      </c>
      <c r="Y102" s="485">
        <f ca="1">IF(X102&lt;&gt;"",ABS(MIN(-0.75*('CDO Bespoke'!Q103)+'CDO Bespoke'!T103,0)),"")</f>
        <v>0.74589573555002853</v>
      </c>
      <c r="Z102" s="485">
        <f t="shared" ca="1" si="10"/>
        <v>0</v>
      </c>
      <c r="AA102" s="485">
        <f t="shared" ca="1" si="11"/>
        <v>0</v>
      </c>
      <c r="AB102" s="484">
        <f ca="1">IF('CDO Bespoke'!O103&lt;&gt;"",'CDO Bespoke'!O103,"")</f>
        <v>0.74487279409871998</v>
      </c>
      <c r="AC102" s="485">
        <f ca="1">IF(AB102&lt;&gt;"",ABS(MIN(-0.6*'CDO Bespoke'!K103+'CDO Bespoke'!T103*'CDO Bespoke'!K103,0)),"")</f>
        <v>0.16839403503981742</v>
      </c>
      <c r="AD102" s="485">
        <f t="shared" ca="1" si="12"/>
        <v>0.57647875905890256</v>
      </c>
      <c r="AE102" s="489">
        <f t="shared" ca="1" si="13"/>
        <v>0</v>
      </c>
      <c r="AF102" s="272"/>
      <c r="AG102" s="494" t="str">
        <f ca="1">IF('CDO Bespoke'!C127&lt;&gt;"",'CDO Bespoke'!C127,"")</f>
        <v>TELEFONICA, S.A.</v>
      </c>
      <c r="AH102" s="496">
        <f ca="1"/>
        <v>7.5145921996089271E-3</v>
      </c>
      <c r="AI102" s="585">
        <f ca="1"/>
        <v>2.4724873399772918E-2</v>
      </c>
      <c r="AJ102" s="585">
        <f ca="1"/>
        <v>6.5366249599740911E-2</v>
      </c>
      <c r="AK102" s="585">
        <f ca="1"/>
        <v>1.3355363962985756</v>
      </c>
      <c r="AL102" s="497">
        <f ca="1"/>
        <v>0</v>
      </c>
      <c r="AM102" s="620">
        <f ca="1"/>
        <v>0</v>
      </c>
      <c r="AN102" s="496">
        <f ca="1"/>
        <v>4.2891768450327439E-4</v>
      </c>
      <c r="AO102" s="585">
        <f ca="1"/>
        <v>2.1450910531965045E-3</v>
      </c>
      <c r="AP102" s="585">
        <f ca="1"/>
        <v>8.6020850920045383E-3</v>
      </c>
      <c r="AQ102" s="585">
        <f ca="1"/>
        <v>1.4274933054652001</v>
      </c>
      <c r="AR102" s="497">
        <f ca="1"/>
        <v>0</v>
      </c>
      <c r="AS102" s="620">
        <f ca="1"/>
        <v>0</v>
      </c>
      <c r="AT102" s="496">
        <f ca="1"/>
        <v>-1.1884588761704951E-2</v>
      </c>
      <c r="AU102" s="497">
        <f ca="1"/>
        <v>-6.4005753800504772E-2</v>
      </c>
      <c r="AV102" s="620">
        <f ca="1"/>
        <v>0</v>
      </c>
      <c r="AW102" s="496">
        <f ca="1"/>
        <v>-6.262329437170891E-2</v>
      </c>
      <c r="AX102" s="497">
        <f ca="1"/>
        <v>4.5091567690394088E-3</v>
      </c>
      <c r="AY102" s="620">
        <f ca="1"/>
        <v>0</v>
      </c>
    </row>
    <row r="103" spans="2:51">
      <c r="B103" s="539" t="s">
        <v>523</v>
      </c>
      <c r="C103" s="540" t="s">
        <v>66</v>
      </c>
      <c r="D103" s="540" t="s">
        <v>55</v>
      </c>
      <c r="E103" s="540" t="s">
        <v>650</v>
      </c>
      <c r="F103" s="540" t="s">
        <v>672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0.74722024558620004</v>
      </c>
      <c r="Y103" s="485">
        <f ca="1">IF(X103&lt;&gt;"",ABS(MIN(-0.75*('CDO Bespoke'!Q104)+'CDO Bespoke'!T104,0)),"")</f>
        <v>0.75063378366822908</v>
      </c>
      <c r="Z103" s="485">
        <f t="shared" ca="1" si="10"/>
        <v>0</v>
      </c>
      <c r="AA103" s="485">
        <f t="shared" ca="1" si="11"/>
        <v>0</v>
      </c>
      <c r="AB103" s="484">
        <f ca="1">IF('CDO Bespoke'!O104&lt;&gt;"",'CDO Bespoke'!O104,"")</f>
        <v>0.74722024558620004</v>
      </c>
      <c r="AC103" s="485">
        <f ca="1">IF(AB103&lt;&gt;"",ABS(MIN(-0.6*'CDO Bespoke'!K104+'CDO Bespoke'!T104*'CDO Bespoke'!K104,0)),"")</f>
        <v>0.11934603367087424</v>
      </c>
      <c r="AD103" s="485">
        <f t="shared" ca="1" si="12"/>
        <v>0.62787421191532578</v>
      </c>
      <c r="AE103" s="489">
        <f t="shared" ca="1" si="13"/>
        <v>0</v>
      </c>
      <c r="AF103" s="272"/>
      <c r="AG103" s="494" t="str">
        <f ca="1">IF('CDO Bespoke'!C128&lt;&gt;"",'CDO Bespoke'!C128,"")</f>
        <v>Telekom Austria Aktiengesellschaft</v>
      </c>
      <c r="AH103" s="496">
        <f ca="1"/>
        <v>8.4574068992537832E-3</v>
      </c>
      <c r="AI103" s="585">
        <f ca="1"/>
        <v>2.758733820051873E-2</v>
      </c>
      <c r="AJ103" s="585">
        <f ca="1"/>
        <v>7.5124612699539739E-2</v>
      </c>
      <c r="AK103" s="585">
        <f ca="1"/>
        <v>1.0337166984997204</v>
      </c>
      <c r="AL103" s="497">
        <f ca="1"/>
        <v>0</v>
      </c>
      <c r="AM103" s="620">
        <f ca="1"/>
        <v>0</v>
      </c>
      <c r="AN103" s="496">
        <f ca="1"/>
        <v>7.6578357120771212E-4</v>
      </c>
      <c r="AO103" s="585">
        <f ca="1"/>
        <v>3.7004446751948139E-3</v>
      </c>
      <c r="AP103" s="585">
        <f ca="1"/>
        <v>1.6590369513597159E-2</v>
      </c>
      <c r="AQ103" s="585">
        <f ca="1"/>
        <v>1.1214518355230976</v>
      </c>
      <c r="AR103" s="497">
        <f ca="1"/>
        <v>0</v>
      </c>
      <c r="AS103" s="620">
        <f ca="1"/>
        <v>0</v>
      </c>
      <c r="AT103" s="496">
        <f ca="1"/>
        <v>-2.389122269674826E-2</v>
      </c>
      <c r="AU103" s="497">
        <f ca="1"/>
        <v>-5.5213025066621624E-2</v>
      </c>
      <c r="AV103" s="620">
        <f ca="1"/>
        <v>0</v>
      </c>
      <c r="AW103" s="496">
        <f ca="1"/>
        <v>-7.1539562583209565E-2</v>
      </c>
      <c r="AX103" s="497">
        <f ca="1"/>
        <v>-1.1555864079791547E-2</v>
      </c>
      <c r="AY103" s="620">
        <f ca="1"/>
        <v>0</v>
      </c>
    </row>
    <row r="104" spans="2:51">
      <c r="B104" s="517" t="s">
        <v>523</v>
      </c>
      <c r="C104" s="518" t="s">
        <v>66</v>
      </c>
      <c r="D104" s="518" t="s">
        <v>57</v>
      </c>
      <c r="E104" s="518" t="s">
        <v>650</v>
      </c>
      <c r="F104" s="518" t="s">
        <v>672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0.74710684536190997</v>
      </c>
      <c r="Y104" s="485">
        <f ca="1">IF(X104&lt;&gt;"",ABS(MIN(-0.75*('CDO Bespoke'!Q105)+'CDO Bespoke'!T105,0)),"")</f>
        <v>0.75035067266498712</v>
      </c>
      <c r="Z104" s="485">
        <f t="shared" ca="1" si="10"/>
        <v>0</v>
      </c>
      <c r="AA104" s="485">
        <f t="shared" ca="1" si="11"/>
        <v>0</v>
      </c>
      <c r="AB104" s="484">
        <f ca="1">IF('CDO Bespoke'!O105&lt;&gt;"",'CDO Bespoke'!O105,"")</f>
        <v>0.74710684536190997</v>
      </c>
      <c r="AC104" s="485">
        <f ca="1">IF(AB104&lt;&gt;"",ABS(MIN(-0.6*'CDO Bespoke'!K105+'CDO Bespoke'!T105*'CDO Bespoke'!K105,0)),"")</f>
        <v>0.12364334701089653</v>
      </c>
      <c r="AD104" s="485">
        <f t="shared" ca="1" si="12"/>
        <v>0.62346349835101345</v>
      </c>
      <c r="AE104" s="489">
        <f t="shared" ca="1" si="13"/>
        <v>0</v>
      </c>
      <c r="AF104" s="272"/>
      <c r="AG104" s="494" t="str">
        <f ca="1">IF('CDO Bespoke'!C129&lt;&gt;"",'CDO Bespoke'!C129,"")</f>
        <v>TELENOR ASA</v>
      </c>
      <c r="AH104" s="496">
        <f ca="1"/>
        <v>8.4245864995224906E-3</v>
      </c>
      <c r="AI104" s="585">
        <f ca="1"/>
        <v>2.7614209698878511E-2</v>
      </c>
      <c r="AJ104" s="585">
        <f ca="1"/>
        <v>7.543932770026629E-2</v>
      </c>
      <c r="AK104" s="585">
        <f ca="1"/>
        <v>1.0594509970984767</v>
      </c>
      <c r="AL104" s="497">
        <f ca="1"/>
        <v>0</v>
      </c>
      <c r="AM104" s="620">
        <f ca="1"/>
        <v>0</v>
      </c>
      <c r="AN104" s="496">
        <f ca="1"/>
        <v>7.5793608609805996E-4</v>
      </c>
      <c r="AO104" s="585">
        <f ca="1"/>
        <v>3.6670955919082537E-3</v>
      </c>
      <c r="AP104" s="585">
        <f ca="1"/>
        <v>1.6403275957810326E-2</v>
      </c>
      <c r="AQ104" s="585">
        <f ca="1"/>
        <v>1.1483563064744116</v>
      </c>
      <c r="AR104" s="497">
        <f ca="1"/>
        <v>0</v>
      </c>
      <c r="AS104" s="620">
        <f ca="1"/>
        <v>0</v>
      </c>
      <c r="AT104" s="496">
        <f ca="1"/>
        <v>-2.2744781887672705E-2</v>
      </c>
      <c r="AU104" s="497">
        <f ca="1"/>
        <v>-5.6215920491397231E-2</v>
      </c>
      <c r="AV104" s="620">
        <f ca="1"/>
        <v>0</v>
      </c>
      <c r="AW104" s="496">
        <f ca="1"/>
        <v>-7.0806453953596235E-2</v>
      </c>
      <c r="AX104" s="497">
        <f ca="1"/>
        <v>-1.0775097406427164E-2</v>
      </c>
      <c r="AY104" s="620">
        <f ca="1"/>
        <v>0</v>
      </c>
    </row>
    <row r="105" spans="2:51">
      <c r="B105" s="534" t="s">
        <v>523</v>
      </c>
      <c r="C105" s="535" t="s">
        <v>66</v>
      </c>
      <c r="D105" s="535" t="s">
        <v>59</v>
      </c>
      <c r="E105" s="535" t="s">
        <v>650</v>
      </c>
      <c r="F105" s="535" t="s">
        <v>672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0.74706268900684003</v>
      </c>
      <c r="Y105" s="485">
        <f ca="1">IF(X105&lt;&gt;"",ABS(MIN(-0.75*('CDO Bespoke'!Q106)+'CDO Bespoke'!T106,0)),"")</f>
        <v>0.75023991271743329</v>
      </c>
      <c r="Z105" s="485">
        <f t="shared" ca="1" si="10"/>
        <v>0</v>
      </c>
      <c r="AA105" s="485">
        <f t="shared" ca="1" si="11"/>
        <v>0</v>
      </c>
      <c r="AB105" s="484">
        <f ca="1">IF('CDO Bespoke'!O106&lt;&gt;"",'CDO Bespoke'!O106,"")</f>
        <v>0.74706268900684003</v>
      </c>
      <c r="AC105" s="485">
        <f ca="1">IF(AB105&lt;&gt;"",ABS(MIN(-0.6*'CDO Bespoke'!K106+'CDO Bespoke'!T106*'CDO Bespoke'!K106,0)),"")</f>
        <v>0.12524446833058039</v>
      </c>
      <c r="AD105" s="485">
        <f t="shared" ca="1" si="12"/>
        <v>0.62181822067625969</v>
      </c>
      <c r="AE105" s="489">
        <f t="shared" ca="1" si="13"/>
        <v>0</v>
      </c>
      <c r="AF105" s="272"/>
      <c r="AG105" s="494" t="str">
        <f ca="1">IF('CDO Bespoke'!C130&lt;&gt;"",'CDO Bespoke'!C130,"")</f>
        <v>Telia Company AB</v>
      </c>
      <c r="AH105" s="496">
        <f ca="1"/>
        <v>8.4026122992852947E-3</v>
      </c>
      <c r="AI105" s="585">
        <f ca="1"/>
        <v>2.7559784498976114E-2</v>
      </c>
      <c r="AJ105" s="585">
        <f ca="1"/>
        <v>7.5297472399427079E-2</v>
      </c>
      <c r="AK105" s="585">
        <f ca="1"/>
        <v>1.069490736398393</v>
      </c>
      <c r="AL105" s="497">
        <f ca="1"/>
        <v>0</v>
      </c>
      <c r="AM105" s="620">
        <f ca="1"/>
        <v>0</v>
      </c>
      <c r="AN105" s="496">
        <f ca="1"/>
        <v>7.5421419280102819E-4</v>
      </c>
      <c r="AO105" s="585">
        <f ca="1"/>
        <v>3.6506725472999768E-3</v>
      </c>
      <c r="AP105" s="585">
        <f ca="1"/>
        <v>1.6310815227089243E-2</v>
      </c>
      <c r="AQ105" s="585">
        <f ca="1"/>
        <v>1.1585281937735898</v>
      </c>
      <c r="AR105" s="497">
        <f ca="1"/>
        <v>0</v>
      </c>
      <c r="AS105" s="620">
        <f ca="1"/>
        <v>0</v>
      </c>
      <c r="AT105" s="496">
        <f ca="1"/>
        <v>-2.2323987373995768E-2</v>
      </c>
      <c r="AU105" s="497">
        <f ca="1"/>
        <v>-5.6589990787593969E-2</v>
      </c>
      <c r="AV105" s="620">
        <f ca="1"/>
        <v>0</v>
      </c>
      <c r="AW105" s="496">
        <f ca="1"/>
        <v>-7.0534750100352803E-2</v>
      </c>
      <c r="AX105" s="497">
        <f ca="1"/>
        <v>-1.0454036827791703E-2</v>
      </c>
      <c r="AY105" s="620">
        <f ca="1"/>
        <v>0</v>
      </c>
    </row>
    <row r="106" spans="2:51">
      <c r="B106" s="539" t="s">
        <v>524</v>
      </c>
      <c r="C106" s="540" t="s">
        <v>66</v>
      </c>
      <c r="D106" s="540" t="s">
        <v>55</v>
      </c>
      <c r="E106" s="540" t="s">
        <v>650</v>
      </c>
      <c r="F106" s="540" t="s">
        <v>672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0.74558943114794995</v>
      </c>
      <c r="Y106" s="485">
        <f ca="1">IF(X106&lt;&gt;"",ABS(MIN(-0.75*('CDO Bespoke'!Q107)+'CDO Bespoke'!T107,0)),"")</f>
        <v>0.74713768571757821</v>
      </c>
      <c r="Z106" s="485">
        <f t="shared" ca="1" si="10"/>
        <v>0</v>
      </c>
      <c r="AA106" s="485">
        <f t="shared" ca="1" si="11"/>
        <v>0</v>
      </c>
      <c r="AB106" s="484">
        <f ca="1">IF('CDO Bespoke'!O107&lt;&gt;"",'CDO Bespoke'!O107,"")</f>
        <v>0.74558943114794995</v>
      </c>
      <c r="AC106" s="485">
        <f ca="1">IF(AB106&lt;&gt;"",ABS(MIN(-0.6*'CDO Bespoke'!K107+'CDO Bespoke'!T107*'CDO Bespoke'!K107,0)),"")</f>
        <v>0.15876605214201689</v>
      </c>
      <c r="AD106" s="485">
        <f t="shared" ca="1" si="12"/>
        <v>0.58682337900593307</v>
      </c>
      <c r="AE106" s="489">
        <f t="shared" ca="1" si="13"/>
        <v>0</v>
      </c>
      <c r="AF106" s="272"/>
      <c r="AG106" s="494" t="str">
        <f ca="1">IF('CDO Bespoke'!C131&lt;&gt;"",'CDO Bespoke'!C131,"")</f>
        <v>Vivendi SE</v>
      </c>
      <c r="AH106" s="496">
        <f ca="1"/>
        <v>7.7560935984877233E-3</v>
      </c>
      <c r="AI106" s="585">
        <f ca="1"/>
        <v>2.5492569100116214E-2</v>
      </c>
      <c r="AJ106" s="585">
        <f ca="1"/>
        <v>6.8190220798847179E-2</v>
      </c>
      <c r="AK106" s="585">
        <f ca="1"/>
        <v>1.2776701532990486</v>
      </c>
      <c r="AL106" s="497">
        <f ca="1"/>
        <v>0</v>
      </c>
      <c r="AM106" s="620">
        <f ca="1"/>
        <v>0</v>
      </c>
      <c r="AN106" s="496">
        <f ca="1"/>
        <v>5.4766585880043628E-4</v>
      </c>
      <c r="AO106" s="585">
        <f ca="1"/>
        <v>2.698995786500763E-3</v>
      </c>
      <c r="AP106" s="585">
        <f ca="1"/>
        <v>1.1379275680206691E-2</v>
      </c>
      <c r="AQ106" s="585">
        <f ca="1"/>
        <v>1.3690883940179008</v>
      </c>
      <c r="AR106" s="497">
        <f ca="1"/>
        <v>0</v>
      </c>
      <c r="AS106" s="620">
        <f ca="1"/>
        <v>0</v>
      </c>
      <c r="AT106" s="496">
        <f ca="1"/>
        <v>-1.4112110480104967E-2</v>
      </c>
      <c r="AU106" s="497">
        <f ca="1"/>
        <v>-6.2908326872904929E-2</v>
      </c>
      <c r="AV106" s="620">
        <f ca="1"/>
        <v>0</v>
      </c>
      <c r="AW106" s="496">
        <f ca="1"/>
        <v>-9.1425225676567329E-2</v>
      </c>
      <c r="AX106" s="497">
        <f ca="1"/>
        <v>-1.3909908789238163E-2</v>
      </c>
      <c r="AY106" s="620">
        <f ca="1"/>
        <v>0</v>
      </c>
    </row>
    <row r="107" spans="2:51">
      <c r="B107" s="517" t="s">
        <v>524</v>
      </c>
      <c r="C107" s="518" t="s">
        <v>66</v>
      </c>
      <c r="D107" s="518" t="s">
        <v>57</v>
      </c>
      <c r="E107" s="518" t="s">
        <v>650</v>
      </c>
      <c r="F107" s="518" t="s">
        <v>672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0.74492429653633996</v>
      </c>
      <c r="Y107" s="485">
        <f ca="1">IF(X107&lt;&gt;"",ABS(MIN(-0.75*('CDO Bespoke'!Q108)+'CDO Bespoke'!T108,0)),"")</f>
        <v>0.74597765270878835</v>
      </c>
      <c r="Z107" s="485">
        <f t="shared" ca="1" si="10"/>
        <v>0</v>
      </c>
      <c r="AA107" s="485">
        <f t="shared" ca="1" si="11"/>
        <v>0</v>
      </c>
      <c r="AB107" s="484">
        <f ca="1">IF('CDO Bespoke'!O108&lt;&gt;"",'CDO Bespoke'!O108,"")</f>
        <v>0.74492429653633996</v>
      </c>
      <c r="AC107" s="485">
        <f ca="1">IF(AB107&lt;&gt;"",ABS(MIN(-0.6*'CDO Bespoke'!K108+'CDO Bespoke'!T108*'CDO Bespoke'!K108,0)),"")</f>
        <v>0.16782667991341826</v>
      </c>
      <c r="AD107" s="485">
        <f t="shared" ca="1" si="12"/>
        <v>0.57709761662292169</v>
      </c>
      <c r="AE107" s="489">
        <f t="shared" ca="1" si="13"/>
        <v>0</v>
      </c>
      <c r="AF107" s="272"/>
      <c r="AG107" s="494" t="str">
        <f ca="1">IF('CDO Bespoke'!C132&lt;&gt;"",'CDO Bespoke'!C132,"")</f>
        <v>VODAFONE GROUP PUBLIC LIMITED COMPANY</v>
      </c>
      <c r="AH107" s="496">
        <f ca="1"/>
        <v>7.5248112985093485E-3</v>
      </c>
      <c r="AI107" s="585">
        <f ca="1"/>
        <v>2.4728687599839816E-2</v>
      </c>
      <c r="AJ107" s="585">
        <f ca="1"/>
        <v>6.5336745298516519E-2</v>
      </c>
      <c r="AK107" s="585">
        <f ca="1"/>
        <v>1.3327738625990015</v>
      </c>
      <c r="AL107" s="497">
        <f ca="1"/>
        <v>0</v>
      </c>
      <c r="AM107" s="620">
        <f ca="1"/>
        <v>0</v>
      </c>
      <c r="AN107" s="496">
        <f ca="1"/>
        <v>4.3683916929951327E-4</v>
      </c>
      <c r="AO107" s="585">
        <f ca="1"/>
        <v>2.1818635522006385E-3</v>
      </c>
      <c r="AP107" s="585">
        <f ca="1"/>
        <v>8.7787702413022473E-3</v>
      </c>
      <c r="AQ107" s="585">
        <f ca="1"/>
        <v>1.4244643002966992</v>
      </c>
      <c r="AR107" s="497">
        <f ca="1"/>
        <v>0</v>
      </c>
      <c r="AS107" s="620">
        <f ca="1"/>
        <v>0</v>
      </c>
      <c r="AT107" s="496">
        <f ca="1"/>
        <v>-1.2018466120156557E-2</v>
      </c>
      <c r="AU107" s="497">
        <f ca="1"/>
        <v>-6.3976375756993331E-2</v>
      </c>
      <c r="AV107" s="620">
        <f ca="1"/>
        <v>0</v>
      </c>
      <c r="AW107" s="496">
        <f ca="1"/>
        <v>-6.2748722532316975E-2</v>
      </c>
      <c r="AX107" s="497">
        <f ca="1"/>
        <v>4.2151103485873684E-3</v>
      </c>
      <c r="AY107" s="620">
        <f ca="1"/>
        <v>0</v>
      </c>
    </row>
    <row r="108" spans="2:51">
      <c r="B108" s="534" t="s">
        <v>524</v>
      </c>
      <c r="C108" s="535" t="s">
        <v>66</v>
      </c>
      <c r="D108" s="535" t="s">
        <v>59</v>
      </c>
      <c r="E108" s="535" t="s">
        <v>650</v>
      </c>
      <c r="F108" s="535" t="s">
        <v>672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0.74501318182520004</v>
      </c>
      <c r="Y108" s="485">
        <f ca="1">IF(X108&lt;&gt;"",ABS(MIN(-0.75*('CDO Bespoke'!Q109)+'CDO Bespoke'!T109,0)),"")</f>
        <v>0.74613735205968545</v>
      </c>
      <c r="Z108" s="485">
        <f t="shared" ca="1" si="10"/>
        <v>0</v>
      </c>
      <c r="AA108" s="485">
        <f t="shared" ca="1" si="11"/>
        <v>0</v>
      </c>
      <c r="AB108" s="484">
        <f ca="1">IF('CDO Bespoke'!O109&lt;&gt;"",'CDO Bespoke'!O109,"")</f>
        <v>0.74501318182520004</v>
      </c>
      <c r="AC108" s="485">
        <f ca="1">IF(AB108&lt;&gt;"",ABS(MIN(-0.6*'CDO Bespoke'!K109+'CDO Bespoke'!T109*'CDO Bespoke'!K109,0)),"")</f>
        <v>0.16657606778307463</v>
      </c>
      <c r="AD108" s="485">
        <f t="shared" ca="1" si="12"/>
        <v>0.57843711404212539</v>
      </c>
      <c r="AE108" s="489">
        <f t="shared" ca="1" si="13"/>
        <v>0</v>
      </c>
      <c r="AF108" s="272"/>
      <c r="AG108" s="494" t="str">
        <f ca="1">IF('CDO Bespoke'!C133&lt;&gt;"",'CDO Bespoke'!C133,"")</f>
        <v>WPP 2005 LIMITED</v>
      </c>
      <c r="AH108" s="496">
        <f ca="1"/>
        <v>7.5730082005343036E-3</v>
      </c>
      <c r="AI108" s="585">
        <f ca="1"/>
        <v>2.4968676799463907E-2</v>
      </c>
      <c r="AJ108" s="585">
        <f ca="1"/>
        <v>6.6356971000214315E-2</v>
      </c>
      <c r="AK108" s="585">
        <f ca="1"/>
        <v>1.3234831798003555</v>
      </c>
      <c r="AL108" s="497">
        <f ca="1"/>
        <v>0</v>
      </c>
      <c r="AM108" s="620">
        <f ca="1"/>
        <v>0</v>
      </c>
      <c r="AN108" s="496">
        <f ca="1"/>
        <v>4.5375723280345615E-4</v>
      </c>
      <c r="AO108" s="585">
        <f ca="1"/>
        <v>2.2617802479009408E-3</v>
      </c>
      <c r="AP108" s="585">
        <f ca="1"/>
        <v>9.1990567979011173E-3</v>
      </c>
      <c r="AQ108" s="585">
        <f ca="1"/>
        <v>1.4157843340178045</v>
      </c>
      <c r="AR108" s="497">
        <f ca="1"/>
        <v>0</v>
      </c>
      <c r="AS108" s="620">
        <f ca="1"/>
        <v>0</v>
      </c>
      <c r="AT108" s="496">
        <f ca="1"/>
        <v>-1.2293253077621635E-2</v>
      </c>
      <c r="AU108" s="497">
        <f ca="1"/>
        <v>-6.3784048652988368E-2</v>
      </c>
      <c r="AV108" s="620">
        <f ca="1"/>
        <v>0</v>
      </c>
      <c r="AW108" s="496">
        <f ca="1"/>
        <v>-8.9124541061930324E-2</v>
      </c>
      <c r="AX108" s="497">
        <f ca="1"/>
        <v>-1.0696265039445194E-2</v>
      </c>
      <c r="AY108" s="620">
        <f ca="1"/>
        <v>0</v>
      </c>
    </row>
    <row r="109" spans="2:51">
      <c r="B109" s="539" t="s">
        <v>538</v>
      </c>
      <c r="C109" s="540" t="s">
        <v>66</v>
      </c>
      <c r="D109" s="540" t="s">
        <v>55</v>
      </c>
      <c r="E109" s="540" t="s">
        <v>648</v>
      </c>
      <c r="F109" s="540" t="s">
        <v>647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ca="1">IF(X109&lt;&gt;"",IF($Y$8,MAX(X109-Y109,0),X109),0)</f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IF(AB109&lt;&gt;"",ABS(MIN(-0.6*'CDO Bespoke'!K110+'CDO Bespoke'!T110*'CDO Bespoke'!K110,0)),"")</f>
        <v/>
      </c>
      <c r="AD109" s="485">
        <f t="shared" ca="1" si="12"/>
        <v>0</v>
      </c>
      <c r="AE109" s="489">
        <f t="shared" ca="1" si="13"/>
        <v>0</v>
      </c>
      <c r="AF109" s="272"/>
      <c r="AG109" s="494" t="str">
        <f ca="1">IF('CDO Bespoke'!C134&lt;&gt;"",'CDO Bespoke'!C134,"")</f>
        <v/>
      </c>
      <c r="AH109" s="496"/>
      <c r="AI109" s="585"/>
      <c r="AJ109" s="585"/>
      <c r="AK109" s="585"/>
      <c r="AL109" s="497"/>
      <c r="AM109" s="620"/>
      <c r="AN109" s="496"/>
      <c r="AO109" s="585"/>
      <c r="AP109" s="585"/>
      <c r="AQ109" s="585"/>
      <c r="AR109" s="497"/>
      <c r="AS109" s="620"/>
      <c r="AT109" s="496"/>
      <c r="AU109" s="497"/>
      <c r="AV109" s="620"/>
      <c r="AW109" s="496"/>
      <c r="AX109" s="497"/>
      <c r="AY109" s="620"/>
    </row>
    <row r="110" spans="2:51">
      <c r="B110" s="517" t="s">
        <v>538</v>
      </c>
      <c r="C110" s="518" t="s">
        <v>66</v>
      </c>
      <c r="D110" s="518" t="s">
        <v>57</v>
      </c>
      <c r="E110" s="518" t="s">
        <v>648</v>
      </c>
      <c r="F110" s="518" t="s">
        <v>647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IF(AB110&lt;&gt;"",ABS(MIN(-0.6*'CDO Bespoke'!K111+'CDO Bespoke'!T111*'CDO Bespoke'!K111,0)),"")</f>
        <v/>
      </c>
      <c r="AD110" s="485">
        <f t="shared" ca="1" si="12"/>
        <v>0</v>
      </c>
      <c r="AE110" s="489">
        <f t="shared" ca="1" si="13"/>
        <v>0</v>
      </c>
      <c r="AF110" s="272"/>
      <c r="AG110" s="494" t="str">
        <f ca="1">IF('CDO Bespoke'!C135&lt;&gt;"",'CDO Bespoke'!C135,"")</f>
        <v/>
      </c>
      <c r="AH110" s="496"/>
      <c r="AI110" s="585"/>
      <c r="AJ110" s="585"/>
      <c r="AK110" s="585"/>
      <c r="AL110" s="497"/>
      <c r="AM110" s="620"/>
      <c r="AN110" s="496"/>
      <c r="AO110" s="585"/>
      <c r="AP110" s="585"/>
      <c r="AQ110" s="585"/>
      <c r="AR110" s="497"/>
      <c r="AS110" s="620"/>
      <c r="AT110" s="629"/>
      <c r="AU110" s="630"/>
      <c r="AV110" s="620"/>
      <c r="AW110" s="629"/>
      <c r="AX110" s="630"/>
      <c r="AY110" s="620"/>
    </row>
    <row r="111" spans="2:51">
      <c r="B111" s="534" t="s">
        <v>538</v>
      </c>
      <c r="C111" s="535" t="s">
        <v>66</v>
      </c>
      <c r="D111" s="535" t="s">
        <v>59</v>
      </c>
      <c r="E111" s="535" t="s">
        <v>648</v>
      </c>
      <c r="F111" s="535" t="s">
        <v>647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IF(AB111&lt;&gt;"",ABS(MIN(-0.6*'CDO Bespoke'!K112+'CDO Bespoke'!T112*'CDO Bespoke'!K112,0)),"")</f>
        <v/>
      </c>
      <c r="AD111" s="485">
        <f t="shared" ca="1" si="12"/>
        <v>0</v>
      </c>
      <c r="AE111" s="489">
        <f t="shared" ca="1" si="13"/>
        <v>0</v>
      </c>
      <c r="AF111" s="272"/>
      <c r="AG111" s="494" t="str">
        <f ca="1">IF('CDO Bespoke'!C136&lt;&gt;"",'CDO Bespoke'!C136,"")</f>
        <v/>
      </c>
      <c r="AH111" s="496"/>
      <c r="AI111" s="585"/>
      <c r="AJ111" s="585"/>
      <c r="AK111" s="585"/>
      <c r="AL111" s="497"/>
      <c r="AM111" s="620"/>
      <c r="AN111" s="496"/>
      <c r="AO111" s="585"/>
      <c r="AP111" s="585"/>
      <c r="AQ111" s="585"/>
      <c r="AR111" s="497"/>
      <c r="AS111" s="620"/>
      <c r="AT111" s="506"/>
      <c r="AU111" s="631"/>
      <c r="AV111" s="620"/>
      <c r="AW111" s="506"/>
      <c r="AX111" s="582"/>
      <c r="AY111" s="620"/>
    </row>
    <row r="112" spans="2:51">
      <c r="B112" s="539" t="s">
        <v>539</v>
      </c>
      <c r="C112" s="540" t="s">
        <v>66</v>
      </c>
      <c r="D112" s="540" t="s">
        <v>55</v>
      </c>
      <c r="E112" s="540" t="s">
        <v>648</v>
      </c>
      <c r="F112" s="540" t="s">
        <v>673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IF(AB112&lt;&gt;"",ABS(MIN(-0.6*'CDO Bespoke'!K113+'CDO Bespoke'!T113*'CDO Bespoke'!K113,0)),"")</f>
        <v/>
      </c>
      <c r="AD112" s="485">
        <f t="shared" ca="1" si="12"/>
        <v>0</v>
      </c>
      <c r="AE112" s="489">
        <f t="shared" ca="1" si="13"/>
        <v>0</v>
      </c>
      <c r="AF112" s="272"/>
      <c r="AG112" s="494" t="str">
        <f ca="1">IF('CDO Bespoke'!C137&lt;&gt;"",'CDO Bespoke'!C137,"")</f>
        <v/>
      </c>
      <c r="AH112" s="496"/>
      <c r="AI112" s="585"/>
      <c r="AJ112" s="585"/>
      <c r="AK112" s="585"/>
      <c r="AL112" s="497"/>
      <c r="AM112" s="620"/>
      <c r="AN112" s="496"/>
      <c r="AO112" s="585"/>
      <c r="AP112" s="585"/>
      <c r="AQ112" s="585"/>
      <c r="AR112" s="497"/>
      <c r="AS112" s="620"/>
      <c r="AT112" s="506"/>
      <c r="AU112" s="631"/>
      <c r="AV112" s="620"/>
      <c r="AW112" s="506"/>
      <c r="AX112" s="582"/>
      <c r="AY112" s="620"/>
    </row>
    <row r="113" spans="2:51">
      <c r="B113" s="517" t="s">
        <v>539</v>
      </c>
      <c r="C113" s="518" t="s">
        <v>66</v>
      </c>
      <c r="D113" s="518" t="s">
        <v>57</v>
      </c>
      <c r="E113" s="518" t="s">
        <v>648</v>
      </c>
      <c r="F113" s="518" t="s">
        <v>673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IF(AB113&lt;&gt;"",ABS(MIN(-0.6*'CDO Bespoke'!K114+'CDO Bespoke'!T114*'CDO Bespoke'!K114,0)),"")</f>
        <v/>
      </c>
      <c r="AD113" s="485">
        <f t="shared" ca="1" si="12"/>
        <v>0</v>
      </c>
      <c r="AE113" s="489">
        <f t="shared" ca="1" si="13"/>
        <v>0</v>
      </c>
      <c r="AF113" s="272"/>
      <c r="AG113" s="494" t="str">
        <f ca="1">IF('CDO Bespoke'!C138&lt;&gt;"",'CDO Bespoke'!C138,"")</f>
        <v/>
      </c>
      <c r="AH113" s="496"/>
      <c r="AI113" s="585"/>
      <c r="AJ113" s="585"/>
      <c r="AK113" s="585"/>
      <c r="AL113" s="497"/>
      <c r="AM113" s="620"/>
      <c r="AN113" s="496"/>
      <c r="AO113" s="585"/>
      <c r="AP113" s="585"/>
      <c r="AQ113" s="585"/>
      <c r="AR113" s="497"/>
      <c r="AS113" s="620"/>
      <c r="AT113" s="506"/>
      <c r="AU113" s="631"/>
      <c r="AV113" s="620"/>
      <c r="AW113" s="506"/>
      <c r="AX113" s="582"/>
      <c r="AY113" s="620"/>
    </row>
    <row r="114" spans="2:51">
      <c r="B114" s="534" t="s">
        <v>539</v>
      </c>
      <c r="C114" s="535" t="s">
        <v>66</v>
      </c>
      <c r="D114" s="535" t="s">
        <v>59</v>
      </c>
      <c r="E114" s="535" t="s">
        <v>648</v>
      </c>
      <c r="F114" s="535" t="s">
        <v>673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IF(AB114&lt;&gt;"",ABS(MIN(-0.6*'CDO Bespoke'!K115+'CDO Bespoke'!T115*'CDO Bespoke'!K115,0)),"")</f>
        <v/>
      </c>
      <c r="AD114" s="485">
        <f t="shared" ca="1" si="12"/>
        <v>0</v>
      </c>
      <c r="AE114" s="489">
        <f t="shared" ca="1" si="13"/>
        <v>0</v>
      </c>
      <c r="AF114" s="272"/>
      <c r="AG114" s="494" t="str">
        <f ca="1">IF('CDO Bespoke'!C139&lt;&gt;"",'CDO Bespoke'!C139,"")</f>
        <v/>
      </c>
      <c r="AH114" s="496"/>
      <c r="AI114" s="585"/>
      <c r="AJ114" s="585"/>
      <c r="AK114" s="585"/>
      <c r="AL114" s="497"/>
      <c r="AM114" s="620"/>
      <c r="AN114" s="496"/>
      <c r="AO114" s="585"/>
      <c r="AP114" s="585"/>
      <c r="AQ114" s="585"/>
      <c r="AR114" s="497"/>
      <c r="AS114" s="620"/>
      <c r="AT114" s="506"/>
      <c r="AU114" s="631"/>
      <c r="AV114" s="620"/>
      <c r="AW114" s="506"/>
      <c r="AX114" s="582"/>
      <c r="AY114" s="620"/>
    </row>
    <row r="115" spans="2:51">
      <c r="B115" s="539" t="s">
        <v>540</v>
      </c>
      <c r="C115" s="540" t="s">
        <v>66</v>
      </c>
      <c r="D115" s="540" t="s">
        <v>55</v>
      </c>
      <c r="E115" s="540" t="s">
        <v>648</v>
      </c>
      <c r="F115" s="540" t="s">
        <v>671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IF(AB115&lt;&gt;"",ABS(MIN(-0.6*'CDO Bespoke'!K116+'CDO Bespoke'!T116*'CDO Bespoke'!K116,0)),"")</f>
        <v/>
      </c>
      <c r="AD115" s="485">
        <f t="shared" ca="1" si="12"/>
        <v>0</v>
      </c>
      <c r="AE115" s="489">
        <f t="shared" ca="1" si="13"/>
        <v>0</v>
      </c>
      <c r="AF115" s="272"/>
      <c r="AG115" s="494" t="str">
        <f ca="1">IF('CDO Bespoke'!C140&lt;&gt;"",'CDO Bespoke'!C140,"")</f>
        <v/>
      </c>
      <c r="AH115" s="496"/>
      <c r="AI115" s="585"/>
      <c r="AJ115" s="585"/>
      <c r="AK115" s="585"/>
      <c r="AL115" s="497"/>
      <c r="AM115" s="620"/>
      <c r="AN115" s="496"/>
      <c r="AO115" s="585"/>
      <c r="AP115" s="585"/>
      <c r="AQ115" s="585"/>
      <c r="AR115" s="497"/>
      <c r="AS115" s="620"/>
      <c r="AT115" s="506"/>
      <c r="AU115" s="631"/>
      <c r="AV115" s="620"/>
      <c r="AW115" s="506"/>
      <c r="AX115" s="582"/>
      <c r="AY115" s="620"/>
    </row>
    <row r="116" spans="2:51">
      <c r="B116" s="517" t="s">
        <v>540</v>
      </c>
      <c r="C116" s="518" t="s">
        <v>66</v>
      </c>
      <c r="D116" s="518" t="s">
        <v>57</v>
      </c>
      <c r="E116" s="518" t="s">
        <v>648</v>
      </c>
      <c r="F116" s="518" t="s">
        <v>671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IF(AB116&lt;&gt;"",ABS(MIN(-0.6*'CDO Bespoke'!K117+'CDO Bespoke'!T117*'CDO Bespoke'!K117,0)),"")</f>
        <v/>
      </c>
      <c r="AD116" s="485">
        <f t="shared" ca="1" si="12"/>
        <v>0</v>
      </c>
      <c r="AE116" s="489">
        <f t="shared" ca="1" si="13"/>
        <v>0</v>
      </c>
      <c r="AF116" s="272"/>
      <c r="AG116" s="494" t="str">
        <f ca="1">IF('CDO Bespoke'!C141&lt;&gt;"",'CDO Bespoke'!C141,"")</f>
        <v/>
      </c>
      <c r="AH116" s="496"/>
      <c r="AI116" s="585"/>
      <c r="AJ116" s="585"/>
      <c r="AK116" s="585"/>
      <c r="AL116" s="497"/>
      <c r="AM116" s="620"/>
      <c r="AN116" s="496"/>
      <c r="AO116" s="585"/>
      <c r="AP116" s="585"/>
      <c r="AQ116" s="585"/>
      <c r="AR116" s="497"/>
      <c r="AS116" s="620"/>
      <c r="AT116" s="506"/>
      <c r="AU116" s="631"/>
      <c r="AV116" s="620"/>
      <c r="AW116" s="506"/>
      <c r="AX116" s="582"/>
      <c r="AY116" s="620"/>
    </row>
    <row r="117" spans="2:51">
      <c r="B117" s="534" t="s">
        <v>540</v>
      </c>
      <c r="C117" s="535" t="s">
        <v>66</v>
      </c>
      <c r="D117" s="535" t="s">
        <v>59</v>
      </c>
      <c r="E117" s="535" t="s">
        <v>648</v>
      </c>
      <c r="F117" s="535" t="s">
        <v>671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IF(AB117&lt;&gt;"",ABS(MIN(-0.6*'CDO Bespoke'!K118+'CDO Bespoke'!T118*'CDO Bespoke'!K118,0)),"")</f>
        <v/>
      </c>
      <c r="AD117" s="485">
        <f t="shared" ca="1" si="12"/>
        <v>0</v>
      </c>
      <c r="AE117" s="489">
        <f t="shared" ca="1" si="13"/>
        <v>0</v>
      </c>
      <c r="AF117" s="272"/>
      <c r="AG117" s="494" t="str">
        <f ca="1">IF('CDO Bespoke'!C142&lt;&gt;"",'CDO Bespoke'!C142,"")</f>
        <v/>
      </c>
      <c r="AH117" s="496"/>
      <c r="AI117" s="585"/>
      <c r="AJ117" s="585"/>
      <c r="AK117" s="585"/>
      <c r="AL117" s="497"/>
      <c r="AM117" s="620"/>
      <c r="AN117" s="496"/>
      <c r="AO117" s="585"/>
      <c r="AP117" s="585"/>
      <c r="AQ117" s="585"/>
      <c r="AR117" s="497"/>
      <c r="AS117" s="620"/>
      <c r="AT117" s="506"/>
      <c r="AU117" s="631"/>
      <c r="AV117" s="620"/>
      <c r="AW117" s="506"/>
      <c r="AX117" s="582"/>
      <c r="AY117" s="620"/>
    </row>
    <row r="118" spans="2:51">
      <c r="B118" s="539" t="s">
        <v>525</v>
      </c>
      <c r="C118" s="540" t="s">
        <v>66</v>
      </c>
      <c r="D118" s="540" t="s">
        <v>55</v>
      </c>
      <c r="E118" s="540" t="s">
        <v>648</v>
      </c>
      <c r="F118" s="540" t="s">
        <v>673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IF(AB118&lt;&gt;"",ABS(MIN(-0.6*'CDO Bespoke'!K119+'CDO Bespoke'!T119*'CDO Bespoke'!K119,0)),"")</f>
        <v/>
      </c>
      <c r="AD118" s="485">
        <f t="shared" ca="1" si="12"/>
        <v>0</v>
      </c>
      <c r="AE118" s="489">
        <f t="shared" ca="1" si="13"/>
        <v>0</v>
      </c>
      <c r="AF118" s="272"/>
      <c r="AG118" s="494" t="str">
        <f ca="1">IF('CDO Bespoke'!C143&lt;&gt;"",'CDO Bespoke'!C143,"")</f>
        <v/>
      </c>
      <c r="AH118" s="496"/>
      <c r="AI118" s="585"/>
      <c r="AJ118" s="585"/>
      <c r="AK118" s="585"/>
      <c r="AL118" s="497"/>
      <c r="AM118" s="620"/>
      <c r="AN118" s="496"/>
      <c r="AO118" s="585"/>
      <c r="AP118" s="585"/>
      <c r="AQ118" s="585"/>
      <c r="AR118" s="497"/>
      <c r="AS118" s="620"/>
      <c r="AT118" s="506"/>
      <c r="AU118" s="631"/>
      <c r="AV118" s="620"/>
      <c r="AW118" s="506"/>
      <c r="AX118" s="582"/>
      <c r="AY118" s="620"/>
    </row>
    <row r="119" spans="2:51">
      <c r="B119" s="517" t="s">
        <v>525</v>
      </c>
      <c r="C119" s="518" t="s">
        <v>66</v>
      </c>
      <c r="D119" s="518" t="s">
        <v>57</v>
      </c>
      <c r="E119" s="518" t="s">
        <v>648</v>
      </c>
      <c r="F119" s="518" t="s">
        <v>673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IF(AB119&lt;&gt;"",ABS(MIN(-0.6*'CDO Bespoke'!K120+'CDO Bespoke'!T120*'CDO Bespoke'!K120,0)),"")</f>
        <v/>
      </c>
      <c r="AD119" s="485">
        <f t="shared" ca="1" si="12"/>
        <v>0</v>
      </c>
      <c r="AE119" s="489">
        <f t="shared" ca="1" si="13"/>
        <v>0</v>
      </c>
      <c r="AF119" s="272"/>
      <c r="AG119" s="494" t="str">
        <f ca="1">IF('CDO Bespoke'!C144&lt;&gt;"",'CDO Bespoke'!C144,"")</f>
        <v/>
      </c>
      <c r="AH119" s="496"/>
      <c r="AI119" s="585"/>
      <c r="AJ119" s="585"/>
      <c r="AK119" s="585"/>
      <c r="AL119" s="497"/>
      <c r="AM119" s="620"/>
      <c r="AN119" s="496"/>
      <c r="AO119" s="585"/>
      <c r="AP119" s="585"/>
      <c r="AQ119" s="585"/>
      <c r="AR119" s="497"/>
      <c r="AS119" s="620"/>
      <c r="AT119" s="506"/>
      <c r="AU119" s="631"/>
      <c r="AV119" s="620"/>
      <c r="AW119" s="506"/>
      <c r="AX119" s="582"/>
      <c r="AY119" s="620"/>
    </row>
    <row r="120" spans="2:51">
      <c r="B120" s="534" t="s">
        <v>525</v>
      </c>
      <c r="C120" s="535" t="s">
        <v>66</v>
      </c>
      <c r="D120" s="535" t="s">
        <v>59</v>
      </c>
      <c r="E120" s="535" t="s">
        <v>648</v>
      </c>
      <c r="F120" s="535" t="s">
        <v>673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IF(AB120&lt;&gt;"",ABS(MIN(-0.6*'CDO Bespoke'!K121+'CDO Bespoke'!T121*'CDO Bespoke'!K121,0)),"")</f>
        <v/>
      </c>
      <c r="AD120" s="485">
        <f t="shared" ca="1" si="12"/>
        <v>0</v>
      </c>
      <c r="AE120" s="489">
        <f t="shared" ca="1" si="13"/>
        <v>0</v>
      </c>
      <c r="AF120" s="272"/>
      <c r="AG120" s="494" t="str">
        <f ca="1">IF('CDO Bespoke'!C145&lt;&gt;"",'CDO Bespoke'!C145,"")</f>
        <v/>
      </c>
      <c r="AH120" s="496"/>
      <c r="AI120" s="585"/>
      <c r="AJ120" s="585"/>
      <c r="AK120" s="585"/>
      <c r="AL120" s="497"/>
      <c r="AM120" s="620"/>
      <c r="AN120" s="496"/>
      <c r="AO120" s="585"/>
      <c r="AP120" s="585"/>
      <c r="AQ120" s="585"/>
      <c r="AR120" s="497"/>
      <c r="AS120" s="620"/>
      <c r="AT120" s="506"/>
      <c r="AU120" s="631"/>
      <c r="AV120" s="620"/>
      <c r="AW120" s="506"/>
      <c r="AX120" s="582"/>
      <c r="AY120" s="620"/>
    </row>
    <row r="121" spans="2:51">
      <c r="B121" s="539" t="s">
        <v>526</v>
      </c>
      <c r="C121" s="540" t="s">
        <v>66</v>
      </c>
      <c r="D121" s="540" t="s">
        <v>55</v>
      </c>
      <c r="E121" s="540" t="s">
        <v>648</v>
      </c>
      <c r="F121" s="540" t="s">
        <v>674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IF(AB121&lt;&gt;"",ABS(MIN(-0.6*'CDO Bespoke'!K122+'CDO Bespoke'!T122*'CDO Bespoke'!K122,0)),"")</f>
        <v/>
      </c>
      <c r="AD121" s="485">
        <f t="shared" ca="1" si="12"/>
        <v>0</v>
      </c>
      <c r="AE121" s="489">
        <f t="shared" ca="1" si="13"/>
        <v>0</v>
      </c>
      <c r="AF121" s="272"/>
      <c r="AG121" s="494" t="str">
        <f ca="1">IF('CDO Bespoke'!C146&lt;&gt;"",'CDO Bespoke'!C146,"")</f>
        <v/>
      </c>
      <c r="AH121" s="496"/>
      <c r="AI121" s="585"/>
      <c r="AJ121" s="585"/>
      <c r="AK121" s="585"/>
      <c r="AL121" s="497"/>
      <c r="AM121" s="620"/>
      <c r="AN121" s="496"/>
      <c r="AO121" s="585"/>
      <c r="AP121" s="585"/>
      <c r="AQ121" s="585"/>
      <c r="AR121" s="497"/>
      <c r="AS121" s="620"/>
      <c r="AT121" s="506"/>
      <c r="AU121" s="631"/>
      <c r="AV121" s="620"/>
      <c r="AW121" s="506"/>
      <c r="AX121" s="582"/>
      <c r="AY121" s="620"/>
    </row>
    <row r="122" spans="2:51">
      <c r="B122" s="517" t="s">
        <v>526</v>
      </c>
      <c r="C122" s="518" t="s">
        <v>66</v>
      </c>
      <c r="D122" s="518" t="s">
        <v>57</v>
      </c>
      <c r="E122" s="518" t="s">
        <v>648</v>
      </c>
      <c r="F122" s="518" t="s">
        <v>674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IF(AB122&lt;&gt;"",ABS(MIN(-0.6*'CDO Bespoke'!K123+'CDO Bespoke'!T123*'CDO Bespoke'!K123,0)),"")</f>
        <v/>
      </c>
      <c r="AD122" s="485">
        <f t="shared" ca="1" si="12"/>
        <v>0</v>
      </c>
      <c r="AE122" s="489">
        <f t="shared" ca="1" si="13"/>
        <v>0</v>
      </c>
      <c r="AF122" s="272"/>
      <c r="AG122" s="494" t="str">
        <f ca="1">IF('CDO Bespoke'!C147&lt;&gt;"",'CDO Bespoke'!C147,"")</f>
        <v/>
      </c>
      <c r="AH122" s="496"/>
      <c r="AI122" s="585"/>
      <c r="AJ122" s="585"/>
      <c r="AK122" s="585"/>
      <c r="AL122" s="497"/>
      <c r="AM122" s="620"/>
      <c r="AN122" s="496"/>
      <c r="AO122" s="585"/>
      <c r="AP122" s="585"/>
      <c r="AQ122" s="585"/>
      <c r="AR122" s="497"/>
      <c r="AS122" s="620"/>
      <c r="AT122" s="506"/>
      <c r="AU122" s="631"/>
      <c r="AV122" s="620"/>
      <c r="AW122" s="506"/>
      <c r="AX122" s="582"/>
      <c r="AY122" s="620"/>
    </row>
    <row r="123" spans="2:51">
      <c r="B123" s="534" t="s">
        <v>526</v>
      </c>
      <c r="C123" s="535" t="s">
        <v>66</v>
      </c>
      <c r="D123" s="535" t="s">
        <v>59</v>
      </c>
      <c r="E123" s="535" t="s">
        <v>648</v>
      </c>
      <c r="F123" s="535" t="s">
        <v>674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IF(AB123&lt;&gt;"",ABS(MIN(-0.6*'CDO Bespoke'!K124+'CDO Bespoke'!T124*'CDO Bespoke'!K124,0)),"")</f>
        <v/>
      </c>
      <c r="AD123" s="485">
        <f t="shared" ca="1" si="12"/>
        <v>0</v>
      </c>
      <c r="AE123" s="489">
        <f t="shared" ca="1" si="13"/>
        <v>0</v>
      </c>
      <c r="AF123" s="272"/>
      <c r="AG123" s="494" t="str">
        <f ca="1">IF('CDO Bespoke'!C148&lt;&gt;"",'CDO Bespoke'!C148,"")</f>
        <v/>
      </c>
      <c r="AH123" s="496"/>
      <c r="AI123" s="585"/>
      <c r="AJ123" s="585"/>
      <c r="AK123" s="585"/>
      <c r="AL123" s="497"/>
      <c r="AM123" s="620"/>
      <c r="AN123" s="496"/>
      <c r="AO123" s="585"/>
      <c r="AP123" s="585"/>
      <c r="AQ123" s="585"/>
      <c r="AR123" s="497"/>
      <c r="AS123" s="620"/>
      <c r="AT123" s="506"/>
      <c r="AU123" s="631"/>
      <c r="AV123" s="620"/>
      <c r="AW123" s="506"/>
      <c r="AX123" s="582"/>
      <c r="AY123" s="620"/>
    </row>
    <row r="124" spans="2:51">
      <c r="B124" s="539" t="s">
        <v>527</v>
      </c>
      <c r="C124" s="540" t="s">
        <v>66</v>
      </c>
      <c r="D124" s="540" t="s">
        <v>55</v>
      </c>
      <c r="E124" s="540" t="s">
        <v>646</v>
      </c>
      <c r="F124" s="540" t="s">
        <v>647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IF(AB124&lt;&gt;"",ABS(MIN(-0.6*'CDO Bespoke'!K125+'CDO Bespoke'!T125*'CDO Bespoke'!K125,0)),"")</f>
        <v/>
      </c>
      <c r="AD124" s="485">
        <f t="shared" ca="1" si="12"/>
        <v>0</v>
      </c>
      <c r="AE124" s="489">
        <f t="shared" ca="1" si="13"/>
        <v>0</v>
      </c>
      <c r="AF124" s="272"/>
      <c r="AG124" s="494" t="str">
        <f ca="1">IF('CDO Bespoke'!C149&lt;&gt;"",'CDO Bespoke'!C149,"")</f>
        <v/>
      </c>
      <c r="AH124" s="496"/>
      <c r="AI124" s="585"/>
      <c r="AJ124" s="585"/>
      <c r="AK124" s="585"/>
      <c r="AL124" s="497"/>
      <c r="AM124" s="620"/>
      <c r="AN124" s="496"/>
      <c r="AO124" s="585"/>
      <c r="AP124" s="585"/>
      <c r="AQ124" s="585"/>
      <c r="AR124" s="497"/>
      <c r="AS124" s="620"/>
      <c r="AT124" s="506"/>
      <c r="AU124" s="631"/>
      <c r="AV124" s="620"/>
      <c r="AW124" s="506"/>
      <c r="AX124" s="582"/>
      <c r="AY124" s="620"/>
    </row>
    <row r="125" spans="2:51">
      <c r="B125" s="517" t="s">
        <v>527</v>
      </c>
      <c r="C125" s="518" t="s">
        <v>66</v>
      </c>
      <c r="D125" s="518" t="s">
        <v>57</v>
      </c>
      <c r="E125" s="518" t="s">
        <v>646</v>
      </c>
      <c r="F125" s="518" t="s">
        <v>647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IF(AB125&lt;&gt;"",ABS(MIN(-0.6*'CDO Bespoke'!K126+'CDO Bespoke'!T126*'CDO Bespoke'!K126,0)),"")</f>
        <v/>
      </c>
      <c r="AD125" s="485">
        <f t="shared" ca="1" si="12"/>
        <v>0</v>
      </c>
      <c r="AE125" s="489">
        <f t="shared" ca="1" si="13"/>
        <v>0</v>
      </c>
      <c r="AF125" s="272"/>
      <c r="AG125" s="494" t="str">
        <f ca="1">IF('CDO Bespoke'!C150&lt;&gt;"",'CDO Bespoke'!C150,"")</f>
        <v/>
      </c>
      <c r="AH125" s="496"/>
      <c r="AI125" s="585"/>
      <c r="AJ125" s="585"/>
      <c r="AK125" s="585"/>
      <c r="AL125" s="497"/>
      <c r="AM125" s="620"/>
      <c r="AN125" s="496"/>
      <c r="AO125" s="585"/>
      <c r="AP125" s="585"/>
      <c r="AQ125" s="585"/>
      <c r="AR125" s="497"/>
      <c r="AS125" s="620"/>
      <c r="AT125" s="506"/>
      <c r="AU125" s="631"/>
      <c r="AV125" s="620"/>
      <c r="AW125" s="506"/>
      <c r="AX125" s="582"/>
      <c r="AY125" s="620"/>
    </row>
    <row r="126" spans="2:51">
      <c r="B126" s="534" t="s">
        <v>527</v>
      </c>
      <c r="C126" s="535" t="s">
        <v>66</v>
      </c>
      <c r="D126" s="535" t="s">
        <v>59</v>
      </c>
      <c r="E126" s="535" t="s">
        <v>646</v>
      </c>
      <c r="F126" s="535" t="s">
        <v>647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IF(AB126&lt;&gt;"",ABS(MIN(-0.6*'CDO Bespoke'!K127+'CDO Bespoke'!T127*'CDO Bespoke'!K127,0)),"")</f>
        <v/>
      </c>
      <c r="AD126" s="485">
        <f t="shared" ca="1" si="12"/>
        <v>0</v>
      </c>
      <c r="AE126" s="489">
        <f t="shared" ca="1" si="13"/>
        <v>0</v>
      </c>
      <c r="AF126" s="272"/>
      <c r="AG126" s="494" t="str">
        <f ca="1">IF('CDO Bespoke'!C151&lt;&gt;"",'CDO Bespoke'!C151,"")</f>
        <v/>
      </c>
      <c r="AH126" s="496"/>
      <c r="AI126" s="585"/>
      <c r="AJ126" s="585"/>
      <c r="AK126" s="585"/>
      <c r="AL126" s="497"/>
      <c r="AM126" s="620"/>
      <c r="AN126" s="496"/>
      <c r="AO126" s="585"/>
      <c r="AP126" s="585"/>
      <c r="AQ126" s="585"/>
      <c r="AR126" s="497"/>
      <c r="AS126" s="620"/>
      <c r="AT126" s="506"/>
      <c r="AU126" s="631"/>
      <c r="AV126" s="620"/>
      <c r="AW126" s="506"/>
      <c r="AX126" s="582"/>
      <c r="AY126" s="620"/>
    </row>
    <row r="127" spans="2:51">
      <c r="B127" s="539" t="s">
        <v>541</v>
      </c>
      <c r="C127" s="540" t="s">
        <v>66</v>
      </c>
      <c r="D127" s="540" t="s">
        <v>55</v>
      </c>
      <c r="E127" s="540" t="s">
        <v>646</v>
      </c>
      <c r="F127" s="540" t="s">
        <v>671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IF(AB127&lt;&gt;"",ABS(MIN(-0.6*'CDO Bespoke'!K128+'CDO Bespoke'!T128*'CDO Bespoke'!K128,0)),"")</f>
        <v/>
      </c>
      <c r="AD127" s="485">
        <f t="shared" ca="1" si="12"/>
        <v>0</v>
      </c>
      <c r="AE127" s="489">
        <f t="shared" ca="1" si="13"/>
        <v>0</v>
      </c>
      <c r="AF127" s="272"/>
      <c r="AG127" s="494" t="str">
        <f ca="1">IF('CDO Bespoke'!C152&lt;&gt;"",'CDO Bespoke'!C152,"")</f>
        <v/>
      </c>
      <c r="AH127" s="496"/>
      <c r="AI127" s="585"/>
      <c r="AJ127" s="585"/>
      <c r="AK127" s="585"/>
      <c r="AL127" s="497"/>
      <c r="AM127" s="620"/>
      <c r="AN127" s="496"/>
      <c r="AO127" s="585"/>
      <c r="AP127" s="585"/>
      <c r="AQ127" s="585"/>
      <c r="AR127" s="497"/>
      <c r="AS127" s="620"/>
      <c r="AT127" s="506"/>
      <c r="AU127" s="631"/>
      <c r="AV127" s="620"/>
      <c r="AW127" s="506"/>
      <c r="AX127" s="582"/>
      <c r="AY127" s="620"/>
    </row>
    <row r="128" spans="2:51">
      <c r="B128" s="517" t="s">
        <v>541</v>
      </c>
      <c r="C128" s="518" t="s">
        <v>66</v>
      </c>
      <c r="D128" s="518" t="s">
        <v>57</v>
      </c>
      <c r="E128" s="518" t="s">
        <v>646</v>
      </c>
      <c r="F128" s="518" t="s">
        <v>671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IF(AB128&lt;&gt;"",ABS(MIN(-0.6*'CDO Bespoke'!K129+'CDO Bespoke'!T129*'CDO Bespoke'!K129,0)),"")</f>
        <v/>
      </c>
      <c r="AD128" s="485">
        <f t="shared" ca="1" si="12"/>
        <v>0</v>
      </c>
      <c r="AE128" s="489">
        <f t="shared" ca="1" si="13"/>
        <v>0</v>
      </c>
      <c r="AF128" s="272"/>
      <c r="AG128" s="494" t="str">
        <f ca="1">IF('CDO Bespoke'!C153&lt;&gt;"",'CDO Bespoke'!C153,"")</f>
        <v/>
      </c>
      <c r="AH128" s="496"/>
      <c r="AI128" s="585"/>
      <c r="AJ128" s="585"/>
      <c r="AK128" s="585"/>
      <c r="AL128" s="497"/>
      <c r="AM128" s="620"/>
      <c r="AN128" s="496"/>
      <c r="AO128" s="585"/>
      <c r="AP128" s="585"/>
      <c r="AQ128" s="585"/>
      <c r="AR128" s="497"/>
      <c r="AS128" s="620"/>
      <c r="AT128" s="506"/>
      <c r="AU128" s="631"/>
      <c r="AV128" s="620"/>
      <c r="AW128" s="506"/>
      <c r="AX128" s="582"/>
      <c r="AY128" s="620"/>
    </row>
    <row r="129" spans="2:51">
      <c r="B129" s="534" t="s">
        <v>541</v>
      </c>
      <c r="C129" s="535" t="s">
        <v>66</v>
      </c>
      <c r="D129" s="535" t="s">
        <v>59</v>
      </c>
      <c r="E129" s="535" t="s">
        <v>646</v>
      </c>
      <c r="F129" s="535" t="s">
        <v>671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IF(AB129&lt;&gt;"",ABS(MIN(-0.6*'CDO Bespoke'!K130+'CDO Bespoke'!T130*'CDO Bespoke'!K130,0)),"")</f>
        <v/>
      </c>
      <c r="AD129" s="485">
        <f t="shared" ca="1" si="12"/>
        <v>0</v>
      </c>
      <c r="AE129" s="489">
        <f t="shared" ca="1" si="13"/>
        <v>0</v>
      </c>
      <c r="AF129" s="272"/>
      <c r="AG129" s="494" t="str">
        <f ca="1">IF('CDO Bespoke'!C154&lt;&gt;"",'CDO Bespoke'!C154,"")</f>
        <v/>
      </c>
      <c r="AH129" s="496"/>
      <c r="AI129" s="585"/>
      <c r="AJ129" s="585"/>
      <c r="AK129" s="585"/>
      <c r="AL129" s="497"/>
      <c r="AM129" s="620"/>
      <c r="AN129" s="496"/>
      <c r="AO129" s="585"/>
      <c r="AP129" s="585"/>
      <c r="AQ129" s="585"/>
      <c r="AR129" s="497"/>
      <c r="AS129" s="620"/>
      <c r="AT129" s="506"/>
      <c r="AU129" s="631"/>
      <c r="AV129" s="620"/>
      <c r="AW129" s="506"/>
      <c r="AX129" s="582"/>
      <c r="AY129" s="620"/>
    </row>
    <row r="130" spans="2:51">
      <c r="B130" s="539" t="s">
        <v>528</v>
      </c>
      <c r="C130" s="540" t="s">
        <v>66</v>
      </c>
      <c r="D130" s="540" t="s">
        <v>55</v>
      </c>
      <c r="E130" s="540" t="s">
        <v>648</v>
      </c>
      <c r="F130" s="540" t="s">
        <v>674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IF(AB130&lt;&gt;"",ABS(MIN(-0.6*'CDO Bespoke'!K131+'CDO Bespoke'!T131*'CDO Bespoke'!K131,0)),"")</f>
        <v/>
      </c>
      <c r="AD130" s="485">
        <f t="shared" ca="1" si="12"/>
        <v>0</v>
      </c>
      <c r="AE130" s="489">
        <f t="shared" ca="1" si="13"/>
        <v>0</v>
      </c>
      <c r="AF130" s="272"/>
      <c r="AG130" s="494" t="str">
        <f ca="1">IF('CDO Bespoke'!C155&lt;&gt;"",'CDO Bespoke'!C155,"")</f>
        <v/>
      </c>
      <c r="AH130" s="496"/>
      <c r="AI130" s="585"/>
      <c r="AJ130" s="585"/>
      <c r="AK130" s="585"/>
      <c r="AL130" s="497"/>
      <c r="AM130" s="620"/>
      <c r="AN130" s="496"/>
      <c r="AO130" s="585"/>
      <c r="AP130" s="585"/>
      <c r="AQ130" s="585"/>
      <c r="AR130" s="497"/>
      <c r="AS130" s="620"/>
      <c r="AT130" s="506"/>
      <c r="AU130" s="631"/>
      <c r="AV130" s="620"/>
      <c r="AW130" s="506"/>
      <c r="AX130" s="582"/>
      <c r="AY130" s="620"/>
    </row>
    <row r="131" spans="2:51">
      <c r="B131" s="517" t="s">
        <v>528</v>
      </c>
      <c r="C131" s="518" t="s">
        <v>66</v>
      </c>
      <c r="D131" s="518" t="s">
        <v>57</v>
      </c>
      <c r="E131" s="518" t="s">
        <v>648</v>
      </c>
      <c r="F131" s="518" t="s">
        <v>674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IF(AB131&lt;&gt;"",ABS(MIN(-0.6*'CDO Bespoke'!K132+'CDO Bespoke'!T132*'CDO Bespoke'!K132,0)),"")</f>
        <v/>
      </c>
      <c r="AD131" s="485">
        <f t="shared" ca="1" si="12"/>
        <v>0</v>
      </c>
      <c r="AE131" s="489">
        <f t="shared" ca="1" si="13"/>
        <v>0</v>
      </c>
      <c r="AF131" s="272"/>
      <c r="AG131" s="494" t="str">
        <f ca="1">IF('CDO Bespoke'!C156&lt;&gt;"",'CDO Bespoke'!C156,"")</f>
        <v/>
      </c>
      <c r="AH131" s="496"/>
      <c r="AI131" s="585"/>
      <c r="AJ131" s="585"/>
      <c r="AK131" s="585"/>
      <c r="AL131" s="497"/>
      <c r="AM131" s="620"/>
      <c r="AN131" s="496"/>
      <c r="AO131" s="585"/>
      <c r="AP131" s="585"/>
      <c r="AQ131" s="585"/>
      <c r="AR131" s="497"/>
      <c r="AS131" s="620"/>
      <c r="AT131" s="506"/>
      <c r="AU131" s="631"/>
      <c r="AV131" s="620"/>
      <c r="AW131" s="506"/>
      <c r="AX131" s="582"/>
      <c r="AY131" s="620"/>
    </row>
    <row r="132" spans="2:51">
      <c r="B132" s="534" t="s">
        <v>528</v>
      </c>
      <c r="C132" s="535" t="s">
        <v>66</v>
      </c>
      <c r="D132" s="535" t="s">
        <v>59</v>
      </c>
      <c r="E132" s="535" t="s">
        <v>648</v>
      </c>
      <c r="F132" s="535" t="s">
        <v>674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IF(AB132&lt;&gt;"",ABS(MIN(-0.6*'CDO Bespoke'!K133+'CDO Bespoke'!T133*'CDO Bespoke'!K133,0)),"")</f>
        <v/>
      </c>
      <c r="AD132" s="485">
        <f t="shared" ca="1" si="12"/>
        <v>0</v>
      </c>
      <c r="AE132" s="489">
        <f t="shared" ca="1" si="13"/>
        <v>0</v>
      </c>
      <c r="AF132" s="272"/>
      <c r="AG132" s="494" t="str">
        <f ca="1">IF('CDO Bespoke'!C157&lt;&gt;"",'CDO Bespoke'!C157,"")</f>
        <v/>
      </c>
      <c r="AH132" s="496"/>
      <c r="AI132" s="585"/>
      <c r="AJ132" s="585"/>
      <c r="AK132" s="585"/>
      <c r="AL132" s="497"/>
      <c r="AM132" s="620"/>
      <c r="AN132" s="496"/>
      <c r="AO132" s="585"/>
      <c r="AP132" s="585"/>
      <c r="AQ132" s="585"/>
      <c r="AR132" s="497"/>
      <c r="AS132" s="620"/>
      <c r="AT132" s="506"/>
      <c r="AU132" s="631"/>
      <c r="AV132" s="620"/>
      <c r="AW132" s="506"/>
      <c r="AX132" s="582"/>
      <c r="AY132" s="620"/>
    </row>
    <row r="133" spans="2:51" ht="10.5" thickBot="1">
      <c r="B133" s="539" t="s">
        <v>542</v>
      </c>
      <c r="C133" s="540" t="s">
        <v>66</v>
      </c>
      <c r="D133" s="540" t="s">
        <v>55</v>
      </c>
      <c r="E133" s="540" t="s">
        <v>648</v>
      </c>
      <c r="F133" s="540" t="s">
        <v>671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IF(AB133&lt;&gt;"",ABS(MIN(-0.6*'CDO Bespoke'!K134+'CDO Bespoke'!T134*'CDO Bespoke'!K134,0)),"")</f>
        <v/>
      </c>
      <c r="AD133" s="485">
        <f t="shared" ca="1" si="12"/>
        <v>0</v>
      </c>
      <c r="AE133" s="489">
        <f t="shared" ca="1" si="13"/>
        <v>0</v>
      </c>
      <c r="AF133" s="272"/>
      <c r="AG133" s="494" t="str">
        <f ca="1">IF('CDO Bespoke'!C158&lt;&gt;"",'CDO Bespoke'!C158,"")</f>
        <v/>
      </c>
      <c r="AH133" s="496"/>
      <c r="AI133" s="585"/>
      <c r="AJ133" s="585"/>
      <c r="AK133" s="585"/>
      <c r="AL133" s="497"/>
      <c r="AM133" s="620"/>
      <c r="AN133" s="496"/>
      <c r="AO133" s="585"/>
      <c r="AP133" s="585"/>
      <c r="AQ133" s="585"/>
      <c r="AR133" s="497"/>
      <c r="AS133" s="620"/>
      <c r="AT133" s="506"/>
      <c r="AU133" s="631"/>
      <c r="AV133" s="620"/>
      <c r="AW133" s="506"/>
      <c r="AX133" s="582"/>
      <c r="AY133" s="620"/>
    </row>
    <row r="134" spans="2:51">
      <c r="B134" s="517" t="s">
        <v>542</v>
      </c>
      <c r="C134" s="518" t="s">
        <v>66</v>
      </c>
      <c r="D134" s="518" t="s">
        <v>57</v>
      </c>
      <c r="E134" s="518" t="s">
        <v>648</v>
      </c>
      <c r="F134" s="518" t="s">
        <v>671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IF(AB134&lt;&gt;"",ABS(MIN(-0.6*'CDO Bespoke'!K135+'CDO Bespoke'!T135*'CDO Bespoke'!K135,0)),"")</f>
        <v/>
      </c>
      <c r="AD134" s="485">
        <f t="shared" ca="1" si="12"/>
        <v>0</v>
      </c>
      <c r="AE134" s="489">
        <f t="shared" ca="1" si="13"/>
        <v>0</v>
      </c>
      <c r="AF134" s="272"/>
      <c r="AG134" s="494" t="str">
        <f ca="1">IF('CDO Bespoke'!C159&lt;&gt;"",'CDO Bespoke'!C159,"")</f>
        <v/>
      </c>
      <c r="AH134" s="496"/>
      <c r="AI134" s="585"/>
      <c r="AJ134" s="585"/>
      <c r="AK134" s="585"/>
      <c r="AL134" s="497"/>
      <c r="AM134" s="620"/>
      <c r="AN134" s="496"/>
      <c r="AO134" s="585"/>
      <c r="AP134" s="585"/>
      <c r="AQ134" s="585"/>
      <c r="AR134" s="497"/>
      <c r="AS134" s="620"/>
      <c r="AT134" s="506"/>
      <c r="AU134" s="631"/>
      <c r="AV134" s="620"/>
      <c r="AW134" s="506"/>
      <c r="AX134" s="582"/>
      <c r="AY134" s="620"/>
    </row>
    <row r="135" spans="2:51">
      <c r="B135" s="534" t="s">
        <v>542</v>
      </c>
      <c r="C135" s="535" t="s">
        <v>66</v>
      </c>
      <c r="D135" s="535" t="s">
        <v>59</v>
      </c>
      <c r="E135" s="535" t="s">
        <v>648</v>
      </c>
      <c r="F135" s="535" t="s">
        <v>671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IF(AB135&lt;&gt;"",ABS(MIN(-0.6*'CDO Bespoke'!K136+'CDO Bespoke'!T136*'CDO Bespoke'!K136,0)),"")</f>
        <v/>
      </c>
      <c r="AD135" s="485">
        <f t="shared" ca="1" si="12"/>
        <v>0</v>
      </c>
      <c r="AE135" s="489">
        <f t="shared" ca="1" si="13"/>
        <v>0</v>
      </c>
      <c r="AF135" s="272"/>
      <c r="AG135" s="494" t="str">
        <f ca="1">IF('CDO Bespoke'!C160&lt;&gt;"",'CDO Bespoke'!C160,"")</f>
        <v/>
      </c>
      <c r="AH135" s="496"/>
      <c r="AI135" s="585"/>
      <c r="AJ135" s="585"/>
      <c r="AK135" s="585"/>
      <c r="AL135" s="497"/>
      <c r="AM135" s="620"/>
      <c r="AN135" s="496"/>
      <c r="AO135" s="585"/>
      <c r="AP135" s="585"/>
      <c r="AQ135" s="585"/>
      <c r="AR135" s="497"/>
      <c r="AS135" s="620"/>
      <c r="AT135" s="506"/>
      <c r="AU135" s="631"/>
      <c r="AV135" s="620"/>
      <c r="AW135" s="506"/>
      <c r="AX135" s="582"/>
      <c r="AY135" s="620"/>
    </row>
    <row r="136" spans="2:51">
      <c r="B136" s="539" t="s">
        <v>543</v>
      </c>
      <c r="C136" s="540" t="s">
        <v>66</v>
      </c>
      <c r="D136" s="540" t="s">
        <v>55</v>
      </c>
      <c r="E136" s="540" t="s">
        <v>646</v>
      </c>
      <c r="F136" s="540" t="s">
        <v>671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IF(AB136&lt;&gt;"",ABS(MIN(-0.6*'CDO Bespoke'!K137+'CDO Bespoke'!T137*'CDO Bespoke'!K137,0)),"")</f>
        <v/>
      </c>
      <c r="AD136" s="485">
        <f t="shared" ca="1" si="12"/>
        <v>0</v>
      </c>
      <c r="AE136" s="489">
        <f t="shared" ca="1" si="13"/>
        <v>0</v>
      </c>
      <c r="AF136" s="272"/>
      <c r="AG136" s="494" t="str">
        <f ca="1">IF('CDO Bespoke'!C161&lt;&gt;"",'CDO Bespoke'!C161,"")</f>
        <v/>
      </c>
      <c r="AH136" s="496"/>
      <c r="AI136" s="585"/>
      <c r="AJ136" s="585"/>
      <c r="AK136" s="585"/>
      <c r="AL136" s="497"/>
      <c r="AM136" s="620"/>
      <c r="AN136" s="496"/>
      <c r="AO136" s="585"/>
      <c r="AP136" s="585"/>
      <c r="AQ136" s="585"/>
      <c r="AR136" s="497"/>
      <c r="AS136" s="620"/>
      <c r="AT136" s="506"/>
      <c r="AU136" s="631"/>
      <c r="AV136" s="620"/>
      <c r="AW136" s="506"/>
      <c r="AX136" s="582"/>
      <c r="AY136" s="620"/>
    </row>
    <row r="137" spans="2:51">
      <c r="B137" s="517" t="s">
        <v>543</v>
      </c>
      <c r="C137" s="518" t="s">
        <v>66</v>
      </c>
      <c r="D137" s="518" t="s">
        <v>57</v>
      </c>
      <c r="E137" s="518" t="s">
        <v>646</v>
      </c>
      <c r="F137" s="518" t="s">
        <v>671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IF(AB137&lt;&gt;"",ABS(MIN(-0.6*'CDO Bespoke'!K138+'CDO Bespoke'!T138*'CDO Bespoke'!K138,0)),"")</f>
        <v/>
      </c>
      <c r="AD137" s="485">
        <f t="shared" ca="1" si="12"/>
        <v>0</v>
      </c>
      <c r="AE137" s="489">
        <f t="shared" ca="1" si="13"/>
        <v>0</v>
      </c>
      <c r="AF137" s="272"/>
      <c r="AG137" s="494" t="str">
        <f ca="1">IF('CDO Bespoke'!C162&lt;&gt;"",'CDO Bespoke'!C162,"")</f>
        <v/>
      </c>
      <c r="AH137" s="496"/>
      <c r="AI137" s="585"/>
      <c r="AJ137" s="585"/>
      <c r="AK137" s="585"/>
      <c r="AL137" s="497"/>
      <c r="AM137" s="620"/>
      <c r="AN137" s="496"/>
      <c r="AO137" s="585"/>
      <c r="AP137" s="585"/>
      <c r="AQ137" s="585"/>
      <c r="AR137" s="497"/>
      <c r="AS137" s="620"/>
      <c r="AT137" s="506"/>
      <c r="AU137" s="631"/>
      <c r="AV137" s="620"/>
      <c r="AW137" s="506"/>
      <c r="AX137" s="582"/>
      <c r="AY137" s="620"/>
    </row>
    <row r="138" spans="2:51" ht="10.5" thickBot="1">
      <c r="B138" s="534" t="s">
        <v>543</v>
      </c>
      <c r="C138" s="535" t="s">
        <v>66</v>
      </c>
      <c r="D138" s="535" t="s">
        <v>59</v>
      </c>
      <c r="E138" s="535" t="s">
        <v>646</v>
      </c>
      <c r="F138" s="535" t="s">
        <v>671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90" t="str">
        <f ca="1">IF('CDO Bespoke'!O139&lt;&gt;"",'CDO Bespoke'!O139,"")</f>
        <v/>
      </c>
      <c r="Y138" s="491" t="str">
        <f ca="1">IF(X138&lt;&gt;"",ABS(MIN(-0.75*('CDO Bespoke'!Q139)+'CDO Bespoke'!T139,0)),"")</f>
        <v/>
      </c>
      <c r="Z138" s="491">
        <f t="shared" ca="1" si="10"/>
        <v>0</v>
      </c>
      <c r="AA138" s="491">
        <f t="shared" ca="1" si="11"/>
        <v>0</v>
      </c>
      <c r="AB138" s="490" t="str">
        <f ca="1">IF('CDO Bespoke'!O139&lt;&gt;"",'CDO Bespoke'!O139,"")</f>
        <v/>
      </c>
      <c r="AC138" s="485" t="str">
        <f ca="1">IF(AB138&lt;&gt;"",ABS(MIN(-0.6*'CDO Bespoke'!K139+'CDO Bespoke'!T139*'CDO Bespoke'!K139,0)),"")</f>
        <v/>
      </c>
      <c r="AD138" s="491">
        <f t="shared" ca="1" si="12"/>
        <v>0</v>
      </c>
      <c r="AE138" s="492">
        <f t="shared" ca="1" si="13"/>
        <v>0</v>
      </c>
      <c r="AF138" s="272"/>
      <c r="AG138" s="494" t="str">
        <f ca="1">IF('CDO Bespoke'!C163&lt;&gt;"",'CDO Bespoke'!C163,"")</f>
        <v/>
      </c>
      <c r="AH138" s="496"/>
      <c r="AI138" s="585"/>
      <c r="AJ138" s="585"/>
      <c r="AK138" s="585"/>
      <c r="AL138" s="497"/>
      <c r="AM138" s="620"/>
      <c r="AN138" s="496"/>
      <c r="AO138" s="585"/>
      <c r="AP138" s="585"/>
      <c r="AQ138" s="585"/>
      <c r="AR138" s="497"/>
      <c r="AS138" s="620"/>
      <c r="AT138" s="506"/>
      <c r="AU138" s="631"/>
      <c r="AV138" s="620"/>
      <c r="AW138" s="506"/>
      <c r="AX138" s="582"/>
      <c r="AY138" s="620"/>
    </row>
    <row r="139" spans="2:51">
      <c r="B139" s="539" t="s">
        <v>544</v>
      </c>
      <c r="C139" s="540" t="s">
        <v>66</v>
      </c>
      <c r="D139" s="540" t="s">
        <v>55</v>
      </c>
      <c r="E139" s="540" t="s">
        <v>648</v>
      </c>
      <c r="F139" s="540" t="s">
        <v>671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G139" s="494" t="str">
        <f ca="1">IF('CDO Bespoke'!C164&lt;&gt;"",'CDO Bespoke'!C164,"")</f>
        <v/>
      </c>
      <c r="AH139" s="496"/>
      <c r="AI139" s="585"/>
      <c r="AJ139" s="585"/>
      <c r="AK139" s="585"/>
      <c r="AL139" s="497"/>
      <c r="AM139" s="620"/>
      <c r="AN139" s="496"/>
      <c r="AO139" s="585"/>
      <c r="AP139" s="585"/>
      <c r="AQ139" s="585"/>
      <c r="AR139" s="497"/>
      <c r="AS139" s="620"/>
      <c r="AT139" s="506"/>
      <c r="AU139" s="631"/>
      <c r="AV139" s="620"/>
      <c r="AW139" s="506"/>
      <c r="AX139" s="582"/>
      <c r="AY139" s="620"/>
    </row>
    <row r="140" spans="2:51">
      <c r="B140" s="517" t="s">
        <v>544</v>
      </c>
      <c r="C140" s="518" t="s">
        <v>66</v>
      </c>
      <c r="D140" s="518" t="s">
        <v>57</v>
      </c>
      <c r="E140" s="518" t="s">
        <v>648</v>
      </c>
      <c r="F140" s="518" t="s">
        <v>671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G140" s="494" t="str">
        <f ca="1">IF('CDO Bespoke'!C165&lt;&gt;"",'CDO Bespoke'!C165,"")</f>
        <v/>
      </c>
      <c r="AH140" s="496"/>
      <c r="AI140" s="585"/>
      <c r="AJ140" s="585"/>
      <c r="AK140" s="585"/>
      <c r="AL140" s="497"/>
      <c r="AM140" s="620"/>
      <c r="AN140" s="496"/>
      <c r="AO140" s="585"/>
      <c r="AP140" s="585"/>
      <c r="AQ140" s="585"/>
      <c r="AR140" s="497"/>
      <c r="AS140" s="620"/>
      <c r="AT140" s="506"/>
      <c r="AU140" s="631"/>
      <c r="AV140" s="620"/>
      <c r="AW140" s="506"/>
      <c r="AX140" s="582"/>
      <c r="AY140" s="620"/>
    </row>
    <row r="141" spans="2:51">
      <c r="B141" s="534" t="s">
        <v>544</v>
      </c>
      <c r="C141" s="535" t="s">
        <v>66</v>
      </c>
      <c r="D141" s="535" t="s">
        <v>59</v>
      </c>
      <c r="E141" s="535" t="s">
        <v>648</v>
      </c>
      <c r="F141" s="535" t="s">
        <v>671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G141" s="494" t="str">
        <f ca="1">IF('CDO Bespoke'!C166&lt;&gt;"",'CDO Bespoke'!C166,"")</f>
        <v/>
      </c>
      <c r="AH141" s="496"/>
      <c r="AI141" s="585"/>
      <c r="AJ141" s="585"/>
      <c r="AK141" s="585"/>
      <c r="AL141" s="497"/>
      <c r="AM141" s="620"/>
      <c r="AN141" s="496"/>
      <c r="AO141" s="585"/>
      <c r="AP141" s="585"/>
      <c r="AQ141" s="585"/>
      <c r="AR141" s="497"/>
      <c r="AS141" s="620"/>
      <c r="AT141" s="506"/>
      <c r="AU141" s="631"/>
      <c r="AV141" s="620"/>
      <c r="AW141" s="506"/>
      <c r="AX141" s="582"/>
      <c r="AY141" s="620"/>
    </row>
    <row r="142" spans="2:51">
      <c r="B142" s="539" t="s">
        <v>560</v>
      </c>
      <c r="C142" s="540" t="s">
        <v>66</v>
      </c>
      <c r="D142" s="540" t="s">
        <v>55</v>
      </c>
      <c r="E142" s="540" t="s">
        <v>650</v>
      </c>
      <c r="F142" s="540" t="s">
        <v>671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G142" s="494" t="str">
        <f ca="1">IF('CDO Bespoke'!C167&lt;&gt;"",'CDO Bespoke'!C167,"")</f>
        <v/>
      </c>
      <c r="AH142" s="496"/>
      <c r="AI142" s="585"/>
      <c r="AJ142" s="585"/>
      <c r="AK142" s="585"/>
      <c r="AL142" s="497"/>
      <c r="AM142" s="620"/>
      <c r="AN142" s="496"/>
      <c r="AO142" s="585"/>
      <c r="AP142" s="585"/>
      <c r="AQ142" s="585"/>
      <c r="AR142" s="497"/>
      <c r="AS142" s="620"/>
      <c r="AT142" s="506"/>
      <c r="AU142" s="631"/>
      <c r="AV142" s="620"/>
      <c r="AW142" s="506"/>
      <c r="AX142" s="582"/>
      <c r="AY142" s="620"/>
    </row>
    <row r="143" spans="2:51">
      <c r="B143" s="517" t="s">
        <v>560</v>
      </c>
      <c r="C143" s="518" t="s">
        <v>66</v>
      </c>
      <c r="D143" s="518" t="s">
        <v>57</v>
      </c>
      <c r="E143" s="518" t="s">
        <v>650</v>
      </c>
      <c r="F143" s="518" t="s">
        <v>671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G143" s="494" t="str">
        <f ca="1">IF('CDO Bespoke'!C168&lt;&gt;"",'CDO Bespoke'!C168,"")</f>
        <v/>
      </c>
      <c r="AH143" s="496"/>
      <c r="AI143" s="585"/>
      <c r="AJ143" s="585"/>
      <c r="AK143" s="585"/>
      <c r="AL143" s="497"/>
      <c r="AM143" s="620"/>
      <c r="AN143" s="496"/>
      <c r="AO143" s="585"/>
      <c r="AP143" s="585"/>
      <c r="AQ143" s="585"/>
      <c r="AR143" s="497"/>
      <c r="AS143" s="620"/>
      <c r="AT143" s="506"/>
      <c r="AU143" s="631"/>
      <c r="AV143" s="620"/>
      <c r="AW143" s="506"/>
      <c r="AX143" s="582"/>
      <c r="AY143" s="620"/>
    </row>
    <row r="144" spans="2:51">
      <c r="B144" s="534" t="s">
        <v>560</v>
      </c>
      <c r="C144" s="535" t="s">
        <v>66</v>
      </c>
      <c r="D144" s="535" t="s">
        <v>59</v>
      </c>
      <c r="E144" s="535" t="s">
        <v>650</v>
      </c>
      <c r="F144" s="535" t="s">
        <v>671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G144" s="494" t="str">
        <f ca="1">IF('CDO Bespoke'!C169&lt;&gt;"",'CDO Bespoke'!C169,"")</f>
        <v/>
      </c>
      <c r="AH144" s="496"/>
      <c r="AI144" s="585"/>
      <c r="AJ144" s="585"/>
      <c r="AK144" s="585"/>
      <c r="AL144" s="497"/>
      <c r="AM144" s="620"/>
      <c r="AN144" s="496"/>
      <c r="AO144" s="585"/>
      <c r="AP144" s="585"/>
      <c r="AQ144" s="585"/>
      <c r="AR144" s="497"/>
      <c r="AS144" s="620"/>
      <c r="AT144" s="506"/>
      <c r="AU144" s="631"/>
      <c r="AV144" s="620"/>
      <c r="AW144" s="506"/>
      <c r="AX144" s="582"/>
      <c r="AY144" s="620"/>
    </row>
    <row r="145" spans="2:51">
      <c r="B145" s="539" t="s">
        <v>545</v>
      </c>
      <c r="C145" s="540" t="s">
        <v>66</v>
      </c>
      <c r="D145" s="540" t="s">
        <v>55</v>
      </c>
      <c r="E145" s="540" t="s">
        <v>648</v>
      </c>
      <c r="F145" s="540" t="s">
        <v>671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G145" s="494" t="str">
        <f ca="1">IF('CDO Bespoke'!C170&lt;&gt;"",'CDO Bespoke'!C170,"")</f>
        <v/>
      </c>
      <c r="AH145" s="496"/>
      <c r="AI145" s="585"/>
      <c r="AJ145" s="585"/>
      <c r="AK145" s="585"/>
      <c r="AL145" s="497"/>
      <c r="AM145" s="620"/>
      <c r="AN145" s="496"/>
      <c r="AO145" s="585"/>
      <c r="AP145" s="585"/>
      <c r="AQ145" s="585"/>
      <c r="AR145" s="497"/>
      <c r="AS145" s="620"/>
      <c r="AT145" s="506"/>
      <c r="AU145" s="631"/>
      <c r="AV145" s="620"/>
      <c r="AW145" s="506"/>
      <c r="AX145" s="582"/>
      <c r="AY145" s="620"/>
    </row>
    <row r="146" spans="2:51">
      <c r="B146" s="517" t="s">
        <v>545</v>
      </c>
      <c r="C146" s="518" t="s">
        <v>66</v>
      </c>
      <c r="D146" s="518" t="s">
        <v>57</v>
      </c>
      <c r="E146" s="518" t="s">
        <v>648</v>
      </c>
      <c r="F146" s="518" t="s">
        <v>671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G146" s="494" t="str">
        <f ca="1">IF('CDO Bespoke'!C171&lt;&gt;"",'CDO Bespoke'!C171,"")</f>
        <v/>
      </c>
      <c r="AH146" s="496"/>
      <c r="AI146" s="585"/>
      <c r="AJ146" s="585"/>
      <c r="AK146" s="585"/>
      <c r="AL146" s="497"/>
      <c r="AM146" s="620"/>
      <c r="AN146" s="496"/>
      <c r="AO146" s="585"/>
      <c r="AP146" s="585"/>
      <c r="AQ146" s="585"/>
      <c r="AR146" s="497"/>
      <c r="AS146" s="620"/>
      <c r="AT146" s="506"/>
      <c r="AU146" s="631"/>
      <c r="AV146" s="620"/>
      <c r="AW146" s="506"/>
      <c r="AX146" s="582"/>
      <c r="AY146" s="620"/>
    </row>
    <row r="147" spans="2:51">
      <c r="B147" s="534" t="s">
        <v>545</v>
      </c>
      <c r="C147" s="535" t="s">
        <v>66</v>
      </c>
      <c r="D147" s="535" t="s">
        <v>59</v>
      </c>
      <c r="E147" s="535" t="s">
        <v>648</v>
      </c>
      <c r="F147" s="535" t="s">
        <v>671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G147" s="494" t="str">
        <f ca="1">IF('CDO Bespoke'!C172&lt;&gt;"",'CDO Bespoke'!C172,"")</f>
        <v/>
      </c>
      <c r="AH147" s="496"/>
      <c r="AI147" s="585"/>
      <c r="AJ147" s="585"/>
      <c r="AK147" s="585"/>
      <c r="AL147" s="497"/>
      <c r="AM147" s="620"/>
      <c r="AN147" s="496"/>
      <c r="AO147" s="585"/>
      <c r="AP147" s="585"/>
      <c r="AQ147" s="585"/>
      <c r="AR147" s="497"/>
      <c r="AS147" s="620"/>
      <c r="AT147" s="506"/>
      <c r="AU147" s="631"/>
      <c r="AV147" s="620"/>
      <c r="AW147" s="506"/>
      <c r="AX147" s="582"/>
      <c r="AY147" s="620"/>
    </row>
    <row r="148" spans="2:51">
      <c r="B148" s="539" t="s">
        <v>546</v>
      </c>
      <c r="C148" s="540" t="s">
        <v>66</v>
      </c>
      <c r="D148" s="540" t="s">
        <v>55</v>
      </c>
      <c r="E148" s="540" t="s">
        <v>650</v>
      </c>
      <c r="F148" s="540" t="s">
        <v>671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G148" s="494" t="str">
        <f ca="1">IF('CDO Bespoke'!C173&lt;&gt;"",'CDO Bespoke'!C173,"")</f>
        <v/>
      </c>
      <c r="AH148" s="496"/>
      <c r="AI148" s="585"/>
      <c r="AJ148" s="585"/>
      <c r="AK148" s="585"/>
      <c r="AL148" s="497"/>
      <c r="AM148" s="620"/>
      <c r="AN148" s="496"/>
      <c r="AO148" s="585"/>
      <c r="AP148" s="585"/>
      <c r="AQ148" s="585"/>
      <c r="AR148" s="497"/>
      <c r="AS148" s="620"/>
      <c r="AT148" s="506"/>
      <c r="AU148" s="631"/>
      <c r="AV148" s="620"/>
      <c r="AW148" s="506"/>
      <c r="AX148" s="582"/>
      <c r="AY148" s="620"/>
    </row>
    <row r="149" spans="2:51">
      <c r="B149" s="517" t="s">
        <v>546</v>
      </c>
      <c r="C149" s="518" t="s">
        <v>66</v>
      </c>
      <c r="D149" s="518" t="s">
        <v>57</v>
      </c>
      <c r="E149" s="518" t="s">
        <v>650</v>
      </c>
      <c r="F149" s="518" t="s">
        <v>671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G149" s="494" t="str">
        <f ca="1">IF('CDO Bespoke'!C174&lt;&gt;"",'CDO Bespoke'!C174,"")</f>
        <v/>
      </c>
      <c r="AH149" s="496"/>
      <c r="AI149" s="585"/>
      <c r="AJ149" s="585"/>
      <c r="AK149" s="585"/>
      <c r="AL149" s="497"/>
      <c r="AM149" s="620"/>
      <c r="AN149" s="496"/>
      <c r="AO149" s="585"/>
      <c r="AP149" s="585"/>
      <c r="AQ149" s="585"/>
      <c r="AR149" s="497"/>
      <c r="AS149" s="620"/>
      <c r="AT149" s="506"/>
      <c r="AU149" s="631"/>
      <c r="AV149" s="620"/>
      <c r="AW149" s="506"/>
      <c r="AX149" s="582"/>
      <c r="AY149" s="620"/>
    </row>
    <row r="150" spans="2:51">
      <c r="B150" s="534" t="s">
        <v>546</v>
      </c>
      <c r="C150" s="535" t="s">
        <v>66</v>
      </c>
      <c r="D150" s="535" t="s">
        <v>59</v>
      </c>
      <c r="E150" s="535" t="s">
        <v>650</v>
      </c>
      <c r="F150" s="535" t="s">
        <v>671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G150" s="494" t="str">
        <f ca="1">IF('CDO Bespoke'!C175&lt;&gt;"",'CDO Bespoke'!C175,"")</f>
        <v/>
      </c>
      <c r="AH150" s="496"/>
      <c r="AI150" s="585"/>
      <c r="AJ150" s="585"/>
      <c r="AK150" s="585"/>
      <c r="AL150" s="497"/>
      <c r="AM150" s="620"/>
      <c r="AN150" s="496"/>
      <c r="AO150" s="585"/>
      <c r="AP150" s="585"/>
      <c r="AQ150" s="585"/>
      <c r="AR150" s="497"/>
      <c r="AS150" s="620"/>
      <c r="AT150" s="506"/>
      <c r="AU150" s="631"/>
      <c r="AV150" s="620"/>
      <c r="AW150" s="506"/>
      <c r="AX150" s="582"/>
      <c r="AY150" s="620"/>
    </row>
    <row r="151" spans="2:51">
      <c r="B151" s="539" t="s">
        <v>561</v>
      </c>
      <c r="C151" s="540" t="s">
        <v>66</v>
      </c>
      <c r="D151" s="540" t="s">
        <v>55</v>
      </c>
      <c r="E151" s="540" t="s">
        <v>646</v>
      </c>
      <c r="F151" s="540" t="s">
        <v>671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G151" s="494" t="str">
        <f ca="1">IF('CDO Bespoke'!C176&lt;&gt;"",'CDO Bespoke'!C176,"")</f>
        <v/>
      </c>
      <c r="AH151" s="496"/>
      <c r="AI151" s="585"/>
      <c r="AJ151" s="585"/>
      <c r="AK151" s="585"/>
      <c r="AL151" s="497"/>
      <c r="AM151" s="620"/>
      <c r="AN151" s="496"/>
      <c r="AO151" s="585"/>
      <c r="AP151" s="585"/>
      <c r="AQ151" s="585"/>
      <c r="AR151" s="497"/>
      <c r="AS151" s="620"/>
      <c r="AT151" s="506"/>
      <c r="AU151" s="631"/>
      <c r="AV151" s="620"/>
      <c r="AW151" s="506"/>
      <c r="AX151" s="582"/>
      <c r="AY151" s="620"/>
    </row>
    <row r="152" spans="2:51">
      <c r="B152" s="517" t="s">
        <v>561</v>
      </c>
      <c r="C152" s="518" t="s">
        <v>66</v>
      </c>
      <c r="D152" s="518" t="s">
        <v>57</v>
      </c>
      <c r="E152" s="518" t="s">
        <v>646</v>
      </c>
      <c r="F152" s="518" t="s">
        <v>671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G152" s="494" t="str">
        <f ca="1">IF('CDO Bespoke'!C177&lt;&gt;"",'CDO Bespoke'!C177,"")</f>
        <v/>
      </c>
      <c r="AH152" s="496"/>
      <c r="AI152" s="585"/>
      <c r="AJ152" s="585"/>
      <c r="AK152" s="585"/>
      <c r="AL152" s="497"/>
      <c r="AM152" s="620"/>
      <c r="AN152" s="496"/>
      <c r="AO152" s="585"/>
      <c r="AP152" s="585"/>
      <c r="AQ152" s="585"/>
      <c r="AR152" s="497"/>
      <c r="AS152" s="620"/>
      <c r="AT152" s="506"/>
      <c r="AU152" s="631"/>
      <c r="AV152" s="620"/>
      <c r="AW152" s="506"/>
      <c r="AX152" s="582"/>
      <c r="AY152" s="620"/>
    </row>
    <row r="153" spans="2:51">
      <c r="B153" s="534" t="s">
        <v>561</v>
      </c>
      <c r="C153" s="535" t="s">
        <v>66</v>
      </c>
      <c r="D153" s="535" t="s">
        <v>59</v>
      </c>
      <c r="E153" s="535" t="s">
        <v>646</v>
      </c>
      <c r="F153" s="535" t="s">
        <v>671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G153" s="494" t="str">
        <f ca="1">IF('CDO Bespoke'!C178&lt;&gt;"",'CDO Bespoke'!C178,"")</f>
        <v/>
      </c>
      <c r="AH153" s="496"/>
      <c r="AI153" s="585"/>
      <c r="AJ153" s="585"/>
      <c r="AK153" s="585"/>
      <c r="AL153" s="497"/>
      <c r="AM153" s="620"/>
      <c r="AN153" s="496"/>
      <c r="AO153" s="585"/>
      <c r="AP153" s="585"/>
      <c r="AQ153" s="585"/>
      <c r="AR153" s="497"/>
      <c r="AS153" s="620"/>
      <c r="AT153" s="506"/>
      <c r="AU153" s="631"/>
      <c r="AV153" s="620"/>
      <c r="AW153" s="506"/>
      <c r="AX153" s="582"/>
      <c r="AY153" s="620"/>
    </row>
    <row r="154" spans="2:51">
      <c r="B154" s="539" t="s">
        <v>547</v>
      </c>
      <c r="C154" s="540" t="s">
        <v>66</v>
      </c>
      <c r="D154" s="540" t="s">
        <v>55</v>
      </c>
      <c r="E154" s="540" t="s">
        <v>650</v>
      </c>
      <c r="F154" s="540" t="s">
        <v>671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G154" s="494" t="str">
        <f ca="1">IF('CDO Bespoke'!C179&lt;&gt;"",'CDO Bespoke'!C179,"")</f>
        <v/>
      </c>
      <c r="AH154" s="496"/>
      <c r="AI154" s="585"/>
      <c r="AJ154" s="585"/>
      <c r="AK154" s="585"/>
      <c r="AL154" s="497"/>
      <c r="AM154" s="620"/>
      <c r="AN154" s="496"/>
      <c r="AO154" s="585"/>
      <c r="AP154" s="585"/>
      <c r="AQ154" s="585"/>
      <c r="AR154" s="497"/>
      <c r="AS154" s="620"/>
      <c r="AT154" s="506"/>
      <c r="AU154" s="631"/>
      <c r="AV154" s="620"/>
      <c r="AW154" s="506"/>
      <c r="AX154" s="582"/>
      <c r="AY154" s="620"/>
    </row>
    <row r="155" spans="2:51">
      <c r="B155" s="517" t="s">
        <v>547</v>
      </c>
      <c r="C155" s="518" t="s">
        <v>66</v>
      </c>
      <c r="D155" s="518" t="s">
        <v>57</v>
      </c>
      <c r="E155" s="518" t="s">
        <v>650</v>
      </c>
      <c r="F155" s="518" t="s">
        <v>671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G155" s="494" t="str">
        <f ca="1">IF('CDO Bespoke'!C180&lt;&gt;"",'CDO Bespoke'!C180,"")</f>
        <v/>
      </c>
      <c r="AH155" s="496"/>
      <c r="AI155" s="585"/>
      <c r="AJ155" s="585"/>
      <c r="AK155" s="585"/>
      <c r="AL155" s="497"/>
      <c r="AM155" s="620"/>
      <c r="AN155" s="496"/>
      <c r="AO155" s="585"/>
      <c r="AP155" s="585"/>
      <c r="AQ155" s="585"/>
      <c r="AR155" s="497"/>
      <c r="AS155" s="620"/>
      <c r="AT155" s="506"/>
      <c r="AU155" s="631"/>
      <c r="AV155" s="620"/>
      <c r="AW155" s="506"/>
      <c r="AX155" s="582"/>
      <c r="AY155" s="620"/>
    </row>
    <row r="156" spans="2:51">
      <c r="B156" s="534" t="s">
        <v>547</v>
      </c>
      <c r="C156" s="535" t="s">
        <v>66</v>
      </c>
      <c r="D156" s="535" t="s">
        <v>59</v>
      </c>
      <c r="E156" s="535" t="s">
        <v>650</v>
      </c>
      <c r="F156" s="535" t="s">
        <v>671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G156" s="494" t="str">
        <f ca="1">IF('CDO Bespoke'!C181&lt;&gt;"",'CDO Bespoke'!C181,"")</f>
        <v/>
      </c>
      <c r="AH156" s="496"/>
      <c r="AI156" s="585"/>
      <c r="AJ156" s="585"/>
      <c r="AK156" s="585"/>
      <c r="AL156" s="497"/>
      <c r="AM156" s="620"/>
      <c r="AN156" s="496"/>
      <c r="AO156" s="585"/>
      <c r="AP156" s="585"/>
      <c r="AQ156" s="585"/>
      <c r="AR156" s="497"/>
      <c r="AS156" s="620"/>
      <c r="AT156" s="506"/>
      <c r="AU156" s="631"/>
      <c r="AV156" s="620"/>
      <c r="AW156" s="506"/>
      <c r="AX156" s="582"/>
      <c r="AY156" s="620"/>
    </row>
    <row r="157" spans="2:51">
      <c r="B157" s="539" t="s">
        <v>614</v>
      </c>
      <c r="C157" s="540" t="s">
        <v>66</v>
      </c>
      <c r="D157" s="540" t="s">
        <v>55</v>
      </c>
      <c r="E157" s="540" t="s">
        <v>648</v>
      </c>
      <c r="F157" s="540" t="s">
        <v>671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G157" s="494" t="str">
        <f ca="1">IF('CDO Bespoke'!C182&lt;&gt;"",'CDO Bespoke'!C182,"")</f>
        <v/>
      </c>
      <c r="AH157" s="496"/>
      <c r="AI157" s="585"/>
      <c r="AJ157" s="585"/>
      <c r="AK157" s="585"/>
      <c r="AL157" s="497"/>
      <c r="AM157" s="620"/>
      <c r="AN157" s="496"/>
      <c r="AO157" s="585"/>
      <c r="AP157" s="585"/>
      <c r="AQ157" s="585"/>
      <c r="AR157" s="497"/>
      <c r="AS157" s="620"/>
      <c r="AT157" s="506"/>
      <c r="AU157" s="631"/>
      <c r="AV157" s="620"/>
      <c r="AW157" s="506"/>
      <c r="AX157" s="582"/>
      <c r="AY157" s="620"/>
    </row>
    <row r="158" spans="2:51">
      <c r="B158" s="517" t="s">
        <v>614</v>
      </c>
      <c r="C158" s="518" t="s">
        <v>66</v>
      </c>
      <c r="D158" s="518" t="s">
        <v>57</v>
      </c>
      <c r="E158" s="518" t="s">
        <v>648</v>
      </c>
      <c r="F158" s="518" t="s">
        <v>671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G158" s="494" t="str">
        <f ca="1">IF('CDO Bespoke'!C183&lt;&gt;"",'CDO Bespoke'!C183,"")</f>
        <v/>
      </c>
      <c r="AH158" s="496"/>
      <c r="AI158" s="585"/>
      <c r="AJ158" s="585"/>
      <c r="AK158" s="585"/>
      <c r="AL158" s="497"/>
      <c r="AM158" s="620"/>
      <c r="AN158" s="496"/>
      <c r="AO158" s="585"/>
      <c r="AP158" s="585"/>
      <c r="AQ158" s="585"/>
      <c r="AR158" s="497"/>
      <c r="AS158" s="620"/>
      <c r="AT158" s="506"/>
      <c r="AU158" s="631"/>
      <c r="AV158" s="620"/>
      <c r="AW158" s="506"/>
      <c r="AX158" s="582"/>
      <c r="AY158" s="620"/>
    </row>
    <row r="159" spans="2:51">
      <c r="B159" s="534" t="s">
        <v>614</v>
      </c>
      <c r="C159" s="535" t="s">
        <v>66</v>
      </c>
      <c r="D159" s="535" t="s">
        <v>59</v>
      </c>
      <c r="E159" s="535" t="s">
        <v>648</v>
      </c>
      <c r="F159" s="535" t="s">
        <v>671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G159" s="494" t="str">
        <f ca="1">IF('CDO Bespoke'!C184&lt;&gt;"",'CDO Bespoke'!C184,"")</f>
        <v/>
      </c>
      <c r="AH159" s="496"/>
      <c r="AI159" s="585"/>
      <c r="AJ159" s="585"/>
      <c r="AK159" s="585"/>
      <c r="AL159" s="497"/>
      <c r="AM159" s="620"/>
      <c r="AN159" s="496"/>
      <c r="AO159" s="585"/>
      <c r="AP159" s="585"/>
      <c r="AQ159" s="585"/>
      <c r="AR159" s="497"/>
      <c r="AS159" s="620"/>
      <c r="AT159" s="506"/>
      <c r="AU159" s="631"/>
      <c r="AV159" s="620"/>
      <c r="AW159" s="506"/>
      <c r="AX159" s="582"/>
      <c r="AY159" s="620"/>
    </row>
    <row r="160" spans="2:51">
      <c r="B160" s="539" t="s">
        <v>562</v>
      </c>
      <c r="C160" s="540" t="s">
        <v>66</v>
      </c>
      <c r="D160" s="540" t="s">
        <v>55</v>
      </c>
      <c r="E160" s="540" t="s">
        <v>648</v>
      </c>
      <c r="F160" s="540" t="s">
        <v>671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G160" s="494" t="str">
        <f ca="1">IF('CDO Bespoke'!C185&lt;&gt;"",'CDO Bespoke'!C185,"")</f>
        <v/>
      </c>
      <c r="AH160" s="496"/>
      <c r="AI160" s="585"/>
      <c r="AJ160" s="585"/>
      <c r="AK160" s="585"/>
      <c r="AL160" s="497"/>
      <c r="AM160" s="620"/>
      <c r="AN160" s="496"/>
      <c r="AO160" s="585"/>
      <c r="AP160" s="585"/>
      <c r="AQ160" s="585"/>
      <c r="AR160" s="497"/>
      <c r="AS160" s="620"/>
      <c r="AT160" s="506"/>
      <c r="AU160" s="631"/>
      <c r="AV160" s="620"/>
      <c r="AW160" s="506"/>
      <c r="AX160" s="582"/>
      <c r="AY160" s="620"/>
    </row>
    <row r="161" spans="2:51">
      <c r="B161" s="517" t="s">
        <v>562</v>
      </c>
      <c r="C161" s="518" t="s">
        <v>66</v>
      </c>
      <c r="D161" s="518" t="s">
        <v>57</v>
      </c>
      <c r="E161" s="518" t="s">
        <v>648</v>
      </c>
      <c r="F161" s="518" t="s">
        <v>671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G161" s="494" t="str">
        <f ca="1">IF('CDO Bespoke'!C186&lt;&gt;"",'CDO Bespoke'!C186,"")</f>
        <v/>
      </c>
      <c r="AH161" s="496"/>
      <c r="AI161" s="585"/>
      <c r="AJ161" s="585"/>
      <c r="AK161" s="585"/>
      <c r="AL161" s="497"/>
      <c r="AM161" s="620"/>
      <c r="AN161" s="496"/>
      <c r="AO161" s="585"/>
      <c r="AP161" s="585"/>
      <c r="AQ161" s="585"/>
      <c r="AR161" s="497"/>
      <c r="AS161" s="620"/>
      <c r="AT161" s="506"/>
      <c r="AU161" s="631"/>
      <c r="AV161" s="620"/>
      <c r="AW161" s="506"/>
      <c r="AX161" s="582"/>
      <c r="AY161" s="620"/>
    </row>
    <row r="162" spans="2:51">
      <c r="B162" s="534" t="s">
        <v>562</v>
      </c>
      <c r="C162" s="535" t="s">
        <v>66</v>
      </c>
      <c r="D162" s="535" t="s">
        <v>59</v>
      </c>
      <c r="E162" s="535" t="s">
        <v>648</v>
      </c>
      <c r="F162" s="535" t="s">
        <v>671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G162" s="494" t="str">
        <f ca="1">IF('CDO Bespoke'!C187&lt;&gt;"",'CDO Bespoke'!C187,"")</f>
        <v/>
      </c>
      <c r="AH162" s="496"/>
      <c r="AI162" s="585"/>
      <c r="AJ162" s="585"/>
      <c r="AK162" s="585"/>
      <c r="AL162" s="497"/>
      <c r="AM162" s="620"/>
      <c r="AN162" s="496"/>
      <c r="AO162" s="585"/>
      <c r="AP162" s="585"/>
      <c r="AQ162" s="585"/>
      <c r="AR162" s="497"/>
      <c r="AS162" s="620"/>
      <c r="AT162" s="506"/>
      <c r="AU162" s="631"/>
      <c r="AV162" s="620"/>
      <c r="AW162" s="506"/>
      <c r="AX162" s="582"/>
      <c r="AY162" s="620"/>
    </row>
    <row r="163" spans="2:51">
      <c r="B163" s="539" t="s">
        <v>548</v>
      </c>
      <c r="C163" s="540" t="s">
        <v>66</v>
      </c>
      <c r="D163" s="540" t="s">
        <v>55</v>
      </c>
      <c r="E163" s="540" t="s">
        <v>646</v>
      </c>
      <c r="F163" s="540" t="s">
        <v>671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G163" s="494" t="str">
        <f ca="1">IF('CDO Bespoke'!C188&lt;&gt;"",'CDO Bespoke'!C188,"")</f>
        <v/>
      </c>
      <c r="AH163" s="496"/>
      <c r="AI163" s="585"/>
      <c r="AJ163" s="585"/>
      <c r="AK163" s="585"/>
      <c r="AL163" s="497"/>
      <c r="AM163" s="620"/>
      <c r="AN163" s="496"/>
      <c r="AO163" s="585"/>
      <c r="AP163" s="585"/>
      <c r="AQ163" s="585"/>
      <c r="AR163" s="497"/>
      <c r="AS163" s="620"/>
      <c r="AT163" s="506"/>
      <c r="AU163" s="631"/>
      <c r="AV163" s="620"/>
      <c r="AW163" s="506"/>
      <c r="AX163" s="582"/>
      <c r="AY163" s="620"/>
    </row>
    <row r="164" spans="2:51">
      <c r="B164" s="517" t="s">
        <v>548</v>
      </c>
      <c r="C164" s="518" t="s">
        <v>66</v>
      </c>
      <c r="D164" s="518" t="s">
        <v>57</v>
      </c>
      <c r="E164" s="518" t="s">
        <v>646</v>
      </c>
      <c r="F164" s="518" t="s">
        <v>671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G164" s="494" t="str">
        <f ca="1">IF('CDO Bespoke'!C189&lt;&gt;"",'CDO Bespoke'!C189,"")</f>
        <v/>
      </c>
      <c r="AH164" s="496"/>
      <c r="AI164" s="585"/>
      <c r="AJ164" s="585"/>
      <c r="AK164" s="585"/>
      <c r="AL164" s="497"/>
      <c r="AM164" s="620"/>
      <c r="AN164" s="496"/>
      <c r="AO164" s="585"/>
      <c r="AP164" s="585"/>
      <c r="AQ164" s="585"/>
      <c r="AR164" s="497"/>
      <c r="AS164" s="620"/>
      <c r="AT164" s="506"/>
      <c r="AU164" s="631"/>
      <c r="AV164" s="620"/>
      <c r="AW164" s="506"/>
      <c r="AX164" s="582"/>
      <c r="AY164" s="620"/>
    </row>
    <row r="165" spans="2:51">
      <c r="B165" s="534" t="s">
        <v>548</v>
      </c>
      <c r="C165" s="535" t="s">
        <v>66</v>
      </c>
      <c r="D165" s="535" t="s">
        <v>59</v>
      </c>
      <c r="E165" s="535" t="s">
        <v>646</v>
      </c>
      <c r="F165" s="535" t="s">
        <v>671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G165" s="494" t="str">
        <f ca="1">IF('CDO Bespoke'!C190&lt;&gt;"",'CDO Bespoke'!C190,"")</f>
        <v/>
      </c>
      <c r="AH165" s="496"/>
      <c r="AI165" s="585"/>
      <c r="AJ165" s="585"/>
      <c r="AK165" s="585"/>
      <c r="AL165" s="497"/>
      <c r="AM165" s="620"/>
      <c r="AN165" s="496"/>
      <c r="AO165" s="585"/>
      <c r="AP165" s="585"/>
      <c r="AQ165" s="585"/>
      <c r="AR165" s="497"/>
      <c r="AS165" s="620"/>
      <c r="AT165" s="506"/>
      <c r="AU165" s="631"/>
      <c r="AV165" s="620"/>
      <c r="AW165" s="506"/>
      <c r="AX165" s="582"/>
      <c r="AY165" s="620"/>
    </row>
    <row r="166" spans="2:51">
      <c r="B166" s="539" t="s">
        <v>563</v>
      </c>
      <c r="C166" s="540" t="s">
        <v>66</v>
      </c>
      <c r="D166" s="540" t="s">
        <v>55</v>
      </c>
      <c r="E166" s="540" t="s">
        <v>648</v>
      </c>
      <c r="F166" s="540" t="s">
        <v>671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G166" s="494" t="str">
        <f ca="1">IF('CDO Bespoke'!C191&lt;&gt;"",'CDO Bespoke'!C191,"")</f>
        <v/>
      </c>
      <c r="AH166" s="496"/>
      <c r="AI166" s="585"/>
      <c r="AJ166" s="585"/>
      <c r="AK166" s="585"/>
      <c r="AL166" s="497"/>
      <c r="AM166" s="620"/>
      <c r="AN166" s="496"/>
      <c r="AO166" s="585"/>
      <c r="AP166" s="585"/>
      <c r="AQ166" s="585"/>
      <c r="AR166" s="497"/>
      <c r="AS166" s="620"/>
      <c r="AT166" s="506"/>
      <c r="AU166" s="631"/>
      <c r="AV166" s="620"/>
      <c r="AW166" s="506"/>
      <c r="AX166" s="582"/>
      <c r="AY166" s="620"/>
    </row>
    <row r="167" spans="2:51">
      <c r="B167" s="517" t="s">
        <v>563</v>
      </c>
      <c r="C167" s="518" t="s">
        <v>66</v>
      </c>
      <c r="D167" s="518" t="s">
        <v>57</v>
      </c>
      <c r="E167" s="518" t="s">
        <v>648</v>
      </c>
      <c r="F167" s="518" t="s">
        <v>671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G167" s="494" t="str">
        <f ca="1">IF('CDO Bespoke'!C192&lt;&gt;"",'CDO Bespoke'!C192,"")</f>
        <v/>
      </c>
      <c r="AH167" s="496"/>
      <c r="AI167" s="585"/>
      <c r="AJ167" s="585"/>
      <c r="AK167" s="585"/>
      <c r="AL167" s="497"/>
      <c r="AM167" s="620"/>
      <c r="AN167" s="496"/>
      <c r="AO167" s="585"/>
      <c r="AP167" s="585"/>
      <c r="AQ167" s="585"/>
      <c r="AR167" s="497"/>
      <c r="AS167" s="620"/>
      <c r="AT167" s="506"/>
      <c r="AU167" s="631"/>
      <c r="AV167" s="620"/>
      <c r="AW167" s="506"/>
      <c r="AX167" s="582"/>
      <c r="AY167" s="620"/>
    </row>
    <row r="168" spans="2:51">
      <c r="B168" s="534" t="s">
        <v>563</v>
      </c>
      <c r="C168" s="535" t="s">
        <v>66</v>
      </c>
      <c r="D168" s="535" t="s">
        <v>59</v>
      </c>
      <c r="E168" s="535" t="s">
        <v>648</v>
      </c>
      <c r="F168" s="535" t="s">
        <v>671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G168" s="494" t="str">
        <f ca="1">IF('CDO Bespoke'!C193&lt;&gt;"",'CDO Bespoke'!C193,"")</f>
        <v/>
      </c>
      <c r="AH168" s="496"/>
      <c r="AI168" s="585"/>
      <c r="AJ168" s="585"/>
      <c r="AK168" s="585"/>
      <c r="AL168" s="497"/>
      <c r="AM168" s="620"/>
      <c r="AN168" s="496"/>
      <c r="AO168" s="585"/>
      <c r="AP168" s="585"/>
      <c r="AQ168" s="585"/>
      <c r="AR168" s="497"/>
      <c r="AS168" s="620"/>
      <c r="AT168" s="506"/>
      <c r="AU168" s="631"/>
      <c r="AV168" s="620"/>
      <c r="AW168" s="506"/>
      <c r="AX168" s="582"/>
      <c r="AY168" s="620"/>
    </row>
    <row r="169" spans="2:51">
      <c r="B169" s="539" t="s">
        <v>549</v>
      </c>
      <c r="C169" s="540" t="s">
        <v>66</v>
      </c>
      <c r="D169" s="540" t="s">
        <v>55</v>
      </c>
      <c r="E169" s="540" t="s">
        <v>646</v>
      </c>
      <c r="F169" s="540" t="s">
        <v>671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G169" s="494" t="str">
        <f ca="1">IF('CDO Bespoke'!C194&lt;&gt;"",'CDO Bespoke'!C194,"")</f>
        <v/>
      </c>
      <c r="AH169" s="496"/>
      <c r="AI169" s="585"/>
      <c r="AJ169" s="585"/>
      <c r="AK169" s="585"/>
      <c r="AL169" s="497"/>
      <c r="AM169" s="620"/>
      <c r="AN169" s="496"/>
      <c r="AO169" s="585"/>
      <c r="AP169" s="585"/>
      <c r="AQ169" s="585"/>
      <c r="AR169" s="497"/>
      <c r="AS169" s="620"/>
      <c r="AT169" s="506"/>
      <c r="AU169" s="631"/>
      <c r="AV169" s="620"/>
      <c r="AW169" s="506"/>
      <c r="AX169" s="582"/>
      <c r="AY169" s="620"/>
    </row>
    <row r="170" spans="2:51">
      <c r="B170" s="517" t="s">
        <v>549</v>
      </c>
      <c r="C170" s="518" t="s">
        <v>66</v>
      </c>
      <c r="D170" s="518" t="s">
        <v>57</v>
      </c>
      <c r="E170" s="518" t="s">
        <v>646</v>
      </c>
      <c r="F170" s="518" t="s">
        <v>671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G170" s="494" t="str">
        <f ca="1">IF('CDO Bespoke'!C195&lt;&gt;"",'CDO Bespoke'!C195,"")</f>
        <v/>
      </c>
      <c r="AH170" s="496"/>
      <c r="AI170" s="585"/>
      <c r="AJ170" s="585"/>
      <c r="AK170" s="585"/>
      <c r="AL170" s="497"/>
      <c r="AM170" s="620"/>
      <c r="AN170" s="496"/>
      <c r="AO170" s="585"/>
      <c r="AP170" s="585"/>
      <c r="AQ170" s="585"/>
      <c r="AR170" s="497"/>
      <c r="AS170" s="620"/>
      <c r="AT170" s="506"/>
      <c r="AU170" s="631"/>
      <c r="AV170" s="620"/>
      <c r="AW170" s="506"/>
      <c r="AX170" s="582"/>
      <c r="AY170" s="620"/>
    </row>
    <row r="171" spans="2:51">
      <c r="B171" s="534" t="s">
        <v>549</v>
      </c>
      <c r="C171" s="535" t="s">
        <v>66</v>
      </c>
      <c r="D171" s="535" t="s">
        <v>59</v>
      </c>
      <c r="E171" s="535" t="s">
        <v>646</v>
      </c>
      <c r="F171" s="535" t="s">
        <v>671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G171" s="494" t="str">
        <f ca="1">IF('CDO Bespoke'!C196&lt;&gt;"",'CDO Bespoke'!C196,"")</f>
        <v/>
      </c>
      <c r="AH171" s="496"/>
      <c r="AI171" s="585"/>
      <c r="AJ171" s="585"/>
      <c r="AK171" s="585"/>
      <c r="AL171" s="497"/>
      <c r="AM171" s="620"/>
      <c r="AN171" s="496"/>
      <c r="AO171" s="585"/>
      <c r="AP171" s="585"/>
      <c r="AQ171" s="585"/>
      <c r="AR171" s="497"/>
      <c r="AS171" s="620"/>
      <c r="AT171" s="506"/>
      <c r="AU171" s="631"/>
      <c r="AV171" s="620"/>
      <c r="AW171" s="506"/>
      <c r="AX171" s="582"/>
      <c r="AY171" s="620"/>
    </row>
    <row r="172" spans="2:51">
      <c r="B172" s="539" t="s">
        <v>550</v>
      </c>
      <c r="C172" s="540" t="s">
        <v>66</v>
      </c>
      <c r="D172" s="540" t="s">
        <v>55</v>
      </c>
      <c r="E172" s="540" t="s">
        <v>648</v>
      </c>
      <c r="F172" s="540" t="s">
        <v>671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G172" s="494" t="str">
        <f ca="1">IF('CDO Bespoke'!C197&lt;&gt;"",'CDO Bespoke'!C197,"")</f>
        <v/>
      </c>
      <c r="AH172" s="496"/>
      <c r="AI172" s="585"/>
      <c r="AJ172" s="585"/>
      <c r="AK172" s="585"/>
      <c r="AL172" s="497"/>
      <c r="AM172" s="620"/>
      <c r="AN172" s="496"/>
      <c r="AO172" s="585"/>
      <c r="AP172" s="585"/>
      <c r="AQ172" s="585"/>
      <c r="AR172" s="497"/>
      <c r="AS172" s="620"/>
      <c r="AT172" s="506"/>
      <c r="AU172" s="631"/>
      <c r="AV172" s="620"/>
      <c r="AW172" s="506"/>
      <c r="AX172" s="582"/>
      <c r="AY172" s="620"/>
    </row>
    <row r="173" spans="2:51">
      <c r="B173" s="517" t="s">
        <v>550</v>
      </c>
      <c r="C173" s="518" t="s">
        <v>66</v>
      </c>
      <c r="D173" s="518" t="s">
        <v>57</v>
      </c>
      <c r="E173" s="518" t="s">
        <v>648</v>
      </c>
      <c r="F173" s="518" t="s">
        <v>671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G173" s="494" t="str">
        <f ca="1">IF('CDO Bespoke'!C198&lt;&gt;"",'CDO Bespoke'!C198,"")</f>
        <v/>
      </c>
      <c r="AH173" s="496"/>
      <c r="AI173" s="585"/>
      <c r="AJ173" s="585"/>
      <c r="AK173" s="585"/>
      <c r="AL173" s="497"/>
      <c r="AM173" s="620"/>
      <c r="AN173" s="496"/>
      <c r="AO173" s="585"/>
      <c r="AP173" s="585"/>
      <c r="AQ173" s="585"/>
      <c r="AR173" s="497"/>
      <c r="AS173" s="620"/>
      <c r="AT173" s="506"/>
      <c r="AU173" s="631"/>
      <c r="AV173" s="620"/>
      <c r="AW173" s="506"/>
      <c r="AX173" s="582"/>
      <c r="AY173" s="620"/>
    </row>
    <row r="174" spans="2:51">
      <c r="B174" s="534" t="s">
        <v>550</v>
      </c>
      <c r="C174" s="535" t="s">
        <v>66</v>
      </c>
      <c r="D174" s="535" t="s">
        <v>59</v>
      </c>
      <c r="E174" s="535" t="s">
        <v>648</v>
      </c>
      <c r="F174" s="535" t="s">
        <v>671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G174" s="494" t="str">
        <f ca="1">IF('CDO Bespoke'!C199&lt;&gt;"",'CDO Bespoke'!C199,"")</f>
        <v/>
      </c>
      <c r="AH174" s="496"/>
      <c r="AI174" s="585"/>
      <c r="AJ174" s="585"/>
      <c r="AK174" s="585"/>
      <c r="AL174" s="497"/>
      <c r="AM174" s="620"/>
      <c r="AN174" s="496"/>
      <c r="AO174" s="585"/>
      <c r="AP174" s="585"/>
      <c r="AQ174" s="585"/>
      <c r="AR174" s="497"/>
      <c r="AS174" s="620"/>
      <c r="AT174" s="506"/>
      <c r="AU174" s="631"/>
      <c r="AV174" s="620"/>
      <c r="AW174" s="506"/>
      <c r="AX174" s="582"/>
      <c r="AY174" s="620"/>
    </row>
    <row r="175" spans="2:51">
      <c r="B175" s="539" t="s">
        <v>551</v>
      </c>
      <c r="C175" s="540" t="s">
        <v>66</v>
      </c>
      <c r="D175" s="540" t="s">
        <v>55</v>
      </c>
      <c r="E175" s="540" t="s">
        <v>648</v>
      </c>
      <c r="F175" s="540" t="s">
        <v>671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G175" s="494" t="str">
        <f ca="1">IF('CDO Bespoke'!C200&lt;&gt;"",'CDO Bespoke'!C200,"")</f>
        <v/>
      </c>
      <c r="AH175" s="496"/>
      <c r="AI175" s="585"/>
      <c r="AJ175" s="585"/>
      <c r="AK175" s="585"/>
      <c r="AL175" s="497"/>
      <c r="AM175" s="620"/>
      <c r="AN175" s="496"/>
      <c r="AO175" s="585"/>
      <c r="AP175" s="585"/>
      <c r="AQ175" s="585"/>
      <c r="AR175" s="497"/>
      <c r="AS175" s="620"/>
      <c r="AT175" s="506"/>
      <c r="AU175" s="631"/>
      <c r="AV175" s="620"/>
      <c r="AW175" s="506"/>
      <c r="AX175" s="582"/>
      <c r="AY175" s="620"/>
    </row>
    <row r="176" spans="2:51">
      <c r="B176" s="517" t="s">
        <v>551</v>
      </c>
      <c r="C176" s="518" t="s">
        <v>66</v>
      </c>
      <c r="D176" s="518" t="s">
        <v>57</v>
      </c>
      <c r="E176" s="518" t="s">
        <v>648</v>
      </c>
      <c r="F176" s="518" t="s">
        <v>671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G176" s="494" t="str">
        <f ca="1">IF('CDO Bespoke'!C201&lt;&gt;"",'CDO Bespoke'!C201,"")</f>
        <v/>
      </c>
      <c r="AH176" s="496"/>
      <c r="AI176" s="585"/>
      <c r="AJ176" s="585"/>
      <c r="AK176" s="585"/>
      <c r="AL176" s="497"/>
      <c r="AM176" s="620"/>
      <c r="AN176" s="496"/>
      <c r="AO176" s="585"/>
      <c r="AP176" s="585"/>
      <c r="AQ176" s="585"/>
      <c r="AR176" s="497"/>
      <c r="AS176" s="620"/>
      <c r="AT176" s="506"/>
      <c r="AU176" s="631"/>
      <c r="AV176" s="620"/>
      <c r="AW176" s="506"/>
      <c r="AX176" s="582"/>
      <c r="AY176" s="620"/>
    </row>
    <row r="177" spans="2:51">
      <c r="B177" s="534" t="s">
        <v>551</v>
      </c>
      <c r="C177" s="535" t="s">
        <v>66</v>
      </c>
      <c r="D177" s="535" t="s">
        <v>59</v>
      </c>
      <c r="E177" s="535" t="s">
        <v>648</v>
      </c>
      <c r="F177" s="535" t="s">
        <v>671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G177" s="494" t="str">
        <f ca="1">IF('CDO Bespoke'!C202&lt;&gt;"",'CDO Bespoke'!C202,"")</f>
        <v/>
      </c>
      <c r="AH177" s="496"/>
      <c r="AI177" s="585"/>
      <c r="AJ177" s="585"/>
      <c r="AK177" s="585"/>
      <c r="AL177" s="497"/>
      <c r="AM177" s="620"/>
      <c r="AN177" s="496"/>
      <c r="AO177" s="585"/>
      <c r="AP177" s="585"/>
      <c r="AQ177" s="585"/>
      <c r="AR177" s="497"/>
      <c r="AS177" s="620"/>
      <c r="AT177" s="506"/>
      <c r="AU177" s="631"/>
      <c r="AV177" s="620"/>
      <c r="AW177" s="506"/>
      <c r="AX177" s="582"/>
      <c r="AY177" s="620"/>
    </row>
    <row r="178" spans="2:51">
      <c r="B178" s="539" t="s">
        <v>552</v>
      </c>
      <c r="C178" s="540" t="s">
        <v>66</v>
      </c>
      <c r="D178" s="540" t="s">
        <v>55</v>
      </c>
      <c r="E178" s="540" t="s">
        <v>648</v>
      </c>
      <c r="F178" s="540" t="s">
        <v>671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G178" s="494" t="str">
        <f ca="1">IF('CDO Bespoke'!C203&lt;&gt;"",'CDO Bespoke'!C203,"")</f>
        <v/>
      </c>
      <c r="AH178" s="496"/>
      <c r="AI178" s="585"/>
      <c r="AJ178" s="585"/>
      <c r="AK178" s="585"/>
      <c r="AL178" s="497"/>
      <c r="AM178" s="620"/>
      <c r="AN178" s="496"/>
      <c r="AO178" s="585"/>
      <c r="AP178" s="585"/>
      <c r="AQ178" s="585"/>
      <c r="AR178" s="497"/>
      <c r="AS178" s="620"/>
      <c r="AT178" s="506"/>
      <c r="AU178" s="631"/>
      <c r="AV178" s="620"/>
      <c r="AW178" s="506"/>
      <c r="AX178" s="582"/>
      <c r="AY178" s="620"/>
    </row>
    <row r="179" spans="2:51">
      <c r="B179" s="517" t="s">
        <v>552</v>
      </c>
      <c r="C179" s="518" t="s">
        <v>66</v>
      </c>
      <c r="D179" s="518" t="s">
        <v>57</v>
      </c>
      <c r="E179" s="518" t="s">
        <v>648</v>
      </c>
      <c r="F179" s="518" t="s">
        <v>671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G179" s="494" t="str">
        <f ca="1">IF('CDO Bespoke'!C204&lt;&gt;"",'CDO Bespoke'!C204,"")</f>
        <v/>
      </c>
      <c r="AH179" s="496"/>
      <c r="AI179" s="585"/>
      <c r="AJ179" s="585"/>
      <c r="AK179" s="585"/>
      <c r="AL179" s="497"/>
      <c r="AM179" s="620"/>
      <c r="AN179" s="496"/>
      <c r="AO179" s="585"/>
      <c r="AP179" s="585"/>
      <c r="AQ179" s="585"/>
      <c r="AR179" s="497"/>
      <c r="AS179" s="620"/>
      <c r="AT179" s="506"/>
      <c r="AU179" s="631"/>
      <c r="AV179" s="620"/>
      <c r="AW179" s="506"/>
      <c r="AX179" s="582"/>
      <c r="AY179" s="620"/>
    </row>
    <row r="180" spans="2:51">
      <c r="B180" s="534" t="s">
        <v>552</v>
      </c>
      <c r="C180" s="535" t="s">
        <v>66</v>
      </c>
      <c r="D180" s="535" t="s">
        <v>59</v>
      </c>
      <c r="E180" s="535" t="s">
        <v>648</v>
      </c>
      <c r="F180" s="535" t="s">
        <v>671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G180" s="494" t="str">
        <f ca="1">IF('CDO Bespoke'!C205&lt;&gt;"",'CDO Bespoke'!C205,"")</f>
        <v/>
      </c>
      <c r="AH180" s="496"/>
      <c r="AI180" s="585"/>
      <c r="AJ180" s="585"/>
      <c r="AK180" s="585"/>
      <c r="AL180" s="497"/>
      <c r="AM180" s="620"/>
      <c r="AN180" s="496"/>
      <c r="AO180" s="585"/>
      <c r="AP180" s="585"/>
      <c r="AQ180" s="585"/>
      <c r="AR180" s="497"/>
      <c r="AS180" s="620"/>
      <c r="AT180" s="506"/>
      <c r="AU180" s="631"/>
      <c r="AV180" s="620"/>
      <c r="AW180" s="506"/>
      <c r="AX180" s="582"/>
      <c r="AY180" s="620"/>
    </row>
    <row r="181" spans="2:51">
      <c r="B181" s="539" t="s">
        <v>553</v>
      </c>
      <c r="C181" s="540" t="s">
        <v>66</v>
      </c>
      <c r="D181" s="540" t="s">
        <v>55</v>
      </c>
      <c r="E181" s="540" t="s">
        <v>650</v>
      </c>
      <c r="F181" s="540" t="s">
        <v>671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G181" s="494" t="str">
        <f ca="1">IF('CDO Bespoke'!C206&lt;&gt;"",'CDO Bespoke'!C206,"")</f>
        <v/>
      </c>
      <c r="AH181" s="496"/>
      <c r="AI181" s="585"/>
      <c r="AJ181" s="585"/>
      <c r="AK181" s="585"/>
      <c r="AL181" s="497"/>
      <c r="AM181" s="620"/>
      <c r="AN181" s="496"/>
      <c r="AO181" s="585"/>
      <c r="AP181" s="585"/>
      <c r="AQ181" s="585"/>
      <c r="AR181" s="497"/>
      <c r="AS181" s="620"/>
      <c r="AT181" s="506"/>
      <c r="AU181" s="631"/>
      <c r="AV181" s="620"/>
      <c r="AW181" s="506"/>
      <c r="AX181" s="582"/>
      <c r="AY181" s="620"/>
    </row>
    <row r="182" spans="2:51">
      <c r="B182" s="517" t="s">
        <v>553</v>
      </c>
      <c r="C182" s="518" t="s">
        <v>66</v>
      </c>
      <c r="D182" s="518" t="s">
        <v>57</v>
      </c>
      <c r="E182" s="518" t="s">
        <v>650</v>
      </c>
      <c r="F182" s="518" t="s">
        <v>671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G182" s="494" t="str">
        <f ca="1">IF('CDO Bespoke'!C207&lt;&gt;"",'CDO Bespoke'!C207,"")</f>
        <v/>
      </c>
      <c r="AH182" s="496"/>
      <c r="AI182" s="585"/>
      <c r="AJ182" s="585"/>
      <c r="AK182" s="585"/>
      <c r="AL182" s="497"/>
      <c r="AM182" s="620"/>
      <c r="AN182" s="496"/>
      <c r="AO182" s="585"/>
      <c r="AP182" s="585"/>
      <c r="AQ182" s="585"/>
      <c r="AR182" s="497"/>
      <c r="AS182" s="620"/>
      <c r="AT182" s="506"/>
      <c r="AU182" s="631"/>
      <c r="AV182" s="620"/>
      <c r="AW182" s="506"/>
      <c r="AX182" s="582"/>
      <c r="AY182" s="620"/>
    </row>
    <row r="183" spans="2:51">
      <c r="B183" s="534" t="s">
        <v>553</v>
      </c>
      <c r="C183" s="535" t="s">
        <v>66</v>
      </c>
      <c r="D183" s="535" t="s">
        <v>59</v>
      </c>
      <c r="E183" s="535" t="s">
        <v>650</v>
      </c>
      <c r="F183" s="535" t="s">
        <v>671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G183" s="494" t="str">
        <f ca="1">IF('CDO Bespoke'!C208&lt;&gt;"",'CDO Bespoke'!C208,"")</f>
        <v/>
      </c>
      <c r="AH183" s="496"/>
      <c r="AI183" s="585"/>
      <c r="AJ183" s="585"/>
      <c r="AK183" s="585"/>
      <c r="AL183" s="497"/>
      <c r="AM183" s="620"/>
      <c r="AN183" s="496"/>
      <c r="AO183" s="585"/>
      <c r="AP183" s="585"/>
      <c r="AQ183" s="585"/>
      <c r="AR183" s="497"/>
      <c r="AS183" s="620"/>
      <c r="AT183" s="506"/>
      <c r="AU183" s="631"/>
      <c r="AV183" s="620"/>
      <c r="AW183" s="506"/>
      <c r="AX183" s="582"/>
      <c r="AY183" s="620"/>
    </row>
    <row r="184" spans="2:51">
      <c r="B184" s="539" t="s">
        <v>554</v>
      </c>
      <c r="C184" s="540" t="s">
        <v>66</v>
      </c>
      <c r="D184" s="540" t="s">
        <v>55</v>
      </c>
      <c r="E184" s="540" t="s">
        <v>650</v>
      </c>
      <c r="F184" s="540" t="s">
        <v>671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G184" s="494" t="str">
        <f ca="1">IF('CDO Bespoke'!C209&lt;&gt;"",'CDO Bespoke'!C209,"")</f>
        <v/>
      </c>
      <c r="AH184" s="496"/>
      <c r="AI184" s="585"/>
      <c r="AJ184" s="585"/>
      <c r="AK184" s="585"/>
      <c r="AL184" s="497"/>
      <c r="AM184" s="620"/>
      <c r="AN184" s="496"/>
      <c r="AO184" s="585"/>
      <c r="AP184" s="585"/>
      <c r="AQ184" s="585"/>
      <c r="AR184" s="497"/>
      <c r="AS184" s="620"/>
      <c r="AT184" s="506"/>
      <c r="AU184" s="631"/>
      <c r="AV184" s="620"/>
      <c r="AW184" s="506"/>
      <c r="AX184" s="582"/>
      <c r="AY184" s="620"/>
    </row>
    <row r="185" spans="2:51">
      <c r="B185" s="517" t="s">
        <v>554</v>
      </c>
      <c r="C185" s="518" t="s">
        <v>66</v>
      </c>
      <c r="D185" s="518" t="s">
        <v>57</v>
      </c>
      <c r="E185" s="518" t="s">
        <v>650</v>
      </c>
      <c r="F185" s="518" t="s">
        <v>671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G185" s="494" t="str">
        <f ca="1">IF('CDO Bespoke'!C210&lt;&gt;"",'CDO Bespoke'!C210,"")</f>
        <v/>
      </c>
      <c r="AH185" s="496"/>
      <c r="AI185" s="585"/>
      <c r="AJ185" s="585"/>
      <c r="AK185" s="585"/>
      <c r="AL185" s="497"/>
      <c r="AM185" s="620"/>
      <c r="AN185" s="496"/>
      <c r="AO185" s="585"/>
      <c r="AP185" s="585"/>
      <c r="AQ185" s="585"/>
      <c r="AR185" s="497"/>
      <c r="AS185" s="620"/>
      <c r="AT185" s="506"/>
      <c r="AU185" s="631"/>
      <c r="AV185" s="620"/>
      <c r="AW185" s="506"/>
      <c r="AX185" s="582"/>
      <c r="AY185" s="620"/>
    </row>
    <row r="186" spans="2:51">
      <c r="B186" s="534" t="s">
        <v>554</v>
      </c>
      <c r="C186" s="535" t="s">
        <v>66</v>
      </c>
      <c r="D186" s="535" t="s">
        <v>59</v>
      </c>
      <c r="E186" s="535" t="s">
        <v>650</v>
      </c>
      <c r="F186" s="535" t="s">
        <v>671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G186" s="494" t="str">
        <f ca="1">IF('CDO Bespoke'!C211&lt;&gt;"",'CDO Bespoke'!C211,"")</f>
        <v/>
      </c>
      <c r="AH186" s="496"/>
      <c r="AI186" s="585"/>
      <c r="AJ186" s="585"/>
      <c r="AK186" s="585"/>
      <c r="AL186" s="497"/>
      <c r="AM186" s="620"/>
      <c r="AN186" s="496"/>
      <c r="AO186" s="585"/>
      <c r="AP186" s="585"/>
      <c r="AQ186" s="585"/>
      <c r="AR186" s="497"/>
      <c r="AS186" s="620"/>
      <c r="AT186" s="506"/>
      <c r="AU186" s="631"/>
      <c r="AV186" s="620"/>
      <c r="AW186" s="506"/>
      <c r="AX186" s="582"/>
      <c r="AY186" s="620"/>
    </row>
    <row r="187" spans="2:51">
      <c r="B187" s="539" t="s">
        <v>555</v>
      </c>
      <c r="C187" s="540" t="s">
        <v>66</v>
      </c>
      <c r="D187" s="540" t="s">
        <v>55</v>
      </c>
      <c r="E187" s="540" t="s">
        <v>648</v>
      </c>
      <c r="F187" s="540" t="s">
        <v>671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G187" s="494" t="str">
        <f ca="1">IF('CDO Bespoke'!C212&lt;&gt;"",'CDO Bespoke'!C212,"")</f>
        <v/>
      </c>
      <c r="AH187" s="496"/>
      <c r="AI187" s="585"/>
      <c r="AJ187" s="585"/>
      <c r="AK187" s="585"/>
      <c r="AL187" s="497"/>
      <c r="AM187" s="620"/>
      <c r="AN187" s="496"/>
      <c r="AO187" s="585"/>
      <c r="AP187" s="585"/>
      <c r="AQ187" s="585"/>
      <c r="AR187" s="497"/>
      <c r="AS187" s="620"/>
      <c r="AT187" s="506"/>
      <c r="AU187" s="631"/>
      <c r="AV187" s="620"/>
      <c r="AW187" s="506"/>
      <c r="AX187" s="582"/>
      <c r="AY187" s="620"/>
    </row>
    <row r="188" spans="2:51">
      <c r="B188" s="517" t="s">
        <v>555</v>
      </c>
      <c r="C188" s="518" t="s">
        <v>66</v>
      </c>
      <c r="D188" s="518" t="s">
        <v>57</v>
      </c>
      <c r="E188" s="518" t="s">
        <v>648</v>
      </c>
      <c r="F188" s="518" t="s">
        <v>671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G188" s="494" t="str">
        <f ca="1">IF('CDO Bespoke'!C213&lt;&gt;"",'CDO Bespoke'!C213,"")</f>
        <v/>
      </c>
      <c r="AH188" s="496"/>
      <c r="AI188" s="585"/>
      <c r="AJ188" s="585"/>
      <c r="AK188" s="585"/>
      <c r="AL188" s="497"/>
      <c r="AM188" s="620"/>
      <c r="AN188" s="496"/>
      <c r="AO188" s="585"/>
      <c r="AP188" s="585"/>
      <c r="AQ188" s="585"/>
      <c r="AR188" s="497"/>
      <c r="AS188" s="620"/>
      <c r="AT188" s="506"/>
      <c r="AU188" s="631"/>
      <c r="AV188" s="620"/>
      <c r="AW188" s="506"/>
      <c r="AX188" s="582"/>
      <c r="AY188" s="620"/>
    </row>
    <row r="189" spans="2:51">
      <c r="B189" s="534" t="s">
        <v>555</v>
      </c>
      <c r="C189" s="535" t="s">
        <v>66</v>
      </c>
      <c r="D189" s="535" t="s">
        <v>59</v>
      </c>
      <c r="E189" s="535" t="s">
        <v>648</v>
      </c>
      <c r="F189" s="535" t="s">
        <v>671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G189" s="494" t="str">
        <f ca="1">IF('CDO Bespoke'!C214&lt;&gt;"",'CDO Bespoke'!C214,"")</f>
        <v/>
      </c>
      <c r="AH189" s="496"/>
      <c r="AI189" s="585"/>
      <c r="AJ189" s="585"/>
      <c r="AK189" s="585"/>
      <c r="AL189" s="497"/>
      <c r="AM189" s="620"/>
      <c r="AN189" s="496"/>
      <c r="AO189" s="585"/>
      <c r="AP189" s="585"/>
      <c r="AQ189" s="585"/>
      <c r="AR189" s="497"/>
      <c r="AS189" s="620"/>
      <c r="AT189" s="506"/>
      <c r="AU189" s="631"/>
      <c r="AV189" s="620"/>
      <c r="AW189" s="506"/>
      <c r="AX189" s="582"/>
      <c r="AY189" s="620"/>
    </row>
    <row r="190" spans="2:51">
      <c r="B190" s="539" t="s">
        <v>556</v>
      </c>
      <c r="C190" s="540" t="s">
        <v>66</v>
      </c>
      <c r="D190" s="540" t="s">
        <v>55</v>
      </c>
      <c r="E190" s="540" t="s">
        <v>648</v>
      </c>
      <c r="F190" s="540" t="s">
        <v>671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G190" s="494" t="str">
        <f ca="1">IF('CDO Bespoke'!C215&lt;&gt;"",'CDO Bespoke'!C215,"")</f>
        <v/>
      </c>
      <c r="AH190" s="496"/>
      <c r="AI190" s="585"/>
      <c r="AJ190" s="585"/>
      <c r="AK190" s="585"/>
      <c r="AL190" s="497"/>
      <c r="AM190" s="620"/>
      <c r="AN190" s="496"/>
      <c r="AO190" s="585"/>
      <c r="AP190" s="585"/>
      <c r="AQ190" s="585"/>
      <c r="AR190" s="497"/>
      <c r="AS190" s="620"/>
      <c r="AT190" s="506"/>
      <c r="AU190" s="631"/>
      <c r="AV190" s="620"/>
      <c r="AW190" s="506"/>
      <c r="AX190" s="582"/>
      <c r="AY190" s="620"/>
    </row>
    <row r="191" spans="2:51">
      <c r="B191" s="517" t="s">
        <v>556</v>
      </c>
      <c r="C191" s="518" t="s">
        <v>66</v>
      </c>
      <c r="D191" s="518" t="s">
        <v>57</v>
      </c>
      <c r="E191" s="518" t="s">
        <v>648</v>
      </c>
      <c r="F191" s="518" t="s">
        <v>671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G191" s="494" t="str">
        <f ca="1">IF('CDO Bespoke'!C216&lt;&gt;"",'CDO Bespoke'!C216,"")</f>
        <v/>
      </c>
      <c r="AH191" s="496"/>
      <c r="AI191" s="585"/>
      <c r="AJ191" s="585"/>
      <c r="AK191" s="585"/>
      <c r="AL191" s="497"/>
      <c r="AM191" s="620"/>
      <c r="AN191" s="496"/>
      <c r="AO191" s="585"/>
      <c r="AP191" s="585"/>
      <c r="AQ191" s="585"/>
      <c r="AR191" s="497"/>
      <c r="AS191" s="620"/>
      <c r="AT191" s="506"/>
      <c r="AU191" s="631"/>
      <c r="AV191" s="620"/>
      <c r="AW191" s="506"/>
      <c r="AX191" s="582"/>
      <c r="AY191" s="620"/>
    </row>
    <row r="192" spans="2:51">
      <c r="B192" s="534" t="s">
        <v>556</v>
      </c>
      <c r="C192" s="535" t="s">
        <v>66</v>
      </c>
      <c r="D192" s="535" t="s">
        <v>59</v>
      </c>
      <c r="E192" s="535" t="s">
        <v>648</v>
      </c>
      <c r="F192" s="535" t="s">
        <v>671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G192" s="494" t="str">
        <f ca="1">IF('CDO Bespoke'!C217&lt;&gt;"",'CDO Bespoke'!C217,"")</f>
        <v/>
      </c>
      <c r="AH192" s="496"/>
      <c r="AI192" s="585"/>
      <c r="AJ192" s="585"/>
      <c r="AK192" s="585"/>
      <c r="AL192" s="497"/>
      <c r="AM192" s="620"/>
      <c r="AN192" s="496"/>
      <c r="AO192" s="585"/>
      <c r="AP192" s="585"/>
      <c r="AQ192" s="585"/>
      <c r="AR192" s="497"/>
      <c r="AS192" s="620"/>
      <c r="AT192" s="506"/>
      <c r="AU192" s="631"/>
      <c r="AV192" s="620"/>
      <c r="AW192" s="506"/>
      <c r="AX192" s="582"/>
      <c r="AY192" s="620"/>
    </row>
    <row r="193" spans="2:51">
      <c r="B193" s="539" t="s">
        <v>564</v>
      </c>
      <c r="C193" s="540" t="s">
        <v>66</v>
      </c>
      <c r="D193" s="540" t="s">
        <v>55</v>
      </c>
      <c r="E193" s="540" t="s">
        <v>648</v>
      </c>
      <c r="F193" s="540" t="s">
        <v>671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G193" s="494" t="str">
        <f ca="1">IF('CDO Bespoke'!C218&lt;&gt;"",'CDO Bespoke'!C218,"")</f>
        <v/>
      </c>
      <c r="AH193" s="496"/>
      <c r="AI193" s="585"/>
      <c r="AJ193" s="585"/>
      <c r="AK193" s="585"/>
      <c r="AL193" s="497"/>
      <c r="AM193" s="620"/>
      <c r="AN193" s="496"/>
      <c r="AO193" s="585"/>
      <c r="AP193" s="585"/>
      <c r="AQ193" s="585"/>
      <c r="AR193" s="497"/>
      <c r="AS193" s="620"/>
      <c r="AT193" s="506"/>
      <c r="AU193" s="631"/>
      <c r="AV193" s="620"/>
      <c r="AW193" s="506"/>
      <c r="AX193" s="582"/>
      <c r="AY193" s="620"/>
    </row>
    <row r="194" spans="2:51">
      <c r="B194" s="517" t="s">
        <v>564</v>
      </c>
      <c r="C194" s="518" t="s">
        <v>66</v>
      </c>
      <c r="D194" s="518" t="s">
        <v>57</v>
      </c>
      <c r="E194" s="518" t="s">
        <v>648</v>
      </c>
      <c r="F194" s="518" t="s">
        <v>671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G194" s="494" t="str">
        <f ca="1">IF('CDO Bespoke'!C219&lt;&gt;"",'CDO Bespoke'!C219,"")</f>
        <v/>
      </c>
      <c r="AH194" s="496"/>
      <c r="AI194" s="585"/>
      <c r="AJ194" s="585"/>
      <c r="AK194" s="585"/>
      <c r="AL194" s="497"/>
      <c r="AM194" s="620"/>
      <c r="AN194" s="496"/>
      <c r="AO194" s="585"/>
      <c r="AP194" s="585"/>
      <c r="AQ194" s="585"/>
      <c r="AR194" s="497"/>
      <c r="AS194" s="620"/>
      <c r="AT194" s="506"/>
      <c r="AU194" s="631"/>
      <c r="AV194" s="620"/>
      <c r="AW194" s="506"/>
      <c r="AX194" s="582"/>
      <c r="AY194" s="620"/>
    </row>
    <row r="195" spans="2:51">
      <c r="B195" s="534" t="s">
        <v>564</v>
      </c>
      <c r="C195" s="535" t="s">
        <v>66</v>
      </c>
      <c r="D195" s="535" t="s">
        <v>59</v>
      </c>
      <c r="E195" s="535" t="s">
        <v>648</v>
      </c>
      <c r="F195" s="535" t="s">
        <v>671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G195" s="494" t="str">
        <f ca="1">IF('CDO Bespoke'!C220&lt;&gt;"",'CDO Bespoke'!C220,"")</f>
        <v/>
      </c>
      <c r="AH195" s="496"/>
      <c r="AI195" s="585"/>
      <c r="AJ195" s="585"/>
      <c r="AK195" s="585"/>
      <c r="AL195" s="497"/>
      <c r="AM195" s="620"/>
      <c r="AN195" s="496"/>
      <c r="AO195" s="585"/>
      <c r="AP195" s="585"/>
      <c r="AQ195" s="585"/>
      <c r="AR195" s="497"/>
      <c r="AS195" s="620"/>
      <c r="AT195" s="506"/>
      <c r="AU195" s="631"/>
      <c r="AV195" s="620"/>
      <c r="AW195" s="506"/>
      <c r="AX195" s="582"/>
      <c r="AY195" s="620"/>
    </row>
    <row r="196" spans="2:51">
      <c r="B196" s="539" t="s">
        <v>557</v>
      </c>
      <c r="C196" s="540" t="s">
        <v>66</v>
      </c>
      <c r="D196" s="540" t="s">
        <v>55</v>
      </c>
      <c r="E196" s="540" t="s">
        <v>648</v>
      </c>
      <c r="F196" s="540" t="s">
        <v>671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G196" s="494" t="str">
        <f ca="1">IF('CDO Bespoke'!C221&lt;&gt;"",'CDO Bespoke'!C221,"")</f>
        <v/>
      </c>
      <c r="AH196" s="496"/>
      <c r="AI196" s="585"/>
      <c r="AJ196" s="585"/>
      <c r="AK196" s="585"/>
      <c r="AL196" s="497"/>
      <c r="AM196" s="620"/>
      <c r="AN196" s="496"/>
      <c r="AO196" s="585"/>
      <c r="AP196" s="585"/>
      <c r="AQ196" s="585"/>
      <c r="AR196" s="497"/>
      <c r="AS196" s="620"/>
      <c r="AT196" s="506"/>
      <c r="AU196" s="631"/>
      <c r="AV196" s="620"/>
      <c r="AW196" s="506"/>
      <c r="AX196" s="582"/>
      <c r="AY196" s="620"/>
    </row>
    <row r="197" spans="2:51">
      <c r="B197" s="517" t="s">
        <v>557</v>
      </c>
      <c r="C197" s="518" t="s">
        <v>66</v>
      </c>
      <c r="D197" s="518" t="s">
        <v>57</v>
      </c>
      <c r="E197" s="518" t="s">
        <v>648</v>
      </c>
      <c r="F197" s="518" t="s">
        <v>671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G197" s="494" t="str">
        <f ca="1">IF('CDO Bespoke'!C222&lt;&gt;"",'CDO Bespoke'!C222,"")</f>
        <v/>
      </c>
      <c r="AH197" s="496"/>
      <c r="AI197" s="585"/>
      <c r="AJ197" s="585"/>
      <c r="AK197" s="585"/>
      <c r="AL197" s="497"/>
      <c r="AM197" s="620"/>
      <c r="AN197" s="496"/>
      <c r="AO197" s="585"/>
      <c r="AP197" s="585"/>
      <c r="AQ197" s="585"/>
      <c r="AR197" s="497"/>
      <c r="AS197" s="620"/>
      <c r="AT197" s="506"/>
      <c r="AU197" s="631"/>
      <c r="AV197" s="620"/>
      <c r="AW197" s="506"/>
      <c r="AX197" s="582"/>
      <c r="AY197" s="620"/>
    </row>
    <row r="198" spans="2:51">
      <c r="B198" s="534" t="s">
        <v>557</v>
      </c>
      <c r="C198" s="535" t="s">
        <v>66</v>
      </c>
      <c r="D198" s="535" t="s">
        <v>59</v>
      </c>
      <c r="E198" s="535" t="s">
        <v>648</v>
      </c>
      <c r="F198" s="535" t="s">
        <v>671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G198" s="494" t="str">
        <f ca="1">IF('CDO Bespoke'!C223&lt;&gt;"",'CDO Bespoke'!C223,"")</f>
        <v/>
      </c>
      <c r="AH198" s="496"/>
      <c r="AI198" s="585"/>
      <c r="AJ198" s="585"/>
      <c r="AK198" s="585"/>
      <c r="AL198" s="497"/>
      <c r="AM198" s="620"/>
      <c r="AN198" s="496"/>
      <c r="AO198" s="585"/>
      <c r="AP198" s="585"/>
      <c r="AQ198" s="585"/>
      <c r="AR198" s="497"/>
      <c r="AS198" s="620"/>
      <c r="AT198" s="506"/>
      <c r="AU198" s="631"/>
      <c r="AV198" s="620"/>
      <c r="AW198" s="506"/>
      <c r="AX198" s="582"/>
      <c r="AY198" s="620"/>
    </row>
    <row r="199" spans="2:51">
      <c r="B199" s="539" t="s">
        <v>558</v>
      </c>
      <c r="C199" s="540" t="s">
        <v>66</v>
      </c>
      <c r="D199" s="540" t="s">
        <v>55</v>
      </c>
      <c r="E199" s="540" t="s">
        <v>648</v>
      </c>
      <c r="F199" s="540" t="s">
        <v>671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G199" s="494" t="str">
        <f ca="1">IF('CDO Bespoke'!C224&lt;&gt;"",'CDO Bespoke'!C224,"")</f>
        <v/>
      </c>
      <c r="AH199" s="496"/>
      <c r="AI199" s="585"/>
      <c r="AJ199" s="585"/>
      <c r="AK199" s="585"/>
      <c r="AL199" s="497"/>
      <c r="AM199" s="620"/>
      <c r="AN199" s="496"/>
      <c r="AO199" s="585"/>
      <c r="AP199" s="585"/>
      <c r="AQ199" s="585"/>
      <c r="AR199" s="497"/>
      <c r="AS199" s="620"/>
      <c r="AT199" s="506"/>
      <c r="AU199" s="631"/>
      <c r="AV199" s="620"/>
      <c r="AW199" s="506"/>
      <c r="AX199" s="582"/>
      <c r="AY199" s="620"/>
    </row>
    <row r="200" spans="2:51">
      <c r="B200" s="517" t="s">
        <v>558</v>
      </c>
      <c r="C200" s="518" t="s">
        <v>66</v>
      </c>
      <c r="D200" s="518" t="s">
        <v>57</v>
      </c>
      <c r="E200" s="518" t="s">
        <v>648</v>
      </c>
      <c r="F200" s="518" t="s">
        <v>671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G200" s="494" t="str">
        <f ca="1">IF('CDO Bespoke'!C225&lt;&gt;"",'CDO Bespoke'!C225,"")</f>
        <v/>
      </c>
      <c r="AH200" s="496"/>
      <c r="AI200" s="585"/>
      <c r="AJ200" s="585"/>
      <c r="AK200" s="585"/>
      <c r="AL200" s="497"/>
      <c r="AM200" s="620"/>
      <c r="AN200" s="496"/>
      <c r="AO200" s="585"/>
      <c r="AP200" s="585"/>
      <c r="AQ200" s="585"/>
      <c r="AR200" s="497"/>
      <c r="AS200" s="620"/>
      <c r="AT200" s="506"/>
      <c r="AU200" s="631"/>
      <c r="AV200" s="620"/>
      <c r="AW200" s="506"/>
      <c r="AX200" s="582"/>
      <c r="AY200" s="620"/>
    </row>
    <row r="201" spans="2:51">
      <c r="B201" s="534" t="s">
        <v>558</v>
      </c>
      <c r="C201" s="535" t="s">
        <v>66</v>
      </c>
      <c r="D201" s="535" t="s">
        <v>59</v>
      </c>
      <c r="E201" s="535" t="s">
        <v>648</v>
      </c>
      <c r="F201" s="535" t="s">
        <v>671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G201" s="494" t="str">
        <f ca="1">IF('CDO Bespoke'!C226&lt;&gt;"",'CDO Bespoke'!C226,"")</f>
        <v/>
      </c>
      <c r="AH201" s="496"/>
      <c r="AI201" s="585"/>
      <c r="AJ201" s="585"/>
      <c r="AK201" s="585"/>
      <c r="AL201" s="497"/>
      <c r="AM201" s="620"/>
      <c r="AN201" s="496"/>
      <c r="AO201" s="585"/>
      <c r="AP201" s="585"/>
      <c r="AQ201" s="585"/>
      <c r="AR201" s="497"/>
      <c r="AS201" s="620"/>
      <c r="AT201" s="506"/>
      <c r="AU201" s="631"/>
      <c r="AV201" s="620"/>
      <c r="AW201" s="506"/>
      <c r="AX201" s="582"/>
      <c r="AY201" s="620"/>
    </row>
    <row r="202" spans="2:51">
      <c r="B202" s="539" t="s">
        <v>559</v>
      </c>
      <c r="C202" s="540" t="s">
        <v>66</v>
      </c>
      <c r="D202" s="540" t="s">
        <v>55</v>
      </c>
      <c r="E202" s="540" t="s">
        <v>646</v>
      </c>
      <c r="F202" s="540" t="s">
        <v>671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G202" s="494" t="str">
        <f ca="1">IF('CDO Bespoke'!C227&lt;&gt;"",'CDO Bespoke'!C227,"")</f>
        <v/>
      </c>
      <c r="AH202" s="496"/>
      <c r="AI202" s="585"/>
      <c r="AJ202" s="585"/>
      <c r="AK202" s="585"/>
      <c r="AL202" s="497"/>
      <c r="AM202" s="620"/>
      <c r="AN202" s="496"/>
      <c r="AO202" s="585"/>
      <c r="AP202" s="585"/>
      <c r="AQ202" s="585"/>
      <c r="AR202" s="497"/>
      <c r="AS202" s="620"/>
      <c r="AT202" s="506"/>
      <c r="AU202" s="631"/>
      <c r="AV202" s="620"/>
      <c r="AW202" s="506"/>
      <c r="AX202" s="582"/>
      <c r="AY202" s="620"/>
    </row>
    <row r="203" spans="2:51">
      <c r="B203" s="517" t="s">
        <v>559</v>
      </c>
      <c r="C203" s="518" t="s">
        <v>66</v>
      </c>
      <c r="D203" s="518" t="s">
        <v>57</v>
      </c>
      <c r="E203" s="518" t="s">
        <v>646</v>
      </c>
      <c r="F203" s="518" t="s">
        <v>671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G203" s="494" t="str">
        <f ca="1">IF('CDO Bespoke'!C228&lt;&gt;"",'CDO Bespoke'!C228,"")</f>
        <v/>
      </c>
      <c r="AH203" s="496"/>
      <c r="AI203" s="585"/>
      <c r="AJ203" s="585"/>
      <c r="AK203" s="585"/>
      <c r="AL203" s="497"/>
      <c r="AM203" s="620"/>
      <c r="AN203" s="496"/>
      <c r="AO203" s="585"/>
      <c r="AP203" s="585"/>
      <c r="AQ203" s="585"/>
      <c r="AR203" s="497"/>
      <c r="AS203" s="620"/>
      <c r="AT203" s="506"/>
      <c r="AU203" s="631"/>
      <c r="AV203" s="620"/>
      <c r="AW203" s="506"/>
      <c r="AX203" s="582"/>
      <c r="AY203" s="620"/>
    </row>
    <row r="204" spans="2:51">
      <c r="B204" s="534" t="s">
        <v>559</v>
      </c>
      <c r="C204" s="535" t="s">
        <v>66</v>
      </c>
      <c r="D204" s="535" t="s">
        <v>59</v>
      </c>
      <c r="E204" s="535" t="s">
        <v>646</v>
      </c>
      <c r="F204" s="535" t="s">
        <v>671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G204" s="494" t="str">
        <f ca="1">IF('CDO Bespoke'!C229&lt;&gt;"",'CDO Bespoke'!C229,"")</f>
        <v/>
      </c>
      <c r="AH204" s="496"/>
      <c r="AI204" s="585"/>
      <c r="AJ204" s="585"/>
      <c r="AK204" s="585"/>
      <c r="AL204" s="497"/>
      <c r="AM204" s="620"/>
      <c r="AN204" s="496"/>
      <c r="AO204" s="585"/>
      <c r="AP204" s="585"/>
      <c r="AQ204" s="585"/>
      <c r="AR204" s="497"/>
      <c r="AS204" s="620"/>
      <c r="AT204" s="506"/>
      <c r="AU204" s="631"/>
      <c r="AV204" s="620"/>
      <c r="AW204" s="506"/>
      <c r="AX204" s="582"/>
      <c r="AY204" s="620"/>
    </row>
    <row r="205" spans="2:51">
      <c r="B205" s="539" t="s">
        <v>565</v>
      </c>
      <c r="C205" s="540" t="s">
        <v>66</v>
      </c>
      <c r="D205" s="540" t="s">
        <v>55</v>
      </c>
      <c r="E205" s="540" t="s">
        <v>646</v>
      </c>
      <c r="F205" s="540" t="s">
        <v>651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G205" s="494" t="str">
        <f ca="1">IF('CDO Bespoke'!C230&lt;&gt;"",'CDO Bespoke'!C230,"")</f>
        <v/>
      </c>
      <c r="AH205" s="496"/>
      <c r="AI205" s="585"/>
      <c r="AJ205" s="585"/>
      <c r="AK205" s="585"/>
      <c r="AL205" s="497"/>
      <c r="AM205" s="620"/>
      <c r="AN205" s="496"/>
      <c r="AO205" s="585"/>
      <c r="AP205" s="585"/>
      <c r="AQ205" s="585"/>
      <c r="AR205" s="497"/>
      <c r="AS205" s="620"/>
      <c r="AT205" s="506"/>
      <c r="AU205" s="631"/>
      <c r="AV205" s="620"/>
      <c r="AW205" s="506"/>
      <c r="AX205" s="582"/>
      <c r="AY205" s="620"/>
    </row>
    <row r="206" spans="2:51">
      <c r="B206" s="517" t="s">
        <v>565</v>
      </c>
      <c r="C206" s="518" t="s">
        <v>66</v>
      </c>
      <c r="D206" s="518" t="s">
        <v>57</v>
      </c>
      <c r="E206" s="518" t="s">
        <v>646</v>
      </c>
      <c r="F206" s="518" t="s">
        <v>651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G206" s="494" t="str">
        <f ca="1">IF('CDO Bespoke'!C231&lt;&gt;"",'CDO Bespoke'!C231,"")</f>
        <v/>
      </c>
      <c r="AH206" s="496"/>
      <c r="AI206" s="585"/>
      <c r="AJ206" s="585"/>
      <c r="AK206" s="585"/>
      <c r="AL206" s="497"/>
      <c r="AM206" s="620"/>
      <c r="AN206" s="496"/>
      <c r="AO206" s="585"/>
      <c r="AP206" s="585"/>
      <c r="AQ206" s="585"/>
      <c r="AR206" s="497"/>
      <c r="AS206" s="620"/>
      <c r="AT206" s="506"/>
      <c r="AU206" s="631"/>
      <c r="AV206" s="620"/>
      <c r="AW206" s="506"/>
      <c r="AX206" s="582"/>
      <c r="AY206" s="620"/>
    </row>
    <row r="207" spans="2:51">
      <c r="B207" s="534" t="s">
        <v>565</v>
      </c>
      <c r="C207" s="535" t="s">
        <v>66</v>
      </c>
      <c r="D207" s="535" t="s">
        <v>59</v>
      </c>
      <c r="E207" s="535" t="s">
        <v>646</v>
      </c>
      <c r="F207" s="535" t="s">
        <v>651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G207" s="494" t="str">
        <f ca="1">IF('CDO Bespoke'!C232&lt;&gt;"",'CDO Bespoke'!C232,"")</f>
        <v/>
      </c>
      <c r="AH207" s="496"/>
      <c r="AI207" s="585"/>
      <c r="AJ207" s="585"/>
      <c r="AK207" s="585"/>
      <c r="AL207" s="497"/>
      <c r="AM207" s="620"/>
      <c r="AN207" s="496"/>
      <c r="AO207" s="585"/>
      <c r="AP207" s="585"/>
      <c r="AQ207" s="585"/>
      <c r="AR207" s="497"/>
      <c r="AS207" s="620"/>
      <c r="AT207" s="506"/>
      <c r="AU207" s="631"/>
      <c r="AV207" s="620"/>
      <c r="AW207" s="506"/>
      <c r="AX207" s="582"/>
      <c r="AY207" s="620"/>
    </row>
    <row r="208" spans="2:51">
      <c r="B208" s="539" t="s">
        <v>566</v>
      </c>
      <c r="C208" s="540" t="s">
        <v>66</v>
      </c>
      <c r="D208" s="540" t="s">
        <v>55</v>
      </c>
      <c r="E208" s="540" t="s">
        <v>648</v>
      </c>
      <c r="F208" s="540" t="s">
        <v>652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G208" s="494" t="str">
        <f ca="1">IF('CDO Bespoke'!C233&lt;&gt;"",'CDO Bespoke'!C233,"")</f>
        <v/>
      </c>
      <c r="AH208" s="496"/>
      <c r="AI208" s="585"/>
      <c r="AJ208" s="585"/>
      <c r="AK208" s="585"/>
      <c r="AL208" s="497"/>
      <c r="AM208" s="620"/>
      <c r="AN208" s="496"/>
      <c r="AO208" s="585"/>
      <c r="AP208" s="585"/>
      <c r="AQ208" s="585"/>
      <c r="AR208" s="497"/>
      <c r="AS208" s="620"/>
      <c r="AT208" s="506"/>
      <c r="AU208" s="631"/>
      <c r="AV208" s="620"/>
      <c r="AW208" s="506"/>
      <c r="AX208" s="582"/>
      <c r="AY208" s="620"/>
    </row>
    <row r="209" spans="2:51">
      <c r="B209" s="517" t="s">
        <v>566</v>
      </c>
      <c r="C209" s="518" t="s">
        <v>66</v>
      </c>
      <c r="D209" s="518" t="s">
        <v>57</v>
      </c>
      <c r="E209" s="518" t="s">
        <v>648</v>
      </c>
      <c r="F209" s="518" t="s">
        <v>652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G209" s="494" t="str">
        <f ca="1">IF('CDO Bespoke'!C234&lt;&gt;"",'CDO Bespoke'!C234,"")</f>
        <v/>
      </c>
      <c r="AH209" s="496"/>
      <c r="AI209" s="585"/>
      <c r="AJ209" s="585"/>
      <c r="AK209" s="585"/>
      <c r="AL209" s="497"/>
      <c r="AM209" s="620"/>
      <c r="AN209" s="496"/>
      <c r="AO209" s="585"/>
      <c r="AP209" s="585"/>
      <c r="AQ209" s="585"/>
      <c r="AR209" s="497"/>
      <c r="AS209" s="620"/>
      <c r="AT209" s="506"/>
      <c r="AU209" s="631"/>
      <c r="AV209" s="620"/>
      <c r="AW209" s="506"/>
      <c r="AX209" s="582"/>
      <c r="AY209" s="620"/>
    </row>
    <row r="210" spans="2:51">
      <c r="B210" s="534" t="s">
        <v>566</v>
      </c>
      <c r="C210" s="535" t="s">
        <v>66</v>
      </c>
      <c r="D210" s="535" t="s">
        <v>59</v>
      </c>
      <c r="E210" s="535" t="s">
        <v>648</v>
      </c>
      <c r="F210" s="535" t="s">
        <v>652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G210" s="494" t="str">
        <f ca="1">IF('CDO Bespoke'!C235&lt;&gt;"",'CDO Bespoke'!C235,"")</f>
        <v/>
      </c>
      <c r="AH210" s="496"/>
      <c r="AI210" s="585"/>
      <c r="AJ210" s="585"/>
      <c r="AK210" s="585"/>
      <c r="AL210" s="497"/>
      <c r="AM210" s="620"/>
      <c r="AN210" s="496"/>
      <c r="AO210" s="585"/>
      <c r="AP210" s="585"/>
      <c r="AQ210" s="585"/>
      <c r="AR210" s="497"/>
      <c r="AS210" s="620"/>
      <c r="AT210" s="506"/>
      <c r="AU210" s="631"/>
      <c r="AV210" s="620"/>
      <c r="AW210" s="506"/>
      <c r="AX210" s="582"/>
      <c r="AY210" s="620"/>
    </row>
    <row r="211" spans="2:51">
      <c r="B211" s="539" t="s">
        <v>576</v>
      </c>
      <c r="C211" s="540" t="s">
        <v>66</v>
      </c>
      <c r="D211" s="540" t="s">
        <v>55</v>
      </c>
      <c r="E211" s="540" t="s">
        <v>648</v>
      </c>
      <c r="F211" s="540" t="s">
        <v>652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G211" s="494" t="str">
        <f ca="1">IF('CDO Bespoke'!C236&lt;&gt;"",'CDO Bespoke'!C236,"")</f>
        <v/>
      </c>
      <c r="AH211" s="496"/>
      <c r="AI211" s="585"/>
      <c r="AJ211" s="585"/>
      <c r="AK211" s="585"/>
      <c r="AL211" s="497"/>
      <c r="AM211" s="620"/>
      <c r="AN211" s="496"/>
      <c r="AO211" s="585"/>
      <c r="AP211" s="585"/>
      <c r="AQ211" s="585"/>
      <c r="AR211" s="497"/>
      <c r="AS211" s="620"/>
      <c r="AT211" s="506"/>
      <c r="AU211" s="631"/>
      <c r="AV211" s="620"/>
      <c r="AW211" s="506"/>
      <c r="AX211" s="582"/>
      <c r="AY211" s="620"/>
    </row>
    <row r="212" spans="2:51">
      <c r="B212" s="517" t="s">
        <v>576</v>
      </c>
      <c r="C212" s="518" t="s">
        <v>66</v>
      </c>
      <c r="D212" s="518" t="s">
        <v>57</v>
      </c>
      <c r="E212" s="518" t="s">
        <v>648</v>
      </c>
      <c r="F212" s="518" t="s">
        <v>652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G212" s="494" t="str">
        <f ca="1">IF('CDO Bespoke'!C237&lt;&gt;"",'CDO Bespoke'!C237,"")</f>
        <v/>
      </c>
      <c r="AH212" s="496"/>
      <c r="AI212" s="585"/>
      <c r="AJ212" s="585"/>
      <c r="AK212" s="585"/>
      <c r="AL212" s="497"/>
      <c r="AM212" s="620"/>
      <c r="AN212" s="496"/>
      <c r="AO212" s="585"/>
      <c r="AP212" s="585"/>
      <c r="AQ212" s="585"/>
      <c r="AR212" s="497"/>
      <c r="AS212" s="620"/>
      <c r="AT212" s="506"/>
      <c r="AU212" s="631"/>
      <c r="AV212" s="620"/>
      <c r="AW212" s="506"/>
      <c r="AX212" s="582"/>
      <c r="AY212" s="620"/>
    </row>
    <row r="213" spans="2:51">
      <c r="B213" s="534" t="s">
        <v>576</v>
      </c>
      <c r="C213" s="535" t="s">
        <v>66</v>
      </c>
      <c r="D213" s="535" t="s">
        <v>59</v>
      </c>
      <c r="E213" s="535" t="s">
        <v>648</v>
      </c>
      <c r="F213" s="535" t="s">
        <v>652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G213" s="494" t="str">
        <f ca="1">IF('CDO Bespoke'!C238&lt;&gt;"",'CDO Bespoke'!C238,"")</f>
        <v/>
      </c>
      <c r="AH213" s="496"/>
      <c r="AI213" s="585"/>
      <c r="AJ213" s="585"/>
      <c r="AK213" s="585"/>
      <c r="AL213" s="497"/>
      <c r="AM213" s="620"/>
      <c r="AN213" s="496"/>
      <c r="AO213" s="585"/>
      <c r="AP213" s="585"/>
      <c r="AQ213" s="585"/>
      <c r="AR213" s="497"/>
      <c r="AS213" s="620"/>
      <c r="AT213" s="506"/>
      <c r="AU213" s="631"/>
      <c r="AV213" s="620"/>
      <c r="AW213" s="506"/>
      <c r="AX213" s="582"/>
      <c r="AY213" s="620"/>
    </row>
    <row r="214" spans="2:51">
      <c r="B214" s="539" t="s">
        <v>615</v>
      </c>
      <c r="C214" s="540" t="s">
        <v>66</v>
      </c>
      <c r="D214" s="540" t="s">
        <v>55</v>
      </c>
      <c r="E214" s="540" t="s">
        <v>648</v>
      </c>
      <c r="F214" s="540" t="s">
        <v>652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G214" s="494" t="str">
        <f ca="1">IF('CDO Bespoke'!C239&lt;&gt;"",'CDO Bespoke'!C239,"")</f>
        <v/>
      </c>
      <c r="AH214" s="496"/>
      <c r="AI214" s="585"/>
      <c r="AJ214" s="585"/>
      <c r="AK214" s="585"/>
      <c r="AL214" s="497"/>
      <c r="AM214" s="620"/>
      <c r="AN214" s="496"/>
      <c r="AO214" s="585"/>
      <c r="AP214" s="585"/>
      <c r="AQ214" s="585"/>
      <c r="AR214" s="497"/>
      <c r="AS214" s="620"/>
      <c r="AT214" s="506"/>
      <c r="AU214" s="631"/>
      <c r="AV214" s="620"/>
      <c r="AW214" s="506"/>
      <c r="AX214" s="582"/>
      <c r="AY214" s="620"/>
    </row>
    <row r="215" spans="2:51">
      <c r="B215" s="517" t="s">
        <v>615</v>
      </c>
      <c r="C215" s="518" t="s">
        <v>66</v>
      </c>
      <c r="D215" s="518" t="s">
        <v>57</v>
      </c>
      <c r="E215" s="518" t="s">
        <v>648</v>
      </c>
      <c r="F215" s="518" t="s">
        <v>652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G215" s="494" t="str">
        <f ca="1">IF('CDO Bespoke'!C240&lt;&gt;"",'CDO Bespoke'!C240,"")</f>
        <v/>
      </c>
      <c r="AH215" s="496"/>
      <c r="AI215" s="585"/>
      <c r="AJ215" s="585"/>
      <c r="AK215" s="585"/>
      <c r="AL215" s="497"/>
      <c r="AM215" s="620"/>
      <c r="AN215" s="496"/>
      <c r="AO215" s="585"/>
      <c r="AP215" s="585"/>
      <c r="AQ215" s="585"/>
      <c r="AR215" s="497"/>
      <c r="AS215" s="620"/>
      <c r="AT215" s="506"/>
      <c r="AU215" s="631"/>
      <c r="AV215" s="620"/>
      <c r="AW215" s="506"/>
      <c r="AX215" s="582"/>
      <c r="AY215" s="620"/>
    </row>
    <row r="216" spans="2:51">
      <c r="B216" s="534" t="s">
        <v>615</v>
      </c>
      <c r="C216" s="535" t="s">
        <v>66</v>
      </c>
      <c r="D216" s="535" t="s">
        <v>59</v>
      </c>
      <c r="E216" s="535" t="s">
        <v>648</v>
      </c>
      <c r="F216" s="535" t="s">
        <v>652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G216" s="494" t="str">
        <f ca="1">IF('CDO Bespoke'!C241&lt;&gt;"",'CDO Bespoke'!C241,"")</f>
        <v/>
      </c>
      <c r="AH216" s="496"/>
      <c r="AI216" s="585"/>
      <c r="AJ216" s="585"/>
      <c r="AK216" s="585"/>
      <c r="AL216" s="497"/>
      <c r="AM216" s="620"/>
      <c r="AN216" s="496"/>
      <c r="AO216" s="585"/>
      <c r="AP216" s="585"/>
      <c r="AQ216" s="585"/>
      <c r="AR216" s="497"/>
      <c r="AS216" s="620"/>
      <c r="AT216" s="506"/>
      <c r="AU216" s="631"/>
      <c r="AV216" s="620"/>
      <c r="AW216" s="506"/>
      <c r="AX216" s="582"/>
      <c r="AY216" s="620"/>
    </row>
    <row r="217" spans="2:51">
      <c r="B217" s="539" t="s">
        <v>567</v>
      </c>
      <c r="C217" s="540" t="s">
        <v>66</v>
      </c>
      <c r="D217" s="540" t="s">
        <v>55</v>
      </c>
      <c r="E217" s="540" t="s">
        <v>648</v>
      </c>
      <c r="F217" s="540" t="s">
        <v>652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G217" s="494" t="str">
        <f ca="1">IF('CDO Bespoke'!C242&lt;&gt;"",'CDO Bespoke'!C242,"")</f>
        <v/>
      </c>
      <c r="AH217" s="496"/>
      <c r="AI217" s="585"/>
      <c r="AJ217" s="585"/>
      <c r="AK217" s="585"/>
      <c r="AL217" s="497"/>
      <c r="AM217" s="620"/>
      <c r="AN217" s="496"/>
      <c r="AO217" s="585"/>
      <c r="AP217" s="585"/>
      <c r="AQ217" s="585"/>
      <c r="AR217" s="497"/>
      <c r="AS217" s="620"/>
      <c r="AT217" s="506"/>
      <c r="AU217" s="631"/>
      <c r="AV217" s="620"/>
      <c r="AW217" s="506"/>
      <c r="AX217" s="582"/>
      <c r="AY217" s="620"/>
    </row>
    <row r="218" spans="2:51">
      <c r="B218" s="517" t="s">
        <v>567</v>
      </c>
      <c r="C218" s="518" t="s">
        <v>66</v>
      </c>
      <c r="D218" s="518" t="s">
        <v>57</v>
      </c>
      <c r="E218" s="518" t="s">
        <v>648</v>
      </c>
      <c r="F218" s="518" t="s">
        <v>652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G218" s="494" t="str">
        <f ca="1">IF('CDO Bespoke'!C243&lt;&gt;"",'CDO Bespoke'!C243,"")</f>
        <v/>
      </c>
      <c r="AH218" s="496"/>
      <c r="AI218" s="585"/>
      <c r="AJ218" s="585"/>
      <c r="AK218" s="585"/>
      <c r="AL218" s="497"/>
      <c r="AM218" s="620"/>
      <c r="AN218" s="496"/>
      <c r="AO218" s="585"/>
      <c r="AP218" s="585"/>
      <c r="AQ218" s="585"/>
      <c r="AR218" s="497"/>
      <c r="AS218" s="620"/>
      <c r="AT218" s="506"/>
      <c r="AU218" s="631"/>
      <c r="AV218" s="620"/>
      <c r="AW218" s="506"/>
      <c r="AX218" s="582"/>
      <c r="AY218" s="620"/>
    </row>
    <row r="219" spans="2:51">
      <c r="B219" s="534" t="s">
        <v>567</v>
      </c>
      <c r="C219" s="535" t="s">
        <v>66</v>
      </c>
      <c r="D219" s="535" t="s">
        <v>59</v>
      </c>
      <c r="E219" s="535" t="s">
        <v>648</v>
      </c>
      <c r="F219" s="535" t="s">
        <v>652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G219" s="494" t="str">
        <f ca="1">IF('CDO Bespoke'!C244&lt;&gt;"",'CDO Bespoke'!C244,"")</f>
        <v/>
      </c>
      <c r="AH219" s="496"/>
      <c r="AI219" s="585"/>
      <c r="AJ219" s="585"/>
      <c r="AK219" s="585"/>
      <c r="AL219" s="497"/>
      <c r="AM219" s="620"/>
      <c r="AN219" s="496"/>
      <c r="AO219" s="585"/>
      <c r="AP219" s="585"/>
      <c r="AQ219" s="585"/>
      <c r="AR219" s="497"/>
      <c r="AS219" s="620"/>
      <c r="AT219" s="506"/>
      <c r="AU219" s="631"/>
      <c r="AV219" s="620"/>
      <c r="AW219" s="506"/>
      <c r="AX219" s="582"/>
      <c r="AY219" s="620"/>
    </row>
    <row r="220" spans="2:51">
      <c r="B220" s="539" t="s">
        <v>577</v>
      </c>
      <c r="C220" s="540" t="s">
        <v>66</v>
      </c>
      <c r="D220" s="540" t="s">
        <v>55</v>
      </c>
      <c r="E220" s="540" t="s">
        <v>648</v>
      </c>
      <c r="F220" s="540" t="s">
        <v>652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G220" s="494" t="str">
        <f ca="1">IF('CDO Bespoke'!C245&lt;&gt;"",'CDO Bespoke'!C245,"")</f>
        <v/>
      </c>
      <c r="AH220" s="496"/>
      <c r="AI220" s="585"/>
      <c r="AJ220" s="585"/>
      <c r="AK220" s="585"/>
      <c r="AL220" s="497"/>
      <c r="AM220" s="620"/>
      <c r="AN220" s="496"/>
      <c r="AO220" s="585"/>
      <c r="AP220" s="585"/>
      <c r="AQ220" s="585"/>
      <c r="AR220" s="497"/>
      <c r="AS220" s="620"/>
      <c r="AT220" s="506"/>
      <c r="AU220" s="631"/>
      <c r="AV220" s="620"/>
      <c r="AW220" s="506"/>
      <c r="AX220" s="582"/>
      <c r="AY220" s="620"/>
    </row>
    <row r="221" spans="2:51">
      <c r="B221" s="517" t="s">
        <v>577</v>
      </c>
      <c r="C221" s="518" t="s">
        <v>66</v>
      </c>
      <c r="D221" s="518" t="s">
        <v>57</v>
      </c>
      <c r="E221" s="518" t="s">
        <v>648</v>
      </c>
      <c r="F221" s="518" t="s">
        <v>652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G221" s="494" t="str">
        <f ca="1">IF('CDO Bespoke'!C246&lt;&gt;"",'CDO Bespoke'!C246,"")</f>
        <v/>
      </c>
      <c r="AH221" s="496"/>
      <c r="AI221" s="585"/>
      <c r="AJ221" s="585"/>
      <c r="AK221" s="585"/>
      <c r="AL221" s="497"/>
      <c r="AM221" s="620"/>
      <c r="AN221" s="496"/>
      <c r="AO221" s="585"/>
      <c r="AP221" s="585"/>
      <c r="AQ221" s="585"/>
      <c r="AR221" s="497"/>
      <c r="AS221" s="620"/>
      <c r="AT221" s="506"/>
      <c r="AU221" s="631"/>
      <c r="AV221" s="620"/>
      <c r="AW221" s="506"/>
      <c r="AX221" s="582"/>
      <c r="AY221" s="620"/>
    </row>
    <row r="222" spans="2:51">
      <c r="B222" s="534" t="s">
        <v>577</v>
      </c>
      <c r="C222" s="535" t="s">
        <v>66</v>
      </c>
      <c r="D222" s="535" t="s">
        <v>59</v>
      </c>
      <c r="E222" s="535" t="s">
        <v>648</v>
      </c>
      <c r="F222" s="535" t="s">
        <v>652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G222" s="494" t="str">
        <f ca="1">IF('CDO Bespoke'!C247&lt;&gt;"",'CDO Bespoke'!C247,"")</f>
        <v/>
      </c>
      <c r="AH222" s="496"/>
      <c r="AI222" s="585"/>
      <c r="AJ222" s="585"/>
      <c r="AK222" s="585"/>
      <c r="AL222" s="497"/>
      <c r="AM222" s="620"/>
      <c r="AN222" s="496"/>
      <c r="AO222" s="585"/>
      <c r="AP222" s="585"/>
      <c r="AQ222" s="585"/>
      <c r="AR222" s="497"/>
      <c r="AS222" s="620"/>
      <c r="AT222" s="506"/>
      <c r="AU222" s="631"/>
      <c r="AV222" s="620"/>
      <c r="AW222" s="506"/>
      <c r="AX222" s="582"/>
      <c r="AY222" s="620"/>
    </row>
    <row r="223" spans="2:51">
      <c r="B223" s="539" t="s">
        <v>568</v>
      </c>
      <c r="C223" s="540" t="s">
        <v>66</v>
      </c>
      <c r="D223" s="540" t="s">
        <v>55</v>
      </c>
      <c r="E223" s="540" t="s">
        <v>648</v>
      </c>
      <c r="F223" s="540" t="s">
        <v>652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G223" s="494" t="str">
        <f ca="1">IF('CDO Bespoke'!C248&lt;&gt;"",'CDO Bespoke'!C248,"")</f>
        <v/>
      </c>
      <c r="AH223" s="496"/>
      <c r="AI223" s="585"/>
      <c r="AJ223" s="585"/>
      <c r="AK223" s="585"/>
      <c r="AL223" s="497"/>
      <c r="AM223" s="620"/>
      <c r="AN223" s="496"/>
      <c r="AO223" s="585"/>
      <c r="AP223" s="585"/>
      <c r="AQ223" s="585"/>
      <c r="AR223" s="497"/>
      <c r="AS223" s="620"/>
      <c r="AT223" s="506"/>
      <c r="AU223" s="631"/>
      <c r="AV223" s="620"/>
      <c r="AW223" s="506"/>
      <c r="AX223" s="582"/>
      <c r="AY223" s="620"/>
    </row>
    <row r="224" spans="2:51">
      <c r="B224" s="517" t="s">
        <v>568</v>
      </c>
      <c r="C224" s="518" t="s">
        <v>66</v>
      </c>
      <c r="D224" s="518" t="s">
        <v>57</v>
      </c>
      <c r="E224" s="518" t="s">
        <v>648</v>
      </c>
      <c r="F224" s="518" t="s">
        <v>652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G224" s="494" t="str">
        <f ca="1">IF('CDO Bespoke'!C249&lt;&gt;"",'CDO Bespoke'!C249,"")</f>
        <v/>
      </c>
      <c r="AH224" s="496"/>
      <c r="AI224" s="585"/>
      <c r="AJ224" s="585"/>
      <c r="AK224" s="585"/>
      <c r="AL224" s="497"/>
      <c r="AM224" s="620"/>
      <c r="AN224" s="496"/>
      <c r="AO224" s="585"/>
      <c r="AP224" s="585"/>
      <c r="AQ224" s="585"/>
      <c r="AR224" s="497"/>
      <c r="AS224" s="620"/>
      <c r="AT224" s="506"/>
      <c r="AU224" s="631"/>
      <c r="AV224" s="620"/>
      <c r="AW224" s="506"/>
      <c r="AX224" s="582"/>
      <c r="AY224" s="620"/>
    </row>
    <row r="225" spans="2:51">
      <c r="B225" s="534" t="s">
        <v>568</v>
      </c>
      <c r="C225" s="535" t="s">
        <v>66</v>
      </c>
      <c r="D225" s="535" t="s">
        <v>59</v>
      </c>
      <c r="E225" s="535" t="s">
        <v>648</v>
      </c>
      <c r="F225" s="535" t="s">
        <v>652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G225" s="494" t="str">
        <f ca="1">IF('CDO Bespoke'!C250&lt;&gt;"",'CDO Bespoke'!C250,"")</f>
        <v/>
      </c>
      <c r="AH225" s="496"/>
      <c r="AI225" s="585"/>
      <c r="AJ225" s="585"/>
      <c r="AK225" s="585"/>
      <c r="AL225" s="497"/>
      <c r="AM225" s="620"/>
      <c r="AN225" s="496"/>
      <c r="AO225" s="585"/>
      <c r="AP225" s="585"/>
      <c r="AQ225" s="585"/>
      <c r="AR225" s="497"/>
      <c r="AS225" s="620"/>
      <c r="AT225" s="506"/>
      <c r="AU225" s="631"/>
      <c r="AV225" s="620"/>
      <c r="AW225" s="506"/>
      <c r="AX225" s="582"/>
      <c r="AY225" s="620"/>
    </row>
    <row r="226" spans="2:51">
      <c r="B226" s="539" t="s">
        <v>569</v>
      </c>
      <c r="C226" s="540" t="s">
        <v>66</v>
      </c>
      <c r="D226" s="540" t="s">
        <v>55</v>
      </c>
      <c r="E226" s="540" t="s">
        <v>646</v>
      </c>
      <c r="F226" s="540" t="s">
        <v>651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G226" s="494" t="str">
        <f ca="1">IF('CDO Bespoke'!C251&lt;&gt;"",'CDO Bespoke'!C251,"")</f>
        <v/>
      </c>
      <c r="AH226" s="496"/>
      <c r="AI226" s="585"/>
      <c r="AJ226" s="585"/>
      <c r="AK226" s="585"/>
      <c r="AL226" s="497"/>
      <c r="AM226" s="620"/>
      <c r="AN226" s="496"/>
      <c r="AO226" s="585"/>
      <c r="AP226" s="585"/>
      <c r="AQ226" s="585"/>
      <c r="AR226" s="497"/>
      <c r="AS226" s="620"/>
      <c r="AT226" s="506"/>
      <c r="AU226" s="631"/>
      <c r="AV226" s="620"/>
      <c r="AW226" s="506"/>
      <c r="AX226" s="582"/>
      <c r="AY226" s="620"/>
    </row>
    <row r="227" spans="2:51">
      <c r="B227" s="517" t="s">
        <v>569</v>
      </c>
      <c r="C227" s="518" t="s">
        <v>66</v>
      </c>
      <c r="D227" s="518" t="s">
        <v>57</v>
      </c>
      <c r="E227" s="518" t="s">
        <v>646</v>
      </c>
      <c r="F227" s="518" t="s">
        <v>651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G227" s="494" t="str">
        <f ca="1">IF('CDO Bespoke'!C252&lt;&gt;"",'CDO Bespoke'!C252,"")</f>
        <v/>
      </c>
      <c r="AH227" s="496"/>
      <c r="AI227" s="585"/>
      <c r="AJ227" s="585"/>
      <c r="AK227" s="585"/>
      <c r="AL227" s="497"/>
      <c r="AM227" s="620"/>
      <c r="AN227" s="496"/>
      <c r="AO227" s="585"/>
      <c r="AP227" s="585"/>
      <c r="AQ227" s="585"/>
      <c r="AR227" s="497"/>
      <c r="AS227" s="620"/>
      <c r="AT227" s="506"/>
      <c r="AU227" s="631"/>
      <c r="AV227" s="620"/>
      <c r="AW227" s="506"/>
      <c r="AX227" s="582"/>
      <c r="AY227" s="620"/>
    </row>
    <row r="228" spans="2:51">
      <c r="B228" s="534" t="s">
        <v>569</v>
      </c>
      <c r="C228" s="535" t="s">
        <v>66</v>
      </c>
      <c r="D228" s="535" t="s">
        <v>59</v>
      </c>
      <c r="E228" s="535" t="s">
        <v>646</v>
      </c>
      <c r="F228" s="535" t="s">
        <v>651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G228" s="494" t="str">
        <f ca="1">IF('CDO Bespoke'!C253&lt;&gt;"",'CDO Bespoke'!C253,"")</f>
        <v/>
      </c>
      <c r="AH228" s="496"/>
      <c r="AI228" s="585"/>
      <c r="AJ228" s="585"/>
      <c r="AK228" s="585"/>
      <c r="AL228" s="497"/>
      <c r="AM228" s="620"/>
      <c r="AN228" s="496"/>
      <c r="AO228" s="585"/>
      <c r="AP228" s="585"/>
      <c r="AQ228" s="585"/>
      <c r="AR228" s="497"/>
      <c r="AS228" s="620"/>
      <c r="AT228" s="506"/>
      <c r="AU228" s="631"/>
      <c r="AV228" s="620"/>
      <c r="AW228" s="506"/>
      <c r="AX228" s="582"/>
      <c r="AY228" s="620"/>
    </row>
    <row r="229" spans="2:51">
      <c r="B229" s="539" t="s">
        <v>578</v>
      </c>
      <c r="C229" s="540" t="s">
        <v>66</v>
      </c>
      <c r="D229" s="540" t="s">
        <v>55</v>
      </c>
      <c r="E229" s="540" t="s">
        <v>650</v>
      </c>
      <c r="F229" s="540" t="s">
        <v>651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G229" s="494" t="str">
        <f ca="1">IF('CDO Bespoke'!C254&lt;&gt;"",'CDO Bespoke'!C254,"")</f>
        <v/>
      </c>
      <c r="AH229" s="496"/>
      <c r="AI229" s="585"/>
      <c r="AJ229" s="585"/>
      <c r="AK229" s="585"/>
      <c r="AL229" s="497"/>
      <c r="AM229" s="620"/>
      <c r="AN229" s="496"/>
      <c r="AO229" s="585"/>
      <c r="AP229" s="585"/>
      <c r="AQ229" s="585"/>
      <c r="AR229" s="497"/>
      <c r="AS229" s="620"/>
      <c r="AT229" s="506"/>
      <c r="AU229" s="631"/>
      <c r="AV229" s="620"/>
      <c r="AW229" s="506"/>
      <c r="AX229" s="582"/>
      <c r="AY229" s="620"/>
    </row>
    <row r="230" spans="2:51">
      <c r="B230" s="517" t="s">
        <v>578</v>
      </c>
      <c r="C230" s="518" t="s">
        <v>66</v>
      </c>
      <c r="D230" s="518" t="s">
        <v>57</v>
      </c>
      <c r="E230" s="518" t="s">
        <v>650</v>
      </c>
      <c r="F230" s="518" t="s">
        <v>651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G230" s="494" t="str">
        <f ca="1">IF('CDO Bespoke'!C255&lt;&gt;"",'CDO Bespoke'!C255,"")</f>
        <v/>
      </c>
      <c r="AH230" s="496"/>
      <c r="AI230" s="585"/>
      <c r="AJ230" s="585"/>
      <c r="AK230" s="585"/>
      <c r="AL230" s="497"/>
      <c r="AM230" s="620"/>
      <c r="AN230" s="496"/>
      <c r="AO230" s="585"/>
      <c r="AP230" s="585"/>
      <c r="AQ230" s="585"/>
      <c r="AR230" s="497"/>
      <c r="AS230" s="620"/>
      <c r="AT230" s="506"/>
      <c r="AU230" s="631"/>
      <c r="AV230" s="620"/>
      <c r="AW230" s="506"/>
      <c r="AX230" s="582"/>
      <c r="AY230" s="620"/>
    </row>
    <row r="231" spans="2:51">
      <c r="B231" s="534" t="s">
        <v>578</v>
      </c>
      <c r="C231" s="535" t="s">
        <v>66</v>
      </c>
      <c r="D231" s="535" t="s">
        <v>59</v>
      </c>
      <c r="E231" s="535" t="s">
        <v>650</v>
      </c>
      <c r="F231" s="535" t="s">
        <v>651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G231" s="494" t="str">
        <f ca="1">IF('CDO Bespoke'!C256&lt;&gt;"",'CDO Bespoke'!C256,"")</f>
        <v/>
      </c>
      <c r="AH231" s="496"/>
      <c r="AI231" s="585"/>
      <c r="AJ231" s="585"/>
      <c r="AK231" s="585"/>
      <c r="AL231" s="497"/>
      <c r="AM231" s="620"/>
      <c r="AN231" s="496"/>
      <c r="AO231" s="585"/>
      <c r="AP231" s="585"/>
      <c r="AQ231" s="585"/>
      <c r="AR231" s="497"/>
      <c r="AS231" s="620"/>
      <c r="AT231" s="506"/>
      <c r="AU231" s="631"/>
      <c r="AV231" s="620"/>
      <c r="AW231" s="506"/>
      <c r="AX231" s="582"/>
      <c r="AY231" s="620"/>
    </row>
    <row r="232" spans="2:51">
      <c r="B232" s="539" t="s">
        <v>570</v>
      </c>
      <c r="C232" s="540" t="s">
        <v>66</v>
      </c>
      <c r="D232" s="540" t="s">
        <v>55</v>
      </c>
      <c r="E232" s="540" t="s">
        <v>648</v>
      </c>
      <c r="F232" s="540" t="s">
        <v>652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G232" s="494" t="str">
        <f ca="1">IF('CDO Bespoke'!C257&lt;&gt;"",'CDO Bespoke'!C257,"")</f>
        <v/>
      </c>
      <c r="AH232" s="496"/>
      <c r="AI232" s="585"/>
      <c r="AJ232" s="585"/>
      <c r="AK232" s="585"/>
      <c r="AL232" s="497"/>
      <c r="AM232" s="620"/>
      <c r="AN232" s="496"/>
      <c r="AO232" s="585"/>
      <c r="AP232" s="585"/>
      <c r="AQ232" s="585"/>
      <c r="AR232" s="497"/>
      <c r="AS232" s="620"/>
      <c r="AT232" s="506"/>
      <c r="AU232" s="631"/>
      <c r="AV232" s="620"/>
      <c r="AW232" s="506"/>
      <c r="AX232" s="582"/>
      <c r="AY232" s="620"/>
    </row>
    <row r="233" spans="2:51">
      <c r="B233" s="517" t="s">
        <v>570</v>
      </c>
      <c r="C233" s="518" t="s">
        <v>66</v>
      </c>
      <c r="D233" s="518" t="s">
        <v>57</v>
      </c>
      <c r="E233" s="518" t="s">
        <v>648</v>
      </c>
      <c r="F233" s="518" t="s">
        <v>652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G233" s="494" t="str">
        <f ca="1">IF('CDO Bespoke'!C258&lt;&gt;"",'CDO Bespoke'!C258,"")</f>
        <v/>
      </c>
      <c r="AH233" s="496"/>
      <c r="AI233" s="585"/>
      <c r="AJ233" s="585"/>
      <c r="AK233" s="585"/>
      <c r="AL233" s="497"/>
      <c r="AM233" s="620"/>
      <c r="AN233" s="496"/>
      <c r="AO233" s="585"/>
      <c r="AP233" s="585"/>
      <c r="AQ233" s="585"/>
      <c r="AR233" s="497"/>
      <c r="AS233" s="620"/>
      <c r="AT233" s="506"/>
      <c r="AU233" s="631"/>
      <c r="AV233" s="620"/>
      <c r="AW233" s="506"/>
      <c r="AX233" s="582"/>
      <c r="AY233" s="620"/>
    </row>
    <row r="234" spans="2:51">
      <c r="B234" s="534" t="s">
        <v>570</v>
      </c>
      <c r="C234" s="535" t="s">
        <v>66</v>
      </c>
      <c r="D234" s="535" t="s">
        <v>59</v>
      </c>
      <c r="E234" s="535" t="s">
        <v>648</v>
      </c>
      <c r="F234" s="535" t="s">
        <v>652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G234" s="494" t="str">
        <f ca="1">IF('CDO Bespoke'!C259&lt;&gt;"",'CDO Bespoke'!C259,"")</f>
        <v/>
      </c>
      <c r="AH234" s="496"/>
      <c r="AI234" s="585"/>
      <c r="AJ234" s="585"/>
      <c r="AK234" s="585"/>
      <c r="AL234" s="497"/>
      <c r="AM234" s="620"/>
      <c r="AN234" s="496"/>
      <c r="AO234" s="585"/>
      <c r="AP234" s="585"/>
      <c r="AQ234" s="585"/>
      <c r="AR234" s="497"/>
      <c r="AS234" s="620"/>
      <c r="AT234" s="506"/>
      <c r="AU234" s="631"/>
      <c r="AV234" s="620"/>
      <c r="AW234" s="506"/>
      <c r="AX234" s="582"/>
      <c r="AY234" s="620"/>
    </row>
    <row r="235" spans="2:51">
      <c r="B235" s="539" t="s">
        <v>571</v>
      </c>
      <c r="C235" s="540" t="s">
        <v>66</v>
      </c>
      <c r="D235" s="540" t="s">
        <v>55</v>
      </c>
      <c r="E235" s="540" t="s">
        <v>648</v>
      </c>
      <c r="F235" s="540" t="s">
        <v>652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G235" s="494" t="str">
        <f ca="1">IF('CDO Bespoke'!C260&lt;&gt;"",'CDO Bespoke'!C260,"")</f>
        <v/>
      </c>
      <c r="AH235" s="496"/>
      <c r="AI235" s="585"/>
      <c r="AJ235" s="585"/>
      <c r="AK235" s="585"/>
      <c r="AL235" s="497"/>
      <c r="AM235" s="620"/>
      <c r="AN235" s="496"/>
      <c r="AO235" s="585"/>
      <c r="AP235" s="585"/>
      <c r="AQ235" s="585"/>
      <c r="AR235" s="497"/>
      <c r="AS235" s="620"/>
      <c r="AT235" s="506"/>
      <c r="AU235" s="631"/>
      <c r="AV235" s="620"/>
      <c r="AW235" s="506"/>
      <c r="AX235" s="582"/>
      <c r="AY235" s="620"/>
    </row>
    <row r="236" spans="2:51">
      <c r="B236" s="517" t="s">
        <v>571</v>
      </c>
      <c r="C236" s="518" t="s">
        <v>66</v>
      </c>
      <c r="D236" s="518" t="s">
        <v>57</v>
      </c>
      <c r="E236" s="518" t="s">
        <v>648</v>
      </c>
      <c r="F236" s="518" t="s">
        <v>652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G236" s="494" t="str">
        <f ca="1">IF('CDO Bespoke'!C261&lt;&gt;"",'CDO Bespoke'!C261,"")</f>
        <v/>
      </c>
      <c r="AH236" s="496"/>
      <c r="AI236" s="585"/>
      <c r="AJ236" s="585"/>
      <c r="AK236" s="585"/>
      <c r="AL236" s="497"/>
      <c r="AM236" s="620"/>
      <c r="AN236" s="496"/>
      <c r="AO236" s="585"/>
      <c r="AP236" s="585"/>
      <c r="AQ236" s="585"/>
      <c r="AR236" s="497"/>
      <c r="AS236" s="620"/>
      <c r="AT236" s="506"/>
      <c r="AU236" s="631"/>
      <c r="AV236" s="620"/>
      <c r="AW236" s="506"/>
      <c r="AX236" s="582"/>
      <c r="AY236" s="620"/>
    </row>
    <row r="237" spans="2:51">
      <c r="B237" s="534" t="s">
        <v>571</v>
      </c>
      <c r="C237" s="535" t="s">
        <v>66</v>
      </c>
      <c r="D237" s="535" t="s">
        <v>59</v>
      </c>
      <c r="E237" s="535" t="s">
        <v>648</v>
      </c>
      <c r="F237" s="535" t="s">
        <v>652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G237" s="494" t="str">
        <f ca="1">IF('CDO Bespoke'!C262&lt;&gt;"",'CDO Bespoke'!C262,"")</f>
        <v/>
      </c>
      <c r="AH237" s="496"/>
      <c r="AI237" s="585"/>
      <c r="AJ237" s="585"/>
      <c r="AK237" s="585"/>
      <c r="AL237" s="497"/>
      <c r="AM237" s="620"/>
      <c r="AN237" s="496"/>
      <c r="AO237" s="585"/>
      <c r="AP237" s="585"/>
      <c r="AQ237" s="585"/>
      <c r="AR237" s="497"/>
      <c r="AS237" s="620"/>
      <c r="AT237" s="506"/>
      <c r="AU237" s="631"/>
      <c r="AV237" s="620"/>
      <c r="AW237" s="506"/>
      <c r="AX237" s="582"/>
      <c r="AY237" s="620"/>
    </row>
    <row r="238" spans="2:51">
      <c r="B238" s="539" t="s">
        <v>572</v>
      </c>
      <c r="C238" s="540" t="s">
        <v>66</v>
      </c>
      <c r="D238" s="540" t="s">
        <v>55</v>
      </c>
      <c r="E238" s="540" t="s">
        <v>648</v>
      </c>
      <c r="F238" s="540" t="s">
        <v>652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G238" s="494" t="str">
        <f ca="1">IF('CDO Bespoke'!C263&lt;&gt;"",'CDO Bespoke'!C263,"")</f>
        <v/>
      </c>
      <c r="AH238" s="496"/>
      <c r="AI238" s="585"/>
      <c r="AJ238" s="585"/>
      <c r="AK238" s="585"/>
      <c r="AL238" s="497"/>
      <c r="AM238" s="620"/>
      <c r="AN238" s="496"/>
      <c r="AO238" s="585"/>
      <c r="AP238" s="585"/>
      <c r="AQ238" s="585"/>
      <c r="AR238" s="497"/>
      <c r="AS238" s="620"/>
      <c r="AT238" s="506"/>
      <c r="AU238" s="631"/>
      <c r="AV238" s="620"/>
      <c r="AW238" s="506"/>
      <c r="AX238" s="582"/>
      <c r="AY238" s="620"/>
    </row>
    <row r="239" spans="2:51">
      <c r="B239" s="517" t="s">
        <v>572</v>
      </c>
      <c r="C239" s="518" t="s">
        <v>66</v>
      </c>
      <c r="D239" s="518" t="s">
        <v>57</v>
      </c>
      <c r="E239" s="518" t="s">
        <v>648</v>
      </c>
      <c r="F239" s="518" t="s">
        <v>652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G239" s="494" t="str">
        <f ca="1">IF('CDO Bespoke'!C264&lt;&gt;"",'CDO Bespoke'!C264,"")</f>
        <v/>
      </c>
      <c r="AH239" s="496"/>
      <c r="AI239" s="585"/>
      <c r="AJ239" s="585"/>
      <c r="AK239" s="585"/>
      <c r="AL239" s="497"/>
      <c r="AM239" s="620"/>
      <c r="AN239" s="496"/>
      <c r="AO239" s="585"/>
      <c r="AP239" s="585"/>
      <c r="AQ239" s="585"/>
      <c r="AR239" s="497"/>
      <c r="AS239" s="620"/>
      <c r="AT239" s="506"/>
      <c r="AU239" s="631"/>
      <c r="AV239" s="620"/>
      <c r="AW239" s="506"/>
      <c r="AX239" s="582"/>
      <c r="AY239" s="620"/>
    </row>
    <row r="240" spans="2:51">
      <c r="B240" s="534" t="s">
        <v>572</v>
      </c>
      <c r="C240" s="535" t="s">
        <v>66</v>
      </c>
      <c r="D240" s="535" t="s">
        <v>59</v>
      </c>
      <c r="E240" s="535" t="s">
        <v>648</v>
      </c>
      <c r="F240" s="535" t="s">
        <v>652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G240" s="494" t="str">
        <f ca="1">IF('CDO Bespoke'!C265&lt;&gt;"",'CDO Bespoke'!C265,"")</f>
        <v/>
      </c>
      <c r="AH240" s="496"/>
      <c r="AI240" s="585"/>
      <c r="AJ240" s="585"/>
      <c r="AK240" s="585"/>
      <c r="AL240" s="497"/>
      <c r="AM240" s="620"/>
      <c r="AN240" s="496"/>
      <c r="AO240" s="585"/>
      <c r="AP240" s="585"/>
      <c r="AQ240" s="585"/>
      <c r="AR240" s="497"/>
      <c r="AS240" s="620"/>
      <c r="AT240" s="506"/>
      <c r="AU240" s="631"/>
      <c r="AV240" s="620"/>
      <c r="AW240" s="506"/>
      <c r="AX240" s="582"/>
      <c r="AY240" s="620"/>
    </row>
    <row r="241" spans="2:51">
      <c r="B241" s="539" t="s">
        <v>573</v>
      </c>
      <c r="C241" s="540" t="s">
        <v>66</v>
      </c>
      <c r="D241" s="540" t="s">
        <v>55</v>
      </c>
      <c r="E241" s="540" t="s">
        <v>648</v>
      </c>
      <c r="F241" s="540" t="s">
        <v>652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G241" s="494" t="str">
        <f ca="1">IF('CDO Bespoke'!C266&lt;&gt;"",'CDO Bespoke'!C266,"")</f>
        <v/>
      </c>
      <c r="AH241" s="496"/>
      <c r="AI241" s="585"/>
      <c r="AJ241" s="585"/>
      <c r="AK241" s="585"/>
      <c r="AL241" s="497"/>
      <c r="AM241" s="620"/>
      <c r="AN241" s="496"/>
      <c r="AO241" s="585"/>
      <c r="AP241" s="585"/>
      <c r="AQ241" s="585"/>
      <c r="AR241" s="497"/>
      <c r="AS241" s="620"/>
      <c r="AT241" s="506"/>
      <c r="AU241" s="631"/>
      <c r="AV241" s="620"/>
      <c r="AW241" s="506"/>
      <c r="AX241" s="582"/>
      <c r="AY241" s="620"/>
    </row>
    <row r="242" spans="2:51">
      <c r="B242" s="517" t="s">
        <v>573</v>
      </c>
      <c r="C242" s="518" t="s">
        <v>66</v>
      </c>
      <c r="D242" s="518" t="s">
        <v>57</v>
      </c>
      <c r="E242" s="518" t="s">
        <v>648</v>
      </c>
      <c r="F242" s="518" t="s">
        <v>652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G242" s="494" t="str">
        <f ca="1">IF('CDO Bespoke'!C267&lt;&gt;"",'CDO Bespoke'!C267,"")</f>
        <v/>
      </c>
      <c r="AH242" s="496"/>
      <c r="AI242" s="585"/>
      <c r="AJ242" s="585"/>
      <c r="AK242" s="585"/>
      <c r="AL242" s="497"/>
      <c r="AM242" s="620"/>
      <c r="AN242" s="496"/>
      <c r="AO242" s="585"/>
      <c r="AP242" s="585"/>
      <c r="AQ242" s="585"/>
      <c r="AR242" s="497"/>
      <c r="AS242" s="620"/>
      <c r="AT242" s="506"/>
      <c r="AU242" s="631"/>
      <c r="AV242" s="620"/>
      <c r="AW242" s="506"/>
      <c r="AX242" s="582"/>
      <c r="AY242" s="620"/>
    </row>
    <row r="243" spans="2:51">
      <c r="B243" s="534" t="s">
        <v>573</v>
      </c>
      <c r="C243" s="535" t="s">
        <v>66</v>
      </c>
      <c r="D243" s="535" t="s">
        <v>59</v>
      </c>
      <c r="E243" s="535" t="s">
        <v>648</v>
      </c>
      <c r="F243" s="535" t="s">
        <v>652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G243" s="494" t="str">
        <f ca="1">IF('CDO Bespoke'!C268&lt;&gt;"",'CDO Bespoke'!C268,"")</f>
        <v/>
      </c>
      <c r="AH243" s="496"/>
      <c r="AI243" s="585"/>
      <c r="AJ243" s="585"/>
      <c r="AK243" s="585"/>
      <c r="AL243" s="497"/>
      <c r="AM243" s="620"/>
      <c r="AN243" s="496"/>
      <c r="AO243" s="585"/>
      <c r="AP243" s="585"/>
      <c r="AQ243" s="585"/>
      <c r="AR243" s="497"/>
      <c r="AS243" s="620"/>
      <c r="AT243" s="506"/>
      <c r="AU243" s="631"/>
      <c r="AV243" s="620"/>
      <c r="AW243" s="506"/>
      <c r="AX243" s="582"/>
      <c r="AY243" s="620"/>
    </row>
    <row r="244" spans="2:51">
      <c r="B244" s="539" t="s">
        <v>574</v>
      </c>
      <c r="C244" s="540" t="s">
        <v>66</v>
      </c>
      <c r="D244" s="540" t="s">
        <v>55</v>
      </c>
      <c r="E244" s="540" t="s">
        <v>648</v>
      </c>
      <c r="F244" s="540" t="s">
        <v>651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G244" s="494" t="str">
        <f ca="1">IF('CDO Bespoke'!C269&lt;&gt;"",'CDO Bespoke'!C269,"")</f>
        <v/>
      </c>
      <c r="AH244" s="496"/>
      <c r="AI244" s="585"/>
      <c r="AJ244" s="585"/>
      <c r="AK244" s="585"/>
      <c r="AL244" s="497"/>
      <c r="AM244" s="620"/>
      <c r="AN244" s="496"/>
      <c r="AO244" s="585"/>
      <c r="AP244" s="585"/>
      <c r="AQ244" s="585"/>
      <c r="AR244" s="497"/>
      <c r="AS244" s="620"/>
      <c r="AT244" s="506"/>
      <c r="AU244" s="631"/>
      <c r="AV244" s="620"/>
      <c r="AW244" s="506"/>
      <c r="AX244" s="582"/>
      <c r="AY244" s="620"/>
    </row>
    <row r="245" spans="2:51">
      <c r="B245" s="517" t="s">
        <v>574</v>
      </c>
      <c r="C245" s="518" t="s">
        <v>66</v>
      </c>
      <c r="D245" s="518" t="s">
        <v>57</v>
      </c>
      <c r="E245" s="518" t="s">
        <v>648</v>
      </c>
      <c r="F245" s="518" t="s">
        <v>651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G245" s="494" t="str">
        <f ca="1">IF('CDO Bespoke'!C270&lt;&gt;"",'CDO Bespoke'!C270,"")</f>
        <v/>
      </c>
      <c r="AH245" s="496"/>
      <c r="AI245" s="585"/>
      <c r="AJ245" s="585"/>
      <c r="AK245" s="585"/>
      <c r="AL245" s="497"/>
      <c r="AM245" s="620"/>
      <c r="AN245" s="496"/>
      <c r="AO245" s="585"/>
      <c r="AP245" s="585"/>
      <c r="AQ245" s="585"/>
      <c r="AR245" s="497"/>
      <c r="AS245" s="620"/>
      <c r="AT245" s="506"/>
      <c r="AU245" s="631"/>
      <c r="AV245" s="620"/>
      <c r="AW245" s="506"/>
      <c r="AX245" s="582"/>
      <c r="AY245" s="620"/>
    </row>
    <row r="246" spans="2:51">
      <c r="B246" s="534" t="s">
        <v>574</v>
      </c>
      <c r="C246" s="535" t="s">
        <v>66</v>
      </c>
      <c r="D246" s="535" t="s">
        <v>59</v>
      </c>
      <c r="E246" s="535" t="s">
        <v>648</v>
      </c>
      <c r="F246" s="535" t="s">
        <v>651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G246" s="494" t="str">
        <f ca="1">IF('CDO Bespoke'!C271&lt;&gt;"",'CDO Bespoke'!C271,"")</f>
        <v/>
      </c>
      <c r="AH246" s="496"/>
      <c r="AI246" s="585"/>
      <c r="AJ246" s="585"/>
      <c r="AK246" s="585"/>
      <c r="AL246" s="497"/>
      <c r="AM246" s="620"/>
      <c r="AN246" s="496"/>
      <c r="AO246" s="585"/>
      <c r="AP246" s="585"/>
      <c r="AQ246" s="585"/>
      <c r="AR246" s="497"/>
      <c r="AS246" s="620"/>
      <c r="AT246" s="506"/>
      <c r="AU246" s="631"/>
      <c r="AV246" s="620"/>
      <c r="AW246" s="506"/>
      <c r="AX246" s="582"/>
      <c r="AY246" s="620"/>
    </row>
    <row r="247" spans="2:51">
      <c r="B247" s="539" t="s">
        <v>579</v>
      </c>
      <c r="C247" s="540" t="s">
        <v>66</v>
      </c>
      <c r="D247" s="540" t="s">
        <v>55</v>
      </c>
      <c r="E247" s="540" t="s">
        <v>650</v>
      </c>
      <c r="F247" s="540" t="s">
        <v>651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G247" s="494" t="str">
        <f ca="1">IF('CDO Bespoke'!C272&lt;&gt;"",'CDO Bespoke'!C272,"")</f>
        <v/>
      </c>
      <c r="AH247" s="496"/>
      <c r="AI247" s="585"/>
      <c r="AJ247" s="585"/>
      <c r="AK247" s="585"/>
      <c r="AL247" s="497"/>
      <c r="AM247" s="620"/>
      <c r="AN247" s="496"/>
      <c r="AO247" s="585"/>
      <c r="AP247" s="585"/>
      <c r="AQ247" s="585"/>
      <c r="AR247" s="497"/>
      <c r="AS247" s="620"/>
      <c r="AT247" s="506"/>
      <c r="AU247" s="631"/>
      <c r="AV247" s="620"/>
      <c r="AW247" s="506"/>
      <c r="AX247" s="582"/>
      <c r="AY247" s="620"/>
    </row>
    <row r="248" spans="2:51">
      <c r="B248" s="517" t="s">
        <v>579</v>
      </c>
      <c r="C248" s="518" t="s">
        <v>66</v>
      </c>
      <c r="D248" s="518" t="s">
        <v>57</v>
      </c>
      <c r="E248" s="518" t="s">
        <v>650</v>
      </c>
      <c r="F248" s="518" t="s">
        <v>651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G248" s="494" t="str">
        <f ca="1">IF('CDO Bespoke'!C273&lt;&gt;"",'CDO Bespoke'!C273,"")</f>
        <v/>
      </c>
      <c r="AH248" s="496"/>
      <c r="AI248" s="585"/>
      <c r="AJ248" s="585"/>
      <c r="AK248" s="585"/>
      <c r="AL248" s="497"/>
      <c r="AM248" s="620"/>
      <c r="AN248" s="496"/>
      <c r="AO248" s="585"/>
      <c r="AP248" s="585"/>
      <c r="AQ248" s="585"/>
      <c r="AR248" s="497"/>
      <c r="AS248" s="620"/>
      <c r="AT248" s="506"/>
      <c r="AU248" s="631"/>
      <c r="AV248" s="620"/>
      <c r="AW248" s="506"/>
      <c r="AX248" s="582"/>
      <c r="AY248" s="620"/>
    </row>
    <row r="249" spans="2:51">
      <c r="B249" s="534" t="s">
        <v>579</v>
      </c>
      <c r="C249" s="535" t="s">
        <v>66</v>
      </c>
      <c r="D249" s="535" t="s">
        <v>59</v>
      </c>
      <c r="E249" s="535" t="s">
        <v>650</v>
      </c>
      <c r="F249" s="535" t="s">
        <v>651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G249" s="494" t="str">
        <f ca="1">IF('CDO Bespoke'!C274&lt;&gt;"",'CDO Bespoke'!C274,"")</f>
        <v/>
      </c>
      <c r="AH249" s="496"/>
      <c r="AI249" s="585"/>
      <c r="AJ249" s="585"/>
      <c r="AK249" s="585"/>
      <c r="AL249" s="497"/>
      <c r="AM249" s="620"/>
      <c r="AN249" s="496"/>
      <c r="AO249" s="585"/>
      <c r="AP249" s="585"/>
      <c r="AQ249" s="585"/>
      <c r="AR249" s="497"/>
      <c r="AS249" s="620"/>
      <c r="AT249" s="506"/>
      <c r="AU249" s="631"/>
      <c r="AV249" s="620"/>
      <c r="AW249" s="506"/>
      <c r="AX249" s="582"/>
      <c r="AY249" s="620"/>
    </row>
    <row r="250" spans="2:51">
      <c r="B250" s="539" t="s">
        <v>580</v>
      </c>
      <c r="C250" s="540" t="s">
        <v>66</v>
      </c>
      <c r="D250" s="540" t="s">
        <v>55</v>
      </c>
      <c r="E250" s="540" t="s">
        <v>646</v>
      </c>
      <c r="F250" s="540" t="s">
        <v>651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G250" s="494" t="str">
        <f ca="1">IF('CDO Bespoke'!C275&lt;&gt;"",'CDO Bespoke'!C275,"")</f>
        <v/>
      </c>
      <c r="AH250" s="496"/>
      <c r="AI250" s="585"/>
      <c r="AJ250" s="585"/>
      <c r="AK250" s="585"/>
      <c r="AL250" s="497"/>
      <c r="AM250" s="620"/>
      <c r="AN250" s="496"/>
      <c r="AO250" s="585"/>
      <c r="AP250" s="585"/>
      <c r="AQ250" s="585"/>
      <c r="AR250" s="497"/>
      <c r="AS250" s="620"/>
      <c r="AT250" s="506"/>
      <c r="AU250" s="631"/>
      <c r="AV250" s="620"/>
      <c r="AW250" s="506"/>
      <c r="AX250" s="582"/>
      <c r="AY250" s="620"/>
    </row>
    <row r="251" spans="2:51">
      <c r="B251" s="517" t="s">
        <v>580</v>
      </c>
      <c r="C251" s="518" t="s">
        <v>66</v>
      </c>
      <c r="D251" s="518" t="s">
        <v>57</v>
      </c>
      <c r="E251" s="518" t="s">
        <v>646</v>
      </c>
      <c r="F251" s="518" t="s">
        <v>651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G251" s="494" t="str">
        <f ca="1">IF('CDO Bespoke'!C276&lt;&gt;"",'CDO Bespoke'!C276,"")</f>
        <v/>
      </c>
      <c r="AH251" s="496"/>
      <c r="AI251" s="585"/>
      <c r="AJ251" s="585"/>
      <c r="AK251" s="585"/>
      <c r="AL251" s="497"/>
      <c r="AM251" s="620"/>
      <c r="AN251" s="496"/>
      <c r="AO251" s="585"/>
      <c r="AP251" s="585"/>
      <c r="AQ251" s="585"/>
      <c r="AR251" s="497"/>
      <c r="AS251" s="620"/>
      <c r="AT251" s="506"/>
      <c r="AU251" s="631"/>
      <c r="AV251" s="620"/>
      <c r="AW251" s="506"/>
      <c r="AX251" s="582"/>
      <c r="AY251" s="620"/>
    </row>
    <row r="252" spans="2:51">
      <c r="B252" s="534" t="s">
        <v>580</v>
      </c>
      <c r="C252" s="535" t="s">
        <v>66</v>
      </c>
      <c r="D252" s="535" t="s">
        <v>59</v>
      </c>
      <c r="E252" s="535" t="s">
        <v>646</v>
      </c>
      <c r="F252" s="535" t="s">
        <v>651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G252" s="494" t="str">
        <f ca="1">IF('CDO Bespoke'!C277&lt;&gt;"",'CDO Bespoke'!C277,"")</f>
        <v/>
      </c>
      <c r="AH252" s="496"/>
      <c r="AI252" s="585"/>
      <c r="AJ252" s="585"/>
      <c r="AK252" s="585"/>
      <c r="AL252" s="497"/>
      <c r="AM252" s="620"/>
      <c r="AN252" s="496"/>
      <c r="AO252" s="585"/>
      <c r="AP252" s="585"/>
      <c r="AQ252" s="585"/>
      <c r="AR252" s="497"/>
      <c r="AS252" s="620"/>
      <c r="AT252" s="506"/>
      <c r="AU252" s="631"/>
      <c r="AV252" s="620"/>
      <c r="AW252" s="506"/>
      <c r="AX252" s="582"/>
      <c r="AY252" s="620"/>
    </row>
    <row r="253" spans="2:51">
      <c r="B253" s="539" t="s">
        <v>575</v>
      </c>
      <c r="C253" s="540" t="s">
        <v>66</v>
      </c>
      <c r="D253" s="540" t="s">
        <v>55</v>
      </c>
      <c r="E253" s="540" t="s">
        <v>648</v>
      </c>
      <c r="F253" s="540" t="s">
        <v>652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G253" s="494" t="str">
        <f ca="1">IF('CDO Bespoke'!C278&lt;&gt;"",'CDO Bespoke'!C278,"")</f>
        <v/>
      </c>
      <c r="AH253" s="496"/>
      <c r="AI253" s="585"/>
      <c r="AJ253" s="585"/>
      <c r="AK253" s="585"/>
      <c r="AL253" s="497"/>
      <c r="AM253" s="620"/>
      <c r="AN253" s="496"/>
      <c r="AO253" s="585"/>
      <c r="AP253" s="585"/>
      <c r="AQ253" s="585"/>
      <c r="AR253" s="497"/>
      <c r="AS253" s="620"/>
      <c r="AT253" s="506"/>
      <c r="AU253" s="631"/>
      <c r="AV253" s="620"/>
      <c r="AW253" s="506"/>
      <c r="AX253" s="582"/>
      <c r="AY253" s="620"/>
    </row>
    <row r="254" spans="2:51">
      <c r="B254" s="517" t="s">
        <v>575</v>
      </c>
      <c r="C254" s="518" t="s">
        <v>66</v>
      </c>
      <c r="D254" s="518" t="s">
        <v>57</v>
      </c>
      <c r="E254" s="518" t="s">
        <v>648</v>
      </c>
      <c r="F254" s="518" t="s">
        <v>652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G254" s="494" t="str">
        <f ca="1">IF('CDO Bespoke'!C279&lt;&gt;"",'CDO Bespoke'!C279,"")</f>
        <v/>
      </c>
      <c r="AH254" s="496"/>
      <c r="AI254" s="585"/>
      <c r="AJ254" s="585"/>
      <c r="AK254" s="585"/>
      <c r="AL254" s="497"/>
      <c r="AM254" s="620"/>
      <c r="AN254" s="496"/>
      <c r="AO254" s="585"/>
      <c r="AP254" s="585"/>
      <c r="AQ254" s="585"/>
      <c r="AR254" s="497"/>
      <c r="AS254" s="620"/>
      <c r="AT254" s="506"/>
      <c r="AU254" s="631"/>
      <c r="AV254" s="620"/>
      <c r="AW254" s="506"/>
      <c r="AX254" s="582"/>
      <c r="AY254" s="620"/>
    </row>
    <row r="255" spans="2:51">
      <c r="B255" s="534" t="s">
        <v>575</v>
      </c>
      <c r="C255" s="535" t="s">
        <v>66</v>
      </c>
      <c r="D255" s="535" t="s">
        <v>59</v>
      </c>
      <c r="E255" s="535" t="s">
        <v>648</v>
      </c>
      <c r="F255" s="535" t="s">
        <v>652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G255" s="494" t="str">
        <f ca="1">IF('CDO Bespoke'!C280&lt;&gt;"",'CDO Bespoke'!C280,"")</f>
        <v/>
      </c>
      <c r="AH255" s="496"/>
      <c r="AI255" s="585"/>
      <c r="AJ255" s="585"/>
      <c r="AK255" s="585"/>
      <c r="AL255" s="497"/>
      <c r="AM255" s="620"/>
      <c r="AN255" s="496"/>
      <c r="AO255" s="585"/>
      <c r="AP255" s="585"/>
      <c r="AQ255" s="585"/>
      <c r="AR255" s="497"/>
      <c r="AS255" s="620"/>
      <c r="AT255" s="506"/>
      <c r="AU255" s="631"/>
      <c r="AV255" s="620"/>
      <c r="AW255" s="506"/>
      <c r="AX255" s="582"/>
      <c r="AY255" s="620"/>
    </row>
    <row r="256" spans="2:51">
      <c r="B256" s="539" t="s">
        <v>581</v>
      </c>
      <c r="C256" s="540" t="s">
        <v>66</v>
      </c>
      <c r="D256" s="540" t="s">
        <v>55</v>
      </c>
      <c r="E256" s="540" t="s">
        <v>648</v>
      </c>
      <c r="F256" s="540" t="s">
        <v>671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G256" s="494" t="str">
        <f ca="1">IF('CDO Bespoke'!C281&lt;&gt;"",'CDO Bespoke'!C281,"")</f>
        <v/>
      </c>
      <c r="AH256" s="496"/>
      <c r="AI256" s="585"/>
      <c r="AJ256" s="585"/>
      <c r="AK256" s="585"/>
      <c r="AL256" s="497"/>
      <c r="AM256" s="620"/>
      <c r="AN256" s="496"/>
      <c r="AO256" s="585"/>
      <c r="AP256" s="585"/>
      <c r="AQ256" s="585"/>
      <c r="AR256" s="497"/>
      <c r="AS256" s="620"/>
      <c r="AT256" s="506"/>
      <c r="AU256" s="631"/>
      <c r="AV256" s="620"/>
      <c r="AW256" s="506"/>
      <c r="AX256" s="582"/>
      <c r="AY256" s="620"/>
    </row>
    <row r="257" spans="2:51">
      <c r="B257" s="517" t="s">
        <v>581</v>
      </c>
      <c r="C257" s="518" t="s">
        <v>66</v>
      </c>
      <c r="D257" s="518" t="s">
        <v>57</v>
      </c>
      <c r="E257" s="518" t="s">
        <v>648</v>
      </c>
      <c r="F257" s="518" t="s">
        <v>671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G257" s="494" t="str">
        <f ca="1">IF('CDO Bespoke'!C282&lt;&gt;"",'CDO Bespoke'!C282,"")</f>
        <v/>
      </c>
      <c r="AH257" s="496"/>
      <c r="AI257" s="585"/>
      <c r="AJ257" s="585"/>
      <c r="AK257" s="585"/>
      <c r="AL257" s="497"/>
      <c r="AM257" s="620"/>
      <c r="AN257" s="496"/>
      <c r="AO257" s="585"/>
      <c r="AP257" s="585"/>
      <c r="AQ257" s="585"/>
      <c r="AR257" s="497"/>
      <c r="AS257" s="620"/>
      <c r="AT257" s="506"/>
      <c r="AU257" s="631"/>
      <c r="AV257" s="620"/>
      <c r="AW257" s="506"/>
      <c r="AX257" s="582"/>
      <c r="AY257" s="620"/>
    </row>
    <row r="258" spans="2:51">
      <c r="B258" s="534" t="s">
        <v>581</v>
      </c>
      <c r="C258" s="535" t="s">
        <v>66</v>
      </c>
      <c r="D258" s="535" t="s">
        <v>59</v>
      </c>
      <c r="E258" s="535" t="s">
        <v>648</v>
      </c>
      <c r="F258" s="535" t="s">
        <v>671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G258" s="494" t="str">
        <f ca="1">IF('CDO Bespoke'!C283&lt;&gt;"",'CDO Bespoke'!C283,"")</f>
        <v/>
      </c>
      <c r="AH258" s="496"/>
      <c r="AI258" s="585"/>
      <c r="AJ258" s="585"/>
      <c r="AK258" s="585"/>
      <c r="AL258" s="497"/>
      <c r="AM258" s="620"/>
      <c r="AN258" s="496"/>
      <c r="AO258" s="585"/>
      <c r="AP258" s="585"/>
      <c r="AQ258" s="585"/>
      <c r="AR258" s="497"/>
      <c r="AS258" s="620"/>
      <c r="AT258" s="506"/>
      <c r="AU258" s="631"/>
      <c r="AV258" s="620"/>
      <c r="AW258" s="506"/>
      <c r="AX258" s="582"/>
      <c r="AY258" s="620"/>
    </row>
    <row r="259" spans="2:51">
      <c r="B259" s="539" t="s">
        <v>582</v>
      </c>
      <c r="C259" s="540" t="s">
        <v>66</v>
      </c>
      <c r="D259" s="540" t="s">
        <v>55</v>
      </c>
      <c r="E259" s="540" t="s">
        <v>648</v>
      </c>
      <c r="F259" s="540" t="s">
        <v>675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G259" s="494" t="str">
        <f ca="1">IF('CDO Bespoke'!C284&lt;&gt;"",'CDO Bespoke'!C284,"")</f>
        <v/>
      </c>
      <c r="AH259" s="496"/>
      <c r="AI259" s="585"/>
      <c r="AJ259" s="585"/>
      <c r="AK259" s="585"/>
      <c r="AL259" s="497"/>
      <c r="AM259" s="620"/>
      <c r="AN259" s="496"/>
      <c r="AO259" s="585"/>
      <c r="AP259" s="585"/>
      <c r="AQ259" s="585"/>
      <c r="AR259" s="497"/>
      <c r="AS259" s="620"/>
      <c r="AT259" s="506"/>
      <c r="AU259" s="631"/>
      <c r="AV259" s="620"/>
      <c r="AW259" s="506"/>
      <c r="AX259" s="582"/>
      <c r="AY259" s="620"/>
    </row>
    <row r="260" spans="2:51">
      <c r="B260" s="517" t="s">
        <v>582</v>
      </c>
      <c r="C260" s="518" t="s">
        <v>66</v>
      </c>
      <c r="D260" s="518" t="s">
        <v>57</v>
      </c>
      <c r="E260" s="518" t="s">
        <v>648</v>
      </c>
      <c r="F260" s="518" t="s">
        <v>675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G260" s="494" t="str">
        <f ca="1">IF('CDO Bespoke'!C285&lt;&gt;"",'CDO Bespoke'!C285,"")</f>
        <v/>
      </c>
      <c r="AH260" s="496"/>
      <c r="AI260" s="585"/>
      <c r="AJ260" s="585"/>
      <c r="AK260" s="585"/>
      <c r="AL260" s="497"/>
      <c r="AM260" s="620"/>
      <c r="AN260" s="496"/>
      <c r="AO260" s="585"/>
      <c r="AP260" s="585"/>
      <c r="AQ260" s="585"/>
      <c r="AR260" s="497"/>
      <c r="AS260" s="620"/>
      <c r="AT260" s="506"/>
      <c r="AU260" s="631"/>
      <c r="AV260" s="620"/>
      <c r="AW260" s="506"/>
      <c r="AX260" s="582"/>
      <c r="AY260" s="620"/>
    </row>
    <row r="261" spans="2:51">
      <c r="B261" s="534" t="s">
        <v>582</v>
      </c>
      <c r="C261" s="535" t="s">
        <v>66</v>
      </c>
      <c r="D261" s="535" t="s">
        <v>59</v>
      </c>
      <c r="E261" s="535" t="s">
        <v>648</v>
      </c>
      <c r="F261" s="535" t="s">
        <v>675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G261" s="494" t="str">
        <f ca="1">IF('CDO Bespoke'!C286&lt;&gt;"",'CDO Bespoke'!C286,"")</f>
        <v/>
      </c>
      <c r="AH261" s="496"/>
      <c r="AI261" s="585"/>
      <c r="AJ261" s="585"/>
      <c r="AK261" s="585"/>
      <c r="AL261" s="497"/>
      <c r="AM261" s="620"/>
      <c r="AN261" s="496"/>
      <c r="AO261" s="585"/>
      <c r="AP261" s="585"/>
      <c r="AQ261" s="585"/>
      <c r="AR261" s="497"/>
      <c r="AS261" s="620"/>
      <c r="AT261" s="506"/>
      <c r="AU261" s="631"/>
      <c r="AV261" s="620"/>
      <c r="AW261" s="506"/>
      <c r="AX261" s="582"/>
      <c r="AY261" s="620"/>
    </row>
    <row r="262" spans="2:51">
      <c r="B262" s="539" t="s">
        <v>583</v>
      </c>
      <c r="C262" s="540" t="s">
        <v>66</v>
      </c>
      <c r="D262" s="540" t="s">
        <v>55</v>
      </c>
      <c r="E262" s="540" t="s">
        <v>648</v>
      </c>
      <c r="F262" s="540" t="s">
        <v>675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G262" s="494" t="str">
        <f ca="1">IF('CDO Bespoke'!C287&lt;&gt;"",'CDO Bespoke'!C287,"")</f>
        <v/>
      </c>
      <c r="AH262" s="496"/>
      <c r="AI262" s="585"/>
      <c r="AJ262" s="585"/>
      <c r="AK262" s="585"/>
      <c r="AL262" s="497"/>
      <c r="AM262" s="620"/>
      <c r="AN262" s="496"/>
      <c r="AO262" s="585"/>
      <c r="AP262" s="585"/>
      <c r="AQ262" s="585"/>
      <c r="AR262" s="497"/>
      <c r="AS262" s="620"/>
      <c r="AT262" s="506"/>
      <c r="AU262" s="631"/>
      <c r="AV262" s="620"/>
      <c r="AW262" s="506"/>
      <c r="AX262" s="582"/>
      <c r="AY262" s="620"/>
    </row>
    <row r="263" spans="2:51">
      <c r="B263" s="517" t="s">
        <v>583</v>
      </c>
      <c r="C263" s="518" t="s">
        <v>66</v>
      </c>
      <c r="D263" s="518" t="s">
        <v>57</v>
      </c>
      <c r="E263" s="518" t="s">
        <v>648</v>
      </c>
      <c r="F263" s="518" t="s">
        <v>675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G263" s="494" t="str">
        <f ca="1">IF('CDO Bespoke'!C288&lt;&gt;"",'CDO Bespoke'!C288,"")</f>
        <v/>
      </c>
      <c r="AH263" s="496"/>
      <c r="AI263" s="585"/>
      <c r="AJ263" s="585"/>
      <c r="AK263" s="585"/>
      <c r="AL263" s="497"/>
      <c r="AM263" s="620"/>
      <c r="AN263" s="496"/>
      <c r="AO263" s="585"/>
      <c r="AP263" s="585"/>
      <c r="AQ263" s="585"/>
      <c r="AR263" s="497"/>
      <c r="AS263" s="620"/>
      <c r="AT263" s="506"/>
      <c r="AU263" s="631"/>
      <c r="AV263" s="620"/>
      <c r="AW263" s="506"/>
      <c r="AX263" s="582"/>
      <c r="AY263" s="620"/>
    </row>
    <row r="264" spans="2:51">
      <c r="B264" s="534" t="s">
        <v>583</v>
      </c>
      <c r="C264" s="535" t="s">
        <v>66</v>
      </c>
      <c r="D264" s="535" t="s">
        <v>59</v>
      </c>
      <c r="E264" s="535" t="s">
        <v>648</v>
      </c>
      <c r="F264" s="535" t="s">
        <v>675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G264" s="494" t="str">
        <f ca="1">IF('CDO Bespoke'!C289&lt;&gt;"",'CDO Bespoke'!C289,"")</f>
        <v/>
      </c>
      <c r="AH264" s="496"/>
      <c r="AI264" s="585"/>
      <c r="AJ264" s="585"/>
      <c r="AK264" s="585"/>
      <c r="AL264" s="497"/>
      <c r="AM264" s="620"/>
      <c r="AN264" s="496"/>
      <c r="AO264" s="585"/>
      <c r="AP264" s="585"/>
      <c r="AQ264" s="585"/>
      <c r="AR264" s="497"/>
      <c r="AS264" s="620"/>
      <c r="AT264" s="506"/>
      <c r="AU264" s="631"/>
      <c r="AV264" s="620"/>
      <c r="AW264" s="506"/>
      <c r="AX264" s="582"/>
      <c r="AY264" s="620"/>
    </row>
    <row r="265" spans="2:51">
      <c r="B265" s="539" t="s">
        <v>584</v>
      </c>
      <c r="C265" s="540" t="s">
        <v>66</v>
      </c>
      <c r="D265" s="540" t="s">
        <v>55</v>
      </c>
      <c r="E265" s="540" t="s">
        <v>648</v>
      </c>
      <c r="F265" s="540" t="s">
        <v>671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G265" s="494" t="str">
        <f ca="1">IF('CDO Bespoke'!C290&lt;&gt;"",'CDO Bespoke'!C290,"")</f>
        <v/>
      </c>
      <c r="AH265" s="496"/>
      <c r="AI265" s="585"/>
      <c r="AJ265" s="585"/>
      <c r="AK265" s="585"/>
      <c r="AL265" s="497"/>
      <c r="AM265" s="620"/>
      <c r="AN265" s="496"/>
      <c r="AO265" s="585"/>
      <c r="AP265" s="585"/>
      <c r="AQ265" s="585"/>
      <c r="AR265" s="497"/>
      <c r="AS265" s="620"/>
      <c r="AT265" s="506"/>
      <c r="AU265" s="631"/>
      <c r="AV265" s="620"/>
      <c r="AW265" s="506"/>
      <c r="AX265" s="582"/>
      <c r="AY265" s="620"/>
    </row>
    <row r="266" spans="2:51">
      <c r="B266" s="517" t="s">
        <v>584</v>
      </c>
      <c r="C266" s="518" t="s">
        <v>66</v>
      </c>
      <c r="D266" s="518" t="s">
        <v>57</v>
      </c>
      <c r="E266" s="518" t="s">
        <v>648</v>
      </c>
      <c r="F266" s="518" t="s">
        <v>671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G266" s="494" t="str">
        <f ca="1">IF('CDO Bespoke'!C291&lt;&gt;"",'CDO Bespoke'!C291,"")</f>
        <v/>
      </c>
      <c r="AH266" s="496"/>
      <c r="AI266" s="585"/>
      <c r="AJ266" s="585"/>
      <c r="AK266" s="585"/>
      <c r="AL266" s="497"/>
      <c r="AM266" s="620"/>
      <c r="AN266" s="496"/>
      <c r="AO266" s="585"/>
      <c r="AP266" s="585"/>
      <c r="AQ266" s="585"/>
      <c r="AR266" s="497"/>
      <c r="AS266" s="620"/>
      <c r="AT266" s="506"/>
      <c r="AU266" s="631"/>
      <c r="AV266" s="620"/>
      <c r="AW266" s="506"/>
      <c r="AX266" s="582"/>
      <c r="AY266" s="620"/>
    </row>
    <row r="267" spans="2:51">
      <c r="B267" s="534" t="s">
        <v>584</v>
      </c>
      <c r="C267" s="535" t="s">
        <v>66</v>
      </c>
      <c r="D267" s="535" t="s">
        <v>59</v>
      </c>
      <c r="E267" s="535" t="s">
        <v>648</v>
      </c>
      <c r="F267" s="535" t="s">
        <v>671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G267" s="494" t="str">
        <f ca="1">IF('CDO Bespoke'!C292&lt;&gt;"",'CDO Bespoke'!C292,"")</f>
        <v/>
      </c>
      <c r="AH267" s="496"/>
      <c r="AI267" s="585"/>
      <c r="AJ267" s="585"/>
      <c r="AK267" s="585"/>
      <c r="AL267" s="497"/>
      <c r="AM267" s="620"/>
      <c r="AN267" s="496"/>
      <c r="AO267" s="585"/>
      <c r="AP267" s="585"/>
      <c r="AQ267" s="585"/>
      <c r="AR267" s="497"/>
      <c r="AS267" s="620"/>
      <c r="AT267" s="506"/>
      <c r="AU267" s="631"/>
      <c r="AV267" s="620"/>
      <c r="AW267" s="506"/>
      <c r="AX267" s="582"/>
      <c r="AY267" s="620"/>
    </row>
    <row r="268" spans="2:51">
      <c r="B268" s="539" t="s">
        <v>594</v>
      </c>
      <c r="C268" s="540" t="s">
        <v>66</v>
      </c>
      <c r="D268" s="540" t="s">
        <v>55</v>
      </c>
      <c r="E268" s="540" t="s">
        <v>648</v>
      </c>
      <c r="F268" s="540" t="s">
        <v>675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G268" s="494" t="str">
        <f ca="1">IF('CDO Bespoke'!C293&lt;&gt;"",'CDO Bespoke'!C293,"")</f>
        <v/>
      </c>
      <c r="AH268" s="496"/>
      <c r="AI268" s="585"/>
      <c r="AJ268" s="585"/>
      <c r="AK268" s="585"/>
      <c r="AL268" s="497"/>
      <c r="AM268" s="620"/>
      <c r="AN268" s="496"/>
      <c r="AO268" s="585"/>
      <c r="AP268" s="585"/>
      <c r="AQ268" s="585"/>
      <c r="AR268" s="497"/>
      <c r="AS268" s="620"/>
      <c r="AT268" s="506"/>
      <c r="AU268" s="631"/>
      <c r="AV268" s="620"/>
      <c r="AW268" s="506"/>
      <c r="AX268" s="582"/>
      <c r="AY268" s="620"/>
    </row>
    <row r="269" spans="2:51">
      <c r="B269" s="517" t="s">
        <v>594</v>
      </c>
      <c r="C269" s="518" t="s">
        <v>66</v>
      </c>
      <c r="D269" s="518" t="s">
        <v>57</v>
      </c>
      <c r="E269" s="518" t="s">
        <v>648</v>
      </c>
      <c r="F269" s="518" t="s">
        <v>675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G269" s="494" t="str">
        <f ca="1">IF('CDO Bespoke'!C294&lt;&gt;"",'CDO Bespoke'!C294,"")</f>
        <v/>
      </c>
      <c r="AH269" s="496"/>
      <c r="AI269" s="585"/>
      <c r="AJ269" s="585"/>
      <c r="AK269" s="585"/>
      <c r="AL269" s="497"/>
      <c r="AM269" s="620"/>
      <c r="AN269" s="496"/>
      <c r="AO269" s="585"/>
      <c r="AP269" s="585"/>
      <c r="AQ269" s="585"/>
      <c r="AR269" s="497"/>
      <c r="AS269" s="620"/>
      <c r="AT269" s="506"/>
      <c r="AU269" s="631"/>
      <c r="AV269" s="620"/>
      <c r="AW269" s="506"/>
      <c r="AX269" s="582"/>
      <c r="AY269" s="620"/>
    </row>
    <row r="270" spans="2:51">
      <c r="B270" s="534" t="s">
        <v>594</v>
      </c>
      <c r="C270" s="535" t="s">
        <v>66</v>
      </c>
      <c r="D270" s="535" t="s">
        <v>59</v>
      </c>
      <c r="E270" s="535" t="s">
        <v>648</v>
      </c>
      <c r="F270" s="535" t="s">
        <v>675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G270" s="494" t="str">
        <f ca="1">IF('CDO Bespoke'!C295&lt;&gt;"",'CDO Bespoke'!C295,"")</f>
        <v/>
      </c>
      <c r="AH270" s="496"/>
      <c r="AI270" s="585"/>
      <c r="AJ270" s="585"/>
      <c r="AK270" s="585"/>
      <c r="AL270" s="497"/>
      <c r="AM270" s="620"/>
      <c r="AN270" s="496"/>
      <c r="AO270" s="585"/>
      <c r="AP270" s="585"/>
      <c r="AQ270" s="585"/>
      <c r="AR270" s="497"/>
      <c r="AS270" s="620"/>
      <c r="AT270" s="506"/>
      <c r="AU270" s="631"/>
      <c r="AV270" s="620"/>
      <c r="AW270" s="506"/>
      <c r="AX270" s="582"/>
      <c r="AY270" s="620"/>
    </row>
    <row r="271" spans="2:51">
      <c r="B271" s="539" t="s">
        <v>585</v>
      </c>
      <c r="C271" s="540" t="s">
        <v>66</v>
      </c>
      <c r="D271" s="540" t="s">
        <v>55</v>
      </c>
      <c r="E271" s="540" t="s">
        <v>648</v>
      </c>
      <c r="F271" s="540" t="s">
        <v>675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G271" s="494" t="str">
        <f ca="1">IF('CDO Bespoke'!C296&lt;&gt;"",'CDO Bespoke'!C296,"")</f>
        <v/>
      </c>
      <c r="AH271" s="496"/>
      <c r="AI271" s="585"/>
      <c r="AJ271" s="585"/>
      <c r="AK271" s="585"/>
      <c r="AL271" s="497"/>
      <c r="AM271" s="620"/>
      <c r="AN271" s="496"/>
      <c r="AO271" s="585"/>
      <c r="AP271" s="585"/>
      <c r="AQ271" s="585"/>
      <c r="AR271" s="497"/>
      <c r="AS271" s="620"/>
      <c r="AT271" s="506"/>
      <c r="AU271" s="631"/>
      <c r="AV271" s="620"/>
      <c r="AW271" s="506"/>
      <c r="AX271" s="582"/>
      <c r="AY271" s="620"/>
    </row>
    <row r="272" spans="2:51">
      <c r="B272" s="517" t="s">
        <v>585</v>
      </c>
      <c r="C272" s="518" t="s">
        <v>66</v>
      </c>
      <c r="D272" s="518" t="s">
        <v>57</v>
      </c>
      <c r="E272" s="518" t="s">
        <v>648</v>
      </c>
      <c r="F272" s="518" t="s">
        <v>675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G272" s="494" t="str">
        <f ca="1">IF('CDO Bespoke'!C297&lt;&gt;"",'CDO Bespoke'!C297,"")</f>
        <v/>
      </c>
      <c r="AH272" s="496"/>
      <c r="AI272" s="585"/>
      <c r="AJ272" s="585"/>
      <c r="AK272" s="585"/>
      <c r="AL272" s="497"/>
      <c r="AM272" s="620"/>
      <c r="AN272" s="496"/>
      <c r="AO272" s="585"/>
      <c r="AP272" s="585"/>
      <c r="AQ272" s="585"/>
      <c r="AR272" s="497"/>
      <c r="AS272" s="620"/>
      <c r="AT272" s="506"/>
      <c r="AU272" s="631"/>
      <c r="AV272" s="620"/>
      <c r="AW272" s="506"/>
      <c r="AX272" s="582"/>
      <c r="AY272" s="620"/>
    </row>
    <row r="273" spans="2:51">
      <c r="B273" s="534" t="s">
        <v>585</v>
      </c>
      <c r="C273" s="535" t="s">
        <v>66</v>
      </c>
      <c r="D273" s="535" t="s">
        <v>59</v>
      </c>
      <c r="E273" s="535" t="s">
        <v>648</v>
      </c>
      <c r="F273" s="535" t="s">
        <v>675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G273" s="494" t="str">
        <f ca="1">IF('CDO Bespoke'!C298&lt;&gt;"",'CDO Bespoke'!C298,"")</f>
        <v/>
      </c>
      <c r="AH273" s="496"/>
      <c r="AI273" s="585"/>
      <c r="AJ273" s="585"/>
      <c r="AK273" s="585"/>
      <c r="AL273" s="497"/>
      <c r="AM273" s="620"/>
      <c r="AN273" s="496"/>
      <c r="AO273" s="585"/>
      <c r="AP273" s="585"/>
      <c r="AQ273" s="585"/>
      <c r="AR273" s="497"/>
      <c r="AS273" s="620"/>
      <c r="AT273" s="506"/>
      <c r="AU273" s="631"/>
      <c r="AV273" s="620"/>
      <c r="AW273" s="506"/>
      <c r="AX273" s="582"/>
      <c r="AY273" s="620"/>
    </row>
    <row r="274" spans="2:51">
      <c r="B274" s="539" t="s">
        <v>586</v>
      </c>
      <c r="C274" s="540" t="s">
        <v>66</v>
      </c>
      <c r="D274" s="540" t="s">
        <v>55</v>
      </c>
      <c r="E274" s="540" t="s">
        <v>648</v>
      </c>
      <c r="F274" s="540" t="s">
        <v>671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G274" s="494" t="str">
        <f ca="1">IF('CDO Bespoke'!C299&lt;&gt;"",'CDO Bespoke'!C299,"")</f>
        <v/>
      </c>
      <c r="AH274" s="496"/>
      <c r="AI274" s="585"/>
      <c r="AJ274" s="585"/>
      <c r="AK274" s="585"/>
      <c r="AL274" s="497"/>
      <c r="AM274" s="620"/>
      <c r="AN274" s="496"/>
      <c r="AO274" s="585"/>
      <c r="AP274" s="585"/>
      <c r="AQ274" s="585"/>
      <c r="AR274" s="497"/>
      <c r="AS274" s="620"/>
      <c r="AT274" s="506"/>
      <c r="AU274" s="631"/>
      <c r="AV274" s="620"/>
      <c r="AW274" s="506"/>
      <c r="AX274" s="582"/>
      <c r="AY274" s="620"/>
    </row>
    <row r="275" spans="2:51">
      <c r="B275" s="517" t="s">
        <v>586</v>
      </c>
      <c r="C275" s="518" t="s">
        <v>66</v>
      </c>
      <c r="D275" s="518" t="s">
        <v>57</v>
      </c>
      <c r="E275" s="518" t="s">
        <v>648</v>
      </c>
      <c r="F275" s="518" t="s">
        <v>671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G275" s="494" t="str">
        <f ca="1">IF('CDO Bespoke'!C300&lt;&gt;"",'CDO Bespoke'!C300,"")</f>
        <v/>
      </c>
      <c r="AH275" s="496"/>
      <c r="AI275" s="585"/>
      <c r="AJ275" s="585"/>
      <c r="AK275" s="585"/>
      <c r="AL275" s="497"/>
      <c r="AM275" s="620"/>
      <c r="AN275" s="496"/>
      <c r="AO275" s="585"/>
      <c r="AP275" s="585"/>
      <c r="AQ275" s="585"/>
      <c r="AR275" s="497"/>
      <c r="AS275" s="620"/>
      <c r="AT275" s="506"/>
      <c r="AU275" s="631"/>
      <c r="AV275" s="620"/>
      <c r="AW275" s="506"/>
      <c r="AX275" s="582"/>
      <c r="AY275" s="620"/>
    </row>
    <row r="276" spans="2:51">
      <c r="B276" s="534" t="s">
        <v>586</v>
      </c>
      <c r="C276" s="535" t="s">
        <v>66</v>
      </c>
      <c r="D276" s="535" t="s">
        <v>59</v>
      </c>
      <c r="E276" s="535" t="s">
        <v>648</v>
      </c>
      <c r="F276" s="535" t="s">
        <v>671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G276" s="494" t="str">
        <f ca="1">IF('CDO Bespoke'!C301&lt;&gt;"",'CDO Bespoke'!C301,"")</f>
        <v/>
      </c>
      <c r="AH276" s="496"/>
      <c r="AI276" s="585"/>
      <c r="AJ276" s="585"/>
      <c r="AK276" s="585"/>
      <c r="AL276" s="497"/>
      <c r="AM276" s="620"/>
      <c r="AN276" s="496"/>
      <c r="AO276" s="585"/>
      <c r="AP276" s="585"/>
      <c r="AQ276" s="585"/>
      <c r="AR276" s="497"/>
      <c r="AS276" s="620"/>
      <c r="AT276" s="506"/>
      <c r="AU276" s="631"/>
      <c r="AV276" s="620"/>
      <c r="AW276" s="506"/>
      <c r="AX276" s="582"/>
      <c r="AY276" s="620"/>
    </row>
    <row r="277" spans="2:51">
      <c r="B277" s="539" t="s">
        <v>595</v>
      </c>
      <c r="C277" s="540" t="s">
        <v>66</v>
      </c>
      <c r="D277" s="540" t="s">
        <v>55</v>
      </c>
      <c r="E277" s="540" t="s">
        <v>648</v>
      </c>
      <c r="F277" s="540" t="s">
        <v>671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G277" s="494" t="str">
        <f ca="1">IF('CDO Bespoke'!C302&lt;&gt;"",'CDO Bespoke'!C302,"")</f>
        <v/>
      </c>
      <c r="AH277" s="496"/>
      <c r="AI277" s="585"/>
      <c r="AJ277" s="585"/>
      <c r="AK277" s="585"/>
      <c r="AL277" s="497"/>
      <c r="AM277" s="620"/>
      <c r="AN277" s="496"/>
      <c r="AO277" s="585"/>
      <c r="AP277" s="585"/>
      <c r="AQ277" s="585"/>
      <c r="AR277" s="497"/>
      <c r="AS277" s="620"/>
      <c r="AT277" s="506"/>
      <c r="AU277" s="631"/>
      <c r="AV277" s="620"/>
      <c r="AW277" s="506"/>
      <c r="AX277" s="582"/>
      <c r="AY277" s="620"/>
    </row>
    <row r="278" spans="2:51">
      <c r="B278" s="517" t="s">
        <v>595</v>
      </c>
      <c r="C278" s="518" t="s">
        <v>66</v>
      </c>
      <c r="D278" s="518" t="s">
        <v>57</v>
      </c>
      <c r="E278" s="518" t="s">
        <v>648</v>
      </c>
      <c r="F278" s="518" t="s">
        <v>671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G278" s="494" t="str">
        <f ca="1">IF('CDO Bespoke'!C303&lt;&gt;"",'CDO Bespoke'!C303,"")</f>
        <v/>
      </c>
      <c r="AH278" s="496"/>
      <c r="AI278" s="585"/>
      <c r="AJ278" s="585"/>
      <c r="AK278" s="585"/>
      <c r="AL278" s="497"/>
      <c r="AM278" s="620"/>
      <c r="AN278" s="496"/>
      <c r="AO278" s="585"/>
      <c r="AP278" s="585"/>
      <c r="AQ278" s="585"/>
      <c r="AR278" s="497"/>
      <c r="AS278" s="620"/>
      <c r="AT278" s="506"/>
      <c r="AU278" s="631"/>
      <c r="AV278" s="620"/>
      <c r="AW278" s="506"/>
      <c r="AX278" s="582"/>
      <c r="AY278" s="620"/>
    </row>
    <row r="279" spans="2:51">
      <c r="B279" s="534" t="s">
        <v>595</v>
      </c>
      <c r="C279" s="535" t="s">
        <v>66</v>
      </c>
      <c r="D279" s="535" t="s">
        <v>59</v>
      </c>
      <c r="E279" s="535" t="s">
        <v>648</v>
      </c>
      <c r="F279" s="535" t="s">
        <v>671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G279" s="494" t="str">
        <f ca="1">IF('CDO Bespoke'!C304&lt;&gt;"",'CDO Bespoke'!C304,"")</f>
        <v/>
      </c>
      <c r="AH279" s="496"/>
      <c r="AI279" s="585"/>
      <c r="AJ279" s="585"/>
      <c r="AK279" s="585"/>
      <c r="AL279" s="497"/>
      <c r="AM279" s="620"/>
      <c r="AN279" s="496"/>
      <c r="AO279" s="585"/>
      <c r="AP279" s="585"/>
      <c r="AQ279" s="585"/>
      <c r="AR279" s="497"/>
      <c r="AS279" s="620"/>
      <c r="AT279" s="506"/>
      <c r="AU279" s="631"/>
      <c r="AV279" s="620"/>
      <c r="AW279" s="506"/>
      <c r="AX279" s="582"/>
      <c r="AY279" s="620"/>
    </row>
    <row r="280" spans="2:51">
      <c r="B280" s="539" t="s">
        <v>587</v>
      </c>
      <c r="C280" s="540" t="s">
        <v>66</v>
      </c>
      <c r="D280" s="540" t="s">
        <v>55</v>
      </c>
      <c r="E280" s="540" t="s">
        <v>648</v>
      </c>
      <c r="F280" s="540" t="s">
        <v>675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G280" s="494" t="str">
        <f ca="1">IF('CDO Bespoke'!C305&lt;&gt;"",'CDO Bespoke'!C305,"")</f>
        <v/>
      </c>
      <c r="AH280" s="496"/>
      <c r="AI280" s="585"/>
      <c r="AJ280" s="585"/>
      <c r="AK280" s="585"/>
      <c r="AL280" s="497"/>
      <c r="AM280" s="620"/>
      <c r="AN280" s="496"/>
      <c r="AO280" s="585"/>
      <c r="AP280" s="585"/>
      <c r="AQ280" s="585"/>
      <c r="AR280" s="497"/>
      <c r="AS280" s="620"/>
      <c r="AT280" s="506"/>
      <c r="AU280" s="631"/>
      <c r="AV280" s="620"/>
      <c r="AW280" s="506"/>
      <c r="AX280" s="582"/>
      <c r="AY280" s="620"/>
    </row>
    <row r="281" spans="2:51">
      <c r="B281" s="517" t="s">
        <v>587</v>
      </c>
      <c r="C281" s="518" t="s">
        <v>66</v>
      </c>
      <c r="D281" s="518" t="s">
        <v>57</v>
      </c>
      <c r="E281" s="518" t="s">
        <v>648</v>
      </c>
      <c r="F281" s="518" t="s">
        <v>675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G281" s="494" t="str">
        <f ca="1">IF('CDO Bespoke'!C306&lt;&gt;"",'CDO Bespoke'!C306,"")</f>
        <v/>
      </c>
      <c r="AH281" s="496"/>
      <c r="AI281" s="585"/>
      <c r="AJ281" s="585"/>
      <c r="AK281" s="585"/>
      <c r="AL281" s="497"/>
      <c r="AM281" s="620"/>
      <c r="AN281" s="496"/>
      <c r="AO281" s="585"/>
      <c r="AP281" s="585"/>
      <c r="AQ281" s="585"/>
      <c r="AR281" s="497"/>
      <c r="AS281" s="620"/>
      <c r="AT281" s="506"/>
      <c r="AU281" s="631"/>
      <c r="AV281" s="620"/>
      <c r="AW281" s="506"/>
      <c r="AX281" s="582"/>
      <c r="AY281" s="620"/>
    </row>
    <row r="282" spans="2:51">
      <c r="B282" s="534" t="s">
        <v>587</v>
      </c>
      <c r="C282" s="535" t="s">
        <v>66</v>
      </c>
      <c r="D282" s="535" t="s">
        <v>59</v>
      </c>
      <c r="E282" s="535" t="s">
        <v>648</v>
      </c>
      <c r="F282" s="535" t="s">
        <v>675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G282" s="494" t="str">
        <f ca="1">IF('CDO Bespoke'!C307&lt;&gt;"",'CDO Bespoke'!C307,"")</f>
        <v/>
      </c>
      <c r="AH282" s="496"/>
      <c r="AI282" s="585"/>
      <c r="AJ282" s="585"/>
      <c r="AK282" s="585"/>
      <c r="AL282" s="497"/>
      <c r="AM282" s="620"/>
      <c r="AN282" s="496"/>
      <c r="AO282" s="585"/>
      <c r="AP282" s="585"/>
      <c r="AQ282" s="585"/>
      <c r="AR282" s="497"/>
      <c r="AS282" s="620"/>
      <c r="AT282" s="506"/>
      <c r="AU282" s="631"/>
      <c r="AV282" s="620"/>
      <c r="AW282" s="506"/>
      <c r="AX282" s="582"/>
      <c r="AY282" s="620"/>
    </row>
    <row r="283" spans="2:51">
      <c r="B283" s="539" t="s">
        <v>616</v>
      </c>
      <c r="C283" s="540" t="s">
        <v>66</v>
      </c>
      <c r="D283" s="540" t="s">
        <v>55</v>
      </c>
      <c r="E283" s="540" t="s">
        <v>646</v>
      </c>
      <c r="F283" s="540" t="s">
        <v>671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G283" s="494" t="str">
        <f ca="1">IF('CDO Bespoke'!C308&lt;&gt;"",'CDO Bespoke'!C308,"")</f>
        <v/>
      </c>
      <c r="AH283" s="496"/>
      <c r="AI283" s="585"/>
      <c r="AJ283" s="585"/>
      <c r="AK283" s="585"/>
      <c r="AL283" s="497"/>
      <c r="AM283" s="620"/>
      <c r="AN283" s="496"/>
      <c r="AO283" s="585"/>
      <c r="AP283" s="585"/>
      <c r="AQ283" s="585"/>
      <c r="AR283" s="497"/>
      <c r="AS283" s="620"/>
      <c r="AT283" s="506"/>
      <c r="AU283" s="631"/>
      <c r="AV283" s="620"/>
      <c r="AW283" s="506"/>
      <c r="AX283" s="582"/>
      <c r="AY283" s="620"/>
    </row>
    <row r="284" spans="2:51">
      <c r="B284" s="517" t="s">
        <v>616</v>
      </c>
      <c r="C284" s="518" t="s">
        <v>66</v>
      </c>
      <c r="D284" s="518" t="s">
        <v>57</v>
      </c>
      <c r="E284" s="518" t="s">
        <v>646</v>
      </c>
      <c r="F284" s="518" t="s">
        <v>671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G284" s="494" t="str">
        <f ca="1">IF('CDO Bespoke'!C309&lt;&gt;"",'CDO Bespoke'!C309,"")</f>
        <v/>
      </c>
      <c r="AH284" s="496"/>
      <c r="AI284" s="585"/>
      <c r="AJ284" s="585"/>
      <c r="AK284" s="585"/>
      <c r="AL284" s="497"/>
      <c r="AM284" s="620"/>
      <c r="AN284" s="496"/>
      <c r="AO284" s="585"/>
      <c r="AP284" s="585"/>
      <c r="AQ284" s="585"/>
      <c r="AR284" s="497"/>
      <c r="AS284" s="620"/>
      <c r="AT284" s="506"/>
      <c r="AU284" s="631"/>
      <c r="AV284" s="620"/>
      <c r="AW284" s="506"/>
      <c r="AX284" s="582"/>
      <c r="AY284" s="620"/>
    </row>
    <row r="285" spans="2:51">
      <c r="B285" s="534" t="s">
        <v>616</v>
      </c>
      <c r="C285" s="535" t="s">
        <v>66</v>
      </c>
      <c r="D285" s="535" t="s">
        <v>59</v>
      </c>
      <c r="E285" s="535" t="s">
        <v>646</v>
      </c>
      <c r="F285" s="535" t="s">
        <v>671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G285" s="494" t="str">
        <f ca="1">IF('CDO Bespoke'!C310&lt;&gt;"",'CDO Bespoke'!C310,"")</f>
        <v/>
      </c>
      <c r="AH285" s="496"/>
      <c r="AI285" s="585"/>
      <c r="AJ285" s="585"/>
      <c r="AK285" s="585"/>
      <c r="AL285" s="497"/>
      <c r="AM285" s="620"/>
      <c r="AN285" s="496"/>
      <c r="AO285" s="585"/>
      <c r="AP285" s="585"/>
      <c r="AQ285" s="585"/>
      <c r="AR285" s="497"/>
      <c r="AS285" s="620"/>
      <c r="AT285" s="506"/>
      <c r="AU285" s="631"/>
      <c r="AV285" s="620"/>
      <c r="AW285" s="506"/>
      <c r="AX285" s="582"/>
      <c r="AY285" s="620"/>
    </row>
    <row r="286" spans="2:51">
      <c r="B286" s="539" t="s">
        <v>588</v>
      </c>
      <c r="C286" s="540" t="s">
        <v>66</v>
      </c>
      <c r="D286" s="540" t="s">
        <v>55</v>
      </c>
      <c r="E286" s="540" t="s">
        <v>648</v>
      </c>
      <c r="F286" s="540" t="s">
        <v>653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G286" s="494" t="str">
        <f ca="1">IF('CDO Bespoke'!C311&lt;&gt;"",'CDO Bespoke'!C311,"")</f>
        <v/>
      </c>
      <c r="AH286" s="496"/>
      <c r="AI286" s="585"/>
      <c r="AJ286" s="585"/>
      <c r="AK286" s="585"/>
      <c r="AL286" s="497"/>
      <c r="AM286" s="620"/>
      <c r="AN286" s="496"/>
      <c r="AO286" s="585"/>
      <c r="AP286" s="585"/>
      <c r="AQ286" s="585"/>
      <c r="AR286" s="497"/>
      <c r="AS286" s="620"/>
      <c r="AT286" s="506"/>
      <c r="AU286" s="631"/>
      <c r="AV286" s="620"/>
      <c r="AW286" s="506"/>
      <c r="AX286" s="582"/>
      <c r="AY286" s="620"/>
    </row>
    <row r="287" spans="2:51">
      <c r="B287" s="517" t="s">
        <v>588</v>
      </c>
      <c r="C287" s="518" t="s">
        <v>66</v>
      </c>
      <c r="D287" s="518" t="s">
        <v>57</v>
      </c>
      <c r="E287" s="518" t="s">
        <v>648</v>
      </c>
      <c r="F287" s="518" t="s">
        <v>653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G287" s="494" t="str">
        <f ca="1">IF('CDO Bespoke'!C312&lt;&gt;"",'CDO Bespoke'!C312,"")</f>
        <v/>
      </c>
      <c r="AH287" s="496"/>
      <c r="AI287" s="585"/>
      <c r="AJ287" s="585"/>
      <c r="AK287" s="585"/>
      <c r="AL287" s="497"/>
      <c r="AM287" s="620"/>
      <c r="AN287" s="496"/>
      <c r="AO287" s="585"/>
      <c r="AP287" s="585"/>
      <c r="AQ287" s="585"/>
      <c r="AR287" s="497"/>
      <c r="AS287" s="620"/>
      <c r="AT287" s="506"/>
      <c r="AU287" s="631"/>
      <c r="AV287" s="620"/>
      <c r="AW287" s="506"/>
      <c r="AX287" s="582"/>
      <c r="AY287" s="620"/>
    </row>
    <row r="288" spans="2:51">
      <c r="B288" s="534" t="s">
        <v>588</v>
      </c>
      <c r="C288" s="535" t="s">
        <v>66</v>
      </c>
      <c r="D288" s="535" t="s">
        <v>59</v>
      </c>
      <c r="E288" s="535" t="s">
        <v>648</v>
      </c>
      <c r="F288" s="535" t="s">
        <v>653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G288" s="494" t="str">
        <f ca="1">IF('CDO Bespoke'!C313&lt;&gt;"",'CDO Bespoke'!C313,"")</f>
        <v/>
      </c>
      <c r="AH288" s="496"/>
      <c r="AI288" s="585"/>
      <c r="AJ288" s="585"/>
      <c r="AK288" s="585"/>
      <c r="AL288" s="497"/>
      <c r="AM288" s="620"/>
      <c r="AN288" s="496"/>
      <c r="AO288" s="585"/>
      <c r="AP288" s="585"/>
      <c r="AQ288" s="585"/>
      <c r="AR288" s="497"/>
      <c r="AS288" s="620"/>
      <c r="AT288" s="506"/>
      <c r="AU288" s="631"/>
      <c r="AV288" s="620"/>
      <c r="AW288" s="506"/>
      <c r="AX288" s="582"/>
      <c r="AY288" s="620"/>
    </row>
    <row r="289" spans="2:51">
      <c r="B289" s="539" t="s">
        <v>596</v>
      </c>
      <c r="C289" s="540" t="s">
        <v>66</v>
      </c>
      <c r="D289" s="540" t="s">
        <v>55</v>
      </c>
      <c r="E289" s="540" t="s">
        <v>648</v>
      </c>
      <c r="F289" s="540" t="s">
        <v>675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G289" s="494" t="str">
        <f ca="1">IF('CDO Bespoke'!C314&lt;&gt;"",'CDO Bespoke'!C314,"")</f>
        <v/>
      </c>
      <c r="AH289" s="496"/>
      <c r="AI289" s="585"/>
      <c r="AJ289" s="585"/>
      <c r="AK289" s="585"/>
      <c r="AL289" s="497"/>
      <c r="AM289" s="620"/>
      <c r="AN289" s="496"/>
      <c r="AO289" s="585"/>
      <c r="AP289" s="585"/>
      <c r="AQ289" s="585"/>
      <c r="AR289" s="497"/>
      <c r="AS289" s="620"/>
      <c r="AT289" s="506"/>
      <c r="AU289" s="631"/>
      <c r="AV289" s="620"/>
      <c r="AW289" s="506"/>
      <c r="AX289" s="582"/>
      <c r="AY289" s="620"/>
    </row>
    <row r="290" spans="2:51">
      <c r="B290" s="517" t="s">
        <v>596</v>
      </c>
      <c r="C290" s="518" t="s">
        <v>66</v>
      </c>
      <c r="D290" s="518" t="s">
        <v>57</v>
      </c>
      <c r="E290" s="518" t="s">
        <v>648</v>
      </c>
      <c r="F290" s="518" t="s">
        <v>675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G290" s="494" t="str">
        <f ca="1">IF('CDO Bespoke'!C315&lt;&gt;"",'CDO Bespoke'!C315,"")</f>
        <v/>
      </c>
      <c r="AH290" s="496"/>
      <c r="AI290" s="585"/>
      <c r="AJ290" s="585"/>
      <c r="AK290" s="585"/>
      <c r="AL290" s="497"/>
      <c r="AM290" s="620"/>
      <c r="AN290" s="496"/>
      <c r="AO290" s="585"/>
      <c r="AP290" s="585"/>
      <c r="AQ290" s="585"/>
      <c r="AR290" s="497"/>
      <c r="AS290" s="620"/>
      <c r="AT290" s="506"/>
      <c r="AU290" s="631"/>
      <c r="AV290" s="620"/>
      <c r="AW290" s="506"/>
      <c r="AX290" s="582"/>
      <c r="AY290" s="620"/>
    </row>
    <row r="291" spans="2:51">
      <c r="B291" s="534" t="s">
        <v>596</v>
      </c>
      <c r="C291" s="535" t="s">
        <v>66</v>
      </c>
      <c r="D291" s="535" t="s">
        <v>59</v>
      </c>
      <c r="E291" s="535" t="s">
        <v>648</v>
      </c>
      <c r="F291" s="535" t="s">
        <v>675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G291" s="494" t="str">
        <f ca="1">IF('CDO Bespoke'!C316&lt;&gt;"",'CDO Bespoke'!C316,"")</f>
        <v/>
      </c>
      <c r="AH291" s="496"/>
      <c r="AI291" s="585"/>
      <c r="AJ291" s="585"/>
      <c r="AK291" s="585"/>
      <c r="AL291" s="497"/>
      <c r="AM291" s="620"/>
      <c r="AN291" s="496"/>
      <c r="AO291" s="585"/>
      <c r="AP291" s="585"/>
      <c r="AQ291" s="585"/>
      <c r="AR291" s="497"/>
      <c r="AS291" s="620"/>
      <c r="AT291" s="506"/>
      <c r="AU291" s="631"/>
      <c r="AV291" s="620"/>
      <c r="AW291" s="506"/>
      <c r="AX291" s="582"/>
      <c r="AY291" s="620"/>
    </row>
    <row r="292" spans="2:51">
      <c r="B292" s="539" t="s">
        <v>589</v>
      </c>
      <c r="C292" s="540" t="s">
        <v>66</v>
      </c>
      <c r="D292" s="540" t="s">
        <v>55</v>
      </c>
      <c r="E292" s="540" t="s">
        <v>646</v>
      </c>
      <c r="F292" s="540" t="s">
        <v>675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G292" s="494" t="str">
        <f ca="1">IF('CDO Bespoke'!C317&lt;&gt;"",'CDO Bespoke'!C317,"")</f>
        <v/>
      </c>
      <c r="AH292" s="496"/>
      <c r="AI292" s="585"/>
      <c r="AJ292" s="585"/>
      <c r="AK292" s="585"/>
      <c r="AL292" s="497"/>
      <c r="AM292" s="620"/>
      <c r="AN292" s="496"/>
      <c r="AO292" s="585"/>
      <c r="AP292" s="585"/>
      <c r="AQ292" s="585"/>
      <c r="AR292" s="497"/>
      <c r="AS292" s="620"/>
      <c r="AT292" s="506"/>
      <c r="AU292" s="631"/>
      <c r="AV292" s="620"/>
      <c r="AW292" s="506"/>
      <c r="AX292" s="582"/>
      <c r="AY292" s="620"/>
    </row>
    <row r="293" spans="2:51">
      <c r="B293" s="517" t="s">
        <v>589</v>
      </c>
      <c r="C293" s="518" t="s">
        <v>66</v>
      </c>
      <c r="D293" s="518" t="s">
        <v>57</v>
      </c>
      <c r="E293" s="518" t="s">
        <v>646</v>
      </c>
      <c r="F293" s="518" t="s">
        <v>675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G293" s="494" t="str">
        <f ca="1">IF('CDO Bespoke'!C318&lt;&gt;"",'CDO Bespoke'!C318,"")</f>
        <v/>
      </c>
      <c r="AH293" s="496"/>
      <c r="AI293" s="585"/>
      <c r="AJ293" s="585"/>
      <c r="AK293" s="585"/>
      <c r="AL293" s="497"/>
      <c r="AM293" s="620"/>
      <c r="AN293" s="496"/>
      <c r="AO293" s="585"/>
      <c r="AP293" s="585"/>
      <c r="AQ293" s="585"/>
      <c r="AR293" s="497"/>
      <c r="AS293" s="620"/>
      <c r="AT293" s="506"/>
      <c r="AU293" s="631"/>
      <c r="AV293" s="620"/>
      <c r="AW293" s="506"/>
      <c r="AX293" s="582"/>
      <c r="AY293" s="620"/>
    </row>
    <row r="294" spans="2:51">
      <c r="B294" s="534" t="s">
        <v>589</v>
      </c>
      <c r="C294" s="535" t="s">
        <v>66</v>
      </c>
      <c r="D294" s="535" t="s">
        <v>59</v>
      </c>
      <c r="E294" s="535" t="s">
        <v>646</v>
      </c>
      <c r="F294" s="535" t="s">
        <v>675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G294" s="494" t="str">
        <f ca="1">IF('CDO Bespoke'!C319&lt;&gt;"",'CDO Bespoke'!C319,"")</f>
        <v/>
      </c>
      <c r="AH294" s="496"/>
      <c r="AI294" s="585"/>
      <c r="AJ294" s="585"/>
      <c r="AK294" s="585"/>
      <c r="AL294" s="497"/>
      <c r="AM294" s="620"/>
      <c r="AN294" s="496"/>
      <c r="AO294" s="585"/>
      <c r="AP294" s="585"/>
      <c r="AQ294" s="585"/>
      <c r="AR294" s="497"/>
      <c r="AS294" s="620"/>
      <c r="AT294" s="506"/>
      <c r="AU294" s="631"/>
      <c r="AV294" s="620"/>
      <c r="AW294" s="506"/>
      <c r="AX294" s="582"/>
      <c r="AY294" s="620"/>
    </row>
    <row r="295" spans="2:51">
      <c r="B295" s="539" t="s">
        <v>597</v>
      </c>
      <c r="C295" s="540" t="s">
        <v>66</v>
      </c>
      <c r="D295" s="540" t="s">
        <v>55</v>
      </c>
      <c r="E295" s="540" t="s">
        <v>648</v>
      </c>
      <c r="F295" s="540" t="s">
        <v>675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G295" s="494" t="str">
        <f ca="1">IF('CDO Bespoke'!C320&lt;&gt;"",'CDO Bespoke'!C320,"")</f>
        <v/>
      </c>
      <c r="AH295" s="496"/>
      <c r="AI295" s="585"/>
      <c r="AJ295" s="585"/>
      <c r="AK295" s="585"/>
      <c r="AL295" s="497"/>
      <c r="AM295" s="620"/>
      <c r="AN295" s="496"/>
      <c r="AO295" s="585"/>
      <c r="AP295" s="585"/>
      <c r="AQ295" s="585"/>
      <c r="AR295" s="497"/>
      <c r="AS295" s="620"/>
      <c r="AT295" s="506"/>
      <c r="AU295" s="631"/>
      <c r="AV295" s="620"/>
      <c r="AW295" s="506"/>
      <c r="AX295" s="582"/>
      <c r="AY295" s="620"/>
    </row>
    <row r="296" spans="2:51">
      <c r="B296" s="517" t="s">
        <v>597</v>
      </c>
      <c r="C296" s="518" t="s">
        <v>66</v>
      </c>
      <c r="D296" s="518" t="s">
        <v>57</v>
      </c>
      <c r="E296" s="518" t="s">
        <v>648</v>
      </c>
      <c r="F296" s="518" t="s">
        <v>675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G296" s="494" t="str">
        <f ca="1">IF('CDO Bespoke'!C321&lt;&gt;"",'CDO Bespoke'!C321,"")</f>
        <v/>
      </c>
      <c r="AH296" s="496"/>
      <c r="AI296" s="585"/>
      <c r="AJ296" s="585"/>
      <c r="AK296" s="585"/>
      <c r="AL296" s="497"/>
      <c r="AM296" s="620"/>
      <c r="AN296" s="496"/>
      <c r="AO296" s="585"/>
      <c r="AP296" s="585"/>
      <c r="AQ296" s="585"/>
      <c r="AR296" s="497"/>
      <c r="AS296" s="620"/>
      <c r="AT296" s="506"/>
      <c r="AU296" s="631"/>
      <c r="AV296" s="620"/>
      <c r="AW296" s="506"/>
      <c r="AX296" s="582"/>
      <c r="AY296" s="620"/>
    </row>
    <row r="297" spans="2:51">
      <c r="B297" s="534" t="s">
        <v>597</v>
      </c>
      <c r="C297" s="535" t="s">
        <v>66</v>
      </c>
      <c r="D297" s="535" t="s">
        <v>59</v>
      </c>
      <c r="E297" s="535" t="s">
        <v>648</v>
      </c>
      <c r="F297" s="535" t="s">
        <v>675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G297" s="494" t="str">
        <f ca="1">IF('CDO Bespoke'!C322&lt;&gt;"",'CDO Bespoke'!C322,"")</f>
        <v/>
      </c>
      <c r="AH297" s="496"/>
      <c r="AI297" s="585"/>
      <c r="AJ297" s="585"/>
      <c r="AK297" s="585"/>
      <c r="AL297" s="497"/>
      <c r="AM297" s="620"/>
      <c r="AN297" s="496"/>
      <c r="AO297" s="585"/>
      <c r="AP297" s="585"/>
      <c r="AQ297" s="585"/>
      <c r="AR297" s="497"/>
      <c r="AS297" s="620"/>
      <c r="AT297" s="506"/>
      <c r="AU297" s="631"/>
      <c r="AV297" s="620"/>
      <c r="AW297" s="506"/>
      <c r="AX297" s="582"/>
      <c r="AY297" s="620"/>
    </row>
    <row r="298" spans="2:51">
      <c r="B298" s="539" t="s">
        <v>590</v>
      </c>
      <c r="C298" s="540" t="s">
        <v>66</v>
      </c>
      <c r="D298" s="540" t="s">
        <v>55</v>
      </c>
      <c r="E298" s="540" t="s">
        <v>648</v>
      </c>
      <c r="F298" s="540" t="s">
        <v>675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G298" s="494" t="str">
        <f ca="1">IF('CDO Bespoke'!C323&lt;&gt;"",'CDO Bespoke'!C323,"")</f>
        <v/>
      </c>
      <c r="AH298" s="496"/>
      <c r="AI298" s="585"/>
      <c r="AJ298" s="585"/>
      <c r="AK298" s="585"/>
      <c r="AL298" s="497"/>
      <c r="AM298" s="620"/>
      <c r="AN298" s="496"/>
      <c r="AO298" s="585"/>
      <c r="AP298" s="585"/>
      <c r="AQ298" s="585"/>
      <c r="AR298" s="497"/>
      <c r="AS298" s="620"/>
      <c r="AT298" s="506"/>
      <c r="AU298" s="631"/>
      <c r="AV298" s="620"/>
      <c r="AW298" s="506"/>
      <c r="AX298" s="582"/>
      <c r="AY298" s="620"/>
    </row>
    <row r="299" spans="2:51">
      <c r="B299" s="517" t="s">
        <v>590</v>
      </c>
      <c r="C299" s="518" t="s">
        <v>66</v>
      </c>
      <c r="D299" s="518" t="s">
        <v>57</v>
      </c>
      <c r="E299" s="518" t="s">
        <v>648</v>
      </c>
      <c r="F299" s="518" t="s">
        <v>675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G299" s="494" t="str">
        <f ca="1">IF('CDO Bespoke'!C324&lt;&gt;"",'CDO Bespoke'!C324,"")</f>
        <v/>
      </c>
      <c r="AH299" s="496"/>
      <c r="AI299" s="585"/>
      <c r="AJ299" s="585"/>
      <c r="AK299" s="585"/>
      <c r="AL299" s="497"/>
      <c r="AM299" s="620"/>
      <c r="AN299" s="496"/>
      <c r="AO299" s="585"/>
      <c r="AP299" s="585"/>
      <c r="AQ299" s="585"/>
      <c r="AR299" s="497"/>
      <c r="AS299" s="620"/>
      <c r="AT299" s="506"/>
      <c r="AU299" s="631"/>
      <c r="AV299" s="620"/>
      <c r="AW299" s="506"/>
      <c r="AX299" s="582"/>
      <c r="AY299" s="620"/>
    </row>
    <row r="300" spans="2:51">
      <c r="B300" s="534" t="s">
        <v>590</v>
      </c>
      <c r="C300" s="535" t="s">
        <v>66</v>
      </c>
      <c r="D300" s="535" t="s">
        <v>59</v>
      </c>
      <c r="E300" s="535" t="s">
        <v>648</v>
      </c>
      <c r="F300" s="535" t="s">
        <v>675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G300" s="494" t="str">
        <f ca="1">IF('CDO Bespoke'!C325&lt;&gt;"",'CDO Bespoke'!C325,"")</f>
        <v/>
      </c>
      <c r="AH300" s="496"/>
      <c r="AI300" s="585"/>
      <c r="AJ300" s="585"/>
      <c r="AK300" s="585"/>
      <c r="AL300" s="497"/>
      <c r="AM300" s="620"/>
      <c r="AN300" s="496"/>
      <c r="AO300" s="585"/>
      <c r="AP300" s="585"/>
      <c r="AQ300" s="585"/>
      <c r="AR300" s="497"/>
      <c r="AS300" s="620"/>
      <c r="AT300" s="506"/>
      <c r="AU300" s="631"/>
      <c r="AV300" s="620"/>
      <c r="AW300" s="506"/>
      <c r="AX300" s="582"/>
      <c r="AY300" s="620"/>
    </row>
    <row r="301" spans="2:51">
      <c r="B301" s="539" t="s">
        <v>591</v>
      </c>
      <c r="C301" s="540" t="s">
        <v>66</v>
      </c>
      <c r="D301" s="540" t="s">
        <v>55</v>
      </c>
      <c r="E301" s="540" t="s">
        <v>648</v>
      </c>
      <c r="F301" s="540" t="s">
        <v>671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G301" s="494" t="str">
        <f ca="1">IF('CDO Bespoke'!C326&lt;&gt;"",'CDO Bespoke'!C326,"")</f>
        <v/>
      </c>
      <c r="AH301" s="496"/>
      <c r="AI301" s="585"/>
      <c r="AJ301" s="585"/>
      <c r="AK301" s="585"/>
      <c r="AL301" s="497"/>
      <c r="AM301" s="620"/>
      <c r="AN301" s="496"/>
      <c r="AO301" s="585"/>
      <c r="AP301" s="585"/>
      <c r="AQ301" s="585"/>
      <c r="AR301" s="497"/>
      <c r="AS301" s="620"/>
      <c r="AT301" s="506"/>
      <c r="AU301" s="631"/>
      <c r="AV301" s="620"/>
      <c r="AW301" s="506"/>
      <c r="AX301" s="582"/>
      <c r="AY301" s="620"/>
    </row>
    <row r="302" spans="2:51">
      <c r="B302" s="517" t="s">
        <v>591</v>
      </c>
      <c r="C302" s="518" t="s">
        <v>66</v>
      </c>
      <c r="D302" s="518" t="s">
        <v>57</v>
      </c>
      <c r="E302" s="518" t="s">
        <v>648</v>
      </c>
      <c r="F302" s="518" t="s">
        <v>671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G302" s="494" t="str">
        <f ca="1">IF('CDO Bespoke'!C327&lt;&gt;"",'CDO Bespoke'!C327,"")</f>
        <v/>
      </c>
      <c r="AH302" s="496"/>
      <c r="AI302" s="585"/>
      <c r="AJ302" s="585"/>
      <c r="AK302" s="585"/>
      <c r="AL302" s="497"/>
      <c r="AM302" s="620"/>
      <c r="AN302" s="496"/>
      <c r="AO302" s="585"/>
      <c r="AP302" s="585"/>
      <c r="AQ302" s="585"/>
      <c r="AR302" s="497"/>
      <c r="AS302" s="620"/>
      <c r="AT302" s="506"/>
      <c r="AU302" s="631"/>
      <c r="AV302" s="620"/>
      <c r="AW302" s="506"/>
      <c r="AX302" s="582"/>
      <c r="AY302" s="620"/>
    </row>
    <row r="303" spans="2:51">
      <c r="B303" s="534" t="s">
        <v>591</v>
      </c>
      <c r="C303" s="535" t="s">
        <v>66</v>
      </c>
      <c r="D303" s="535" t="s">
        <v>59</v>
      </c>
      <c r="E303" s="535" t="s">
        <v>648</v>
      </c>
      <c r="F303" s="535" t="s">
        <v>671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G303" s="494" t="str">
        <f ca="1">IF('CDO Bespoke'!C328&lt;&gt;"",'CDO Bespoke'!C328,"")</f>
        <v/>
      </c>
      <c r="AH303" s="496"/>
      <c r="AI303" s="585"/>
      <c r="AJ303" s="585"/>
      <c r="AK303" s="585"/>
      <c r="AL303" s="497"/>
      <c r="AM303" s="620"/>
      <c r="AN303" s="496"/>
      <c r="AO303" s="585"/>
      <c r="AP303" s="585"/>
      <c r="AQ303" s="585"/>
      <c r="AR303" s="497"/>
      <c r="AS303" s="620"/>
      <c r="AT303" s="506"/>
      <c r="AU303" s="631"/>
      <c r="AV303" s="620"/>
      <c r="AW303" s="506"/>
      <c r="AX303" s="582"/>
      <c r="AY303" s="620"/>
    </row>
    <row r="304" spans="2:51">
      <c r="B304" s="539" t="s">
        <v>592</v>
      </c>
      <c r="C304" s="540" t="s">
        <v>66</v>
      </c>
      <c r="D304" s="540" t="s">
        <v>55</v>
      </c>
      <c r="E304" s="540" t="s">
        <v>648</v>
      </c>
      <c r="F304" s="540" t="s">
        <v>675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G304" s="494" t="str">
        <f ca="1">IF('CDO Bespoke'!C329&lt;&gt;"",'CDO Bespoke'!C329,"")</f>
        <v/>
      </c>
      <c r="AH304" s="496"/>
      <c r="AI304" s="585"/>
      <c r="AJ304" s="585"/>
      <c r="AK304" s="585"/>
      <c r="AL304" s="497"/>
      <c r="AM304" s="620"/>
      <c r="AN304" s="496"/>
      <c r="AO304" s="585"/>
      <c r="AP304" s="585"/>
      <c r="AQ304" s="585"/>
      <c r="AR304" s="497"/>
      <c r="AS304" s="620"/>
      <c r="AT304" s="506"/>
      <c r="AU304" s="631"/>
      <c r="AV304" s="620"/>
      <c r="AW304" s="506"/>
      <c r="AX304" s="582"/>
      <c r="AY304" s="620"/>
    </row>
    <row r="305" spans="2:51">
      <c r="B305" s="517" t="s">
        <v>592</v>
      </c>
      <c r="C305" s="518" t="s">
        <v>66</v>
      </c>
      <c r="D305" s="518" t="s">
        <v>57</v>
      </c>
      <c r="E305" s="518" t="s">
        <v>648</v>
      </c>
      <c r="F305" s="518" t="s">
        <v>675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G305" s="494" t="str">
        <f ca="1">IF('CDO Bespoke'!C330&lt;&gt;"",'CDO Bespoke'!C330,"")</f>
        <v/>
      </c>
      <c r="AH305" s="496"/>
      <c r="AI305" s="585"/>
      <c r="AJ305" s="585"/>
      <c r="AK305" s="585"/>
      <c r="AL305" s="497"/>
      <c r="AM305" s="620"/>
      <c r="AN305" s="496"/>
      <c r="AO305" s="585"/>
      <c r="AP305" s="585"/>
      <c r="AQ305" s="585"/>
      <c r="AR305" s="497"/>
      <c r="AS305" s="620"/>
      <c r="AT305" s="506"/>
      <c r="AU305" s="631"/>
      <c r="AV305" s="620"/>
      <c r="AW305" s="506"/>
      <c r="AX305" s="582"/>
      <c r="AY305" s="620"/>
    </row>
    <row r="306" spans="2:51">
      <c r="B306" s="534" t="s">
        <v>592</v>
      </c>
      <c r="C306" s="535" t="s">
        <v>66</v>
      </c>
      <c r="D306" s="535" t="s">
        <v>59</v>
      </c>
      <c r="E306" s="535" t="s">
        <v>648</v>
      </c>
      <c r="F306" s="535" t="s">
        <v>675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G306" s="494" t="str">
        <f ca="1">IF('CDO Bespoke'!C331&lt;&gt;"",'CDO Bespoke'!C331,"")</f>
        <v/>
      </c>
      <c r="AH306" s="496"/>
      <c r="AI306" s="585"/>
      <c r="AJ306" s="585"/>
      <c r="AK306" s="585"/>
      <c r="AL306" s="497"/>
      <c r="AM306" s="620"/>
      <c r="AN306" s="496"/>
      <c r="AO306" s="585"/>
      <c r="AP306" s="585"/>
      <c r="AQ306" s="585"/>
      <c r="AR306" s="497"/>
      <c r="AS306" s="620"/>
      <c r="AT306" s="506"/>
      <c r="AU306" s="631"/>
      <c r="AV306" s="620"/>
      <c r="AW306" s="506"/>
      <c r="AX306" s="582"/>
      <c r="AY306" s="620"/>
    </row>
    <row r="307" spans="2:51">
      <c r="B307" s="539" t="s">
        <v>593</v>
      </c>
      <c r="C307" s="540" t="s">
        <v>66</v>
      </c>
      <c r="D307" s="540" t="s">
        <v>55</v>
      </c>
      <c r="E307" s="540" t="s">
        <v>648</v>
      </c>
      <c r="F307" s="540" t="s">
        <v>671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G307" s="494" t="str">
        <f ca="1">IF('CDO Bespoke'!C332&lt;&gt;"",'CDO Bespoke'!C332,"")</f>
        <v/>
      </c>
      <c r="AH307" s="496"/>
      <c r="AI307" s="585"/>
      <c r="AJ307" s="585"/>
      <c r="AK307" s="585"/>
      <c r="AL307" s="497"/>
      <c r="AM307" s="620"/>
      <c r="AN307" s="496"/>
      <c r="AO307" s="585"/>
      <c r="AP307" s="585"/>
      <c r="AQ307" s="585"/>
      <c r="AR307" s="497"/>
      <c r="AS307" s="620"/>
      <c r="AT307" s="506"/>
      <c r="AU307" s="631"/>
      <c r="AV307" s="620"/>
      <c r="AW307" s="506"/>
      <c r="AX307" s="582"/>
      <c r="AY307" s="620"/>
    </row>
    <row r="308" spans="2:51">
      <c r="B308" s="517" t="s">
        <v>593</v>
      </c>
      <c r="C308" s="518" t="s">
        <v>66</v>
      </c>
      <c r="D308" s="518" t="s">
        <v>57</v>
      </c>
      <c r="E308" s="518" t="s">
        <v>648</v>
      </c>
      <c r="F308" s="518" t="s">
        <v>671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G308" s="494" t="str">
        <f ca="1">IF('CDO Bespoke'!C333&lt;&gt;"",'CDO Bespoke'!C333,"")</f>
        <v/>
      </c>
      <c r="AH308" s="496"/>
      <c r="AI308" s="585"/>
      <c r="AJ308" s="585"/>
      <c r="AK308" s="585"/>
      <c r="AL308" s="497"/>
      <c r="AM308" s="620"/>
      <c r="AN308" s="496"/>
      <c r="AO308" s="585"/>
      <c r="AP308" s="585"/>
      <c r="AQ308" s="585"/>
      <c r="AR308" s="497"/>
      <c r="AS308" s="620"/>
      <c r="AT308" s="506"/>
      <c r="AU308" s="631"/>
      <c r="AV308" s="620"/>
      <c r="AW308" s="506"/>
      <c r="AX308" s="582"/>
      <c r="AY308" s="620"/>
    </row>
    <row r="309" spans="2:51">
      <c r="B309" s="534" t="s">
        <v>593</v>
      </c>
      <c r="C309" s="535" t="s">
        <v>66</v>
      </c>
      <c r="D309" s="535" t="s">
        <v>59</v>
      </c>
      <c r="E309" s="535" t="s">
        <v>648</v>
      </c>
      <c r="F309" s="535" t="s">
        <v>671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G309" s="494" t="str">
        <f ca="1">IF('CDO Bespoke'!C334&lt;&gt;"",'CDO Bespoke'!C334,"")</f>
        <v/>
      </c>
      <c r="AH309" s="496"/>
      <c r="AI309" s="585"/>
      <c r="AJ309" s="585"/>
      <c r="AK309" s="585"/>
      <c r="AL309" s="497"/>
      <c r="AM309" s="620"/>
      <c r="AN309" s="496"/>
      <c r="AO309" s="585"/>
      <c r="AP309" s="585"/>
      <c r="AQ309" s="585"/>
      <c r="AR309" s="497"/>
      <c r="AS309" s="620"/>
      <c r="AT309" s="506"/>
      <c r="AU309" s="631"/>
      <c r="AV309" s="620"/>
      <c r="AW309" s="506"/>
      <c r="AX309" s="582"/>
      <c r="AY309" s="620"/>
    </row>
    <row r="310" spans="2:51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G310" s="494" t="str">
        <f ca="1">IF('CDO Bespoke'!C335&lt;&gt;"",'CDO Bespoke'!C335,"")</f>
        <v/>
      </c>
      <c r="AH310" s="496"/>
      <c r="AI310" s="585"/>
      <c r="AJ310" s="585"/>
      <c r="AK310" s="585"/>
      <c r="AL310" s="497"/>
      <c r="AM310" s="620"/>
      <c r="AN310" s="496"/>
      <c r="AO310" s="585"/>
      <c r="AP310" s="585"/>
      <c r="AQ310" s="585"/>
      <c r="AR310" s="497"/>
      <c r="AS310" s="620"/>
      <c r="AT310" s="506"/>
      <c r="AU310" s="631"/>
      <c r="AV310" s="620"/>
      <c r="AW310" s="506"/>
      <c r="AX310" s="582"/>
      <c r="AY310" s="620"/>
    </row>
    <row r="311" spans="2:51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G311" s="494" t="str">
        <f ca="1">IF('CDO Bespoke'!C336&lt;&gt;"",'CDO Bespoke'!C336,"")</f>
        <v/>
      </c>
      <c r="AH311" s="496"/>
      <c r="AI311" s="585"/>
      <c r="AJ311" s="585"/>
      <c r="AK311" s="585"/>
      <c r="AL311" s="497"/>
      <c r="AM311" s="620"/>
      <c r="AN311" s="496"/>
      <c r="AO311" s="585"/>
      <c r="AP311" s="585"/>
      <c r="AQ311" s="585"/>
      <c r="AR311" s="497"/>
      <c r="AS311" s="620"/>
      <c r="AT311" s="506"/>
      <c r="AU311" s="631"/>
      <c r="AV311" s="620"/>
      <c r="AW311" s="506"/>
      <c r="AX311" s="582"/>
      <c r="AY311" s="620"/>
    </row>
    <row r="312" spans="2:51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G312" s="494" t="str">
        <f ca="1">IF('CDO Bespoke'!C337&lt;&gt;"",'CDO Bespoke'!C337,"")</f>
        <v/>
      </c>
      <c r="AH312" s="496"/>
      <c r="AI312" s="585"/>
      <c r="AJ312" s="585"/>
      <c r="AK312" s="585"/>
      <c r="AL312" s="497"/>
      <c r="AM312" s="620"/>
      <c r="AN312" s="496"/>
      <c r="AO312" s="585"/>
      <c r="AP312" s="585"/>
      <c r="AQ312" s="585"/>
      <c r="AR312" s="497"/>
      <c r="AS312" s="620"/>
      <c r="AT312" s="506"/>
      <c r="AU312" s="631"/>
      <c r="AV312" s="620"/>
      <c r="AW312" s="506"/>
      <c r="AX312" s="582"/>
      <c r="AY312" s="620"/>
    </row>
    <row r="313" spans="2:51" ht="10.5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G313" s="495" t="str">
        <f ca="1">IF('CDO Bespoke'!C338&lt;&gt;"",'CDO Bespoke'!C338,"")</f>
        <v/>
      </c>
      <c r="AH313" s="498"/>
      <c r="AI313" s="499"/>
      <c r="AJ313" s="499"/>
      <c r="AK313" s="499"/>
      <c r="AL313" s="500"/>
      <c r="AM313" s="620"/>
      <c r="AN313" s="498"/>
      <c r="AO313" s="499"/>
      <c r="AP313" s="499"/>
      <c r="AQ313" s="499"/>
      <c r="AR313" s="500"/>
      <c r="AS313" s="620"/>
      <c r="AT313" s="507"/>
      <c r="AU313" s="632"/>
      <c r="AV313" s="620"/>
      <c r="AW313" s="507"/>
      <c r="AX313" s="633"/>
      <c r="AY313" s="620"/>
    </row>
    <row r="314" spans="2:51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  <c r="AN314" s="580"/>
      <c r="AO314" s="580"/>
      <c r="AP314" s="580"/>
      <c r="AQ314" s="580"/>
      <c r="AR314" s="580"/>
    </row>
    <row r="315" spans="2:51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  <c r="AN315" s="580"/>
      <c r="AO315" s="580"/>
      <c r="AP315" s="580"/>
      <c r="AQ315" s="580"/>
      <c r="AR315" s="580"/>
    </row>
    <row r="316" spans="2:51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1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1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1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1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0.5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3">
    <dataValidation type="list" allowBlank="1" showInputMessage="1" showErrorMessage="1" sqref="Y8" xr:uid="{44381CB1-248E-4567-9214-77DFC5B13FFC}">
      <formula1>TrueFalseTab</formula1>
    </dataValidation>
    <dataValidation type="list" allowBlank="1" showInputMessage="1" showErrorMessage="1" sqref="AV9 AY9" xr:uid="{C92ADC74-D9A3-400E-9284-59CF7D83F111}">
      <formula1>"SecCtp,NonSec"</formula1>
    </dataValidation>
    <dataValidation type="list" allowBlank="1" showInputMessage="1" showErrorMessage="1" sqref="AV10 AY10" xr:uid="{1CDD63ED-E5D2-4B62-B6DA-82E87376F347}">
      <formula1>"Low,Medium,High"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31750</xdr:rowOff>
                  </from>
                  <to>
                    <xdr:col>30</xdr:col>
                    <xdr:colOff>355600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26.54296875" style="272" bestFit="1" customWidth="1"/>
    <col min="4" max="4" width="10.54296875" style="273" customWidth="1"/>
    <col min="5" max="14" width="9.81640625" style="273" customWidth="1"/>
    <col min="15" max="31" width="9.1796875" style="79"/>
    <col min="32" max="16384" width="9.179687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0.5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 ht="10.5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 ht="10.5">
      <c r="B6" s="276" t="s">
        <v>475</v>
      </c>
      <c r="C6" s="277">
        <v>5000</v>
      </c>
      <c r="D6" s="272"/>
      <c r="E6" s="679"/>
      <c r="F6" s="679"/>
      <c r="G6" s="679"/>
      <c r="H6" s="679"/>
      <c r="I6" s="679"/>
      <c r="J6" s="679"/>
      <c r="K6" s="679"/>
      <c r="L6" s="679"/>
      <c r="M6" s="679"/>
      <c r="N6" s="679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1" thickBot="1">
      <c r="B7" s="278" t="s">
        <v>476</v>
      </c>
      <c r="C7" s="279" t="b">
        <v>0</v>
      </c>
      <c r="D7" s="272"/>
      <c r="E7" s="272"/>
      <c r="H7" s="280"/>
      <c r="O7" s="679"/>
      <c r="P7" s="679"/>
      <c r="Q7" s="679"/>
      <c r="R7" s="679"/>
      <c r="S7" s="679"/>
      <c r="T7" s="679"/>
      <c r="U7" s="679"/>
      <c r="V7" s="679"/>
      <c r="W7" s="679"/>
      <c r="X7" s="679"/>
      <c r="Y7" s="272"/>
      <c r="Z7" s="272"/>
      <c r="AA7" s="272"/>
      <c r="AB7" s="272"/>
      <c r="AC7" s="272"/>
      <c r="AD7" s="272"/>
      <c r="AE7" s="272"/>
    </row>
    <row r="8" spans="1:228" ht="11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1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1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 ht="10.5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 ht="10.5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1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1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 ht="10.5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 ht="10.5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1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1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1" thickBot="1">
      <c r="B19" s="286" t="s">
        <v>480</v>
      </c>
      <c r="C19" s="298"/>
      <c r="D19" s="299"/>
      <c r="E19" s="680" t="s">
        <v>481</v>
      </c>
      <c r="F19" s="680"/>
      <c r="G19" s="680"/>
      <c r="H19" s="680"/>
      <c r="I19" s="680"/>
      <c r="J19" s="680"/>
      <c r="K19" s="680"/>
      <c r="L19" s="680"/>
      <c r="M19" s="680"/>
      <c r="N19" s="681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1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 ht="10.5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1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1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1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1" thickBot="1">
      <c r="B25" s="274" t="s">
        <v>485</v>
      </c>
      <c r="C25" s="329">
        <v>8.3836702003960026E-2</v>
      </c>
      <c r="D25" s="330"/>
      <c r="E25" s="678" t="s">
        <v>486</v>
      </c>
      <c r="F25" s="678"/>
      <c r="G25" s="678"/>
      <c r="H25" s="678"/>
      <c r="I25" s="678"/>
      <c r="J25" s="678"/>
      <c r="K25" s="678"/>
      <c r="L25" s="678"/>
      <c r="M25" s="678"/>
      <c r="N25" s="677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1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 ht="10.5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 ht="10.5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 ht="10.5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 ht="10.5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 ht="10.5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 ht="10.5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1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0.5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1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1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76" t="s">
        <v>480</v>
      </c>
      <c r="D37" s="677"/>
      <c r="E37" s="678" t="s">
        <v>489</v>
      </c>
      <c r="F37" s="678"/>
      <c r="G37" s="678"/>
      <c r="H37" s="678"/>
      <c r="I37" s="678"/>
      <c r="J37" s="678"/>
      <c r="K37" s="678"/>
      <c r="L37" s="678"/>
      <c r="M37" s="678"/>
      <c r="N37" s="677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1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1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1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79"/>
      <c r="Q41" s="679"/>
      <c r="R41" s="679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1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1" thickBot="1">
      <c r="C44" s="323"/>
      <c r="D44" s="373"/>
      <c r="E44" s="676" t="s">
        <v>493</v>
      </c>
      <c r="F44" s="678"/>
      <c r="G44" s="678"/>
      <c r="H44" s="678"/>
      <c r="I44" s="678"/>
      <c r="J44" s="678"/>
      <c r="K44" s="678"/>
      <c r="L44" s="678"/>
      <c r="M44" s="678"/>
      <c r="N44" s="677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1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4.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4.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4.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4.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4.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4.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4.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4.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4.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4.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4.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4.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4.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4.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4.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4.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4.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4.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4.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4.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4.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4.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4.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4.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4.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4.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4.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4.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4.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4.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4.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4.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4.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4.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4.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4.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4.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4.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4.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4.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4.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4.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4.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4.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4.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4.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4.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4.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4.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4.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4.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4.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4.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4.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4.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4.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4.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4.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4.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4.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4.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4.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4.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4.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4.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4.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4.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4.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4.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4.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4.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4.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4.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4.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4.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4.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4.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4.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4.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4.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4.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4.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4.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4.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4.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4.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4.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4.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4.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4.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4.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4.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4.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4.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4.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4.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4.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4.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4.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4.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4.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4.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4.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4.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4.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4.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4.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4.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4.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4.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4.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4.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4.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4.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4.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4.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4.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4.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4.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4.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4.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4.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4.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4.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4.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4.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4.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4.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4.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4.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4.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4.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4.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4.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4.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4.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4.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4.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4.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4.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4.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4.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4.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4.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4.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4.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4.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4.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4.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4.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4.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4.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4.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4.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4.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4.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4.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4.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4.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4.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4.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4.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4.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4.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4.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4.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4.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4.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4.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4.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4.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4.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4.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4.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4.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4.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4.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4.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4.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4.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4.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4.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4.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4.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4.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4.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4.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4.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4.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4.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4.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4.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4.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4.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4.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4.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4.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4.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4.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4.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4.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4.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4.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4.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4.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4.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4.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4.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4.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4.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4.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4.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4.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4.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4.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4.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4.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4.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4.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4.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4.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4.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4.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4.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4.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4.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4.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4.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4.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4.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4.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4.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4.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4.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4.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4.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4.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4.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4.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4.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4.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4.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4.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4.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4.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4.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4.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4.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4.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4.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4.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4.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4.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4.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4.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4.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4.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4.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4.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4.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4.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4.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4.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4.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4.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4.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4.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4.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4.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4.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4.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4.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4.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4.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4.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4.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4.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4.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4.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4.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4.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4.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4.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4.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4.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4.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4.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4.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4.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4.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4.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4.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4.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4.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4.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4.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4.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4.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4.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Chart2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2024-09-27T13:18:40Z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